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4_{4A4AE403-CD31-43BD-82CF-C9EB069AD0AD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REATIE" sheetId="1" r:id="rId1"/>
    <sheet name="DATA" sheetId="6" r:id="rId2"/>
    <sheet name="OPDRACHTGEVER" sheetId="3" r:id="rId3"/>
    <sheet name="KvB" sheetId="4" r:id="rId4"/>
    <sheet name="GEADRESSEERDE" sheetId="5" r:id="rId5"/>
  </sheets>
  <definedNames>
    <definedName name="_xlnm._FilterDatabase" localSheetId="0" hidden="1">CREATIE!$A$2:$AQ$1965</definedName>
    <definedName name="_xlnm._FilterDatabase" localSheetId="1" hidden="1">DATA!$A$1:$BR$201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85" i="1" l="1"/>
  <c r="E1285" i="1" s="1"/>
  <c r="D1285" i="1" s="1"/>
  <c r="M1285" i="1"/>
  <c r="O1285" i="1"/>
  <c r="AA1285" i="1"/>
  <c r="AD1285" i="1"/>
  <c r="AE1285" i="1"/>
  <c r="AF1285" i="1"/>
  <c r="AG1285" i="1"/>
  <c r="AH1285" i="1"/>
  <c r="AQ1285" i="1"/>
  <c r="L1285" i="1" s="1"/>
  <c r="I1286" i="1"/>
  <c r="E1286" i="1" s="1"/>
  <c r="D1286" i="1" s="1"/>
  <c r="M1286" i="1"/>
  <c r="O1286" i="1"/>
  <c r="AA1286" i="1"/>
  <c r="AD1286" i="1"/>
  <c r="AE1286" i="1"/>
  <c r="AF1286" i="1"/>
  <c r="AG1286" i="1"/>
  <c r="AH1286" i="1"/>
  <c r="AQ1286" i="1"/>
  <c r="L1286" i="1" s="1"/>
  <c r="I1287" i="1"/>
  <c r="E1287" i="1" s="1"/>
  <c r="D1287" i="1" s="1"/>
  <c r="M1287" i="1"/>
  <c r="O1287" i="1"/>
  <c r="AA1287" i="1"/>
  <c r="AD1287" i="1"/>
  <c r="AE1287" i="1"/>
  <c r="AF1287" i="1"/>
  <c r="AG1287" i="1"/>
  <c r="AH1287" i="1"/>
  <c r="AQ1287" i="1"/>
  <c r="L1287" i="1" s="1"/>
  <c r="I1288" i="1"/>
  <c r="E1288" i="1" s="1"/>
  <c r="D1288" i="1" s="1"/>
  <c r="M1288" i="1"/>
  <c r="O1288" i="1"/>
  <c r="AA1288" i="1"/>
  <c r="AD1288" i="1"/>
  <c r="AE1288" i="1"/>
  <c r="AF1288" i="1"/>
  <c r="AG1288" i="1"/>
  <c r="AH1288" i="1"/>
  <c r="AQ1288" i="1"/>
  <c r="L1288" i="1" s="1"/>
  <c r="I1289" i="1"/>
  <c r="E1289" i="1" s="1"/>
  <c r="D1289" i="1" s="1"/>
  <c r="M1289" i="1"/>
  <c r="O1289" i="1"/>
  <c r="AA1289" i="1"/>
  <c r="AD1289" i="1"/>
  <c r="AE1289" i="1"/>
  <c r="AF1289" i="1"/>
  <c r="AG1289" i="1"/>
  <c r="AH1289" i="1"/>
  <c r="AQ1289" i="1"/>
  <c r="L1289" i="1" s="1"/>
  <c r="I1290" i="1"/>
  <c r="E1290" i="1" s="1"/>
  <c r="D1290" i="1" s="1"/>
  <c r="M1290" i="1"/>
  <c r="O1290" i="1"/>
  <c r="AA1290" i="1"/>
  <c r="AD1290" i="1"/>
  <c r="AE1290" i="1"/>
  <c r="AF1290" i="1"/>
  <c r="AG1290" i="1"/>
  <c r="AH1290" i="1"/>
  <c r="AQ1290" i="1"/>
  <c r="L1290" i="1" s="1"/>
  <c r="I1291" i="1"/>
  <c r="E1291" i="1" s="1"/>
  <c r="D1291" i="1" s="1"/>
  <c r="M1291" i="1"/>
  <c r="O1291" i="1"/>
  <c r="AA1291" i="1"/>
  <c r="AD1291" i="1"/>
  <c r="AE1291" i="1"/>
  <c r="AF1291" i="1"/>
  <c r="AG1291" i="1"/>
  <c r="AH1291" i="1"/>
  <c r="AQ1291" i="1"/>
  <c r="L1291" i="1" s="1"/>
  <c r="I1292" i="1"/>
  <c r="E1292" i="1" s="1"/>
  <c r="D1292" i="1" s="1"/>
  <c r="M1292" i="1"/>
  <c r="O1292" i="1"/>
  <c r="AA1292" i="1"/>
  <c r="AD1292" i="1"/>
  <c r="AE1292" i="1"/>
  <c r="AF1292" i="1"/>
  <c r="AG1292" i="1"/>
  <c r="AH1292" i="1"/>
  <c r="AQ1292" i="1"/>
  <c r="L1292" i="1" s="1"/>
  <c r="I1293" i="1"/>
  <c r="E1293" i="1" s="1"/>
  <c r="D1293" i="1" s="1"/>
  <c r="M1293" i="1"/>
  <c r="O1293" i="1"/>
  <c r="AA1293" i="1"/>
  <c r="AD1293" i="1"/>
  <c r="AE1293" i="1"/>
  <c r="AF1293" i="1"/>
  <c r="AG1293" i="1"/>
  <c r="AH1293" i="1"/>
  <c r="AQ1293" i="1"/>
  <c r="L1293" i="1" s="1"/>
  <c r="I1294" i="1"/>
  <c r="E1294" i="1" s="1"/>
  <c r="D1294" i="1" s="1"/>
  <c r="M1294" i="1"/>
  <c r="O1294" i="1"/>
  <c r="AA1294" i="1"/>
  <c r="AD1294" i="1"/>
  <c r="AE1294" i="1"/>
  <c r="AF1294" i="1"/>
  <c r="AG1294" i="1"/>
  <c r="AH1294" i="1"/>
  <c r="AQ1294" i="1"/>
  <c r="L1294" i="1" s="1"/>
  <c r="I1295" i="1"/>
  <c r="E1295" i="1" s="1"/>
  <c r="D1295" i="1" s="1"/>
  <c r="M1295" i="1"/>
  <c r="O1295" i="1"/>
  <c r="AA1295" i="1"/>
  <c r="AD1295" i="1"/>
  <c r="AE1295" i="1"/>
  <c r="AF1295" i="1"/>
  <c r="AG1295" i="1"/>
  <c r="AH1295" i="1"/>
  <c r="AQ1295" i="1"/>
  <c r="L1295" i="1" s="1"/>
  <c r="I1296" i="1"/>
  <c r="E1296" i="1" s="1"/>
  <c r="D1296" i="1" s="1"/>
  <c r="M1296" i="1"/>
  <c r="O1296" i="1"/>
  <c r="AA1296" i="1"/>
  <c r="AD1296" i="1"/>
  <c r="AE1296" i="1"/>
  <c r="AF1296" i="1"/>
  <c r="AG1296" i="1"/>
  <c r="AH1296" i="1"/>
  <c r="AQ1296" i="1"/>
  <c r="L1296" i="1" s="1"/>
  <c r="I1297" i="1"/>
  <c r="E1297" i="1" s="1"/>
  <c r="D1297" i="1" s="1"/>
  <c r="M1297" i="1"/>
  <c r="O1297" i="1"/>
  <c r="AA1297" i="1"/>
  <c r="AD1297" i="1"/>
  <c r="AE1297" i="1"/>
  <c r="AF1297" i="1"/>
  <c r="AG1297" i="1"/>
  <c r="AH1297" i="1"/>
  <c r="AQ1297" i="1"/>
  <c r="L1297" i="1" s="1"/>
  <c r="I1298" i="1"/>
  <c r="E1298" i="1" s="1"/>
  <c r="D1298" i="1" s="1"/>
  <c r="M1298" i="1"/>
  <c r="O1298" i="1"/>
  <c r="AA1298" i="1"/>
  <c r="AD1298" i="1"/>
  <c r="AE1298" i="1"/>
  <c r="AF1298" i="1"/>
  <c r="AG1298" i="1"/>
  <c r="AH1298" i="1"/>
  <c r="AQ1298" i="1"/>
  <c r="L1298" i="1" s="1"/>
  <c r="I1299" i="1"/>
  <c r="E1299" i="1" s="1"/>
  <c r="D1299" i="1" s="1"/>
  <c r="M1299" i="1"/>
  <c r="O1299" i="1"/>
  <c r="AA1299" i="1"/>
  <c r="AD1299" i="1"/>
  <c r="AE1299" i="1"/>
  <c r="AF1299" i="1"/>
  <c r="AG1299" i="1"/>
  <c r="AH1299" i="1"/>
  <c r="AQ1299" i="1"/>
  <c r="L1299" i="1" s="1"/>
  <c r="I1300" i="1"/>
  <c r="E1300" i="1" s="1"/>
  <c r="D1300" i="1" s="1"/>
  <c r="M1300" i="1"/>
  <c r="O1300" i="1"/>
  <c r="AA1300" i="1"/>
  <c r="AD1300" i="1"/>
  <c r="AE1300" i="1"/>
  <c r="AF1300" i="1"/>
  <c r="AG1300" i="1"/>
  <c r="AH1300" i="1"/>
  <c r="AQ1300" i="1"/>
  <c r="L1300" i="1" s="1"/>
  <c r="I1301" i="1"/>
  <c r="E1301" i="1" s="1"/>
  <c r="D1301" i="1" s="1"/>
  <c r="M1301" i="1"/>
  <c r="O1301" i="1"/>
  <c r="AA1301" i="1"/>
  <c r="AD1301" i="1"/>
  <c r="AE1301" i="1"/>
  <c r="AF1301" i="1"/>
  <c r="AG1301" i="1"/>
  <c r="AH1301" i="1"/>
  <c r="AQ1301" i="1"/>
  <c r="L1301" i="1" s="1"/>
  <c r="I1302" i="1"/>
  <c r="E1302" i="1" s="1"/>
  <c r="D1302" i="1" s="1"/>
  <c r="M1302" i="1"/>
  <c r="O1302" i="1"/>
  <c r="AA1302" i="1"/>
  <c r="AD1302" i="1"/>
  <c r="AE1302" i="1"/>
  <c r="AF1302" i="1"/>
  <c r="AG1302" i="1"/>
  <c r="AH1302" i="1"/>
  <c r="AQ1302" i="1"/>
  <c r="L1302" i="1" s="1"/>
  <c r="I1303" i="1"/>
  <c r="E1303" i="1" s="1"/>
  <c r="D1303" i="1" s="1"/>
  <c r="M1303" i="1"/>
  <c r="O1303" i="1"/>
  <c r="AA1303" i="1"/>
  <c r="AD1303" i="1"/>
  <c r="AE1303" i="1"/>
  <c r="AF1303" i="1"/>
  <c r="AG1303" i="1"/>
  <c r="AH1303" i="1"/>
  <c r="AQ1303" i="1"/>
  <c r="L1303" i="1" s="1"/>
  <c r="I1304" i="1"/>
  <c r="E1304" i="1" s="1"/>
  <c r="D1304" i="1" s="1"/>
  <c r="M1304" i="1"/>
  <c r="O1304" i="1"/>
  <c r="AA1304" i="1"/>
  <c r="AD1304" i="1"/>
  <c r="AE1304" i="1"/>
  <c r="AF1304" i="1"/>
  <c r="AG1304" i="1"/>
  <c r="AH1304" i="1"/>
  <c r="AQ1304" i="1"/>
  <c r="L1304" i="1" s="1"/>
  <c r="I1305" i="1"/>
  <c r="E1305" i="1" s="1"/>
  <c r="D1305" i="1" s="1"/>
  <c r="M1305" i="1"/>
  <c r="O1305" i="1"/>
  <c r="AA1305" i="1"/>
  <c r="AD1305" i="1"/>
  <c r="AE1305" i="1"/>
  <c r="AF1305" i="1"/>
  <c r="AG1305" i="1"/>
  <c r="AH1305" i="1"/>
  <c r="AQ1305" i="1"/>
  <c r="L1305" i="1" s="1"/>
  <c r="I1306" i="1"/>
  <c r="E1306" i="1" s="1"/>
  <c r="D1306" i="1" s="1"/>
  <c r="M1306" i="1"/>
  <c r="O1306" i="1"/>
  <c r="AA1306" i="1"/>
  <c r="AD1306" i="1"/>
  <c r="AE1306" i="1"/>
  <c r="AF1306" i="1"/>
  <c r="AG1306" i="1"/>
  <c r="AH1306" i="1"/>
  <c r="AQ1306" i="1"/>
  <c r="L1306" i="1" s="1"/>
  <c r="I1307" i="1"/>
  <c r="E1307" i="1" s="1"/>
  <c r="D1307" i="1" s="1"/>
  <c r="M1307" i="1"/>
  <c r="O1307" i="1"/>
  <c r="AA1307" i="1"/>
  <c r="AD1307" i="1"/>
  <c r="AE1307" i="1"/>
  <c r="AF1307" i="1"/>
  <c r="AG1307" i="1"/>
  <c r="AH1307" i="1"/>
  <c r="AQ1307" i="1"/>
  <c r="L1307" i="1" s="1"/>
  <c r="I1308" i="1"/>
  <c r="E1308" i="1" s="1"/>
  <c r="D1308" i="1" s="1"/>
  <c r="M1308" i="1"/>
  <c r="O1308" i="1"/>
  <c r="AA1308" i="1"/>
  <c r="AD1308" i="1"/>
  <c r="AE1308" i="1"/>
  <c r="AF1308" i="1"/>
  <c r="AG1308" i="1"/>
  <c r="AH1308" i="1"/>
  <c r="AQ1308" i="1"/>
  <c r="L1308" i="1" s="1"/>
  <c r="I1309" i="1"/>
  <c r="E1309" i="1" s="1"/>
  <c r="D1309" i="1" s="1"/>
  <c r="M1309" i="1"/>
  <c r="O1309" i="1"/>
  <c r="AA1309" i="1"/>
  <c r="AD1309" i="1"/>
  <c r="AE1309" i="1"/>
  <c r="AF1309" i="1"/>
  <c r="AG1309" i="1"/>
  <c r="AH1309" i="1"/>
  <c r="AQ1309" i="1"/>
  <c r="L1309" i="1" s="1"/>
  <c r="I1310" i="1"/>
  <c r="E1310" i="1" s="1"/>
  <c r="D1310" i="1" s="1"/>
  <c r="M1310" i="1"/>
  <c r="O1310" i="1"/>
  <c r="AA1310" i="1"/>
  <c r="AD1310" i="1"/>
  <c r="AE1310" i="1"/>
  <c r="AF1310" i="1"/>
  <c r="AG1310" i="1"/>
  <c r="AH1310" i="1"/>
  <c r="AQ1310" i="1"/>
  <c r="L1310" i="1" s="1"/>
  <c r="I1311" i="1"/>
  <c r="E1311" i="1" s="1"/>
  <c r="D1311" i="1" s="1"/>
  <c r="M1311" i="1"/>
  <c r="O1311" i="1"/>
  <c r="AA1311" i="1"/>
  <c r="AD1311" i="1"/>
  <c r="AE1311" i="1"/>
  <c r="AF1311" i="1"/>
  <c r="AG1311" i="1"/>
  <c r="AH1311" i="1"/>
  <c r="AQ1311" i="1"/>
  <c r="L1311" i="1" s="1"/>
  <c r="I1312" i="1"/>
  <c r="E1312" i="1" s="1"/>
  <c r="D1312" i="1" s="1"/>
  <c r="M1312" i="1"/>
  <c r="O1312" i="1"/>
  <c r="AA1312" i="1"/>
  <c r="AD1312" i="1"/>
  <c r="AE1312" i="1"/>
  <c r="AF1312" i="1"/>
  <c r="AG1312" i="1"/>
  <c r="AH1312" i="1"/>
  <c r="AQ1312" i="1"/>
  <c r="L1312" i="1" s="1"/>
  <c r="I1313" i="1"/>
  <c r="E1313" i="1" s="1"/>
  <c r="D1313" i="1" s="1"/>
  <c r="M1313" i="1"/>
  <c r="O1313" i="1"/>
  <c r="AA1313" i="1"/>
  <c r="AD1313" i="1"/>
  <c r="AE1313" i="1"/>
  <c r="AF1313" i="1"/>
  <c r="AG1313" i="1"/>
  <c r="AH1313" i="1"/>
  <c r="AQ1313" i="1"/>
  <c r="L1313" i="1" s="1"/>
  <c r="I1314" i="1"/>
  <c r="E1314" i="1" s="1"/>
  <c r="D1314" i="1" s="1"/>
  <c r="M1314" i="1"/>
  <c r="O1314" i="1"/>
  <c r="AA1314" i="1"/>
  <c r="AD1314" i="1"/>
  <c r="AE1314" i="1"/>
  <c r="AF1314" i="1"/>
  <c r="AG1314" i="1"/>
  <c r="AH1314" i="1"/>
  <c r="AQ1314" i="1"/>
  <c r="L1314" i="1" s="1"/>
  <c r="I1315" i="1"/>
  <c r="E1315" i="1" s="1"/>
  <c r="D1315" i="1" s="1"/>
  <c r="M1315" i="1"/>
  <c r="O1315" i="1"/>
  <c r="AA1315" i="1"/>
  <c r="AD1315" i="1"/>
  <c r="AE1315" i="1"/>
  <c r="AF1315" i="1"/>
  <c r="AG1315" i="1"/>
  <c r="AH1315" i="1"/>
  <c r="AQ1315" i="1"/>
  <c r="L1315" i="1" s="1"/>
  <c r="I1316" i="1"/>
  <c r="E1316" i="1" s="1"/>
  <c r="D1316" i="1" s="1"/>
  <c r="M1316" i="1"/>
  <c r="O1316" i="1"/>
  <c r="AA1316" i="1"/>
  <c r="AD1316" i="1"/>
  <c r="AE1316" i="1"/>
  <c r="AF1316" i="1"/>
  <c r="AG1316" i="1"/>
  <c r="AH1316" i="1"/>
  <c r="AQ1316" i="1"/>
  <c r="L1316" i="1" s="1"/>
  <c r="I1317" i="1"/>
  <c r="E1317" i="1" s="1"/>
  <c r="D1317" i="1" s="1"/>
  <c r="M1317" i="1"/>
  <c r="O1317" i="1"/>
  <c r="AA1317" i="1"/>
  <c r="AD1317" i="1"/>
  <c r="AE1317" i="1"/>
  <c r="AF1317" i="1"/>
  <c r="AG1317" i="1"/>
  <c r="AH1317" i="1"/>
  <c r="AQ1317" i="1"/>
  <c r="L1317" i="1" s="1"/>
  <c r="I1318" i="1"/>
  <c r="E1318" i="1" s="1"/>
  <c r="D1318" i="1" s="1"/>
  <c r="M1318" i="1"/>
  <c r="O1318" i="1"/>
  <c r="AA1318" i="1"/>
  <c r="AD1318" i="1"/>
  <c r="AE1318" i="1"/>
  <c r="AF1318" i="1"/>
  <c r="AG1318" i="1"/>
  <c r="AH1318" i="1"/>
  <c r="AQ1318" i="1"/>
  <c r="L1318" i="1" s="1"/>
  <c r="I1319" i="1"/>
  <c r="E1319" i="1" s="1"/>
  <c r="D1319" i="1" s="1"/>
  <c r="M1319" i="1"/>
  <c r="O1319" i="1"/>
  <c r="AA1319" i="1"/>
  <c r="AD1319" i="1"/>
  <c r="AE1319" i="1"/>
  <c r="AF1319" i="1"/>
  <c r="AG1319" i="1"/>
  <c r="AH1319" i="1"/>
  <c r="AQ1319" i="1"/>
  <c r="L1319" i="1" s="1"/>
  <c r="I1320" i="1"/>
  <c r="E1320" i="1" s="1"/>
  <c r="D1320" i="1" s="1"/>
  <c r="M1320" i="1"/>
  <c r="O1320" i="1"/>
  <c r="AA1320" i="1"/>
  <c r="AD1320" i="1"/>
  <c r="AE1320" i="1"/>
  <c r="AF1320" i="1"/>
  <c r="AG1320" i="1"/>
  <c r="AH1320" i="1"/>
  <c r="AQ1320" i="1"/>
  <c r="L1320" i="1" s="1"/>
  <c r="I1321" i="1"/>
  <c r="E1321" i="1" s="1"/>
  <c r="D1321" i="1" s="1"/>
  <c r="M1321" i="1"/>
  <c r="O1321" i="1"/>
  <c r="AA1321" i="1"/>
  <c r="AD1321" i="1"/>
  <c r="AE1321" i="1"/>
  <c r="AF1321" i="1"/>
  <c r="AG1321" i="1"/>
  <c r="AH1321" i="1"/>
  <c r="AQ1321" i="1"/>
  <c r="L1321" i="1" s="1"/>
  <c r="I1322" i="1"/>
  <c r="E1322" i="1" s="1"/>
  <c r="D1322" i="1" s="1"/>
  <c r="M1322" i="1"/>
  <c r="O1322" i="1"/>
  <c r="AA1322" i="1"/>
  <c r="AD1322" i="1"/>
  <c r="AE1322" i="1"/>
  <c r="AF1322" i="1"/>
  <c r="AG1322" i="1"/>
  <c r="AH1322" i="1"/>
  <c r="AQ1322" i="1"/>
  <c r="L1322" i="1" s="1"/>
  <c r="I1323" i="1"/>
  <c r="E1323" i="1" s="1"/>
  <c r="D1323" i="1" s="1"/>
  <c r="M1323" i="1"/>
  <c r="O1323" i="1"/>
  <c r="AA1323" i="1"/>
  <c r="AD1323" i="1"/>
  <c r="AE1323" i="1"/>
  <c r="AF1323" i="1"/>
  <c r="AG1323" i="1"/>
  <c r="AH1323" i="1"/>
  <c r="AQ1323" i="1"/>
  <c r="L1323" i="1" s="1"/>
  <c r="I1324" i="1"/>
  <c r="E1324" i="1" s="1"/>
  <c r="D1324" i="1" s="1"/>
  <c r="M1324" i="1"/>
  <c r="O1324" i="1"/>
  <c r="AA1324" i="1"/>
  <c r="AD1324" i="1"/>
  <c r="AE1324" i="1"/>
  <c r="AF1324" i="1"/>
  <c r="AG1324" i="1"/>
  <c r="AH1324" i="1"/>
  <c r="AQ1324" i="1"/>
  <c r="L1324" i="1" s="1"/>
  <c r="I1325" i="1"/>
  <c r="E1325" i="1" s="1"/>
  <c r="D1325" i="1" s="1"/>
  <c r="M1325" i="1"/>
  <c r="O1325" i="1"/>
  <c r="AA1325" i="1"/>
  <c r="AD1325" i="1"/>
  <c r="AE1325" i="1"/>
  <c r="AF1325" i="1"/>
  <c r="AG1325" i="1"/>
  <c r="AH1325" i="1"/>
  <c r="AQ1325" i="1"/>
  <c r="L1325" i="1" s="1"/>
  <c r="I1326" i="1"/>
  <c r="E1326" i="1" s="1"/>
  <c r="D1326" i="1" s="1"/>
  <c r="M1326" i="1"/>
  <c r="O1326" i="1"/>
  <c r="AA1326" i="1"/>
  <c r="AD1326" i="1"/>
  <c r="AE1326" i="1"/>
  <c r="AF1326" i="1"/>
  <c r="AG1326" i="1"/>
  <c r="AH1326" i="1"/>
  <c r="AQ1326" i="1"/>
  <c r="L1326" i="1" s="1"/>
  <c r="I1327" i="1"/>
  <c r="E1327" i="1" s="1"/>
  <c r="D1327" i="1" s="1"/>
  <c r="M1327" i="1"/>
  <c r="O1327" i="1"/>
  <c r="AA1327" i="1"/>
  <c r="AD1327" i="1"/>
  <c r="AE1327" i="1"/>
  <c r="AF1327" i="1"/>
  <c r="AG1327" i="1"/>
  <c r="AH1327" i="1"/>
  <c r="AQ1327" i="1"/>
  <c r="L1327" i="1" s="1"/>
  <c r="I1328" i="1"/>
  <c r="E1328" i="1" s="1"/>
  <c r="D1328" i="1" s="1"/>
  <c r="M1328" i="1"/>
  <c r="O1328" i="1"/>
  <c r="AA1328" i="1"/>
  <c r="AD1328" i="1"/>
  <c r="AE1328" i="1"/>
  <c r="AF1328" i="1"/>
  <c r="AG1328" i="1"/>
  <c r="AH1328" i="1"/>
  <c r="AQ1328" i="1"/>
  <c r="L1328" i="1" s="1"/>
  <c r="I1329" i="1"/>
  <c r="E1329" i="1" s="1"/>
  <c r="D1329" i="1" s="1"/>
  <c r="M1329" i="1"/>
  <c r="O1329" i="1"/>
  <c r="AA1329" i="1"/>
  <c r="AD1329" i="1"/>
  <c r="AE1329" i="1"/>
  <c r="AF1329" i="1"/>
  <c r="AG1329" i="1"/>
  <c r="AH1329" i="1"/>
  <c r="AQ1329" i="1"/>
  <c r="L1329" i="1" s="1"/>
  <c r="I1330" i="1"/>
  <c r="E1330" i="1" s="1"/>
  <c r="D1330" i="1" s="1"/>
  <c r="M1330" i="1"/>
  <c r="O1330" i="1"/>
  <c r="AA1330" i="1"/>
  <c r="AD1330" i="1"/>
  <c r="AE1330" i="1"/>
  <c r="AF1330" i="1"/>
  <c r="AG1330" i="1"/>
  <c r="AH1330" i="1"/>
  <c r="AQ1330" i="1"/>
  <c r="L1330" i="1" s="1"/>
  <c r="I1331" i="1"/>
  <c r="E1331" i="1" s="1"/>
  <c r="D1331" i="1" s="1"/>
  <c r="M1331" i="1"/>
  <c r="O1331" i="1"/>
  <c r="AA1331" i="1"/>
  <c r="AD1331" i="1"/>
  <c r="AE1331" i="1"/>
  <c r="AF1331" i="1"/>
  <c r="AG1331" i="1"/>
  <c r="AH1331" i="1"/>
  <c r="AQ1331" i="1"/>
  <c r="L1331" i="1" s="1"/>
  <c r="I1332" i="1"/>
  <c r="E1332" i="1" s="1"/>
  <c r="D1332" i="1" s="1"/>
  <c r="M1332" i="1"/>
  <c r="O1332" i="1"/>
  <c r="AA1332" i="1"/>
  <c r="AD1332" i="1"/>
  <c r="AE1332" i="1"/>
  <c r="AF1332" i="1"/>
  <c r="AG1332" i="1"/>
  <c r="AH1332" i="1"/>
  <c r="AQ1332" i="1"/>
  <c r="L1332" i="1" s="1"/>
  <c r="I1333" i="1"/>
  <c r="E1333" i="1" s="1"/>
  <c r="D1333" i="1" s="1"/>
  <c r="M1333" i="1"/>
  <c r="O1333" i="1"/>
  <c r="AA1333" i="1"/>
  <c r="AD1333" i="1"/>
  <c r="AE1333" i="1"/>
  <c r="AF1333" i="1"/>
  <c r="AG1333" i="1"/>
  <c r="AH1333" i="1"/>
  <c r="AQ1333" i="1"/>
  <c r="L1333" i="1" s="1"/>
  <c r="I1334" i="1"/>
  <c r="E1334" i="1" s="1"/>
  <c r="D1334" i="1" s="1"/>
  <c r="M1334" i="1"/>
  <c r="O1334" i="1"/>
  <c r="AA1334" i="1"/>
  <c r="AD1334" i="1"/>
  <c r="AE1334" i="1"/>
  <c r="AF1334" i="1"/>
  <c r="AG1334" i="1"/>
  <c r="AH1334" i="1"/>
  <c r="AQ1334" i="1"/>
  <c r="L1334" i="1" s="1"/>
  <c r="I1335" i="1"/>
  <c r="E1335" i="1" s="1"/>
  <c r="D1335" i="1" s="1"/>
  <c r="M1335" i="1"/>
  <c r="O1335" i="1"/>
  <c r="AA1335" i="1"/>
  <c r="AD1335" i="1"/>
  <c r="AE1335" i="1"/>
  <c r="AF1335" i="1"/>
  <c r="AG1335" i="1"/>
  <c r="AH1335" i="1"/>
  <c r="AQ1335" i="1"/>
  <c r="L1335" i="1" s="1"/>
  <c r="I1336" i="1"/>
  <c r="E1336" i="1" s="1"/>
  <c r="D1336" i="1" s="1"/>
  <c r="M1336" i="1"/>
  <c r="O1336" i="1"/>
  <c r="AA1336" i="1"/>
  <c r="AD1336" i="1"/>
  <c r="AE1336" i="1"/>
  <c r="AF1336" i="1"/>
  <c r="AG1336" i="1"/>
  <c r="AH1336" i="1"/>
  <c r="AQ1336" i="1"/>
  <c r="L1336" i="1" s="1"/>
  <c r="I1337" i="1"/>
  <c r="E1337" i="1" s="1"/>
  <c r="D1337" i="1" s="1"/>
  <c r="M1337" i="1"/>
  <c r="O1337" i="1"/>
  <c r="AA1337" i="1"/>
  <c r="AD1337" i="1"/>
  <c r="AE1337" i="1"/>
  <c r="AF1337" i="1"/>
  <c r="AG1337" i="1"/>
  <c r="AH1337" i="1"/>
  <c r="AQ1337" i="1"/>
  <c r="L1337" i="1" s="1"/>
  <c r="I1338" i="1"/>
  <c r="E1338" i="1" s="1"/>
  <c r="D1338" i="1" s="1"/>
  <c r="M1338" i="1"/>
  <c r="O1338" i="1"/>
  <c r="AA1338" i="1"/>
  <c r="AD1338" i="1"/>
  <c r="AE1338" i="1"/>
  <c r="AF1338" i="1"/>
  <c r="AG1338" i="1"/>
  <c r="AH1338" i="1"/>
  <c r="AQ1338" i="1"/>
  <c r="L1338" i="1" s="1"/>
  <c r="I1339" i="1"/>
  <c r="E1339" i="1" s="1"/>
  <c r="D1339" i="1" s="1"/>
  <c r="M1339" i="1"/>
  <c r="O1339" i="1"/>
  <c r="AA1339" i="1"/>
  <c r="AD1339" i="1"/>
  <c r="AE1339" i="1"/>
  <c r="AF1339" i="1"/>
  <c r="AG1339" i="1"/>
  <c r="AH1339" i="1"/>
  <c r="AQ1339" i="1"/>
  <c r="L1339" i="1" s="1"/>
  <c r="I1340" i="1"/>
  <c r="E1340" i="1" s="1"/>
  <c r="D1340" i="1" s="1"/>
  <c r="M1340" i="1"/>
  <c r="O1340" i="1"/>
  <c r="AA1340" i="1"/>
  <c r="AD1340" i="1"/>
  <c r="AE1340" i="1"/>
  <c r="AF1340" i="1"/>
  <c r="AG1340" i="1"/>
  <c r="AH1340" i="1"/>
  <c r="AQ1340" i="1"/>
  <c r="L1340" i="1" s="1"/>
  <c r="I1341" i="1"/>
  <c r="E1341" i="1" s="1"/>
  <c r="D1341" i="1" s="1"/>
  <c r="M1341" i="1"/>
  <c r="O1341" i="1"/>
  <c r="AA1341" i="1"/>
  <c r="AD1341" i="1"/>
  <c r="AE1341" i="1"/>
  <c r="AF1341" i="1"/>
  <c r="AG1341" i="1"/>
  <c r="AH1341" i="1"/>
  <c r="AQ1341" i="1"/>
  <c r="L1341" i="1" s="1"/>
  <c r="I1342" i="1"/>
  <c r="E1342" i="1" s="1"/>
  <c r="D1342" i="1" s="1"/>
  <c r="M1342" i="1"/>
  <c r="O1342" i="1"/>
  <c r="AA1342" i="1"/>
  <c r="AD1342" i="1"/>
  <c r="AE1342" i="1"/>
  <c r="AF1342" i="1"/>
  <c r="AG1342" i="1"/>
  <c r="AH1342" i="1"/>
  <c r="AQ1342" i="1"/>
  <c r="L1342" i="1" s="1"/>
  <c r="I1343" i="1"/>
  <c r="E1343" i="1" s="1"/>
  <c r="D1343" i="1" s="1"/>
  <c r="M1343" i="1"/>
  <c r="O1343" i="1"/>
  <c r="AA1343" i="1"/>
  <c r="AD1343" i="1"/>
  <c r="AE1343" i="1"/>
  <c r="AF1343" i="1"/>
  <c r="AG1343" i="1"/>
  <c r="AH1343" i="1"/>
  <c r="AQ1343" i="1"/>
  <c r="L1343" i="1" s="1"/>
  <c r="I1344" i="1"/>
  <c r="E1344" i="1" s="1"/>
  <c r="D1344" i="1" s="1"/>
  <c r="M1344" i="1"/>
  <c r="O1344" i="1"/>
  <c r="AA1344" i="1"/>
  <c r="AD1344" i="1"/>
  <c r="AE1344" i="1"/>
  <c r="AF1344" i="1"/>
  <c r="AG1344" i="1"/>
  <c r="AH1344" i="1"/>
  <c r="AQ1344" i="1"/>
  <c r="L1344" i="1" s="1"/>
  <c r="I1345" i="1"/>
  <c r="E1345" i="1" s="1"/>
  <c r="D1345" i="1" s="1"/>
  <c r="M1345" i="1"/>
  <c r="O1345" i="1"/>
  <c r="AA1345" i="1"/>
  <c r="AD1345" i="1"/>
  <c r="AE1345" i="1"/>
  <c r="AF1345" i="1"/>
  <c r="AG1345" i="1"/>
  <c r="AH1345" i="1"/>
  <c r="AQ1345" i="1"/>
  <c r="L1345" i="1" s="1"/>
  <c r="I1346" i="1"/>
  <c r="E1346" i="1" s="1"/>
  <c r="D1346" i="1" s="1"/>
  <c r="M1346" i="1"/>
  <c r="O1346" i="1"/>
  <c r="AA1346" i="1"/>
  <c r="AD1346" i="1"/>
  <c r="AE1346" i="1"/>
  <c r="AF1346" i="1"/>
  <c r="AG1346" i="1"/>
  <c r="AH1346" i="1"/>
  <c r="AQ1346" i="1"/>
  <c r="L1346" i="1" s="1"/>
  <c r="I1347" i="1"/>
  <c r="E1347" i="1" s="1"/>
  <c r="D1347" i="1" s="1"/>
  <c r="M1347" i="1"/>
  <c r="O1347" i="1"/>
  <c r="AA1347" i="1"/>
  <c r="AD1347" i="1"/>
  <c r="AE1347" i="1"/>
  <c r="AF1347" i="1"/>
  <c r="AG1347" i="1"/>
  <c r="AH1347" i="1"/>
  <c r="AQ1347" i="1"/>
  <c r="L1347" i="1" s="1"/>
  <c r="I1348" i="1"/>
  <c r="E1348" i="1" s="1"/>
  <c r="D1348" i="1" s="1"/>
  <c r="M1348" i="1"/>
  <c r="O1348" i="1"/>
  <c r="AA1348" i="1"/>
  <c r="AD1348" i="1"/>
  <c r="AE1348" i="1"/>
  <c r="AF1348" i="1"/>
  <c r="AG1348" i="1"/>
  <c r="AH1348" i="1"/>
  <c r="AQ1348" i="1"/>
  <c r="L1348" i="1" s="1"/>
  <c r="I1349" i="1"/>
  <c r="E1349" i="1" s="1"/>
  <c r="D1349" i="1" s="1"/>
  <c r="M1349" i="1"/>
  <c r="O1349" i="1"/>
  <c r="AA1349" i="1"/>
  <c r="AD1349" i="1"/>
  <c r="AE1349" i="1"/>
  <c r="AF1349" i="1"/>
  <c r="AG1349" i="1"/>
  <c r="AH1349" i="1"/>
  <c r="AQ1349" i="1"/>
  <c r="L1349" i="1" s="1"/>
  <c r="I1350" i="1"/>
  <c r="E1350" i="1" s="1"/>
  <c r="D1350" i="1" s="1"/>
  <c r="M1350" i="1"/>
  <c r="O1350" i="1"/>
  <c r="AA1350" i="1"/>
  <c r="AD1350" i="1"/>
  <c r="AE1350" i="1"/>
  <c r="AF1350" i="1"/>
  <c r="AG1350" i="1"/>
  <c r="AH1350" i="1"/>
  <c r="AQ1350" i="1"/>
  <c r="L1350" i="1" s="1"/>
  <c r="I1351" i="1"/>
  <c r="E1351" i="1" s="1"/>
  <c r="D1351" i="1" s="1"/>
  <c r="M1351" i="1"/>
  <c r="O1351" i="1"/>
  <c r="AA1351" i="1"/>
  <c r="AD1351" i="1"/>
  <c r="AE1351" i="1"/>
  <c r="AF1351" i="1"/>
  <c r="AG1351" i="1"/>
  <c r="AH1351" i="1"/>
  <c r="AQ1351" i="1"/>
  <c r="L1351" i="1" s="1"/>
  <c r="I1352" i="1"/>
  <c r="E1352" i="1" s="1"/>
  <c r="D1352" i="1" s="1"/>
  <c r="M1352" i="1"/>
  <c r="O1352" i="1"/>
  <c r="AA1352" i="1"/>
  <c r="AD1352" i="1"/>
  <c r="AE1352" i="1"/>
  <c r="AF1352" i="1"/>
  <c r="AG1352" i="1"/>
  <c r="AH1352" i="1"/>
  <c r="AQ1352" i="1"/>
  <c r="L1352" i="1" s="1"/>
  <c r="I1353" i="1"/>
  <c r="E1353" i="1" s="1"/>
  <c r="D1353" i="1" s="1"/>
  <c r="M1353" i="1"/>
  <c r="O1353" i="1"/>
  <c r="AA1353" i="1"/>
  <c r="AD1353" i="1"/>
  <c r="AE1353" i="1"/>
  <c r="AF1353" i="1"/>
  <c r="AG1353" i="1"/>
  <c r="AH1353" i="1"/>
  <c r="AQ1353" i="1"/>
  <c r="L1353" i="1" s="1"/>
  <c r="I1354" i="1"/>
  <c r="E1354" i="1" s="1"/>
  <c r="D1354" i="1" s="1"/>
  <c r="M1354" i="1"/>
  <c r="O1354" i="1"/>
  <c r="AA1354" i="1"/>
  <c r="AD1354" i="1"/>
  <c r="AE1354" i="1"/>
  <c r="AF1354" i="1"/>
  <c r="AG1354" i="1"/>
  <c r="AH1354" i="1"/>
  <c r="AQ1354" i="1"/>
  <c r="L1354" i="1" s="1"/>
  <c r="I1355" i="1"/>
  <c r="E1355" i="1" s="1"/>
  <c r="D1355" i="1" s="1"/>
  <c r="M1355" i="1"/>
  <c r="O1355" i="1"/>
  <c r="AA1355" i="1"/>
  <c r="AD1355" i="1"/>
  <c r="AE1355" i="1"/>
  <c r="AF1355" i="1"/>
  <c r="AG1355" i="1"/>
  <c r="AH1355" i="1"/>
  <c r="AQ1355" i="1"/>
  <c r="L1355" i="1" s="1"/>
  <c r="I1356" i="1"/>
  <c r="E1356" i="1" s="1"/>
  <c r="D1356" i="1" s="1"/>
  <c r="M1356" i="1"/>
  <c r="O1356" i="1"/>
  <c r="AA1356" i="1"/>
  <c r="AD1356" i="1"/>
  <c r="AE1356" i="1"/>
  <c r="AF1356" i="1"/>
  <c r="AG1356" i="1"/>
  <c r="AH1356" i="1"/>
  <c r="AQ1356" i="1"/>
  <c r="L1356" i="1" s="1"/>
  <c r="I1357" i="1"/>
  <c r="E1357" i="1" s="1"/>
  <c r="D1357" i="1" s="1"/>
  <c r="M1357" i="1"/>
  <c r="O1357" i="1"/>
  <c r="AA1357" i="1"/>
  <c r="AD1357" i="1"/>
  <c r="AE1357" i="1"/>
  <c r="AF1357" i="1"/>
  <c r="AG1357" i="1"/>
  <c r="AH1357" i="1"/>
  <c r="AQ1357" i="1"/>
  <c r="L1357" i="1" s="1"/>
  <c r="I1358" i="1"/>
  <c r="E1358" i="1" s="1"/>
  <c r="D1358" i="1" s="1"/>
  <c r="M1358" i="1"/>
  <c r="O1358" i="1"/>
  <c r="AA1358" i="1"/>
  <c r="AD1358" i="1"/>
  <c r="AE1358" i="1"/>
  <c r="AF1358" i="1"/>
  <c r="AG1358" i="1"/>
  <c r="AH1358" i="1"/>
  <c r="AQ1358" i="1"/>
  <c r="L1358" i="1" s="1"/>
  <c r="I1359" i="1"/>
  <c r="E1359" i="1" s="1"/>
  <c r="D1359" i="1" s="1"/>
  <c r="M1359" i="1"/>
  <c r="O1359" i="1"/>
  <c r="AA1359" i="1"/>
  <c r="AD1359" i="1"/>
  <c r="AE1359" i="1"/>
  <c r="AF1359" i="1"/>
  <c r="AG1359" i="1"/>
  <c r="AH1359" i="1"/>
  <c r="AQ1359" i="1"/>
  <c r="L1359" i="1" s="1"/>
  <c r="I1360" i="1"/>
  <c r="E1360" i="1" s="1"/>
  <c r="D1360" i="1" s="1"/>
  <c r="M1360" i="1"/>
  <c r="O1360" i="1"/>
  <c r="AA1360" i="1"/>
  <c r="AD1360" i="1"/>
  <c r="AE1360" i="1"/>
  <c r="AF1360" i="1"/>
  <c r="AG1360" i="1"/>
  <c r="AH1360" i="1"/>
  <c r="AQ1360" i="1"/>
  <c r="L1360" i="1" s="1"/>
  <c r="I1361" i="1"/>
  <c r="E1361" i="1" s="1"/>
  <c r="D1361" i="1" s="1"/>
  <c r="M1361" i="1"/>
  <c r="O1361" i="1"/>
  <c r="AA1361" i="1"/>
  <c r="AD1361" i="1"/>
  <c r="AE1361" i="1"/>
  <c r="AF1361" i="1"/>
  <c r="AG1361" i="1"/>
  <c r="AH1361" i="1"/>
  <c r="AQ1361" i="1"/>
  <c r="L1361" i="1" s="1"/>
  <c r="I1362" i="1"/>
  <c r="E1362" i="1" s="1"/>
  <c r="D1362" i="1" s="1"/>
  <c r="M1362" i="1"/>
  <c r="O1362" i="1"/>
  <c r="AA1362" i="1"/>
  <c r="AD1362" i="1"/>
  <c r="AE1362" i="1"/>
  <c r="AF1362" i="1"/>
  <c r="AG1362" i="1"/>
  <c r="AH1362" i="1"/>
  <c r="AQ1362" i="1"/>
  <c r="L1362" i="1" s="1"/>
  <c r="I1363" i="1"/>
  <c r="E1363" i="1" s="1"/>
  <c r="D1363" i="1" s="1"/>
  <c r="M1363" i="1"/>
  <c r="O1363" i="1"/>
  <c r="AA1363" i="1"/>
  <c r="AD1363" i="1"/>
  <c r="AE1363" i="1"/>
  <c r="AF1363" i="1"/>
  <c r="AG1363" i="1"/>
  <c r="AH1363" i="1"/>
  <c r="AQ1363" i="1"/>
  <c r="L1363" i="1" s="1"/>
  <c r="I1364" i="1"/>
  <c r="E1364" i="1" s="1"/>
  <c r="D1364" i="1" s="1"/>
  <c r="M1364" i="1"/>
  <c r="O1364" i="1"/>
  <c r="AA1364" i="1"/>
  <c r="AD1364" i="1"/>
  <c r="AE1364" i="1"/>
  <c r="AF1364" i="1"/>
  <c r="AG1364" i="1"/>
  <c r="AH1364" i="1"/>
  <c r="AQ1364" i="1"/>
  <c r="L1364" i="1" s="1"/>
  <c r="I1365" i="1"/>
  <c r="E1365" i="1" s="1"/>
  <c r="D1365" i="1" s="1"/>
  <c r="M1365" i="1"/>
  <c r="O1365" i="1"/>
  <c r="AA1365" i="1"/>
  <c r="AD1365" i="1"/>
  <c r="AE1365" i="1"/>
  <c r="AF1365" i="1"/>
  <c r="AG1365" i="1"/>
  <c r="AH1365" i="1"/>
  <c r="AQ1365" i="1"/>
  <c r="L1365" i="1" s="1"/>
  <c r="I1366" i="1"/>
  <c r="E1366" i="1" s="1"/>
  <c r="D1366" i="1" s="1"/>
  <c r="M1366" i="1"/>
  <c r="O1366" i="1"/>
  <c r="AA1366" i="1"/>
  <c r="AD1366" i="1"/>
  <c r="AE1366" i="1"/>
  <c r="AF1366" i="1"/>
  <c r="AG1366" i="1"/>
  <c r="AH1366" i="1"/>
  <c r="AQ1366" i="1"/>
  <c r="L1366" i="1" s="1"/>
  <c r="I1367" i="1"/>
  <c r="E1367" i="1" s="1"/>
  <c r="D1367" i="1" s="1"/>
  <c r="M1367" i="1"/>
  <c r="O1367" i="1"/>
  <c r="AA1367" i="1"/>
  <c r="AD1367" i="1"/>
  <c r="AE1367" i="1"/>
  <c r="AF1367" i="1"/>
  <c r="AG1367" i="1"/>
  <c r="AH1367" i="1"/>
  <c r="AQ1367" i="1"/>
  <c r="L1367" i="1" s="1"/>
  <c r="I1368" i="1"/>
  <c r="E1368" i="1" s="1"/>
  <c r="D1368" i="1" s="1"/>
  <c r="M1368" i="1"/>
  <c r="O1368" i="1"/>
  <c r="AA1368" i="1"/>
  <c r="AD1368" i="1"/>
  <c r="AE1368" i="1"/>
  <c r="AF1368" i="1"/>
  <c r="AG1368" i="1"/>
  <c r="AH1368" i="1"/>
  <c r="AQ1368" i="1"/>
  <c r="L1368" i="1" s="1"/>
  <c r="I1369" i="1"/>
  <c r="E1369" i="1" s="1"/>
  <c r="D1369" i="1" s="1"/>
  <c r="M1369" i="1"/>
  <c r="O1369" i="1"/>
  <c r="AA1369" i="1"/>
  <c r="AD1369" i="1"/>
  <c r="AE1369" i="1"/>
  <c r="AF1369" i="1"/>
  <c r="AG1369" i="1"/>
  <c r="AH1369" i="1"/>
  <c r="AQ1369" i="1"/>
  <c r="L1369" i="1" s="1"/>
  <c r="I1370" i="1"/>
  <c r="E1370" i="1" s="1"/>
  <c r="D1370" i="1" s="1"/>
  <c r="M1370" i="1"/>
  <c r="O1370" i="1"/>
  <c r="AA1370" i="1"/>
  <c r="AD1370" i="1"/>
  <c r="AE1370" i="1"/>
  <c r="AF1370" i="1"/>
  <c r="AG1370" i="1"/>
  <c r="AH1370" i="1"/>
  <c r="AQ1370" i="1"/>
  <c r="L1370" i="1" s="1"/>
  <c r="I1371" i="1"/>
  <c r="E1371" i="1" s="1"/>
  <c r="D1371" i="1" s="1"/>
  <c r="M1371" i="1"/>
  <c r="O1371" i="1"/>
  <c r="AA1371" i="1"/>
  <c r="AD1371" i="1"/>
  <c r="AE1371" i="1"/>
  <c r="AF1371" i="1"/>
  <c r="AG1371" i="1"/>
  <c r="AH1371" i="1"/>
  <c r="AQ1371" i="1"/>
  <c r="L1371" i="1" s="1"/>
  <c r="I1372" i="1"/>
  <c r="E1372" i="1" s="1"/>
  <c r="D1372" i="1" s="1"/>
  <c r="M1372" i="1"/>
  <c r="O1372" i="1"/>
  <c r="AA1372" i="1"/>
  <c r="AD1372" i="1"/>
  <c r="AE1372" i="1"/>
  <c r="AF1372" i="1"/>
  <c r="AG1372" i="1"/>
  <c r="AH1372" i="1"/>
  <c r="AQ1372" i="1"/>
  <c r="L1372" i="1" s="1"/>
  <c r="I1373" i="1"/>
  <c r="E1373" i="1" s="1"/>
  <c r="D1373" i="1" s="1"/>
  <c r="M1373" i="1"/>
  <c r="O1373" i="1"/>
  <c r="AA1373" i="1"/>
  <c r="AD1373" i="1"/>
  <c r="AE1373" i="1"/>
  <c r="AF1373" i="1"/>
  <c r="AG1373" i="1"/>
  <c r="AH1373" i="1"/>
  <c r="AQ1373" i="1"/>
  <c r="L1373" i="1" s="1"/>
  <c r="I1374" i="1"/>
  <c r="E1374" i="1" s="1"/>
  <c r="D1374" i="1" s="1"/>
  <c r="M1374" i="1"/>
  <c r="O1374" i="1"/>
  <c r="AA1374" i="1"/>
  <c r="AD1374" i="1"/>
  <c r="AE1374" i="1"/>
  <c r="AF1374" i="1"/>
  <c r="AG1374" i="1"/>
  <c r="AH1374" i="1"/>
  <c r="AQ1374" i="1"/>
  <c r="L1374" i="1" s="1"/>
  <c r="I1375" i="1"/>
  <c r="E1375" i="1" s="1"/>
  <c r="D1375" i="1" s="1"/>
  <c r="M1375" i="1"/>
  <c r="O1375" i="1"/>
  <c r="AA1375" i="1"/>
  <c r="AD1375" i="1"/>
  <c r="AE1375" i="1"/>
  <c r="AF1375" i="1"/>
  <c r="AG1375" i="1"/>
  <c r="AH1375" i="1"/>
  <c r="AQ1375" i="1"/>
  <c r="L1375" i="1" s="1"/>
  <c r="I1376" i="1"/>
  <c r="E1376" i="1" s="1"/>
  <c r="D1376" i="1" s="1"/>
  <c r="M1376" i="1"/>
  <c r="O1376" i="1"/>
  <c r="AA1376" i="1"/>
  <c r="AD1376" i="1"/>
  <c r="AE1376" i="1"/>
  <c r="AF1376" i="1"/>
  <c r="AG1376" i="1"/>
  <c r="AH1376" i="1"/>
  <c r="AQ1376" i="1"/>
  <c r="L1376" i="1" s="1"/>
  <c r="I1377" i="1"/>
  <c r="E1377" i="1" s="1"/>
  <c r="D1377" i="1" s="1"/>
  <c r="M1377" i="1"/>
  <c r="O1377" i="1"/>
  <c r="AA1377" i="1"/>
  <c r="AD1377" i="1"/>
  <c r="AE1377" i="1"/>
  <c r="AF1377" i="1"/>
  <c r="AG1377" i="1"/>
  <c r="AH1377" i="1"/>
  <c r="AQ1377" i="1"/>
  <c r="L1377" i="1" s="1"/>
  <c r="I1378" i="1"/>
  <c r="E1378" i="1" s="1"/>
  <c r="D1378" i="1" s="1"/>
  <c r="M1378" i="1"/>
  <c r="O1378" i="1"/>
  <c r="AA1378" i="1"/>
  <c r="AD1378" i="1"/>
  <c r="AE1378" i="1"/>
  <c r="AF1378" i="1"/>
  <c r="AG1378" i="1"/>
  <c r="AH1378" i="1"/>
  <c r="AQ1378" i="1"/>
  <c r="L1378" i="1" s="1"/>
  <c r="I1379" i="1"/>
  <c r="E1379" i="1" s="1"/>
  <c r="D1379" i="1" s="1"/>
  <c r="M1379" i="1"/>
  <c r="O1379" i="1"/>
  <c r="AA1379" i="1"/>
  <c r="AD1379" i="1"/>
  <c r="AE1379" i="1"/>
  <c r="AF1379" i="1"/>
  <c r="AG1379" i="1"/>
  <c r="AH1379" i="1"/>
  <c r="AQ1379" i="1"/>
  <c r="L1379" i="1" s="1"/>
  <c r="I1380" i="1"/>
  <c r="E1380" i="1" s="1"/>
  <c r="D1380" i="1" s="1"/>
  <c r="M1380" i="1"/>
  <c r="O1380" i="1"/>
  <c r="AA1380" i="1"/>
  <c r="AD1380" i="1"/>
  <c r="AE1380" i="1"/>
  <c r="AF1380" i="1"/>
  <c r="AG1380" i="1"/>
  <c r="AH1380" i="1"/>
  <c r="AQ1380" i="1"/>
  <c r="L1380" i="1" s="1"/>
  <c r="I1381" i="1"/>
  <c r="E1381" i="1" s="1"/>
  <c r="D1381" i="1" s="1"/>
  <c r="M1381" i="1"/>
  <c r="O1381" i="1"/>
  <c r="AA1381" i="1"/>
  <c r="AD1381" i="1"/>
  <c r="AE1381" i="1"/>
  <c r="AF1381" i="1"/>
  <c r="AG1381" i="1"/>
  <c r="AH1381" i="1"/>
  <c r="AQ1381" i="1"/>
  <c r="L1381" i="1" s="1"/>
  <c r="I1382" i="1"/>
  <c r="E1382" i="1" s="1"/>
  <c r="D1382" i="1" s="1"/>
  <c r="M1382" i="1"/>
  <c r="O1382" i="1"/>
  <c r="AA1382" i="1"/>
  <c r="AD1382" i="1"/>
  <c r="AE1382" i="1"/>
  <c r="AF1382" i="1"/>
  <c r="AG1382" i="1"/>
  <c r="AH1382" i="1"/>
  <c r="AQ1382" i="1"/>
  <c r="L1382" i="1" s="1"/>
  <c r="I1383" i="1"/>
  <c r="E1383" i="1" s="1"/>
  <c r="D1383" i="1" s="1"/>
  <c r="M1383" i="1"/>
  <c r="O1383" i="1"/>
  <c r="AA1383" i="1"/>
  <c r="AD1383" i="1"/>
  <c r="AE1383" i="1"/>
  <c r="AF1383" i="1"/>
  <c r="AG1383" i="1"/>
  <c r="AH1383" i="1"/>
  <c r="AQ1383" i="1"/>
  <c r="L1383" i="1" s="1"/>
  <c r="I1384" i="1"/>
  <c r="E1384" i="1" s="1"/>
  <c r="D1384" i="1" s="1"/>
  <c r="M1384" i="1"/>
  <c r="O1384" i="1"/>
  <c r="AA1384" i="1"/>
  <c r="AD1384" i="1"/>
  <c r="AE1384" i="1"/>
  <c r="AF1384" i="1"/>
  <c r="AG1384" i="1"/>
  <c r="AH1384" i="1"/>
  <c r="AQ1384" i="1"/>
  <c r="L1384" i="1" s="1"/>
  <c r="I1385" i="1"/>
  <c r="E1385" i="1" s="1"/>
  <c r="D1385" i="1" s="1"/>
  <c r="M1385" i="1"/>
  <c r="O1385" i="1"/>
  <c r="AA1385" i="1"/>
  <c r="AD1385" i="1"/>
  <c r="AE1385" i="1"/>
  <c r="AF1385" i="1"/>
  <c r="AG1385" i="1"/>
  <c r="AH1385" i="1"/>
  <c r="AQ1385" i="1"/>
  <c r="L1385" i="1" s="1"/>
  <c r="I1386" i="1"/>
  <c r="E1386" i="1" s="1"/>
  <c r="D1386" i="1" s="1"/>
  <c r="M1386" i="1"/>
  <c r="O1386" i="1"/>
  <c r="AA1386" i="1"/>
  <c r="AD1386" i="1"/>
  <c r="AE1386" i="1"/>
  <c r="AF1386" i="1"/>
  <c r="AG1386" i="1"/>
  <c r="AH1386" i="1"/>
  <c r="AQ1386" i="1"/>
  <c r="L1386" i="1" s="1"/>
  <c r="I1387" i="1"/>
  <c r="E1387" i="1" s="1"/>
  <c r="D1387" i="1" s="1"/>
  <c r="M1387" i="1"/>
  <c r="O1387" i="1"/>
  <c r="AA1387" i="1"/>
  <c r="AD1387" i="1"/>
  <c r="AE1387" i="1"/>
  <c r="AF1387" i="1"/>
  <c r="AG1387" i="1"/>
  <c r="AH1387" i="1"/>
  <c r="AQ1387" i="1"/>
  <c r="L1387" i="1" s="1"/>
  <c r="I1388" i="1"/>
  <c r="E1388" i="1" s="1"/>
  <c r="D1388" i="1" s="1"/>
  <c r="M1388" i="1"/>
  <c r="O1388" i="1"/>
  <c r="AA1388" i="1"/>
  <c r="AD1388" i="1"/>
  <c r="AE1388" i="1"/>
  <c r="AF1388" i="1"/>
  <c r="AG1388" i="1"/>
  <c r="AH1388" i="1"/>
  <c r="AQ1388" i="1"/>
  <c r="L1388" i="1" s="1"/>
  <c r="I1389" i="1"/>
  <c r="E1389" i="1" s="1"/>
  <c r="D1389" i="1" s="1"/>
  <c r="M1389" i="1"/>
  <c r="O1389" i="1"/>
  <c r="AA1389" i="1"/>
  <c r="AD1389" i="1"/>
  <c r="AE1389" i="1"/>
  <c r="AF1389" i="1"/>
  <c r="AG1389" i="1"/>
  <c r="AH1389" i="1"/>
  <c r="AQ1389" i="1"/>
  <c r="L1389" i="1" s="1"/>
  <c r="I1390" i="1"/>
  <c r="E1390" i="1" s="1"/>
  <c r="D1390" i="1" s="1"/>
  <c r="M1390" i="1"/>
  <c r="O1390" i="1"/>
  <c r="AA1390" i="1"/>
  <c r="AD1390" i="1"/>
  <c r="AE1390" i="1"/>
  <c r="AF1390" i="1"/>
  <c r="AG1390" i="1"/>
  <c r="AH1390" i="1"/>
  <c r="AQ1390" i="1"/>
  <c r="L1390" i="1" s="1"/>
  <c r="I1391" i="1"/>
  <c r="E1391" i="1" s="1"/>
  <c r="D1391" i="1" s="1"/>
  <c r="M1391" i="1"/>
  <c r="O1391" i="1"/>
  <c r="AA1391" i="1"/>
  <c r="AD1391" i="1"/>
  <c r="AE1391" i="1"/>
  <c r="AF1391" i="1"/>
  <c r="AG1391" i="1"/>
  <c r="AH1391" i="1"/>
  <c r="AQ1391" i="1"/>
  <c r="L1391" i="1" s="1"/>
  <c r="I1392" i="1"/>
  <c r="E1392" i="1" s="1"/>
  <c r="D1392" i="1" s="1"/>
  <c r="M1392" i="1"/>
  <c r="O1392" i="1"/>
  <c r="AA1392" i="1"/>
  <c r="AD1392" i="1"/>
  <c r="AE1392" i="1"/>
  <c r="AF1392" i="1"/>
  <c r="AG1392" i="1"/>
  <c r="AH1392" i="1"/>
  <c r="AQ1392" i="1"/>
  <c r="L1392" i="1" s="1"/>
  <c r="I1393" i="1"/>
  <c r="E1393" i="1" s="1"/>
  <c r="D1393" i="1" s="1"/>
  <c r="M1393" i="1"/>
  <c r="O1393" i="1"/>
  <c r="AA1393" i="1"/>
  <c r="AD1393" i="1"/>
  <c r="AE1393" i="1"/>
  <c r="AF1393" i="1"/>
  <c r="AG1393" i="1"/>
  <c r="AH1393" i="1"/>
  <c r="AQ1393" i="1"/>
  <c r="L1393" i="1" s="1"/>
  <c r="I1394" i="1"/>
  <c r="E1394" i="1" s="1"/>
  <c r="D1394" i="1" s="1"/>
  <c r="M1394" i="1"/>
  <c r="O1394" i="1"/>
  <c r="AA1394" i="1"/>
  <c r="AD1394" i="1"/>
  <c r="AE1394" i="1"/>
  <c r="AF1394" i="1"/>
  <c r="AG1394" i="1"/>
  <c r="AH1394" i="1"/>
  <c r="AQ1394" i="1"/>
  <c r="L1394" i="1" s="1"/>
  <c r="I1395" i="1"/>
  <c r="E1395" i="1" s="1"/>
  <c r="D1395" i="1" s="1"/>
  <c r="M1395" i="1"/>
  <c r="O1395" i="1"/>
  <c r="AA1395" i="1"/>
  <c r="AD1395" i="1"/>
  <c r="AE1395" i="1"/>
  <c r="AF1395" i="1"/>
  <c r="AG1395" i="1"/>
  <c r="AH1395" i="1"/>
  <c r="AQ1395" i="1"/>
  <c r="L1395" i="1" s="1"/>
  <c r="I1396" i="1"/>
  <c r="E1396" i="1" s="1"/>
  <c r="D1396" i="1" s="1"/>
  <c r="M1396" i="1"/>
  <c r="O1396" i="1"/>
  <c r="AA1396" i="1"/>
  <c r="AD1396" i="1"/>
  <c r="AE1396" i="1"/>
  <c r="AF1396" i="1"/>
  <c r="AG1396" i="1"/>
  <c r="AH1396" i="1"/>
  <c r="AQ1396" i="1"/>
  <c r="L1396" i="1" s="1"/>
  <c r="I1397" i="1"/>
  <c r="E1397" i="1" s="1"/>
  <c r="D1397" i="1" s="1"/>
  <c r="M1397" i="1"/>
  <c r="O1397" i="1"/>
  <c r="AA1397" i="1"/>
  <c r="AD1397" i="1"/>
  <c r="AE1397" i="1"/>
  <c r="AF1397" i="1"/>
  <c r="AG1397" i="1"/>
  <c r="AH1397" i="1"/>
  <c r="AQ1397" i="1"/>
  <c r="L1397" i="1" s="1"/>
  <c r="I1398" i="1"/>
  <c r="E1398" i="1" s="1"/>
  <c r="D1398" i="1" s="1"/>
  <c r="M1398" i="1"/>
  <c r="O1398" i="1"/>
  <c r="AA1398" i="1"/>
  <c r="AD1398" i="1"/>
  <c r="AE1398" i="1"/>
  <c r="AF1398" i="1"/>
  <c r="AG1398" i="1"/>
  <c r="AH1398" i="1"/>
  <c r="AQ1398" i="1"/>
  <c r="L1398" i="1" s="1"/>
  <c r="I1399" i="1"/>
  <c r="E1399" i="1" s="1"/>
  <c r="D1399" i="1" s="1"/>
  <c r="M1399" i="1"/>
  <c r="O1399" i="1"/>
  <c r="AA1399" i="1"/>
  <c r="AD1399" i="1"/>
  <c r="AE1399" i="1"/>
  <c r="AF1399" i="1"/>
  <c r="AG1399" i="1"/>
  <c r="AH1399" i="1"/>
  <c r="AQ1399" i="1"/>
  <c r="L1399" i="1" s="1"/>
  <c r="I1400" i="1"/>
  <c r="E1400" i="1" s="1"/>
  <c r="D1400" i="1" s="1"/>
  <c r="M1400" i="1"/>
  <c r="O1400" i="1"/>
  <c r="AA1400" i="1"/>
  <c r="AD1400" i="1"/>
  <c r="AE1400" i="1"/>
  <c r="AF1400" i="1"/>
  <c r="AG1400" i="1"/>
  <c r="AH1400" i="1"/>
  <c r="AQ1400" i="1"/>
  <c r="L1400" i="1" s="1"/>
  <c r="I1401" i="1"/>
  <c r="E1401" i="1" s="1"/>
  <c r="D1401" i="1" s="1"/>
  <c r="M1401" i="1"/>
  <c r="O1401" i="1"/>
  <c r="AA1401" i="1"/>
  <c r="AD1401" i="1"/>
  <c r="AE1401" i="1"/>
  <c r="AF1401" i="1"/>
  <c r="AG1401" i="1"/>
  <c r="AH1401" i="1"/>
  <c r="AQ1401" i="1"/>
  <c r="L1401" i="1" s="1"/>
  <c r="I1402" i="1"/>
  <c r="E1402" i="1" s="1"/>
  <c r="D1402" i="1" s="1"/>
  <c r="M1402" i="1"/>
  <c r="O1402" i="1"/>
  <c r="AA1402" i="1"/>
  <c r="AD1402" i="1"/>
  <c r="AE1402" i="1"/>
  <c r="AF1402" i="1"/>
  <c r="AG1402" i="1"/>
  <c r="AH1402" i="1"/>
  <c r="AQ1402" i="1"/>
  <c r="L1402" i="1" s="1"/>
  <c r="I1403" i="1"/>
  <c r="E1403" i="1" s="1"/>
  <c r="D1403" i="1" s="1"/>
  <c r="M1403" i="1"/>
  <c r="O1403" i="1"/>
  <c r="AA1403" i="1"/>
  <c r="AD1403" i="1"/>
  <c r="AE1403" i="1"/>
  <c r="AF1403" i="1"/>
  <c r="AG1403" i="1"/>
  <c r="AH1403" i="1"/>
  <c r="AQ1403" i="1"/>
  <c r="L1403" i="1" s="1"/>
  <c r="I1404" i="1"/>
  <c r="E1404" i="1" s="1"/>
  <c r="D1404" i="1" s="1"/>
  <c r="M1404" i="1"/>
  <c r="O1404" i="1"/>
  <c r="AA1404" i="1"/>
  <c r="AD1404" i="1"/>
  <c r="AE1404" i="1"/>
  <c r="AF1404" i="1"/>
  <c r="AG1404" i="1"/>
  <c r="AH1404" i="1"/>
  <c r="AQ1404" i="1"/>
  <c r="L1404" i="1" s="1"/>
  <c r="I1405" i="1"/>
  <c r="E1405" i="1" s="1"/>
  <c r="D1405" i="1" s="1"/>
  <c r="M1405" i="1"/>
  <c r="O1405" i="1"/>
  <c r="AA1405" i="1"/>
  <c r="AD1405" i="1"/>
  <c r="AE1405" i="1"/>
  <c r="AF1405" i="1"/>
  <c r="AG1405" i="1"/>
  <c r="AH1405" i="1"/>
  <c r="AQ1405" i="1"/>
  <c r="L1405" i="1" s="1"/>
  <c r="I1406" i="1"/>
  <c r="E1406" i="1" s="1"/>
  <c r="D1406" i="1" s="1"/>
  <c r="M1406" i="1"/>
  <c r="O1406" i="1"/>
  <c r="AA1406" i="1"/>
  <c r="AD1406" i="1"/>
  <c r="AE1406" i="1"/>
  <c r="AF1406" i="1"/>
  <c r="AG1406" i="1"/>
  <c r="AH1406" i="1"/>
  <c r="AQ1406" i="1"/>
  <c r="L1406" i="1" s="1"/>
  <c r="I1407" i="1"/>
  <c r="E1407" i="1" s="1"/>
  <c r="D1407" i="1" s="1"/>
  <c r="M1407" i="1"/>
  <c r="O1407" i="1"/>
  <c r="AA1407" i="1"/>
  <c r="AD1407" i="1"/>
  <c r="AE1407" i="1"/>
  <c r="AF1407" i="1"/>
  <c r="AG1407" i="1"/>
  <c r="AH1407" i="1"/>
  <c r="AQ1407" i="1"/>
  <c r="L1407" i="1" s="1"/>
  <c r="I1408" i="1"/>
  <c r="E1408" i="1" s="1"/>
  <c r="D1408" i="1" s="1"/>
  <c r="M1408" i="1"/>
  <c r="O1408" i="1"/>
  <c r="AA1408" i="1"/>
  <c r="AD1408" i="1"/>
  <c r="AE1408" i="1"/>
  <c r="AF1408" i="1"/>
  <c r="AG1408" i="1"/>
  <c r="AH1408" i="1"/>
  <c r="AQ1408" i="1"/>
  <c r="L1408" i="1" s="1"/>
  <c r="I1409" i="1"/>
  <c r="E1409" i="1" s="1"/>
  <c r="D1409" i="1" s="1"/>
  <c r="M1409" i="1"/>
  <c r="O1409" i="1"/>
  <c r="AA1409" i="1"/>
  <c r="AD1409" i="1"/>
  <c r="AE1409" i="1"/>
  <c r="AF1409" i="1"/>
  <c r="AG1409" i="1"/>
  <c r="AH1409" i="1"/>
  <c r="AQ1409" i="1"/>
  <c r="L1409" i="1" s="1"/>
  <c r="I1410" i="1"/>
  <c r="E1410" i="1" s="1"/>
  <c r="D1410" i="1" s="1"/>
  <c r="M1410" i="1"/>
  <c r="O1410" i="1"/>
  <c r="AA1410" i="1"/>
  <c r="AD1410" i="1"/>
  <c r="AE1410" i="1"/>
  <c r="AF1410" i="1"/>
  <c r="AG1410" i="1"/>
  <c r="AH1410" i="1"/>
  <c r="AQ1410" i="1"/>
  <c r="L1410" i="1" s="1"/>
  <c r="I1411" i="1"/>
  <c r="E1411" i="1" s="1"/>
  <c r="D1411" i="1" s="1"/>
  <c r="M1411" i="1"/>
  <c r="O1411" i="1"/>
  <c r="AA1411" i="1"/>
  <c r="AD1411" i="1"/>
  <c r="AE1411" i="1"/>
  <c r="AF1411" i="1"/>
  <c r="AG1411" i="1"/>
  <c r="AH1411" i="1"/>
  <c r="AQ1411" i="1"/>
  <c r="L1411" i="1" s="1"/>
  <c r="I1412" i="1"/>
  <c r="E1412" i="1" s="1"/>
  <c r="D1412" i="1" s="1"/>
  <c r="M1412" i="1"/>
  <c r="O1412" i="1"/>
  <c r="AA1412" i="1"/>
  <c r="AD1412" i="1"/>
  <c r="AE1412" i="1"/>
  <c r="AF1412" i="1"/>
  <c r="AG1412" i="1"/>
  <c r="AH1412" i="1"/>
  <c r="AQ1412" i="1"/>
  <c r="L1412" i="1" s="1"/>
  <c r="I1413" i="1"/>
  <c r="E1413" i="1" s="1"/>
  <c r="D1413" i="1" s="1"/>
  <c r="M1413" i="1"/>
  <c r="O1413" i="1"/>
  <c r="AA1413" i="1"/>
  <c r="AD1413" i="1"/>
  <c r="AE1413" i="1"/>
  <c r="AF1413" i="1"/>
  <c r="AG1413" i="1"/>
  <c r="AH1413" i="1"/>
  <c r="AQ1413" i="1"/>
  <c r="L1413" i="1" s="1"/>
  <c r="I1414" i="1"/>
  <c r="E1414" i="1" s="1"/>
  <c r="D1414" i="1" s="1"/>
  <c r="M1414" i="1"/>
  <c r="O1414" i="1"/>
  <c r="AA1414" i="1"/>
  <c r="AD1414" i="1"/>
  <c r="AE1414" i="1"/>
  <c r="AF1414" i="1"/>
  <c r="AG1414" i="1"/>
  <c r="AH1414" i="1"/>
  <c r="AQ1414" i="1"/>
  <c r="L1414" i="1" s="1"/>
  <c r="I1415" i="1"/>
  <c r="E1415" i="1" s="1"/>
  <c r="D1415" i="1" s="1"/>
  <c r="M1415" i="1"/>
  <c r="O1415" i="1"/>
  <c r="AA1415" i="1"/>
  <c r="AD1415" i="1"/>
  <c r="AE1415" i="1"/>
  <c r="AF1415" i="1"/>
  <c r="AG1415" i="1"/>
  <c r="AH1415" i="1"/>
  <c r="AQ1415" i="1"/>
  <c r="L1415" i="1" s="1"/>
  <c r="I1416" i="1"/>
  <c r="E1416" i="1" s="1"/>
  <c r="D1416" i="1" s="1"/>
  <c r="M1416" i="1"/>
  <c r="O1416" i="1"/>
  <c r="AA1416" i="1"/>
  <c r="AD1416" i="1"/>
  <c r="AE1416" i="1"/>
  <c r="AF1416" i="1"/>
  <c r="AG1416" i="1"/>
  <c r="AH1416" i="1"/>
  <c r="AQ1416" i="1"/>
  <c r="L1416" i="1" s="1"/>
  <c r="I1417" i="1"/>
  <c r="E1417" i="1" s="1"/>
  <c r="D1417" i="1" s="1"/>
  <c r="M1417" i="1"/>
  <c r="O1417" i="1"/>
  <c r="AA1417" i="1"/>
  <c r="AD1417" i="1"/>
  <c r="AE1417" i="1"/>
  <c r="AF1417" i="1"/>
  <c r="AG1417" i="1"/>
  <c r="AH1417" i="1"/>
  <c r="AQ1417" i="1"/>
  <c r="L1417" i="1" s="1"/>
  <c r="I1418" i="1"/>
  <c r="E1418" i="1" s="1"/>
  <c r="D1418" i="1" s="1"/>
  <c r="M1418" i="1"/>
  <c r="O1418" i="1"/>
  <c r="AA1418" i="1"/>
  <c r="AD1418" i="1"/>
  <c r="AE1418" i="1"/>
  <c r="AF1418" i="1"/>
  <c r="AG1418" i="1"/>
  <c r="AH1418" i="1"/>
  <c r="AQ1418" i="1"/>
  <c r="L1418" i="1" s="1"/>
  <c r="I1419" i="1"/>
  <c r="E1419" i="1" s="1"/>
  <c r="D1419" i="1" s="1"/>
  <c r="M1419" i="1"/>
  <c r="O1419" i="1"/>
  <c r="AA1419" i="1"/>
  <c r="AD1419" i="1"/>
  <c r="AE1419" i="1"/>
  <c r="AF1419" i="1"/>
  <c r="AG1419" i="1"/>
  <c r="AH1419" i="1"/>
  <c r="AQ1419" i="1"/>
  <c r="L1419" i="1" s="1"/>
  <c r="I1420" i="1"/>
  <c r="E1420" i="1" s="1"/>
  <c r="D1420" i="1" s="1"/>
  <c r="M1420" i="1"/>
  <c r="O1420" i="1"/>
  <c r="AA1420" i="1"/>
  <c r="AD1420" i="1"/>
  <c r="AE1420" i="1"/>
  <c r="AF1420" i="1"/>
  <c r="AG1420" i="1"/>
  <c r="AH1420" i="1"/>
  <c r="AQ1420" i="1"/>
  <c r="L1420" i="1" s="1"/>
  <c r="I1421" i="1"/>
  <c r="E1421" i="1" s="1"/>
  <c r="D1421" i="1" s="1"/>
  <c r="M1421" i="1"/>
  <c r="O1421" i="1"/>
  <c r="AA1421" i="1"/>
  <c r="AD1421" i="1"/>
  <c r="AE1421" i="1"/>
  <c r="AF1421" i="1"/>
  <c r="AG1421" i="1"/>
  <c r="AH1421" i="1"/>
  <c r="AQ1421" i="1"/>
  <c r="L1421" i="1" s="1"/>
  <c r="I1422" i="1"/>
  <c r="E1422" i="1" s="1"/>
  <c r="D1422" i="1" s="1"/>
  <c r="M1422" i="1"/>
  <c r="O1422" i="1"/>
  <c r="AA1422" i="1"/>
  <c r="AD1422" i="1"/>
  <c r="AE1422" i="1"/>
  <c r="AF1422" i="1"/>
  <c r="AG1422" i="1"/>
  <c r="AH1422" i="1"/>
  <c r="AQ1422" i="1"/>
  <c r="L1422" i="1" s="1"/>
  <c r="I1423" i="1"/>
  <c r="E1423" i="1" s="1"/>
  <c r="D1423" i="1" s="1"/>
  <c r="M1423" i="1"/>
  <c r="O1423" i="1"/>
  <c r="AA1423" i="1"/>
  <c r="AD1423" i="1"/>
  <c r="AE1423" i="1"/>
  <c r="AF1423" i="1"/>
  <c r="AG1423" i="1"/>
  <c r="AH1423" i="1"/>
  <c r="AQ1423" i="1"/>
  <c r="L1423" i="1" s="1"/>
  <c r="I1424" i="1"/>
  <c r="E1424" i="1" s="1"/>
  <c r="D1424" i="1" s="1"/>
  <c r="M1424" i="1"/>
  <c r="O1424" i="1"/>
  <c r="AA1424" i="1"/>
  <c r="AD1424" i="1"/>
  <c r="AE1424" i="1"/>
  <c r="AF1424" i="1"/>
  <c r="AG1424" i="1"/>
  <c r="AH1424" i="1"/>
  <c r="AQ1424" i="1"/>
  <c r="L1424" i="1" s="1"/>
  <c r="I1425" i="1"/>
  <c r="E1425" i="1" s="1"/>
  <c r="D1425" i="1" s="1"/>
  <c r="M1425" i="1"/>
  <c r="O1425" i="1"/>
  <c r="AA1425" i="1"/>
  <c r="AD1425" i="1"/>
  <c r="AE1425" i="1"/>
  <c r="AF1425" i="1"/>
  <c r="AG1425" i="1"/>
  <c r="AH1425" i="1"/>
  <c r="AQ1425" i="1"/>
  <c r="L1425" i="1" s="1"/>
  <c r="I1426" i="1"/>
  <c r="E1426" i="1" s="1"/>
  <c r="D1426" i="1" s="1"/>
  <c r="M1426" i="1"/>
  <c r="O1426" i="1"/>
  <c r="AA1426" i="1"/>
  <c r="AD1426" i="1"/>
  <c r="AE1426" i="1"/>
  <c r="AF1426" i="1"/>
  <c r="AG1426" i="1"/>
  <c r="AH1426" i="1"/>
  <c r="AQ1426" i="1"/>
  <c r="L1426" i="1" s="1"/>
  <c r="I1427" i="1"/>
  <c r="E1427" i="1" s="1"/>
  <c r="D1427" i="1" s="1"/>
  <c r="M1427" i="1"/>
  <c r="O1427" i="1"/>
  <c r="AA1427" i="1"/>
  <c r="AD1427" i="1"/>
  <c r="AE1427" i="1"/>
  <c r="AF1427" i="1"/>
  <c r="AG1427" i="1"/>
  <c r="AH1427" i="1"/>
  <c r="AQ1427" i="1"/>
  <c r="L1427" i="1" s="1"/>
  <c r="I1428" i="1"/>
  <c r="E1428" i="1" s="1"/>
  <c r="D1428" i="1" s="1"/>
  <c r="M1428" i="1"/>
  <c r="O1428" i="1"/>
  <c r="AA1428" i="1"/>
  <c r="AD1428" i="1"/>
  <c r="AE1428" i="1"/>
  <c r="AF1428" i="1"/>
  <c r="AG1428" i="1"/>
  <c r="AH1428" i="1"/>
  <c r="AQ1428" i="1"/>
  <c r="L1428" i="1" s="1"/>
  <c r="I1429" i="1"/>
  <c r="E1429" i="1" s="1"/>
  <c r="D1429" i="1" s="1"/>
  <c r="M1429" i="1"/>
  <c r="O1429" i="1"/>
  <c r="AA1429" i="1"/>
  <c r="AD1429" i="1"/>
  <c r="AE1429" i="1"/>
  <c r="AF1429" i="1"/>
  <c r="AG1429" i="1"/>
  <c r="AH1429" i="1"/>
  <c r="AQ1429" i="1"/>
  <c r="L1429" i="1" s="1"/>
  <c r="I1430" i="1"/>
  <c r="E1430" i="1" s="1"/>
  <c r="D1430" i="1" s="1"/>
  <c r="M1430" i="1"/>
  <c r="O1430" i="1"/>
  <c r="AA1430" i="1"/>
  <c r="AD1430" i="1"/>
  <c r="AE1430" i="1"/>
  <c r="AF1430" i="1"/>
  <c r="AG1430" i="1"/>
  <c r="AH1430" i="1"/>
  <c r="AQ1430" i="1"/>
  <c r="L1430" i="1" s="1"/>
  <c r="I1431" i="1"/>
  <c r="E1431" i="1" s="1"/>
  <c r="D1431" i="1" s="1"/>
  <c r="M1431" i="1"/>
  <c r="O1431" i="1"/>
  <c r="AA1431" i="1"/>
  <c r="AD1431" i="1"/>
  <c r="AE1431" i="1"/>
  <c r="AF1431" i="1"/>
  <c r="AG1431" i="1"/>
  <c r="AH1431" i="1"/>
  <c r="AQ1431" i="1"/>
  <c r="L1431" i="1" s="1"/>
  <c r="I1432" i="1"/>
  <c r="E1432" i="1" s="1"/>
  <c r="D1432" i="1" s="1"/>
  <c r="M1432" i="1"/>
  <c r="O1432" i="1"/>
  <c r="AA1432" i="1"/>
  <c r="AD1432" i="1"/>
  <c r="AE1432" i="1"/>
  <c r="AF1432" i="1"/>
  <c r="AG1432" i="1"/>
  <c r="AH1432" i="1"/>
  <c r="AQ1432" i="1"/>
  <c r="L1432" i="1" s="1"/>
  <c r="I1433" i="1"/>
  <c r="E1433" i="1" s="1"/>
  <c r="D1433" i="1" s="1"/>
  <c r="M1433" i="1"/>
  <c r="O1433" i="1"/>
  <c r="AA1433" i="1"/>
  <c r="AD1433" i="1"/>
  <c r="AE1433" i="1"/>
  <c r="AF1433" i="1"/>
  <c r="AG1433" i="1"/>
  <c r="AH1433" i="1"/>
  <c r="AQ1433" i="1"/>
  <c r="L1433" i="1" s="1"/>
  <c r="I1434" i="1"/>
  <c r="E1434" i="1" s="1"/>
  <c r="D1434" i="1" s="1"/>
  <c r="M1434" i="1"/>
  <c r="O1434" i="1"/>
  <c r="AA1434" i="1"/>
  <c r="AD1434" i="1"/>
  <c r="AE1434" i="1"/>
  <c r="AF1434" i="1"/>
  <c r="AG1434" i="1"/>
  <c r="AH1434" i="1"/>
  <c r="AQ1434" i="1"/>
  <c r="L1434" i="1" s="1"/>
  <c r="I1435" i="1"/>
  <c r="E1435" i="1" s="1"/>
  <c r="D1435" i="1" s="1"/>
  <c r="M1435" i="1"/>
  <c r="O1435" i="1"/>
  <c r="AA1435" i="1"/>
  <c r="AD1435" i="1"/>
  <c r="AE1435" i="1"/>
  <c r="AF1435" i="1"/>
  <c r="AG1435" i="1"/>
  <c r="AH1435" i="1"/>
  <c r="AQ1435" i="1"/>
  <c r="L1435" i="1" s="1"/>
  <c r="I1436" i="1"/>
  <c r="E1436" i="1" s="1"/>
  <c r="D1436" i="1" s="1"/>
  <c r="M1436" i="1"/>
  <c r="O1436" i="1"/>
  <c r="AA1436" i="1"/>
  <c r="AD1436" i="1"/>
  <c r="AE1436" i="1"/>
  <c r="AF1436" i="1"/>
  <c r="AG1436" i="1"/>
  <c r="AH1436" i="1"/>
  <c r="AQ1436" i="1"/>
  <c r="L1436" i="1" s="1"/>
  <c r="I1437" i="1"/>
  <c r="E1437" i="1" s="1"/>
  <c r="D1437" i="1" s="1"/>
  <c r="M1437" i="1"/>
  <c r="O1437" i="1"/>
  <c r="AA1437" i="1"/>
  <c r="AD1437" i="1"/>
  <c r="AE1437" i="1"/>
  <c r="AF1437" i="1"/>
  <c r="AG1437" i="1"/>
  <c r="AH1437" i="1"/>
  <c r="AQ1437" i="1"/>
  <c r="L1437" i="1" s="1"/>
  <c r="I1438" i="1"/>
  <c r="E1438" i="1" s="1"/>
  <c r="D1438" i="1" s="1"/>
  <c r="M1438" i="1"/>
  <c r="O1438" i="1"/>
  <c r="AA1438" i="1"/>
  <c r="AD1438" i="1"/>
  <c r="AE1438" i="1"/>
  <c r="AF1438" i="1"/>
  <c r="AG1438" i="1"/>
  <c r="AH1438" i="1"/>
  <c r="AQ1438" i="1"/>
  <c r="L1438" i="1" s="1"/>
  <c r="I1439" i="1"/>
  <c r="E1439" i="1" s="1"/>
  <c r="D1439" i="1" s="1"/>
  <c r="M1439" i="1"/>
  <c r="O1439" i="1"/>
  <c r="AA1439" i="1"/>
  <c r="AD1439" i="1"/>
  <c r="AE1439" i="1"/>
  <c r="AF1439" i="1"/>
  <c r="AG1439" i="1"/>
  <c r="AH1439" i="1"/>
  <c r="AQ1439" i="1"/>
  <c r="L1439" i="1" s="1"/>
  <c r="I1440" i="1"/>
  <c r="E1440" i="1" s="1"/>
  <c r="D1440" i="1" s="1"/>
  <c r="M1440" i="1"/>
  <c r="O1440" i="1"/>
  <c r="AA1440" i="1"/>
  <c r="AD1440" i="1"/>
  <c r="AE1440" i="1"/>
  <c r="AF1440" i="1"/>
  <c r="AG1440" i="1"/>
  <c r="AH1440" i="1"/>
  <c r="AQ1440" i="1"/>
  <c r="L1440" i="1" s="1"/>
  <c r="I1441" i="1"/>
  <c r="E1441" i="1" s="1"/>
  <c r="D1441" i="1" s="1"/>
  <c r="M1441" i="1"/>
  <c r="O1441" i="1"/>
  <c r="AA1441" i="1"/>
  <c r="AD1441" i="1"/>
  <c r="AE1441" i="1"/>
  <c r="AF1441" i="1"/>
  <c r="AG1441" i="1"/>
  <c r="AH1441" i="1"/>
  <c r="AQ1441" i="1"/>
  <c r="L1441" i="1" s="1"/>
  <c r="I1442" i="1"/>
  <c r="E1442" i="1" s="1"/>
  <c r="D1442" i="1" s="1"/>
  <c r="M1442" i="1"/>
  <c r="O1442" i="1"/>
  <c r="AA1442" i="1"/>
  <c r="AD1442" i="1"/>
  <c r="AE1442" i="1"/>
  <c r="AF1442" i="1"/>
  <c r="AG1442" i="1"/>
  <c r="AH1442" i="1"/>
  <c r="AQ1442" i="1"/>
  <c r="L1442" i="1" s="1"/>
  <c r="I1443" i="1"/>
  <c r="E1443" i="1" s="1"/>
  <c r="D1443" i="1" s="1"/>
  <c r="M1443" i="1"/>
  <c r="O1443" i="1"/>
  <c r="AA1443" i="1"/>
  <c r="AD1443" i="1"/>
  <c r="AE1443" i="1"/>
  <c r="AF1443" i="1"/>
  <c r="AG1443" i="1"/>
  <c r="AH1443" i="1"/>
  <c r="AQ1443" i="1"/>
  <c r="L1443" i="1" s="1"/>
  <c r="I1444" i="1"/>
  <c r="E1444" i="1" s="1"/>
  <c r="D1444" i="1" s="1"/>
  <c r="M1444" i="1"/>
  <c r="O1444" i="1"/>
  <c r="AA1444" i="1"/>
  <c r="AD1444" i="1"/>
  <c r="AE1444" i="1"/>
  <c r="AF1444" i="1"/>
  <c r="AG1444" i="1"/>
  <c r="AH1444" i="1"/>
  <c r="AQ1444" i="1"/>
  <c r="L1444" i="1" s="1"/>
  <c r="I1445" i="1"/>
  <c r="E1445" i="1" s="1"/>
  <c r="D1445" i="1" s="1"/>
  <c r="M1445" i="1"/>
  <c r="O1445" i="1"/>
  <c r="AA1445" i="1"/>
  <c r="AD1445" i="1"/>
  <c r="AE1445" i="1"/>
  <c r="AF1445" i="1"/>
  <c r="AG1445" i="1"/>
  <c r="AH1445" i="1"/>
  <c r="AQ1445" i="1"/>
  <c r="L1445" i="1" s="1"/>
  <c r="I1446" i="1"/>
  <c r="E1446" i="1" s="1"/>
  <c r="D1446" i="1" s="1"/>
  <c r="M1446" i="1"/>
  <c r="O1446" i="1"/>
  <c r="AA1446" i="1"/>
  <c r="AD1446" i="1"/>
  <c r="AE1446" i="1"/>
  <c r="AF1446" i="1"/>
  <c r="AG1446" i="1"/>
  <c r="AH1446" i="1"/>
  <c r="AQ1446" i="1"/>
  <c r="L1446" i="1" s="1"/>
  <c r="I1447" i="1"/>
  <c r="E1447" i="1" s="1"/>
  <c r="D1447" i="1" s="1"/>
  <c r="M1447" i="1"/>
  <c r="O1447" i="1"/>
  <c r="AA1447" i="1"/>
  <c r="AD1447" i="1"/>
  <c r="AE1447" i="1"/>
  <c r="AF1447" i="1"/>
  <c r="AG1447" i="1"/>
  <c r="AH1447" i="1"/>
  <c r="AQ1447" i="1"/>
  <c r="L1447" i="1" s="1"/>
  <c r="I1448" i="1"/>
  <c r="E1448" i="1" s="1"/>
  <c r="D1448" i="1" s="1"/>
  <c r="M1448" i="1"/>
  <c r="O1448" i="1"/>
  <c r="AA1448" i="1"/>
  <c r="AD1448" i="1"/>
  <c r="AE1448" i="1"/>
  <c r="AF1448" i="1"/>
  <c r="AG1448" i="1"/>
  <c r="AH1448" i="1"/>
  <c r="AQ1448" i="1"/>
  <c r="L1448" i="1" s="1"/>
  <c r="I1449" i="1"/>
  <c r="E1449" i="1" s="1"/>
  <c r="D1449" i="1" s="1"/>
  <c r="M1449" i="1"/>
  <c r="O1449" i="1"/>
  <c r="AA1449" i="1"/>
  <c r="AD1449" i="1"/>
  <c r="AE1449" i="1"/>
  <c r="AF1449" i="1"/>
  <c r="AG1449" i="1"/>
  <c r="AH1449" i="1"/>
  <c r="AQ1449" i="1"/>
  <c r="L1449" i="1" s="1"/>
  <c r="I1450" i="1"/>
  <c r="E1450" i="1" s="1"/>
  <c r="D1450" i="1" s="1"/>
  <c r="M1450" i="1"/>
  <c r="O1450" i="1"/>
  <c r="AA1450" i="1"/>
  <c r="AD1450" i="1"/>
  <c r="AE1450" i="1"/>
  <c r="AF1450" i="1"/>
  <c r="AG1450" i="1"/>
  <c r="AH1450" i="1"/>
  <c r="AQ1450" i="1"/>
  <c r="L1450" i="1" s="1"/>
  <c r="I1451" i="1"/>
  <c r="E1451" i="1" s="1"/>
  <c r="D1451" i="1" s="1"/>
  <c r="M1451" i="1"/>
  <c r="O1451" i="1"/>
  <c r="AA1451" i="1"/>
  <c r="AD1451" i="1"/>
  <c r="AE1451" i="1"/>
  <c r="AF1451" i="1"/>
  <c r="AG1451" i="1"/>
  <c r="AH1451" i="1"/>
  <c r="AQ1451" i="1"/>
  <c r="L1451" i="1" s="1"/>
  <c r="I1452" i="1"/>
  <c r="E1452" i="1" s="1"/>
  <c r="D1452" i="1" s="1"/>
  <c r="M1452" i="1"/>
  <c r="O1452" i="1"/>
  <c r="AA1452" i="1"/>
  <c r="AD1452" i="1"/>
  <c r="AE1452" i="1"/>
  <c r="AF1452" i="1"/>
  <c r="AG1452" i="1"/>
  <c r="AH1452" i="1"/>
  <c r="AQ1452" i="1"/>
  <c r="L1452" i="1" s="1"/>
  <c r="I1453" i="1"/>
  <c r="E1453" i="1" s="1"/>
  <c r="D1453" i="1" s="1"/>
  <c r="M1453" i="1"/>
  <c r="O1453" i="1"/>
  <c r="AA1453" i="1"/>
  <c r="AD1453" i="1"/>
  <c r="AE1453" i="1"/>
  <c r="AF1453" i="1"/>
  <c r="AG1453" i="1"/>
  <c r="AH1453" i="1"/>
  <c r="AQ1453" i="1"/>
  <c r="L1453" i="1" s="1"/>
  <c r="I1454" i="1"/>
  <c r="E1454" i="1" s="1"/>
  <c r="D1454" i="1" s="1"/>
  <c r="M1454" i="1"/>
  <c r="O1454" i="1"/>
  <c r="AA1454" i="1"/>
  <c r="AD1454" i="1"/>
  <c r="AE1454" i="1"/>
  <c r="AF1454" i="1"/>
  <c r="AG1454" i="1"/>
  <c r="AH1454" i="1"/>
  <c r="AQ1454" i="1"/>
  <c r="L1454" i="1" s="1"/>
  <c r="I1455" i="1"/>
  <c r="E1455" i="1" s="1"/>
  <c r="D1455" i="1" s="1"/>
  <c r="M1455" i="1"/>
  <c r="O1455" i="1"/>
  <c r="AA1455" i="1"/>
  <c r="AD1455" i="1"/>
  <c r="AE1455" i="1"/>
  <c r="AF1455" i="1"/>
  <c r="AG1455" i="1"/>
  <c r="AH1455" i="1"/>
  <c r="AQ1455" i="1"/>
  <c r="L1455" i="1" s="1"/>
  <c r="I1456" i="1"/>
  <c r="E1456" i="1" s="1"/>
  <c r="D1456" i="1" s="1"/>
  <c r="M1456" i="1"/>
  <c r="O1456" i="1"/>
  <c r="AA1456" i="1"/>
  <c r="AD1456" i="1"/>
  <c r="AE1456" i="1"/>
  <c r="AF1456" i="1"/>
  <c r="AG1456" i="1"/>
  <c r="AH1456" i="1"/>
  <c r="AQ1456" i="1"/>
  <c r="L1456" i="1" s="1"/>
  <c r="I1457" i="1"/>
  <c r="E1457" i="1" s="1"/>
  <c r="D1457" i="1" s="1"/>
  <c r="M1457" i="1"/>
  <c r="O1457" i="1"/>
  <c r="AA1457" i="1"/>
  <c r="AD1457" i="1"/>
  <c r="AE1457" i="1"/>
  <c r="AF1457" i="1"/>
  <c r="AG1457" i="1"/>
  <c r="AH1457" i="1"/>
  <c r="AQ1457" i="1"/>
  <c r="L1457" i="1" s="1"/>
  <c r="I1458" i="1"/>
  <c r="E1458" i="1" s="1"/>
  <c r="D1458" i="1" s="1"/>
  <c r="M1458" i="1"/>
  <c r="O1458" i="1"/>
  <c r="AA1458" i="1"/>
  <c r="AD1458" i="1"/>
  <c r="AE1458" i="1"/>
  <c r="AF1458" i="1"/>
  <c r="AG1458" i="1"/>
  <c r="AH1458" i="1"/>
  <c r="AQ1458" i="1"/>
  <c r="L1458" i="1" s="1"/>
  <c r="I1459" i="1"/>
  <c r="E1459" i="1" s="1"/>
  <c r="D1459" i="1" s="1"/>
  <c r="M1459" i="1"/>
  <c r="O1459" i="1"/>
  <c r="AA1459" i="1"/>
  <c r="AD1459" i="1"/>
  <c r="AE1459" i="1"/>
  <c r="AF1459" i="1"/>
  <c r="AG1459" i="1"/>
  <c r="AH1459" i="1"/>
  <c r="AQ1459" i="1"/>
  <c r="L1459" i="1" s="1"/>
  <c r="I1460" i="1"/>
  <c r="E1460" i="1" s="1"/>
  <c r="D1460" i="1" s="1"/>
  <c r="M1460" i="1"/>
  <c r="O1460" i="1"/>
  <c r="AA1460" i="1"/>
  <c r="AD1460" i="1"/>
  <c r="AE1460" i="1"/>
  <c r="AF1460" i="1"/>
  <c r="AG1460" i="1"/>
  <c r="AH1460" i="1"/>
  <c r="AQ1460" i="1"/>
  <c r="L1460" i="1" s="1"/>
  <c r="I1461" i="1"/>
  <c r="E1461" i="1" s="1"/>
  <c r="D1461" i="1" s="1"/>
  <c r="M1461" i="1"/>
  <c r="O1461" i="1"/>
  <c r="AA1461" i="1"/>
  <c r="AD1461" i="1"/>
  <c r="AE1461" i="1"/>
  <c r="AF1461" i="1"/>
  <c r="AG1461" i="1"/>
  <c r="AH1461" i="1"/>
  <c r="AQ1461" i="1"/>
  <c r="L1461" i="1" s="1"/>
  <c r="I1462" i="1"/>
  <c r="E1462" i="1" s="1"/>
  <c r="D1462" i="1" s="1"/>
  <c r="M1462" i="1"/>
  <c r="O1462" i="1"/>
  <c r="AA1462" i="1"/>
  <c r="AD1462" i="1"/>
  <c r="AE1462" i="1"/>
  <c r="AF1462" i="1"/>
  <c r="AG1462" i="1"/>
  <c r="AH1462" i="1"/>
  <c r="AQ1462" i="1"/>
  <c r="L1462" i="1" s="1"/>
  <c r="I1463" i="1"/>
  <c r="E1463" i="1" s="1"/>
  <c r="D1463" i="1" s="1"/>
  <c r="M1463" i="1"/>
  <c r="O1463" i="1"/>
  <c r="AA1463" i="1"/>
  <c r="AD1463" i="1"/>
  <c r="AE1463" i="1"/>
  <c r="AF1463" i="1"/>
  <c r="AG1463" i="1"/>
  <c r="AH1463" i="1"/>
  <c r="AQ1463" i="1"/>
  <c r="L1463" i="1" s="1"/>
  <c r="I1464" i="1"/>
  <c r="E1464" i="1" s="1"/>
  <c r="D1464" i="1" s="1"/>
  <c r="M1464" i="1"/>
  <c r="O1464" i="1"/>
  <c r="AA1464" i="1"/>
  <c r="AD1464" i="1"/>
  <c r="AE1464" i="1"/>
  <c r="AF1464" i="1"/>
  <c r="AG1464" i="1"/>
  <c r="AH1464" i="1"/>
  <c r="AQ1464" i="1"/>
  <c r="L1464" i="1" s="1"/>
  <c r="I1465" i="1"/>
  <c r="E1465" i="1" s="1"/>
  <c r="D1465" i="1" s="1"/>
  <c r="M1465" i="1"/>
  <c r="O1465" i="1"/>
  <c r="AA1465" i="1"/>
  <c r="AD1465" i="1"/>
  <c r="AE1465" i="1"/>
  <c r="AF1465" i="1"/>
  <c r="AG1465" i="1"/>
  <c r="AH1465" i="1"/>
  <c r="AQ1465" i="1"/>
  <c r="L1465" i="1" s="1"/>
  <c r="I1466" i="1"/>
  <c r="E1466" i="1" s="1"/>
  <c r="D1466" i="1" s="1"/>
  <c r="M1466" i="1"/>
  <c r="O1466" i="1"/>
  <c r="AA1466" i="1"/>
  <c r="AD1466" i="1"/>
  <c r="AE1466" i="1"/>
  <c r="AF1466" i="1"/>
  <c r="AG1466" i="1"/>
  <c r="AH1466" i="1"/>
  <c r="AQ1466" i="1"/>
  <c r="L1466" i="1" s="1"/>
  <c r="I1467" i="1"/>
  <c r="E1467" i="1" s="1"/>
  <c r="D1467" i="1" s="1"/>
  <c r="M1467" i="1"/>
  <c r="O1467" i="1"/>
  <c r="AA1467" i="1"/>
  <c r="AD1467" i="1"/>
  <c r="AE1467" i="1"/>
  <c r="AF1467" i="1"/>
  <c r="AG1467" i="1"/>
  <c r="AH1467" i="1"/>
  <c r="AQ1467" i="1"/>
  <c r="L1467" i="1" s="1"/>
  <c r="I1468" i="1"/>
  <c r="E1468" i="1" s="1"/>
  <c r="D1468" i="1" s="1"/>
  <c r="M1468" i="1"/>
  <c r="O1468" i="1"/>
  <c r="AA1468" i="1"/>
  <c r="AD1468" i="1"/>
  <c r="AE1468" i="1"/>
  <c r="AF1468" i="1"/>
  <c r="AG1468" i="1"/>
  <c r="AH1468" i="1"/>
  <c r="AQ1468" i="1"/>
  <c r="L1468" i="1" s="1"/>
  <c r="I1469" i="1"/>
  <c r="E1469" i="1" s="1"/>
  <c r="D1469" i="1" s="1"/>
  <c r="M1469" i="1"/>
  <c r="O1469" i="1"/>
  <c r="AA1469" i="1"/>
  <c r="AD1469" i="1"/>
  <c r="AE1469" i="1"/>
  <c r="AF1469" i="1"/>
  <c r="AG1469" i="1"/>
  <c r="AH1469" i="1"/>
  <c r="AQ1469" i="1"/>
  <c r="L1469" i="1" s="1"/>
  <c r="I1470" i="1"/>
  <c r="E1470" i="1" s="1"/>
  <c r="D1470" i="1" s="1"/>
  <c r="M1470" i="1"/>
  <c r="O1470" i="1"/>
  <c r="AA1470" i="1"/>
  <c r="AD1470" i="1"/>
  <c r="AE1470" i="1"/>
  <c r="AF1470" i="1"/>
  <c r="AG1470" i="1"/>
  <c r="AH1470" i="1"/>
  <c r="AQ1470" i="1"/>
  <c r="L1470" i="1" s="1"/>
  <c r="I1471" i="1"/>
  <c r="E1471" i="1" s="1"/>
  <c r="D1471" i="1" s="1"/>
  <c r="M1471" i="1"/>
  <c r="O1471" i="1"/>
  <c r="AA1471" i="1"/>
  <c r="AD1471" i="1"/>
  <c r="AE1471" i="1"/>
  <c r="AF1471" i="1"/>
  <c r="AG1471" i="1"/>
  <c r="AH1471" i="1"/>
  <c r="AQ1471" i="1"/>
  <c r="L1471" i="1" s="1"/>
  <c r="I1472" i="1"/>
  <c r="E1472" i="1" s="1"/>
  <c r="D1472" i="1" s="1"/>
  <c r="M1472" i="1"/>
  <c r="O1472" i="1"/>
  <c r="AA1472" i="1"/>
  <c r="AD1472" i="1"/>
  <c r="AE1472" i="1"/>
  <c r="AF1472" i="1"/>
  <c r="AG1472" i="1"/>
  <c r="AH1472" i="1"/>
  <c r="AQ1472" i="1"/>
  <c r="L1472" i="1" s="1"/>
  <c r="I1473" i="1"/>
  <c r="E1473" i="1" s="1"/>
  <c r="D1473" i="1" s="1"/>
  <c r="M1473" i="1"/>
  <c r="O1473" i="1"/>
  <c r="AA1473" i="1"/>
  <c r="AD1473" i="1"/>
  <c r="AE1473" i="1"/>
  <c r="AF1473" i="1"/>
  <c r="AG1473" i="1"/>
  <c r="AH1473" i="1"/>
  <c r="AQ1473" i="1"/>
  <c r="L1473" i="1" s="1"/>
  <c r="I1474" i="1"/>
  <c r="E1474" i="1" s="1"/>
  <c r="D1474" i="1" s="1"/>
  <c r="M1474" i="1"/>
  <c r="O1474" i="1"/>
  <c r="AA1474" i="1"/>
  <c r="AD1474" i="1"/>
  <c r="AE1474" i="1"/>
  <c r="AF1474" i="1"/>
  <c r="AG1474" i="1"/>
  <c r="AH1474" i="1"/>
  <c r="AQ1474" i="1"/>
  <c r="L1474" i="1" s="1"/>
  <c r="I1475" i="1"/>
  <c r="E1475" i="1" s="1"/>
  <c r="D1475" i="1" s="1"/>
  <c r="M1475" i="1"/>
  <c r="O1475" i="1"/>
  <c r="AA1475" i="1"/>
  <c r="AD1475" i="1"/>
  <c r="AE1475" i="1"/>
  <c r="AF1475" i="1"/>
  <c r="AG1475" i="1"/>
  <c r="AH1475" i="1"/>
  <c r="AQ1475" i="1"/>
  <c r="L1475" i="1" s="1"/>
  <c r="I1476" i="1"/>
  <c r="E1476" i="1" s="1"/>
  <c r="D1476" i="1" s="1"/>
  <c r="M1476" i="1"/>
  <c r="O1476" i="1"/>
  <c r="AA1476" i="1"/>
  <c r="AD1476" i="1"/>
  <c r="AE1476" i="1"/>
  <c r="AF1476" i="1"/>
  <c r="AG1476" i="1"/>
  <c r="AH1476" i="1"/>
  <c r="AQ1476" i="1"/>
  <c r="L1476" i="1" s="1"/>
  <c r="I1477" i="1"/>
  <c r="E1477" i="1" s="1"/>
  <c r="D1477" i="1" s="1"/>
  <c r="M1477" i="1"/>
  <c r="O1477" i="1"/>
  <c r="AA1477" i="1"/>
  <c r="AD1477" i="1"/>
  <c r="AE1477" i="1"/>
  <c r="AF1477" i="1"/>
  <c r="AG1477" i="1"/>
  <c r="AH1477" i="1"/>
  <c r="AQ1477" i="1"/>
  <c r="L1477" i="1" s="1"/>
  <c r="I1478" i="1"/>
  <c r="E1478" i="1" s="1"/>
  <c r="D1478" i="1" s="1"/>
  <c r="M1478" i="1"/>
  <c r="O1478" i="1"/>
  <c r="AA1478" i="1"/>
  <c r="AD1478" i="1"/>
  <c r="AE1478" i="1"/>
  <c r="AF1478" i="1"/>
  <c r="AG1478" i="1"/>
  <c r="AH1478" i="1"/>
  <c r="AQ1478" i="1"/>
  <c r="L1478" i="1" s="1"/>
  <c r="I1479" i="1"/>
  <c r="E1479" i="1" s="1"/>
  <c r="D1479" i="1" s="1"/>
  <c r="M1479" i="1"/>
  <c r="O1479" i="1"/>
  <c r="AA1479" i="1"/>
  <c r="AD1479" i="1"/>
  <c r="AE1479" i="1"/>
  <c r="AF1479" i="1"/>
  <c r="AG1479" i="1"/>
  <c r="AH1479" i="1"/>
  <c r="AQ1479" i="1"/>
  <c r="L1479" i="1" s="1"/>
  <c r="I1480" i="1"/>
  <c r="E1480" i="1" s="1"/>
  <c r="D1480" i="1" s="1"/>
  <c r="M1480" i="1"/>
  <c r="O1480" i="1"/>
  <c r="AA1480" i="1"/>
  <c r="AD1480" i="1"/>
  <c r="AE1480" i="1"/>
  <c r="AF1480" i="1"/>
  <c r="AG1480" i="1"/>
  <c r="AH1480" i="1"/>
  <c r="AQ1480" i="1"/>
  <c r="L1480" i="1" s="1"/>
  <c r="I1481" i="1"/>
  <c r="E1481" i="1" s="1"/>
  <c r="D1481" i="1" s="1"/>
  <c r="M1481" i="1"/>
  <c r="O1481" i="1"/>
  <c r="AA1481" i="1"/>
  <c r="AD1481" i="1"/>
  <c r="AE1481" i="1"/>
  <c r="AF1481" i="1"/>
  <c r="AG1481" i="1"/>
  <c r="AH1481" i="1"/>
  <c r="AQ1481" i="1"/>
  <c r="L1481" i="1" s="1"/>
  <c r="I1482" i="1"/>
  <c r="E1482" i="1" s="1"/>
  <c r="D1482" i="1" s="1"/>
  <c r="M1482" i="1"/>
  <c r="O1482" i="1"/>
  <c r="AA1482" i="1"/>
  <c r="AD1482" i="1"/>
  <c r="AE1482" i="1"/>
  <c r="AF1482" i="1"/>
  <c r="AG1482" i="1"/>
  <c r="AH1482" i="1"/>
  <c r="AQ1482" i="1"/>
  <c r="L1482" i="1" s="1"/>
  <c r="I1483" i="1"/>
  <c r="E1483" i="1" s="1"/>
  <c r="D1483" i="1" s="1"/>
  <c r="M1483" i="1"/>
  <c r="O1483" i="1"/>
  <c r="AA1483" i="1"/>
  <c r="AD1483" i="1"/>
  <c r="AE1483" i="1"/>
  <c r="AF1483" i="1"/>
  <c r="AG1483" i="1"/>
  <c r="AH1483" i="1"/>
  <c r="AQ1483" i="1"/>
  <c r="L1483" i="1" s="1"/>
  <c r="I1484" i="1"/>
  <c r="E1484" i="1" s="1"/>
  <c r="D1484" i="1" s="1"/>
  <c r="M1484" i="1"/>
  <c r="O1484" i="1"/>
  <c r="AA1484" i="1"/>
  <c r="AD1484" i="1"/>
  <c r="AE1484" i="1"/>
  <c r="AF1484" i="1"/>
  <c r="AG1484" i="1"/>
  <c r="AH1484" i="1"/>
  <c r="AQ1484" i="1"/>
  <c r="L1484" i="1" s="1"/>
  <c r="I1485" i="1"/>
  <c r="E1485" i="1" s="1"/>
  <c r="D1485" i="1" s="1"/>
  <c r="M1485" i="1"/>
  <c r="O1485" i="1"/>
  <c r="AA1485" i="1"/>
  <c r="AD1485" i="1"/>
  <c r="AE1485" i="1"/>
  <c r="AF1485" i="1"/>
  <c r="AG1485" i="1"/>
  <c r="AH1485" i="1"/>
  <c r="AQ1485" i="1"/>
  <c r="L1485" i="1" s="1"/>
  <c r="I1486" i="1"/>
  <c r="E1486" i="1" s="1"/>
  <c r="D1486" i="1" s="1"/>
  <c r="M1486" i="1"/>
  <c r="O1486" i="1"/>
  <c r="AA1486" i="1"/>
  <c r="AD1486" i="1"/>
  <c r="AE1486" i="1"/>
  <c r="AF1486" i="1"/>
  <c r="AG1486" i="1"/>
  <c r="AH1486" i="1"/>
  <c r="AQ1486" i="1"/>
  <c r="L1486" i="1" s="1"/>
  <c r="I1487" i="1"/>
  <c r="E1487" i="1" s="1"/>
  <c r="D1487" i="1" s="1"/>
  <c r="M1487" i="1"/>
  <c r="O1487" i="1"/>
  <c r="AA1487" i="1"/>
  <c r="AD1487" i="1"/>
  <c r="AE1487" i="1"/>
  <c r="AF1487" i="1"/>
  <c r="AG1487" i="1"/>
  <c r="AH1487" i="1"/>
  <c r="AQ1487" i="1"/>
  <c r="L1487" i="1" s="1"/>
  <c r="I1488" i="1"/>
  <c r="E1488" i="1" s="1"/>
  <c r="D1488" i="1" s="1"/>
  <c r="M1488" i="1"/>
  <c r="O1488" i="1"/>
  <c r="AA1488" i="1"/>
  <c r="AD1488" i="1"/>
  <c r="AE1488" i="1"/>
  <c r="AF1488" i="1"/>
  <c r="AG1488" i="1"/>
  <c r="AH1488" i="1"/>
  <c r="AQ1488" i="1"/>
  <c r="L1488" i="1" s="1"/>
  <c r="I1489" i="1"/>
  <c r="E1489" i="1" s="1"/>
  <c r="D1489" i="1" s="1"/>
  <c r="M1489" i="1"/>
  <c r="O1489" i="1"/>
  <c r="AA1489" i="1"/>
  <c r="AD1489" i="1"/>
  <c r="AE1489" i="1"/>
  <c r="AF1489" i="1"/>
  <c r="AG1489" i="1"/>
  <c r="AH1489" i="1"/>
  <c r="AQ1489" i="1"/>
  <c r="L1489" i="1" s="1"/>
  <c r="I1490" i="1"/>
  <c r="E1490" i="1" s="1"/>
  <c r="D1490" i="1" s="1"/>
  <c r="M1490" i="1"/>
  <c r="O1490" i="1"/>
  <c r="AA1490" i="1"/>
  <c r="AD1490" i="1"/>
  <c r="AE1490" i="1"/>
  <c r="AF1490" i="1"/>
  <c r="AG1490" i="1"/>
  <c r="AH1490" i="1"/>
  <c r="AQ1490" i="1"/>
  <c r="L1490" i="1" s="1"/>
  <c r="I1491" i="1"/>
  <c r="E1491" i="1" s="1"/>
  <c r="D1491" i="1" s="1"/>
  <c r="M1491" i="1"/>
  <c r="O1491" i="1"/>
  <c r="AA1491" i="1"/>
  <c r="AD1491" i="1"/>
  <c r="AE1491" i="1"/>
  <c r="AF1491" i="1"/>
  <c r="AG1491" i="1"/>
  <c r="AH1491" i="1"/>
  <c r="AQ1491" i="1"/>
  <c r="L1491" i="1" s="1"/>
  <c r="I1492" i="1"/>
  <c r="E1492" i="1" s="1"/>
  <c r="D1492" i="1" s="1"/>
  <c r="M1492" i="1"/>
  <c r="O1492" i="1"/>
  <c r="AA1492" i="1"/>
  <c r="AD1492" i="1"/>
  <c r="AE1492" i="1"/>
  <c r="AF1492" i="1"/>
  <c r="AG1492" i="1"/>
  <c r="AH1492" i="1"/>
  <c r="AQ1492" i="1"/>
  <c r="L1492" i="1" s="1"/>
  <c r="I1493" i="1"/>
  <c r="E1493" i="1" s="1"/>
  <c r="D1493" i="1" s="1"/>
  <c r="M1493" i="1"/>
  <c r="O1493" i="1"/>
  <c r="AA1493" i="1"/>
  <c r="AD1493" i="1"/>
  <c r="AE1493" i="1"/>
  <c r="AF1493" i="1"/>
  <c r="AG1493" i="1"/>
  <c r="AH1493" i="1"/>
  <c r="AQ1493" i="1"/>
  <c r="L1493" i="1" s="1"/>
  <c r="I1494" i="1"/>
  <c r="E1494" i="1" s="1"/>
  <c r="D1494" i="1" s="1"/>
  <c r="M1494" i="1"/>
  <c r="O1494" i="1"/>
  <c r="AA1494" i="1"/>
  <c r="AD1494" i="1"/>
  <c r="AE1494" i="1"/>
  <c r="AF1494" i="1"/>
  <c r="AG1494" i="1"/>
  <c r="AH1494" i="1"/>
  <c r="AQ1494" i="1"/>
  <c r="L1494" i="1" s="1"/>
  <c r="I1495" i="1"/>
  <c r="E1495" i="1" s="1"/>
  <c r="D1495" i="1" s="1"/>
  <c r="M1495" i="1"/>
  <c r="O1495" i="1"/>
  <c r="AA1495" i="1"/>
  <c r="AD1495" i="1"/>
  <c r="AE1495" i="1"/>
  <c r="AF1495" i="1"/>
  <c r="AG1495" i="1"/>
  <c r="AH1495" i="1"/>
  <c r="AQ1495" i="1"/>
  <c r="L1495" i="1" s="1"/>
  <c r="I1496" i="1"/>
  <c r="E1496" i="1" s="1"/>
  <c r="D1496" i="1" s="1"/>
  <c r="M1496" i="1"/>
  <c r="O1496" i="1"/>
  <c r="AA1496" i="1"/>
  <c r="AD1496" i="1"/>
  <c r="AE1496" i="1"/>
  <c r="AF1496" i="1"/>
  <c r="AG1496" i="1"/>
  <c r="AH1496" i="1"/>
  <c r="AQ1496" i="1"/>
  <c r="L1496" i="1" s="1"/>
  <c r="I1497" i="1"/>
  <c r="E1497" i="1" s="1"/>
  <c r="D1497" i="1" s="1"/>
  <c r="M1497" i="1"/>
  <c r="O1497" i="1"/>
  <c r="AA1497" i="1"/>
  <c r="AD1497" i="1"/>
  <c r="AE1497" i="1"/>
  <c r="AF1497" i="1"/>
  <c r="AG1497" i="1"/>
  <c r="AH1497" i="1"/>
  <c r="AQ1497" i="1"/>
  <c r="L1497" i="1" s="1"/>
  <c r="I1498" i="1"/>
  <c r="E1498" i="1" s="1"/>
  <c r="D1498" i="1" s="1"/>
  <c r="M1498" i="1"/>
  <c r="O1498" i="1"/>
  <c r="AA1498" i="1"/>
  <c r="AD1498" i="1"/>
  <c r="AE1498" i="1"/>
  <c r="AF1498" i="1"/>
  <c r="AG1498" i="1"/>
  <c r="AH1498" i="1"/>
  <c r="AQ1498" i="1"/>
  <c r="L1498" i="1" s="1"/>
  <c r="I1499" i="1"/>
  <c r="E1499" i="1" s="1"/>
  <c r="D1499" i="1" s="1"/>
  <c r="M1499" i="1"/>
  <c r="O1499" i="1"/>
  <c r="AA1499" i="1"/>
  <c r="AD1499" i="1"/>
  <c r="AE1499" i="1"/>
  <c r="AF1499" i="1"/>
  <c r="AG1499" i="1"/>
  <c r="AH1499" i="1"/>
  <c r="AQ1499" i="1"/>
  <c r="L1499" i="1" s="1"/>
  <c r="I1500" i="1"/>
  <c r="E1500" i="1" s="1"/>
  <c r="D1500" i="1" s="1"/>
  <c r="M1500" i="1"/>
  <c r="O1500" i="1"/>
  <c r="AA1500" i="1"/>
  <c r="AD1500" i="1"/>
  <c r="AE1500" i="1"/>
  <c r="AF1500" i="1"/>
  <c r="AG1500" i="1"/>
  <c r="AH1500" i="1"/>
  <c r="AQ1500" i="1"/>
  <c r="L1500" i="1" s="1"/>
  <c r="I1501" i="1"/>
  <c r="E1501" i="1" s="1"/>
  <c r="D1501" i="1" s="1"/>
  <c r="M1501" i="1"/>
  <c r="O1501" i="1"/>
  <c r="AA1501" i="1"/>
  <c r="AD1501" i="1"/>
  <c r="AE1501" i="1"/>
  <c r="AF1501" i="1"/>
  <c r="AG1501" i="1"/>
  <c r="AH1501" i="1"/>
  <c r="AQ1501" i="1"/>
  <c r="L1501" i="1" s="1"/>
  <c r="I1502" i="1"/>
  <c r="E1502" i="1" s="1"/>
  <c r="D1502" i="1" s="1"/>
  <c r="M1502" i="1"/>
  <c r="O1502" i="1"/>
  <c r="AA1502" i="1"/>
  <c r="AD1502" i="1"/>
  <c r="AE1502" i="1"/>
  <c r="AF1502" i="1"/>
  <c r="AG1502" i="1"/>
  <c r="AH1502" i="1"/>
  <c r="AQ1502" i="1"/>
  <c r="L1502" i="1" s="1"/>
  <c r="I1503" i="1"/>
  <c r="E1503" i="1" s="1"/>
  <c r="D1503" i="1" s="1"/>
  <c r="M1503" i="1"/>
  <c r="O1503" i="1"/>
  <c r="AA1503" i="1"/>
  <c r="AD1503" i="1"/>
  <c r="AE1503" i="1"/>
  <c r="AF1503" i="1"/>
  <c r="AG1503" i="1"/>
  <c r="AH1503" i="1"/>
  <c r="AQ1503" i="1"/>
  <c r="L1503" i="1" s="1"/>
  <c r="I1504" i="1"/>
  <c r="E1504" i="1" s="1"/>
  <c r="D1504" i="1" s="1"/>
  <c r="M1504" i="1"/>
  <c r="O1504" i="1"/>
  <c r="AA1504" i="1"/>
  <c r="AD1504" i="1"/>
  <c r="AE1504" i="1"/>
  <c r="AF1504" i="1"/>
  <c r="AG1504" i="1"/>
  <c r="AH1504" i="1"/>
  <c r="AQ1504" i="1"/>
  <c r="L1504" i="1" s="1"/>
  <c r="I1505" i="1"/>
  <c r="E1505" i="1" s="1"/>
  <c r="D1505" i="1" s="1"/>
  <c r="M1505" i="1"/>
  <c r="O1505" i="1"/>
  <c r="AA1505" i="1"/>
  <c r="AD1505" i="1"/>
  <c r="AE1505" i="1"/>
  <c r="AF1505" i="1"/>
  <c r="AG1505" i="1"/>
  <c r="AH1505" i="1"/>
  <c r="AQ1505" i="1"/>
  <c r="L1505" i="1" s="1"/>
  <c r="I1506" i="1"/>
  <c r="E1506" i="1" s="1"/>
  <c r="D1506" i="1" s="1"/>
  <c r="M1506" i="1"/>
  <c r="O1506" i="1"/>
  <c r="AA1506" i="1"/>
  <c r="AD1506" i="1"/>
  <c r="AE1506" i="1"/>
  <c r="AF1506" i="1"/>
  <c r="AG1506" i="1"/>
  <c r="AH1506" i="1"/>
  <c r="AQ1506" i="1"/>
  <c r="L1506" i="1" s="1"/>
  <c r="I1507" i="1"/>
  <c r="E1507" i="1" s="1"/>
  <c r="D1507" i="1" s="1"/>
  <c r="M1507" i="1"/>
  <c r="O1507" i="1"/>
  <c r="AA1507" i="1"/>
  <c r="AD1507" i="1"/>
  <c r="AE1507" i="1"/>
  <c r="AF1507" i="1"/>
  <c r="AG1507" i="1"/>
  <c r="AH1507" i="1"/>
  <c r="AQ1507" i="1"/>
  <c r="L1507" i="1" s="1"/>
  <c r="I1508" i="1"/>
  <c r="E1508" i="1" s="1"/>
  <c r="D1508" i="1" s="1"/>
  <c r="M1508" i="1"/>
  <c r="O1508" i="1"/>
  <c r="AA1508" i="1"/>
  <c r="AD1508" i="1"/>
  <c r="AE1508" i="1"/>
  <c r="AF1508" i="1"/>
  <c r="AG1508" i="1"/>
  <c r="AH1508" i="1"/>
  <c r="AQ1508" i="1"/>
  <c r="L1508" i="1" s="1"/>
  <c r="I1509" i="1"/>
  <c r="E1509" i="1" s="1"/>
  <c r="D1509" i="1" s="1"/>
  <c r="M1509" i="1"/>
  <c r="O1509" i="1"/>
  <c r="AA1509" i="1"/>
  <c r="AD1509" i="1"/>
  <c r="AE1509" i="1"/>
  <c r="AF1509" i="1"/>
  <c r="AG1509" i="1"/>
  <c r="AH1509" i="1"/>
  <c r="AQ1509" i="1"/>
  <c r="L1509" i="1" s="1"/>
  <c r="I1510" i="1"/>
  <c r="E1510" i="1" s="1"/>
  <c r="D1510" i="1" s="1"/>
  <c r="M1510" i="1"/>
  <c r="O1510" i="1"/>
  <c r="AA1510" i="1"/>
  <c r="AD1510" i="1"/>
  <c r="AE1510" i="1"/>
  <c r="AF1510" i="1"/>
  <c r="AG1510" i="1"/>
  <c r="AH1510" i="1"/>
  <c r="AQ1510" i="1"/>
  <c r="L1510" i="1" s="1"/>
  <c r="I1511" i="1"/>
  <c r="E1511" i="1" s="1"/>
  <c r="D1511" i="1" s="1"/>
  <c r="M1511" i="1"/>
  <c r="O1511" i="1"/>
  <c r="AA1511" i="1"/>
  <c r="AD1511" i="1"/>
  <c r="AE1511" i="1"/>
  <c r="AF1511" i="1"/>
  <c r="AG1511" i="1"/>
  <c r="AH1511" i="1"/>
  <c r="AQ1511" i="1"/>
  <c r="L1511" i="1" s="1"/>
  <c r="I1512" i="1"/>
  <c r="E1512" i="1" s="1"/>
  <c r="D1512" i="1" s="1"/>
  <c r="M1512" i="1"/>
  <c r="O1512" i="1"/>
  <c r="AA1512" i="1"/>
  <c r="AD1512" i="1"/>
  <c r="AE1512" i="1"/>
  <c r="AF1512" i="1"/>
  <c r="AG1512" i="1"/>
  <c r="AH1512" i="1"/>
  <c r="AQ1512" i="1"/>
  <c r="L1512" i="1" s="1"/>
  <c r="I1513" i="1"/>
  <c r="E1513" i="1" s="1"/>
  <c r="D1513" i="1" s="1"/>
  <c r="M1513" i="1"/>
  <c r="O1513" i="1"/>
  <c r="AA1513" i="1"/>
  <c r="AD1513" i="1"/>
  <c r="AE1513" i="1"/>
  <c r="AF1513" i="1"/>
  <c r="AG1513" i="1"/>
  <c r="AH1513" i="1"/>
  <c r="AQ1513" i="1"/>
  <c r="L1513" i="1" s="1"/>
  <c r="I1514" i="1"/>
  <c r="E1514" i="1" s="1"/>
  <c r="D1514" i="1" s="1"/>
  <c r="M1514" i="1"/>
  <c r="O1514" i="1"/>
  <c r="AA1514" i="1"/>
  <c r="AD1514" i="1"/>
  <c r="AE1514" i="1"/>
  <c r="AF1514" i="1"/>
  <c r="AG1514" i="1"/>
  <c r="AH1514" i="1"/>
  <c r="AQ1514" i="1"/>
  <c r="L1514" i="1" s="1"/>
  <c r="I1515" i="1"/>
  <c r="E1515" i="1" s="1"/>
  <c r="D1515" i="1" s="1"/>
  <c r="M1515" i="1"/>
  <c r="O1515" i="1"/>
  <c r="AA1515" i="1"/>
  <c r="AD1515" i="1"/>
  <c r="AE1515" i="1"/>
  <c r="AF1515" i="1"/>
  <c r="AG1515" i="1"/>
  <c r="AH1515" i="1"/>
  <c r="AQ1515" i="1"/>
  <c r="L1515" i="1" s="1"/>
  <c r="I1516" i="1"/>
  <c r="E1516" i="1" s="1"/>
  <c r="D1516" i="1" s="1"/>
  <c r="M1516" i="1"/>
  <c r="O1516" i="1"/>
  <c r="AA1516" i="1"/>
  <c r="AD1516" i="1"/>
  <c r="AE1516" i="1"/>
  <c r="AF1516" i="1"/>
  <c r="AG1516" i="1"/>
  <c r="AH1516" i="1"/>
  <c r="AQ1516" i="1"/>
  <c r="L1516" i="1" s="1"/>
  <c r="I1517" i="1"/>
  <c r="E1517" i="1" s="1"/>
  <c r="D1517" i="1" s="1"/>
  <c r="M1517" i="1"/>
  <c r="O1517" i="1"/>
  <c r="AA1517" i="1"/>
  <c r="AD1517" i="1"/>
  <c r="AE1517" i="1"/>
  <c r="AF1517" i="1"/>
  <c r="AG1517" i="1"/>
  <c r="AH1517" i="1"/>
  <c r="AQ1517" i="1"/>
  <c r="L1517" i="1" s="1"/>
  <c r="I1518" i="1"/>
  <c r="E1518" i="1" s="1"/>
  <c r="D1518" i="1" s="1"/>
  <c r="M1518" i="1"/>
  <c r="O1518" i="1"/>
  <c r="AA1518" i="1"/>
  <c r="AD1518" i="1"/>
  <c r="AE1518" i="1"/>
  <c r="AF1518" i="1"/>
  <c r="AG1518" i="1"/>
  <c r="AH1518" i="1"/>
  <c r="AQ1518" i="1"/>
  <c r="L1518" i="1" s="1"/>
  <c r="I1519" i="1"/>
  <c r="E1519" i="1" s="1"/>
  <c r="D1519" i="1" s="1"/>
  <c r="M1519" i="1"/>
  <c r="O1519" i="1"/>
  <c r="AA1519" i="1"/>
  <c r="AD1519" i="1"/>
  <c r="AE1519" i="1"/>
  <c r="AF1519" i="1"/>
  <c r="AG1519" i="1"/>
  <c r="AH1519" i="1"/>
  <c r="AQ1519" i="1"/>
  <c r="L1519" i="1" s="1"/>
  <c r="I1520" i="1"/>
  <c r="E1520" i="1" s="1"/>
  <c r="D1520" i="1" s="1"/>
  <c r="M1520" i="1"/>
  <c r="O1520" i="1"/>
  <c r="AA1520" i="1"/>
  <c r="AD1520" i="1"/>
  <c r="AE1520" i="1"/>
  <c r="AF1520" i="1"/>
  <c r="AG1520" i="1"/>
  <c r="AH1520" i="1"/>
  <c r="AQ1520" i="1"/>
  <c r="L1520" i="1" s="1"/>
  <c r="I1521" i="1"/>
  <c r="E1521" i="1" s="1"/>
  <c r="D1521" i="1" s="1"/>
  <c r="M1521" i="1"/>
  <c r="O1521" i="1"/>
  <c r="AA1521" i="1"/>
  <c r="AD1521" i="1"/>
  <c r="AE1521" i="1"/>
  <c r="AF1521" i="1"/>
  <c r="AG1521" i="1"/>
  <c r="AH1521" i="1"/>
  <c r="AQ1521" i="1"/>
  <c r="L1521" i="1" s="1"/>
  <c r="I1522" i="1"/>
  <c r="E1522" i="1" s="1"/>
  <c r="D1522" i="1" s="1"/>
  <c r="M1522" i="1"/>
  <c r="O1522" i="1"/>
  <c r="AA1522" i="1"/>
  <c r="AD1522" i="1"/>
  <c r="AE1522" i="1"/>
  <c r="AF1522" i="1"/>
  <c r="AG1522" i="1"/>
  <c r="AH1522" i="1"/>
  <c r="AQ1522" i="1"/>
  <c r="L1522" i="1" s="1"/>
  <c r="I1523" i="1"/>
  <c r="E1523" i="1" s="1"/>
  <c r="D1523" i="1" s="1"/>
  <c r="M1523" i="1"/>
  <c r="O1523" i="1"/>
  <c r="AA1523" i="1"/>
  <c r="AD1523" i="1"/>
  <c r="AE1523" i="1"/>
  <c r="AF1523" i="1"/>
  <c r="AG1523" i="1"/>
  <c r="AH1523" i="1"/>
  <c r="AQ1523" i="1"/>
  <c r="L1523" i="1" s="1"/>
  <c r="I1524" i="1"/>
  <c r="E1524" i="1" s="1"/>
  <c r="D1524" i="1" s="1"/>
  <c r="M1524" i="1"/>
  <c r="O1524" i="1"/>
  <c r="AA1524" i="1"/>
  <c r="AD1524" i="1"/>
  <c r="AE1524" i="1"/>
  <c r="AF1524" i="1"/>
  <c r="AG1524" i="1"/>
  <c r="AH1524" i="1"/>
  <c r="AQ1524" i="1"/>
  <c r="L1524" i="1" s="1"/>
  <c r="I1525" i="1"/>
  <c r="E1525" i="1" s="1"/>
  <c r="D1525" i="1" s="1"/>
  <c r="M1525" i="1"/>
  <c r="O1525" i="1"/>
  <c r="AA1525" i="1"/>
  <c r="AD1525" i="1"/>
  <c r="AE1525" i="1"/>
  <c r="AF1525" i="1"/>
  <c r="AG1525" i="1"/>
  <c r="AH1525" i="1"/>
  <c r="AQ1525" i="1"/>
  <c r="L1525" i="1" s="1"/>
  <c r="I1526" i="1"/>
  <c r="E1526" i="1" s="1"/>
  <c r="D1526" i="1" s="1"/>
  <c r="M1526" i="1"/>
  <c r="O1526" i="1"/>
  <c r="AA1526" i="1"/>
  <c r="AD1526" i="1"/>
  <c r="AE1526" i="1"/>
  <c r="AF1526" i="1"/>
  <c r="AG1526" i="1"/>
  <c r="AH1526" i="1"/>
  <c r="AQ1526" i="1"/>
  <c r="L1526" i="1" s="1"/>
  <c r="I1527" i="1"/>
  <c r="E1527" i="1" s="1"/>
  <c r="D1527" i="1" s="1"/>
  <c r="M1527" i="1"/>
  <c r="O1527" i="1"/>
  <c r="AA1527" i="1"/>
  <c r="AD1527" i="1"/>
  <c r="AE1527" i="1"/>
  <c r="AF1527" i="1"/>
  <c r="AG1527" i="1"/>
  <c r="AH1527" i="1"/>
  <c r="AQ1527" i="1"/>
  <c r="L1527" i="1" s="1"/>
  <c r="I1528" i="1"/>
  <c r="E1528" i="1" s="1"/>
  <c r="D1528" i="1" s="1"/>
  <c r="M1528" i="1"/>
  <c r="O1528" i="1"/>
  <c r="AA1528" i="1"/>
  <c r="AD1528" i="1"/>
  <c r="AE1528" i="1"/>
  <c r="AF1528" i="1"/>
  <c r="AG1528" i="1"/>
  <c r="AH1528" i="1"/>
  <c r="AQ1528" i="1"/>
  <c r="L1528" i="1" s="1"/>
  <c r="I1529" i="1"/>
  <c r="E1529" i="1" s="1"/>
  <c r="D1529" i="1" s="1"/>
  <c r="M1529" i="1"/>
  <c r="O1529" i="1"/>
  <c r="AA1529" i="1"/>
  <c r="AD1529" i="1"/>
  <c r="AE1529" i="1"/>
  <c r="AF1529" i="1"/>
  <c r="AG1529" i="1"/>
  <c r="AH1529" i="1"/>
  <c r="AQ1529" i="1"/>
  <c r="L1529" i="1" s="1"/>
  <c r="I1530" i="1"/>
  <c r="E1530" i="1" s="1"/>
  <c r="D1530" i="1" s="1"/>
  <c r="M1530" i="1"/>
  <c r="O1530" i="1"/>
  <c r="AA1530" i="1"/>
  <c r="AD1530" i="1"/>
  <c r="AE1530" i="1"/>
  <c r="AF1530" i="1"/>
  <c r="AG1530" i="1"/>
  <c r="AH1530" i="1"/>
  <c r="AQ1530" i="1"/>
  <c r="L1530" i="1" s="1"/>
  <c r="I1531" i="1"/>
  <c r="E1531" i="1" s="1"/>
  <c r="D1531" i="1" s="1"/>
  <c r="M1531" i="1"/>
  <c r="O1531" i="1"/>
  <c r="AA1531" i="1"/>
  <c r="AD1531" i="1"/>
  <c r="AE1531" i="1"/>
  <c r="AF1531" i="1"/>
  <c r="AG1531" i="1"/>
  <c r="AH1531" i="1"/>
  <c r="AQ1531" i="1"/>
  <c r="L1531" i="1" s="1"/>
  <c r="I1532" i="1"/>
  <c r="E1532" i="1" s="1"/>
  <c r="D1532" i="1" s="1"/>
  <c r="M1532" i="1"/>
  <c r="O1532" i="1"/>
  <c r="AA1532" i="1"/>
  <c r="AD1532" i="1"/>
  <c r="AE1532" i="1"/>
  <c r="AF1532" i="1"/>
  <c r="AG1532" i="1"/>
  <c r="AH1532" i="1"/>
  <c r="AQ1532" i="1"/>
  <c r="L1532" i="1" s="1"/>
  <c r="I1533" i="1"/>
  <c r="E1533" i="1" s="1"/>
  <c r="D1533" i="1" s="1"/>
  <c r="M1533" i="1"/>
  <c r="O1533" i="1"/>
  <c r="AA1533" i="1"/>
  <c r="AD1533" i="1"/>
  <c r="AE1533" i="1"/>
  <c r="AF1533" i="1"/>
  <c r="AG1533" i="1"/>
  <c r="AH1533" i="1"/>
  <c r="AQ1533" i="1"/>
  <c r="L1533" i="1" s="1"/>
  <c r="I1534" i="1"/>
  <c r="E1534" i="1" s="1"/>
  <c r="D1534" i="1" s="1"/>
  <c r="M1534" i="1"/>
  <c r="O1534" i="1"/>
  <c r="AA1534" i="1"/>
  <c r="AD1534" i="1"/>
  <c r="AE1534" i="1"/>
  <c r="AF1534" i="1"/>
  <c r="AG1534" i="1"/>
  <c r="AH1534" i="1"/>
  <c r="AQ1534" i="1"/>
  <c r="L1534" i="1" s="1"/>
  <c r="I1535" i="1"/>
  <c r="E1535" i="1" s="1"/>
  <c r="D1535" i="1" s="1"/>
  <c r="M1535" i="1"/>
  <c r="O1535" i="1"/>
  <c r="AA1535" i="1"/>
  <c r="AD1535" i="1"/>
  <c r="AE1535" i="1"/>
  <c r="AF1535" i="1"/>
  <c r="AG1535" i="1"/>
  <c r="AH1535" i="1"/>
  <c r="AQ1535" i="1"/>
  <c r="L1535" i="1" s="1"/>
  <c r="I1536" i="1"/>
  <c r="E1536" i="1" s="1"/>
  <c r="D1536" i="1" s="1"/>
  <c r="M1536" i="1"/>
  <c r="O1536" i="1"/>
  <c r="AA1536" i="1"/>
  <c r="AD1536" i="1"/>
  <c r="AE1536" i="1"/>
  <c r="AF1536" i="1"/>
  <c r="AG1536" i="1"/>
  <c r="AH1536" i="1"/>
  <c r="AQ1536" i="1"/>
  <c r="L1536" i="1" s="1"/>
  <c r="I1537" i="1"/>
  <c r="E1537" i="1" s="1"/>
  <c r="D1537" i="1" s="1"/>
  <c r="M1537" i="1"/>
  <c r="O1537" i="1"/>
  <c r="AA1537" i="1"/>
  <c r="AD1537" i="1"/>
  <c r="AE1537" i="1"/>
  <c r="AF1537" i="1"/>
  <c r="AG1537" i="1"/>
  <c r="AH1537" i="1"/>
  <c r="AQ1537" i="1"/>
  <c r="L1537" i="1" s="1"/>
  <c r="I1538" i="1"/>
  <c r="E1538" i="1" s="1"/>
  <c r="D1538" i="1" s="1"/>
  <c r="M1538" i="1"/>
  <c r="O1538" i="1"/>
  <c r="AA1538" i="1"/>
  <c r="AD1538" i="1"/>
  <c r="AE1538" i="1"/>
  <c r="AF1538" i="1"/>
  <c r="AG1538" i="1"/>
  <c r="AH1538" i="1"/>
  <c r="AQ1538" i="1"/>
  <c r="L1538" i="1" s="1"/>
  <c r="I1539" i="1"/>
  <c r="E1539" i="1" s="1"/>
  <c r="D1539" i="1" s="1"/>
  <c r="M1539" i="1"/>
  <c r="O1539" i="1"/>
  <c r="AA1539" i="1"/>
  <c r="AD1539" i="1"/>
  <c r="AE1539" i="1"/>
  <c r="AF1539" i="1"/>
  <c r="AG1539" i="1"/>
  <c r="AH1539" i="1"/>
  <c r="AQ1539" i="1"/>
  <c r="L1539" i="1" s="1"/>
  <c r="I1540" i="1"/>
  <c r="E1540" i="1" s="1"/>
  <c r="D1540" i="1" s="1"/>
  <c r="M1540" i="1"/>
  <c r="O1540" i="1"/>
  <c r="AA1540" i="1"/>
  <c r="AD1540" i="1"/>
  <c r="AE1540" i="1"/>
  <c r="AF1540" i="1"/>
  <c r="AG1540" i="1"/>
  <c r="AH1540" i="1"/>
  <c r="AQ1540" i="1"/>
  <c r="L1540" i="1" s="1"/>
  <c r="I1541" i="1"/>
  <c r="E1541" i="1" s="1"/>
  <c r="D1541" i="1" s="1"/>
  <c r="M1541" i="1"/>
  <c r="O1541" i="1"/>
  <c r="AA1541" i="1"/>
  <c r="AD1541" i="1"/>
  <c r="AE1541" i="1"/>
  <c r="AF1541" i="1"/>
  <c r="AG1541" i="1"/>
  <c r="AH1541" i="1"/>
  <c r="AQ1541" i="1"/>
  <c r="L1541" i="1" s="1"/>
  <c r="I1542" i="1"/>
  <c r="E1542" i="1" s="1"/>
  <c r="D1542" i="1" s="1"/>
  <c r="M1542" i="1"/>
  <c r="O1542" i="1"/>
  <c r="AA1542" i="1"/>
  <c r="AD1542" i="1"/>
  <c r="AE1542" i="1"/>
  <c r="AF1542" i="1"/>
  <c r="AG1542" i="1"/>
  <c r="AH1542" i="1"/>
  <c r="AQ1542" i="1"/>
  <c r="L1542" i="1" s="1"/>
  <c r="I1543" i="1"/>
  <c r="E1543" i="1" s="1"/>
  <c r="D1543" i="1" s="1"/>
  <c r="M1543" i="1"/>
  <c r="O1543" i="1"/>
  <c r="AA1543" i="1"/>
  <c r="AD1543" i="1"/>
  <c r="AE1543" i="1"/>
  <c r="AF1543" i="1"/>
  <c r="AG1543" i="1"/>
  <c r="AH1543" i="1"/>
  <c r="AQ1543" i="1"/>
  <c r="L1543" i="1" s="1"/>
  <c r="I1544" i="1"/>
  <c r="E1544" i="1" s="1"/>
  <c r="D1544" i="1" s="1"/>
  <c r="M1544" i="1"/>
  <c r="O1544" i="1"/>
  <c r="AA1544" i="1"/>
  <c r="AD1544" i="1"/>
  <c r="AE1544" i="1"/>
  <c r="AF1544" i="1"/>
  <c r="AG1544" i="1"/>
  <c r="AH1544" i="1"/>
  <c r="AQ1544" i="1"/>
  <c r="L1544" i="1" s="1"/>
  <c r="I1545" i="1"/>
  <c r="E1545" i="1" s="1"/>
  <c r="D1545" i="1" s="1"/>
  <c r="M1545" i="1"/>
  <c r="O1545" i="1"/>
  <c r="AA1545" i="1"/>
  <c r="AD1545" i="1"/>
  <c r="AE1545" i="1"/>
  <c r="AF1545" i="1"/>
  <c r="AG1545" i="1"/>
  <c r="AH1545" i="1"/>
  <c r="AQ1545" i="1"/>
  <c r="L1545" i="1" s="1"/>
  <c r="I1546" i="1"/>
  <c r="E1546" i="1" s="1"/>
  <c r="D1546" i="1" s="1"/>
  <c r="M1546" i="1"/>
  <c r="O1546" i="1"/>
  <c r="AA1546" i="1"/>
  <c r="AD1546" i="1"/>
  <c r="AE1546" i="1"/>
  <c r="AF1546" i="1"/>
  <c r="AG1546" i="1"/>
  <c r="AH1546" i="1"/>
  <c r="AQ1546" i="1"/>
  <c r="L1546" i="1" s="1"/>
  <c r="I1547" i="1"/>
  <c r="E1547" i="1" s="1"/>
  <c r="D1547" i="1" s="1"/>
  <c r="M1547" i="1"/>
  <c r="O1547" i="1"/>
  <c r="AA1547" i="1"/>
  <c r="AD1547" i="1"/>
  <c r="AE1547" i="1"/>
  <c r="AF1547" i="1"/>
  <c r="AG1547" i="1"/>
  <c r="AH1547" i="1"/>
  <c r="AQ1547" i="1"/>
  <c r="L1547" i="1" s="1"/>
  <c r="I1548" i="1"/>
  <c r="E1548" i="1" s="1"/>
  <c r="D1548" i="1" s="1"/>
  <c r="M1548" i="1"/>
  <c r="O1548" i="1"/>
  <c r="AA1548" i="1"/>
  <c r="AD1548" i="1"/>
  <c r="AE1548" i="1"/>
  <c r="AF1548" i="1"/>
  <c r="AG1548" i="1"/>
  <c r="AH1548" i="1"/>
  <c r="AQ1548" i="1"/>
  <c r="L1548" i="1" s="1"/>
  <c r="I1549" i="1"/>
  <c r="E1549" i="1" s="1"/>
  <c r="D1549" i="1" s="1"/>
  <c r="M1549" i="1"/>
  <c r="O1549" i="1"/>
  <c r="AA1549" i="1"/>
  <c r="AD1549" i="1"/>
  <c r="AE1549" i="1"/>
  <c r="AF1549" i="1"/>
  <c r="AG1549" i="1"/>
  <c r="AH1549" i="1"/>
  <c r="AQ1549" i="1"/>
  <c r="L1549" i="1" s="1"/>
  <c r="I1550" i="1"/>
  <c r="E1550" i="1" s="1"/>
  <c r="D1550" i="1" s="1"/>
  <c r="M1550" i="1"/>
  <c r="O1550" i="1"/>
  <c r="AA1550" i="1"/>
  <c r="AD1550" i="1"/>
  <c r="AE1550" i="1"/>
  <c r="AF1550" i="1"/>
  <c r="AG1550" i="1"/>
  <c r="AH1550" i="1"/>
  <c r="AQ1550" i="1"/>
  <c r="L1550" i="1" s="1"/>
  <c r="I1551" i="1"/>
  <c r="E1551" i="1" s="1"/>
  <c r="D1551" i="1" s="1"/>
  <c r="M1551" i="1"/>
  <c r="O1551" i="1"/>
  <c r="AA1551" i="1"/>
  <c r="AD1551" i="1"/>
  <c r="AE1551" i="1"/>
  <c r="AF1551" i="1"/>
  <c r="AG1551" i="1"/>
  <c r="AH1551" i="1"/>
  <c r="AQ1551" i="1"/>
  <c r="L1551" i="1" s="1"/>
  <c r="I1552" i="1"/>
  <c r="E1552" i="1" s="1"/>
  <c r="D1552" i="1" s="1"/>
  <c r="M1552" i="1"/>
  <c r="O1552" i="1"/>
  <c r="AA1552" i="1"/>
  <c r="AD1552" i="1"/>
  <c r="AE1552" i="1"/>
  <c r="AF1552" i="1"/>
  <c r="AG1552" i="1"/>
  <c r="AH1552" i="1"/>
  <c r="AQ1552" i="1"/>
  <c r="L1552" i="1" s="1"/>
  <c r="I1553" i="1"/>
  <c r="E1553" i="1" s="1"/>
  <c r="D1553" i="1" s="1"/>
  <c r="M1553" i="1"/>
  <c r="O1553" i="1"/>
  <c r="AA1553" i="1"/>
  <c r="AD1553" i="1"/>
  <c r="AE1553" i="1"/>
  <c r="AF1553" i="1"/>
  <c r="AG1553" i="1"/>
  <c r="AH1553" i="1"/>
  <c r="AQ1553" i="1"/>
  <c r="L1553" i="1" s="1"/>
  <c r="I1554" i="1"/>
  <c r="E1554" i="1" s="1"/>
  <c r="D1554" i="1" s="1"/>
  <c r="M1554" i="1"/>
  <c r="O1554" i="1"/>
  <c r="AA1554" i="1"/>
  <c r="AD1554" i="1"/>
  <c r="AE1554" i="1"/>
  <c r="AF1554" i="1"/>
  <c r="AG1554" i="1"/>
  <c r="AH1554" i="1"/>
  <c r="AQ1554" i="1"/>
  <c r="L1554" i="1" s="1"/>
  <c r="I1555" i="1"/>
  <c r="E1555" i="1" s="1"/>
  <c r="D1555" i="1" s="1"/>
  <c r="M1555" i="1"/>
  <c r="O1555" i="1"/>
  <c r="AA1555" i="1"/>
  <c r="AD1555" i="1"/>
  <c r="AE1555" i="1"/>
  <c r="AF1555" i="1"/>
  <c r="AG1555" i="1"/>
  <c r="AH1555" i="1"/>
  <c r="AQ1555" i="1"/>
  <c r="L1555" i="1" s="1"/>
  <c r="I1556" i="1"/>
  <c r="E1556" i="1" s="1"/>
  <c r="D1556" i="1" s="1"/>
  <c r="M1556" i="1"/>
  <c r="O1556" i="1"/>
  <c r="AA1556" i="1"/>
  <c r="AD1556" i="1"/>
  <c r="AE1556" i="1"/>
  <c r="AF1556" i="1"/>
  <c r="AG1556" i="1"/>
  <c r="AH1556" i="1"/>
  <c r="AQ1556" i="1"/>
  <c r="L1556" i="1" s="1"/>
  <c r="I1557" i="1"/>
  <c r="E1557" i="1" s="1"/>
  <c r="D1557" i="1" s="1"/>
  <c r="M1557" i="1"/>
  <c r="O1557" i="1"/>
  <c r="AA1557" i="1"/>
  <c r="AD1557" i="1"/>
  <c r="AE1557" i="1"/>
  <c r="AF1557" i="1"/>
  <c r="AG1557" i="1"/>
  <c r="AH1557" i="1"/>
  <c r="AQ1557" i="1"/>
  <c r="L1557" i="1" s="1"/>
  <c r="I1558" i="1"/>
  <c r="E1558" i="1" s="1"/>
  <c r="D1558" i="1" s="1"/>
  <c r="M1558" i="1"/>
  <c r="O1558" i="1"/>
  <c r="AA1558" i="1"/>
  <c r="AD1558" i="1"/>
  <c r="AE1558" i="1"/>
  <c r="AF1558" i="1"/>
  <c r="AG1558" i="1"/>
  <c r="AH1558" i="1"/>
  <c r="AQ1558" i="1"/>
  <c r="L1558" i="1" s="1"/>
  <c r="I1559" i="1"/>
  <c r="E1559" i="1" s="1"/>
  <c r="D1559" i="1" s="1"/>
  <c r="M1559" i="1"/>
  <c r="O1559" i="1"/>
  <c r="AA1559" i="1"/>
  <c r="AD1559" i="1"/>
  <c r="AE1559" i="1"/>
  <c r="AF1559" i="1"/>
  <c r="AG1559" i="1"/>
  <c r="AH1559" i="1"/>
  <c r="AQ1559" i="1"/>
  <c r="L1559" i="1" s="1"/>
  <c r="I1560" i="1"/>
  <c r="E1560" i="1" s="1"/>
  <c r="D1560" i="1" s="1"/>
  <c r="M1560" i="1"/>
  <c r="O1560" i="1"/>
  <c r="AA1560" i="1"/>
  <c r="AD1560" i="1"/>
  <c r="AE1560" i="1"/>
  <c r="AF1560" i="1"/>
  <c r="AG1560" i="1"/>
  <c r="AH1560" i="1"/>
  <c r="AQ1560" i="1"/>
  <c r="L1560" i="1" s="1"/>
  <c r="I1561" i="1"/>
  <c r="E1561" i="1" s="1"/>
  <c r="D1561" i="1" s="1"/>
  <c r="M1561" i="1"/>
  <c r="O1561" i="1"/>
  <c r="AA1561" i="1"/>
  <c r="AD1561" i="1"/>
  <c r="AE1561" i="1"/>
  <c r="AF1561" i="1"/>
  <c r="AG1561" i="1"/>
  <c r="AH1561" i="1"/>
  <c r="AQ1561" i="1"/>
  <c r="L1561" i="1" s="1"/>
  <c r="I1562" i="1"/>
  <c r="E1562" i="1" s="1"/>
  <c r="D1562" i="1" s="1"/>
  <c r="M1562" i="1"/>
  <c r="O1562" i="1"/>
  <c r="AA1562" i="1"/>
  <c r="AD1562" i="1"/>
  <c r="AE1562" i="1"/>
  <c r="AF1562" i="1"/>
  <c r="AG1562" i="1"/>
  <c r="AH1562" i="1"/>
  <c r="AQ1562" i="1"/>
  <c r="L1562" i="1" s="1"/>
  <c r="I1563" i="1"/>
  <c r="E1563" i="1" s="1"/>
  <c r="D1563" i="1" s="1"/>
  <c r="M1563" i="1"/>
  <c r="O1563" i="1"/>
  <c r="AA1563" i="1"/>
  <c r="AD1563" i="1"/>
  <c r="AE1563" i="1"/>
  <c r="AF1563" i="1"/>
  <c r="AG1563" i="1"/>
  <c r="AH1563" i="1"/>
  <c r="AQ1563" i="1"/>
  <c r="L1563" i="1" s="1"/>
  <c r="I1564" i="1"/>
  <c r="E1564" i="1" s="1"/>
  <c r="D1564" i="1" s="1"/>
  <c r="M1564" i="1"/>
  <c r="O1564" i="1"/>
  <c r="AA1564" i="1"/>
  <c r="AD1564" i="1"/>
  <c r="AE1564" i="1"/>
  <c r="AF1564" i="1"/>
  <c r="AG1564" i="1"/>
  <c r="AH1564" i="1"/>
  <c r="AQ1564" i="1"/>
  <c r="L1564" i="1" s="1"/>
  <c r="I1565" i="1"/>
  <c r="E1565" i="1" s="1"/>
  <c r="D1565" i="1" s="1"/>
  <c r="M1565" i="1"/>
  <c r="O1565" i="1"/>
  <c r="AA1565" i="1"/>
  <c r="AD1565" i="1"/>
  <c r="AE1565" i="1"/>
  <c r="AF1565" i="1"/>
  <c r="AG1565" i="1"/>
  <c r="AH1565" i="1"/>
  <c r="AQ1565" i="1"/>
  <c r="L1565" i="1" s="1"/>
  <c r="I1566" i="1"/>
  <c r="E1566" i="1" s="1"/>
  <c r="D1566" i="1" s="1"/>
  <c r="M1566" i="1"/>
  <c r="O1566" i="1"/>
  <c r="AA1566" i="1"/>
  <c r="AD1566" i="1"/>
  <c r="AE1566" i="1"/>
  <c r="AF1566" i="1"/>
  <c r="AG1566" i="1"/>
  <c r="AH1566" i="1"/>
  <c r="AQ1566" i="1"/>
  <c r="L1566" i="1" s="1"/>
  <c r="I1567" i="1"/>
  <c r="E1567" i="1" s="1"/>
  <c r="D1567" i="1" s="1"/>
  <c r="M1567" i="1"/>
  <c r="O1567" i="1"/>
  <c r="AA1567" i="1"/>
  <c r="AD1567" i="1"/>
  <c r="AE1567" i="1"/>
  <c r="AF1567" i="1"/>
  <c r="AG1567" i="1"/>
  <c r="AH1567" i="1"/>
  <c r="AQ1567" i="1"/>
  <c r="L1567" i="1" s="1"/>
  <c r="I1568" i="1"/>
  <c r="E1568" i="1" s="1"/>
  <c r="D1568" i="1" s="1"/>
  <c r="M1568" i="1"/>
  <c r="O1568" i="1"/>
  <c r="AA1568" i="1"/>
  <c r="AD1568" i="1"/>
  <c r="AE1568" i="1"/>
  <c r="AF1568" i="1"/>
  <c r="AG1568" i="1"/>
  <c r="AH1568" i="1"/>
  <c r="AQ1568" i="1"/>
  <c r="L1568" i="1" s="1"/>
  <c r="I1569" i="1"/>
  <c r="E1569" i="1" s="1"/>
  <c r="D1569" i="1" s="1"/>
  <c r="M1569" i="1"/>
  <c r="O1569" i="1"/>
  <c r="AA1569" i="1"/>
  <c r="AD1569" i="1"/>
  <c r="AE1569" i="1"/>
  <c r="AF1569" i="1"/>
  <c r="AG1569" i="1"/>
  <c r="AH1569" i="1"/>
  <c r="AQ1569" i="1"/>
  <c r="L1569" i="1" s="1"/>
  <c r="I1570" i="1"/>
  <c r="E1570" i="1" s="1"/>
  <c r="D1570" i="1" s="1"/>
  <c r="M1570" i="1"/>
  <c r="O1570" i="1"/>
  <c r="AA1570" i="1"/>
  <c r="AD1570" i="1"/>
  <c r="AE1570" i="1"/>
  <c r="AF1570" i="1"/>
  <c r="AG1570" i="1"/>
  <c r="AH1570" i="1"/>
  <c r="AQ1570" i="1"/>
  <c r="L1570" i="1" s="1"/>
  <c r="I1571" i="1"/>
  <c r="E1571" i="1" s="1"/>
  <c r="D1571" i="1" s="1"/>
  <c r="M1571" i="1"/>
  <c r="O1571" i="1"/>
  <c r="AA1571" i="1"/>
  <c r="AD1571" i="1"/>
  <c r="AE1571" i="1"/>
  <c r="AF1571" i="1"/>
  <c r="AG1571" i="1"/>
  <c r="AH1571" i="1"/>
  <c r="AQ1571" i="1"/>
  <c r="L1571" i="1" s="1"/>
  <c r="I1572" i="1"/>
  <c r="E1572" i="1" s="1"/>
  <c r="D1572" i="1" s="1"/>
  <c r="M1572" i="1"/>
  <c r="O1572" i="1"/>
  <c r="AA1572" i="1"/>
  <c r="AD1572" i="1"/>
  <c r="AE1572" i="1"/>
  <c r="AF1572" i="1"/>
  <c r="AG1572" i="1"/>
  <c r="AH1572" i="1"/>
  <c r="AQ1572" i="1"/>
  <c r="L1572" i="1" s="1"/>
  <c r="I1573" i="1"/>
  <c r="E1573" i="1" s="1"/>
  <c r="D1573" i="1" s="1"/>
  <c r="M1573" i="1"/>
  <c r="O1573" i="1"/>
  <c r="AA1573" i="1"/>
  <c r="AD1573" i="1"/>
  <c r="AE1573" i="1"/>
  <c r="AF1573" i="1"/>
  <c r="AG1573" i="1"/>
  <c r="AH1573" i="1"/>
  <c r="AQ1573" i="1"/>
  <c r="L1573" i="1" s="1"/>
  <c r="I1574" i="1"/>
  <c r="E1574" i="1" s="1"/>
  <c r="D1574" i="1" s="1"/>
  <c r="M1574" i="1"/>
  <c r="O1574" i="1"/>
  <c r="AA1574" i="1"/>
  <c r="AD1574" i="1"/>
  <c r="AE1574" i="1"/>
  <c r="AF1574" i="1"/>
  <c r="AG1574" i="1"/>
  <c r="AH1574" i="1"/>
  <c r="AQ1574" i="1"/>
  <c r="L1574" i="1" s="1"/>
  <c r="I1575" i="1"/>
  <c r="E1575" i="1" s="1"/>
  <c r="D1575" i="1" s="1"/>
  <c r="M1575" i="1"/>
  <c r="O1575" i="1"/>
  <c r="AA1575" i="1"/>
  <c r="AD1575" i="1"/>
  <c r="AE1575" i="1"/>
  <c r="AF1575" i="1"/>
  <c r="AG1575" i="1"/>
  <c r="AH1575" i="1"/>
  <c r="AQ1575" i="1"/>
  <c r="L1575" i="1" s="1"/>
  <c r="I1576" i="1"/>
  <c r="E1576" i="1" s="1"/>
  <c r="D1576" i="1" s="1"/>
  <c r="M1576" i="1"/>
  <c r="O1576" i="1"/>
  <c r="AA1576" i="1"/>
  <c r="AD1576" i="1"/>
  <c r="AE1576" i="1"/>
  <c r="AF1576" i="1"/>
  <c r="AG1576" i="1"/>
  <c r="AH1576" i="1"/>
  <c r="AQ1576" i="1"/>
  <c r="L1576" i="1" s="1"/>
  <c r="I1577" i="1"/>
  <c r="E1577" i="1" s="1"/>
  <c r="D1577" i="1" s="1"/>
  <c r="M1577" i="1"/>
  <c r="O1577" i="1"/>
  <c r="AA1577" i="1"/>
  <c r="AD1577" i="1"/>
  <c r="AE1577" i="1"/>
  <c r="AF1577" i="1"/>
  <c r="AG1577" i="1"/>
  <c r="AH1577" i="1"/>
  <c r="AQ1577" i="1"/>
  <c r="L1577" i="1" s="1"/>
  <c r="I1578" i="1"/>
  <c r="E1578" i="1" s="1"/>
  <c r="D1578" i="1" s="1"/>
  <c r="M1578" i="1"/>
  <c r="O1578" i="1"/>
  <c r="AA1578" i="1"/>
  <c r="AD1578" i="1"/>
  <c r="AE1578" i="1"/>
  <c r="AF1578" i="1"/>
  <c r="AG1578" i="1"/>
  <c r="AH1578" i="1"/>
  <c r="AQ1578" i="1"/>
  <c r="L1578" i="1" s="1"/>
  <c r="I1579" i="1"/>
  <c r="E1579" i="1" s="1"/>
  <c r="D1579" i="1" s="1"/>
  <c r="M1579" i="1"/>
  <c r="O1579" i="1"/>
  <c r="AA1579" i="1"/>
  <c r="AD1579" i="1"/>
  <c r="AE1579" i="1"/>
  <c r="AF1579" i="1"/>
  <c r="AG1579" i="1"/>
  <c r="AH1579" i="1"/>
  <c r="AQ1579" i="1"/>
  <c r="L1579" i="1" s="1"/>
  <c r="I1580" i="1"/>
  <c r="E1580" i="1" s="1"/>
  <c r="D1580" i="1" s="1"/>
  <c r="M1580" i="1"/>
  <c r="O1580" i="1"/>
  <c r="AA1580" i="1"/>
  <c r="AD1580" i="1"/>
  <c r="AE1580" i="1"/>
  <c r="AF1580" i="1"/>
  <c r="AG1580" i="1"/>
  <c r="AH1580" i="1"/>
  <c r="AQ1580" i="1"/>
  <c r="L1580" i="1" s="1"/>
  <c r="I1581" i="1"/>
  <c r="E1581" i="1" s="1"/>
  <c r="D1581" i="1" s="1"/>
  <c r="M1581" i="1"/>
  <c r="O1581" i="1"/>
  <c r="AA1581" i="1"/>
  <c r="AD1581" i="1"/>
  <c r="AE1581" i="1"/>
  <c r="AF1581" i="1"/>
  <c r="AG1581" i="1"/>
  <c r="AH1581" i="1"/>
  <c r="AQ1581" i="1"/>
  <c r="L1581" i="1" s="1"/>
  <c r="I1582" i="1"/>
  <c r="E1582" i="1" s="1"/>
  <c r="D1582" i="1" s="1"/>
  <c r="M1582" i="1"/>
  <c r="O1582" i="1"/>
  <c r="AA1582" i="1"/>
  <c r="AD1582" i="1"/>
  <c r="AE1582" i="1"/>
  <c r="AF1582" i="1"/>
  <c r="AG1582" i="1"/>
  <c r="AH1582" i="1"/>
  <c r="AQ1582" i="1"/>
  <c r="L1582" i="1" s="1"/>
  <c r="I1583" i="1"/>
  <c r="E1583" i="1" s="1"/>
  <c r="D1583" i="1" s="1"/>
  <c r="M1583" i="1"/>
  <c r="O1583" i="1"/>
  <c r="AA1583" i="1"/>
  <c r="AD1583" i="1"/>
  <c r="AE1583" i="1"/>
  <c r="AF1583" i="1"/>
  <c r="AG1583" i="1"/>
  <c r="AH1583" i="1"/>
  <c r="AQ1583" i="1"/>
  <c r="L1583" i="1" s="1"/>
  <c r="I1584" i="1"/>
  <c r="E1584" i="1" s="1"/>
  <c r="D1584" i="1" s="1"/>
  <c r="M1584" i="1"/>
  <c r="O1584" i="1"/>
  <c r="AA1584" i="1"/>
  <c r="AD1584" i="1"/>
  <c r="AE1584" i="1"/>
  <c r="AF1584" i="1"/>
  <c r="AG1584" i="1"/>
  <c r="AH1584" i="1"/>
  <c r="AQ1584" i="1"/>
  <c r="L1584" i="1" s="1"/>
  <c r="I1585" i="1"/>
  <c r="E1585" i="1" s="1"/>
  <c r="D1585" i="1" s="1"/>
  <c r="M1585" i="1"/>
  <c r="O1585" i="1"/>
  <c r="AA1585" i="1"/>
  <c r="AD1585" i="1"/>
  <c r="AE1585" i="1"/>
  <c r="AF1585" i="1"/>
  <c r="AG1585" i="1"/>
  <c r="AH1585" i="1"/>
  <c r="AQ1585" i="1"/>
  <c r="L1585" i="1" s="1"/>
  <c r="I1586" i="1"/>
  <c r="E1586" i="1" s="1"/>
  <c r="D1586" i="1" s="1"/>
  <c r="M1586" i="1"/>
  <c r="O1586" i="1"/>
  <c r="AA1586" i="1"/>
  <c r="AD1586" i="1"/>
  <c r="AE1586" i="1"/>
  <c r="AF1586" i="1"/>
  <c r="AG1586" i="1"/>
  <c r="AH1586" i="1"/>
  <c r="AQ1586" i="1"/>
  <c r="L1586" i="1" s="1"/>
  <c r="I1587" i="1"/>
  <c r="E1587" i="1" s="1"/>
  <c r="D1587" i="1" s="1"/>
  <c r="M1587" i="1"/>
  <c r="O1587" i="1"/>
  <c r="AA1587" i="1"/>
  <c r="AD1587" i="1"/>
  <c r="AE1587" i="1"/>
  <c r="AF1587" i="1"/>
  <c r="AG1587" i="1"/>
  <c r="AH1587" i="1"/>
  <c r="AQ1587" i="1"/>
  <c r="L1587" i="1" s="1"/>
  <c r="I1588" i="1"/>
  <c r="E1588" i="1" s="1"/>
  <c r="D1588" i="1" s="1"/>
  <c r="M1588" i="1"/>
  <c r="O1588" i="1"/>
  <c r="AA1588" i="1"/>
  <c r="AD1588" i="1"/>
  <c r="AE1588" i="1"/>
  <c r="AF1588" i="1"/>
  <c r="AG1588" i="1"/>
  <c r="AH1588" i="1"/>
  <c r="AQ1588" i="1"/>
  <c r="L1588" i="1" s="1"/>
  <c r="I1589" i="1"/>
  <c r="E1589" i="1" s="1"/>
  <c r="D1589" i="1" s="1"/>
  <c r="M1589" i="1"/>
  <c r="O1589" i="1"/>
  <c r="AA1589" i="1"/>
  <c r="AD1589" i="1"/>
  <c r="AE1589" i="1"/>
  <c r="AF1589" i="1"/>
  <c r="AG1589" i="1"/>
  <c r="AH1589" i="1"/>
  <c r="AQ1589" i="1"/>
  <c r="L1589" i="1" s="1"/>
  <c r="I1590" i="1"/>
  <c r="E1590" i="1" s="1"/>
  <c r="D1590" i="1" s="1"/>
  <c r="M1590" i="1"/>
  <c r="O1590" i="1"/>
  <c r="AA1590" i="1"/>
  <c r="AD1590" i="1"/>
  <c r="AE1590" i="1"/>
  <c r="AF1590" i="1"/>
  <c r="AG1590" i="1"/>
  <c r="AH1590" i="1"/>
  <c r="AQ1590" i="1"/>
  <c r="L1590" i="1" s="1"/>
  <c r="I1591" i="1"/>
  <c r="E1591" i="1" s="1"/>
  <c r="D1591" i="1" s="1"/>
  <c r="M1591" i="1"/>
  <c r="O1591" i="1"/>
  <c r="AA1591" i="1"/>
  <c r="AD1591" i="1"/>
  <c r="AE1591" i="1"/>
  <c r="AF1591" i="1"/>
  <c r="AG1591" i="1"/>
  <c r="AH1591" i="1"/>
  <c r="AQ1591" i="1"/>
  <c r="L1591" i="1" s="1"/>
  <c r="I1592" i="1"/>
  <c r="E1592" i="1" s="1"/>
  <c r="D1592" i="1" s="1"/>
  <c r="M1592" i="1"/>
  <c r="O1592" i="1"/>
  <c r="AA1592" i="1"/>
  <c r="AD1592" i="1"/>
  <c r="AE1592" i="1"/>
  <c r="AF1592" i="1"/>
  <c r="AG1592" i="1"/>
  <c r="AH1592" i="1"/>
  <c r="AQ1592" i="1"/>
  <c r="L1592" i="1" s="1"/>
  <c r="I1593" i="1"/>
  <c r="E1593" i="1" s="1"/>
  <c r="D1593" i="1" s="1"/>
  <c r="M1593" i="1"/>
  <c r="O1593" i="1"/>
  <c r="AA1593" i="1"/>
  <c r="AD1593" i="1"/>
  <c r="AE1593" i="1"/>
  <c r="AF1593" i="1"/>
  <c r="AG1593" i="1"/>
  <c r="AH1593" i="1"/>
  <c r="AQ1593" i="1"/>
  <c r="L1593" i="1" s="1"/>
  <c r="I1594" i="1"/>
  <c r="E1594" i="1" s="1"/>
  <c r="D1594" i="1" s="1"/>
  <c r="M1594" i="1"/>
  <c r="O1594" i="1"/>
  <c r="AA1594" i="1"/>
  <c r="AD1594" i="1"/>
  <c r="AE1594" i="1"/>
  <c r="AF1594" i="1"/>
  <c r="AG1594" i="1"/>
  <c r="AH1594" i="1"/>
  <c r="AQ1594" i="1"/>
  <c r="L1594" i="1" s="1"/>
  <c r="I1595" i="1"/>
  <c r="E1595" i="1" s="1"/>
  <c r="D1595" i="1" s="1"/>
  <c r="M1595" i="1"/>
  <c r="O1595" i="1"/>
  <c r="AA1595" i="1"/>
  <c r="AD1595" i="1"/>
  <c r="AE1595" i="1"/>
  <c r="AF1595" i="1"/>
  <c r="AG1595" i="1"/>
  <c r="AH1595" i="1"/>
  <c r="AQ1595" i="1"/>
  <c r="L1595" i="1" s="1"/>
  <c r="I1596" i="1"/>
  <c r="E1596" i="1" s="1"/>
  <c r="D1596" i="1" s="1"/>
  <c r="M1596" i="1"/>
  <c r="O1596" i="1"/>
  <c r="AA1596" i="1"/>
  <c r="AD1596" i="1"/>
  <c r="AE1596" i="1"/>
  <c r="AF1596" i="1"/>
  <c r="AG1596" i="1"/>
  <c r="AH1596" i="1"/>
  <c r="AQ1596" i="1"/>
  <c r="L1596" i="1" s="1"/>
  <c r="I1597" i="1"/>
  <c r="E1597" i="1" s="1"/>
  <c r="D1597" i="1" s="1"/>
  <c r="M1597" i="1"/>
  <c r="O1597" i="1"/>
  <c r="AA1597" i="1"/>
  <c r="AD1597" i="1"/>
  <c r="AE1597" i="1"/>
  <c r="AF1597" i="1"/>
  <c r="AG1597" i="1"/>
  <c r="AH1597" i="1"/>
  <c r="AQ1597" i="1"/>
  <c r="L1597" i="1" s="1"/>
  <c r="I1598" i="1"/>
  <c r="E1598" i="1" s="1"/>
  <c r="D1598" i="1" s="1"/>
  <c r="M1598" i="1"/>
  <c r="O1598" i="1"/>
  <c r="AA1598" i="1"/>
  <c r="AD1598" i="1"/>
  <c r="AE1598" i="1"/>
  <c r="AF1598" i="1"/>
  <c r="AG1598" i="1"/>
  <c r="AH1598" i="1"/>
  <c r="AQ1598" i="1"/>
  <c r="L1598" i="1" s="1"/>
  <c r="I1599" i="1"/>
  <c r="E1599" i="1" s="1"/>
  <c r="D1599" i="1" s="1"/>
  <c r="M1599" i="1"/>
  <c r="O1599" i="1"/>
  <c r="AA1599" i="1"/>
  <c r="AD1599" i="1"/>
  <c r="AE1599" i="1"/>
  <c r="AF1599" i="1"/>
  <c r="AG1599" i="1"/>
  <c r="AH1599" i="1"/>
  <c r="AQ1599" i="1"/>
  <c r="L1599" i="1" s="1"/>
  <c r="I1600" i="1"/>
  <c r="E1600" i="1" s="1"/>
  <c r="D1600" i="1" s="1"/>
  <c r="M1600" i="1"/>
  <c r="O1600" i="1"/>
  <c r="AA1600" i="1"/>
  <c r="AD1600" i="1"/>
  <c r="AE1600" i="1"/>
  <c r="AF1600" i="1"/>
  <c r="AG1600" i="1"/>
  <c r="AH1600" i="1"/>
  <c r="AQ1600" i="1"/>
  <c r="L1600" i="1" s="1"/>
  <c r="I1601" i="1"/>
  <c r="E1601" i="1" s="1"/>
  <c r="D1601" i="1" s="1"/>
  <c r="M1601" i="1"/>
  <c r="O1601" i="1"/>
  <c r="AA1601" i="1"/>
  <c r="AD1601" i="1"/>
  <c r="AE1601" i="1"/>
  <c r="AF1601" i="1"/>
  <c r="AG1601" i="1"/>
  <c r="AH1601" i="1"/>
  <c r="AQ1601" i="1"/>
  <c r="L1601" i="1" s="1"/>
  <c r="I1602" i="1"/>
  <c r="E1602" i="1" s="1"/>
  <c r="D1602" i="1" s="1"/>
  <c r="M1602" i="1"/>
  <c r="O1602" i="1"/>
  <c r="AA1602" i="1"/>
  <c r="AD1602" i="1"/>
  <c r="AE1602" i="1"/>
  <c r="AF1602" i="1"/>
  <c r="AG1602" i="1"/>
  <c r="AH1602" i="1"/>
  <c r="AQ1602" i="1"/>
  <c r="L1602" i="1" s="1"/>
  <c r="I1603" i="1"/>
  <c r="E1603" i="1" s="1"/>
  <c r="D1603" i="1" s="1"/>
  <c r="M1603" i="1"/>
  <c r="O1603" i="1"/>
  <c r="AA1603" i="1"/>
  <c r="AD1603" i="1"/>
  <c r="AE1603" i="1"/>
  <c r="AF1603" i="1"/>
  <c r="AG1603" i="1"/>
  <c r="AH1603" i="1"/>
  <c r="AQ1603" i="1"/>
  <c r="L1603" i="1" s="1"/>
  <c r="I1604" i="1"/>
  <c r="E1604" i="1" s="1"/>
  <c r="D1604" i="1" s="1"/>
  <c r="M1604" i="1"/>
  <c r="O1604" i="1"/>
  <c r="AA1604" i="1"/>
  <c r="AD1604" i="1"/>
  <c r="AE1604" i="1"/>
  <c r="AF1604" i="1"/>
  <c r="AG1604" i="1"/>
  <c r="AH1604" i="1"/>
  <c r="AQ1604" i="1"/>
  <c r="L1604" i="1" s="1"/>
  <c r="I1605" i="1"/>
  <c r="E1605" i="1" s="1"/>
  <c r="D1605" i="1" s="1"/>
  <c r="M1605" i="1"/>
  <c r="O1605" i="1"/>
  <c r="AA1605" i="1"/>
  <c r="AD1605" i="1"/>
  <c r="AE1605" i="1"/>
  <c r="AF1605" i="1"/>
  <c r="AG1605" i="1"/>
  <c r="AH1605" i="1"/>
  <c r="AQ1605" i="1"/>
  <c r="L1605" i="1" s="1"/>
  <c r="I1606" i="1"/>
  <c r="E1606" i="1" s="1"/>
  <c r="D1606" i="1" s="1"/>
  <c r="M1606" i="1"/>
  <c r="O1606" i="1"/>
  <c r="AA1606" i="1"/>
  <c r="AD1606" i="1"/>
  <c r="AE1606" i="1"/>
  <c r="AF1606" i="1"/>
  <c r="AG1606" i="1"/>
  <c r="AH1606" i="1"/>
  <c r="AQ1606" i="1"/>
  <c r="L1606" i="1" s="1"/>
  <c r="I1607" i="1"/>
  <c r="E1607" i="1" s="1"/>
  <c r="D1607" i="1" s="1"/>
  <c r="M1607" i="1"/>
  <c r="O1607" i="1"/>
  <c r="AA1607" i="1"/>
  <c r="AD1607" i="1"/>
  <c r="AE1607" i="1"/>
  <c r="AF1607" i="1"/>
  <c r="AG1607" i="1"/>
  <c r="AH1607" i="1"/>
  <c r="AQ1607" i="1"/>
  <c r="L1607" i="1" s="1"/>
  <c r="I1608" i="1"/>
  <c r="E1608" i="1" s="1"/>
  <c r="D1608" i="1" s="1"/>
  <c r="M1608" i="1"/>
  <c r="O1608" i="1"/>
  <c r="AA1608" i="1"/>
  <c r="AD1608" i="1"/>
  <c r="AE1608" i="1"/>
  <c r="AF1608" i="1"/>
  <c r="AG1608" i="1"/>
  <c r="AH1608" i="1"/>
  <c r="AQ1608" i="1"/>
  <c r="L1608" i="1" s="1"/>
  <c r="I1609" i="1"/>
  <c r="E1609" i="1" s="1"/>
  <c r="D1609" i="1" s="1"/>
  <c r="M1609" i="1"/>
  <c r="O1609" i="1"/>
  <c r="AA1609" i="1"/>
  <c r="AD1609" i="1"/>
  <c r="AE1609" i="1"/>
  <c r="AF1609" i="1"/>
  <c r="AG1609" i="1"/>
  <c r="AH1609" i="1"/>
  <c r="AQ1609" i="1"/>
  <c r="L1609" i="1" s="1"/>
  <c r="I1610" i="1"/>
  <c r="E1610" i="1" s="1"/>
  <c r="D1610" i="1" s="1"/>
  <c r="M1610" i="1"/>
  <c r="O1610" i="1"/>
  <c r="AA1610" i="1"/>
  <c r="AD1610" i="1"/>
  <c r="AE1610" i="1"/>
  <c r="AF1610" i="1"/>
  <c r="AG1610" i="1"/>
  <c r="AH1610" i="1"/>
  <c r="AQ1610" i="1"/>
  <c r="L1610" i="1" s="1"/>
  <c r="I1611" i="1"/>
  <c r="E1611" i="1" s="1"/>
  <c r="D1611" i="1" s="1"/>
  <c r="M1611" i="1"/>
  <c r="O1611" i="1"/>
  <c r="AA1611" i="1"/>
  <c r="AD1611" i="1"/>
  <c r="AE1611" i="1"/>
  <c r="AF1611" i="1"/>
  <c r="AG1611" i="1"/>
  <c r="AH1611" i="1"/>
  <c r="AQ1611" i="1"/>
  <c r="L1611" i="1" s="1"/>
  <c r="I1612" i="1"/>
  <c r="E1612" i="1" s="1"/>
  <c r="D1612" i="1" s="1"/>
  <c r="M1612" i="1"/>
  <c r="O1612" i="1"/>
  <c r="AA1612" i="1"/>
  <c r="AD1612" i="1"/>
  <c r="AE1612" i="1"/>
  <c r="AF1612" i="1"/>
  <c r="AG1612" i="1"/>
  <c r="AH1612" i="1"/>
  <c r="AQ1612" i="1"/>
  <c r="L1612" i="1" s="1"/>
  <c r="I1613" i="1"/>
  <c r="E1613" i="1" s="1"/>
  <c r="D1613" i="1" s="1"/>
  <c r="M1613" i="1"/>
  <c r="O1613" i="1"/>
  <c r="AA1613" i="1"/>
  <c r="AD1613" i="1"/>
  <c r="AE1613" i="1"/>
  <c r="AF1613" i="1"/>
  <c r="AG1613" i="1"/>
  <c r="AH1613" i="1"/>
  <c r="AQ1613" i="1"/>
  <c r="L1613" i="1" s="1"/>
  <c r="I1614" i="1"/>
  <c r="E1614" i="1" s="1"/>
  <c r="D1614" i="1" s="1"/>
  <c r="M1614" i="1"/>
  <c r="O1614" i="1"/>
  <c r="AA1614" i="1"/>
  <c r="AD1614" i="1"/>
  <c r="AE1614" i="1"/>
  <c r="AF1614" i="1"/>
  <c r="AG1614" i="1"/>
  <c r="AH1614" i="1"/>
  <c r="AQ1614" i="1"/>
  <c r="L1614" i="1" s="1"/>
  <c r="I1615" i="1"/>
  <c r="E1615" i="1" s="1"/>
  <c r="D1615" i="1" s="1"/>
  <c r="M1615" i="1"/>
  <c r="O1615" i="1"/>
  <c r="AA1615" i="1"/>
  <c r="AD1615" i="1"/>
  <c r="AE1615" i="1"/>
  <c r="AF1615" i="1"/>
  <c r="AG1615" i="1"/>
  <c r="AH1615" i="1"/>
  <c r="AQ1615" i="1"/>
  <c r="L1615" i="1" s="1"/>
  <c r="I1616" i="1"/>
  <c r="E1616" i="1" s="1"/>
  <c r="D1616" i="1" s="1"/>
  <c r="M1616" i="1"/>
  <c r="O1616" i="1"/>
  <c r="AA1616" i="1"/>
  <c r="AD1616" i="1"/>
  <c r="AE1616" i="1"/>
  <c r="AF1616" i="1"/>
  <c r="AG1616" i="1"/>
  <c r="AH1616" i="1"/>
  <c r="AQ1616" i="1"/>
  <c r="L1616" i="1" s="1"/>
  <c r="I1617" i="1"/>
  <c r="E1617" i="1" s="1"/>
  <c r="D1617" i="1" s="1"/>
  <c r="M1617" i="1"/>
  <c r="O1617" i="1"/>
  <c r="AA1617" i="1"/>
  <c r="AD1617" i="1"/>
  <c r="AE1617" i="1"/>
  <c r="AF1617" i="1"/>
  <c r="AG1617" i="1"/>
  <c r="AH1617" i="1"/>
  <c r="AQ1617" i="1"/>
  <c r="L1617" i="1" s="1"/>
  <c r="I1618" i="1"/>
  <c r="E1618" i="1" s="1"/>
  <c r="D1618" i="1" s="1"/>
  <c r="M1618" i="1"/>
  <c r="O1618" i="1"/>
  <c r="AA1618" i="1"/>
  <c r="AD1618" i="1"/>
  <c r="AE1618" i="1"/>
  <c r="AF1618" i="1"/>
  <c r="AG1618" i="1"/>
  <c r="AH1618" i="1"/>
  <c r="AQ1618" i="1"/>
  <c r="L1618" i="1" s="1"/>
  <c r="I1619" i="1"/>
  <c r="E1619" i="1" s="1"/>
  <c r="D1619" i="1" s="1"/>
  <c r="M1619" i="1"/>
  <c r="O1619" i="1"/>
  <c r="AA1619" i="1"/>
  <c r="AD1619" i="1"/>
  <c r="AE1619" i="1"/>
  <c r="AF1619" i="1"/>
  <c r="AG1619" i="1"/>
  <c r="AH1619" i="1"/>
  <c r="AQ1619" i="1"/>
  <c r="L1619" i="1" s="1"/>
  <c r="I1620" i="1"/>
  <c r="E1620" i="1" s="1"/>
  <c r="D1620" i="1" s="1"/>
  <c r="M1620" i="1"/>
  <c r="O1620" i="1"/>
  <c r="AA1620" i="1"/>
  <c r="AD1620" i="1"/>
  <c r="AE1620" i="1"/>
  <c r="AF1620" i="1"/>
  <c r="AG1620" i="1"/>
  <c r="AH1620" i="1"/>
  <c r="AQ1620" i="1"/>
  <c r="L1620" i="1" s="1"/>
  <c r="I1621" i="1"/>
  <c r="E1621" i="1" s="1"/>
  <c r="D1621" i="1" s="1"/>
  <c r="M1621" i="1"/>
  <c r="O1621" i="1"/>
  <c r="AA1621" i="1"/>
  <c r="AD1621" i="1"/>
  <c r="AE1621" i="1"/>
  <c r="AF1621" i="1"/>
  <c r="AG1621" i="1"/>
  <c r="AH1621" i="1"/>
  <c r="AQ1621" i="1"/>
  <c r="L1621" i="1" s="1"/>
  <c r="I1622" i="1"/>
  <c r="E1622" i="1" s="1"/>
  <c r="D1622" i="1" s="1"/>
  <c r="M1622" i="1"/>
  <c r="O1622" i="1"/>
  <c r="AA1622" i="1"/>
  <c r="AD1622" i="1"/>
  <c r="AE1622" i="1"/>
  <c r="AF1622" i="1"/>
  <c r="AG1622" i="1"/>
  <c r="AH1622" i="1"/>
  <c r="AQ1622" i="1"/>
  <c r="L1622" i="1" s="1"/>
  <c r="I1623" i="1"/>
  <c r="E1623" i="1" s="1"/>
  <c r="D1623" i="1" s="1"/>
  <c r="M1623" i="1"/>
  <c r="O1623" i="1"/>
  <c r="AA1623" i="1"/>
  <c r="AD1623" i="1"/>
  <c r="AE1623" i="1"/>
  <c r="AF1623" i="1"/>
  <c r="AG1623" i="1"/>
  <c r="AH1623" i="1"/>
  <c r="AQ1623" i="1"/>
  <c r="L1623" i="1" s="1"/>
  <c r="I1624" i="1"/>
  <c r="E1624" i="1" s="1"/>
  <c r="D1624" i="1" s="1"/>
  <c r="M1624" i="1"/>
  <c r="O1624" i="1"/>
  <c r="AA1624" i="1"/>
  <c r="AD1624" i="1"/>
  <c r="AE1624" i="1"/>
  <c r="AF1624" i="1"/>
  <c r="AG1624" i="1"/>
  <c r="AH1624" i="1"/>
  <c r="AQ1624" i="1"/>
  <c r="L1624" i="1" s="1"/>
  <c r="I1625" i="1"/>
  <c r="E1625" i="1" s="1"/>
  <c r="D1625" i="1" s="1"/>
  <c r="M1625" i="1"/>
  <c r="O1625" i="1"/>
  <c r="AA1625" i="1"/>
  <c r="AD1625" i="1"/>
  <c r="AE1625" i="1"/>
  <c r="AF1625" i="1"/>
  <c r="AG1625" i="1"/>
  <c r="AH1625" i="1"/>
  <c r="AQ1625" i="1"/>
  <c r="L1625" i="1" s="1"/>
  <c r="I1626" i="1"/>
  <c r="E1626" i="1" s="1"/>
  <c r="D1626" i="1" s="1"/>
  <c r="M1626" i="1"/>
  <c r="O1626" i="1"/>
  <c r="AA1626" i="1"/>
  <c r="AD1626" i="1"/>
  <c r="AE1626" i="1"/>
  <c r="AF1626" i="1"/>
  <c r="AG1626" i="1"/>
  <c r="AH1626" i="1"/>
  <c r="AQ1626" i="1"/>
  <c r="L1626" i="1" s="1"/>
  <c r="I1627" i="1"/>
  <c r="E1627" i="1" s="1"/>
  <c r="D1627" i="1" s="1"/>
  <c r="M1627" i="1"/>
  <c r="O1627" i="1"/>
  <c r="AA1627" i="1"/>
  <c r="AD1627" i="1"/>
  <c r="AE1627" i="1"/>
  <c r="AF1627" i="1"/>
  <c r="AG1627" i="1"/>
  <c r="AH1627" i="1"/>
  <c r="AQ1627" i="1"/>
  <c r="L1627" i="1" s="1"/>
  <c r="I1628" i="1"/>
  <c r="E1628" i="1" s="1"/>
  <c r="D1628" i="1" s="1"/>
  <c r="M1628" i="1"/>
  <c r="O1628" i="1"/>
  <c r="AA1628" i="1"/>
  <c r="AD1628" i="1"/>
  <c r="AE1628" i="1"/>
  <c r="AF1628" i="1"/>
  <c r="AG1628" i="1"/>
  <c r="AH1628" i="1"/>
  <c r="AQ1628" i="1"/>
  <c r="L1628" i="1" s="1"/>
  <c r="I1629" i="1"/>
  <c r="E1629" i="1" s="1"/>
  <c r="D1629" i="1" s="1"/>
  <c r="M1629" i="1"/>
  <c r="O1629" i="1"/>
  <c r="AA1629" i="1"/>
  <c r="AD1629" i="1"/>
  <c r="AE1629" i="1"/>
  <c r="AF1629" i="1"/>
  <c r="AG1629" i="1"/>
  <c r="AH1629" i="1"/>
  <c r="AQ1629" i="1"/>
  <c r="L1629" i="1" s="1"/>
  <c r="I1630" i="1"/>
  <c r="E1630" i="1" s="1"/>
  <c r="D1630" i="1" s="1"/>
  <c r="M1630" i="1"/>
  <c r="O1630" i="1"/>
  <c r="AA1630" i="1"/>
  <c r="AD1630" i="1"/>
  <c r="AE1630" i="1"/>
  <c r="AF1630" i="1"/>
  <c r="AG1630" i="1"/>
  <c r="AH1630" i="1"/>
  <c r="AQ1630" i="1"/>
  <c r="L1630" i="1" s="1"/>
  <c r="I1631" i="1"/>
  <c r="E1631" i="1" s="1"/>
  <c r="D1631" i="1" s="1"/>
  <c r="M1631" i="1"/>
  <c r="O1631" i="1"/>
  <c r="AA1631" i="1"/>
  <c r="AD1631" i="1"/>
  <c r="AE1631" i="1"/>
  <c r="AF1631" i="1"/>
  <c r="AG1631" i="1"/>
  <c r="AH1631" i="1"/>
  <c r="AQ1631" i="1"/>
  <c r="L1631" i="1" s="1"/>
  <c r="I1632" i="1"/>
  <c r="E1632" i="1" s="1"/>
  <c r="D1632" i="1" s="1"/>
  <c r="M1632" i="1"/>
  <c r="O1632" i="1"/>
  <c r="AA1632" i="1"/>
  <c r="AD1632" i="1"/>
  <c r="AE1632" i="1"/>
  <c r="AF1632" i="1"/>
  <c r="AG1632" i="1"/>
  <c r="AH1632" i="1"/>
  <c r="AQ1632" i="1"/>
  <c r="L1632" i="1" s="1"/>
  <c r="I1633" i="1"/>
  <c r="E1633" i="1" s="1"/>
  <c r="D1633" i="1" s="1"/>
  <c r="M1633" i="1"/>
  <c r="O1633" i="1"/>
  <c r="AA1633" i="1"/>
  <c r="AD1633" i="1"/>
  <c r="AE1633" i="1"/>
  <c r="AF1633" i="1"/>
  <c r="AG1633" i="1"/>
  <c r="AH1633" i="1"/>
  <c r="AQ1633" i="1"/>
  <c r="L1633" i="1" s="1"/>
  <c r="I1634" i="1"/>
  <c r="E1634" i="1" s="1"/>
  <c r="D1634" i="1" s="1"/>
  <c r="M1634" i="1"/>
  <c r="O1634" i="1"/>
  <c r="AA1634" i="1"/>
  <c r="AD1634" i="1"/>
  <c r="AE1634" i="1"/>
  <c r="AF1634" i="1"/>
  <c r="AG1634" i="1"/>
  <c r="AH1634" i="1"/>
  <c r="AQ1634" i="1"/>
  <c r="L1634" i="1" s="1"/>
  <c r="I1635" i="1"/>
  <c r="E1635" i="1" s="1"/>
  <c r="D1635" i="1" s="1"/>
  <c r="M1635" i="1"/>
  <c r="O1635" i="1"/>
  <c r="AA1635" i="1"/>
  <c r="AD1635" i="1"/>
  <c r="AE1635" i="1"/>
  <c r="AF1635" i="1"/>
  <c r="AG1635" i="1"/>
  <c r="AH1635" i="1"/>
  <c r="AQ1635" i="1"/>
  <c r="L1635" i="1" s="1"/>
  <c r="I1636" i="1"/>
  <c r="E1636" i="1" s="1"/>
  <c r="D1636" i="1" s="1"/>
  <c r="M1636" i="1"/>
  <c r="O1636" i="1"/>
  <c r="AA1636" i="1"/>
  <c r="AD1636" i="1"/>
  <c r="AE1636" i="1"/>
  <c r="AF1636" i="1"/>
  <c r="AG1636" i="1"/>
  <c r="AH1636" i="1"/>
  <c r="AQ1636" i="1"/>
  <c r="L1636" i="1" s="1"/>
  <c r="I1637" i="1"/>
  <c r="E1637" i="1" s="1"/>
  <c r="D1637" i="1" s="1"/>
  <c r="M1637" i="1"/>
  <c r="O1637" i="1"/>
  <c r="AA1637" i="1"/>
  <c r="AD1637" i="1"/>
  <c r="AE1637" i="1"/>
  <c r="AF1637" i="1"/>
  <c r="AG1637" i="1"/>
  <c r="AH1637" i="1"/>
  <c r="AQ1637" i="1"/>
  <c r="L1637" i="1" s="1"/>
  <c r="I1638" i="1"/>
  <c r="E1638" i="1" s="1"/>
  <c r="D1638" i="1" s="1"/>
  <c r="M1638" i="1"/>
  <c r="O1638" i="1"/>
  <c r="AA1638" i="1"/>
  <c r="AD1638" i="1"/>
  <c r="AE1638" i="1"/>
  <c r="AF1638" i="1"/>
  <c r="AG1638" i="1"/>
  <c r="AH1638" i="1"/>
  <c r="AQ1638" i="1"/>
  <c r="L1638" i="1" s="1"/>
  <c r="I1639" i="1"/>
  <c r="E1639" i="1" s="1"/>
  <c r="D1639" i="1" s="1"/>
  <c r="M1639" i="1"/>
  <c r="O1639" i="1"/>
  <c r="AA1639" i="1"/>
  <c r="AD1639" i="1"/>
  <c r="AE1639" i="1"/>
  <c r="AF1639" i="1"/>
  <c r="AG1639" i="1"/>
  <c r="AH1639" i="1"/>
  <c r="AQ1639" i="1"/>
  <c r="L1639" i="1" s="1"/>
  <c r="I1640" i="1"/>
  <c r="E1640" i="1" s="1"/>
  <c r="D1640" i="1" s="1"/>
  <c r="M1640" i="1"/>
  <c r="O1640" i="1"/>
  <c r="AA1640" i="1"/>
  <c r="AD1640" i="1"/>
  <c r="AE1640" i="1"/>
  <c r="AF1640" i="1"/>
  <c r="AG1640" i="1"/>
  <c r="AH1640" i="1"/>
  <c r="AQ1640" i="1"/>
  <c r="L1640" i="1" s="1"/>
  <c r="I1641" i="1"/>
  <c r="E1641" i="1" s="1"/>
  <c r="D1641" i="1" s="1"/>
  <c r="M1641" i="1"/>
  <c r="O1641" i="1"/>
  <c r="AA1641" i="1"/>
  <c r="AD1641" i="1"/>
  <c r="AE1641" i="1"/>
  <c r="AF1641" i="1"/>
  <c r="AG1641" i="1"/>
  <c r="AH1641" i="1"/>
  <c r="AQ1641" i="1"/>
  <c r="L1641" i="1" s="1"/>
  <c r="I1642" i="1"/>
  <c r="E1642" i="1" s="1"/>
  <c r="D1642" i="1" s="1"/>
  <c r="M1642" i="1"/>
  <c r="O1642" i="1"/>
  <c r="AA1642" i="1"/>
  <c r="AD1642" i="1"/>
  <c r="AE1642" i="1"/>
  <c r="AF1642" i="1"/>
  <c r="AG1642" i="1"/>
  <c r="AH1642" i="1"/>
  <c r="AQ1642" i="1"/>
  <c r="L1642" i="1" s="1"/>
  <c r="I1643" i="1"/>
  <c r="E1643" i="1" s="1"/>
  <c r="D1643" i="1" s="1"/>
  <c r="M1643" i="1"/>
  <c r="O1643" i="1"/>
  <c r="AA1643" i="1"/>
  <c r="AD1643" i="1"/>
  <c r="AE1643" i="1"/>
  <c r="AF1643" i="1"/>
  <c r="AG1643" i="1"/>
  <c r="AH1643" i="1"/>
  <c r="AQ1643" i="1"/>
  <c r="L1643" i="1" s="1"/>
  <c r="I1644" i="1"/>
  <c r="E1644" i="1" s="1"/>
  <c r="D1644" i="1" s="1"/>
  <c r="M1644" i="1"/>
  <c r="O1644" i="1"/>
  <c r="AA1644" i="1"/>
  <c r="AD1644" i="1"/>
  <c r="AE1644" i="1"/>
  <c r="AF1644" i="1"/>
  <c r="AG1644" i="1"/>
  <c r="AH1644" i="1"/>
  <c r="AQ1644" i="1"/>
  <c r="L1644" i="1" s="1"/>
  <c r="I1645" i="1"/>
  <c r="E1645" i="1" s="1"/>
  <c r="D1645" i="1" s="1"/>
  <c r="M1645" i="1"/>
  <c r="O1645" i="1"/>
  <c r="AA1645" i="1"/>
  <c r="AD1645" i="1"/>
  <c r="AE1645" i="1"/>
  <c r="AF1645" i="1"/>
  <c r="AG1645" i="1"/>
  <c r="AH1645" i="1"/>
  <c r="AQ1645" i="1"/>
  <c r="L1645" i="1" s="1"/>
  <c r="I1646" i="1"/>
  <c r="E1646" i="1" s="1"/>
  <c r="D1646" i="1" s="1"/>
  <c r="M1646" i="1"/>
  <c r="O1646" i="1"/>
  <c r="AA1646" i="1"/>
  <c r="AD1646" i="1"/>
  <c r="AE1646" i="1"/>
  <c r="AF1646" i="1"/>
  <c r="AG1646" i="1"/>
  <c r="AH1646" i="1"/>
  <c r="AQ1646" i="1"/>
  <c r="L1646" i="1" s="1"/>
  <c r="I1647" i="1"/>
  <c r="E1647" i="1" s="1"/>
  <c r="D1647" i="1" s="1"/>
  <c r="M1647" i="1"/>
  <c r="O1647" i="1"/>
  <c r="AA1647" i="1"/>
  <c r="AD1647" i="1"/>
  <c r="AE1647" i="1"/>
  <c r="AF1647" i="1"/>
  <c r="AG1647" i="1"/>
  <c r="AH1647" i="1"/>
  <c r="AQ1647" i="1"/>
  <c r="L1647" i="1" s="1"/>
  <c r="I1648" i="1"/>
  <c r="E1648" i="1" s="1"/>
  <c r="D1648" i="1" s="1"/>
  <c r="M1648" i="1"/>
  <c r="O1648" i="1"/>
  <c r="AA1648" i="1"/>
  <c r="AD1648" i="1"/>
  <c r="AE1648" i="1"/>
  <c r="AF1648" i="1"/>
  <c r="AG1648" i="1"/>
  <c r="AH1648" i="1"/>
  <c r="AQ1648" i="1"/>
  <c r="L1648" i="1" s="1"/>
  <c r="I1649" i="1"/>
  <c r="E1649" i="1" s="1"/>
  <c r="D1649" i="1" s="1"/>
  <c r="M1649" i="1"/>
  <c r="O1649" i="1"/>
  <c r="AA1649" i="1"/>
  <c r="AD1649" i="1"/>
  <c r="AE1649" i="1"/>
  <c r="AF1649" i="1"/>
  <c r="AG1649" i="1"/>
  <c r="AH1649" i="1"/>
  <c r="AQ1649" i="1"/>
  <c r="L1649" i="1" s="1"/>
  <c r="I1650" i="1"/>
  <c r="E1650" i="1" s="1"/>
  <c r="D1650" i="1" s="1"/>
  <c r="M1650" i="1"/>
  <c r="O1650" i="1"/>
  <c r="AA1650" i="1"/>
  <c r="AD1650" i="1"/>
  <c r="AE1650" i="1"/>
  <c r="AF1650" i="1"/>
  <c r="AG1650" i="1"/>
  <c r="AH1650" i="1"/>
  <c r="AQ1650" i="1"/>
  <c r="L1650" i="1" s="1"/>
  <c r="I1651" i="1"/>
  <c r="E1651" i="1" s="1"/>
  <c r="D1651" i="1" s="1"/>
  <c r="M1651" i="1"/>
  <c r="O1651" i="1"/>
  <c r="AA1651" i="1"/>
  <c r="AD1651" i="1"/>
  <c r="AE1651" i="1"/>
  <c r="AF1651" i="1"/>
  <c r="AG1651" i="1"/>
  <c r="AH1651" i="1"/>
  <c r="AQ1651" i="1"/>
  <c r="L1651" i="1" s="1"/>
  <c r="I1652" i="1"/>
  <c r="E1652" i="1" s="1"/>
  <c r="D1652" i="1" s="1"/>
  <c r="M1652" i="1"/>
  <c r="O1652" i="1"/>
  <c r="AA1652" i="1"/>
  <c r="AD1652" i="1"/>
  <c r="AE1652" i="1"/>
  <c r="AF1652" i="1"/>
  <c r="AG1652" i="1"/>
  <c r="AH1652" i="1"/>
  <c r="AQ1652" i="1"/>
  <c r="L1652" i="1" s="1"/>
  <c r="I1653" i="1"/>
  <c r="E1653" i="1" s="1"/>
  <c r="D1653" i="1" s="1"/>
  <c r="M1653" i="1"/>
  <c r="O1653" i="1"/>
  <c r="AA1653" i="1"/>
  <c r="AD1653" i="1"/>
  <c r="AE1653" i="1"/>
  <c r="AF1653" i="1"/>
  <c r="AG1653" i="1"/>
  <c r="AH1653" i="1"/>
  <c r="AQ1653" i="1"/>
  <c r="L1653" i="1" s="1"/>
  <c r="I1654" i="1"/>
  <c r="E1654" i="1" s="1"/>
  <c r="D1654" i="1" s="1"/>
  <c r="M1654" i="1"/>
  <c r="O1654" i="1"/>
  <c r="AA1654" i="1"/>
  <c r="AD1654" i="1"/>
  <c r="AE1654" i="1"/>
  <c r="AF1654" i="1"/>
  <c r="AG1654" i="1"/>
  <c r="AH1654" i="1"/>
  <c r="AQ1654" i="1"/>
  <c r="L1654" i="1" s="1"/>
  <c r="I1655" i="1"/>
  <c r="E1655" i="1" s="1"/>
  <c r="D1655" i="1" s="1"/>
  <c r="M1655" i="1"/>
  <c r="O1655" i="1"/>
  <c r="AA1655" i="1"/>
  <c r="AD1655" i="1"/>
  <c r="AE1655" i="1"/>
  <c r="AF1655" i="1"/>
  <c r="AG1655" i="1"/>
  <c r="AH1655" i="1"/>
  <c r="AQ1655" i="1"/>
  <c r="L1655" i="1" s="1"/>
  <c r="I1656" i="1"/>
  <c r="E1656" i="1" s="1"/>
  <c r="D1656" i="1" s="1"/>
  <c r="M1656" i="1"/>
  <c r="O1656" i="1"/>
  <c r="AA1656" i="1"/>
  <c r="AD1656" i="1"/>
  <c r="AE1656" i="1"/>
  <c r="AF1656" i="1"/>
  <c r="AG1656" i="1"/>
  <c r="AH1656" i="1"/>
  <c r="AQ1656" i="1"/>
  <c r="L1656" i="1" s="1"/>
  <c r="I1657" i="1"/>
  <c r="E1657" i="1" s="1"/>
  <c r="D1657" i="1" s="1"/>
  <c r="M1657" i="1"/>
  <c r="O1657" i="1"/>
  <c r="AA1657" i="1"/>
  <c r="AD1657" i="1"/>
  <c r="AE1657" i="1"/>
  <c r="AF1657" i="1"/>
  <c r="AG1657" i="1"/>
  <c r="AH1657" i="1"/>
  <c r="AQ1657" i="1"/>
  <c r="L1657" i="1" s="1"/>
  <c r="I1658" i="1"/>
  <c r="E1658" i="1" s="1"/>
  <c r="D1658" i="1" s="1"/>
  <c r="M1658" i="1"/>
  <c r="O1658" i="1"/>
  <c r="AA1658" i="1"/>
  <c r="AD1658" i="1"/>
  <c r="AE1658" i="1"/>
  <c r="AF1658" i="1"/>
  <c r="AG1658" i="1"/>
  <c r="AH1658" i="1"/>
  <c r="AQ1658" i="1"/>
  <c r="L1658" i="1" s="1"/>
  <c r="I1659" i="1"/>
  <c r="E1659" i="1" s="1"/>
  <c r="D1659" i="1" s="1"/>
  <c r="M1659" i="1"/>
  <c r="O1659" i="1"/>
  <c r="AA1659" i="1"/>
  <c r="AD1659" i="1"/>
  <c r="AE1659" i="1"/>
  <c r="AF1659" i="1"/>
  <c r="AG1659" i="1"/>
  <c r="AH1659" i="1"/>
  <c r="AQ1659" i="1"/>
  <c r="L1659" i="1" s="1"/>
  <c r="I1660" i="1"/>
  <c r="E1660" i="1" s="1"/>
  <c r="D1660" i="1" s="1"/>
  <c r="M1660" i="1"/>
  <c r="O1660" i="1"/>
  <c r="AA1660" i="1"/>
  <c r="AD1660" i="1"/>
  <c r="AE1660" i="1"/>
  <c r="AF1660" i="1"/>
  <c r="AG1660" i="1"/>
  <c r="AH1660" i="1"/>
  <c r="AQ1660" i="1"/>
  <c r="L1660" i="1" s="1"/>
  <c r="I1661" i="1"/>
  <c r="E1661" i="1" s="1"/>
  <c r="D1661" i="1" s="1"/>
  <c r="M1661" i="1"/>
  <c r="O1661" i="1"/>
  <c r="AA1661" i="1"/>
  <c r="AD1661" i="1"/>
  <c r="AE1661" i="1"/>
  <c r="AF1661" i="1"/>
  <c r="AG1661" i="1"/>
  <c r="AH1661" i="1"/>
  <c r="AQ1661" i="1"/>
  <c r="L1661" i="1" s="1"/>
  <c r="I1662" i="1"/>
  <c r="E1662" i="1" s="1"/>
  <c r="D1662" i="1" s="1"/>
  <c r="M1662" i="1"/>
  <c r="O1662" i="1"/>
  <c r="AA1662" i="1"/>
  <c r="AD1662" i="1"/>
  <c r="AE1662" i="1"/>
  <c r="AF1662" i="1"/>
  <c r="AG1662" i="1"/>
  <c r="AH1662" i="1"/>
  <c r="AQ1662" i="1"/>
  <c r="L1662" i="1" s="1"/>
  <c r="I1663" i="1"/>
  <c r="E1663" i="1" s="1"/>
  <c r="D1663" i="1" s="1"/>
  <c r="M1663" i="1"/>
  <c r="O1663" i="1"/>
  <c r="AA1663" i="1"/>
  <c r="AD1663" i="1"/>
  <c r="AE1663" i="1"/>
  <c r="AF1663" i="1"/>
  <c r="AG1663" i="1"/>
  <c r="AH1663" i="1"/>
  <c r="AQ1663" i="1"/>
  <c r="L1663" i="1" s="1"/>
  <c r="I1664" i="1"/>
  <c r="E1664" i="1" s="1"/>
  <c r="D1664" i="1" s="1"/>
  <c r="M1664" i="1"/>
  <c r="O1664" i="1"/>
  <c r="AA1664" i="1"/>
  <c r="AD1664" i="1"/>
  <c r="AE1664" i="1"/>
  <c r="AF1664" i="1"/>
  <c r="AG1664" i="1"/>
  <c r="AH1664" i="1"/>
  <c r="AQ1664" i="1"/>
  <c r="L1664" i="1" s="1"/>
  <c r="I1665" i="1"/>
  <c r="E1665" i="1" s="1"/>
  <c r="D1665" i="1" s="1"/>
  <c r="M1665" i="1"/>
  <c r="O1665" i="1"/>
  <c r="AA1665" i="1"/>
  <c r="AD1665" i="1"/>
  <c r="AE1665" i="1"/>
  <c r="AF1665" i="1"/>
  <c r="AG1665" i="1"/>
  <c r="AH1665" i="1"/>
  <c r="AQ1665" i="1"/>
  <c r="L1665" i="1" s="1"/>
  <c r="I1666" i="1"/>
  <c r="E1666" i="1" s="1"/>
  <c r="D1666" i="1" s="1"/>
  <c r="M1666" i="1"/>
  <c r="O1666" i="1"/>
  <c r="AA1666" i="1"/>
  <c r="AD1666" i="1"/>
  <c r="AE1666" i="1"/>
  <c r="AF1666" i="1"/>
  <c r="AG1666" i="1"/>
  <c r="AH1666" i="1"/>
  <c r="AQ1666" i="1"/>
  <c r="L1666" i="1" s="1"/>
  <c r="I1667" i="1"/>
  <c r="E1667" i="1" s="1"/>
  <c r="D1667" i="1" s="1"/>
  <c r="M1667" i="1"/>
  <c r="O1667" i="1"/>
  <c r="AA1667" i="1"/>
  <c r="AD1667" i="1"/>
  <c r="AE1667" i="1"/>
  <c r="AF1667" i="1"/>
  <c r="AG1667" i="1"/>
  <c r="AH1667" i="1"/>
  <c r="AQ1667" i="1"/>
  <c r="L1667" i="1" s="1"/>
  <c r="I1668" i="1"/>
  <c r="E1668" i="1" s="1"/>
  <c r="D1668" i="1" s="1"/>
  <c r="M1668" i="1"/>
  <c r="O1668" i="1"/>
  <c r="AA1668" i="1"/>
  <c r="AD1668" i="1"/>
  <c r="AE1668" i="1"/>
  <c r="AF1668" i="1"/>
  <c r="AG1668" i="1"/>
  <c r="AH1668" i="1"/>
  <c r="AQ1668" i="1"/>
  <c r="L1668" i="1" s="1"/>
  <c r="I1669" i="1"/>
  <c r="E1669" i="1" s="1"/>
  <c r="D1669" i="1" s="1"/>
  <c r="M1669" i="1"/>
  <c r="O1669" i="1"/>
  <c r="AA1669" i="1"/>
  <c r="AD1669" i="1"/>
  <c r="AE1669" i="1"/>
  <c r="AF1669" i="1"/>
  <c r="AG1669" i="1"/>
  <c r="AH1669" i="1"/>
  <c r="AQ1669" i="1"/>
  <c r="L1669" i="1" s="1"/>
  <c r="I1670" i="1"/>
  <c r="E1670" i="1" s="1"/>
  <c r="D1670" i="1" s="1"/>
  <c r="M1670" i="1"/>
  <c r="O1670" i="1"/>
  <c r="AA1670" i="1"/>
  <c r="AD1670" i="1"/>
  <c r="AE1670" i="1"/>
  <c r="AF1670" i="1"/>
  <c r="AG1670" i="1"/>
  <c r="AH1670" i="1"/>
  <c r="AQ1670" i="1"/>
  <c r="L1670" i="1" s="1"/>
  <c r="I1671" i="1"/>
  <c r="E1671" i="1" s="1"/>
  <c r="D1671" i="1" s="1"/>
  <c r="M1671" i="1"/>
  <c r="O1671" i="1"/>
  <c r="AA1671" i="1"/>
  <c r="AD1671" i="1"/>
  <c r="AE1671" i="1"/>
  <c r="AF1671" i="1"/>
  <c r="AG1671" i="1"/>
  <c r="AH1671" i="1"/>
  <c r="AQ1671" i="1"/>
  <c r="L1671" i="1" s="1"/>
  <c r="I1672" i="1"/>
  <c r="E1672" i="1" s="1"/>
  <c r="D1672" i="1" s="1"/>
  <c r="M1672" i="1"/>
  <c r="O1672" i="1"/>
  <c r="AA1672" i="1"/>
  <c r="AD1672" i="1"/>
  <c r="AE1672" i="1"/>
  <c r="AF1672" i="1"/>
  <c r="AG1672" i="1"/>
  <c r="AH1672" i="1"/>
  <c r="AQ1672" i="1"/>
  <c r="L1672" i="1" s="1"/>
  <c r="I1673" i="1"/>
  <c r="E1673" i="1" s="1"/>
  <c r="D1673" i="1" s="1"/>
  <c r="M1673" i="1"/>
  <c r="O1673" i="1"/>
  <c r="AA1673" i="1"/>
  <c r="AD1673" i="1"/>
  <c r="AE1673" i="1"/>
  <c r="AF1673" i="1"/>
  <c r="AG1673" i="1"/>
  <c r="AH1673" i="1"/>
  <c r="AQ1673" i="1"/>
  <c r="L1673" i="1" s="1"/>
  <c r="I1674" i="1"/>
  <c r="E1674" i="1" s="1"/>
  <c r="D1674" i="1" s="1"/>
  <c r="M1674" i="1"/>
  <c r="O1674" i="1"/>
  <c r="AA1674" i="1"/>
  <c r="AD1674" i="1"/>
  <c r="AE1674" i="1"/>
  <c r="AF1674" i="1"/>
  <c r="AG1674" i="1"/>
  <c r="AH1674" i="1"/>
  <c r="AQ1674" i="1"/>
  <c r="L1674" i="1" s="1"/>
  <c r="I1675" i="1"/>
  <c r="E1675" i="1" s="1"/>
  <c r="D1675" i="1" s="1"/>
  <c r="M1675" i="1"/>
  <c r="O1675" i="1"/>
  <c r="AA1675" i="1"/>
  <c r="AD1675" i="1"/>
  <c r="AE1675" i="1"/>
  <c r="AF1675" i="1"/>
  <c r="AG1675" i="1"/>
  <c r="AH1675" i="1"/>
  <c r="AQ1675" i="1"/>
  <c r="L1675" i="1" s="1"/>
  <c r="I1676" i="1"/>
  <c r="E1676" i="1" s="1"/>
  <c r="D1676" i="1" s="1"/>
  <c r="M1676" i="1"/>
  <c r="O1676" i="1"/>
  <c r="AA1676" i="1"/>
  <c r="AD1676" i="1"/>
  <c r="AE1676" i="1"/>
  <c r="AF1676" i="1"/>
  <c r="AG1676" i="1"/>
  <c r="AH1676" i="1"/>
  <c r="AQ1676" i="1"/>
  <c r="L1676" i="1" s="1"/>
  <c r="I1677" i="1"/>
  <c r="E1677" i="1" s="1"/>
  <c r="D1677" i="1" s="1"/>
  <c r="M1677" i="1"/>
  <c r="O1677" i="1"/>
  <c r="AA1677" i="1"/>
  <c r="AD1677" i="1"/>
  <c r="AE1677" i="1"/>
  <c r="AF1677" i="1"/>
  <c r="AG1677" i="1"/>
  <c r="AH1677" i="1"/>
  <c r="AQ1677" i="1"/>
  <c r="L1677" i="1" s="1"/>
  <c r="I1678" i="1"/>
  <c r="E1678" i="1" s="1"/>
  <c r="D1678" i="1" s="1"/>
  <c r="M1678" i="1"/>
  <c r="O1678" i="1"/>
  <c r="AA1678" i="1"/>
  <c r="AD1678" i="1"/>
  <c r="AE1678" i="1"/>
  <c r="AF1678" i="1"/>
  <c r="AG1678" i="1"/>
  <c r="AH1678" i="1"/>
  <c r="AQ1678" i="1"/>
  <c r="L1678" i="1" s="1"/>
  <c r="I1679" i="1"/>
  <c r="E1679" i="1" s="1"/>
  <c r="D1679" i="1" s="1"/>
  <c r="M1679" i="1"/>
  <c r="O1679" i="1"/>
  <c r="AA1679" i="1"/>
  <c r="AD1679" i="1"/>
  <c r="AE1679" i="1"/>
  <c r="AF1679" i="1"/>
  <c r="AG1679" i="1"/>
  <c r="AH1679" i="1"/>
  <c r="AQ1679" i="1"/>
  <c r="L1679" i="1" s="1"/>
  <c r="I1680" i="1"/>
  <c r="E1680" i="1" s="1"/>
  <c r="D1680" i="1" s="1"/>
  <c r="M1680" i="1"/>
  <c r="O1680" i="1"/>
  <c r="AA1680" i="1"/>
  <c r="AD1680" i="1"/>
  <c r="AE1680" i="1"/>
  <c r="AF1680" i="1"/>
  <c r="AG1680" i="1"/>
  <c r="AH1680" i="1"/>
  <c r="AQ1680" i="1"/>
  <c r="L1680" i="1" s="1"/>
  <c r="I1681" i="1"/>
  <c r="E1681" i="1" s="1"/>
  <c r="D1681" i="1" s="1"/>
  <c r="M1681" i="1"/>
  <c r="O1681" i="1"/>
  <c r="AA1681" i="1"/>
  <c r="AD1681" i="1"/>
  <c r="AE1681" i="1"/>
  <c r="AF1681" i="1"/>
  <c r="AG1681" i="1"/>
  <c r="AH1681" i="1"/>
  <c r="AQ1681" i="1"/>
  <c r="L1681" i="1" s="1"/>
  <c r="I1682" i="1"/>
  <c r="E1682" i="1" s="1"/>
  <c r="D1682" i="1" s="1"/>
  <c r="M1682" i="1"/>
  <c r="O1682" i="1"/>
  <c r="AA1682" i="1"/>
  <c r="AD1682" i="1"/>
  <c r="AE1682" i="1"/>
  <c r="AF1682" i="1"/>
  <c r="AG1682" i="1"/>
  <c r="AH1682" i="1"/>
  <c r="AQ1682" i="1"/>
  <c r="L1682" i="1" s="1"/>
  <c r="I1683" i="1"/>
  <c r="E1683" i="1" s="1"/>
  <c r="D1683" i="1" s="1"/>
  <c r="M1683" i="1"/>
  <c r="O1683" i="1"/>
  <c r="AA1683" i="1"/>
  <c r="AD1683" i="1"/>
  <c r="AE1683" i="1"/>
  <c r="AF1683" i="1"/>
  <c r="AG1683" i="1"/>
  <c r="AH1683" i="1"/>
  <c r="AQ1683" i="1"/>
  <c r="L1683" i="1" s="1"/>
  <c r="I1684" i="1"/>
  <c r="E1684" i="1" s="1"/>
  <c r="D1684" i="1" s="1"/>
  <c r="M1684" i="1"/>
  <c r="O1684" i="1"/>
  <c r="AA1684" i="1"/>
  <c r="AD1684" i="1"/>
  <c r="AE1684" i="1"/>
  <c r="AF1684" i="1"/>
  <c r="AG1684" i="1"/>
  <c r="AH1684" i="1"/>
  <c r="AQ1684" i="1"/>
  <c r="L1684" i="1" s="1"/>
  <c r="I1685" i="1"/>
  <c r="E1685" i="1" s="1"/>
  <c r="D1685" i="1" s="1"/>
  <c r="M1685" i="1"/>
  <c r="O1685" i="1"/>
  <c r="AA1685" i="1"/>
  <c r="AD1685" i="1"/>
  <c r="AE1685" i="1"/>
  <c r="AF1685" i="1"/>
  <c r="AG1685" i="1"/>
  <c r="AH1685" i="1"/>
  <c r="AQ1685" i="1"/>
  <c r="L1685" i="1" s="1"/>
  <c r="I1686" i="1"/>
  <c r="E1686" i="1" s="1"/>
  <c r="D1686" i="1" s="1"/>
  <c r="M1686" i="1"/>
  <c r="O1686" i="1"/>
  <c r="AA1686" i="1"/>
  <c r="AD1686" i="1"/>
  <c r="AE1686" i="1"/>
  <c r="AF1686" i="1"/>
  <c r="AG1686" i="1"/>
  <c r="AH1686" i="1"/>
  <c r="AQ1686" i="1"/>
  <c r="L1686" i="1" s="1"/>
  <c r="I1687" i="1"/>
  <c r="E1687" i="1" s="1"/>
  <c r="D1687" i="1" s="1"/>
  <c r="M1687" i="1"/>
  <c r="O1687" i="1"/>
  <c r="AA1687" i="1"/>
  <c r="AD1687" i="1"/>
  <c r="AE1687" i="1"/>
  <c r="AF1687" i="1"/>
  <c r="AG1687" i="1"/>
  <c r="AH1687" i="1"/>
  <c r="AQ1687" i="1"/>
  <c r="L1687" i="1" s="1"/>
  <c r="I1688" i="1"/>
  <c r="E1688" i="1" s="1"/>
  <c r="D1688" i="1" s="1"/>
  <c r="M1688" i="1"/>
  <c r="O1688" i="1"/>
  <c r="AA1688" i="1"/>
  <c r="AD1688" i="1"/>
  <c r="AE1688" i="1"/>
  <c r="AF1688" i="1"/>
  <c r="AG1688" i="1"/>
  <c r="AH1688" i="1"/>
  <c r="AQ1688" i="1"/>
  <c r="L1688" i="1" s="1"/>
  <c r="I1689" i="1"/>
  <c r="E1689" i="1" s="1"/>
  <c r="D1689" i="1" s="1"/>
  <c r="M1689" i="1"/>
  <c r="O1689" i="1"/>
  <c r="AA1689" i="1"/>
  <c r="AD1689" i="1"/>
  <c r="AE1689" i="1"/>
  <c r="AF1689" i="1"/>
  <c r="AG1689" i="1"/>
  <c r="AH1689" i="1"/>
  <c r="AQ1689" i="1"/>
  <c r="L1689" i="1" s="1"/>
  <c r="I1690" i="1"/>
  <c r="E1690" i="1" s="1"/>
  <c r="D1690" i="1" s="1"/>
  <c r="M1690" i="1"/>
  <c r="O1690" i="1"/>
  <c r="AA1690" i="1"/>
  <c r="AD1690" i="1"/>
  <c r="AE1690" i="1"/>
  <c r="AF1690" i="1"/>
  <c r="AG1690" i="1"/>
  <c r="AH1690" i="1"/>
  <c r="AQ1690" i="1"/>
  <c r="L1690" i="1" s="1"/>
  <c r="I1691" i="1"/>
  <c r="E1691" i="1" s="1"/>
  <c r="D1691" i="1" s="1"/>
  <c r="M1691" i="1"/>
  <c r="O1691" i="1"/>
  <c r="AA1691" i="1"/>
  <c r="AD1691" i="1"/>
  <c r="AE1691" i="1"/>
  <c r="AF1691" i="1"/>
  <c r="AG1691" i="1"/>
  <c r="AH1691" i="1"/>
  <c r="AQ1691" i="1"/>
  <c r="L1691" i="1" s="1"/>
  <c r="I1692" i="1"/>
  <c r="E1692" i="1" s="1"/>
  <c r="D1692" i="1" s="1"/>
  <c r="M1692" i="1"/>
  <c r="O1692" i="1"/>
  <c r="AA1692" i="1"/>
  <c r="AD1692" i="1"/>
  <c r="AE1692" i="1"/>
  <c r="AF1692" i="1"/>
  <c r="AG1692" i="1"/>
  <c r="AH1692" i="1"/>
  <c r="AQ1692" i="1"/>
  <c r="L1692" i="1" s="1"/>
  <c r="I1693" i="1"/>
  <c r="E1693" i="1" s="1"/>
  <c r="D1693" i="1" s="1"/>
  <c r="M1693" i="1"/>
  <c r="O1693" i="1"/>
  <c r="AA1693" i="1"/>
  <c r="AD1693" i="1"/>
  <c r="AE1693" i="1"/>
  <c r="AF1693" i="1"/>
  <c r="AG1693" i="1"/>
  <c r="AH1693" i="1"/>
  <c r="AQ1693" i="1"/>
  <c r="L1693" i="1" s="1"/>
  <c r="I1694" i="1"/>
  <c r="E1694" i="1" s="1"/>
  <c r="D1694" i="1" s="1"/>
  <c r="M1694" i="1"/>
  <c r="O1694" i="1"/>
  <c r="AA1694" i="1"/>
  <c r="AD1694" i="1"/>
  <c r="AE1694" i="1"/>
  <c r="AF1694" i="1"/>
  <c r="AG1694" i="1"/>
  <c r="AH1694" i="1"/>
  <c r="AQ1694" i="1"/>
  <c r="L1694" i="1" s="1"/>
  <c r="I1695" i="1"/>
  <c r="E1695" i="1" s="1"/>
  <c r="D1695" i="1" s="1"/>
  <c r="M1695" i="1"/>
  <c r="O1695" i="1"/>
  <c r="AA1695" i="1"/>
  <c r="AD1695" i="1"/>
  <c r="AE1695" i="1"/>
  <c r="AF1695" i="1"/>
  <c r="AG1695" i="1"/>
  <c r="AH1695" i="1"/>
  <c r="AQ1695" i="1"/>
  <c r="L1695" i="1" s="1"/>
  <c r="I1696" i="1"/>
  <c r="E1696" i="1" s="1"/>
  <c r="D1696" i="1" s="1"/>
  <c r="M1696" i="1"/>
  <c r="O1696" i="1"/>
  <c r="AA1696" i="1"/>
  <c r="AD1696" i="1"/>
  <c r="AE1696" i="1"/>
  <c r="AF1696" i="1"/>
  <c r="AG1696" i="1"/>
  <c r="AH1696" i="1"/>
  <c r="AQ1696" i="1"/>
  <c r="L1696" i="1" s="1"/>
  <c r="I1697" i="1"/>
  <c r="E1697" i="1" s="1"/>
  <c r="D1697" i="1" s="1"/>
  <c r="M1697" i="1"/>
  <c r="O1697" i="1"/>
  <c r="AA1697" i="1"/>
  <c r="AD1697" i="1"/>
  <c r="AE1697" i="1"/>
  <c r="AF1697" i="1"/>
  <c r="AG1697" i="1"/>
  <c r="AH1697" i="1"/>
  <c r="AQ1697" i="1"/>
  <c r="L1697" i="1" s="1"/>
  <c r="I1698" i="1"/>
  <c r="E1698" i="1" s="1"/>
  <c r="D1698" i="1" s="1"/>
  <c r="M1698" i="1"/>
  <c r="O1698" i="1"/>
  <c r="AA1698" i="1"/>
  <c r="AD1698" i="1"/>
  <c r="AE1698" i="1"/>
  <c r="AF1698" i="1"/>
  <c r="AG1698" i="1"/>
  <c r="AH1698" i="1"/>
  <c r="AQ1698" i="1"/>
  <c r="L1698" i="1" s="1"/>
  <c r="I1699" i="1"/>
  <c r="E1699" i="1" s="1"/>
  <c r="D1699" i="1" s="1"/>
  <c r="M1699" i="1"/>
  <c r="O1699" i="1"/>
  <c r="AA1699" i="1"/>
  <c r="AD1699" i="1"/>
  <c r="AE1699" i="1"/>
  <c r="AF1699" i="1"/>
  <c r="AG1699" i="1"/>
  <c r="AH1699" i="1"/>
  <c r="AQ1699" i="1"/>
  <c r="L1699" i="1" s="1"/>
  <c r="I1700" i="1"/>
  <c r="E1700" i="1" s="1"/>
  <c r="D1700" i="1" s="1"/>
  <c r="M1700" i="1"/>
  <c r="O1700" i="1"/>
  <c r="AA1700" i="1"/>
  <c r="AD1700" i="1"/>
  <c r="AE1700" i="1"/>
  <c r="AF1700" i="1"/>
  <c r="AG1700" i="1"/>
  <c r="AH1700" i="1"/>
  <c r="AQ1700" i="1"/>
  <c r="L1700" i="1" s="1"/>
  <c r="I1701" i="1"/>
  <c r="E1701" i="1" s="1"/>
  <c r="D1701" i="1" s="1"/>
  <c r="M1701" i="1"/>
  <c r="O1701" i="1"/>
  <c r="AA1701" i="1"/>
  <c r="AD1701" i="1"/>
  <c r="AE1701" i="1"/>
  <c r="AF1701" i="1"/>
  <c r="AG1701" i="1"/>
  <c r="AH1701" i="1"/>
  <c r="AQ1701" i="1"/>
  <c r="L1701" i="1" s="1"/>
  <c r="I1702" i="1"/>
  <c r="E1702" i="1" s="1"/>
  <c r="D1702" i="1" s="1"/>
  <c r="M1702" i="1"/>
  <c r="O1702" i="1"/>
  <c r="AA1702" i="1"/>
  <c r="AD1702" i="1"/>
  <c r="AE1702" i="1"/>
  <c r="AF1702" i="1"/>
  <c r="AG1702" i="1"/>
  <c r="AH1702" i="1"/>
  <c r="AQ1702" i="1"/>
  <c r="L1702" i="1" s="1"/>
  <c r="I1703" i="1"/>
  <c r="E1703" i="1" s="1"/>
  <c r="D1703" i="1" s="1"/>
  <c r="M1703" i="1"/>
  <c r="O1703" i="1"/>
  <c r="AA1703" i="1"/>
  <c r="AD1703" i="1"/>
  <c r="AE1703" i="1"/>
  <c r="AF1703" i="1"/>
  <c r="AG1703" i="1"/>
  <c r="AH1703" i="1"/>
  <c r="AQ1703" i="1"/>
  <c r="L1703" i="1" s="1"/>
  <c r="I1704" i="1"/>
  <c r="E1704" i="1" s="1"/>
  <c r="D1704" i="1" s="1"/>
  <c r="M1704" i="1"/>
  <c r="O1704" i="1"/>
  <c r="AA1704" i="1"/>
  <c r="AD1704" i="1"/>
  <c r="AE1704" i="1"/>
  <c r="AF1704" i="1"/>
  <c r="AG1704" i="1"/>
  <c r="AH1704" i="1"/>
  <c r="AQ1704" i="1"/>
  <c r="L1704" i="1" s="1"/>
  <c r="I1705" i="1"/>
  <c r="E1705" i="1" s="1"/>
  <c r="D1705" i="1" s="1"/>
  <c r="M1705" i="1"/>
  <c r="O1705" i="1"/>
  <c r="AA1705" i="1"/>
  <c r="AD1705" i="1"/>
  <c r="AE1705" i="1"/>
  <c r="AF1705" i="1"/>
  <c r="AG1705" i="1"/>
  <c r="AH1705" i="1"/>
  <c r="AQ1705" i="1"/>
  <c r="L1705" i="1" s="1"/>
  <c r="I1706" i="1"/>
  <c r="E1706" i="1" s="1"/>
  <c r="D1706" i="1" s="1"/>
  <c r="M1706" i="1"/>
  <c r="O1706" i="1"/>
  <c r="AA1706" i="1"/>
  <c r="AD1706" i="1"/>
  <c r="AE1706" i="1"/>
  <c r="AF1706" i="1"/>
  <c r="AG1706" i="1"/>
  <c r="AH1706" i="1"/>
  <c r="AQ1706" i="1"/>
  <c r="L1706" i="1" s="1"/>
  <c r="I1707" i="1"/>
  <c r="E1707" i="1" s="1"/>
  <c r="D1707" i="1" s="1"/>
  <c r="M1707" i="1"/>
  <c r="O1707" i="1"/>
  <c r="AA1707" i="1"/>
  <c r="AD1707" i="1"/>
  <c r="AE1707" i="1"/>
  <c r="AF1707" i="1"/>
  <c r="AG1707" i="1"/>
  <c r="AH1707" i="1"/>
  <c r="AQ1707" i="1"/>
  <c r="L1707" i="1" s="1"/>
  <c r="I1708" i="1"/>
  <c r="E1708" i="1" s="1"/>
  <c r="D1708" i="1" s="1"/>
  <c r="M1708" i="1"/>
  <c r="O1708" i="1"/>
  <c r="AA1708" i="1"/>
  <c r="AD1708" i="1"/>
  <c r="AE1708" i="1"/>
  <c r="AF1708" i="1"/>
  <c r="AG1708" i="1"/>
  <c r="AH1708" i="1"/>
  <c r="AQ1708" i="1"/>
  <c r="L1708" i="1" s="1"/>
  <c r="I1709" i="1"/>
  <c r="E1709" i="1" s="1"/>
  <c r="D1709" i="1" s="1"/>
  <c r="M1709" i="1"/>
  <c r="O1709" i="1"/>
  <c r="AA1709" i="1"/>
  <c r="AD1709" i="1"/>
  <c r="AE1709" i="1"/>
  <c r="AF1709" i="1"/>
  <c r="AG1709" i="1"/>
  <c r="AH1709" i="1"/>
  <c r="AQ1709" i="1"/>
  <c r="L1709" i="1" s="1"/>
  <c r="I1710" i="1"/>
  <c r="E1710" i="1" s="1"/>
  <c r="D1710" i="1" s="1"/>
  <c r="M1710" i="1"/>
  <c r="O1710" i="1"/>
  <c r="AA1710" i="1"/>
  <c r="AD1710" i="1"/>
  <c r="AE1710" i="1"/>
  <c r="AF1710" i="1"/>
  <c r="AG1710" i="1"/>
  <c r="AH1710" i="1"/>
  <c r="AQ1710" i="1"/>
  <c r="L1710" i="1" s="1"/>
  <c r="I1711" i="1"/>
  <c r="E1711" i="1" s="1"/>
  <c r="D1711" i="1" s="1"/>
  <c r="M1711" i="1"/>
  <c r="O1711" i="1"/>
  <c r="AA1711" i="1"/>
  <c r="AD1711" i="1"/>
  <c r="AE1711" i="1"/>
  <c r="AF1711" i="1"/>
  <c r="AG1711" i="1"/>
  <c r="AH1711" i="1"/>
  <c r="AQ1711" i="1"/>
  <c r="L1711" i="1" s="1"/>
  <c r="I1712" i="1"/>
  <c r="E1712" i="1" s="1"/>
  <c r="D1712" i="1" s="1"/>
  <c r="M1712" i="1"/>
  <c r="O1712" i="1"/>
  <c r="AA1712" i="1"/>
  <c r="AD1712" i="1"/>
  <c r="AE1712" i="1"/>
  <c r="AF1712" i="1"/>
  <c r="AG1712" i="1"/>
  <c r="AH1712" i="1"/>
  <c r="AQ1712" i="1"/>
  <c r="L1712" i="1" s="1"/>
  <c r="I1713" i="1"/>
  <c r="E1713" i="1" s="1"/>
  <c r="D1713" i="1" s="1"/>
  <c r="M1713" i="1"/>
  <c r="O1713" i="1"/>
  <c r="AA1713" i="1"/>
  <c r="AD1713" i="1"/>
  <c r="AE1713" i="1"/>
  <c r="AF1713" i="1"/>
  <c r="AG1713" i="1"/>
  <c r="AH1713" i="1"/>
  <c r="AQ1713" i="1"/>
  <c r="L1713" i="1" s="1"/>
  <c r="I1714" i="1"/>
  <c r="E1714" i="1" s="1"/>
  <c r="D1714" i="1" s="1"/>
  <c r="M1714" i="1"/>
  <c r="O1714" i="1"/>
  <c r="AA1714" i="1"/>
  <c r="AD1714" i="1"/>
  <c r="AE1714" i="1"/>
  <c r="AF1714" i="1"/>
  <c r="AG1714" i="1"/>
  <c r="AH1714" i="1"/>
  <c r="AQ1714" i="1"/>
  <c r="L1714" i="1" s="1"/>
  <c r="I1715" i="1"/>
  <c r="E1715" i="1" s="1"/>
  <c r="D1715" i="1" s="1"/>
  <c r="M1715" i="1"/>
  <c r="O1715" i="1"/>
  <c r="AA1715" i="1"/>
  <c r="AD1715" i="1"/>
  <c r="AE1715" i="1"/>
  <c r="AF1715" i="1"/>
  <c r="AG1715" i="1"/>
  <c r="AH1715" i="1"/>
  <c r="AQ1715" i="1"/>
  <c r="L1715" i="1" s="1"/>
  <c r="I1716" i="1"/>
  <c r="E1716" i="1" s="1"/>
  <c r="D1716" i="1" s="1"/>
  <c r="M1716" i="1"/>
  <c r="O1716" i="1"/>
  <c r="AA1716" i="1"/>
  <c r="AD1716" i="1"/>
  <c r="AE1716" i="1"/>
  <c r="AF1716" i="1"/>
  <c r="AG1716" i="1"/>
  <c r="AH1716" i="1"/>
  <c r="AQ1716" i="1"/>
  <c r="L1716" i="1" s="1"/>
  <c r="I1717" i="1"/>
  <c r="E1717" i="1" s="1"/>
  <c r="D1717" i="1" s="1"/>
  <c r="M1717" i="1"/>
  <c r="O1717" i="1"/>
  <c r="AA1717" i="1"/>
  <c r="AD1717" i="1"/>
  <c r="AE1717" i="1"/>
  <c r="AF1717" i="1"/>
  <c r="AG1717" i="1"/>
  <c r="AH1717" i="1"/>
  <c r="AQ1717" i="1"/>
  <c r="L1717" i="1" s="1"/>
  <c r="I1718" i="1"/>
  <c r="E1718" i="1" s="1"/>
  <c r="D1718" i="1" s="1"/>
  <c r="M1718" i="1"/>
  <c r="O1718" i="1"/>
  <c r="AA1718" i="1"/>
  <c r="AD1718" i="1"/>
  <c r="AE1718" i="1"/>
  <c r="AF1718" i="1"/>
  <c r="AG1718" i="1"/>
  <c r="AH1718" i="1"/>
  <c r="AQ1718" i="1"/>
  <c r="L1718" i="1" s="1"/>
  <c r="I1719" i="1"/>
  <c r="E1719" i="1" s="1"/>
  <c r="D1719" i="1" s="1"/>
  <c r="M1719" i="1"/>
  <c r="O1719" i="1"/>
  <c r="AA1719" i="1"/>
  <c r="AD1719" i="1"/>
  <c r="AE1719" i="1"/>
  <c r="AF1719" i="1"/>
  <c r="AG1719" i="1"/>
  <c r="AH1719" i="1"/>
  <c r="AQ1719" i="1"/>
  <c r="L1719" i="1" s="1"/>
  <c r="I1720" i="1"/>
  <c r="E1720" i="1" s="1"/>
  <c r="D1720" i="1" s="1"/>
  <c r="M1720" i="1"/>
  <c r="O1720" i="1"/>
  <c r="AA1720" i="1"/>
  <c r="AD1720" i="1"/>
  <c r="AE1720" i="1"/>
  <c r="AF1720" i="1"/>
  <c r="AG1720" i="1"/>
  <c r="AH1720" i="1"/>
  <c r="AQ1720" i="1"/>
  <c r="L1720" i="1" s="1"/>
  <c r="I1721" i="1"/>
  <c r="E1721" i="1" s="1"/>
  <c r="D1721" i="1" s="1"/>
  <c r="M1721" i="1"/>
  <c r="O1721" i="1"/>
  <c r="AA1721" i="1"/>
  <c r="AD1721" i="1"/>
  <c r="AE1721" i="1"/>
  <c r="AF1721" i="1"/>
  <c r="AG1721" i="1"/>
  <c r="AH1721" i="1"/>
  <c r="AQ1721" i="1"/>
  <c r="L1721" i="1" s="1"/>
  <c r="I1722" i="1"/>
  <c r="E1722" i="1" s="1"/>
  <c r="D1722" i="1" s="1"/>
  <c r="M1722" i="1"/>
  <c r="O1722" i="1"/>
  <c r="AA1722" i="1"/>
  <c r="AD1722" i="1"/>
  <c r="AE1722" i="1"/>
  <c r="AF1722" i="1"/>
  <c r="AG1722" i="1"/>
  <c r="AH1722" i="1"/>
  <c r="AQ1722" i="1"/>
  <c r="L1722" i="1" s="1"/>
  <c r="I1723" i="1"/>
  <c r="E1723" i="1" s="1"/>
  <c r="D1723" i="1" s="1"/>
  <c r="M1723" i="1"/>
  <c r="O1723" i="1"/>
  <c r="AA1723" i="1"/>
  <c r="AD1723" i="1"/>
  <c r="AE1723" i="1"/>
  <c r="AF1723" i="1"/>
  <c r="AG1723" i="1"/>
  <c r="AH1723" i="1"/>
  <c r="AQ1723" i="1"/>
  <c r="L1723" i="1" s="1"/>
  <c r="I1724" i="1"/>
  <c r="E1724" i="1" s="1"/>
  <c r="D1724" i="1" s="1"/>
  <c r="M1724" i="1"/>
  <c r="O1724" i="1"/>
  <c r="AA1724" i="1"/>
  <c r="AD1724" i="1"/>
  <c r="AE1724" i="1"/>
  <c r="AF1724" i="1"/>
  <c r="AG1724" i="1"/>
  <c r="AH1724" i="1"/>
  <c r="AQ1724" i="1"/>
  <c r="L1724" i="1" s="1"/>
  <c r="I1725" i="1"/>
  <c r="E1725" i="1" s="1"/>
  <c r="D1725" i="1" s="1"/>
  <c r="M1725" i="1"/>
  <c r="O1725" i="1"/>
  <c r="AA1725" i="1"/>
  <c r="AD1725" i="1"/>
  <c r="AE1725" i="1"/>
  <c r="AF1725" i="1"/>
  <c r="AG1725" i="1"/>
  <c r="AH1725" i="1"/>
  <c r="AQ1725" i="1"/>
  <c r="L1725" i="1" s="1"/>
  <c r="I1726" i="1"/>
  <c r="E1726" i="1" s="1"/>
  <c r="D1726" i="1" s="1"/>
  <c r="M1726" i="1"/>
  <c r="O1726" i="1"/>
  <c r="AA1726" i="1"/>
  <c r="AD1726" i="1"/>
  <c r="AE1726" i="1"/>
  <c r="AF1726" i="1"/>
  <c r="AG1726" i="1"/>
  <c r="AH1726" i="1"/>
  <c r="AQ1726" i="1"/>
  <c r="L1726" i="1" s="1"/>
  <c r="I1727" i="1"/>
  <c r="E1727" i="1" s="1"/>
  <c r="D1727" i="1" s="1"/>
  <c r="M1727" i="1"/>
  <c r="O1727" i="1"/>
  <c r="AA1727" i="1"/>
  <c r="AD1727" i="1"/>
  <c r="AE1727" i="1"/>
  <c r="AF1727" i="1"/>
  <c r="AG1727" i="1"/>
  <c r="AH1727" i="1"/>
  <c r="AQ1727" i="1"/>
  <c r="L1727" i="1" s="1"/>
  <c r="I1728" i="1"/>
  <c r="E1728" i="1" s="1"/>
  <c r="D1728" i="1" s="1"/>
  <c r="M1728" i="1"/>
  <c r="O1728" i="1"/>
  <c r="AA1728" i="1"/>
  <c r="AD1728" i="1"/>
  <c r="AE1728" i="1"/>
  <c r="AF1728" i="1"/>
  <c r="AG1728" i="1"/>
  <c r="AH1728" i="1"/>
  <c r="AQ1728" i="1"/>
  <c r="L1728" i="1" s="1"/>
  <c r="I1729" i="1"/>
  <c r="E1729" i="1" s="1"/>
  <c r="D1729" i="1" s="1"/>
  <c r="M1729" i="1"/>
  <c r="O1729" i="1"/>
  <c r="AA1729" i="1"/>
  <c r="AD1729" i="1"/>
  <c r="AE1729" i="1"/>
  <c r="AF1729" i="1"/>
  <c r="AG1729" i="1"/>
  <c r="AH1729" i="1"/>
  <c r="AQ1729" i="1"/>
  <c r="L1729" i="1" s="1"/>
  <c r="I1730" i="1"/>
  <c r="E1730" i="1" s="1"/>
  <c r="D1730" i="1" s="1"/>
  <c r="M1730" i="1"/>
  <c r="O1730" i="1"/>
  <c r="AA1730" i="1"/>
  <c r="AD1730" i="1"/>
  <c r="AE1730" i="1"/>
  <c r="AF1730" i="1"/>
  <c r="AG1730" i="1"/>
  <c r="AH1730" i="1"/>
  <c r="AQ1730" i="1"/>
  <c r="L1730" i="1" s="1"/>
  <c r="I1731" i="1"/>
  <c r="E1731" i="1" s="1"/>
  <c r="D1731" i="1" s="1"/>
  <c r="M1731" i="1"/>
  <c r="O1731" i="1"/>
  <c r="AA1731" i="1"/>
  <c r="AD1731" i="1"/>
  <c r="AE1731" i="1"/>
  <c r="AF1731" i="1"/>
  <c r="AG1731" i="1"/>
  <c r="AH1731" i="1"/>
  <c r="AQ1731" i="1"/>
  <c r="L1731" i="1" s="1"/>
  <c r="I1732" i="1"/>
  <c r="E1732" i="1" s="1"/>
  <c r="D1732" i="1" s="1"/>
  <c r="M1732" i="1"/>
  <c r="O1732" i="1"/>
  <c r="AA1732" i="1"/>
  <c r="AD1732" i="1"/>
  <c r="AE1732" i="1"/>
  <c r="AF1732" i="1"/>
  <c r="AG1732" i="1"/>
  <c r="AH1732" i="1"/>
  <c r="AQ1732" i="1"/>
  <c r="L1732" i="1" s="1"/>
  <c r="I1733" i="1"/>
  <c r="E1733" i="1" s="1"/>
  <c r="D1733" i="1" s="1"/>
  <c r="M1733" i="1"/>
  <c r="O1733" i="1"/>
  <c r="AA1733" i="1"/>
  <c r="AD1733" i="1"/>
  <c r="AE1733" i="1"/>
  <c r="AF1733" i="1"/>
  <c r="AG1733" i="1"/>
  <c r="AH1733" i="1"/>
  <c r="AQ1733" i="1"/>
  <c r="L1733" i="1" s="1"/>
  <c r="I1734" i="1"/>
  <c r="E1734" i="1" s="1"/>
  <c r="D1734" i="1" s="1"/>
  <c r="M1734" i="1"/>
  <c r="O1734" i="1"/>
  <c r="AA1734" i="1"/>
  <c r="AD1734" i="1"/>
  <c r="AE1734" i="1"/>
  <c r="AF1734" i="1"/>
  <c r="AG1734" i="1"/>
  <c r="AH1734" i="1"/>
  <c r="AQ1734" i="1"/>
  <c r="L1734" i="1" s="1"/>
  <c r="I1735" i="1"/>
  <c r="E1735" i="1" s="1"/>
  <c r="D1735" i="1" s="1"/>
  <c r="M1735" i="1"/>
  <c r="O1735" i="1"/>
  <c r="AA1735" i="1"/>
  <c r="AD1735" i="1"/>
  <c r="AE1735" i="1"/>
  <c r="AF1735" i="1"/>
  <c r="AG1735" i="1"/>
  <c r="AH1735" i="1"/>
  <c r="AQ1735" i="1"/>
  <c r="L1735" i="1" s="1"/>
  <c r="I1736" i="1"/>
  <c r="E1736" i="1" s="1"/>
  <c r="D1736" i="1" s="1"/>
  <c r="M1736" i="1"/>
  <c r="O1736" i="1"/>
  <c r="AA1736" i="1"/>
  <c r="AD1736" i="1"/>
  <c r="AE1736" i="1"/>
  <c r="AF1736" i="1"/>
  <c r="AG1736" i="1"/>
  <c r="AH1736" i="1"/>
  <c r="AQ1736" i="1"/>
  <c r="L1736" i="1" s="1"/>
  <c r="I1737" i="1"/>
  <c r="E1737" i="1" s="1"/>
  <c r="D1737" i="1" s="1"/>
  <c r="M1737" i="1"/>
  <c r="O1737" i="1"/>
  <c r="AA1737" i="1"/>
  <c r="AD1737" i="1"/>
  <c r="AE1737" i="1"/>
  <c r="AF1737" i="1"/>
  <c r="AG1737" i="1"/>
  <c r="AH1737" i="1"/>
  <c r="AQ1737" i="1"/>
  <c r="L1737" i="1" s="1"/>
  <c r="I1738" i="1"/>
  <c r="E1738" i="1" s="1"/>
  <c r="D1738" i="1" s="1"/>
  <c r="M1738" i="1"/>
  <c r="O1738" i="1"/>
  <c r="AA1738" i="1"/>
  <c r="AD1738" i="1"/>
  <c r="AE1738" i="1"/>
  <c r="AF1738" i="1"/>
  <c r="AG1738" i="1"/>
  <c r="AH1738" i="1"/>
  <c r="AQ1738" i="1"/>
  <c r="L1738" i="1" s="1"/>
  <c r="I1739" i="1"/>
  <c r="E1739" i="1" s="1"/>
  <c r="D1739" i="1" s="1"/>
  <c r="M1739" i="1"/>
  <c r="O1739" i="1"/>
  <c r="AA1739" i="1"/>
  <c r="AD1739" i="1"/>
  <c r="AE1739" i="1"/>
  <c r="AF1739" i="1"/>
  <c r="AG1739" i="1"/>
  <c r="AH1739" i="1"/>
  <c r="AQ1739" i="1"/>
  <c r="L1739" i="1" s="1"/>
  <c r="I1740" i="1"/>
  <c r="E1740" i="1" s="1"/>
  <c r="D1740" i="1" s="1"/>
  <c r="M1740" i="1"/>
  <c r="O1740" i="1"/>
  <c r="AA1740" i="1"/>
  <c r="AD1740" i="1"/>
  <c r="AE1740" i="1"/>
  <c r="AF1740" i="1"/>
  <c r="AG1740" i="1"/>
  <c r="AH1740" i="1"/>
  <c r="AQ1740" i="1"/>
  <c r="L1740" i="1" s="1"/>
  <c r="I1741" i="1"/>
  <c r="E1741" i="1" s="1"/>
  <c r="D1741" i="1" s="1"/>
  <c r="M1741" i="1"/>
  <c r="O1741" i="1"/>
  <c r="AA1741" i="1"/>
  <c r="AD1741" i="1"/>
  <c r="AE1741" i="1"/>
  <c r="AF1741" i="1"/>
  <c r="AG1741" i="1"/>
  <c r="AH1741" i="1"/>
  <c r="AQ1741" i="1"/>
  <c r="L1741" i="1" s="1"/>
  <c r="I1742" i="1"/>
  <c r="E1742" i="1" s="1"/>
  <c r="D1742" i="1" s="1"/>
  <c r="M1742" i="1"/>
  <c r="O1742" i="1"/>
  <c r="AA1742" i="1"/>
  <c r="AD1742" i="1"/>
  <c r="AE1742" i="1"/>
  <c r="AF1742" i="1"/>
  <c r="AG1742" i="1"/>
  <c r="AH1742" i="1"/>
  <c r="AQ1742" i="1"/>
  <c r="L1742" i="1" s="1"/>
  <c r="I1743" i="1"/>
  <c r="E1743" i="1" s="1"/>
  <c r="D1743" i="1" s="1"/>
  <c r="M1743" i="1"/>
  <c r="O1743" i="1"/>
  <c r="AA1743" i="1"/>
  <c r="AD1743" i="1"/>
  <c r="AE1743" i="1"/>
  <c r="AF1743" i="1"/>
  <c r="AG1743" i="1"/>
  <c r="AH1743" i="1"/>
  <c r="AQ1743" i="1"/>
  <c r="L1743" i="1" s="1"/>
  <c r="I1744" i="1"/>
  <c r="E1744" i="1" s="1"/>
  <c r="D1744" i="1" s="1"/>
  <c r="M1744" i="1"/>
  <c r="O1744" i="1"/>
  <c r="AA1744" i="1"/>
  <c r="AD1744" i="1"/>
  <c r="AE1744" i="1"/>
  <c r="AF1744" i="1"/>
  <c r="AG1744" i="1"/>
  <c r="AH1744" i="1"/>
  <c r="AQ1744" i="1"/>
  <c r="L1744" i="1" s="1"/>
  <c r="I1745" i="1"/>
  <c r="E1745" i="1" s="1"/>
  <c r="D1745" i="1" s="1"/>
  <c r="M1745" i="1"/>
  <c r="O1745" i="1"/>
  <c r="AA1745" i="1"/>
  <c r="AD1745" i="1"/>
  <c r="AE1745" i="1"/>
  <c r="AF1745" i="1"/>
  <c r="AG1745" i="1"/>
  <c r="AH1745" i="1"/>
  <c r="AQ1745" i="1"/>
  <c r="L1745" i="1" s="1"/>
  <c r="I1746" i="1"/>
  <c r="E1746" i="1" s="1"/>
  <c r="D1746" i="1" s="1"/>
  <c r="M1746" i="1"/>
  <c r="O1746" i="1"/>
  <c r="AA1746" i="1"/>
  <c r="AD1746" i="1"/>
  <c r="AE1746" i="1"/>
  <c r="AF1746" i="1"/>
  <c r="AG1746" i="1"/>
  <c r="AH1746" i="1"/>
  <c r="AQ1746" i="1"/>
  <c r="L1746" i="1" s="1"/>
  <c r="I1747" i="1"/>
  <c r="E1747" i="1" s="1"/>
  <c r="D1747" i="1" s="1"/>
  <c r="M1747" i="1"/>
  <c r="O1747" i="1"/>
  <c r="AA1747" i="1"/>
  <c r="AD1747" i="1"/>
  <c r="AE1747" i="1"/>
  <c r="AF1747" i="1"/>
  <c r="AG1747" i="1"/>
  <c r="AH1747" i="1"/>
  <c r="AQ1747" i="1"/>
  <c r="L1747" i="1" s="1"/>
  <c r="I1748" i="1"/>
  <c r="E1748" i="1" s="1"/>
  <c r="D1748" i="1" s="1"/>
  <c r="M1748" i="1"/>
  <c r="O1748" i="1"/>
  <c r="AA1748" i="1"/>
  <c r="AD1748" i="1"/>
  <c r="AE1748" i="1"/>
  <c r="AF1748" i="1"/>
  <c r="AG1748" i="1"/>
  <c r="AH1748" i="1"/>
  <c r="AQ1748" i="1"/>
  <c r="L1748" i="1" s="1"/>
  <c r="I1749" i="1"/>
  <c r="E1749" i="1" s="1"/>
  <c r="D1749" i="1" s="1"/>
  <c r="M1749" i="1"/>
  <c r="O1749" i="1"/>
  <c r="AA1749" i="1"/>
  <c r="AD1749" i="1"/>
  <c r="AE1749" i="1"/>
  <c r="AF1749" i="1"/>
  <c r="AG1749" i="1"/>
  <c r="AH1749" i="1"/>
  <c r="AQ1749" i="1"/>
  <c r="L1749" i="1" s="1"/>
  <c r="I1750" i="1"/>
  <c r="E1750" i="1" s="1"/>
  <c r="D1750" i="1" s="1"/>
  <c r="M1750" i="1"/>
  <c r="O1750" i="1"/>
  <c r="AA1750" i="1"/>
  <c r="AD1750" i="1"/>
  <c r="AE1750" i="1"/>
  <c r="AF1750" i="1"/>
  <c r="AG1750" i="1"/>
  <c r="AH1750" i="1"/>
  <c r="AQ1750" i="1"/>
  <c r="L1750" i="1" s="1"/>
  <c r="I1751" i="1"/>
  <c r="E1751" i="1" s="1"/>
  <c r="D1751" i="1" s="1"/>
  <c r="M1751" i="1"/>
  <c r="O1751" i="1"/>
  <c r="AA1751" i="1"/>
  <c r="AD1751" i="1"/>
  <c r="AE1751" i="1"/>
  <c r="AF1751" i="1"/>
  <c r="AG1751" i="1"/>
  <c r="AH1751" i="1"/>
  <c r="AQ1751" i="1"/>
  <c r="L1751" i="1" s="1"/>
  <c r="I1752" i="1"/>
  <c r="E1752" i="1" s="1"/>
  <c r="D1752" i="1" s="1"/>
  <c r="M1752" i="1"/>
  <c r="O1752" i="1"/>
  <c r="AA1752" i="1"/>
  <c r="AD1752" i="1"/>
  <c r="AE1752" i="1"/>
  <c r="AF1752" i="1"/>
  <c r="AG1752" i="1"/>
  <c r="AH1752" i="1"/>
  <c r="AQ1752" i="1"/>
  <c r="L1752" i="1" s="1"/>
  <c r="I1753" i="1"/>
  <c r="E1753" i="1" s="1"/>
  <c r="D1753" i="1" s="1"/>
  <c r="M1753" i="1"/>
  <c r="O1753" i="1"/>
  <c r="AA1753" i="1"/>
  <c r="AD1753" i="1"/>
  <c r="AE1753" i="1"/>
  <c r="AF1753" i="1"/>
  <c r="AG1753" i="1"/>
  <c r="AH1753" i="1"/>
  <c r="AQ1753" i="1"/>
  <c r="L1753" i="1" s="1"/>
  <c r="I1754" i="1"/>
  <c r="E1754" i="1" s="1"/>
  <c r="D1754" i="1" s="1"/>
  <c r="M1754" i="1"/>
  <c r="O1754" i="1"/>
  <c r="AA1754" i="1"/>
  <c r="AD1754" i="1"/>
  <c r="AE1754" i="1"/>
  <c r="AF1754" i="1"/>
  <c r="AG1754" i="1"/>
  <c r="AH1754" i="1"/>
  <c r="AQ1754" i="1"/>
  <c r="L1754" i="1" s="1"/>
  <c r="I1755" i="1"/>
  <c r="E1755" i="1" s="1"/>
  <c r="D1755" i="1" s="1"/>
  <c r="M1755" i="1"/>
  <c r="O1755" i="1"/>
  <c r="AA1755" i="1"/>
  <c r="AD1755" i="1"/>
  <c r="AE1755" i="1"/>
  <c r="AF1755" i="1"/>
  <c r="AG1755" i="1"/>
  <c r="AH1755" i="1"/>
  <c r="AQ1755" i="1"/>
  <c r="L1755" i="1" s="1"/>
  <c r="I1756" i="1"/>
  <c r="E1756" i="1" s="1"/>
  <c r="D1756" i="1" s="1"/>
  <c r="M1756" i="1"/>
  <c r="O1756" i="1"/>
  <c r="AA1756" i="1"/>
  <c r="AD1756" i="1"/>
  <c r="AE1756" i="1"/>
  <c r="AF1756" i="1"/>
  <c r="AG1756" i="1"/>
  <c r="AH1756" i="1"/>
  <c r="AQ1756" i="1"/>
  <c r="L1756" i="1" s="1"/>
  <c r="I1757" i="1"/>
  <c r="E1757" i="1" s="1"/>
  <c r="D1757" i="1" s="1"/>
  <c r="M1757" i="1"/>
  <c r="O1757" i="1"/>
  <c r="AA1757" i="1"/>
  <c r="AD1757" i="1"/>
  <c r="AE1757" i="1"/>
  <c r="AF1757" i="1"/>
  <c r="AG1757" i="1"/>
  <c r="AH1757" i="1"/>
  <c r="AQ1757" i="1"/>
  <c r="L1757" i="1" s="1"/>
  <c r="I1758" i="1"/>
  <c r="E1758" i="1" s="1"/>
  <c r="D1758" i="1" s="1"/>
  <c r="M1758" i="1"/>
  <c r="O1758" i="1"/>
  <c r="AA1758" i="1"/>
  <c r="AD1758" i="1"/>
  <c r="AE1758" i="1"/>
  <c r="AF1758" i="1"/>
  <c r="AG1758" i="1"/>
  <c r="AH1758" i="1"/>
  <c r="AQ1758" i="1"/>
  <c r="L1758" i="1" s="1"/>
  <c r="I1759" i="1"/>
  <c r="E1759" i="1" s="1"/>
  <c r="D1759" i="1" s="1"/>
  <c r="M1759" i="1"/>
  <c r="O1759" i="1"/>
  <c r="AA1759" i="1"/>
  <c r="AD1759" i="1"/>
  <c r="AE1759" i="1"/>
  <c r="AF1759" i="1"/>
  <c r="AG1759" i="1"/>
  <c r="AH1759" i="1"/>
  <c r="AQ1759" i="1"/>
  <c r="L1759" i="1" s="1"/>
  <c r="I1760" i="1"/>
  <c r="E1760" i="1" s="1"/>
  <c r="D1760" i="1" s="1"/>
  <c r="M1760" i="1"/>
  <c r="O1760" i="1"/>
  <c r="AA1760" i="1"/>
  <c r="AD1760" i="1"/>
  <c r="AE1760" i="1"/>
  <c r="AF1760" i="1"/>
  <c r="AG1760" i="1"/>
  <c r="AH1760" i="1"/>
  <c r="AQ1760" i="1"/>
  <c r="L1760" i="1" s="1"/>
  <c r="I1761" i="1"/>
  <c r="E1761" i="1" s="1"/>
  <c r="D1761" i="1" s="1"/>
  <c r="M1761" i="1"/>
  <c r="O1761" i="1"/>
  <c r="AA1761" i="1"/>
  <c r="AD1761" i="1"/>
  <c r="AE1761" i="1"/>
  <c r="AF1761" i="1"/>
  <c r="AG1761" i="1"/>
  <c r="AH1761" i="1"/>
  <c r="AQ1761" i="1"/>
  <c r="L1761" i="1" s="1"/>
  <c r="I1762" i="1"/>
  <c r="E1762" i="1" s="1"/>
  <c r="D1762" i="1" s="1"/>
  <c r="M1762" i="1"/>
  <c r="O1762" i="1"/>
  <c r="AA1762" i="1"/>
  <c r="AD1762" i="1"/>
  <c r="AE1762" i="1"/>
  <c r="AF1762" i="1"/>
  <c r="AG1762" i="1"/>
  <c r="AH1762" i="1"/>
  <c r="AQ1762" i="1"/>
  <c r="L1762" i="1" s="1"/>
  <c r="I1763" i="1"/>
  <c r="E1763" i="1" s="1"/>
  <c r="D1763" i="1" s="1"/>
  <c r="M1763" i="1"/>
  <c r="O1763" i="1"/>
  <c r="AA1763" i="1"/>
  <c r="AD1763" i="1"/>
  <c r="AE1763" i="1"/>
  <c r="AF1763" i="1"/>
  <c r="AG1763" i="1"/>
  <c r="AH1763" i="1"/>
  <c r="AQ1763" i="1"/>
  <c r="L1763" i="1" s="1"/>
  <c r="I1764" i="1"/>
  <c r="E1764" i="1" s="1"/>
  <c r="D1764" i="1" s="1"/>
  <c r="M1764" i="1"/>
  <c r="O1764" i="1"/>
  <c r="AA1764" i="1"/>
  <c r="AD1764" i="1"/>
  <c r="AE1764" i="1"/>
  <c r="AF1764" i="1"/>
  <c r="AG1764" i="1"/>
  <c r="AH1764" i="1"/>
  <c r="AQ1764" i="1"/>
  <c r="L1764" i="1" s="1"/>
  <c r="I1765" i="1"/>
  <c r="E1765" i="1" s="1"/>
  <c r="D1765" i="1" s="1"/>
  <c r="M1765" i="1"/>
  <c r="O1765" i="1"/>
  <c r="AA1765" i="1"/>
  <c r="AD1765" i="1"/>
  <c r="AE1765" i="1"/>
  <c r="AF1765" i="1"/>
  <c r="AG1765" i="1"/>
  <c r="AH1765" i="1"/>
  <c r="AQ1765" i="1"/>
  <c r="L1765" i="1" s="1"/>
  <c r="I1766" i="1"/>
  <c r="E1766" i="1" s="1"/>
  <c r="D1766" i="1" s="1"/>
  <c r="M1766" i="1"/>
  <c r="O1766" i="1"/>
  <c r="AA1766" i="1"/>
  <c r="AD1766" i="1"/>
  <c r="AE1766" i="1"/>
  <c r="AF1766" i="1"/>
  <c r="AG1766" i="1"/>
  <c r="AH1766" i="1"/>
  <c r="AQ1766" i="1"/>
  <c r="L1766" i="1" s="1"/>
  <c r="I1767" i="1"/>
  <c r="E1767" i="1" s="1"/>
  <c r="D1767" i="1" s="1"/>
  <c r="M1767" i="1"/>
  <c r="O1767" i="1"/>
  <c r="AA1767" i="1"/>
  <c r="AD1767" i="1"/>
  <c r="AE1767" i="1"/>
  <c r="AF1767" i="1"/>
  <c r="AG1767" i="1"/>
  <c r="AH1767" i="1"/>
  <c r="AQ1767" i="1"/>
  <c r="L1767" i="1" s="1"/>
  <c r="I1768" i="1"/>
  <c r="E1768" i="1" s="1"/>
  <c r="D1768" i="1" s="1"/>
  <c r="M1768" i="1"/>
  <c r="O1768" i="1"/>
  <c r="AA1768" i="1"/>
  <c r="AD1768" i="1"/>
  <c r="AE1768" i="1"/>
  <c r="AF1768" i="1"/>
  <c r="AG1768" i="1"/>
  <c r="AH1768" i="1"/>
  <c r="AQ1768" i="1"/>
  <c r="L1768" i="1" s="1"/>
  <c r="I1769" i="1"/>
  <c r="E1769" i="1" s="1"/>
  <c r="D1769" i="1" s="1"/>
  <c r="M1769" i="1"/>
  <c r="O1769" i="1"/>
  <c r="AA1769" i="1"/>
  <c r="AD1769" i="1"/>
  <c r="AE1769" i="1"/>
  <c r="AF1769" i="1"/>
  <c r="AG1769" i="1"/>
  <c r="AH1769" i="1"/>
  <c r="AQ1769" i="1"/>
  <c r="L1769" i="1" s="1"/>
  <c r="I1770" i="1"/>
  <c r="E1770" i="1" s="1"/>
  <c r="D1770" i="1" s="1"/>
  <c r="M1770" i="1"/>
  <c r="O1770" i="1"/>
  <c r="AA1770" i="1"/>
  <c r="AD1770" i="1"/>
  <c r="AE1770" i="1"/>
  <c r="AF1770" i="1"/>
  <c r="AG1770" i="1"/>
  <c r="AH1770" i="1"/>
  <c r="AQ1770" i="1"/>
  <c r="L1770" i="1" s="1"/>
  <c r="I1771" i="1"/>
  <c r="E1771" i="1" s="1"/>
  <c r="D1771" i="1" s="1"/>
  <c r="M1771" i="1"/>
  <c r="O1771" i="1"/>
  <c r="AA1771" i="1"/>
  <c r="AD1771" i="1"/>
  <c r="AE1771" i="1"/>
  <c r="AF1771" i="1"/>
  <c r="AG1771" i="1"/>
  <c r="AH1771" i="1"/>
  <c r="AQ1771" i="1"/>
  <c r="L1771" i="1" s="1"/>
  <c r="I1772" i="1"/>
  <c r="E1772" i="1" s="1"/>
  <c r="D1772" i="1" s="1"/>
  <c r="M1772" i="1"/>
  <c r="O1772" i="1"/>
  <c r="AA1772" i="1"/>
  <c r="AD1772" i="1"/>
  <c r="AE1772" i="1"/>
  <c r="AF1772" i="1"/>
  <c r="AG1772" i="1"/>
  <c r="AH1772" i="1"/>
  <c r="AQ1772" i="1"/>
  <c r="L1772" i="1" s="1"/>
  <c r="I1773" i="1"/>
  <c r="E1773" i="1" s="1"/>
  <c r="D1773" i="1" s="1"/>
  <c r="M1773" i="1"/>
  <c r="O1773" i="1"/>
  <c r="AA1773" i="1"/>
  <c r="AD1773" i="1"/>
  <c r="AE1773" i="1"/>
  <c r="AF1773" i="1"/>
  <c r="AG1773" i="1"/>
  <c r="AH1773" i="1"/>
  <c r="AQ1773" i="1"/>
  <c r="L1773" i="1" s="1"/>
  <c r="I1774" i="1"/>
  <c r="E1774" i="1" s="1"/>
  <c r="D1774" i="1" s="1"/>
  <c r="M1774" i="1"/>
  <c r="O1774" i="1"/>
  <c r="AA1774" i="1"/>
  <c r="AD1774" i="1"/>
  <c r="AE1774" i="1"/>
  <c r="AF1774" i="1"/>
  <c r="AG1774" i="1"/>
  <c r="AH1774" i="1"/>
  <c r="AQ1774" i="1"/>
  <c r="L1774" i="1" s="1"/>
  <c r="I1775" i="1"/>
  <c r="E1775" i="1" s="1"/>
  <c r="D1775" i="1" s="1"/>
  <c r="M1775" i="1"/>
  <c r="O1775" i="1"/>
  <c r="AA1775" i="1"/>
  <c r="AD1775" i="1"/>
  <c r="AE1775" i="1"/>
  <c r="AF1775" i="1"/>
  <c r="AG1775" i="1"/>
  <c r="AH1775" i="1"/>
  <c r="AQ1775" i="1"/>
  <c r="L1775" i="1" s="1"/>
  <c r="I1776" i="1"/>
  <c r="E1776" i="1" s="1"/>
  <c r="D1776" i="1" s="1"/>
  <c r="M1776" i="1"/>
  <c r="O1776" i="1"/>
  <c r="AA1776" i="1"/>
  <c r="AD1776" i="1"/>
  <c r="AE1776" i="1"/>
  <c r="AF1776" i="1"/>
  <c r="AG1776" i="1"/>
  <c r="AH1776" i="1"/>
  <c r="AQ1776" i="1"/>
  <c r="L1776" i="1" s="1"/>
  <c r="I1777" i="1"/>
  <c r="E1777" i="1" s="1"/>
  <c r="D1777" i="1" s="1"/>
  <c r="M1777" i="1"/>
  <c r="O1777" i="1"/>
  <c r="AA1777" i="1"/>
  <c r="AD1777" i="1"/>
  <c r="AE1777" i="1"/>
  <c r="AF1777" i="1"/>
  <c r="AG1777" i="1"/>
  <c r="AH1777" i="1"/>
  <c r="AQ1777" i="1"/>
  <c r="L1777" i="1" s="1"/>
  <c r="I1778" i="1"/>
  <c r="E1778" i="1" s="1"/>
  <c r="D1778" i="1" s="1"/>
  <c r="M1778" i="1"/>
  <c r="O1778" i="1"/>
  <c r="AA1778" i="1"/>
  <c r="AD1778" i="1"/>
  <c r="AE1778" i="1"/>
  <c r="AF1778" i="1"/>
  <c r="AG1778" i="1"/>
  <c r="AH1778" i="1"/>
  <c r="AQ1778" i="1"/>
  <c r="L1778" i="1" s="1"/>
  <c r="I1779" i="1"/>
  <c r="E1779" i="1" s="1"/>
  <c r="D1779" i="1" s="1"/>
  <c r="M1779" i="1"/>
  <c r="O1779" i="1"/>
  <c r="AA1779" i="1"/>
  <c r="AD1779" i="1"/>
  <c r="AE1779" i="1"/>
  <c r="AF1779" i="1"/>
  <c r="AG1779" i="1"/>
  <c r="AH1779" i="1"/>
  <c r="AQ1779" i="1"/>
  <c r="L1779" i="1" s="1"/>
  <c r="I1780" i="1"/>
  <c r="E1780" i="1" s="1"/>
  <c r="D1780" i="1" s="1"/>
  <c r="M1780" i="1"/>
  <c r="O1780" i="1"/>
  <c r="AA1780" i="1"/>
  <c r="AD1780" i="1"/>
  <c r="AE1780" i="1"/>
  <c r="AF1780" i="1"/>
  <c r="AG1780" i="1"/>
  <c r="AH1780" i="1"/>
  <c r="AQ1780" i="1"/>
  <c r="L1780" i="1" s="1"/>
  <c r="I1781" i="1"/>
  <c r="E1781" i="1" s="1"/>
  <c r="D1781" i="1" s="1"/>
  <c r="M1781" i="1"/>
  <c r="O1781" i="1"/>
  <c r="AA1781" i="1"/>
  <c r="AD1781" i="1"/>
  <c r="AE1781" i="1"/>
  <c r="AF1781" i="1"/>
  <c r="AG1781" i="1"/>
  <c r="AH1781" i="1"/>
  <c r="AQ1781" i="1"/>
  <c r="L1781" i="1" s="1"/>
  <c r="I1782" i="1"/>
  <c r="E1782" i="1" s="1"/>
  <c r="D1782" i="1" s="1"/>
  <c r="M1782" i="1"/>
  <c r="O1782" i="1"/>
  <c r="AA1782" i="1"/>
  <c r="AD1782" i="1"/>
  <c r="AE1782" i="1"/>
  <c r="AF1782" i="1"/>
  <c r="AG1782" i="1"/>
  <c r="AH1782" i="1"/>
  <c r="AQ1782" i="1"/>
  <c r="L1782" i="1" s="1"/>
  <c r="I1783" i="1"/>
  <c r="E1783" i="1" s="1"/>
  <c r="D1783" i="1" s="1"/>
  <c r="M1783" i="1"/>
  <c r="O1783" i="1"/>
  <c r="AA1783" i="1"/>
  <c r="AD1783" i="1"/>
  <c r="AE1783" i="1"/>
  <c r="AF1783" i="1"/>
  <c r="AG1783" i="1"/>
  <c r="AH1783" i="1"/>
  <c r="AQ1783" i="1"/>
  <c r="L1783" i="1" s="1"/>
  <c r="I1784" i="1"/>
  <c r="E1784" i="1" s="1"/>
  <c r="D1784" i="1" s="1"/>
  <c r="M1784" i="1"/>
  <c r="O1784" i="1"/>
  <c r="AA1784" i="1"/>
  <c r="AD1784" i="1"/>
  <c r="AE1784" i="1"/>
  <c r="AF1784" i="1"/>
  <c r="AG1784" i="1"/>
  <c r="AH1784" i="1"/>
  <c r="AQ1784" i="1"/>
  <c r="L1784" i="1" s="1"/>
  <c r="I1785" i="1"/>
  <c r="E1785" i="1" s="1"/>
  <c r="D1785" i="1" s="1"/>
  <c r="M1785" i="1"/>
  <c r="O1785" i="1"/>
  <c r="AA1785" i="1"/>
  <c r="AD1785" i="1"/>
  <c r="AE1785" i="1"/>
  <c r="AF1785" i="1"/>
  <c r="AG1785" i="1"/>
  <c r="AH1785" i="1"/>
  <c r="AQ1785" i="1"/>
  <c r="L1785" i="1" s="1"/>
  <c r="I1786" i="1"/>
  <c r="E1786" i="1" s="1"/>
  <c r="D1786" i="1" s="1"/>
  <c r="M1786" i="1"/>
  <c r="O1786" i="1"/>
  <c r="AA1786" i="1"/>
  <c r="AD1786" i="1"/>
  <c r="AE1786" i="1"/>
  <c r="AF1786" i="1"/>
  <c r="AG1786" i="1"/>
  <c r="AH1786" i="1"/>
  <c r="AQ1786" i="1"/>
  <c r="L1786" i="1" s="1"/>
  <c r="I1787" i="1"/>
  <c r="E1787" i="1" s="1"/>
  <c r="D1787" i="1" s="1"/>
  <c r="M1787" i="1"/>
  <c r="O1787" i="1"/>
  <c r="AA1787" i="1"/>
  <c r="AD1787" i="1"/>
  <c r="AE1787" i="1"/>
  <c r="AF1787" i="1"/>
  <c r="AG1787" i="1"/>
  <c r="AH1787" i="1"/>
  <c r="AQ1787" i="1"/>
  <c r="L1787" i="1" s="1"/>
  <c r="I1788" i="1"/>
  <c r="E1788" i="1" s="1"/>
  <c r="D1788" i="1" s="1"/>
  <c r="M1788" i="1"/>
  <c r="O1788" i="1"/>
  <c r="AA1788" i="1"/>
  <c r="AD1788" i="1"/>
  <c r="AE1788" i="1"/>
  <c r="AF1788" i="1"/>
  <c r="AG1788" i="1"/>
  <c r="AH1788" i="1"/>
  <c r="AQ1788" i="1"/>
  <c r="L1788" i="1" s="1"/>
  <c r="I1789" i="1"/>
  <c r="E1789" i="1" s="1"/>
  <c r="D1789" i="1" s="1"/>
  <c r="M1789" i="1"/>
  <c r="O1789" i="1"/>
  <c r="AA1789" i="1"/>
  <c r="AD1789" i="1"/>
  <c r="AE1789" i="1"/>
  <c r="AF1789" i="1"/>
  <c r="AG1789" i="1"/>
  <c r="AH1789" i="1"/>
  <c r="AQ1789" i="1"/>
  <c r="L1789" i="1" s="1"/>
  <c r="I1790" i="1"/>
  <c r="E1790" i="1" s="1"/>
  <c r="D1790" i="1" s="1"/>
  <c r="M1790" i="1"/>
  <c r="O1790" i="1"/>
  <c r="AA1790" i="1"/>
  <c r="AD1790" i="1"/>
  <c r="AE1790" i="1"/>
  <c r="AF1790" i="1"/>
  <c r="AG1790" i="1"/>
  <c r="AH1790" i="1"/>
  <c r="AQ1790" i="1"/>
  <c r="L1790" i="1" s="1"/>
  <c r="I1791" i="1"/>
  <c r="E1791" i="1" s="1"/>
  <c r="D1791" i="1" s="1"/>
  <c r="M1791" i="1"/>
  <c r="O1791" i="1"/>
  <c r="AA1791" i="1"/>
  <c r="AD1791" i="1"/>
  <c r="AE1791" i="1"/>
  <c r="AF1791" i="1"/>
  <c r="AG1791" i="1"/>
  <c r="AH1791" i="1"/>
  <c r="AQ1791" i="1"/>
  <c r="L1791" i="1" s="1"/>
  <c r="I1792" i="1"/>
  <c r="E1792" i="1" s="1"/>
  <c r="D1792" i="1" s="1"/>
  <c r="M1792" i="1"/>
  <c r="O1792" i="1"/>
  <c r="AA1792" i="1"/>
  <c r="AD1792" i="1"/>
  <c r="AE1792" i="1"/>
  <c r="AF1792" i="1"/>
  <c r="AG1792" i="1"/>
  <c r="AH1792" i="1"/>
  <c r="AQ1792" i="1"/>
  <c r="L1792" i="1" s="1"/>
  <c r="I1793" i="1"/>
  <c r="E1793" i="1" s="1"/>
  <c r="D1793" i="1" s="1"/>
  <c r="M1793" i="1"/>
  <c r="O1793" i="1"/>
  <c r="AA1793" i="1"/>
  <c r="AD1793" i="1"/>
  <c r="AE1793" i="1"/>
  <c r="AF1793" i="1"/>
  <c r="AG1793" i="1"/>
  <c r="AH1793" i="1"/>
  <c r="AQ1793" i="1"/>
  <c r="L1793" i="1" s="1"/>
  <c r="I1794" i="1"/>
  <c r="E1794" i="1" s="1"/>
  <c r="D1794" i="1" s="1"/>
  <c r="M1794" i="1"/>
  <c r="O1794" i="1"/>
  <c r="AA1794" i="1"/>
  <c r="AD1794" i="1"/>
  <c r="AE1794" i="1"/>
  <c r="AF1794" i="1"/>
  <c r="AG1794" i="1"/>
  <c r="AH1794" i="1"/>
  <c r="AQ1794" i="1"/>
  <c r="L1794" i="1" s="1"/>
  <c r="I1795" i="1"/>
  <c r="E1795" i="1" s="1"/>
  <c r="D1795" i="1" s="1"/>
  <c r="M1795" i="1"/>
  <c r="O1795" i="1"/>
  <c r="AA1795" i="1"/>
  <c r="AD1795" i="1"/>
  <c r="AE1795" i="1"/>
  <c r="AF1795" i="1"/>
  <c r="AG1795" i="1"/>
  <c r="AH1795" i="1"/>
  <c r="AQ1795" i="1"/>
  <c r="L1795" i="1" s="1"/>
  <c r="I1796" i="1"/>
  <c r="E1796" i="1" s="1"/>
  <c r="D1796" i="1" s="1"/>
  <c r="M1796" i="1"/>
  <c r="O1796" i="1"/>
  <c r="AA1796" i="1"/>
  <c r="AD1796" i="1"/>
  <c r="AE1796" i="1"/>
  <c r="AF1796" i="1"/>
  <c r="AG1796" i="1"/>
  <c r="AH1796" i="1"/>
  <c r="AQ1796" i="1"/>
  <c r="L1796" i="1" s="1"/>
  <c r="I1797" i="1"/>
  <c r="E1797" i="1" s="1"/>
  <c r="D1797" i="1" s="1"/>
  <c r="M1797" i="1"/>
  <c r="O1797" i="1"/>
  <c r="AA1797" i="1"/>
  <c r="AD1797" i="1"/>
  <c r="AE1797" i="1"/>
  <c r="AF1797" i="1"/>
  <c r="AG1797" i="1"/>
  <c r="AH1797" i="1"/>
  <c r="AQ1797" i="1"/>
  <c r="L1797" i="1" s="1"/>
  <c r="I1798" i="1"/>
  <c r="E1798" i="1" s="1"/>
  <c r="D1798" i="1" s="1"/>
  <c r="M1798" i="1"/>
  <c r="O1798" i="1"/>
  <c r="AA1798" i="1"/>
  <c r="AD1798" i="1"/>
  <c r="AE1798" i="1"/>
  <c r="AF1798" i="1"/>
  <c r="AG1798" i="1"/>
  <c r="AH1798" i="1"/>
  <c r="AQ1798" i="1"/>
  <c r="L1798" i="1" s="1"/>
  <c r="I1799" i="1"/>
  <c r="E1799" i="1" s="1"/>
  <c r="D1799" i="1" s="1"/>
  <c r="M1799" i="1"/>
  <c r="O1799" i="1"/>
  <c r="AA1799" i="1"/>
  <c r="AD1799" i="1"/>
  <c r="AE1799" i="1"/>
  <c r="AF1799" i="1"/>
  <c r="AG1799" i="1"/>
  <c r="AH1799" i="1"/>
  <c r="AQ1799" i="1"/>
  <c r="L1799" i="1" s="1"/>
  <c r="I1800" i="1"/>
  <c r="E1800" i="1" s="1"/>
  <c r="D1800" i="1" s="1"/>
  <c r="M1800" i="1"/>
  <c r="O1800" i="1"/>
  <c r="AA1800" i="1"/>
  <c r="AD1800" i="1"/>
  <c r="AE1800" i="1"/>
  <c r="AF1800" i="1"/>
  <c r="AG1800" i="1"/>
  <c r="AH1800" i="1"/>
  <c r="AQ1800" i="1"/>
  <c r="L1800" i="1" s="1"/>
  <c r="I1801" i="1"/>
  <c r="E1801" i="1" s="1"/>
  <c r="D1801" i="1" s="1"/>
  <c r="M1801" i="1"/>
  <c r="O1801" i="1"/>
  <c r="AA1801" i="1"/>
  <c r="AD1801" i="1"/>
  <c r="AE1801" i="1"/>
  <c r="AF1801" i="1"/>
  <c r="AG1801" i="1"/>
  <c r="AH1801" i="1"/>
  <c r="AQ1801" i="1"/>
  <c r="L1801" i="1" s="1"/>
  <c r="I1802" i="1"/>
  <c r="E1802" i="1" s="1"/>
  <c r="D1802" i="1" s="1"/>
  <c r="M1802" i="1"/>
  <c r="O1802" i="1"/>
  <c r="AA1802" i="1"/>
  <c r="AD1802" i="1"/>
  <c r="AE1802" i="1"/>
  <c r="AF1802" i="1"/>
  <c r="AG1802" i="1"/>
  <c r="AH1802" i="1"/>
  <c r="AQ1802" i="1"/>
  <c r="L1802" i="1" s="1"/>
  <c r="I1803" i="1"/>
  <c r="E1803" i="1" s="1"/>
  <c r="D1803" i="1" s="1"/>
  <c r="M1803" i="1"/>
  <c r="O1803" i="1"/>
  <c r="AA1803" i="1"/>
  <c r="AD1803" i="1"/>
  <c r="AE1803" i="1"/>
  <c r="AF1803" i="1"/>
  <c r="AG1803" i="1"/>
  <c r="AH1803" i="1"/>
  <c r="AQ1803" i="1"/>
  <c r="L1803" i="1" s="1"/>
  <c r="I1804" i="1"/>
  <c r="E1804" i="1" s="1"/>
  <c r="D1804" i="1" s="1"/>
  <c r="M1804" i="1"/>
  <c r="O1804" i="1"/>
  <c r="AA1804" i="1"/>
  <c r="AD1804" i="1"/>
  <c r="AE1804" i="1"/>
  <c r="AF1804" i="1"/>
  <c r="AG1804" i="1"/>
  <c r="AH1804" i="1"/>
  <c r="AQ1804" i="1"/>
  <c r="L1804" i="1" s="1"/>
  <c r="I1805" i="1"/>
  <c r="E1805" i="1" s="1"/>
  <c r="D1805" i="1" s="1"/>
  <c r="M1805" i="1"/>
  <c r="O1805" i="1"/>
  <c r="AA1805" i="1"/>
  <c r="AD1805" i="1"/>
  <c r="AE1805" i="1"/>
  <c r="AF1805" i="1"/>
  <c r="AG1805" i="1"/>
  <c r="AH1805" i="1"/>
  <c r="AQ1805" i="1"/>
  <c r="L1805" i="1" s="1"/>
  <c r="I1806" i="1"/>
  <c r="E1806" i="1" s="1"/>
  <c r="D1806" i="1" s="1"/>
  <c r="M1806" i="1"/>
  <c r="O1806" i="1"/>
  <c r="AA1806" i="1"/>
  <c r="AD1806" i="1"/>
  <c r="AE1806" i="1"/>
  <c r="AF1806" i="1"/>
  <c r="AG1806" i="1"/>
  <c r="AH1806" i="1"/>
  <c r="AQ1806" i="1"/>
  <c r="L1806" i="1" s="1"/>
  <c r="I1807" i="1"/>
  <c r="E1807" i="1" s="1"/>
  <c r="D1807" i="1" s="1"/>
  <c r="M1807" i="1"/>
  <c r="O1807" i="1"/>
  <c r="AA1807" i="1"/>
  <c r="AD1807" i="1"/>
  <c r="AE1807" i="1"/>
  <c r="AF1807" i="1"/>
  <c r="AG1807" i="1"/>
  <c r="AH1807" i="1"/>
  <c r="AQ1807" i="1"/>
  <c r="L1807" i="1" s="1"/>
  <c r="I1808" i="1"/>
  <c r="E1808" i="1" s="1"/>
  <c r="D1808" i="1" s="1"/>
  <c r="M1808" i="1"/>
  <c r="O1808" i="1"/>
  <c r="AA1808" i="1"/>
  <c r="AD1808" i="1"/>
  <c r="AE1808" i="1"/>
  <c r="AF1808" i="1"/>
  <c r="AG1808" i="1"/>
  <c r="AH1808" i="1"/>
  <c r="AQ1808" i="1"/>
  <c r="L1808" i="1" s="1"/>
  <c r="I1809" i="1"/>
  <c r="E1809" i="1" s="1"/>
  <c r="D1809" i="1" s="1"/>
  <c r="M1809" i="1"/>
  <c r="O1809" i="1"/>
  <c r="AA1809" i="1"/>
  <c r="AD1809" i="1"/>
  <c r="AE1809" i="1"/>
  <c r="AF1809" i="1"/>
  <c r="AG1809" i="1"/>
  <c r="AH1809" i="1"/>
  <c r="AQ1809" i="1"/>
  <c r="L1809" i="1" s="1"/>
  <c r="I1810" i="1"/>
  <c r="E1810" i="1" s="1"/>
  <c r="D1810" i="1" s="1"/>
  <c r="M1810" i="1"/>
  <c r="O1810" i="1"/>
  <c r="AA1810" i="1"/>
  <c r="AD1810" i="1"/>
  <c r="AE1810" i="1"/>
  <c r="AF1810" i="1"/>
  <c r="AG1810" i="1"/>
  <c r="AH1810" i="1"/>
  <c r="AQ1810" i="1"/>
  <c r="L1810" i="1" s="1"/>
  <c r="I1811" i="1"/>
  <c r="E1811" i="1" s="1"/>
  <c r="D1811" i="1" s="1"/>
  <c r="M1811" i="1"/>
  <c r="O1811" i="1"/>
  <c r="AA1811" i="1"/>
  <c r="AD1811" i="1"/>
  <c r="AE1811" i="1"/>
  <c r="AF1811" i="1"/>
  <c r="AG1811" i="1"/>
  <c r="AH1811" i="1"/>
  <c r="AQ1811" i="1"/>
  <c r="L1811" i="1" s="1"/>
  <c r="I1812" i="1"/>
  <c r="E1812" i="1" s="1"/>
  <c r="D1812" i="1" s="1"/>
  <c r="M1812" i="1"/>
  <c r="O1812" i="1"/>
  <c r="AA1812" i="1"/>
  <c r="AD1812" i="1"/>
  <c r="AE1812" i="1"/>
  <c r="AF1812" i="1"/>
  <c r="AG1812" i="1"/>
  <c r="AH1812" i="1"/>
  <c r="AQ1812" i="1"/>
  <c r="L1812" i="1" s="1"/>
  <c r="I1813" i="1"/>
  <c r="E1813" i="1" s="1"/>
  <c r="D1813" i="1" s="1"/>
  <c r="M1813" i="1"/>
  <c r="O1813" i="1"/>
  <c r="AA1813" i="1"/>
  <c r="AD1813" i="1"/>
  <c r="AE1813" i="1"/>
  <c r="AF1813" i="1"/>
  <c r="AG1813" i="1"/>
  <c r="AH1813" i="1"/>
  <c r="AQ1813" i="1"/>
  <c r="L1813" i="1" s="1"/>
  <c r="I1814" i="1"/>
  <c r="E1814" i="1" s="1"/>
  <c r="D1814" i="1" s="1"/>
  <c r="M1814" i="1"/>
  <c r="O1814" i="1"/>
  <c r="AA1814" i="1"/>
  <c r="AD1814" i="1"/>
  <c r="AE1814" i="1"/>
  <c r="AF1814" i="1"/>
  <c r="AG1814" i="1"/>
  <c r="AH1814" i="1"/>
  <c r="AQ1814" i="1"/>
  <c r="L1814" i="1" s="1"/>
  <c r="I1815" i="1"/>
  <c r="E1815" i="1" s="1"/>
  <c r="D1815" i="1" s="1"/>
  <c r="M1815" i="1"/>
  <c r="O1815" i="1"/>
  <c r="AA1815" i="1"/>
  <c r="AD1815" i="1"/>
  <c r="AE1815" i="1"/>
  <c r="AF1815" i="1"/>
  <c r="AG1815" i="1"/>
  <c r="AH1815" i="1"/>
  <c r="AQ1815" i="1"/>
  <c r="L1815" i="1" s="1"/>
  <c r="I1816" i="1"/>
  <c r="E1816" i="1" s="1"/>
  <c r="D1816" i="1" s="1"/>
  <c r="M1816" i="1"/>
  <c r="O1816" i="1"/>
  <c r="AA1816" i="1"/>
  <c r="AD1816" i="1"/>
  <c r="AE1816" i="1"/>
  <c r="AF1816" i="1"/>
  <c r="AG1816" i="1"/>
  <c r="AH1816" i="1"/>
  <c r="AQ1816" i="1"/>
  <c r="L1816" i="1" s="1"/>
  <c r="I1817" i="1"/>
  <c r="E1817" i="1" s="1"/>
  <c r="D1817" i="1" s="1"/>
  <c r="M1817" i="1"/>
  <c r="O1817" i="1"/>
  <c r="AA1817" i="1"/>
  <c r="AD1817" i="1"/>
  <c r="AE1817" i="1"/>
  <c r="AF1817" i="1"/>
  <c r="AG1817" i="1"/>
  <c r="AH1817" i="1"/>
  <c r="AQ1817" i="1"/>
  <c r="L1817" i="1" s="1"/>
  <c r="I1818" i="1"/>
  <c r="E1818" i="1" s="1"/>
  <c r="D1818" i="1" s="1"/>
  <c r="M1818" i="1"/>
  <c r="O1818" i="1"/>
  <c r="AA1818" i="1"/>
  <c r="AD1818" i="1"/>
  <c r="AE1818" i="1"/>
  <c r="AF1818" i="1"/>
  <c r="AG1818" i="1"/>
  <c r="AH1818" i="1"/>
  <c r="AQ1818" i="1"/>
  <c r="L1818" i="1" s="1"/>
  <c r="I1819" i="1"/>
  <c r="E1819" i="1" s="1"/>
  <c r="D1819" i="1" s="1"/>
  <c r="M1819" i="1"/>
  <c r="O1819" i="1"/>
  <c r="AA1819" i="1"/>
  <c r="AD1819" i="1"/>
  <c r="AE1819" i="1"/>
  <c r="AF1819" i="1"/>
  <c r="AG1819" i="1"/>
  <c r="AH1819" i="1"/>
  <c r="AQ1819" i="1"/>
  <c r="L1819" i="1" s="1"/>
  <c r="I1820" i="1"/>
  <c r="E1820" i="1" s="1"/>
  <c r="D1820" i="1" s="1"/>
  <c r="M1820" i="1"/>
  <c r="O1820" i="1"/>
  <c r="AA1820" i="1"/>
  <c r="AD1820" i="1"/>
  <c r="AE1820" i="1"/>
  <c r="AF1820" i="1"/>
  <c r="AG1820" i="1"/>
  <c r="AH1820" i="1"/>
  <c r="AQ1820" i="1"/>
  <c r="L1820" i="1" s="1"/>
  <c r="I1821" i="1"/>
  <c r="E1821" i="1" s="1"/>
  <c r="D1821" i="1" s="1"/>
  <c r="M1821" i="1"/>
  <c r="O1821" i="1"/>
  <c r="AA1821" i="1"/>
  <c r="AD1821" i="1"/>
  <c r="AE1821" i="1"/>
  <c r="AF1821" i="1"/>
  <c r="AG1821" i="1"/>
  <c r="AH1821" i="1"/>
  <c r="AQ1821" i="1"/>
  <c r="L1821" i="1" s="1"/>
  <c r="I1822" i="1"/>
  <c r="E1822" i="1" s="1"/>
  <c r="D1822" i="1" s="1"/>
  <c r="M1822" i="1"/>
  <c r="O1822" i="1"/>
  <c r="AA1822" i="1"/>
  <c r="AD1822" i="1"/>
  <c r="AE1822" i="1"/>
  <c r="AF1822" i="1"/>
  <c r="AG1822" i="1"/>
  <c r="AH1822" i="1"/>
  <c r="AQ1822" i="1"/>
  <c r="L1822" i="1" s="1"/>
  <c r="I1823" i="1"/>
  <c r="E1823" i="1" s="1"/>
  <c r="D1823" i="1" s="1"/>
  <c r="M1823" i="1"/>
  <c r="O1823" i="1"/>
  <c r="AA1823" i="1"/>
  <c r="AD1823" i="1"/>
  <c r="AE1823" i="1"/>
  <c r="AF1823" i="1"/>
  <c r="AG1823" i="1"/>
  <c r="AH1823" i="1"/>
  <c r="AQ1823" i="1"/>
  <c r="L1823" i="1" s="1"/>
  <c r="I1824" i="1"/>
  <c r="E1824" i="1" s="1"/>
  <c r="D1824" i="1" s="1"/>
  <c r="M1824" i="1"/>
  <c r="O1824" i="1"/>
  <c r="AA1824" i="1"/>
  <c r="AD1824" i="1"/>
  <c r="AE1824" i="1"/>
  <c r="AF1824" i="1"/>
  <c r="AG1824" i="1"/>
  <c r="AH1824" i="1"/>
  <c r="AQ1824" i="1"/>
  <c r="L1824" i="1" s="1"/>
  <c r="I1825" i="1"/>
  <c r="E1825" i="1" s="1"/>
  <c r="D1825" i="1" s="1"/>
  <c r="M1825" i="1"/>
  <c r="O1825" i="1"/>
  <c r="AA1825" i="1"/>
  <c r="AD1825" i="1"/>
  <c r="AE1825" i="1"/>
  <c r="AF1825" i="1"/>
  <c r="AG1825" i="1"/>
  <c r="AH1825" i="1"/>
  <c r="AQ1825" i="1"/>
  <c r="L1825" i="1" s="1"/>
  <c r="I1826" i="1"/>
  <c r="E1826" i="1" s="1"/>
  <c r="D1826" i="1" s="1"/>
  <c r="M1826" i="1"/>
  <c r="O1826" i="1"/>
  <c r="AA1826" i="1"/>
  <c r="AD1826" i="1"/>
  <c r="AE1826" i="1"/>
  <c r="AF1826" i="1"/>
  <c r="AG1826" i="1"/>
  <c r="AH1826" i="1"/>
  <c r="AQ1826" i="1"/>
  <c r="L1826" i="1" s="1"/>
  <c r="I1827" i="1"/>
  <c r="E1827" i="1" s="1"/>
  <c r="D1827" i="1" s="1"/>
  <c r="M1827" i="1"/>
  <c r="O1827" i="1"/>
  <c r="AA1827" i="1"/>
  <c r="AD1827" i="1"/>
  <c r="AE1827" i="1"/>
  <c r="AF1827" i="1"/>
  <c r="AG1827" i="1"/>
  <c r="AH1827" i="1"/>
  <c r="AQ1827" i="1"/>
  <c r="L1827" i="1" s="1"/>
  <c r="I1828" i="1"/>
  <c r="E1828" i="1" s="1"/>
  <c r="D1828" i="1" s="1"/>
  <c r="M1828" i="1"/>
  <c r="O1828" i="1"/>
  <c r="AA1828" i="1"/>
  <c r="AD1828" i="1"/>
  <c r="AE1828" i="1"/>
  <c r="AF1828" i="1"/>
  <c r="AG1828" i="1"/>
  <c r="AH1828" i="1"/>
  <c r="AQ1828" i="1"/>
  <c r="L1828" i="1" s="1"/>
  <c r="I1829" i="1"/>
  <c r="E1829" i="1" s="1"/>
  <c r="D1829" i="1" s="1"/>
  <c r="M1829" i="1"/>
  <c r="O1829" i="1"/>
  <c r="AA1829" i="1"/>
  <c r="AD1829" i="1"/>
  <c r="AE1829" i="1"/>
  <c r="AF1829" i="1"/>
  <c r="AG1829" i="1"/>
  <c r="AH1829" i="1"/>
  <c r="AQ1829" i="1"/>
  <c r="L1829" i="1" s="1"/>
  <c r="I1830" i="1"/>
  <c r="E1830" i="1" s="1"/>
  <c r="D1830" i="1" s="1"/>
  <c r="M1830" i="1"/>
  <c r="O1830" i="1"/>
  <c r="AA1830" i="1"/>
  <c r="AD1830" i="1"/>
  <c r="AE1830" i="1"/>
  <c r="AF1830" i="1"/>
  <c r="AG1830" i="1"/>
  <c r="AH1830" i="1"/>
  <c r="AQ1830" i="1"/>
  <c r="L1830" i="1" s="1"/>
  <c r="I1831" i="1"/>
  <c r="E1831" i="1" s="1"/>
  <c r="D1831" i="1" s="1"/>
  <c r="M1831" i="1"/>
  <c r="O1831" i="1"/>
  <c r="AA1831" i="1"/>
  <c r="AD1831" i="1"/>
  <c r="AE1831" i="1"/>
  <c r="AF1831" i="1"/>
  <c r="AG1831" i="1"/>
  <c r="AH1831" i="1"/>
  <c r="AQ1831" i="1"/>
  <c r="L1831" i="1" s="1"/>
  <c r="I1832" i="1"/>
  <c r="E1832" i="1" s="1"/>
  <c r="D1832" i="1" s="1"/>
  <c r="M1832" i="1"/>
  <c r="O1832" i="1"/>
  <c r="AA1832" i="1"/>
  <c r="AD1832" i="1"/>
  <c r="AE1832" i="1"/>
  <c r="AF1832" i="1"/>
  <c r="AG1832" i="1"/>
  <c r="AH1832" i="1"/>
  <c r="AQ1832" i="1"/>
  <c r="L1832" i="1" s="1"/>
  <c r="I1833" i="1"/>
  <c r="E1833" i="1" s="1"/>
  <c r="D1833" i="1" s="1"/>
  <c r="M1833" i="1"/>
  <c r="O1833" i="1"/>
  <c r="AA1833" i="1"/>
  <c r="AD1833" i="1"/>
  <c r="AE1833" i="1"/>
  <c r="AF1833" i="1"/>
  <c r="AG1833" i="1"/>
  <c r="AH1833" i="1"/>
  <c r="AQ1833" i="1"/>
  <c r="L1833" i="1" s="1"/>
  <c r="I1834" i="1"/>
  <c r="E1834" i="1" s="1"/>
  <c r="D1834" i="1" s="1"/>
  <c r="M1834" i="1"/>
  <c r="O1834" i="1"/>
  <c r="AA1834" i="1"/>
  <c r="AD1834" i="1"/>
  <c r="AE1834" i="1"/>
  <c r="AF1834" i="1"/>
  <c r="AG1834" i="1"/>
  <c r="AH1834" i="1"/>
  <c r="AQ1834" i="1"/>
  <c r="L1834" i="1" s="1"/>
  <c r="I1835" i="1"/>
  <c r="E1835" i="1" s="1"/>
  <c r="D1835" i="1" s="1"/>
  <c r="M1835" i="1"/>
  <c r="O1835" i="1"/>
  <c r="AA1835" i="1"/>
  <c r="AD1835" i="1"/>
  <c r="AE1835" i="1"/>
  <c r="AF1835" i="1"/>
  <c r="AG1835" i="1"/>
  <c r="AH1835" i="1"/>
  <c r="AQ1835" i="1"/>
  <c r="L1835" i="1" s="1"/>
  <c r="I1836" i="1"/>
  <c r="E1836" i="1" s="1"/>
  <c r="D1836" i="1" s="1"/>
  <c r="M1836" i="1"/>
  <c r="O1836" i="1"/>
  <c r="AA1836" i="1"/>
  <c r="AD1836" i="1"/>
  <c r="AE1836" i="1"/>
  <c r="AF1836" i="1"/>
  <c r="AG1836" i="1"/>
  <c r="AH1836" i="1"/>
  <c r="AQ1836" i="1"/>
  <c r="L1836" i="1" s="1"/>
  <c r="I1837" i="1"/>
  <c r="E1837" i="1" s="1"/>
  <c r="D1837" i="1" s="1"/>
  <c r="M1837" i="1"/>
  <c r="O1837" i="1"/>
  <c r="AA1837" i="1"/>
  <c r="AD1837" i="1"/>
  <c r="AE1837" i="1"/>
  <c r="AF1837" i="1"/>
  <c r="AG1837" i="1"/>
  <c r="AH1837" i="1"/>
  <c r="AQ1837" i="1"/>
  <c r="L1837" i="1" s="1"/>
  <c r="I1838" i="1"/>
  <c r="E1838" i="1" s="1"/>
  <c r="D1838" i="1" s="1"/>
  <c r="M1838" i="1"/>
  <c r="O1838" i="1"/>
  <c r="AA1838" i="1"/>
  <c r="AD1838" i="1"/>
  <c r="AE1838" i="1"/>
  <c r="AF1838" i="1"/>
  <c r="AG1838" i="1"/>
  <c r="AH1838" i="1"/>
  <c r="AQ1838" i="1"/>
  <c r="L1838" i="1" s="1"/>
  <c r="I1839" i="1"/>
  <c r="E1839" i="1" s="1"/>
  <c r="D1839" i="1" s="1"/>
  <c r="M1839" i="1"/>
  <c r="O1839" i="1"/>
  <c r="AA1839" i="1"/>
  <c r="AD1839" i="1"/>
  <c r="AE1839" i="1"/>
  <c r="AF1839" i="1"/>
  <c r="AG1839" i="1"/>
  <c r="AH1839" i="1"/>
  <c r="AQ1839" i="1"/>
  <c r="L1839" i="1" s="1"/>
  <c r="I1840" i="1"/>
  <c r="E1840" i="1" s="1"/>
  <c r="D1840" i="1" s="1"/>
  <c r="M1840" i="1"/>
  <c r="O1840" i="1"/>
  <c r="AA1840" i="1"/>
  <c r="AD1840" i="1"/>
  <c r="AE1840" i="1"/>
  <c r="AF1840" i="1"/>
  <c r="AG1840" i="1"/>
  <c r="AH1840" i="1"/>
  <c r="AQ1840" i="1"/>
  <c r="L1840" i="1" s="1"/>
  <c r="I1841" i="1"/>
  <c r="E1841" i="1" s="1"/>
  <c r="D1841" i="1" s="1"/>
  <c r="M1841" i="1"/>
  <c r="O1841" i="1"/>
  <c r="AA1841" i="1"/>
  <c r="AD1841" i="1"/>
  <c r="AE1841" i="1"/>
  <c r="AF1841" i="1"/>
  <c r="AG1841" i="1"/>
  <c r="AH1841" i="1"/>
  <c r="AQ1841" i="1"/>
  <c r="L1841" i="1" s="1"/>
  <c r="I1842" i="1"/>
  <c r="E1842" i="1" s="1"/>
  <c r="D1842" i="1" s="1"/>
  <c r="M1842" i="1"/>
  <c r="O1842" i="1"/>
  <c r="AA1842" i="1"/>
  <c r="AD1842" i="1"/>
  <c r="AE1842" i="1"/>
  <c r="AF1842" i="1"/>
  <c r="AG1842" i="1"/>
  <c r="AH1842" i="1"/>
  <c r="AQ1842" i="1"/>
  <c r="L1842" i="1" s="1"/>
  <c r="I1843" i="1"/>
  <c r="E1843" i="1" s="1"/>
  <c r="D1843" i="1" s="1"/>
  <c r="M1843" i="1"/>
  <c r="O1843" i="1"/>
  <c r="AA1843" i="1"/>
  <c r="AD1843" i="1"/>
  <c r="AE1843" i="1"/>
  <c r="AF1843" i="1"/>
  <c r="AG1843" i="1"/>
  <c r="AH1843" i="1"/>
  <c r="AQ1843" i="1"/>
  <c r="L1843" i="1" s="1"/>
  <c r="I1844" i="1"/>
  <c r="E1844" i="1" s="1"/>
  <c r="D1844" i="1" s="1"/>
  <c r="M1844" i="1"/>
  <c r="O1844" i="1"/>
  <c r="AA1844" i="1"/>
  <c r="AD1844" i="1"/>
  <c r="AE1844" i="1"/>
  <c r="AF1844" i="1"/>
  <c r="AG1844" i="1"/>
  <c r="AH1844" i="1"/>
  <c r="AQ1844" i="1"/>
  <c r="L1844" i="1" s="1"/>
  <c r="I1845" i="1"/>
  <c r="E1845" i="1" s="1"/>
  <c r="D1845" i="1" s="1"/>
  <c r="M1845" i="1"/>
  <c r="O1845" i="1"/>
  <c r="AA1845" i="1"/>
  <c r="AD1845" i="1"/>
  <c r="AE1845" i="1"/>
  <c r="AF1845" i="1"/>
  <c r="AG1845" i="1"/>
  <c r="AH1845" i="1"/>
  <c r="AQ1845" i="1"/>
  <c r="L1845" i="1" s="1"/>
  <c r="I1846" i="1"/>
  <c r="E1846" i="1" s="1"/>
  <c r="D1846" i="1" s="1"/>
  <c r="M1846" i="1"/>
  <c r="O1846" i="1"/>
  <c r="AA1846" i="1"/>
  <c r="AD1846" i="1"/>
  <c r="AE1846" i="1"/>
  <c r="AF1846" i="1"/>
  <c r="AG1846" i="1"/>
  <c r="AH1846" i="1"/>
  <c r="AQ1846" i="1"/>
  <c r="L1846" i="1" s="1"/>
  <c r="I1847" i="1"/>
  <c r="E1847" i="1" s="1"/>
  <c r="D1847" i="1" s="1"/>
  <c r="M1847" i="1"/>
  <c r="O1847" i="1"/>
  <c r="AA1847" i="1"/>
  <c r="AD1847" i="1"/>
  <c r="AE1847" i="1"/>
  <c r="AF1847" i="1"/>
  <c r="AG1847" i="1"/>
  <c r="AH1847" i="1"/>
  <c r="AQ1847" i="1"/>
  <c r="L1847" i="1" s="1"/>
  <c r="I1848" i="1"/>
  <c r="E1848" i="1" s="1"/>
  <c r="D1848" i="1" s="1"/>
  <c r="M1848" i="1"/>
  <c r="O1848" i="1"/>
  <c r="AA1848" i="1"/>
  <c r="AD1848" i="1"/>
  <c r="AE1848" i="1"/>
  <c r="AF1848" i="1"/>
  <c r="AG1848" i="1"/>
  <c r="AH1848" i="1"/>
  <c r="AQ1848" i="1"/>
  <c r="L1848" i="1" s="1"/>
  <c r="I1849" i="1"/>
  <c r="E1849" i="1" s="1"/>
  <c r="D1849" i="1" s="1"/>
  <c r="M1849" i="1"/>
  <c r="O1849" i="1"/>
  <c r="AA1849" i="1"/>
  <c r="AD1849" i="1"/>
  <c r="AE1849" i="1"/>
  <c r="AF1849" i="1"/>
  <c r="AG1849" i="1"/>
  <c r="AH1849" i="1"/>
  <c r="AQ1849" i="1"/>
  <c r="L1849" i="1" s="1"/>
  <c r="I1850" i="1"/>
  <c r="E1850" i="1" s="1"/>
  <c r="D1850" i="1" s="1"/>
  <c r="M1850" i="1"/>
  <c r="O1850" i="1"/>
  <c r="AA1850" i="1"/>
  <c r="AD1850" i="1"/>
  <c r="AE1850" i="1"/>
  <c r="AF1850" i="1"/>
  <c r="AG1850" i="1"/>
  <c r="AH1850" i="1"/>
  <c r="AQ1850" i="1"/>
  <c r="L1850" i="1" s="1"/>
  <c r="I1851" i="1"/>
  <c r="E1851" i="1" s="1"/>
  <c r="D1851" i="1" s="1"/>
  <c r="M1851" i="1"/>
  <c r="O1851" i="1"/>
  <c r="AA1851" i="1"/>
  <c r="AD1851" i="1"/>
  <c r="AE1851" i="1"/>
  <c r="AF1851" i="1"/>
  <c r="AG1851" i="1"/>
  <c r="AH1851" i="1"/>
  <c r="AQ1851" i="1"/>
  <c r="L1851" i="1" s="1"/>
  <c r="I1852" i="1"/>
  <c r="E1852" i="1" s="1"/>
  <c r="D1852" i="1" s="1"/>
  <c r="M1852" i="1"/>
  <c r="O1852" i="1"/>
  <c r="AA1852" i="1"/>
  <c r="AD1852" i="1"/>
  <c r="AE1852" i="1"/>
  <c r="AF1852" i="1"/>
  <c r="AG1852" i="1"/>
  <c r="AH1852" i="1"/>
  <c r="AQ1852" i="1"/>
  <c r="L1852" i="1" s="1"/>
  <c r="I1853" i="1"/>
  <c r="E1853" i="1" s="1"/>
  <c r="D1853" i="1" s="1"/>
  <c r="M1853" i="1"/>
  <c r="O1853" i="1"/>
  <c r="AA1853" i="1"/>
  <c r="AD1853" i="1"/>
  <c r="AE1853" i="1"/>
  <c r="AF1853" i="1"/>
  <c r="AG1853" i="1"/>
  <c r="AH1853" i="1"/>
  <c r="AQ1853" i="1"/>
  <c r="L1853" i="1" s="1"/>
  <c r="I1854" i="1"/>
  <c r="E1854" i="1" s="1"/>
  <c r="D1854" i="1" s="1"/>
  <c r="M1854" i="1"/>
  <c r="O1854" i="1"/>
  <c r="AA1854" i="1"/>
  <c r="AD1854" i="1"/>
  <c r="AE1854" i="1"/>
  <c r="AF1854" i="1"/>
  <c r="AG1854" i="1"/>
  <c r="AH1854" i="1"/>
  <c r="AQ1854" i="1"/>
  <c r="L1854" i="1" s="1"/>
  <c r="I1855" i="1"/>
  <c r="E1855" i="1" s="1"/>
  <c r="D1855" i="1" s="1"/>
  <c r="M1855" i="1"/>
  <c r="O1855" i="1"/>
  <c r="AA1855" i="1"/>
  <c r="AD1855" i="1"/>
  <c r="AE1855" i="1"/>
  <c r="AF1855" i="1"/>
  <c r="AG1855" i="1"/>
  <c r="AH1855" i="1"/>
  <c r="AQ1855" i="1"/>
  <c r="L1855" i="1" s="1"/>
  <c r="I1856" i="1"/>
  <c r="E1856" i="1" s="1"/>
  <c r="D1856" i="1" s="1"/>
  <c r="M1856" i="1"/>
  <c r="O1856" i="1"/>
  <c r="AA1856" i="1"/>
  <c r="AD1856" i="1"/>
  <c r="AE1856" i="1"/>
  <c r="AF1856" i="1"/>
  <c r="AG1856" i="1"/>
  <c r="AH1856" i="1"/>
  <c r="AQ1856" i="1"/>
  <c r="L1856" i="1" s="1"/>
  <c r="I1857" i="1"/>
  <c r="E1857" i="1" s="1"/>
  <c r="D1857" i="1" s="1"/>
  <c r="M1857" i="1"/>
  <c r="O1857" i="1"/>
  <c r="AA1857" i="1"/>
  <c r="AD1857" i="1"/>
  <c r="AE1857" i="1"/>
  <c r="AF1857" i="1"/>
  <c r="AG1857" i="1"/>
  <c r="AH1857" i="1"/>
  <c r="AQ1857" i="1"/>
  <c r="L1857" i="1" s="1"/>
  <c r="I1858" i="1"/>
  <c r="E1858" i="1" s="1"/>
  <c r="D1858" i="1" s="1"/>
  <c r="M1858" i="1"/>
  <c r="O1858" i="1"/>
  <c r="AA1858" i="1"/>
  <c r="AD1858" i="1"/>
  <c r="AE1858" i="1"/>
  <c r="AF1858" i="1"/>
  <c r="AG1858" i="1"/>
  <c r="AH1858" i="1"/>
  <c r="AQ1858" i="1"/>
  <c r="L1858" i="1" s="1"/>
  <c r="I1859" i="1"/>
  <c r="E1859" i="1" s="1"/>
  <c r="D1859" i="1" s="1"/>
  <c r="M1859" i="1"/>
  <c r="O1859" i="1"/>
  <c r="AA1859" i="1"/>
  <c r="AD1859" i="1"/>
  <c r="AE1859" i="1"/>
  <c r="AF1859" i="1"/>
  <c r="AG1859" i="1"/>
  <c r="AH1859" i="1"/>
  <c r="AQ1859" i="1"/>
  <c r="L1859" i="1" s="1"/>
  <c r="I1860" i="1"/>
  <c r="E1860" i="1" s="1"/>
  <c r="D1860" i="1" s="1"/>
  <c r="M1860" i="1"/>
  <c r="O1860" i="1"/>
  <c r="AA1860" i="1"/>
  <c r="AD1860" i="1"/>
  <c r="AE1860" i="1"/>
  <c r="AF1860" i="1"/>
  <c r="AG1860" i="1"/>
  <c r="AH1860" i="1"/>
  <c r="AQ1860" i="1"/>
  <c r="L1860" i="1" s="1"/>
  <c r="I1861" i="1"/>
  <c r="E1861" i="1" s="1"/>
  <c r="D1861" i="1" s="1"/>
  <c r="M1861" i="1"/>
  <c r="O1861" i="1"/>
  <c r="AA1861" i="1"/>
  <c r="AD1861" i="1"/>
  <c r="AE1861" i="1"/>
  <c r="AF1861" i="1"/>
  <c r="AG1861" i="1"/>
  <c r="AH1861" i="1"/>
  <c r="AQ1861" i="1"/>
  <c r="L1861" i="1" s="1"/>
  <c r="I1862" i="1"/>
  <c r="E1862" i="1" s="1"/>
  <c r="D1862" i="1" s="1"/>
  <c r="M1862" i="1"/>
  <c r="O1862" i="1"/>
  <c r="AA1862" i="1"/>
  <c r="AD1862" i="1"/>
  <c r="AE1862" i="1"/>
  <c r="AF1862" i="1"/>
  <c r="AG1862" i="1"/>
  <c r="AH1862" i="1"/>
  <c r="AQ1862" i="1"/>
  <c r="L1862" i="1" s="1"/>
  <c r="I1863" i="1"/>
  <c r="E1863" i="1" s="1"/>
  <c r="D1863" i="1" s="1"/>
  <c r="M1863" i="1"/>
  <c r="O1863" i="1"/>
  <c r="AA1863" i="1"/>
  <c r="AD1863" i="1"/>
  <c r="AE1863" i="1"/>
  <c r="AF1863" i="1"/>
  <c r="AG1863" i="1"/>
  <c r="AH1863" i="1"/>
  <c r="AQ1863" i="1"/>
  <c r="L1863" i="1" s="1"/>
  <c r="I1864" i="1"/>
  <c r="E1864" i="1" s="1"/>
  <c r="D1864" i="1" s="1"/>
  <c r="M1864" i="1"/>
  <c r="O1864" i="1"/>
  <c r="AA1864" i="1"/>
  <c r="AD1864" i="1"/>
  <c r="AE1864" i="1"/>
  <c r="AF1864" i="1"/>
  <c r="AG1864" i="1"/>
  <c r="AH1864" i="1"/>
  <c r="AQ1864" i="1"/>
  <c r="L1864" i="1" s="1"/>
  <c r="I1865" i="1"/>
  <c r="E1865" i="1" s="1"/>
  <c r="D1865" i="1" s="1"/>
  <c r="M1865" i="1"/>
  <c r="O1865" i="1"/>
  <c r="AA1865" i="1"/>
  <c r="AD1865" i="1"/>
  <c r="AE1865" i="1"/>
  <c r="AF1865" i="1"/>
  <c r="AG1865" i="1"/>
  <c r="AH1865" i="1"/>
  <c r="AQ1865" i="1"/>
  <c r="L1865" i="1" s="1"/>
  <c r="I1866" i="1"/>
  <c r="E1866" i="1" s="1"/>
  <c r="D1866" i="1" s="1"/>
  <c r="M1866" i="1"/>
  <c r="O1866" i="1"/>
  <c r="AA1866" i="1"/>
  <c r="AD1866" i="1"/>
  <c r="AE1866" i="1"/>
  <c r="AF1866" i="1"/>
  <c r="AG1866" i="1"/>
  <c r="AH1866" i="1"/>
  <c r="AQ1866" i="1"/>
  <c r="L1866" i="1" s="1"/>
  <c r="I1867" i="1"/>
  <c r="E1867" i="1" s="1"/>
  <c r="D1867" i="1" s="1"/>
  <c r="M1867" i="1"/>
  <c r="O1867" i="1"/>
  <c r="AA1867" i="1"/>
  <c r="AD1867" i="1"/>
  <c r="AE1867" i="1"/>
  <c r="AF1867" i="1"/>
  <c r="AG1867" i="1"/>
  <c r="AH1867" i="1"/>
  <c r="AQ1867" i="1"/>
  <c r="L1867" i="1" s="1"/>
  <c r="I1868" i="1"/>
  <c r="E1868" i="1" s="1"/>
  <c r="D1868" i="1" s="1"/>
  <c r="M1868" i="1"/>
  <c r="O1868" i="1"/>
  <c r="AA1868" i="1"/>
  <c r="AD1868" i="1"/>
  <c r="AE1868" i="1"/>
  <c r="AF1868" i="1"/>
  <c r="AG1868" i="1"/>
  <c r="AH1868" i="1"/>
  <c r="AQ1868" i="1"/>
  <c r="L1868" i="1" s="1"/>
  <c r="I1869" i="1"/>
  <c r="E1869" i="1" s="1"/>
  <c r="D1869" i="1" s="1"/>
  <c r="M1869" i="1"/>
  <c r="O1869" i="1"/>
  <c r="AA1869" i="1"/>
  <c r="AD1869" i="1"/>
  <c r="AE1869" i="1"/>
  <c r="AF1869" i="1"/>
  <c r="AG1869" i="1"/>
  <c r="AH1869" i="1"/>
  <c r="AQ1869" i="1"/>
  <c r="L1869" i="1" s="1"/>
  <c r="I1870" i="1"/>
  <c r="E1870" i="1" s="1"/>
  <c r="D1870" i="1" s="1"/>
  <c r="M1870" i="1"/>
  <c r="O1870" i="1"/>
  <c r="AA1870" i="1"/>
  <c r="AD1870" i="1"/>
  <c r="AE1870" i="1"/>
  <c r="AF1870" i="1"/>
  <c r="AG1870" i="1"/>
  <c r="AH1870" i="1"/>
  <c r="AQ1870" i="1"/>
  <c r="L1870" i="1" s="1"/>
  <c r="I1871" i="1"/>
  <c r="E1871" i="1" s="1"/>
  <c r="D1871" i="1" s="1"/>
  <c r="M1871" i="1"/>
  <c r="O1871" i="1"/>
  <c r="AA1871" i="1"/>
  <c r="AD1871" i="1"/>
  <c r="AE1871" i="1"/>
  <c r="AF1871" i="1"/>
  <c r="AG1871" i="1"/>
  <c r="AH1871" i="1"/>
  <c r="AQ1871" i="1"/>
  <c r="L1871" i="1" s="1"/>
  <c r="I1872" i="1"/>
  <c r="E1872" i="1" s="1"/>
  <c r="D1872" i="1" s="1"/>
  <c r="M1872" i="1"/>
  <c r="O1872" i="1"/>
  <c r="AA1872" i="1"/>
  <c r="AD1872" i="1"/>
  <c r="AE1872" i="1"/>
  <c r="AF1872" i="1"/>
  <c r="AG1872" i="1"/>
  <c r="AH1872" i="1"/>
  <c r="AQ1872" i="1"/>
  <c r="L1872" i="1" s="1"/>
  <c r="I1873" i="1"/>
  <c r="E1873" i="1" s="1"/>
  <c r="D1873" i="1" s="1"/>
  <c r="M1873" i="1"/>
  <c r="O1873" i="1"/>
  <c r="AA1873" i="1"/>
  <c r="AD1873" i="1"/>
  <c r="AE1873" i="1"/>
  <c r="AF1873" i="1"/>
  <c r="AG1873" i="1"/>
  <c r="AH1873" i="1"/>
  <c r="AQ1873" i="1"/>
  <c r="L1873" i="1" s="1"/>
  <c r="I1874" i="1"/>
  <c r="E1874" i="1" s="1"/>
  <c r="D1874" i="1" s="1"/>
  <c r="M1874" i="1"/>
  <c r="O1874" i="1"/>
  <c r="AA1874" i="1"/>
  <c r="AD1874" i="1"/>
  <c r="AE1874" i="1"/>
  <c r="AF1874" i="1"/>
  <c r="AG1874" i="1"/>
  <c r="AH1874" i="1"/>
  <c r="AQ1874" i="1"/>
  <c r="L1874" i="1" s="1"/>
  <c r="I1875" i="1"/>
  <c r="E1875" i="1" s="1"/>
  <c r="D1875" i="1" s="1"/>
  <c r="M1875" i="1"/>
  <c r="O1875" i="1"/>
  <c r="AA1875" i="1"/>
  <c r="AD1875" i="1"/>
  <c r="AE1875" i="1"/>
  <c r="AF1875" i="1"/>
  <c r="AG1875" i="1"/>
  <c r="AH1875" i="1"/>
  <c r="AQ1875" i="1"/>
  <c r="L1875" i="1" s="1"/>
  <c r="I1876" i="1"/>
  <c r="E1876" i="1" s="1"/>
  <c r="D1876" i="1" s="1"/>
  <c r="M1876" i="1"/>
  <c r="O1876" i="1"/>
  <c r="AA1876" i="1"/>
  <c r="AD1876" i="1"/>
  <c r="AE1876" i="1"/>
  <c r="AF1876" i="1"/>
  <c r="AG1876" i="1"/>
  <c r="AH1876" i="1"/>
  <c r="AQ1876" i="1"/>
  <c r="L1876" i="1" s="1"/>
  <c r="I1877" i="1"/>
  <c r="E1877" i="1" s="1"/>
  <c r="D1877" i="1" s="1"/>
  <c r="M1877" i="1"/>
  <c r="O1877" i="1"/>
  <c r="AA1877" i="1"/>
  <c r="AD1877" i="1"/>
  <c r="AE1877" i="1"/>
  <c r="AF1877" i="1"/>
  <c r="AG1877" i="1"/>
  <c r="AH1877" i="1"/>
  <c r="AQ1877" i="1"/>
  <c r="L1877" i="1" s="1"/>
  <c r="I1878" i="1"/>
  <c r="E1878" i="1" s="1"/>
  <c r="D1878" i="1" s="1"/>
  <c r="M1878" i="1"/>
  <c r="O1878" i="1"/>
  <c r="AA1878" i="1"/>
  <c r="AD1878" i="1"/>
  <c r="AE1878" i="1"/>
  <c r="AF1878" i="1"/>
  <c r="AG1878" i="1"/>
  <c r="AH1878" i="1"/>
  <c r="AQ1878" i="1"/>
  <c r="L1878" i="1" s="1"/>
  <c r="I1879" i="1"/>
  <c r="E1879" i="1" s="1"/>
  <c r="D1879" i="1" s="1"/>
  <c r="M1879" i="1"/>
  <c r="O1879" i="1"/>
  <c r="AA1879" i="1"/>
  <c r="AD1879" i="1"/>
  <c r="AE1879" i="1"/>
  <c r="AF1879" i="1"/>
  <c r="AG1879" i="1"/>
  <c r="AH1879" i="1"/>
  <c r="AQ1879" i="1"/>
  <c r="L1879" i="1" s="1"/>
  <c r="I1880" i="1"/>
  <c r="E1880" i="1" s="1"/>
  <c r="D1880" i="1" s="1"/>
  <c r="M1880" i="1"/>
  <c r="O1880" i="1"/>
  <c r="AA1880" i="1"/>
  <c r="AD1880" i="1"/>
  <c r="AE1880" i="1"/>
  <c r="AF1880" i="1"/>
  <c r="AG1880" i="1"/>
  <c r="AH1880" i="1"/>
  <c r="AQ1880" i="1"/>
  <c r="L1880" i="1" s="1"/>
  <c r="I1881" i="1"/>
  <c r="E1881" i="1" s="1"/>
  <c r="D1881" i="1" s="1"/>
  <c r="M1881" i="1"/>
  <c r="O1881" i="1"/>
  <c r="AA1881" i="1"/>
  <c r="AD1881" i="1"/>
  <c r="AE1881" i="1"/>
  <c r="AF1881" i="1"/>
  <c r="AG1881" i="1"/>
  <c r="AH1881" i="1"/>
  <c r="AQ1881" i="1"/>
  <c r="L1881" i="1" s="1"/>
  <c r="I1882" i="1"/>
  <c r="E1882" i="1" s="1"/>
  <c r="D1882" i="1" s="1"/>
  <c r="M1882" i="1"/>
  <c r="O1882" i="1"/>
  <c r="AA1882" i="1"/>
  <c r="AD1882" i="1"/>
  <c r="AE1882" i="1"/>
  <c r="AF1882" i="1"/>
  <c r="AG1882" i="1"/>
  <c r="AH1882" i="1"/>
  <c r="AQ1882" i="1"/>
  <c r="L1882" i="1" s="1"/>
  <c r="I1883" i="1"/>
  <c r="E1883" i="1" s="1"/>
  <c r="D1883" i="1" s="1"/>
  <c r="M1883" i="1"/>
  <c r="O1883" i="1"/>
  <c r="AA1883" i="1"/>
  <c r="AD1883" i="1"/>
  <c r="AE1883" i="1"/>
  <c r="AF1883" i="1"/>
  <c r="AG1883" i="1"/>
  <c r="AH1883" i="1"/>
  <c r="AQ1883" i="1"/>
  <c r="L1883" i="1" s="1"/>
  <c r="I1884" i="1"/>
  <c r="E1884" i="1" s="1"/>
  <c r="D1884" i="1" s="1"/>
  <c r="M1884" i="1"/>
  <c r="O1884" i="1"/>
  <c r="AA1884" i="1"/>
  <c r="AD1884" i="1"/>
  <c r="AE1884" i="1"/>
  <c r="AF1884" i="1"/>
  <c r="AG1884" i="1"/>
  <c r="AH1884" i="1"/>
  <c r="AQ1884" i="1"/>
  <c r="L1884" i="1" s="1"/>
  <c r="I1885" i="1"/>
  <c r="E1885" i="1" s="1"/>
  <c r="D1885" i="1" s="1"/>
  <c r="M1885" i="1"/>
  <c r="O1885" i="1"/>
  <c r="AA1885" i="1"/>
  <c r="AD1885" i="1"/>
  <c r="AE1885" i="1"/>
  <c r="AF1885" i="1"/>
  <c r="AG1885" i="1"/>
  <c r="AH1885" i="1"/>
  <c r="AQ1885" i="1"/>
  <c r="L1885" i="1" s="1"/>
  <c r="I1886" i="1"/>
  <c r="E1886" i="1" s="1"/>
  <c r="D1886" i="1" s="1"/>
  <c r="M1886" i="1"/>
  <c r="O1886" i="1"/>
  <c r="AA1886" i="1"/>
  <c r="AD1886" i="1"/>
  <c r="AE1886" i="1"/>
  <c r="AF1886" i="1"/>
  <c r="AG1886" i="1"/>
  <c r="AH1886" i="1"/>
  <c r="AQ1886" i="1"/>
  <c r="L1886" i="1" s="1"/>
  <c r="I1887" i="1"/>
  <c r="E1887" i="1" s="1"/>
  <c r="D1887" i="1" s="1"/>
  <c r="M1887" i="1"/>
  <c r="O1887" i="1"/>
  <c r="AA1887" i="1"/>
  <c r="AD1887" i="1"/>
  <c r="AE1887" i="1"/>
  <c r="AF1887" i="1"/>
  <c r="AG1887" i="1"/>
  <c r="AH1887" i="1"/>
  <c r="AQ1887" i="1"/>
  <c r="L1887" i="1" s="1"/>
  <c r="I1888" i="1"/>
  <c r="E1888" i="1" s="1"/>
  <c r="D1888" i="1" s="1"/>
  <c r="M1888" i="1"/>
  <c r="O1888" i="1"/>
  <c r="AA1888" i="1"/>
  <c r="AD1888" i="1"/>
  <c r="AE1888" i="1"/>
  <c r="AF1888" i="1"/>
  <c r="AG1888" i="1"/>
  <c r="AH1888" i="1"/>
  <c r="AQ1888" i="1"/>
  <c r="L1888" i="1" s="1"/>
  <c r="I1889" i="1"/>
  <c r="E1889" i="1" s="1"/>
  <c r="D1889" i="1" s="1"/>
  <c r="M1889" i="1"/>
  <c r="O1889" i="1"/>
  <c r="AA1889" i="1"/>
  <c r="AD1889" i="1"/>
  <c r="AE1889" i="1"/>
  <c r="AF1889" i="1"/>
  <c r="AG1889" i="1"/>
  <c r="AH1889" i="1"/>
  <c r="AQ1889" i="1"/>
  <c r="L1889" i="1" s="1"/>
  <c r="I1890" i="1"/>
  <c r="E1890" i="1" s="1"/>
  <c r="D1890" i="1" s="1"/>
  <c r="M1890" i="1"/>
  <c r="O1890" i="1"/>
  <c r="AA1890" i="1"/>
  <c r="AD1890" i="1"/>
  <c r="AE1890" i="1"/>
  <c r="AF1890" i="1"/>
  <c r="AG1890" i="1"/>
  <c r="AH1890" i="1"/>
  <c r="AQ1890" i="1"/>
  <c r="L1890" i="1" s="1"/>
  <c r="I1891" i="1"/>
  <c r="E1891" i="1" s="1"/>
  <c r="D1891" i="1" s="1"/>
  <c r="M1891" i="1"/>
  <c r="O1891" i="1"/>
  <c r="AA1891" i="1"/>
  <c r="AD1891" i="1"/>
  <c r="AE1891" i="1"/>
  <c r="AF1891" i="1"/>
  <c r="AG1891" i="1"/>
  <c r="AH1891" i="1"/>
  <c r="AQ1891" i="1"/>
  <c r="L1891" i="1" s="1"/>
  <c r="I1892" i="1"/>
  <c r="E1892" i="1" s="1"/>
  <c r="D1892" i="1" s="1"/>
  <c r="M1892" i="1"/>
  <c r="O1892" i="1"/>
  <c r="AA1892" i="1"/>
  <c r="AD1892" i="1"/>
  <c r="AE1892" i="1"/>
  <c r="AF1892" i="1"/>
  <c r="AG1892" i="1"/>
  <c r="AH1892" i="1"/>
  <c r="AQ1892" i="1"/>
  <c r="L1892" i="1" s="1"/>
  <c r="I1893" i="1"/>
  <c r="E1893" i="1" s="1"/>
  <c r="D1893" i="1" s="1"/>
  <c r="M1893" i="1"/>
  <c r="O1893" i="1"/>
  <c r="AA1893" i="1"/>
  <c r="AD1893" i="1"/>
  <c r="AE1893" i="1"/>
  <c r="AF1893" i="1"/>
  <c r="AG1893" i="1"/>
  <c r="AH1893" i="1"/>
  <c r="AQ1893" i="1"/>
  <c r="L1893" i="1" s="1"/>
  <c r="I1894" i="1"/>
  <c r="E1894" i="1" s="1"/>
  <c r="D1894" i="1" s="1"/>
  <c r="M1894" i="1"/>
  <c r="O1894" i="1"/>
  <c r="AA1894" i="1"/>
  <c r="AD1894" i="1"/>
  <c r="AE1894" i="1"/>
  <c r="AF1894" i="1"/>
  <c r="AG1894" i="1"/>
  <c r="AH1894" i="1"/>
  <c r="AQ1894" i="1"/>
  <c r="L1894" i="1" s="1"/>
  <c r="I1895" i="1"/>
  <c r="E1895" i="1" s="1"/>
  <c r="D1895" i="1" s="1"/>
  <c r="M1895" i="1"/>
  <c r="O1895" i="1"/>
  <c r="AA1895" i="1"/>
  <c r="AD1895" i="1"/>
  <c r="AE1895" i="1"/>
  <c r="AF1895" i="1"/>
  <c r="AG1895" i="1"/>
  <c r="AH1895" i="1"/>
  <c r="AQ1895" i="1"/>
  <c r="L1895" i="1" s="1"/>
  <c r="I1896" i="1"/>
  <c r="E1896" i="1" s="1"/>
  <c r="D1896" i="1" s="1"/>
  <c r="M1896" i="1"/>
  <c r="O1896" i="1"/>
  <c r="AA1896" i="1"/>
  <c r="AD1896" i="1"/>
  <c r="AE1896" i="1"/>
  <c r="AF1896" i="1"/>
  <c r="AG1896" i="1"/>
  <c r="AH1896" i="1"/>
  <c r="AQ1896" i="1"/>
  <c r="L1896" i="1" s="1"/>
  <c r="I1897" i="1"/>
  <c r="E1897" i="1" s="1"/>
  <c r="D1897" i="1" s="1"/>
  <c r="M1897" i="1"/>
  <c r="O1897" i="1"/>
  <c r="AA1897" i="1"/>
  <c r="AD1897" i="1"/>
  <c r="AE1897" i="1"/>
  <c r="AF1897" i="1"/>
  <c r="AG1897" i="1"/>
  <c r="AH1897" i="1"/>
  <c r="AQ1897" i="1"/>
  <c r="L1897" i="1" s="1"/>
  <c r="I1898" i="1"/>
  <c r="E1898" i="1" s="1"/>
  <c r="D1898" i="1" s="1"/>
  <c r="M1898" i="1"/>
  <c r="O1898" i="1"/>
  <c r="AA1898" i="1"/>
  <c r="AD1898" i="1"/>
  <c r="AE1898" i="1"/>
  <c r="AF1898" i="1"/>
  <c r="AG1898" i="1"/>
  <c r="AH1898" i="1"/>
  <c r="AQ1898" i="1"/>
  <c r="L1898" i="1" s="1"/>
  <c r="I1899" i="1"/>
  <c r="E1899" i="1" s="1"/>
  <c r="D1899" i="1" s="1"/>
  <c r="M1899" i="1"/>
  <c r="O1899" i="1"/>
  <c r="AA1899" i="1"/>
  <c r="AD1899" i="1"/>
  <c r="AE1899" i="1"/>
  <c r="AF1899" i="1"/>
  <c r="AG1899" i="1"/>
  <c r="AH1899" i="1"/>
  <c r="AQ1899" i="1"/>
  <c r="L1899" i="1" s="1"/>
  <c r="I1900" i="1"/>
  <c r="E1900" i="1" s="1"/>
  <c r="D1900" i="1" s="1"/>
  <c r="M1900" i="1"/>
  <c r="O1900" i="1"/>
  <c r="AA1900" i="1"/>
  <c r="AD1900" i="1"/>
  <c r="AE1900" i="1"/>
  <c r="AF1900" i="1"/>
  <c r="AG1900" i="1"/>
  <c r="AH1900" i="1"/>
  <c r="AQ1900" i="1"/>
  <c r="L1900" i="1" s="1"/>
  <c r="I1901" i="1"/>
  <c r="E1901" i="1" s="1"/>
  <c r="D1901" i="1" s="1"/>
  <c r="M1901" i="1"/>
  <c r="O1901" i="1"/>
  <c r="AA1901" i="1"/>
  <c r="AD1901" i="1"/>
  <c r="AE1901" i="1"/>
  <c r="AF1901" i="1"/>
  <c r="AG1901" i="1"/>
  <c r="AH1901" i="1"/>
  <c r="AQ1901" i="1"/>
  <c r="L1901" i="1" s="1"/>
  <c r="I1902" i="1"/>
  <c r="E1902" i="1" s="1"/>
  <c r="D1902" i="1" s="1"/>
  <c r="M1902" i="1"/>
  <c r="O1902" i="1"/>
  <c r="AA1902" i="1"/>
  <c r="AD1902" i="1"/>
  <c r="AE1902" i="1"/>
  <c r="AF1902" i="1"/>
  <c r="AG1902" i="1"/>
  <c r="AH1902" i="1"/>
  <c r="AQ1902" i="1"/>
  <c r="L1902" i="1" s="1"/>
  <c r="I1903" i="1"/>
  <c r="E1903" i="1" s="1"/>
  <c r="D1903" i="1" s="1"/>
  <c r="M1903" i="1"/>
  <c r="O1903" i="1"/>
  <c r="AA1903" i="1"/>
  <c r="AD1903" i="1"/>
  <c r="AE1903" i="1"/>
  <c r="AF1903" i="1"/>
  <c r="AG1903" i="1"/>
  <c r="AH1903" i="1"/>
  <c r="AQ1903" i="1"/>
  <c r="L1903" i="1" s="1"/>
  <c r="I1904" i="1"/>
  <c r="E1904" i="1" s="1"/>
  <c r="D1904" i="1" s="1"/>
  <c r="M1904" i="1"/>
  <c r="O1904" i="1"/>
  <c r="AA1904" i="1"/>
  <c r="AD1904" i="1"/>
  <c r="AE1904" i="1"/>
  <c r="AF1904" i="1"/>
  <c r="AG1904" i="1"/>
  <c r="AH1904" i="1"/>
  <c r="AQ1904" i="1"/>
  <c r="L1904" i="1" s="1"/>
  <c r="I1905" i="1"/>
  <c r="E1905" i="1" s="1"/>
  <c r="D1905" i="1" s="1"/>
  <c r="M1905" i="1"/>
  <c r="O1905" i="1"/>
  <c r="AA1905" i="1"/>
  <c r="AD1905" i="1"/>
  <c r="AE1905" i="1"/>
  <c r="AF1905" i="1"/>
  <c r="AG1905" i="1"/>
  <c r="AH1905" i="1"/>
  <c r="AQ1905" i="1"/>
  <c r="L1905" i="1" s="1"/>
  <c r="I1906" i="1"/>
  <c r="E1906" i="1" s="1"/>
  <c r="D1906" i="1" s="1"/>
  <c r="M1906" i="1"/>
  <c r="O1906" i="1"/>
  <c r="AA1906" i="1"/>
  <c r="AD1906" i="1"/>
  <c r="AE1906" i="1"/>
  <c r="AF1906" i="1"/>
  <c r="AG1906" i="1"/>
  <c r="AH1906" i="1"/>
  <c r="AQ1906" i="1"/>
  <c r="L1906" i="1" s="1"/>
  <c r="I1907" i="1"/>
  <c r="E1907" i="1" s="1"/>
  <c r="D1907" i="1" s="1"/>
  <c r="M1907" i="1"/>
  <c r="O1907" i="1"/>
  <c r="AA1907" i="1"/>
  <c r="AD1907" i="1"/>
  <c r="AE1907" i="1"/>
  <c r="AF1907" i="1"/>
  <c r="AG1907" i="1"/>
  <c r="AH1907" i="1"/>
  <c r="AQ1907" i="1"/>
  <c r="L1907" i="1" s="1"/>
  <c r="I1908" i="1"/>
  <c r="E1908" i="1" s="1"/>
  <c r="D1908" i="1" s="1"/>
  <c r="M1908" i="1"/>
  <c r="O1908" i="1"/>
  <c r="AA1908" i="1"/>
  <c r="AD1908" i="1"/>
  <c r="AE1908" i="1"/>
  <c r="AF1908" i="1"/>
  <c r="AG1908" i="1"/>
  <c r="AH1908" i="1"/>
  <c r="AQ1908" i="1"/>
  <c r="L1908" i="1" s="1"/>
  <c r="I1909" i="1"/>
  <c r="E1909" i="1" s="1"/>
  <c r="D1909" i="1" s="1"/>
  <c r="M1909" i="1"/>
  <c r="O1909" i="1"/>
  <c r="AA1909" i="1"/>
  <c r="AD1909" i="1"/>
  <c r="AE1909" i="1"/>
  <c r="AF1909" i="1"/>
  <c r="AG1909" i="1"/>
  <c r="AH1909" i="1"/>
  <c r="AQ1909" i="1"/>
  <c r="L1909" i="1" s="1"/>
  <c r="I1910" i="1"/>
  <c r="E1910" i="1" s="1"/>
  <c r="D1910" i="1" s="1"/>
  <c r="M1910" i="1"/>
  <c r="O1910" i="1"/>
  <c r="AA1910" i="1"/>
  <c r="AD1910" i="1"/>
  <c r="AE1910" i="1"/>
  <c r="AF1910" i="1"/>
  <c r="AG1910" i="1"/>
  <c r="AH1910" i="1"/>
  <c r="AQ1910" i="1"/>
  <c r="L1910" i="1" s="1"/>
  <c r="I1911" i="1"/>
  <c r="E1911" i="1" s="1"/>
  <c r="D1911" i="1" s="1"/>
  <c r="M1911" i="1"/>
  <c r="O1911" i="1"/>
  <c r="AA1911" i="1"/>
  <c r="AD1911" i="1"/>
  <c r="AE1911" i="1"/>
  <c r="AF1911" i="1"/>
  <c r="AG1911" i="1"/>
  <c r="AH1911" i="1"/>
  <c r="AQ1911" i="1"/>
  <c r="L1911" i="1" s="1"/>
  <c r="I1912" i="1"/>
  <c r="E1912" i="1" s="1"/>
  <c r="D1912" i="1" s="1"/>
  <c r="M1912" i="1"/>
  <c r="O1912" i="1"/>
  <c r="AA1912" i="1"/>
  <c r="AD1912" i="1"/>
  <c r="AE1912" i="1"/>
  <c r="AF1912" i="1"/>
  <c r="AG1912" i="1"/>
  <c r="AH1912" i="1"/>
  <c r="AQ1912" i="1"/>
  <c r="L1912" i="1" s="1"/>
  <c r="I1913" i="1"/>
  <c r="E1913" i="1" s="1"/>
  <c r="D1913" i="1" s="1"/>
  <c r="M1913" i="1"/>
  <c r="O1913" i="1"/>
  <c r="AA1913" i="1"/>
  <c r="AD1913" i="1"/>
  <c r="AE1913" i="1"/>
  <c r="AF1913" i="1"/>
  <c r="AG1913" i="1"/>
  <c r="AH1913" i="1"/>
  <c r="AQ1913" i="1"/>
  <c r="L1913" i="1" s="1"/>
  <c r="I1914" i="1"/>
  <c r="E1914" i="1" s="1"/>
  <c r="D1914" i="1" s="1"/>
  <c r="M1914" i="1"/>
  <c r="O1914" i="1"/>
  <c r="AA1914" i="1"/>
  <c r="AD1914" i="1"/>
  <c r="AE1914" i="1"/>
  <c r="AF1914" i="1"/>
  <c r="AG1914" i="1"/>
  <c r="AH1914" i="1"/>
  <c r="AQ1914" i="1"/>
  <c r="L1914" i="1" s="1"/>
  <c r="I1915" i="1"/>
  <c r="E1915" i="1" s="1"/>
  <c r="D1915" i="1" s="1"/>
  <c r="M1915" i="1"/>
  <c r="O1915" i="1"/>
  <c r="AA1915" i="1"/>
  <c r="AD1915" i="1"/>
  <c r="AE1915" i="1"/>
  <c r="AF1915" i="1"/>
  <c r="AG1915" i="1"/>
  <c r="AH1915" i="1"/>
  <c r="AQ1915" i="1"/>
  <c r="L1915" i="1" s="1"/>
  <c r="I1916" i="1"/>
  <c r="E1916" i="1" s="1"/>
  <c r="D1916" i="1" s="1"/>
  <c r="M1916" i="1"/>
  <c r="O1916" i="1"/>
  <c r="AA1916" i="1"/>
  <c r="AD1916" i="1"/>
  <c r="AE1916" i="1"/>
  <c r="AF1916" i="1"/>
  <c r="AG1916" i="1"/>
  <c r="AH1916" i="1"/>
  <c r="AQ1916" i="1"/>
  <c r="L1916" i="1" s="1"/>
  <c r="I1917" i="1"/>
  <c r="E1917" i="1" s="1"/>
  <c r="D1917" i="1" s="1"/>
  <c r="M1917" i="1"/>
  <c r="O1917" i="1"/>
  <c r="AA1917" i="1"/>
  <c r="AD1917" i="1"/>
  <c r="AE1917" i="1"/>
  <c r="AF1917" i="1"/>
  <c r="AG1917" i="1"/>
  <c r="AH1917" i="1"/>
  <c r="AQ1917" i="1"/>
  <c r="L1917" i="1" s="1"/>
  <c r="I1918" i="1"/>
  <c r="E1918" i="1" s="1"/>
  <c r="D1918" i="1" s="1"/>
  <c r="M1918" i="1"/>
  <c r="O1918" i="1"/>
  <c r="AA1918" i="1"/>
  <c r="AD1918" i="1"/>
  <c r="AE1918" i="1"/>
  <c r="AF1918" i="1"/>
  <c r="AG1918" i="1"/>
  <c r="AH1918" i="1"/>
  <c r="AQ1918" i="1"/>
  <c r="L1918" i="1" s="1"/>
  <c r="I1919" i="1"/>
  <c r="E1919" i="1" s="1"/>
  <c r="D1919" i="1" s="1"/>
  <c r="M1919" i="1"/>
  <c r="O1919" i="1"/>
  <c r="AA1919" i="1"/>
  <c r="AD1919" i="1"/>
  <c r="AE1919" i="1"/>
  <c r="AF1919" i="1"/>
  <c r="AG1919" i="1"/>
  <c r="AH1919" i="1"/>
  <c r="AQ1919" i="1"/>
  <c r="L1919" i="1" s="1"/>
  <c r="I1920" i="1"/>
  <c r="E1920" i="1" s="1"/>
  <c r="D1920" i="1" s="1"/>
  <c r="M1920" i="1"/>
  <c r="O1920" i="1"/>
  <c r="AA1920" i="1"/>
  <c r="AD1920" i="1"/>
  <c r="AE1920" i="1"/>
  <c r="AF1920" i="1"/>
  <c r="AG1920" i="1"/>
  <c r="AH1920" i="1"/>
  <c r="AQ1920" i="1"/>
  <c r="L1920" i="1" s="1"/>
  <c r="I1921" i="1"/>
  <c r="E1921" i="1" s="1"/>
  <c r="D1921" i="1" s="1"/>
  <c r="M1921" i="1"/>
  <c r="O1921" i="1"/>
  <c r="AA1921" i="1"/>
  <c r="AD1921" i="1"/>
  <c r="AE1921" i="1"/>
  <c r="AF1921" i="1"/>
  <c r="AG1921" i="1"/>
  <c r="AH1921" i="1"/>
  <c r="AQ1921" i="1"/>
  <c r="L1921" i="1" s="1"/>
  <c r="I1922" i="1"/>
  <c r="E1922" i="1" s="1"/>
  <c r="D1922" i="1" s="1"/>
  <c r="M1922" i="1"/>
  <c r="O1922" i="1"/>
  <c r="AA1922" i="1"/>
  <c r="AD1922" i="1"/>
  <c r="AE1922" i="1"/>
  <c r="AF1922" i="1"/>
  <c r="AG1922" i="1"/>
  <c r="AH1922" i="1"/>
  <c r="AQ1922" i="1"/>
  <c r="L1922" i="1" s="1"/>
  <c r="I1923" i="1"/>
  <c r="E1923" i="1" s="1"/>
  <c r="D1923" i="1" s="1"/>
  <c r="M1923" i="1"/>
  <c r="O1923" i="1"/>
  <c r="AA1923" i="1"/>
  <c r="AD1923" i="1"/>
  <c r="AE1923" i="1"/>
  <c r="AF1923" i="1"/>
  <c r="AG1923" i="1"/>
  <c r="AH1923" i="1"/>
  <c r="AQ1923" i="1"/>
  <c r="L1923" i="1" s="1"/>
  <c r="I1924" i="1"/>
  <c r="E1924" i="1" s="1"/>
  <c r="D1924" i="1" s="1"/>
  <c r="M1924" i="1"/>
  <c r="O1924" i="1"/>
  <c r="AA1924" i="1"/>
  <c r="AD1924" i="1"/>
  <c r="AE1924" i="1"/>
  <c r="AF1924" i="1"/>
  <c r="AG1924" i="1"/>
  <c r="AH1924" i="1"/>
  <c r="AQ1924" i="1"/>
  <c r="L1924" i="1" s="1"/>
  <c r="I1925" i="1"/>
  <c r="E1925" i="1" s="1"/>
  <c r="D1925" i="1" s="1"/>
  <c r="M1925" i="1"/>
  <c r="O1925" i="1"/>
  <c r="AA1925" i="1"/>
  <c r="AD1925" i="1"/>
  <c r="AE1925" i="1"/>
  <c r="AF1925" i="1"/>
  <c r="AG1925" i="1"/>
  <c r="AH1925" i="1"/>
  <c r="AQ1925" i="1"/>
  <c r="L1925" i="1" s="1"/>
  <c r="I1926" i="1"/>
  <c r="E1926" i="1" s="1"/>
  <c r="D1926" i="1" s="1"/>
  <c r="M1926" i="1"/>
  <c r="O1926" i="1"/>
  <c r="AA1926" i="1"/>
  <c r="AD1926" i="1"/>
  <c r="AE1926" i="1"/>
  <c r="AF1926" i="1"/>
  <c r="AG1926" i="1"/>
  <c r="AH1926" i="1"/>
  <c r="AQ1926" i="1"/>
  <c r="L1926" i="1" s="1"/>
  <c r="I1927" i="1"/>
  <c r="E1927" i="1" s="1"/>
  <c r="D1927" i="1" s="1"/>
  <c r="M1927" i="1"/>
  <c r="O1927" i="1"/>
  <c r="AA1927" i="1"/>
  <c r="AD1927" i="1"/>
  <c r="AE1927" i="1"/>
  <c r="AF1927" i="1"/>
  <c r="AG1927" i="1"/>
  <c r="AH1927" i="1"/>
  <c r="AQ1927" i="1"/>
  <c r="L1927" i="1" s="1"/>
  <c r="I1928" i="1"/>
  <c r="E1928" i="1" s="1"/>
  <c r="D1928" i="1" s="1"/>
  <c r="M1928" i="1"/>
  <c r="O1928" i="1"/>
  <c r="AA1928" i="1"/>
  <c r="AD1928" i="1"/>
  <c r="AE1928" i="1"/>
  <c r="AF1928" i="1"/>
  <c r="AG1928" i="1"/>
  <c r="AH1928" i="1"/>
  <c r="AQ1928" i="1"/>
  <c r="L1928" i="1" s="1"/>
  <c r="I1929" i="1"/>
  <c r="E1929" i="1" s="1"/>
  <c r="D1929" i="1" s="1"/>
  <c r="M1929" i="1"/>
  <c r="O1929" i="1"/>
  <c r="AA1929" i="1"/>
  <c r="AD1929" i="1"/>
  <c r="AE1929" i="1"/>
  <c r="AF1929" i="1"/>
  <c r="AG1929" i="1"/>
  <c r="AH1929" i="1"/>
  <c r="AQ1929" i="1"/>
  <c r="L1929" i="1" s="1"/>
  <c r="I1930" i="1"/>
  <c r="E1930" i="1" s="1"/>
  <c r="D1930" i="1" s="1"/>
  <c r="M1930" i="1"/>
  <c r="O1930" i="1"/>
  <c r="AA1930" i="1"/>
  <c r="AD1930" i="1"/>
  <c r="AE1930" i="1"/>
  <c r="AF1930" i="1"/>
  <c r="AG1930" i="1"/>
  <c r="AH1930" i="1"/>
  <c r="AQ1930" i="1"/>
  <c r="L1930" i="1" s="1"/>
  <c r="I1931" i="1"/>
  <c r="E1931" i="1" s="1"/>
  <c r="D1931" i="1" s="1"/>
  <c r="M1931" i="1"/>
  <c r="O1931" i="1"/>
  <c r="AA1931" i="1"/>
  <c r="AD1931" i="1"/>
  <c r="AE1931" i="1"/>
  <c r="AF1931" i="1"/>
  <c r="AG1931" i="1"/>
  <c r="AH1931" i="1"/>
  <c r="AQ1931" i="1"/>
  <c r="L1931" i="1" s="1"/>
  <c r="I1932" i="1"/>
  <c r="E1932" i="1" s="1"/>
  <c r="D1932" i="1" s="1"/>
  <c r="M1932" i="1"/>
  <c r="O1932" i="1"/>
  <c r="AA1932" i="1"/>
  <c r="AD1932" i="1"/>
  <c r="AE1932" i="1"/>
  <c r="AF1932" i="1"/>
  <c r="AG1932" i="1"/>
  <c r="AH1932" i="1"/>
  <c r="AQ1932" i="1"/>
  <c r="L1932" i="1" s="1"/>
  <c r="I1933" i="1"/>
  <c r="E1933" i="1" s="1"/>
  <c r="D1933" i="1" s="1"/>
  <c r="M1933" i="1"/>
  <c r="O1933" i="1"/>
  <c r="AA1933" i="1"/>
  <c r="AD1933" i="1"/>
  <c r="AE1933" i="1"/>
  <c r="AF1933" i="1"/>
  <c r="AG1933" i="1"/>
  <c r="AH1933" i="1"/>
  <c r="AQ1933" i="1"/>
  <c r="L1933" i="1" s="1"/>
  <c r="I1934" i="1"/>
  <c r="E1934" i="1" s="1"/>
  <c r="D1934" i="1" s="1"/>
  <c r="M1934" i="1"/>
  <c r="O1934" i="1"/>
  <c r="AA1934" i="1"/>
  <c r="AD1934" i="1"/>
  <c r="AE1934" i="1"/>
  <c r="AF1934" i="1"/>
  <c r="AG1934" i="1"/>
  <c r="AH1934" i="1"/>
  <c r="AQ1934" i="1"/>
  <c r="L1934" i="1" s="1"/>
  <c r="I1935" i="1"/>
  <c r="E1935" i="1" s="1"/>
  <c r="D1935" i="1" s="1"/>
  <c r="M1935" i="1"/>
  <c r="O1935" i="1"/>
  <c r="AA1935" i="1"/>
  <c r="AD1935" i="1"/>
  <c r="AE1935" i="1"/>
  <c r="AF1935" i="1"/>
  <c r="AG1935" i="1"/>
  <c r="AH1935" i="1"/>
  <c r="AQ1935" i="1"/>
  <c r="L1935" i="1" s="1"/>
  <c r="I1936" i="1"/>
  <c r="E1936" i="1" s="1"/>
  <c r="D1936" i="1" s="1"/>
  <c r="M1936" i="1"/>
  <c r="O1936" i="1"/>
  <c r="AA1936" i="1"/>
  <c r="AD1936" i="1"/>
  <c r="AE1936" i="1"/>
  <c r="AF1936" i="1"/>
  <c r="AG1936" i="1"/>
  <c r="AH1936" i="1"/>
  <c r="AQ1936" i="1"/>
  <c r="L1936" i="1" s="1"/>
  <c r="I1937" i="1"/>
  <c r="E1937" i="1" s="1"/>
  <c r="D1937" i="1" s="1"/>
  <c r="M1937" i="1"/>
  <c r="O1937" i="1"/>
  <c r="AA1937" i="1"/>
  <c r="AD1937" i="1"/>
  <c r="AE1937" i="1"/>
  <c r="AF1937" i="1"/>
  <c r="AG1937" i="1"/>
  <c r="AH1937" i="1"/>
  <c r="AQ1937" i="1"/>
  <c r="L1937" i="1" s="1"/>
  <c r="I1938" i="1"/>
  <c r="E1938" i="1" s="1"/>
  <c r="D1938" i="1" s="1"/>
  <c r="M1938" i="1"/>
  <c r="O1938" i="1"/>
  <c r="AA1938" i="1"/>
  <c r="AD1938" i="1"/>
  <c r="AE1938" i="1"/>
  <c r="AF1938" i="1"/>
  <c r="AG1938" i="1"/>
  <c r="AH1938" i="1"/>
  <c r="AQ1938" i="1"/>
  <c r="L1938" i="1" s="1"/>
  <c r="I1939" i="1"/>
  <c r="E1939" i="1" s="1"/>
  <c r="D1939" i="1" s="1"/>
  <c r="M1939" i="1"/>
  <c r="O1939" i="1"/>
  <c r="AA1939" i="1"/>
  <c r="AD1939" i="1"/>
  <c r="AE1939" i="1"/>
  <c r="AF1939" i="1"/>
  <c r="AG1939" i="1"/>
  <c r="AH1939" i="1"/>
  <c r="AQ1939" i="1"/>
  <c r="L1939" i="1" s="1"/>
  <c r="I1940" i="1"/>
  <c r="E1940" i="1" s="1"/>
  <c r="D1940" i="1" s="1"/>
  <c r="M1940" i="1"/>
  <c r="O1940" i="1"/>
  <c r="AA1940" i="1"/>
  <c r="AD1940" i="1"/>
  <c r="AE1940" i="1"/>
  <c r="AF1940" i="1"/>
  <c r="AG1940" i="1"/>
  <c r="AH1940" i="1"/>
  <c r="AQ1940" i="1"/>
  <c r="L1940" i="1" s="1"/>
  <c r="I1941" i="1"/>
  <c r="E1941" i="1" s="1"/>
  <c r="D1941" i="1" s="1"/>
  <c r="M1941" i="1"/>
  <c r="O1941" i="1"/>
  <c r="AA1941" i="1"/>
  <c r="AD1941" i="1"/>
  <c r="AE1941" i="1"/>
  <c r="AF1941" i="1"/>
  <c r="AG1941" i="1"/>
  <c r="AH1941" i="1"/>
  <c r="AQ1941" i="1"/>
  <c r="L1941" i="1" s="1"/>
  <c r="I1942" i="1"/>
  <c r="E1942" i="1" s="1"/>
  <c r="D1942" i="1" s="1"/>
  <c r="M1942" i="1"/>
  <c r="O1942" i="1"/>
  <c r="AA1942" i="1"/>
  <c r="AD1942" i="1"/>
  <c r="AE1942" i="1"/>
  <c r="AF1942" i="1"/>
  <c r="AG1942" i="1"/>
  <c r="AH1942" i="1"/>
  <c r="AQ1942" i="1"/>
  <c r="L1942" i="1" s="1"/>
  <c r="I1943" i="1"/>
  <c r="E1943" i="1" s="1"/>
  <c r="D1943" i="1" s="1"/>
  <c r="M1943" i="1"/>
  <c r="O1943" i="1"/>
  <c r="AA1943" i="1"/>
  <c r="AD1943" i="1"/>
  <c r="AE1943" i="1"/>
  <c r="AF1943" i="1"/>
  <c r="AG1943" i="1"/>
  <c r="AH1943" i="1"/>
  <c r="AQ1943" i="1"/>
  <c r="L1943" i="1" s="1"/>
  <c r="I1944" i="1"/>
  <c r="E1944" i="1" s="1"/>
  <c r="D1944" i="1" s="1"/>
  <c r="M1944" i="1"/>
  <c r="O1944" i="1"/>
  <c r="AA1944" i="1"/>
  <c r="AD1944" i="1"/>
  <c r="AE1944" i="1"/>
  <c r="AF1944" i="1"/>
  <c r="AG1944" i="1"/>
  <c r="AH1944" i="1"/>
  <c r="AQ1944" i="1"/>
  <c r="L1944" i="1" s="1"/>
  <c r="I1945" i="1"/>
  <c r="E1945" i="1" s="1"/>
  <c r="D1945" i="1" s="1"/>
  <c r="M1945" i="1"/>
  <c r="O1945" i="1"/>
  <c r="AA1945" i="1"/>
  <c r="AD1945" i="1"/>
  <c r="AE1945" i="1"/>
  <c r="AF1945" i="1"/>
  <c r="AG1945" i="1"/>
  <c r="AH1945" i="1"/>
  <c r="AQ1945" i="1"/>
  <c r="L1945" i="1" s="1"/>
  <c r="I1946" i="1"/>
  <c r="E1946" i="1" s="1"/>
  <c r="D1946" i="1" s="1"/>
  <c r="M1946" i="1"/>
  <c r="O1946" i="1"/>
  <c r="AA1946" i="1"/>
  <c r="AD1946" i="1"/>
  <c r="AE1946" i="1"/>
  <c r="AF1946" i="1"/>
  <c r="AG1946" i="1"/>
  <c r="AH1946" i="1"/>
  <c r="AQ1946" i="1"/>
  <c r="L1946" i="1" s="1"/>
  <c r="I1947" i="1"/>
  <c r="E1947" i="1" s="1"/>
  <c r="D1947" i="1" s="1"/>
  <c r="M1947" i="1"/>
  <c r="O1947" i="1"/>
  <c r="AA1947" i="1"/>
  <c r="AD1947" i="1"/>
  <c r="AE1947" i="1"/>
  <c r="AF1947" i="1"/>
  <c r="AG1947" i="1"/>
  <c r="AH1947" i="1"/>
  <c r="AQ1947" i="1"/>
  <c r="L1947" i="1" s="1"/>
  <c r="I1948" i="1"/>
  <c r="E1948" i="1" s="1"/>
  <c r="D1948" i="1" s="1"/>
  <c r="M1948" i="1"/>
  <c r="O1948" i="1"/>
  <c r="AA1948" i="1"/>
  <c r="AD1948" i="1"/>
  <c r="AE1948" i="1"/>
  <c r="AF1948" i="1"/>
  <c r="AG1948" i="1"/>
  <c r="AH1948" i="1"/>
  <c r="AQ1948" i="1"/>
  <c r="L1948" i="1" s="1"/>
  <c r="I1949" i="1"/>
  <c r="E1949" i="1" s="1"/>
  <c r="D1949" i="1" s="1"/>
  <c r="M1949" i="1"/>
  <c r="O1949" i="1"/>
  <c r="AA1949" i="1"/>
  <c r="AD1949" i="1"/>
  <c r="AE1949" i="1"/>
  <c r="AF1949" i="1"/>
  <c r="AG1949" i="1"/>
  <c r="AH1949" i="1"/>
  <c r="AQ1949" i="1"/>
  <c r="L1949" i="1" s="1"/>
  <c r="I1950" i="1"/>
  <c r="E1950" i="1" s="1"/>
  <c r="D1950" i="1" s="1"/>
  <c r="M1950" i="1"/>
  <c r="O1950" i="1"/>
  <c r="AA1950" i="1"/>
  <c r="AD1950" i="1"/>
  <c r="AE1950" i="1"/>
  <c r="AF1950" i="1"/>
  <c r="AG1950" i="1"/>
  <c r="AH1950" i="1"/>
  <c r="AQ1950" i="1"/>
  <c r="L1950" i="1" s="1"/>
  <c r="I1951" i="1"/>
  <c r="E1951" i="1" s="1"/>
  <c r="D1951" i="1" s="1"/>
  <c r="M1951" i="1"/>
  <c r="O1951" i="1"/>
  <c r="AA1951" i="1"/>
  <c r="AD1951" i="1"/>
  <c r="AE1951" i="1"/>
  <c r="AF1951" i="1"/>
  <c r="AG1951" i="1"/>
  <c r="AH1951" i="1"/>
  <c r="AQ1951" i="1"/>
  <c r="L1951" i="1" s="1"/>
  <c r="I1952" i="1"/>
  <c r="E1952" i="1" s="1"/>
  <c r="D1952" i="1" s="1"/>
  <c r="M1952" i="1"/>
  <c r="O1952" i="1"/>
  <c r="AA1952" i="1"/>
  <c r="AD1952" i="1"/>
  <c r="AE1952" i="1"/>
  <c r="AF1952" i="1"/>
  <c r="AG1952" i="1"/>
  <c r="AH1952" i="1"/>
  <c r="AQ1952" i="1"/>
  <c r="L1952" i="1" s="1"/>
  <c r="I1953" i="1"/>
  <c r="E1953" i="1" s="1"/>
  <c r="D1953" i="1" s="1"/>
  <c r="M1953" i="1"/>
  <c r="O1953" i="1"/>
  <c r="AA1953" i="1"/>
  <c r="AD1953" i="1"/>
  <c r="AE1953" i="1"/>
  <c r="AF1953" i="1"/>
  <c r="AG1953" i="1"/>
  <c r="AH1953" i="1"/>
  <c r="AQ1953" i="1"/>
  <c r="L1953" i="1" s="1"/>
  <c r="I1954" i="1"/>
  <c r="E1954" i="1" s="1"/>
  <c r="D1954" i="1" s="1"/>
  <c r="M1954" i="1"/>
  <c r="O1954" i="1"/>
  <c r="AA1954" i="1"/>
  <c r="AD1954" i="1"/>
  <c r="AE1954" i="1"/>
  <c r="AF1954" i="1"/>
  <c r="AG1954" i="1"/>
  <c r="AH1954" i="1"/>
  <c r="AQ1954" i="1"/>
  <c r="L1954" i="1" s="1"/>
  <c r="I1955" i="1"/>
  <c r="E1955" i="1" s="1"/>
  <c r="D1955" i="1" s="1"/>
  <c r="M1955" i="1"/>
  <c r="O1955" i="1"/>
  <c r="AA1955" i="1"/>
  <c r="AD1955" i="1"/>
  <c r="AE1955" i="1"/>
  <c r="AF1955" i="1"/>
  <c r="AG1955" i="1"/>
  <c r="AH1955" i="1"/>
  <c r="AQ1955" i="1"/>
  <c r="L1955" i="1" s="1"/>
  <c r="I1956" i="1"/>
  <c r="E1956" i="1" s="1"/>
  <c r="D1956" i="1" s="1"/>
  <c r="M1956" i="1"/>
  <c r="O1956" i="1"/>
  <c r="AA1956" i="1"/>
  <c r="AD1956" i="1"/>
  <c r="AE1956" i="1"/>
  <c r="AF1956" i="1"/>
  <c r="AG1956" i="1"/>
  <c r="AH1956" i="1"/>
  <c r="AQ1956" i="1"/>
  <c r="L1956" i="1" s="1"/>
  <c r="I1957" i="1"/>
  <c r="E1957" i="1" s="1"/>
  <c r="D1957" i="1" s="1"/>
  <c r="M1957" i="1"/>
  <c r="O1957" i="1"/>
  <c r="AA1957" i="1"/>
  <c r="AD1957" i="1"/>
  <c r="AE1957" i="1"/>
  <c r="AF1957" i="1"/>
  <c r="AG1957" i="1"/>
  <c r="AH1957" i="1"/>
  <c r="AQ1957" i="1"/>
  <c r="L1957" i="1" s="1"/>
  <c r="I1958" i="1"/>
  <c r="E1958" i="1" s="1"/>
  <c r="D1958" i="1" s="1"/>
  <c r="M1958" i="1"/>
  <c r="O1958" i="1"/>
  <c r="AA1958" i="1"/>
  <c r="AD1958" i="1"/>
  <c r="AE1958" i="1"/>
  <c r="AF1958" i="1"/>
  <c r="AG1958" i="1"/>
  <c r="AH1958" i="1"/>
  <c r="AQ1958" i="1"/>
  <c r="L1958" i="1" s="1"/>
  <c r="I1959" i="1"/>
  <c r="E1959" i="1" s="1"/>
  <c r="D1959" i="1" s="1"/>
  <c r="M1959" i="1"/>
  <c r="O1959" i="1"/>
  <c r="AA1959" i="1"/>
  <c r="AD1959" i="1"/>
  <c r="AE1959" i="1"/>
  <c r="AF1959" i="1"/>
  <c r="AG1959" i="1"/>
  <c r="AH1959" i="1"/>
  <c r="AQ1959" i="1"/>
  <c r="L1959" i="1" s="1"/>
  <c r="I1960" i="1"/>
  <c r="E1960" i="1" s="1"/>
  <c r="D1960" i="1" s="1"/>
  <c r="M1960" i="1"/>
  <c r="O1960" i="1"/>
  <c r="AA1960" i="1"/>
  <c r="AD1960" i="1"/>
  <c r="AE1960" i="1"/>
  <c r="AF1960" i="1"/>
  <c r="AG1960" i="1"/>
  <c r="AH1960" i="1"/>
  <c r="AQ1960" i="1"/>
  <c r="L1960" i="1" s="1"/>
  <c r="I1961" i="1"/>
  <c r="E1961" i="1" s="1"/>
  <c r="D1961" i="1" s="1"/>
  <c r="M1961" i="1"/>
  <c r="O1961" i="1"/>
  <c r="AA1961" i="1"/>
  <c r="AD1961" i="1"/>
  <c r="AE1961" i="1"/>
  <c r="AF1961" i="1"/>
  <c r="AG1961" i="1"/>
  <c r="AH1961" i="1"/>
  <c r="AQ1961" i="1"/>
  <c r="L1961" i="1" s="1"/>
  <c r="I1962" i="1"/>
  <c r="E1962" i="1" s="1"/>
  <c r="D1962" i="1" s="1"/>
  <c r="M1962" i="1"/>
  <c r="O1962" i="1"/>
  <c r="AA1962" i="1"/>
  <c r="AD1962" i="1"/>
  <c r="AE1962" i="1"/>
  <c r="AF1962" i="1"/>
  <c r="AG1962" i="1"/>
  <c r="AH1962" i="1"/>
  <c r="AQ1962" i="1"/>
  <c r="L1962" i="1" s="1"/>
  <c r="I1963" i="1"/>
  <c r="E1963" i="1" s="1"/>
  <c r="D1963" i="1" s="1"/>
  <c r="M1963" i="1"/>
  <c r="O1963" i="1"/>
  <c r="AA1963" i="1"/>
  <c r="AD1963" i="1"/>
  <c r="AE1963" i="1"/>
  <c r="AF1963" i="1"/>
  <c r="AG1963" i="1"/>
  <c r="AH1963" i="1"/>
  <c r="AQ1963" i="1"/>
  <c r="L1963" i="1" s="1"/>
  <c r="I1964" i="1"/>
  <c r="E1964" i="1" s="1"/>
  <c r="D1964" i="1" s="1"/>
  <c r="M1964" i="1"/>
  <c r="O1964" i="1"/>
  <c r="AA1964" i="1"/>
  <c r="AD1964" i="1"/>
  <c r="AE1964" i="1"/>
  <c r="AF1964" i="1"/>
  <c r="AG1964" i="1"/>
  <c r="AH1964" i="1"/>
  <c r="AQ1964" i="1"/>
  <c r="L1964" i="1" s="1"/>
  <c r="I1965" i="1"/>
  <c r="E1965" i="1" s="1"/>
  <c r="D1965" i="1" s="1"/>
  <c r="M1965" i="1"/>
  <c r="O1965" i="1"/>
  <c r="AA1965" i="1"/>
  <c r="AD1965" i="1"/>
  <c r="AE1965" i="1"/>
  <c r="AF1965" i="1"/>
  <c r="AG1965" i="1"/>
  <c r="AH1965" i="1"/>
  <c r="AQ1965" i="1"/>
  <c r="L1965" i="1" s="1"/>
  <c r="I97" i="1"/>
  <c r="E97" i="1" s="1"/>
  <c r="D97" i="1" s="1"/>
  <c r="M97" i="1"/>
  <c r="O97" i="1"/>
  <c r="AA97" i="1"/>
  <c r="AD97" i="1"/>
  <c r="AE97" i="1"/>
  <c r="AF97" i="1"/>
  <c r="AG97" i="1"/>
  <c r="AH97" i="1"/>
  <c r="AQ97" i="1"/>
  <c r="L97" i="1" s="1"/>
  <c r="I98" i="1"/>
  <c r="E98" i="1" s="1"/>
  <c r="D98" i="1" s="1"/>
  <c r="M98" i="1"/>
  <c r="O98" i="1"/>
  <c r="AA98" i="1"/>
  <c r="AD98" i="1"/>
  <c r="AE98" i="1"/>
  <c r="AF98" i="1"/>
  <c r="AG98" i="1"/>
  <c r="AH98" i="1"/>
  <c r="AQ98" i="1"/>
  <c r="L98" i="1" s="1"/>
  <c r="I99" i="1"/>
  <c r="E99" i="1" s="1"/>
  <c r="D99" i="1" s="1"/>
  <c r="M99" i="1"/>
  <c r="O99" i="1"/>
  <c r="AA99" i="1"/>
  <c r="AD99" i="1"/>
  <c r="AE99" i="1"/>
  <c r="AF99" i="1"/>
  <c r="AG99" i="1"/>
  <c r="AH99" i="1"/>
  <c r="AQ99" i="1"/>
  <c r="L99" i="1" s="1"/>
  <c r="I100" i="1"/>
  <c r="E100" i="1" s="1"/>
  <c r="D100" i="1" s="1"/>
  <c r="M100" i="1"/>
  <c r="O100" i="1"/>
  <c r="AA100" i="1"/>
  <c r="AD100" i="1"/>
  <c r="AE100" i="1"/>
  <c r="AF100" i="1"/>
  <c r="AG100" i="1"/>
  <c r="AH100" i="1"/>
  <c r="AQ100" i="1"/>
  <c r="L100" i="1" s="1"/>
  <c r="I101" i="1"/>
  <c r="E101" i="1" s="1"/>
  <c r="D101" i="1" s="1"/>
  <c r="M101" i="1"/>
  <c r="O101" i="1"/>
  <c r="AA101" i="1"/>
  <c r="AD101" i="1"/>
  <c r="AE101" i="1"/>
  <c r="AF101" i="1"/>
  <c r="AG101" i="1"/>
  <c r="AH101" i="1"/>
  <c r="AQ101" i="1"/>
  <c r="L101" i="1" s="1"/>
  <c r="I102" i="1"/>
  <c r="E102" i="1" s="1"/>
  <c r="D102" i="1" s="1"/>
  <c r="M102" i="1"/>
  <c r="O102" i="1"/>
  <c r="AA102" i="1"/>
  <c r="AD102" i="1"/>
  <c r="AE102" i="1"/>
  <c r="AF102" i="1"/>
  <c r="AG102" i="1"/>
  <c r="AH102" i="1"/>
  <c r="AQ102" i="1"/>
  <c r="L102" i="1" s="1"/>
  <c r="I103" i="1"/>
  <c r="E103" i="1" s="1"/>
  <c r="D103" i="1" s="1"/>
  <c r="M103" i="1"/>
  <c r="O103" i="1"/>
  <c r="AA103" i="1"/>
  <c r="AD103" i="1"/>
  <c r="AE103" i="1"/>
  <c r="AF103" i="1"/>
  <c r="AG103" i="1"/>
  <c r="AH103" i="1"/>
  <c r="AQ103" i="1"/>
  <c r="L103" i="1" s="1"/>
  <c r="I104" i="1"/>
  <c r="E104" i="1" s="1"/>
  <c r="D104" i="1" s="1"/>
  <c r="M104" i="1"/>
  <c r="O104" i="1"/>
  <c r="AA104" i="1"/>
  <c r="AD104" i="1"/>
  <c r="AE104" i="1"/>
  <c r="AF104" i="1"/>
  <c r="AG104" i="1"/>
  <c r="AH104" i="1"/>
  <c r="AQ104" i="1"/>
  <c r="L104" i="1" s="1"/>
  <c r="I105" i="1"/>
  <c r="E105" i="1" s="1"/>
  <c r="D105" i="1" s="1"/>
  <c r="M105" i="1"/>
  <c r="O105" i="1"/>
  <c r="AA105" i="1"/>
  <c r="AD105" i="1"/>
  <c r="AE105" i="1"/>
  <c r="AF105" i="1"/>
  <c r="AG105" i="1"/>
  <c r="AH105" i="1"/>
  <c r="AQ105" i="1"/>
  <c r="L105" i="1" s="1"/>
  <c r="I106" i="1"/>
  <c r="E106" i="1" s="1"/>
  <c r="D106" i="1" s="1"/>
  <c r="M106" i="1"/>
  <c r="O106" i="1"/>
  <c r="AA106" i="1"/>
  <c r="AD106" i="1"/>
  <c r="AE106" i="1"/>
  <c r="AF106" i="1"/>
  <c r="AG106" i="1"/>
  <c r="AH106" i="1"/>
  <c r="AQ106" i="1"/>
  <c r="L106" i="1" s="1"/>
  <c r="I107" i="1"/>
  <c r="E107" i="1" s="1"/>
  <c r="D107" i="1" s="1"/>
  <c r="M107" i="1"/>
  <c r="O107" i="1"/>
  <c r="AA107" i="1"/>
  <c r="AD107" i="1"/>
  <c r="AE107" i="1"/>
  <c r="AF107" i="1"/>
  <c r="AG107" i="1"/>
  <c r="AH107" i="1"/>
  <c r="AQ107" i="1"/>
  <c r="L107" i="1" s="1"/>
  <c r="I108" i="1"/>
  <c r="E108" i="1" s="1"/>
  <c r="D108" i="1" s="1"/>
  <c r="M108" i="1"/>
  <c r="O108" i="1"/>
  <c r="AA108" i="1"/>
  <c r="AD108" i="1"/>
  <c r="AE108" i="1"/>
  <c r="AF108" i="1"/>
  <c r="AG108" i="1"/>
  <c r="AH108" i="1"/>
  <c r="AQ108" i="1"/>
  <c r="L108" i="1" s="1"/>
  <c r="I109" i="1"/>
  <c r="E109" i="1" s="1"/>
  <c r="D109" i="1" s="1"/>
  <c r="M109" i="1"/>
  <c r="O109" i="1"/>
  <c r="AA109" i="1"/>
  <c r="AD109" i="1"/>
  <c r="AE109" i="1"/>
  <c r="AF109" i="1"/>
  <c r="AG109" i="1"/>
  <c r="AH109" i="1"/>
  <c r="AQ109" i="1"/>
  <c r="L109" i="1" s="1"/>
  <c r="I110" i="1"/>
  <c r="E110" i="1" s="1"/>
  <c r="D110" i="1" s="1"/>
  <c r="M110" i="1"/>
  <c r="O110" i="1"/>
  <c r="AA110" i="1"/>
  <c r="AD110" i="1"/>
  <c r="AE110" i="1"/>
  <c r="AF110" i="1"/>
  <c r="AG110" i="1"/>
  <c r="AH110" i="1"/>
  <c r="AQ110" i="1"/>
  <c r="L110" i="1" s="1"/>
  <c r="I111" i="1"/>
  <c r="E111" i="1" s="1"/>
  <c r="D111" i="1" s="1"/>
  <c r="M111" i="1"/>
  <c r="O111" i="1"/>
  <c r="AA111" i="1"/>
  <c r="AD111" i="1"/>
  <c r="AE111" i="1"/>
  <c r="AF111" i="1"/>
  <c r="AG111" i="1"/>
  <c r="AH111" i="1"/>
  <c r="AQ111" i="1"/>
  <c r="L111" i="1" s="1"/>
  <c r="I112" i="1"/>
  <c r="E112" i="1" s="1"/>
  <c r="D112" i="1" s="1"/>
  <c r="M112" i="1"/>
  <c r="O112" i="1"/>
  <c r="AA112" i="1"/>
  <c r="AD112" i="1"/>
  <c r="AE112" i="1"/>
  <c r="AF112" i="1"/>
  <c r="AG112" i="1"/>
  <c r="AH112" i="1"/>
  <c r="AQ112" i="1"/>
  <c r="L112" i="1" s="1"/>
  <c r="I113" i="1"/>
  <c r="E113" i="1" s="1"/>
  <c r="D113" i="1" s="1"/>
  <c r="M113" i="1"/>
  <c r="O113" i="1"/>
  <c r="AA113" i="1"/>
  <c r="AD113" i="1"/>
  <c r="AE113" i="1"/>
  <c r="AF113" i="1"/>
  <c r="AG113" i="1"/>
  <c r="AH113" i="1"/>
  <c r="AQ113" i="1"/>
  <c r="L113" i="1" s="1"/>
  <c r="I114" i="1"/>
  <c r="E114" i="1" s="1"/>
  <c r="D114" i="1" s="1"/>
  <c r="M114" i="1"/>
  <c r="O114" i="1"/>
  <c r="AA114" i="1"/>
  <c r="AD114" i="1"/>
  <c r="AE114" i="1"/>
  <c r="AF114" i="1"/>
  <c r="AG114" i="1"/>
  <c r="AH114" i="1"/>
  <c r="AQ114" i="1"/>
  <c r="L114" i="1" s="1"/>
  <c r="I115" i="1"/>
  <c r="E115" i="1" s="1"/>
  <c r="D115" i="1" s="1"/>
  <c r="M115" i="1"/>
  <c r="O115" i="1"/>
  <c r="AA115" i="1"/>
  <c r="AD115" i="1"/>
  <c r="AE115" i="1"/>
  <c r="AF115" i="1"/>
  <c r="AG115" i="1"/>
  <c r="AH115" i="1"/>
  <c r="AQ115" i="1"/>
  <c r="L115" i="1" s="1"/>
  <c r="I116" i="1"/>
  <c r="E116" i="1" s="1"/>
  <c r="D116" i="1" s="1"/>
  <c r="M116" i="1"/>
  <c r="O116" i="1"/>
  <c r="AA116" i="1"/>
  <c r="AD116" i="1"/>
  <c r="AE116" i="1"/>
  <c r="AF116" i="1"/>
  <c r="AG116" i="1"/>
  <c r="AH116" i="1"/>
  <c r="AQ116" i="1"/>
  <c r="L116" i="1" s="1"/>
  <c r="I117" i="1"/>
  <c r="E117" i="1" s="1"/>
  <c r="D117" i="1" s="1"/>
  <c r="M117" i="1"/>
  <c r="O117" i="1"/>
  <c r="AA117" i="1"/>
  <c r="AD117" i="1"/>
  <c r="AE117" i="1"/>
  <c r="AF117" i="1"/>
  <c r="AG117" i="1"/>
  <c r="AH117" i="1"/>
  <c r="AQ117" i="1"/>
  <c r="L117" i="1" s="1"/>
  <c r="I118" i="1"/>
  <c r="E118" i="1" s="1"/>
  <c r="D118" i="1" s="1"/>
  <c r="M118" i="1"/>
  <c r="O118" i="1"/>
  <c r="AA118" i="1"/>
  <c r="AD118" i="1"/>
  <c r="AE118" i="1"/>
  <c r="AF118" i="1"/>
  <c r="AG118" i="1"/>
  <c r="AH118" i="1"/>
  <c r="AQ118" i="1"/>
  <c r="L118" i="1" s="1"/>
  <c r="I119" i="1"/>
  <c r="E119" i="1" s="1"/>
  <c r="D119" i="1" s="1"/>
  <c r="M119" i="1"/>
  <c r="O119" i="1"/>
  <c r="AA119" i="1"/>
  <c r="AD119" i="1"/>
  <c r="AE119" i="1"/>
  <c r="AF119" i="1"/>
  <c r="AG119" i="1"/>
  <c r="AH119" i="1"/>
  <c r="AQ119" i="1"/>
  <c r="L119" i="1" s="1"/>
  <c r="I120" i="1"/>
  <c r="E120" i="1" s="1"/>
  <c r="D120" i="1" s="1"/>
  <c r="M120" i="1"/>
  <c r="O120" i="1"/>
  <c r="AA120" i="1"/>
  <c r="AD120" i="1"/>
  <c r="AE120" i="1"/>
  <c r="AF120" i="1"/>
  <c r="AG120" i="1"/>
  <c r="AH120" i="1"/>
  <c r="AQ120" i="1"/>
  <c r="L120" i="1" s="1"/>
  <c r="I121" i="1"/>
  <c r="E121" i="1" s="1"/>
  <c r="D121" i="1" s="1"/>
  <c r="M121" i="1"/>
  <c r="O121" i="1"/>
  <c r="AA121" i="1"/>
  <c r="AD121" i="1"/>
  <c r="AE121" i="1"/>
  <c r="AF121" i="1"/>
  <c r="AG121" i="1"/>
  <c r="AH121" i="1"/>
  <c r="AQ121" i="1"/>
  <c r="L121" i="1" s="1"/>
  <c r="I122" i="1"/>
  <c r="E122" i="1" s="1"/>
  <c r="D122" i="1" s="1"/>
  <c r="M122" i="1"/>
  <c r="O122" i="1"/>
  <c r="AA122" i="1"/>
  <c r="AD122" i="1"/>
  <c r="AE122" i="1"/>
  <c r="AF122" i="1"/>
  <c r="AG122" i="1"/>
  <c r="AH122" i="1"/>
  <c r="AQ122" i="1"/>
  <c r="L122" i="1" s="1"/>
  <c r="I123" i="1"/>
  <c r="E123" i="1" s="1"/>
  <c r="D123" i="1" s="1"/>
  <c r="M123" i="1"/>
  <c r="O123" i="1"/>
  <c r="AA123" i="1"/>
  <c r="AD123" i="1"/>
  <c r="AE123" i="1"/>
  <c r="AF123" i="1"/>
  <c r="AG123" i="1"/>
  <c r="AH123" i="1"/>
  <c r="AQ123" i="1"/>
  <c r="L123" i="1" s="1"/>
  <c r="I124" i="1"/>
  <c r="E124" i="1" s="1"/>
  <c r="D124" i="1" s="1"/>
  <c r="M124" i="1"/>
  <c r="O124" i="1"/>
  <c r="AA124" i="1"/>
  <c r="AD124" i="1"/>
  <c r="AE124" i="1"/>
  <c r="AF124" i="1"/>
  <c r="AG124" i="1"/>
  <c r="AH124" i="1"/>
  <c r="AQ124" i="1"/>
  <c r="L124" i="1" s="1"/>
  <c r="I125" i="1"/>
  <c r="E125" i="1" s="1"/>
  <c r="D125" i="1" s="1"/>
  <c r="M125" i="1"/>
  <c r="O125" i="1"/>
  <c r="AA125" i="1"/>
  <c r="AD125" i="1"/>
  <c r="AE125" i="1"/>
  <c r="AF125" i="1"/>
  <c r="AG125" i="1"/>
  <c r="AH125" i="1"/>
  <c r="AQ125" i="1"/>
  <c r="L125" i="1" s="1"/>
  <c r="I126" i="1"/>
  <c r="E126" i="1" s="1"/>
  <c r="D126" i="1" s="1"/>
  <c r="M126" i="1"/>
  <c r="O126" i="1"/>
  <c r="AA126" i="1"/>
  <c r="AD126" i="1"/>
  <c r="AE126" i="1"/>
  <c r="AF126" i="1"/>
  <c r="AG126" i="1"/>
  <c r="AH126" i="1"/>
  <c r="AQ126" i="1"/>
  <c r="L126" i="1" s="1"/>
  <c r="I127" i="1"/>
  <c r="E127" i="1" s="1"/>
  <c r="D127" i="1" s="1"/>
  <c r="M127" i="1"/>
  <c r="O127" i="1"/>
  <c r="AA127" i="1"/>
  <c r="AD127" i="1"/>
  <c r="AE127" i="1"/>
  <c r="AF127" i="1"/>
  <c r="AG127" i="1"/>
  <c r="AH127" i="1"/>
  <c r="AQ127" i="1"/>
  <c r="L127" i="1" s="1"/>
  <c r="I128" i="1"/>
  <c r="E128" i="1" s="1"/>
  <c r="D128" i="1" s="1"/>
  <c r="M128" i="1"/>
  <c r="O128" i="1"/>
  <c r="AA128" i="1"/>
  <c r="AD128" i="1"/>
  <c r="AE128" i="1"/>
  <c r="AF128" i="1"/>
  <c r="AG128" i="1"/>
  <c r="AH128" i="1"/>
  <c r="AQ128" i="1"/>
  <c r="L128" i="1" s="1"/>
  <c r="I129" i="1"/>
  <c r="E129" i="1" s="1"/>
  <c r="D129" i="1" s="1"/>
  <c r="M129" i="1"/>
  <c r="O129" i="1"/>
  <c r="AA129" i="1"/>
  <c r="AD129" i="1"/>
  <c r="AE129" i="1"/>
  <c r="AF129" i="1"/>
  <c r="AG129" i="1"/>
  <c r="AH129" i="1"/>
  <c r="AQ129" i="1"/>
  <c r="L129" i="1" s="1"/>
  <c r="I130" i="1"/>
  <c r="E130" i="1" s="1"/>
  <c r="D130" i="1" s="1"/>
  <c r="M130" i="1"/>
  <c r="O130" i="1"/>
  <c r="AA130" i="1"/>
  <c r="AD130" i="1"/>
  <c r="AE130" i="1"/>
  <c r="AF130" i="1"/>
  <c r="AG130" i="1"/>
  <c r="AH130" i="1"/>
  <c r="AQ130" i="1"/>
  <c r="L130" i="1" s="1"/>
  <c r="I131" i="1"/>
  <c r="E131" i="1" s="1"/>
  <c r="D131" i="1" s="1"/>
  <c r="M131" i="1"/>
  <c r="O131" i="1"/>
  <c r="AA131" i="1"/>
  <c r="AD131" i="1"/>
  <c r="AE131" i="1"/>
  <c r="AF131" i="1"/>
  <c r="AG131" i="1"/>
  <c r="AH131" i="1"/>
  <c r="AQ131" i="1"/>
  <c r="L131" i="1" s="1"/>
  <c r="I132" i="1"/>
  <c r="E132" i="1" s="1"/>
  <c r="D132" i="1" s="1"/>
  <c r="M132" i="1"/>
  <c r="O132" i="1"/>
  <c r="AA132" i="1"/>
  <c r="AD132" i="1"/>
  <c r="AE132" i="1"/>
  <c r="AF132" i="1"/>
  <c r="AG132" i="1"/>
  <c r="AH132" i="1"/>
  <c r="AQ132" i="1"/>
  <c r="L132" i="1" s="1"/>
  <c r="I133" i="1"/>
  <c r="E133" i="1" s="1"/>
  <c r="D133" i="1" s="1"/>
  <c r="M133" i="1"/>
  <c r="O133" i="1"/>
  <c r="AA133" i="1"/>
  <c r="AD133" i="1"/>
  <c r="AE133" i="1"/>
  <c r="AF133" i="1"/>
  <c r="AG133" i="1"/>
  <c r="AH133" i="1"/>
  <c r="AQ133" i="1"/>
  <c r="L133" i="1" s="1"/>
  <c r="I134" i="1"/>
  <c r="E134" i="1" s="1"/>
  <c r="D134" i="1" s="1"/>
  <c r="M134" i="1"/>
  <c r="O134" i="1"/>
  <c r="AA134" i="1"/>
  <c r="AD134" i="1"/>
  <c r="AE134" i="1"/>
  <c r="AF134" i="1"/>
  <c r="AG134" i="1"/>
  <c r="AH134" i="1"/>
  <c r="AQ134" i="1"/>
  <c r="L134" i="1" s="1"/>
  <c r="I135" i="1"/>
  <c r="E135" i="1" s="1"/>
  <c r="D135" i="1" s="1"/>
  <c r="M135" i="1"/>
  <c r="O135" i="1"/>
  <c r="AA135" i="1"/>
  <c r="AD135" i="1"/>
  <c r="AE135" i="1"/>
  <c r="AF135" i="1"/>
  <c r="AG135" i="1"/>
  <c r="AH135" i="1"/>
  <c r="AQ135" i="1"/>
  <c r="L135" i="1" s="1"/>
  <c r="I136" i="1"/>
  <c r="E136" i="1" s="1"/>
  <c r="D136" i="1" s="1"/>
  <c r="M136" i="1"/>
  <c r="O136" i="1"/>
  <c r="AA136" i="1"/>
  <c r="AD136" i="1"/>
  <c r="AE136" i="1"/>
  <c r="AF136" i="1"/>
  <c r="AG136" i="1"/>
  <c r="AH136" i="1"/>
  <c r="AQ136" i="1"/>
  <c r="L136" i="1" s="1"/>
  <c r="I137" i="1"/>
  <c r="E137" i="1" s="1"/>
  <c r="D137" i="1" s="1"/>
  <c r="M137" i="1"/>
  <c r="O137" i="1"/>
  <c r="AA137" i="1"/>
  <c r="AD137" i="1"/>
  <c r="AE137" i="1"/>
  <c r="AF137" i="1"/>
  <c r="AG137" i="1"/>
  <c r="AH137" i="1"/>
  <c r="AQ137" i="1"/>
  <c r="L137" i="1" s="1"/>
  <c r="I138" i="1"/>
  <c r="E138" i="1" s="1"/>
  <c r="D138" i="1" s="1"/>
  <c r="M138" i="1"/>
  <c r="O138" i="1"/>
  <c r="AA138" i="1"/>
  <c r="AD138" i="1"/>
  <c r="AE138" i="1"/>
  <c r="AF138" i="1"/>
  <c r="AG138" i="1"/>
  <c r="AH138" i="1"/>
  <c r="AQ138" i="1"/>
  <c r="L138" i="1" s="1"/>
  <c r="I139" i="1"/>
  <c r="E139" i="1" s="1"/>
  <c r="D139" i="1" s="1"/>
  <c r="M139" i="1"/>
  <c r="O139" i="1"/>
  <c r="AA139" i="1"/>
  <c r="AD139" i="1"/>
  <c r="AE139" i="1"/>
  <c r="AF139" i="1"/>
  <c r="AG139" i="1"/>
  <c r="AH139" i="1"/>
  <c r="AQ139" i="1"/>
  <c r="L139" i="1" s="1"/>
  <c r="I140" i="1"/>
  <c r="E140" i="1" s="1"/>
  <c r="D140" i="1" s="1"/>
  <c r="M140" i="1"/>
  <c r="O140" i="1"/>
  <c r="AA140" i="1"/>
  <c r="AD140" i="1"/>
  <c r="AE140" i="1"/>
  <c r="AF140" i="1"/>
  <c r="AG140" i="1"/>
  <c r="AH140" i="1"/>
  <c r="AQ140" i="1"/>
  <c r="L140" i="1" s="1"/>
  <c r="I141" i="1"/>
  <c r="E141" i="1" s="1"/>
  <c r="D141" i="1" s="1"/>
  <c r="M141" i="1"/>
  <c r="O141" i="1"/>
  <c r="AA141" i="1"/>
  <c r="AD141" i="1"/>
  <c r="AE141" i="1"/>
  <c r="AF141" i="1"/>
  <c r="AG141" i="1"/>
  <c r="AH141" i="1"/>
  <c r="AQ141" i="1"/>
  <c r="L141" i="1" s="1"/>
  <c r="I142" i="1"/>
  <c r="E142" i="1" s="1"/>
  <c r="D142" i="1" s="1"/>
  <c r="M142" i="1"/>
  <c r="O142" i="1"/>
  <c r="AA142" i="1"/>
  <c r="AD142" i="1"/>
  <c r="AE142" i="1"/>
  <c r="AF142" i="1"/>
  <c r="AG142" i="1"/>
  <c r="AH142" i="1"/>
  <c r="AQ142" i="1"/>
  <c r="L142" i="1" s="1"/>
  <c r="I143" i="1"/>
  <c r="E143" i="1" s="1"/>
  <c r="D143" i="1" s="1"/>
  <c r="M143" i="1"/>
  <c r="O143" i="1"/>
  <c r="AA143" i="1"/>
  <c r="AD143" i="1"/>
  <c r="AE143" i="1"/>
  <c r="AF143" i="1"/>
  <c r="AG143" i="1"/>
  <c r="AH143" i="1"/>
  <c r="AQ143" i="1"/>
  <c r="L143" i="1" s="1"/>
  <c r="I144" i="1"/>
  <c r="E144" i="1" s="1"/>
  <c r="D144" i="1" s="1"/>
  <c r="M144" i="1"/>
  <c r="O144" i="1"/>
  <c r="AA144" i="1"/>
  <c r="AD144" i="1"/>
  <c r="AE144" i="1"/>
  <c r="AF144" i="1"/>
  <c r="AG144" i="1"/>
  <c r="AH144" i="1"/>
  <c r="AQ144" i="1"/>
  <c r="L144" i="1" s="1"/>
  <c r="I145" i="1"/>
  <c r="E145" i="1" s="1"/>
  <c r="D145" i="1" s="1"/>
  <c r="M145" i="1"/>
  <c r="O145" i="1"/>
  <c r="AA145" i="1"/>
  <c r="AD145" i="1"/>
  <c r="AE145" i="1"/>
  <c r="AF145" i="1"/>
  <c r="AG145" i="1"/>
  <c r="AH145" i="1"/>
  <c r="AQ145" i="1"/>
  <c r="L145" i="1" s="1"/>
  <c r="I146" i="1"/>
  <c r="E146" i="1" s="1"/>
  <c r="D146" i="1" s="1"/>
  <c r="M146" i="1"/>
  <c r="O146" i="1"/>
  <c r="AA146" i="1"/>
  <c r="AD146" i="1"/>
  <c r="AE146" i="1"/>
  <c r="AF146" i="1"/>
  <c r="AG146" i="1"/>
  <c r="AH146" i="1"/>
  <c r="AQ146" i="1"/>
  <c r="L146" i="1" s="1"/>
  <c r="I147" i="1"/>
  <c r="E147" i="1" s="1"/>
  <c r="D147" i="1" s="1"/>
  <c r="M147" i="1"/>
  <c r="O147" i="1"/>
  <c r="AA147" i="1"/>
  <c r="AD147" i="1"/>
  <c r="AE147" i="1"/>
  <c r="AF147" i="1"/>
  <c r="AG147" i="1"/>
  <c r="AH147" i="1"/>
  <c r="AQ147" i="1"/>
  <c r="L147" i="1" s="1"/>
  <c r="I148" i="1"/>
  <c r="E148" i="1" s="1"/>
  <c r="D148" i="1" s="1"/>
  <c r="M148" i="1"/>
  <c r="O148" i="1"/>
  <c r="AA148" i="1"/>
  <c r="AD148" i="1"/>
  <c r="AE148" i="1"/>
  <c r="AF148" i="1"/>
  <c r="AG148" i="1"/>
  <c r="AH148" i="1"/>
  <c r="AQ148" i="1"/>
  <c r="L148" i="1" s="1"/>
  <c r="I149" i="1"/>
  <c r="E149" i="1" s="1"/>
  <c r="D149" i="1" s="1"/>
  <c r="M149" i="1"/>
  <c r="O149" i="1"/>
  <c r="AA149" i="1"/>
  <c r="AD149" i="1"/>
  <c r="AE149" i="1"/>
  <c r="AF149" i="1"/>
  <c r="AG149" i="1"/>
  <c r="AH149" i="1"/>
  <c r="AQ149" i="1"/>
  <c r="L149" i="1" s="1"/>
  <c r="I150" i="1"/>
  <c r="E150" i="1" s="1"/>
  <c r="D150" i="1" s="1"/>
  <c r="M150" i="1"/>
  <c r="O150" i="1"/>
  <c r="AA150" i="1"/>
  <c r="AD150" i="1"/>
  <c r="AE150" i="1"/>
  <c r="AF150" i="1"/>
  <c r="AG150" i="1"/>
  <c r="AH150" i="1"/>
  <c r="AQ150" i="1"/>
  <c r="L150" i="1" s="1"/>
  <c r="I151" i="1"/>
  <c r="E151" i="1" s="1"/>
  <c r="D151" i="1" s="1"/>
  <c r="M151" i="1"/>
  <c r="O151" i="1"/>
  <c r="AA151" i="1"/>
  <c r="AD151" i="1"/>
  <c r="AE151" i="1"/>
  <c r="AF151" i="1"/>
  <c r="AG151" i="1"/>
  <c r="AH151" i="1"/>
  <c r="AQ151" i="1"/>
  <c r="L151" i="1" s="1"/>
  <c r="I152" i="1"/>
  <c r="E152" i="1" s="1"/>
  <c r="D152" i="1" s="1"/>
  <c r="M152" i="1"/>
  <c r="O152" i="1"/>
  <c r="AA152" i="1"/>
  <c r="AD152" i="1"/>
  <c r="AE152" i="1"/>
  <c r="AF152" i="1"/>
  <c r="AG152" i="1"/>
  <c r="AH152" i="1"/>
  <c r="AQ152" i="1"/>
  <c r="L152" i="1" s="1"/>
  <c r="I153" i="1"/>
  <c r="E153" i="1" s="1"/>
  <c r="D153" i="1" s="1"/>
  <c r="M153" i="1"/>
  <c r="O153" i="1"/>
  <c r="AA153" i="1"/>
  <c r="AD153" i="1"/>
  <c r="AE153" i="1"/>
  <c r="AF153" i="1"/>
  <c r="AG153" i="1"/>
  <c r="AH153" i="1"/>
  <c r="AQ153" i="1"/>
  <c r="L153" i="1" s="1"/>
  <c r="I154" i="1"/>
  <c r="E154" i="1" s="1"/>
  <c r="D154" i="1" s="1"/>
  <c r="M154" i="1"/>
  <c r="O154" i="1"/>
  <c r="AA154" i="1"/>
  <c r="AD154" i="1"/>
  <c r="AE154" i="1"/>
  <c r="AF154" i="1"/>
  <c r="AG154" i="1"/>
  <c r="AH154" i="1"/>
  <c r="AQ154" i="1"/>
  <c r="L154" i="1" s="1"/>
  <c r="I155" i="1"/>
  <c r="E155" i="1" s="1"/>
  <c r="D155" i="1" s="1"/>
  <c r="M155" i="1"/>
  <c r="O155" i="1"/>
  <c r="AA155" i="1"/>
  <c r="AD155" i="1"/>
  <c r="AE155" i="1"/>
  <c r="AF155" i="1"/>
  <c r="AG155" i="1"/>
  <c r="AH155" i="1"/>
  <c r="AQ155" i="1"/>
  <c r="L155" i="1" s="1"/>
  <c r="I156" i="1"/>
  <c r="E156" i="1" s="1"/>
  <c r="D156" i="1" s="1"/>
  <c r="M156" i="1"/>
  <c r="O156" i="1"/>
  <c r="AA156" i="1"/>
  <c r="AD156" i="1"/>
  <c r="AE156" i="1"/>
  <c r="AF156" i="1"/>
  <c r="AG156" i="1"/>
  <c r="AH156" i="1"/>
  <c r="AQ156" i="1"/>
  <c r="L156" i="1" s="1"/>
  <c r="I157" i="1"/>
  <c r="E157" i="1" s="1"/>
  <c r="D157" i="1" s="1"/>
  <c r="M157" i="1"/>
  <c r="O157" i="1"/>
  <c r="AA157" i="1"/>
  <c r="AD157" i="1"/>
  <c r="AE157" i="1"/>
  <c r="AF157" i="1"/>
  <c r="AG157" i="1"/>
  <c r="AH157" i="1"/>
  <c r="AQ157" i="1"/>
  <c r="L157" i="1" s="1"/>
  <c r="I158" i="1"/>
  <c r="E158" i="1" s="1"/>
  <c r="D158" i="1" s="1"/>
  <c r="M158" i="1"/>
  <c r="O158" i="1"/>
  <c r="AA158" i="1"/>
  <c r="AD158" i="1"/>
  <c r="AE158" i="1"/>
  <c r="AF158" i="1"/>
  <c r="AG158" i="1"/>
  <c r="AH158" i="1"/>
  <c r="AQ158" i="1"/>
  <c r="L158" i="1" s="1"/>
  <c r="I159" i="1"/>
  <c r="E159" i="1" s="1"/>
  <c r="D159" i="1" s="1"/>
  <c r="M159" i="1"/>
  <c r="O159" i="1"/>
  <c r="AA159" i="1"/>
  <c r="AD159" i="1"/>
  <c r="AE159" i="1"/>
  <c r="AF159" i="1"/>
  <c r="AG159" i="1"/>
  <c r="AH159" i="1"/>
  <c r="AQ159" i="1"/>
  <c r="L159" i="1" s="1"/>
  <c r="I160" i="1"/>
  <c r="E160" i="1" s="1"/>
  <c r="D160" i="1" s="1"/>
  <c r="M160" i="1"/>
  <c r="O160" i="1"/>
  <c r="AA160" i="1"/>
  <c r="AD160" i="1"/>
  <c r="AE160" i="1"/>
  <c r="AF160" i="1"/>
  <c r="AG160" i="1"/>
  <c r="AH160" i="1"/>
  <c r="AQ160" i="1"/>
  <c r="L160" i="1" s="1"/>
  <c r="I161" i="1"/>
  <c r="E161" i="1" s="1"/>
  <c r="D161" i="1" s="1"/>
  <c r="M161" i="1"/>
  <c r="O161" i="1"/>
  <c r="AA161" i="1"/>
  <c r="AD161" i="1"/>
  <c r="AE161" i="1"/>
  <c r="AF161" i="1"/>
  <c r="AG161" i="1"/>
  <c r="AH161" i="1"/>
  <c r="AQ161" i="1"/>
  <c r="L161" i="1" s="1"/>
  <c r="I162" i="1"/>
  <c r="E162" i="1" s="1"/>
  <c r="D162" i="1" s="1"/>
  <c r="M162" i="1"/>
  <c r="O162" i="1"/>
  <c r="AA162" i="1"/>
  <c r="AD162" i="1"/>
  <c r="AE162" i="1"/>
  <c r="AF162" i="1"/>
  <c r="AG162" i="1"/>
  <c r="AH162" i="1"/>
  <c r="AQ162" i="1"/>
  <c r="L162" i="1" s="1"/>
  <c r="I163" i="1"/>
  <c r="E163" i="1" s="1"/>
  <c r="D163" i="1" s="1"/>
  <c r="M163" i="1"/>
  <c r="O163" i="1"/>
  <c r="AA163" i="1"/>
  <c r="AD163" i="1"/>
  <c r="AE163" i="1"/>
  <c r="AF163" i="1"/>
  <c r="AG163" i="1"/>
  <c r="AH163" i="1"/>
  <c r="AQ163" i="1"/>
  <c r="L163" i="1" s="1"/>
  <c r="I164" i="1"/>
  <c r="E164" i="1" s="1"/>
  <c r="D164" i="1" s="1"/>
  <c r="M164" i="1"/>
  <c r="O164" i="1"/>
  <c r="AA164" i="1"/>
  <c r="AD164" i="1"/>
  <c r="AE164" i="1"/>
  <c r="AF164" i="1"/>
  <c r="AG164" i="1"/>
  <c r="AH164" i="1"/>
  <c r="AQ164" i="1"/>
  <c r="L164" i="1" s="1"/>
  <c r="I165" i="1"/>
  <c r="E165" i="1" s="1"/>
  <c r="D165" i="1" s="1"/>
  <c r="M165" i="1"/>
  <c r="O165" i="1"/>
  <c r="AA165" i="1"/>
  <c r="AD165" i="1"/>
  <c r="AE165" i="1"/>
  <c r="AF165" i="1"/>
  <c r="AG165" i="1"/>
  <c r="AH165" i="1"/>
  <c r="AQ165" i="1"/>
  <c r="L165" i="1" s="1"/>
  <c r="I166" i="1"/>
  <c r="E166" i="1" s="1"/>
  <c r="D166" i="1" s="1"/>
  <c r="M166" i="1"/>
  <c r="O166" i="1"/>
  <c r="AA166" i="1"/>
  <c r="AD166" i="1"/>
  <c r="AE166" i="1"/>
  <c r="AF166" i="1"/>
  <c r="AG166" i="1"/>
  <c r="AH166" i="1"/>
  <c r="AQ166" i="1"/>
  <c r="L166" i="1" s="1"/>
  <c r="I167" i="1"/>
  <c r="E167" i="1" s="1"/>
  <c r="D167" i="1" s="1"/>
  <c r="M167" i="1"/>
  <c r="O167" i="1"/>
  <c r="AA167" i="1"/>
  <c r="AD167" i="1"/>
  <c r="AE167" i="1"/>
  <c r="AF167" i="1"/>
  <c r="AG167" i="1"/>
  <c r="AH167" i="1"/>
  <c r="AQ167" i="1"/>
  <c r="L167" i="1" s="1"/>
  <c r="I168" i="1"/>
  <c r="E168" i="1" s="1"/>
  <c r="D168" i="1" s="1"/>
  <c r="M168" i="1"/>
  <c r="O168" i="1"/>
  <c r="AA168" i="1"/>
  <c r="AD168" i="1"/>
  <c r="AE168" i="1"/>
  <c r="AF168" i="1"/>
  <c r="AG168" i="1"/>
  <c r="AH168" i="1"/>
  <c r="AQ168" i="1"/>
  <c r="L168" i="1" s="1"/>
  <c r="I169" i="1"/>
  <c r="E169" i="1" s="1"/>
  <c r="D169" i="1" s="1"/>
  <c r="M169" i="1"/>
  <c r="O169" i="1"/>
  <c r="AA169" i="1"/>
  <c r="AD169" i="1"/>
  <c r="AE169" i="1"/>
  <c r="AF169" i="1"/>
  <c r="AG169" i="1"/>
  <c r="AH169" i="1"/>
  <c r="AQ169" i="1"/>
  <c r="L169" i="1" s="1"/>
  <c r="I170" i="1"/>
  <c r="E170" i="1" s="1"/>
  <c r="D170" i="1" s="1"/>
  <c r="M170" i="1"/>
  <c r="O170" i="1"/>
  <c r="AA170" i="1"/>
  <c r="AD170" i="1"/>
  <c r="AE170" i="1"/>
  <c r="AF170" i="1"/>
  <c r="AG170" i="1"/>
  <c r="AH170" i="1"/>
  <c r="AQ170" i="1"/>
  <c r="L170" i="1" s="1"/>
  <c r="I171" i="1"/>
  <c r="E171" i="1" s="1"/>
  <c r="D171" i="1" s="1"/>
  <c r="M171" i="1"/>
  <c r="O171" i="1"/>
  <c r="AA171" i="1"/>
  <c r="AD171" i="1"/>
  <c r="AE171" i="1"/>
  <c r="AF171" i="1"/>
  <c r="AG171" i="1"/>
  <c r="AH171" i="1"/>
  <c r="AQ171" i="1"/>
  <c r="L171" i="1" s="1"/>
  <c r="I172" i="1"/>
  <c r="E172" i="1" s="1"/>
  <c r="D172" i="1" s="1"/>
  <c r="M172" i="1"/>
  <c r="O172" i="1"/>
  <c r="AA172" i="1"/>
  <c r="AD172" i="1"/>
  <c r="AE172" i="1"/>
  <c r="AF172" i="1"/>
  <c r="AG172" i="1"/>
  <c r="AH172" i="1"/>
  <c r="AQ172" i="1"/>
  <c r="L172" i="1" s="1"/>
  <c r="I173" i="1"/>
  <c r="E173" i="1" s="1"/>
  <c r="D173" i="1" s="1"/>
  <c r="M173" i="1"/>
  <c r="O173" i="1"/>
  <c r="AA173" i="1"/>
  <c r="AD173" i="1"/>
  <c r="AE173" i="1"/>
  <c r="AF173" i="1"/>
  <c r="AG173" i="1"/>
  <c r="AH173" i="1"/>
  <c r="AQ173" i="1"/>
  <c r="L173" i="1" s="1"/>
  <c r="I174" i="1"/>
  <c r="E174" i="1" s="1"/>
  <c r="D174" i="1" s="1"/>
  <c r="M174" i="1"/>
  <c r="O174" i="1"/>
  <c r="AA174" i="1"/>
  <c r="AD174" i="1"/>
  <c r="AE174" i="1"/>
  <c r="AF174" i="1"/>
  <c r="AG174" i="1"/>
  <c r="AH174" i="1"/>
  <c r="AQ174" i="1"/>
  <c r="L174" i="1" s="1"/>
  <c r="I175" i="1"/>
  <c r="E175" i="1" s="1"/>
  <c r="D175" i="1" s="1"/>
  <c r="M175" i="1"/>
  <c r="O175" i="1"/>
  <c r="AA175" i="1"/>
  <c r="AD175" i="1"/>
  <c r="AE175" i="1"/>
  <c r="AF175" i="1"/>
  <c r="AG175" i="1"/>
  <c r="AH175" i="1"/>
  <c r="AQ175" i="1"/>
  <c r="L175" i="1" s="1"/>
  <c r="I176" i="1"/>
  <c r="E176" i="1" s="1"/>
  <c r="D176" i="1" s="1"/>
  <c r="M176" i="1"/>
  <c r="O176" i="1"/>
  <c r="AA176" i="1"/>
  <c r="AD176" i="1"/>
  <c r="AE176" i="1"/>
  <c r="AF176" i="1"/>
  <c r="AG176" i="1"/>
  <c r="AH176" i="1"/>
  <c r="AQ176" i="1"/>
  <c r="L176" i="1" s="1"/>
  <c r="I177" i="1"/>
  <c r="E177" i="1" s="1"/>
  <c r="D177" i="1" s="1"/>
  <c r="M177" i="1"/>
  <c r="O177" i="1"/>
  <c r="AA177" i="1"/>
  <c r="AD177" i="1"/>
  <c r="AE177" i="1"/>
  <c r="AF177" i="1"/>
  <c r="AG177" i="1"/>
  <c r="AH177" i="1"/>
  <c r="AQ177" i="1"/>
  <c r="L177" i="1" s="1"/>
  <c r="I178" i="1"/>
  <c r="E178" i="1" s="1"/>
  <c r="D178" i="1" s="1"/>
  <c r="M178" i="1"/>
  <c r="O178" i="1"/>
  <c r="AA178" i="1"/>
  <c r="AD178" i="1"/>
  <c r="AE178" i="1"/>
  <c r="AF178" i="1"/>
  <c r="AG178" i="1"/>
  <c r="AH178" i="1"/>
  <c r="AQ178" i="1"/>
  <c r="L178" i="1" s="1"/>
  <c r="I179" i="1"/>
  <c r="E179" i="1" s="1"/>
  <c r="D179" i="1" s="1"/>
  <c r="M179" i="1"/>
  <c r="O179" i="1"/>
  <c r="AA179" i="1"/>
  <c r="AD179" i="1"/>
  <c r="AE179" i="1"/>
  <c r="AF179" i="1"/>
  <c r="AG179" i="1"/>
  <c r="AH179" i="1"/>
  <c r="AQ179" i="1"/>
  <c r="L179" i="1" s="1"/>
  <c r="I180" i="1"/>
  <c r="E180" i="1" s="1"/>
  <c r="D180" i="1" s="1"/>
  <c r="M180" i="1"/>
  <c r="O180" i="1"/>
  <c r="AA180" i="1"/>
  <c r="AD180" i="1"/>
  <c r="AE180" i="1"/>
  <c r="AF180" i="1"/>
  <c r="AG180" i="1"/>
  <c r="AH180" i="1"/>
  <c r="AQ180" i="1"/>
  <c r="L180" i="1" s="1"/>
  <c r="I181" i="1"/>
  <c r="E181" i="1" s="1"/>
  <c r="D181" i="1" s="1"/>
  <c r="M181" i="1"/>
  <c r="O181" i="1"/>
  <c r="AA181" i="1"/>
  <c r="AD181" i="1"/>
  <c r="AE181" i="1"/>
  <c r="AF181" i="1"/>
  <c r="AG181" i="1"/>
  <c r="AH181" i="1"/>
  <c r="AQ181" i="1"/>
  <c r="L181" i="1" s="1"/>
  <c r="I182" i="1"/>
  <c r="E182" i="1" s="1"/>
  <c r="D182" i="1" s="1"/>
  <c r="M182" i="1"/>
  <c r="O182" i="1"/>
  <c r="AA182" i="1"/>
  <c r="AD182" i="1"/>
  <c r="AE182" i="1"/>
  <c r="AF182" i="1"/>
  <c r="AG182" i="1"/>
  <c r="AH182" i="1"/>
  <c r="AQ182" i="1"/>
  <c r="L182" i="1" s="1"/>
  <c r="I183" i="1"/>
  <c r="E183" i="1" s="1"/>
  <c r="D183" i="1" s="1"/>
  <c r="M183" i="1"/>
  <c r="O183" i="1"/>
  <c r="AA183" i="1"/>
  <c r="AD183" i="1"/>
  <c r="AE183" i="1"/>
  <c r="AF183" i="1"/>
  <c r="AG183" i="1"/>
  <c r="AH183" i="1"/>
  <c r="AQ183" i="1"/>
  <c r="L183" i="1" s="1"/>
  <c r="I184" i="1"/>
  <c r="E184" i="1" s="1"/>
  <c r="D184" i="1" s="1"/>
  <c r="M184" i="1"/>
  <c r="O184" i="1"/>
  <c r="AA184" i="1"/>
  <c r="AD184" i="1"/>
  <c r="AE184" i="1"/>
  <c r="AF184" i="1"/>
  <c r="AG184" i="1"/>
  <c r="AH184" i="1"/>
  <c r="AQ184" i="1"/>
  <c r="L184" i="1" s="1"/>
  <c r="I185" i="1"/>
  <c r="E185" i="1" s="1"/>
  <c r="D185" i="1" s="1"/>
  <c r="M185" i="1"/>
  <c r="O185" i="1"/>
  <c r="AA185" i="1"/>
  <c r="AD185" i="1"/>
  <c r="AE185" i="1"/>
  <c r="AF185" i="1"/>
  <c r="AG185" i="1"/>
  <c r="AH185" i="1"/>
  <c r="AQ185" i="1"/>
  <c r="L185" i="1" s="1"/>
  <c r="I186" i="1"/>
  <c r="E186" i="1" s="1"/>
  <c r="D186" i="1" s="1"/>
  <c r="M186" i="1"/>
  <c r="O186" i="1"/>
  <c r="AA186" i="1"/>
  <c r="AD186" i="1"/>
  <c r="AE186" i="1"/>
  <c r="AF186" i="1"/>
  <c r="AG186" i="1"/>
  <c r="AH186" i="1"/>
  <c r="AQ186" i="1"/>
  <c r="L186" i="1" s="1"/>
  <c r="I187" i="1"/>
  <c r="E187" i="1" s="1"/>
  <c r="D187" i="1" s="1"/>
  <c r="M187" i="1"/>
  <c r="O187" i="1"/>
  <c r="AA187" i="1"/>
  <c r="AD187" i="1"/>
  <c r="AE187" i="1"/>
  <c r="AF187" i="1"/>
  <c r="AG187" i="1"/>
  <c r="AH187" i="1"/>
  <c r="AQ187" i="1"/>
  <c r="L187" i="1" s="1"/>
  <c r="I188" i="1"/>
  <c r="E188" i="1" s="1"/>
  <c r="D188" i="1" s="1"/>
  <c r="M188" i="1"/>
  <c r="O188" i="1"/>
  <c r="AA188" i="1"/>
  <c r="AD188" i="1"/>
  <c r="AE188" i="1"/>
  <c r="AF188" i="1"/>
  <c r="AG188" i="1"/>
  <c r="AH188" i="1"/>
  <c r="AQ188" i="1"/>
  <c r="L188" i="1" s="1"/>
  <c r="I189" i="1"/>
  <c r="E189" i="1" s="1"/>
  <c r="D189" i="1" s="1"/>
  <c r="M189" i="1"/>
  <c r="O189" i="1"/>
  <c r="AA189" i="1"/>
  <c r="AD189" i="1"/>
  <c r="AE189" i="1"/>
  <c r="AF189" i="1"/>
  <c r="AG189" i="1"/>
  <c r="AH189" i="1"/>
  <c r="AQ189" i="1"/>
  <c r="L189" i="1" s="1"/>
  <c r="I190" i="1"/>
  <c r="E190" i="1" s="1"/>
  <c r="D190" i="1" s="1"/>
  <c r="M190" i="1"/>
  <c r="O190" i="1"/>
  <c r="AA190" i="1"/>
  <c r="AD190" i="1"/>
  <c r="AE190" i="1"/>
  <c r="AF190" i="1"/>
  <c r="AG190" i="1"/>
  <c r="AH190" i="1"/>
  <c r="AQ190" i="1"/>
  <c r="L190" i="1" s="1"/>
  <c r="I191" i="1"/>
  <c r="E191" i="1" s="1"/>
  <c r="D191" i="1" s="1"/>
  <c r="M191" i="1"/>
  <c r="O191" i="1"/>
  <c r="AA191" i="1"/>
  <c r="AD191" i="1"/>
  <c r="AE191" i="1"/>
  <c r="AF191" i="1"/>
  <c r="AG191" i="1"/>
  <c r="AH191" i="1"/>
  <c r="AQ191" i="1"/>
  <c r="L191" i="1" s="1"/>
  <c r="I192" i="1"/>
  <c r="E192" i="1" s="1"/>
  <c r="D192" i="1" s="1"/>
  <c r="M192" i="1"/>
  <c r="O192" i="1"/>
  <c r="AA192" i="1"/>
  <c r="AD192" i="1"/>
  <c r="AE192" i="1"/>
  <c r="AF192" i="1"/>
  <c r="AG192" i="1"/>
  <c r="AH192" i="1"/>
  <c r="AQ192" i="1"/>
  <c r="L192" i="1" s="1"/>
  <c r="I193" i="1"/>
  <c r="E193" i="1" s="1"/>
  <c r="D193" i="1" s="1"/>
  <c r="M193" i="1"/>
  <c r="O193" i="1"/>
  <c r="AA193" i="1"/>
  <c r="AD193" i="1"/>
  <c r="AE193" i="1"/>
  <c r="AF193" i="1"/>
  <c r="AG193" i="1"/>
  <c r="AH193" i="1"/>
  <c r="AQ193" i="1"/>
  <c r="L193" i="1" s="1"/>
  <c r="I194" i="1"/>
  <c r="E194" i="1" s="1"/>
  <c r="D194" i="1" s="1"/>
  <c r="M194" i="1"/>
  <c r="O194" i="1"/>
  <c r="AA194" i="1"/>
  <c r="AD194" i="1"/>
  <c r="AE194" i="1"/>
  <c r="AF194" i="1"/>
  <c r="AG194" i="1"/>
  <c r="AH194" i="1"/>
  <c r="AQ194" i="1"/>
  <c r="L194" i="1" s="1"/>
  <c r="I195" i="1"/>
  <c r="E195" i="1" s="1"/>
  <c r="D195" i="1" s="1"/>
  <c r="M195" i="1"/>
  <c r="O195" i="1"/>
  <c r="AA195" i="1"/>
  <c r="AD195" i="1"/>
  <c r="AE195" i="1"/>
  <c r="AF195" i="1"/>
  <c r="AG195" i="1"/>
  <c r="AH195" i="1"/>
  <c r="AQ195" i="1"/>
  <c r="L195" i="1" s="1"/>
  <c r="I196" i="1"/>
  <c r="E196" i="1" s="1"/>
  <c r="D196" i="1" s="1"/>
  <c r="M196" i="1"/>
  <c r="O196" i="1"/>
  <c r="AA196" i="1"/>
  <c r="AD196" i="1"/>
  <c r="AE196" i="1"/>
  <c r="AF196" i="1"/>
  <c r="AG196" i="1"/>
  <c r="AH196" i="1"/>
  <c r="AQ196" i="1"/>
  <c r="L196" i="1" s="1"/>
  <c r="I197" i="1"/>
  <c r="E197" i="1" s="1"/>
  <c r="D197" i="1" s="1"/>
  <c r="M197" i="1"/>
  <c r="O197" i="1"/>
  <c r="AA197" i="1"/>
  <c r="AD197" i="1"/>
  <c r="AE197" i="1"/>
  <c r="AF197" i="1"/>
  <c r="AG197" i="1"/>
  <c r="AH197" i="1"/>
  <c r="AQ197" i="1"/>
  <c r="L197" i="1" s="1"/>
  <c r="I198" i="1"/>
  <c r="E198" i="1" s="1"/>
  <c r="D198" i="1" s="1"/>
  <c r="M198" i="1"/>
  <c r="O198" i="1"/>
  <c r="AA198" i="1"/>
  <c r="AD198" i="1"/>
  <c r="AE198" i="1"/>
  <c r="AF198" i="1"/>
  <c r="AG198" i="1"/>
  <c r="AH198" i="1"/>
  <c r="AQ198" i="1"/>
  <c r="L198" i="1" s="1"/>
  <c r="I199" i="1"/>
  <c r="E199" i="1" s="1"/>
  <c r="D199" i="1" s="1"/>
  <c r="M199" i="1"/>
  <c r="O199" i="1"/>
  <c r="AA199" i="1"/>
  <c r="AD199" i="1"/>
  <c r="AE199" i="1"/>
  <c r="AF199" i="1"/>
  <c r="AG199" i="1"/>
  <c r="AH199" i="1"/>
  <c r="AQ199" i="1"/>
  <c r="L199" i="1" s="1"/>
  <c r="I200" i="1"/>
  <c r="E200" i="1" s="1"/>
  <c r="D200" i="1" s="1"/>
  <c r="M200" i="1"/>
  <c r="O200" i="1"/>
  <c r="AA200" i="1"/>
  <c r="AD200" i="1"/>
  <c r="AE200" i="1"/>
  <c r="AF200" i="1"/>
  <c r="AG200" i="1"/>
  <c r="AH200" i="1"/>
  <c r="AQ200" i="1"/>
  <c r="L200" i="1" s="1"/>
  <c r="I201" i="1"/>
  <c r="E201" i="1" s="1"/>
  <c r="D201" i="1" s="1"/>
  <c r="M201" i="1"/>
  <c r="O201" i="1"/>
  <c r="AA201" i="1"/>
  <c r="AD201" i="1"/>
  <c r="AE201" i="1"/>
  <c r="AF201" i="1"/>
  <c r="AG201" i="1"/>
  <c r="AH201" i="1"/>
  <c r="AQ201" i="1"/>
  <c r="L201" i="1" s="1"/>
  <c r="I202" i="1"/>
  <c r="E202" i="1" s="1"/>
  <c r="D202" i="1" s="1"/>
  <c r="M202" i="1"/>
  <c r="O202" i="1"/>
  <c r="AA202" i="1"/>
  <c r="AD202" i="1"/>
  <c r="AE202" i="1"/>
  <c r="AF202" i="1"/>
  <c r="AG202" i="1"/>
  <c r="AH202" i="1"/>
  <c r="AQ202" i="1"/>
  <c r="L202" i="1" s="1"/>
  <c r="I203" i="1"/>
  <c r="E203" i="1" s="1"/>
  <c r="D203" i="1" s="1"/>
  <c r="M203" i="1"/>
  <c r="O203" i="1"/>
  <c r="AA203" i="1"/>
  <c r="AD203" i="1"/>
  <c r="AE203" i="1"/>
  <c r="AF203" i="1"/>
  <c r="AG203" i="1"/>
  <c r="AH203" i="1"/>
  <c r="AQ203" i="1"/>
  <c r="L203" i="1" s="1"/>
  <c r="I204" i="1"/>
  <c r="E204" i="1" s="1"/>
  <c r="D204" i="1" s="1"/>
  <c r="M204" i="1"/>
  <c r="O204" i="1"/>
  <c r="AA204" i="1"/>
  <c r="AD204" i="1"/>
  <c r="AE204" i="1"/>
  <c r="AF204" i="1"/>
  <c r="AG204" i="1"/>
  <c r="AH204" i="1"/>
  <c r="AQ204" i="1"/>
  <c r="L204" i="1" s="1"/>
  <c r="I205" i="1"/>
  <c r="E205" i="1" s="1"/>
  <c r="D205" i="1" s="1"/>
  <c r="M205" i="1"/>
  <c r="O205" i="1"/>
  <c r="AA205" i="1"/>
  <c r="AD205" i="1"/>
  <c r="AE205" i="1"/>
  <c r="AF205" i="1"/>
  <c r="AG205" i="1"/>
  <c r="AH205" i="1"/>
  <c r="AQ205" i="1"/>
  <c r="L205" i="1" s="1"/>
  <c r="I206" i="1"/>
  <c r="E206" i="1" s="1"/>
  <c r="D206" i="1" s="1"/>
  <c r="M206" i="1"/>
  <c r="O206" i="1"/>
  <c r="AA206" i="1"/>
  <c r="AD206" i="1"/>
  <c r="AE206" i="1"/>
  <c r="AF206" i="1"/>
  <c r="AG206" i="1"/>
  <c r="AH206" i="1"/>
  <c r="AQ206" i="1"/>
  <c r="L206" i="1" s="1"/>
  <c r="I207" i="1"/>
  <c r="E207" i="1" s="1"/>
  <c r="D207" i="1" s="1"/>
  <c r="M207" i="1"/>
  <c r="O207" i="1"/>
  <c r="AA207" i="1"/>
  <c r="AD207" i="1"/>
  <c r="AE207" i="1"/>
  <c r="AF207" i="1"/>
  <c r="AG207" i="1"/>
  <c r="AH207" i="1"/>
  <c r="AQ207" i="1"/>
  <c r="L207" i="1" s="1"/>
  <c r="I208" i="1"/>
  <c r="E208" i="1" s="1"/>
  <c r="D208" i="1" s="1"/>
  <c r="M208" i="1"/>
  <c r="O208" i="1"/>
  <c r="AA208" i="1"/>
  <c r="AD208" i="1"/>
  <c r="AE208" i="1"/>
  <c r="AF208" i="1"/>
  <c r="AG208" i="1"/>
  <c r="AH208" i="1"/>
  <c r="AQ208" i="1"/>
  <c r="L208" i="1" s="1"/>
  <c r="I209" i="1"/>
  <c r="E209" i="1" s="1"/>
  <c r="D209" i="1" s="1"/>
  <c r="M209" i="1"/>
  <c r="O209" i="1"/>
  <c r="AA209" i="1"/>
  <c r="AD209" i="1"/>
  <c r="AE209" i="1"/>
  <c r="AF209" i="1"/>
  <c r="AG209" i="1"/>
  <c r="AH209" i="1"/>
  <c r="AQ209" i="1"/>
  <c r="L209" i="1" s="1"/>
  <c r="I210" i="1"/>
  <c r="E210" i="1" s="1"/>
  <c r="D210" i="1" s="1"/>
  <c r="M210" i="1"/>
  <c r="O210" i="1"/>
  <c r="AA210" i="1"/>
  <c r="AD210" i="1"/>
  <c r="AE210" i="1"/>
  <c r="AF210" i="1"/>
  <c r="AG210" i="1"/>
  <c r="AH210" i="1"/>
  <c r="AQ210" i="1"/>
  <c r="L210" i="1" s="1"/>
  <c r="I211" i="1"/>
  <c r="E211" i="1" s="1"/>
  <c r="D211" i="1" s="1"/>
  <c r="M211" i="1"/>
  <c r="O211" i="1"/>
  <c r="AA211" i="1"/>
  <c r="AD211" i="1"/>
  <c r="AE211" i="1"/>
  <c r="AF211" i="1"/>
  <c r="AG211" i="1"/>
  <c r="AH211" i="1"/>
  <c r="AQ211" i="1"/>
  <c r="L211" i="1" s="1"/>
  <c r="I212" i="1"/>
  <c r="E212" i="1" s="1"/>
  <c r="D212" i="1" s="1"/>
  <c r="M212" i="1"/>
  <c r="O212" i="1"/>
  <c r="AA212" i="1"/>
  <c r="AD212" i="1"/>
  <c r="AE212" i="1"/>
  <c r="AF212" i="1"/>
  <c r="AG212" i="1"/>
  <c r="AH212" i="1"/>
  <c r="AQ212" i="1"/>
  <c r="L212" i="1" s="1"/>
  <c r="I213" i="1"/>
  <c r="E213" i="1" s="1"/>
  <c r="D213" i="1" s="1"/>
  <c r="M213" i="1"/>
  <c r="O213" i="1"/>
  <c r="AA213" i="1"/>
  <c r="AD213" i="1"/>
  <c r="AE213" i="1"/>
  <c r="AF213" i="1"/>
  <c r="AG213" i="1"/>
  <c r="AH213" i="1"/>
  <c r="AQ213" i="1"/>
  <c r="L213" i="1" s="1"/>
  <c r="I214" i="1"/>
  <c r="E214" i="1" s="1"/>
  <c r="D214" i="1" s="1"/>
  <c r="M214" i="1"/>
  <c r="O214" i="1"/>
  <c r="AA214" i="1"/>
  <c r="AD214" i="1"/>
  <c r="AE214" i="1"/>
  <c r="AF214" i="1"/>
  <c r="AG214" i="1"/>
  <c r="AH214" i="1"/>
  <c r="AQ214" i="1"/>
  <c r="L214" i="1" s="1"/>
  <c r="I215" i="1"/>
  <c r="E215" i="1" s="1"/>
  <c r="D215" i="1" s="1"/>
  <c r="M215" i="1"/>
  <c r="O215" i="1"/>
  <c r="AA215" i="1"/>
  <c r="AD215" i="1"/>
  <c r="AE215" i="1"/>
  <c r="AF215" i="1"/>
  <c r="AG215" i="1"/>
  <c r="AH215" i="1"/>
  <c r="AQ215" i="1"/>
  <c r="L215" i="1" s="1"/>
  <c r="I216" i="1"/>
  <c r="E216" i="1" s="1"/>
  <c r="D216" i="1" s="1"/>
  <c r="M216" i="1"/>
  <c r="O216" i="1"/>
  <c r="AA216" i="1"/>
  <c r="AD216" i="1"/>
  <c r="AE216" i="1"/>
  <c r="AF216" i="1"/>
  <c r="AG216" i="1"/>
  <c r="AH216" i="1"/>
  <c r="AQ216" i="1"/>
  <c r="L216" i="1" s="1"/>
  <c r="I217" i="1"/>
  <c r="E217" i="1" s="1"/>
  <c r="D217" i="1" s="1"/>
  <c r="M217" i="1"/>
  <c r="O217" i="1"/>
  <c r="AA217" i="1"/>
  <c r="AD217" i="1"/>
  <c r="AE217" i="1"/>
  <c r="AF217" i="1"/>
  <c r="AG217" i="1"/>
  <c r="AH217" i="1"/>
  <c r="AQ217" i="1"/>
  <c r="L217" i="1" s="1"/>
  <c r="I218" i="1"/>
  <c r="E218" i="1" s="1"/>
  <c r="D218" i="1" s="1"/>
  <c r="M218" i="1"/>
  <c r="O218" i="1"/>
  <c r="AA218" i="1"/>
  <c r="AD218" i="1"/>
  <c r="AE218" i="1"/>
  <c r="AF218" i="1"/>
  <c r="AG218" i="1"/>
  <c r="AH218" i="1"/>
  <c r="AQ218" i="1"/>
  <c r="L218" i="1" s="1"/>
  <c r="I219" i="1"/>
  <c r="E219" i="1" s="1"/>
  <c r="D219" i="1" s="1"/>
  <c r="M219" i="1"/>
  <c r="O219" i="1"/>
  <c r="AA219" i="1"/>
  <c r="AD219" i="1"/>
  <c r="AE219" i="1"/>
  <c r="AF219" i="1"/>
  <c r="AG219" i="1"/>
  <c r="AH219" i="1"/>
  <c r="AQ219" i="1"/>
  <c r="L219" i="1" s="1"/>
  <c r="I220" i="1"/>
  <c r="E220" i="1" s="1"/>
  <c r="D220" i="1" s="1"/>
  <c r="M220" i="1"/>
  <c r="O220" i="1"/>
  <c r="AA220" i="1"/>
  <c r="AD220" i="1"/>
  <c r="AE220" i="1"/>
  <c r="AF220" i="1"/>
  <c r="AG220" i="1"/>
  <c r="AH220" i="1"/>
  <c r="AQ220" i="1"/>
  <c r="L220" i="1" s="1"/>
  <c r="I221" i="1"/>
  <c r="E221" i="1" s="1"/>
  <c r="D221" i="1" s="1"/>
  <c r="M221" i="1"/>
  <c r="O221" i="1"/>
  <c r="AA221" i="1"/>
  <c r="AD221" i="1"/>
  <c r="AE221" i="1"/>
  <c r="AF221" i="1"/>
  <c r="AG221" i="1"/>
  <c r="AH221" i="1"/>
  <c r="AQ221" i="1"/>
  <c r="L221" i="1" s="1"/>
  <c r="I222" i="1"/>
  <c r="E222" i="1" s="1"/>
  <c r="D222" i="1" s="1"/>
  <c r="M222" i="1"/>
  <c r="O222" i="1"/>
  <c r="AA222" i="1"/>
  <c r="AD222" i="1"/>
  <c r="AE222" i="1"/>
  <c r="AF222" i="1"/>
  <c r="AG222" i="1"/>
  <c r="AH222" i="1"/>
  <c r="AQ222" i="1"/>
  <c r="L222" i="1" s="1"/>
  <c r="I223" i="1"/>
  <c r="E223" i="1" s="1"/>
  <c r="D223" i="1" s="1"/>
  <c r="M223" i="1"/>
  <c r="O223" i="1"/>
  <c r="AA223" i="1"/>
  <c r="AD223" i="1"/>
  <c r="AE223" i="1"/>
  <c r="AF223" i="1"/>
  <c r="AG223" i="1"/>
  <c r="AH223" i="1"/>
  <c r="AQ223" i="1"/>
  <c r="L223" i="1" s="1"/>
  <c r="I224" i="1"/>
  <c r="E224" i="1" s="1"/>
  <c r="D224" i="1" s="1"/>
  <c r="M224" i="1"/>
  <c r="O224" i="1"/>
  <c r="AA224" i="1"/>
  <c r="AD224" i="1"/>
  <c r="AE224" i="1"/>
  <c r="AF224" i="1"/>
  <c r="AG224" i="1"/>
  <c r="AH224" i="1"/>
  <c r="AQ224" i="1"/>
  <c r="L224" i="1" s="1"/>
  <c r="I225" i="1"/>
  <c r="E225" i="1" s="1"/>
  <c r="D225" i="1" s="1"/>
  <c r="M225" i="1"/>
  <c r="O225" i="1"/>
  <c r="AA225" i="1"/>
  <c r="AD225" i="1"/>
  <c r="AE225" i="1"/>
  <c r="AF225" i="1"/>
  <c r="AG225" i="1"/>
  <c r="AH225" i="1"/>
  <c r="AQ225" i="1"/>
  <c r="L225" i="1" s="1"/>
  <c r="I226" i="1"/>
  <c r="E226" i="1" s="1"/>
  <c r="D226" i="1" s="1"/>
  <c r="M226" i="1"/>
  <c r="O226" i="1"/>
  <c r="AA226" i="1"/>
  <c r="AD226" i="1"/>
  <c r="AE226" i="1"/>
  <c r="AF226" i="1"/>
  <c r="AG226" i="1"/>
  <c r="AH226" i="1"/>
  <c r="AQ226" i="1"/>
  <c r="L226" i="1" s="1"/>
  <c r="I227" i="1"/>
  <c r="E227" i="1" s="1"/>
  <c r="D227" i="1" s="1"/>
  <c r="M227" i="1"/>
  <c r="O227" i="1"/>
  <c r="AA227" i="1"/>
  <c r="AD227" i="1"/>
  <c r="AE227" i="1"/>
  <c r="AF227" i="1"/>
  <c r="AG227" i="1"/>
  <c r="AH227" i="1"/>
  <c r="AQ227" i="1"/>
  <c r="L227" i="1" s="1"/>
  <c r="I228" i="1"/>
  <c r="E228" i="1" s="1"/>
  <c r="D228" i="1" s="1"/>
  <c r="M228" i="1"/>
  <c r="O228" i="1"/>
  <c r="AA228" i="1"/>
  <c r="AD228" i="1"/>
  <c r="AE228" i="1"/>
  <c r="AF228" i="1"/>
  <c r="AG228" i="1"/>
  <c r="AH228" i="1"/>
  <c r="AQ228" i="1"/>
  <c r="L228" i="1" s="1"/>
  <c r="I229" i="1"/>
  <c r="E229" i="1" s="1"/>
  <c r="D229" i="1" s="1"/>
  <c r="M229" i="1"/>
  <c r="O229" i="1"/>
  <c r="AA229" i="1"/>
  <c r="AD229" i="1"/>
  <c r="AE229" i="1"/>
  <c r="AF229" i="1"/>
  <c r="AG229" i="1"/>
  <c r="AH229" i="1"/>
  <c r="AQ229" i="1"/>
  <c r="L229" i="1" s="1"/>
  <c r="I230" i="1"/>
  <c r="E230" i="1" s="1"/>
  <c r="D230" i="1" s="1"/>
  <c r="M230" i="1"/>
  <c r="O230" i="1"/>
  <c r="AA230" i="1"/>
  <c r="AD230" i="1"/>
  <c r="AE230" i="1"/>
  <c r="AF230" i="1"/>
  <c r="AG230" i="1"/>
  <c r="AH230" i="1"/>
  <c r="AQ230" i="1"/>
  <c r="L230" i="1" s="1"/>
  <c r="I231" i="1"/>
  <c r="E231" i="1" s="1"/>
  <c r="D231" i="1" s="1"/>
  <c r="M231" i="1"/>
  <c r="O231" i="1"/>
  <c r="AA231" i="1"/>
  <c r="AD231" i="1"/>
  <c r="AE231" i="1"/>
  <c r="AF231" i="1"/>
  <c r="AG231" i="1"/>
  <c r="AH231" i="1"/>
  <c r="AQ231" i="1"/>
  <c r="L231" i="1" s="1"/>
  <c r="I232" i="1"/>
  <c r="E232" i="1" s="1"/>
  <c r="D232" i="1" s="1"/>
  <c r="M232" i="1"/>
  <c r="O232" i="1"/>
  <c r="AA232" i="1"/>
  <c r="AD232" i="1"/>
  <c r="AE232" i="1"/>
  <c r="AF232" i="1"/>
  <c r="AG232" i="1"/>
  <c r="AH232" i="1"/>
  <c r="AQ232" i="1"/>
  <c r="L232" i="1" s="1"/>
  <c r="I233" i="1"/>
  <c r="E233" i="1" s="1"/>
  <c r="D233" i="1" s="1"/>
  <c r="M233" i="1"/>
  <c r="O233" i="1"/>
  <c r="AA233" i="1"/>
  <c r="AD233" i="1"/>
  <c r="AE233" i="1"/>
  <c r="AF233" i="1"/>
  <c r="AG233" i="1"/>
  <c r="AH233" i="1"/>
  <c r="AQ233" i="1"/>
  <c r="L233" i="1" s="1"/>
  <c r="I234" i="1"/>
  <c r="E234" i="1" s="1"/>
  <c r="D234" i="1" s="1"/>
  <c r="M234" i="1"/>
  <c r="O234" i="1"/>
  <c r="AA234" i="1"/>
  <c r="AD234" i="1"/>
  <c r="AE234" i="1"/>
  <c r="AF234" i="1"/>
  <c r="AG234" i="1"/>
  <c r="AH234" i="1"/>
  <c r="AQ234" i="1"/>
  <c r="L234" i="1" s="1"/>
  <c r="I235" i="1"/>
  <c r="E235" i="1" s="1"/>
  <c r="D235" i="1" s="1"/>
  <c r="M235" i="1"/>
  <c r="O235" i="1"/>
  <c r="AA235" i="1"/>
  <c r="AD235" i="1"/>
  <c r="AE235" i="1"/>
  <c r="AF235" i="1"/>
  <c r="AG235" i="1"/>
  <c r="AH235" i="1"/>
  <c r="AQ235" i="1"/>
  <c r="L235" i="1" s="1"/>
  <c r="I236" i="1"/>
  <c r="E236" i="1" s="1"/>
  <c r="D236" i="1" s="1"/>
  <c r="M236" i="1"/>
  <c r="O236" i="1"/>
  <c r="AA236" i="1"/>
  <c r="AD236" i="1"/>
  <c r="AE236" i="1"/>
  <c r="AF236" i="1"/>
  <c r="AG236" i="1"/>
  <c r="AH236" i="1"/>
  <c r="AQ236" i="1"/>
  <c r="L236" i="1" s="1"/>
  <c r="I237" i="1"/>
  <c r="E237" i="1" s="1"/>
  <c r="D237" i="1" s="1"/>
  <c r="M237" i="1"/>
  <c r="O237" i="1"/>
  <c r="AA237" i="1"/>
  <c r="AD237" i="1"/>
  <c r="AE237" i="1"/>
  <c r="AF237" i="1"/>
  <c r="AG237" i="1"/>
  <c r="AH237" i="1"/>
  <c r="AQ237" i="1"/>
  <c r="L237" i="1" s="1"/>
  <c r="I238" i="1"/>
  <c r="E238" i="1" s="1"/>
  <c r="D238" i="1" s="1"/>
  <c r="M238" i="1"/>
  <c r="O238" i="1"/>
  <c r="AA238" i="1"/>
  <c r="AD238" i="1"/>
  <c r="AE238" i="1"/>
  <c r="AF238" i="1"/>
  <c r="AG238" i="1"/>
  <c r="AH238" i="1"/>
  <c r="AQ238" i="1"/>
  <c r="L238" i="1" s="1"/>
  <c r="I239" i="1"/>
  <c r="E239" i="1" s="1"/>
  <c r="D239" i="1" s="1"/>
  <c r="M239" i="1"/>
  <c r="O239" i="1"/>
  <c r="AA239" i="1"/>
  <c r="AD239" i="1"/>
  <c r="AE239" i="1"/>
  <c r="AF239" i="1"/>
  <c r="AG239" i="1"/>
  <c r="AH239" i="1"/>
  <c r="AQ239" i="1"/>
  <c r="L239" i="1" s="1"/>
  <c r="I240" i="1"/>
  <c r="E240" i="1" s="1"/>
  <c r="D240" i="1" s="1"/>
  <c r="M240" i="1"/>
  <c r="O240" i="1"/>
  <c r="AA240" i="1"/>
  <c r="AD240" i="1"/>
  <c r="AE240" i="1"/>
  <c r="AF240" i="1"/>
  <c r="AG240" i="1"/>
  <c r="AH240" i="1"/>
  <c r="AQ240" i="1"/>
  <c r="L240" i="1" s="1"/>
  <c r="I241" i="1"/>
  <c r="E241" i="1" s="1"/>
  <c r="D241" i="1" s="1"/>
  <c r="M241" i="1"/>
  <c r="O241" i="1"/>
  <c r="AA241" i="1"/>
  <c r="AD241" i="1"/>
  <c r="AE241" i="1"/>
  <c r="AF241" i="1"/>
  <c r="AG241" i="1"/>
  <c r="AH241" i="1"/>
  <c r="AQ241" i="1"/>
  <c r="L241" i="1" s="1"/>
  <c r="I242" i="1"/>
  <c r="E242" i="1" s="1"/>
  <c r="D242" i="1" s="1"/>
  <c r="M242" i="1"/>
  <c r="O242" i="1"/>
  <c r="AA242" i="1"/>
  <c r="AD242" i="1"/>
  <c r="AE242" i="1"/>
  <c r="AF242" i="1"/>
  <c r="AG242" i="1"/>
  <c r="AH242" i="1"/>
  <c r="AQ242" i="1"/>
  <c r="L242" i="1" s="1"/>
  <c r="I243" i="1"/>
  <c r="E243" i="1" s="1"/>
  <c r="D243" i="1" s="1"/>
  <c r="M243" i="1"/>
  <c r="O243" i="1"/>
  <c r="AA243" i="1"/>
  <c r="AD243" i="1"/>
  <c r="AE243" i="1"/>
  <c r="AF243" i="1"/>
  <c r="AG243" i="1"/>
  <c r="AH243" i="1"/>
  <c r="AQ243" i="1"/>
  <c r="L243" i="1" s="1"/>
  <c r="I244" i="1"/>
  <c r="E244" i="1" s="1"/>
  <c r="D244" i="1" s="1"/>
  <c r="M244" i="1"/>
  <c r="O244" i="1"/>
  <c r="AA244" i="1"/>
  <c r="AD244" i="1"/>
  <c r="AE244" i="1"/>
  <c r="AF244" i="1"/>
  <c r="AG244" i="1"/>
  <c r="AH244" i="1"/>
  <c r="AQ244" i="1"/>
  <c r="L244" i="1" s="1"/>
  <c r="I245" i="1"/>
  <c r="E245" i="1" s="1"/>
  <c r="D245" i="1" s="1"/>
  <c r="M245" i="1"/>
  <c r="O245" i="1"/>
  <c r="AA245" i="1"/>
  <c r="AD245" i="1"/>
  <c r="AE245" i="1"/>
  <c r="AF245" i="1"/>
  <c r="AG245" i="1"/>
  <c r="AH245" i="1"/>
  <c r="AQ245" i="1"/>
  <c r="L245" i="1" s="1"/>
  <c r="I246" i="1"/>
  <c r="E246" i="1" s="1"/>
  <c r="D246" i="1" s="1"/>
  <c r="M246" i="1"/>
  <c r="O246" i="1"/>
  <c r="AA246" i="1"/>
  <c r="AD246" i="1"/>
  <c r="AE246" i="1"/>
  <c r="AF246" i="1"/>
  <c r="AG246" i="1"/>
  <c r="AH246" i="1"/>
  <c r="AQ246" i="1"/>
  <c r="L246" i="1" s="1"/>
  <c r="I247" i="1"/>
  <c r="E247" i="1" s="1"/>
  <c r="D247" i="1" s="1"/>
  <c r="M247" i="1"/>
  <c r="O247" i="1"/>
  <c r="AA247" i="1"/>
  <c r="AD247" i="1"/>
  <c r="AE247" i="1"/>
  <c r="AF247" i="1"/>
  <c r="AG247" i="1"/>
  <c r="AH247" i="1"/>
  <c r="AQ247" i="1"/>
  <c r="L247" i="1" s="1"/>
  <c r="I248" i="1"/>
  <c r="E248" i="1" s="1"/>
  <c r="D248" i="1" s="1"/>
  <c r="M248" i="1"/>
  <c r="O248" i="1"/>
  <c r="AA248" i="1"/>
  <c r="AD248" i="1"/>
  <c r="AE248" i="1"/>
  <c r="AF248" i="1"/>
  <c r="AG248" i="1"/>
  <c r="AH248" i="1"/>
  <c r="AQ248" i="1"/>
  <c r="L248" i="1" s="1"/>
  <c r="I249" i="1"/>
  <c r="E249" i="1" s="1"/>
  <c r="D249" i="1" s="1"/>
  <c r="M249" i="1"/>
  <c r="O249" i="1"/>
  <c r="AA249" i="1"/>
  <c r="AD249" i="1"/>
  <c r="AE249" i="1"/>
  <c r="AF249" i="1"/>
  <c r="AG249" i="1"/>
  <c r="AH249" i="1"/>
  <c r="AQ249" i="1"/>
  <c r="L249" i="1" s="1"/>
  <c r="I250" i="1"/>
  <c r="E250" i="1" s="1"/>
  <c r="D250" i="1" s="1"/>
  <c r="M250" i="1"/>
  <c r="O250" i="1"/>
  <c r="AA250" i="1"/>
  <c r="AD250" i="1"/>
  <c r="AE250" i="1"/>
  <c r="AF250" i="1"/>
  <c r="AG250" i="1"/>
  <c r="AH250" i="1"/>
  <c r="AQ250" i="1"/>
  <c r="L250" i="1" s="1"/>
  <c r="I251" i="1"/>
  <c r="E251" i="1" s="1"/>
  <c r="D251" i="1" s="1"/>
  <c r="M251" i="1"/>
  <c r="O251" i="1"/>
  <c r="AA251" i="1"/>
  <c r="AD251" i="1"/>
  <c r="AE251" i="1"/>
  <c r="AF251" i="1"/>
  <c r="AG251" i="1"/>
  <c r="AH251" i="1"/>
  <c r="AQ251" i="1"/>
  <c r="L251" i="1" s="1"/>
  <c r="I252" i="1"/>
  <c r="E252" i="1" s="1"/>
  <c r="D252" i="1" s="1"/>
  <c r="M252" i="1"/>
  <c r="O252" i="1"/>
  <c r="AA252" i="1"/>
  <c r="AD252" i="1"/>
  <c r="AE252" i="1"/>
  <c r="AF252" i="1"/>
  <c r="AG252" i="1"/>
  <c r="AH252" i="1"/>
  <c r="AQ252" i="1"/>
  <c r="L252" i="1" s="1"/>
  <c r="I253" i="1"/>
  <c r="E253" i="1" s="1"/>
  <c r="D253" i="1" s="1"/>
  <c r="M253" i="1"/>
  <c r="O253" i="1"/>
  <c r="AA253" i="1"/>
  <c r="AD253" i="1"/>
  <c r="AE253" i="1"/>
  <c r="AF253" i="1"/>
  <c r="AG253" i="1"/>
  <c r="AH253" i="1"/>
  <c r="AQ253" i="1"/>
  <c r="L253" i="1" s="1"/>
  <c r="I254" i="1"/>
  <c r="E254" i="1" s="1"/>
  <c r="D254" i="1" s="1"/>
  <c r="M254" i="1"/>
  <c r="O254" i="1"/>
  <c r="AA254" i="1"/>
  <c r="AD254" i="1"/>
  <c r="AE254" i="1"/>
  <c r="AF254" i="1"/>
  <c r="AG254" i="1"/>
  <c r="AH254" i="1"/>
  <c r="AQ254" i="1"/>
  <c r="L254" i="1" s="1"/>
  <c r="I255" i="1"/>
  <c r="E255" i="1" s="1"/>
  <c r="D255" i="1" s="1"/>
  <c r="M255" i="1"/>
  <c r="O255" i="1"/>
  <c r="AA255" i="1"/>
  <c r="AD255" i="1"/>
  <c r="AE255" i="1"/>
  <c r="AF255" i="1"/>
  <c r="AG255" i="1"/>
  <c r="AH255" i="1"/>
  <c r="AQ255" i="1"/>
  <c r="L255" i="1" s="1"/>
  <c r="I256" i="1"/>
  <c r="E256" i="1" s="1"/>
  <c r="D256" i="1" s="1"/>
  <c r="M256" i="1"/>
  <c r="O256" i="1"/>
  <c r="AA256" i="1"/>
  <c r="AD256" i="1"/>
  <c r="AE256" i="1"/>
  <c r="AF256" i="1"/>
  <c r="AG256" i="1"/>
  <c r="AH256" i="1"/>
  <c r="AQ256" i="1"/>
  <c r="L256" i="1" s="1"/>
  <c r="I257" i="1"/>
  <c r="E257" i="1" s="1"/>
  <c r="D257" i="1" s="1"/>
  <c r="M257" i="1"/>
  <c r="O257" i="1"/>
  <c r="AA257" i="1"/>
  <c r="AD257" i="1"/>
  <c r="AE257" i="1"/>
  <c r="AF257" i="1"/>
  <c r="AG257" i="1"/>
  <c r="AH257" i="1"/>
  <c r="AQ257" i="1"/>
  <c r="L257" i="1" s="1"/>
  <c r="I258" i="1"/>
  <c r="E258" i="1" s="1"/>
  <c r="D258" i="1" s="1"/>
  <c r="M258" i="1"/>
  <c r="O258" i="1"/>
  <c r="AA258" i="1"/>
  <c r="AD258" i="1"/>
  <c r="AE258" i="1"/>
  <c r="AF258" i="1"/>
  <c r="AG258" i="1"/>
  <c r="AH258" i="1"/>
  <c r="AQ258" i="1"/>
  <c r="L258" i="1" s="1"/>
  <c r="I259" i="1"/>
  <c r="E259" i="1" s="1"/>
  <c r="D259" i="1" s="1"/>
  <c r="M259" i="1"/>
  <c r="O259" i="1"/>
  <c r="AA259" i="1"/>
  <c r="AD259" i="1"/>
  <c r="AE259" i="1"/>
  <c r="AF259" i="1"/>
  <c r="AG259" i="1"/>
  <c r="AH259" i="1"/>
  <c r="AQ259" i="1"/>
  <c r="L259" i="1" s="1"/>
  <c r="I260" i="1"/>
  <c r="E260" i="1" s="1"/>
  <c r="D260" i="1" s="1"/>
  <c r="M260" i="1"/>
  <c r="O260" i="1"/>
  <c r="AA260" i="1"/>
  <c r="AD260" i="1"/>
  <c r="AE260" i="1"/>
  <c r="AF260" i="1"/>
  <c r="AG260" i="1"/>
  <c r="AH260" i="1"/>
  <c r="AQ260" i="1"/>
  <c r="L260" i="1" s="1"/>
  <c r="I261" i="1"/>
  <c r="E261" i="1" s="1"/>
  <c r="D261" i="1" s="1"/>
  <c r="M261" i="1"/>
  <c r="O261" i="1"/>
  <c r="AA261" i="1"/>
  <c r="AD261" i="1"/>
  <c r="AE261" i="1"/>
  <c r="AF261" i="1"/>
  <c r="AG261" i="1"/>
  <c r="AH261" i="1"/>
  <c r="AQ261" i="1"/>
  <c r="L261" i="1" s="1"/>
  <c r="I262" i="1"/>
  <c r="E262" i="1" s="1"/>
  <c r="D262" i="1" s="1"/>
  <c r="M262" i="1"/>
  <c r="O262" i="1"/>
  <c r="AA262" i="1"/>
  <c r="AD262" i="1"/>
  <c r="AE262" i="1"/>
  <c r="AF262" i="1"/>
  <c r="AG262" i="1"/>
  <c r="AH262" i="1"/>
  <c r="AQ262" i="1"/>
  <c r="L262" i="1" s="1"/>
  <c r="I263" i="1"/>
  <c r="E263" i="1" s="1"/>
  <c r="D263" i="1" s="1"/>
  <c r="M263" i="1"/>
  <c r="O263" i="1"/>
  <c r="AA263" i="1"/>
  <c r="AD263" i="1"/>
  <c r="AE263" i="1"/>
  <c r="AF263" i="1"/>
  <c r="AG263" i="1"/>
  <c r="AH263" i="1"/>
  <c r="AQ263" i="1"/>
  <c r="L263" i="1" s="1"/>
  <c r="I264" i="1"/>
  <c r="E264" i="1" s="1"/>
  <c r="D264" i="1" s="1"/>
  <c r="M264" i="1"/>
  <c r="O264" i="1"/>
  <c r="AA264" i="1"/>
  <c r="AD264" i="1"/>
  <c r="AE264" i="1"/>
  <c r="AF264" i="1"/>
  <c r="AG264" i="1"/>
  <c r="AH264" i="1"/>
  <c r="AQ264" i="1"/>
  <c r="L264" i="1" s="1"/>
  <c r="I265" i="1"/>
  <c r="E265" i="1" s="1"/>
  <c r="D265" i="1" s="1"/>
  <c r="M265" i="1"/>
  <c r="O265" i="1"/>
  <c r="AA265" i="1"/>
  <c r="AD265" i="1"/>
  <c r="AE265" i="1"/>
  <c r="AF265" i="1"/>
  <c r="AG265" i="1"/>
  <c r="AH265" i="1"/>
  <c r="AQ265" i="1"/>
  <c r="L265" i="1" s="1"/>
  <c r="I266" i="1"/>
  <c r="E266" i="1" s="1"/>
  <c r="D266" i="1" s="1"/>
  <c r="M266" i="1"/>
  <c r="O266" i="1"/>
  <c r="AA266" i="1"/>
  <c r="AD266" i="1"/>
  <c r="AE266" i="1"/>
  <c r="AF266" i="1"/>
  <c r="AG266" i="1"/>
  <c r="AH266" i="1"/>
  <c r="AQ266" i="1"/>
  <c r="L266" i="1" s="1"/>
  <c r="I267" i="1"/>
  <c r="E267" i="1" s="1"/>
  <c r="D267" i="1" s="1"/>
  <c r="M267" i="1"/>
  <c r="O267" i="1"/>
  <c r="AA267" i="1"/>
  <c r="AD267" i="1"/>
  <c r="AE267" i="1"/>
  <c r="AF267" i="1"/>
  <c r="AG267" i="1"/>
  <c r="AH267" i="1"/>
  <c r="AQ267" i="1"/>
  <c r="L267" i="1" s="1"/>
  <c r="I268" i="1"/>
  <c r="E268" i="1" s="1"/>
  <c r="D268" i="1" s="1"/>
  <c r="M268" i="1"/>
  <c r="O268" i="1"/>
  <c r="AA268" i="1"/>
  <c r="AD268" i="1"/>
  <c r="AE268" i="1"/>
  <c r="AF268" i="1"/>
  <c r="AG268" i="1"/>
  <c r="AH268" i="1"/>
  <c r="AQ268" i="1"/>
  <c r="L268" i="1" s="1"/>
  <c r="I269" i="1"/>
  <c r="E269" i="1" s="1"/>
  <c r="D269" i="1" s="1"/>
  <c r="M269" i="1"/>
  <c r="O269" i="1"/>
  <c r="AA269" i="1"/>
  <c r="AD269" i="1"/>
  <c r="AE269" i="1"/>
  <c r="AF269" i="1"/>
  <c r="AG269" i="1"/>
  <c r="AH269" i="1"/>
  <c r="AQ269" i="1"/>
  <c r="L269" i="1" s="1"/>
  <c r="I270" i="1"/>
  <c r="E270" i="1" s="1"/>
  <c r="D270" i="1" s="1"/>
  <c r="M270" i="1"/>
  <c r="O270" i="1"/>
  <c r="AA270" i="1"/>
  <c r="AD270" i="1"/>
  <c r="AE270" i="1"/>
  <c r="AF270" i="1"/>
  <c r="AG270" i="1"/>
  <c r="AH270" i="1"/>
  <c r="AQ270" i="1"/>
  <c r="L270" i="1" s="1"/>
  <c r="I271" i="1"/>
  <c r="E271" i="1" s="1"/>
  <c r="D271" i="1" s="1"/>
  <c r="M271" i="1"/>
  <c r="O271" i="1"/>
  <c r="AA271" i="1"/>
  <c r="AD271" i="1"/>
  <c r="AE271" i="1"/>
  <c r="AF271" i="1"/>
  <c r="AG271" i="1"/>
  <c r="AH271" i="1"/>
  <c r="AQ271" i="1"/>
  <c r="L271" i="1" s="1"/>
  <c r="I272" i="1"/>
  <c r="E272" i="1" s="1"/>
  <c r="D272" i="1" s="1"/>
  <c r="M272" i="1"/>
  <c r="O272" i="1"/>
  <c r="AA272" i="1"/>
  <c r="AD272" i="1"/>
  <c r="AE272" i="1"/>
  <c r="AF272" i="1"/>
  <c r="AG272" i="1"/>
  <c r="AH272" i="1"/>
  <c r="AQ272" i="1"/>
  <c r="L272" i="1" s="1"/>
  <c r="I273" i="1"/>
  <c r="E273" i="1" s="1"/>
  <c r="D273" i="1" s="1"/>
  <c r="M273" i="1"/>
  <c r="O273" i="1"/>
  <c r="AA273" i="1"/>
  <c r="AD273" i="1"/>
  <c r="AE273" i="1"/>
  <c r="AF273" i="1"/>
  <c r="AG273" i="1"/>
  <c r="AH273" i="1"/>
  <c r="AQ273" i="1"/>
  <c r="L273" i="1" s="1"/>
  <c r="I274" i="1"/>
  <c r="E274" i="1" s="1"/>
  <c r="D274" i="1" s="1"/>
  <c r="M274" i="1"/>
  <c r="O274" i="1"/>
  <c r="AA274" i="1"/>
  <c r="AD274" i="1"/>
  <c r="AE274" i="1"/>
  <c r="AF274" i="1"/>
  <c r="AG274" i="1"/>
  <c r="AH274" i="1"/>
  <c r="AQ274" i="1"/>
  <c r="L274" i="1" s="1"/>
  <c r="I275" i="1"/>
  <c r="E275" i="1" s="1"/>
  <c r="D275" i="1" s="1"/>
  <c r="M275" i="1"/>
  <c r="O275" i="1"/>
  <c r="AA275" i="1"/>
  <c r="AD275" i="1"/>
  <c r="AE275" i="1"/>
  <c r="AF275" i="1"/>
  <c r="AG275" i="1"/>
  <c r="AH275" i="1"/>
  <c r="AQ275" i="1"/>
  <c r="L275" i="1" s="1"/>
  <c r="I276" i="1"/>
  <c r="E276" i="1" s="1"/>
  <c r="D276" i="1" s="1"/>
  <c r="M276" i="1"/>
  <c r="O276" i="1"/>
  <c r="AA276" i="1"/>
  <c r="AD276" i="1"/>
  <c r="AE276" i="1"/>
  <c r="AF276" i="1"/>
  <c r="AG276" i="1"/>
  <c r="AH276" i="1"/>
  <c r="AQ276" i="1"/>
  <c r="L276" i="1" s="1"/>
  <c r="I277" i="1"/>
  <c r="E277" i="1" s="1"/>
  <c r="D277" i="1" s="1"/>
  <c r="M277" i="1"/>
  <c r="O277" i="1"/>
  <c r="AA277" i="1"/>
  <c r="AD277" i="1"/>
  <c r="AE277" i="1"/>
  <c r="AF277" i="1"/>
  <c r="AG277" i="1"/>
  <c r="AH277" i="1"/>
  <c r="AQ277" i="1"/>
  <c r="L277" i="1" s="1"/>
  <c r="I278" i="1"/>
  <c r="E278" i="1" s="1"/>
  <c r="D278" i="1" s="1"/>
  <c r="M278" i="1"/>
  <c r="O278" i="1"/>
  <c r="AA278" i="1"/>
  <c r="AD278" i="1"/>
  <c r="AE278" i="1"/>
  <c r="AF278" i="1"/>
  <c r="AG278" i="1"/>
  <c r="AH278" i="1"/>
  <c r="AQ278" i="1"/>
  <c r="L278" i="1" s="1"/>
  <c r="I279" i="1"/>
  <c r="E279" i="1" s="1"/>
  <c r="D279" i="1" s="1"/>
  <c r="M279" i="1"/>
  <c r="O279" i="1"/>
  <c r="AA279" i="1"/>
  <c r="AD279" i="1"/>
  <c r="AE279" i="1"/>
  <c r="AF279" i="1"/>
  <c r="AG279" i="1"/>
  <c r="AH279" i="1"/>
  <c r="AQ279" i="1"/>
  <c r="L279" i="1" s="1"/>
  <c r="I280" i="1"/>
  <c r="E280" i="1" s="1"/>
  <c r="D280" i="1" s="1"/>
  <c r="M280" i="1"/>
  <c r="O280" i="1"/>
  <c r="AA280" i="1"/>
  <c r="AD280" i="1"/>
  <c r="AE280" i="1"/>
  <c r="AF280" i="1"/>
  <c r="AG280" i="1"/>
  <c r="AH280" i="1"/>
  <c r="AQ280" i="1"/>
  <c r="L280" i="1" s="1"/>
  <c r="I281" i="1"/>
  <c r="E281" i="1" s="1"/>
  <c r="D281" i="1" s="1"/>
  <c r="M281" i="1"/>
  <c r="O281" i="1"/>
  <c r="AA281" i="1"/>
  <c r="AD281" i="1"/>
  <c r="AE281" i="1"/>
  <c r="AF281" i="1"/>
  <c r="AG281" i="1"/>
  <c r="AH281" i="1"/>
  <c r="AQ281" i="1"/>
  <c r="L281" i="1" s="1"/>
  <c r="I282" i="1"/>
  <c r="E282" i="1" s="1"/>
  <c r="D282" i="1" s="1"/>
  <c r="M282" i="1"/>
  <c r="O282" i="1"/>
  <c r="AA282" i="1"/>
  <c r="AD282" i="1"/>
  <c r="AE282" i="1"/>
  <c r="AF282" i="1"/>
  <c r="AG282" i="1"/>
  <c r="AH282" i="1"/>
  <c r="AQ282" i="1"/>
  <c r="L282" i="1" s="1"/>
  <c r="I283" i="1"/>
  <c r="E283" i="1" s="1"/>
  <c r="D283" i="1" s="1"/>
  <c r="M283" i="1"/>
  <c r="O283" i="1"/>
  <c r="AA283" i="1"/>
  <c r="AD283" i="1"/>
  <c r="AE283" i="1"/>
  <c r="AF283" i="1"/>
  <c r="AG283" i="1"/>
  <c r="AH283" i="1"/>
  <c r="AQ283" i="1"/>
  <c r="L283" i="1" s="1"/>
  <c r="I284" i="1"/>
  <c r="E284" i="1" s="1"/>
  <c r="D284" i="1" s="1"/>
  <c r="M284" i="1"/>
  <c r="O284" i="1"/>
  <c r="AA284" i="1"/>
  <c r="AD284" i="1"/>
  <c r="AE284" i="1"/>
  <c r="AF284" i="1"/>
  <c r="AG284" i="1"/>
  <c r="AH284" i="1"/>
  <c r="AQ284" i="1"/>
  <c r="L284" i="1" s="1"/>
  <c r="I285" i="1"/>
  <c r="E285" i="1" s="1"/>
  <c r="D285" i="1" s="1"/>
  <c r="M285" i="1"/>
  <c r="O285" i="1"/>
  <c r="AA285" i="1"/>
  <c r="AD285" i="1"/>
  <c r="AE285" i="1"/>
  <c r="AF285" i="1"/>
  <c r="AG285" i="1"/>
  <c r="AH285" i="1"/>
  <c r="AQ285" i="1"/>
  <c r="L285" i="1" s="1"/>
  <c r="I286" i="1"/>
  <c r="E286" i="1" s="1"/>
  <c r="D286" i="1" s="1"/>
  <c r="M286" i="1"/>
  <c r="O286" i="1"/>
  <c r="AA286" i="1"/>
  <c r="AD286" i="1"/>
  <c r="AE286" i="1"/>
  <c r="AF286" i="1"/>
  <c r="AG286" i="1"/>
  <c r="AH286" i="1"/>
  <c r="AQ286" i="1"/>
  <c r="L286" i="1" s="1"/>
  <c r="I287" i="1"/>
  <c r="E287" i="1" s="1"/>
  <c r="D287" i="1" s="1"/>
  <c r="M287" i="1"/>
  <c r="O287" i="1"/>
  <c r="AA287" i="1"/>
  <c r="AD287" i="1"/>
  <c r="AE287" i="1"/>
  <c r="AF287" i="1"/>
  <c r="AG287" i="1"/>
  <c r="AH287" i="1"/>
  <c r="AQ287" i="1"/>
  <c r="L287" i="1" s="1"/>
  <c r="I288" i="1"/>
  <c r="E288" i="1" s="1"/>
  <c r="D288" i="1" s="1"/>
  <c r="M288" i="1"/>
  <c r="O288" i="1"/>
  <c r="AA288" i="1"/>
  <c r="AD288" i="1"/>
  <c r="AE288" i="1"/>
  <c r="AF288" i="1"/>
  <c r="AG288" i="1"/>
  <c r="AH288" i="1"/>
  <c r="AQ288" i="1"/>
  <c r="L288" i="1" s="1"/>
  <c r="I289" i="1"/>
  <c r="E289" i="1" s="1"/>
  <c r="D289" i="1" s="1"/>
  <c r="M289" i="1"/>
  <c r="O289" i="1"/>
  <c r="AA289" i="1"/>
  <c r="AD289" i="1"/>
  <c r="AE289" i="1"/>
  <c r="AF289" i="1"/>
  <c r="AG289" i="1"/>
  <c r="AH289" i="1"/>
  <c r="AQ289" i="1"/>
  <c r="L289" i="1" s="1"/>
  <c r="I290" i="1"/>
  <c r="E290" i="1" s="1"/>
  <c r="D290" i="1" s="1"/>
  <c r="M290" i="1"/>
  <c r="O290" i="1"/>
  <c r="AA290" i="1"/>
  <c r="AD290" i="1"/>
  <c r="AE290" i="1"/>
  <c r="AF290" i="1"/>
  <c r="AG290" i="1"/>
  <c r="AH290" i="1"/>
  <c r="AQ290" i="1"/>
  <c r="L290" i="1" s="1"/>
  <c r="I291" i="1"/>
  <c r="E291" i="1" s="1"/>
  <c r="D291" i="1" s="1"/>
  <c r="M291" i="1"/>
  <c r="O291" i="1"/>
  <c r="AA291" i="1"/>
  <c r="AD291" i="1"/>
  <c r="AE291" i="1"/>
  <c r="AF291" i="1"/>
  <c r="AG291" i="1"/>
  <c r="AH291" i="1"/>
  <c r="AQ291" i="1"/>
  <c r="L291" i="1" s="1"/>
  <c r="I292" i="1"/>
  <c r="E292" i="1" s="1"/>
  <c r="D292" i="1" s="1"/>
  <c r="M292" i="1"/>
  <c r="O292" i="1"/>
  <c r="AA292" i="1"/>
  <c r="AD292" i="1"/>
  <c r="AE292" i="1"/>
  <c r="AF292" i="1"/>
  <c r="AG292" i="1"/>
  <c r="AH292" i="1"/>
  <c r="AQ292" i="1"/>
  <c r="L292" i="1" s="1"/>
  <c r="I293" i="1"/>
  <c r="E293" i="1" s="1"/>
  <c r="D293" i="1" s="1"/>
  <c r="M293" i="1"/>
  <c r="O293" i="1"/>
  <c r="AA293" i="1"/>
  <c r="AD293" i="1"/>
  <c r="AE293" i="1"/>
  <c r="AF293" i="1"/>
  <c r="AG293" i="1"/>
  <c r="AH293" i="1"/>
  <c r="AQ293" i="1"/>
  <c r="L293" i="1" s="1"/>
  <c r="I294" i="1"/>
  <c r="E294" i="1" s="1"/>
  <c r="D294" i="1" s="1"/>
  <c r="M294" i="1"/>
  <c r="O294" i="1"/>
  <c r="AA294" i="1"/>
  <c r="AD294" i="1"/>
  <c r="AE294" i="1"/>
  <c r="AF294" i="1"/>
  <c r="AG294" i="1"/>
  <c r="AH294" i="1"/>
  <c r="AQ294" i="1"/>
  <c r="L294" i="1" s="1"/>
  <c r="I295" i="1"/>
  <c r="E295" i="1" s="1"/>
  <c r="D295" i="1" s="1"/>
  <c r="M295" i="1"/>
  <c r="O295" i="1"/>
  <c r="AA295" i="1"/>
  <c r="AD295" i="1"/>
  <c r="AE295" i="1"/>
  <c r="AF295" i="1"/>
  <c r="AG295" i="1"/>
  <c r="AH295" i="1"/>
  <c r="AQ295" i="1"/>
  <c r="L295" i="1" s="1"/>
  <c r="I296" i="1"/>
  <c r="E296" i="1" s="1"/>
  <c r="D296" i="1" s="1"/>
  <c r="M296" i="1"/>
  <c r="O296" i="1"/>
  <c r="AA296" i="1"/>
  <c r="AD296" i="1"/>
  <c r="AE296" i="1"/>
  <c r="AF296" i="1"/>
  <c r="AG296" i="1"/>
  <c r="AH296" i="1"/>
  <c r="AQ296" i="1"/>
  <c r="L296" i="1" s="1"/>
  <c r="I297" i="1"/>
  <c r="E297" i="1" s="1"/>
  <c r="D297" i="1" s="1"/>
  <c r="M297" i="1"/>
  <c r="O297" i="1"/>
  <c r="AA297" i="1"/>
  <c r="AD297" i="1"/>
  <c r="AE297" i="1"/>
  <c r="AF297" i="1"/>
  <c r="AG297" i="1"/>
  <c r="AH297" i="1"/>
  <c r="AQ297" i="1"/>
  <c r="L297" i="1" s="1"/>
  <c r="I298" i="1"/>
  <c r="E298" i="1" s="1"/>
  <c r="D298" i="1" s="1"/>
  <c r="M298" i="1"/>
  <c r="O298" i="1"/>
  <c r="AA298" i="1"/>
  <c r="AD298" i="1"/>
  <c r="AE298" i="1"/>
  <c r="AF298" i="1"/>
  <c r="AG298" i="1"/>
  <c r="AH298" i="1"/>
  <c r="AQ298" i="1"/>
  <c r="L298" i="1" s="1"/>
  <c r="I299" i="1"/>
  <c r="E299" i="1" s="1"/>
  <c r="D299" i="1" s="1"/>
  <c r="M299" i="1"/>
  <c r="O299" i="1"/>
  <c r="AA299" i="1"/>
  <c r="AD299" i="1"/>
  <c r="AE299" i="1"/>
  <c r="AF299" i="1"/>
  <c r="AG299" i="1"/>
  <c r="AH299" i="1"/>
  <c r="AQ299" i="1"/>
  <c r="L299" i="1" s="1"/>
  <c r="I300" i="1"/>
  <c r="E300" i="1" s="1"/>
  <c r="D300" i="1" s="1"/>
  <c r="M300" i="1"/>
  <c r="O300" i="1"/>
  <c r="AA300" i="1"/>
  <c r="AD300" i="1"/>
  <c r="AE300" i="1"/>
  <c r="AF300" i="1"/>
  <c r="AG300" i="1"/>
  <c r="AH300" i="1"/>
  <c r="AQ300" i="1"/>
  <c r="L300" i="1" s="1"/>
  <c r="I301" i="1"/>
  <c r="E301" i="1" s="1"/>
  <c r="D301" i="1" s="1"/>
  <c r="M301" i="1"/>
  <c r="O301" i="1"/>
  <c r="AA301" i="1"/>
  <c r="AD301" i="1"/>
  <c r="AE301" i="1"/>
  <c r="AF301" i="1"/>
  <c r="AG301" i="1"/>
  <c r="AH301" i="1"/>
  <c r="AQ301" i="1"/>
  <c r="L301" i="1" s="1"/>
  <c r="I302" i="1"/>
  <c r="E302" i="1" s="1"/>
  <c r="D302" i="1" s="1"/>
  <c r="M302" i="1"/>
  <c r="O302" i="1"/>
  <c r="AA302" i="1"/>
  <c r="AD302" i="1"/>
  <c r="AE302" i="1"/>
  <c r="AF302" i="1"/>
  <c r="AG302" i="1"/>
  <c r="AH302" i="1"/>
  <c r="AQ302" i="1"/>
  <c r="L302" i="1" s="1"/>
  <c r="I303" i="1"/>
  <c r="E303" i="1" s="1"/>
  <c r="D303" i="1" s="1"/>
  <c r="M303" i="1"/>
  <c r="O303" i="1"/>
  <c r="AA303" i="1"/>
  <c r="AD303" i="1"/>
  <c r="AE303" i="1"/>
  <c r="AF303" i="1"/>
  <c r="AG303" i="1"/>
  <c r="AH303" i="1"/>
  <c r="AQ303" i="1"/>
  <c r="L303" i="1" s="1"/>
  <c r="I304" i="1"/>
  <c r="E304" i="1" s="1"/>
  <c r="D304" i="1" s="1"/>
  <c r="M304" i="1"/>
  <c r="O304" i="1"/>
  <c r="AA304" i="1"/>
  <c r="AD304" i="1"/>
  <c r="AE304" i="1"/>
  <c r="AF304" i="1"/>
  <c r="AG304" i="1"/>
  <c r="AH304" i="1"/>
  <c r="AQ304" i="1"/>
  <c r="L304" i="1" s="1"/>
  <c r="I305" i="1"/>
  <c r="E305" i="1" s="1"/>
  <c r="D305" i="1" s="1"/>
  <c r="M305" i="1"/>
  <c r="O305" i="1"/>
  <c r="AA305" i="1"/>
  <c r="AD305" i="1"/>
  <c r="AE305" i="1"/>
  <c r="AF305" i="1"/>
  <c r="AG305" i="1"/>
  <c r="AH305" i="1"/>
  <c r="AQ305" i="1"/>
  <c r="L305" i="1" s="1"/>
  <c r="I306" i="1"/>
  <c r="E306" i="1" s="1"/>
  <c r="D306" i="1" s="1"/>
  <c r="M306" i="1"/>
  <c r="O306" i="1"/>
  <c r="AA306" i="1"/>
  <c r="AD306" i="1"/>
  <c r="AE306" i="1"/>
  <c r="AF306" i="1"/>
  <c r="AG306" i="1"/>
  <c r="AH306" i="1"/>
  <c r="AQ306" i="1"/>
  <c r="L306" i="1" s="1"/>
  <c r="I307" i="1"/>
  <c r="E307" i="1" s="1"/>
  <c r="D307" i="1" s="1"/>
  <c r="M307" i="1"/>
  <c r="O307" i="1"/>
  <c r="AA307" i="1"/>
  <c r="AD307" i="1"/>
  <c r="AE307" i="1"/>
  <c r="AF307" i="1"/>
  <c r="AG307" i="1"/>
  <c r="AH307" i="1"/>
  <c r="AQ307" i="1"/>
  <c r="L307" i="1" s="1"/>
  <c r="I308" i="1"/>
  <c r="E308" i="1" s="1"/>
  <c r="D308" i="1" s="1"/>
  <c r="M308" i="1"/>
  <c r="O308" i="1"/>
  <c r="AA308" i="1"/>
  <c r="AD308" i="1"/>
  <c r="AE308" i="1"/>
  <c r="AF308" i="1"/>
  <c r="AG308" i="1"/>
  <c r="AH308" i="1"/>
  <c r="AQ308" i="1"/>
  <c r="L308" i="1" s="1"/>
  <c r="I309" i="1"/>
  <c r="E309" i="1" s="1"/>
  <c r="D309" i="1" s="1"/>
  <c r="M309" i="1"/>
  <c r="O309" i="1"/>
  <c r="AA309" i="1"/>
  <c r="AD309" i="1"/>
  <c r="AE309" i="1"/>
  <c r="AF309" i="1"/>
  <c r="AG309" i="1"/>
  <c r="AH309" i="1"/>
  <c r="AQ309" i="1"/>
  <c r="L309" i="1" s="1"/>
  <c r="I310" i="1"/>
  <c r="E310" i="1" s="1"/>
  <c r="D310" i="1" s="1"/>
  <c r="M310" i="1"/>
  <c r="O310" i="1"/>
  <c r="AA310" i="1"/>
  <c r="AD310" i="1"/>
  <c r="AE310" i="1"/>
  <c r="AF310" i="1"/>
  <c r="AG310" i="1"/>
  <c r="AH310" i="1"/>
  <c r="AQ310" i="1"/>
  <c r="L310" i="1" s="1"/>
  <c r="I311" i="1"/>
  <c r="E311" i="1" s="1"/>
  <c r="D311" i="1" s="1"/>
  <c r="M311" i="1"/>
  <c r="O311" i="1"/>
  <c r="AA311" i="1"/>
  <c r="AD311" i="1"/>
  <c r="AE311" i="1"/>
  <c r="AF311" i="1"/>
  <c r="AG311" i="1"/>
  <c r="AH311" i="1"/>
  <c r="AQ311" i="1"/>
  <c r="L311" i="1" s="1"/>
  <c r="I312" i="1"/>
  <c r="E312" i="1" s="1"/>
  <c r="D312" i="1" s="1"/>
  <c r="M312" i="1"/>
  <c r="O312" i="1"/>
  <c r="AA312" i="1"/>
  <c r="AD312" i="1"/>
  <c r="AE312" i="1"/>
  <c r="AF312" i="1"/>
  <c r="AG312" i="1"/>
  <c r="AH312" i="1"/>
  <c r="AQ312" i="1"/>
  <c r="L312" i="1" s="1"/>
  <c r="I313" i="1"/>
  <c r="E313" i="1" s="1"/>
  <c r="D313" i="1" s="1"/>
  <c r="M313" i="1"/>
  <c r="O313" i="1"/>
  <c r="AA313" i="1"/>
  <c r="AD313" i="1"/>
  <c r="AE313" i="1"/>
  <c r="AF313" i="1"/>
  <c r="AG313" i="1"/>
  <c r="AH313" i="1"/>
  <c r="AQ313" i="1"/>
  <c r="L313" i="1" s="1"/>
  <c r="I314" i="1"/>
  <c r="E314" i="1" s="1"/>
  <c r="D314" i="1" s="1"/>
  <c r="M314" i="1"/>
  <c r="O314" i="1"/>
  <c r="AA314" i="1"/>
  <c r="AD314" i="1"/>
  <c r="AE314" i="1"/>
  <c r="AF314" i="1"/>
  <c r="AG314" i="1"/>
  <c r="AH314" i="1"/>
  <c r="AQ314" i="1"/>
  <c r="L314" i="1" s="1"/>
  <c r="I315" i="1"/>
  <c r="E315" i="1" s="1"/>
  <c r="D315" i="1" s="1"/>
  <c r="M315" i="1"/>
  <c r="O315" i="1"/>
  <c r="AA315" i="1"/>
  <c r="AD315" i="1"/>
  <c r="AE315" i="1"/>
  <c r="AF315" i="1"/>
  <c r="AG315" i="1"/>
  <c r="AH315" i="1"/>
  <c r="AQ315" i="1"/>
  <c r="L315" i="1" s="1"/>
  <c r="I316" i="1"/>
  <c r="E316" i="1" s="1"/>
  <c r="D316" i="1" s="1"/>
  <c r="M316" i="1"/>
  <c r="O316" i="1"/>
  <c r="AA316" i="1"/>
  <c r="AD316" i="1"/>
  <c r="AE316" i="1"/>
  <c r="AF316" i="1"/>
  <c r="AG316" i="1"/>
  <c r="AH316" i="1"/>
  <c r="AQ316" i="1"/>
  <c r="L316" i="1" s="1"/>
  <c r="I317" i="1"/>
  <c r="E317" i="1" s="1"/>
  <c r="D317" i="1" s="1"/>
  <c r="M317" i="1"/>
  <c r="O317" i="1"/>
  <c r="AA317" i="1"/>
  <c r="AD317" i="1"/>
  <c r="AE317" i="1"/>
  <c r="AF317" i="1"/>
  <c r="AG317" i="1"/>
  <c r="AH317" i="1"/>
  <c r="AQ317" i="1"/>
  <c r="L317" i="1" s="1"/>
  <c r="I318" i="1"/>
  <c r="E318" i="1" s="1"/>
  <c r="D318" i="1" s="1"/>
  <c r="M318" i="1"/>
  <c r="O318" i="1"/>
  <c r="AA318" i="1"/>
  <c r="AD318" i="1"/>
  <c r="AE318" i="1"/>
  <c r="AF318" i="1"/>
  <c r="AG318" i="1"/>
  <c r="AH318" i="1"/>
  <c r="AQ318" i="1"/>
  <c r="L318" i="1" s="1"/>
  <c r="I319" i="1"/>
  <c r="E319" i="1" s="1"/>
  <c r="D319" i="1" s="1"/>
  <c r="M319" i="1"/>
  <c r="O319" i="1"/>
  <c r="AA319" i="1"/>
  <c r="AD319" i="1"/>
  <c r="AE319" i="1"/>
  <c r="AF319" i="1"/>
  <c r="AG319" i="1"/>
  <c r="AH319" i="1"/>
  <c r="AQ319" i="1"/>
  <c r="L319" i="1" s="1"/>
  <c r="I320" i="1"/>
  <c r="E320" i="1" s="1"/>
  <c r="D320" i="1" s="1"/>
  <c r="M320" i="1"/>
  <c r="O320" i="1"/>
  <c r="AA320" i="1"/>
  <c r="AD320" i="1"/>
  <c r="AE320" i="1"/>
  <c r="AF320" i="1"/>
  <c r="AG320" i="1"/>
  <c r="AH320" i="1"/>
  <c r="AQ320" i="1"/>
  <c r="L320" i="1" s="1"/>
  <c r="I321" i="1"/>
  <c r="E321" i="1" s="1"/>
  <c r="D321" i="1" s="1"/>
  <c r="M321" i="1"/>
  <c r="O321" i="1"/>
  <c r="AA321" i="1"/>
  <c r="AD321" i="1"/>
  <c r="AE321" i="1"/>
  <c r="AF321" i="1"/>
  <c r="AG321" i="1"/>
  <c r="AH321" i="1"/>
  <c r="AQ321" i="1"/>
  <c r="L321" i="1" s="1"/>
  <c r="I322" i="1"/>
  <c r="E322" i="1" s="1"/>
  <c r="D322" i="1" s="1"/>
  <c r="M322" i="1"/>
  <c r="O322" i="1"/>
  <c r="AA322" i="1"/>
  <c r="AD322" i="1"/>
  <c r="AE322" i="1"/>
  <c r="AF322" i="1"/>
  <c r="AG322" i="1"/>
  <c r="AH322" i="1"/>
  <c r="AQ322" i="1"/>
  <c r="L322" i="1" s="1"/>
  <c r="I323" i="1"/>
  <c r="E323" i="1" s="1"/>
  <c r="D323" i="1" s="1"/>
  <c r="M323" i="1"/>
  <c r="O323" i="1"/>
  <c r="AA323" i="1"/>
  <c r="AD323" i="1"/>
  <c r="AE323" i="1"/>
  <c r="AF323" i="1"/>
  <c r="AG323" i="1"/>
  <c r="AH323" i="1"/>
  <c r="AQ323" i="1"/>
  <c r="L323" i="1" s="1"/>
  <c r="I324" i="1"/>
  <c r="E324" i="1" s="1"/>
  <c r="D324" i="1" s="1"/>
  <c r="M324" i="1"/>
  <c r="O324" i="1"/>
  <c r="AA324" i="1"/>
  <c r="AD324" i="1"/>
  <c r="AE324" i="1"/>
  <c r="AF324" i="1"/>
  <c r="AG324" i="1"/>
  <c r="AH324" i="1"/>
  <c r="AQ324" i="1"/>
  <c r="L324" i="1" s="1"/>
  <c r="I325" i="1"/>
  <c r="E325" i="1" s="1"/>
  <c r="D325" i="1" s="1"/>
  <c r="M325" i="1"/>
  <c r="O325" i="1"/>
  <c r="AA325" i="1"/>
  <c r="AD325" i="1"/>
  <c r="AE325" i="1"/>
  <c r="AF325" i="1"/>
  <c r="AG325" i="1"/>
  <c r="AH325" i="1"/>
  <c r="AQ325" i="1"/>
  <c r="L325" i="1" s="1"/>
  <c r="I326" i="1"/>
  <c r="E326" i="1" s="1"/>
  <c r="D326" i="1" s="1"/>
  <c r="M326" i="1"/>
  <c r="O326" i="1"/>
  <c r="AA326" i="1"/>
  <c r="AD326" i="1"/>
  <c r="AE326" i="1"/>
  <c r="AF326" i="1"/>
  <c r="AG326" i="1"/>
  <c r="AH326" i="1"/>
  <c r="AQ326" i="1"/>
  <c r="L326" i="1" s="1"/>
  <c r="I327" i="1"/>
  <c r="E327" i="1" s="1"/>
  <c r="D327" i="1" s="1"/>
  <c r="M327" i="1"/>
  <c r="O327" i="1"/>
  <c r="AA327" i="1"/>
  <c r="AD327" i="1"/>
  <c r="AE327" i="1"/>
  <c r="AF327" i="1"/>
  <c r="AG327" i="1"/>
  <c r="AH327" i="1"/>
  <c r="AQ327" i="1"/>
  <c r="L327" i="1" s="1"/>
  <c r="I328" i="1"/>
  <c r="E328" i="1" s="1"/>
  <c r="D328" i="1" s="1"/>
  <c r="M328" i="1"/>
  <c r="O328" i="1"/>
  <c r="AA328" i="1"/>
  <c r="AD328" i="1"/>
  <c r="AE328" i="1"/>
  <c r="AF328" i="1"/>
  <c r="AG328" i="1"/>
  <c r="AH328" i="1"/>
  <c r="AQ328" i="1"/>
  <c r="L328" i="1" s="1"/>
  <c r="I329" i="1"/>
  <c r="E329" i="1" s="1"/>
  <c r="D329" i="1" s="1"/>
  <c r="M329" i="1"/>
  <c r="O329" i="1"/>
  <c r="AA329" i="1"/>
  <c r="AD329" i="1"/>
  <c r="AE329" i="1"/>
  <c r="AF329" i="1"/>
  <c r="AG329" i="1"/>
  <c r="AH329" i="1"/>
  <c r="AQ329" i="1"/>
  <c r="L329" i="1" s="1"/>
  <c r="I330" i="1"/>
  <c r="E330" i="1" s="1"/>
  <c r="D330" i="1" s="1"/>
  <c r="M330" i="1"/>
  <c r="O330" i="1"/>
  <c r="AA330" i="1"/>
  <c r="AD330" i="1"/>
  <c r="AE330" i="1"/>
  <c r="AF330" i="1"/>
  <c r="AG330" i="1"/>
  <c r="AH330" i="1"/>
  <c r="AQ330" i="1"/>
  <c r="L330" i="1" s="1"/>
  <c r="I331" i="1"/>
  <c r="E331" i="1" s="1"/>
  <c r="D331" i="1" s="1"/>
  <c r="M331" i="1"/>
  <c r="O331" i="1"/>
  <c r="AA331" i="1"/>
  <c r="AD331" i="1"/>
  <c r="AE331" i="1"/>
  <c r="AF331" i="1"/>
  <c r="AG331" i="1"/>
  <c r="AH331" i="1"/>
  <c r="AQ331" i="1"/>
  <c r="L331" i="1" s="1"/>
  <c r="I332" i="1"/>
  <c r="E332" i="1" s="1"/>
  <c r="D332" i="1" s="1"/>
  <c r="M332" i="1"/>
  <c r="O332" i="1"/>
  <c r="AA332" i="1"/>
  <c r="AD332" i="1"/>
  <c r="AE332" i="1"/>
  <c r="AF332" i="1"/>
  <c r="AG332" i="1"/>
  <c r="AH332" i="1"/>
  <c r="AQ332" i="1"/>
  <c r="L332" i="1" s="1"/>
  <c r="I333" i="1"/>
  <c r="E333" i="1" s="1"/>
  <c r="D333" i="1" s="1"/>
  <c r="M333" i="1"/>
  <c r="O333" i="1"/>
  <c r="AA333" i="1"/>
  <c r="AD333" i="1"/>
  <c r="AE333" i="1"/>
  <c r="AF333" i="1"/>
  <c r="AG333" i="1"/>
  <c r="AH333" i="1"/>
  <c r="AQ333" i="1"/>
  <c r="L333" i="1" s="1"/>
  <c r="I334" i="1"/>
  <c r="E334" i="1" s="1"/>
  <c r="D334" i="1" s="1"/>
  <c r="M334" i="1"/>
  <c r="O334" i="1"/>
  <c r="AA334" i="1"/>
  <c r="AD334" i="1"/>
  <c r="AE334" i="1"/>
  <c r="AF334" i="1"/>
  <c r="AG334" i="1"/>
  <c r="AH334" i="1"/>
  <c r="AQ334" i="1"/>
  <c r="L334" i="1" s="1"/>
  <c r="I335" i="1"/>
  <c r="E335" i="1" s="1"/>
  <c r="D335" i="1" s="1"/>
  <c r="M335" i="1"/>
  <c r="O335" i="1"/>
  <c r="AA335" i="1"/>
  <c r="AD335" i="1"/>
  <c r="AE335" i="1"/>
  <c r="AF335" i="1"/>
  <c r="AG335" i="1"/>
  <c r="AH335" i="1"/>
  <c r="AQ335" i="1"/>
  <c r="L335" i="1" s="1"/>
  <c r="I336" i="1"/>
  <c r="E336" i="1" s="1"/>
  <c r="D336" i="1" s="1"/>
  <c r="M336" i="1"/>
  <c r="O336" i="1"/>
  <c r="AA336" i="1"/>
  <c r="AD336" i="1"/>
  <c r="AE336" i="1"/>
  <c r="AF336" i="1"/>
  <c r="AG336" i="1"/>
  <c r="AH336" i="1"/>
  <c r="AQ336" i="1"/>
  <c r="L336" i="1" s="1"/>
  <c r="I337" i="1"/>
  <c r="E337" i="1" s="1"/>
  <c r="D337" i="1" s="1"/>
  <c r="M337" i="1"/>
  <c r="O337" i="1"/>
  <c r="AA337" i="1"/>
  <c r="AD337" i="1"/>
  <c r="AE337" i="1"/>
  <c r="AF337" i="1"/>
  <c r="AG337" i="1"/>
  <c r="AH337" i="1"/>
  <c r="AQ337" i="1"/>
  <c r="L337" i="1" s="1"/>
  <c r="I338" i="1"/>
  <c r="E338" i="1" s="1"/>
  <c r="D338" i="1" s="1"/>
  <c r="M338" i="1"/>
  <c r="O338" i="1"/>
  <c r="AA338" i="1"/>
  <c r="AD338" i="1"/>
  <c r="AE338" i="1"/>
  <c r="AF338" i="1"/>
  <c r="AG338" i="1"/>
  <c r="AH338" i="1"/>
  <c r="AQ338" i="1"/>
  <c r="L338" i="1" s="1"/>
  <c r="I339" i="1"/>
  <c r="E339" i="1" s="1"/>
  <c r="D339" i="1" s="1"/>
  <c r="M339" i="1"/>
  <c r="O339" i="1"/>
  <c r="AA339" i="1"/>
  <c r="AD339" i="1"/>
  <c r="AE339" i="1"/>
  <c r="AF339" i="1"/>
  <c r="AG339" i="1"/>
  <c r="AH339" i="1"/>
  <c r="AQ339" i="1"/>
  <c r="L339" i="1" s="1"/>
  <c r="I340" i="1"/>
  <c r="E340" i="1" s="1"/>
  <c r="D340" i="1" s="1"/>
  <c r="M340" i="1"/>
  <c r="O340" i="1"/>
  <c r="AA340" i="1"/>
  <c r="AD340" i="1"/>
  <c r="AE340" i="1"/>
  <c r="AF340" i="1"/>
  <c r="AG340" i="1"/>
  <c r="AH340" i="1"/>
  <c r="AQ340" i="1"/>
  <c r="L340" i="1" s="1"/>
  <c r="I341" i="1"/>
  <c r="E341" i="1" s="1"/>
  <c r="D341" i="1" s="1"/>
  <c r="M341" i="1"/>
  <c r="O341" i="1"/>
  <c r="AA341" i="1"/>
  <c r="AD341" i="1"/>
  <c r="AE341" i="1"/>
  <c r="AF341" i="1"/>
  <c r="AG341" i="1"/>
  <c r="AH341" i="1"/>
  <c r="AQ341" i="1"/>
  <c r="L341" i="1" s="1"/>
  <c r="I342" i="1"/>
  <c r="E342" i="1" s="1"/>
  <c r="D342" i="1" s="1"/>
  <c r="M342" i="1"/>
  <c r="O342" i="1"/>
  <c r="AA342" i="1"/>
  <c r="AD342" i="1"/>
  <c r="AE342" i="1"/>
  <c r="AF342" i="1"/>
  <c r="AG342" i="1"/>
  <c r="AH342" i="1"/>
  <c r="AQ342" i="1"/>
  <c r="L342" i="1" s="1"/>
  <c r="I343" i="1"/>
  <c r="E343" i="1" s="1"/>
  <c r="D343" i="1" s="1"/>
  <c r="M343" i="1"/>
  <c r="O343" i="1"/>
  <c r="AA343" i="1"/>
  <c r="AD343" i="1"/>
  <c r="AE343" i="1"/>
  <c r="AF343" i="1"/>
  <c r="AG343" i="1"/>
  <c r="AH343" i="1"/>
  <c r="AQ343" i="1"/>
  <c r="L343" i="1" s="1"/>
  <c r="I344" i="1"/>
  <c r="E344" i="1" s="1"/>
  <c r="D344" i="1" s="1"/>
  <c r="M344" i="1"/>
  <c r="O344" i="1"/>
  <c r="AA344" i="1"/>
  <c r="AD344" i="1"/>
  <c r="AE344" i="1"/>
  <c r="AF344" i="1"/>
  <c r="AG344" i="1"/>
  <c r="AH344" i="1"/>
  <c r="AQ344" i="1"/>
  <c r="L344" i="1" s="1"/>
  <c r="I345" i="1"/>
  <c r="E345" i="1" s="1"/>
  <c r="D345" i="1" s="1"/>
  <c r="M345" i="1"/>
  <c r="O345" i="1"/>
  <c r="AA345" i="1"/>
  <c r="AD345" i="1"/>
  <c r="AE345" i="1"/>
  <c r="AF345" i="1"/>
  <c r="AG345" i="1"/>
  <c r="AH345" i="1"/>
  <c r="AQ345" i="1"/>
  <c r="L345" i="1" s="1"/>
  <c r="I346" i="1"/>
  <c r="E346" i="1" s="1"/>
  <c r="D346" i="1" s="1"/>
  <c r="M346" i="1"/>
  <c r="O346" i="1"/>
  <c r="AA346" i="1"/>
  <c r="AD346" i="1"/>
  <c r="AE346" i="1"/>
  <c r="AF346" i="1"/>
  <c r="AG346" i="1"/>
  <c r="AH346" i="1"/>
  <c r="AQ346" i="1"/>
  <c r="L346" i="1" s="1"/>
  <c r="I347" i="1"/>
  <c r="E347" i="1" s="1"/>
  <c r="D347" i="1" s="1"/>
  <c r="M347" i="1"/>
  <c r="O347" i="1"/>
  <c r="AA347" i="1"/>
  <c r="AD347" i="1"/>
  <c r="AE347" i="1"/>
  <c r="AF347" i="1"/>
  <c r="AG347" i="1"/>
  <c r="AH347" i="1"/>
  <c r="AQ347" i="1"/>
  <c r="L347" i="1" s="1"/>
  <c r="I348" i="1"/>
  <c r="E348" i="1" s="1"/>
  <c r="D348" i="1" s="1"/>
  <c r="M348" i="1"/>
  <c r="O348" i="1"/>
  <c r="AA348" i="1"/>
  <c r="AD348" i="1"/>
  <c r="AE348" i="1"/>
  <c r="AF348" i="1"/>
  <c r="AG348" i="1"/>
  <c r="AH348" i="1"/>
  <c r="AQ348" i="1"/>
  <c r="L348" i="1" s="1"/>
  <c r="I349" i="1"/>
  <c r="E349" i="1" s="1"/>
  <c r="D349" i="1" s="1"/>
  <c r="M349" i="1"/>
  <c r="O349" i="1"/>
  <c r="AA349" i="1"/>
  <c r="AD349" i="1"/>
  <c r="AE349" i="1"/>
  <c r="AF349" i="1"/>
  <c r="AG349" i="1"/>
  <c r="AH349" i="1"/>
  <c r="AQ349" i="1"/>
  <c r="L349" i="1" s="1"/>
  <c r="I350" i="1"/>
  <c r="E350" i="1" s="1"/>
  <c r="D350" i="1" s="1"/>
  <c r="M350" i="1"/>
  <c r="O350" i="1"/>
  <c r="AA350" i="1"/>
  <c r="AD350" i="1"/>
  <c r="AE350" i="1"/>
  <c r="AF350" i="1"/>
  <c r="AG350" i="1"/>
  <c r="AH350" i="1"/>
  <c r="AQ350" i="1"/>
  <c r="L350" i="1" s="1"/>
  <c r="I351" i="1"/>
  <c r="E351" i="1" s="1"/>
  <c r="D351" i="1" s="1"/>
  <c r="M351" i="1"/>
  <c r="O351" i="1"/>
  <c r="AA351" i="1"/>
  <c r="AD351" i="1"/>
  <c r="AE351" i="1"/>
  <c r="AF351" i="1"/>
  <c r="AG351" i="1"/>
  <c r="AH351" i="1"/>
  <c r="AQ351" i="1"/>
  <c r="L351" i="1" s="1"/>
  <c r="I352" i="1"/>
  <c r="E352" i="1" s="1"/>
  <c r="D352" i="1" s="1"/>
  <c r="M352" i="1"/>
  <c r="O352" i="1"/>
  <c r="AA352" i="1"/>
  <c r="AD352" i="1"/>
  <c r="AE352" i="1"/>
  <c r="AF352" i="1"/>
  <c r="AG352" i="1"/>
  <c r="AH352" i="1"/>
  <c r="AQ352" i="1"/>
  <c r="L352" i="1" s="1"/>
  <c r="I353" i="1"/>
  <c r="E353" i="1" s="1"/>
  <c r="D353" i="1" s="1"/>
  <c r="M353" i="1"/>
  <c r="O353" i="1"/>
  <c r="AA353" i="1"/>
  <c r="AD353" i="1"/>
  <c r="AE353" i="1"/>
  <c r="AF353" i="1"/>
  <c r="AG353" i="1"/>
  <c r="AH353" i="1"/>
  <c r="AQ353" i="1"/>
  <c r="L353" i="1" s="1"/>
  <c r="I354" i="1"/>
  <c r="E354" i="1" s="1"/>
  <c r="D354" i="1" s="1"/>
  <c r="M354" i="1"/>
  <c r="O354" i="1"/>
  <c r="AA354" i="1"/>
  <c r="AD354" i="1"/>
  <c r="AE354" i="1"/>
  <c r="AF354" i="1"/>
  <c r="AG354" i="1"/>
  <c r="AH354" i="1"/>
  <c r="AQ354" i="1"/>
  <c r="L354" i="1" s="1"/>
  <c r="I355" i="1"/>
  <c r="E355" i="1" s="1"/>
  <c r="D355" i="1" s="1"/>
  <c r="M355" i="1"/>
  <c r="O355" i="1"/>
  <c r="AA355" i="1"/>
  <c r="AD355" i="1"/>
  <c r="AE355" i="1"/>
  <c r="AF355" i="1"/>
  <c r="AG355" i="1"/>
  <c r="AH355" i="1"/>
  <c r="AQ355" i="1"/>
  <c r="L355" i="1" s="1"/>
  <c r="I356" i="1"/>
  <c r="E356" i="1" s="1"/>
  <c r="D356" i="1" s="1"/>
  <c r="M356" i="1"/>
  <c r="O356" i="1"/>
  <c r="AA356" i="1"/>
  <c r="AD356" i="1"/>
  <c r="AE356" i="1"/>
  <c r="AF356" i="1"/>
  <c r="AG356" i="1"/>
  <c r="AH356" i="1"/>
  <c r="AQ356" i="1"/>
  <c r="L356" i="1" s="1"/>
  <c r="I357" i="1"/>
  <c r="E357" i="1" s="1"/>
  <c r="D357" i="1" s="1"/>
  <c r="M357" i="1"/>
  <c r="O357" i="1"/>
  <c r="AA357" i="1"/>
  <c r="AD357" i="1"/>
  <c r="AE357" i="1"/>
  <c r="AF357" i="1"/>
  <c r="AG357" i="1"/>
  <c r="AH357" i="1"/>
  <c r="AQ357" i="1"/>
  <c r="L357" i="1" s="1"/>
  <c r="I358" i="1"/>
  <c r="E358" i="1" s="1"/>
  <c r="D358" i="1" s="1"/>
  <c r="M358" i="1"/>
  <c r="O358" i="1"/>
  <c r="AA358" i="1"/>
  <c r="AD358" i="1"/>
  <c r="AE358" i="1"/>
  <c r="AF358" i="1"/>
  <c r="AG358" i="1"/>
  <c r="AH358" i="1"/>
  <c r="AQ358" i="1"/>
  <c r="L358" i="1" s="1"/>
  <c r="I359" i="1"/>
  <c r="E359" i="1" s="1"/>
  <c r="D359" i="1" s="1"/>
  <c r="M359" i="1"/>
  <c r="O359" i="1"/>
  <c r="AA359" i="1"/>
  <c r="AD359" i="1"/>
  <c r="AE359" i="1"/>
  <c r="AF359" i="1"/>
  <c r="AG359" i="1"/>
  <c r="AH359" i="1"/>
  <c r="AQ359" i="1"/>
  <c r="L359" i="1" s="1"/>
  <c r="I360" i="1"/>
  <c r="E360" i="1" s="1"/>
  <c r="D360" i="1" s="1"/>
  <c r="M360" i="1"/>
  <c r="O360" i="1"/>
  <c r="AA360" i="1"/>
  <c r="AD360" i="1"/>
  <c r="AE360" i="1"/>
  <c r="AF360" i="1"/>
  <c r="AG360" i="1"/>
  <c r="AH360" i="1"/>
  <c r="AQ360" i="1"/>
  <c r="L360" i="1" s="1"/>
  <c r="I361" i="1"/>
  <c r="E361" i="1" s="1"/>
  <c r="D361" i="1" s="1"/>
  <c r="M361" i="1"/>
  <c r="O361" i="1"/>
  <c r="AA361" i="1"/>
  <c r="AD361" i="1"/>
  <c r="AE361" i="1"/>
  <c r="AF361" i="1"/>
  <c r="AG361" i="1"/>
  <c r="AH361" i="1"/>
  <c r="AQ361" i="1"/>
  <c r="L361" i="1" s="1"/>
  <c r="I362" i="1"/>
  <c r="E362" i="1" s="1"/>
  <c r="D362" i="1" s="1"/>
  <c r="M362" i="1"/>
  <c r="O362" i="1"/>
  <c r="AA362" i="1"/>
  <c r="AD362" i="1"/>
  <c r="AE362" i="1"/>
  <c r="AF362" i="1"/>
  <c r="AG362" i="1"/>
  <c r="AH362" i="1"/>
  <c r="AQ362" i="1"/>
  <c r="L362" i="1" s="1"/>
  <c r="I363" i="1"/>
  <c r="E363" i="1" s="1"/>
  <c r="D363" i="1" s="1"/>
  <c r="M363" i="1"/>
  <c r="O363" i="1"/>
  <c r="AA363" i="1"/>
  <c r="AD363" i="1"/>
  <c r="AE363" i="1"/>
  <c r="AF363" i="1"/>
  <c r="AG363" i="1"/>
  <c r="AH363" i="1"/>
  <c r="AQ363" i="1"/>
  <c r="L363" i="1" s="1"/>
  <c r="I364" i="1"/>
  <c r="E364" i="1" s="1"/>
  <c r="D364" i="1" s="1"/>
  <c r="M364" i="1"/>
  <c r="O364" i="1"/>
  <c r="AA364" i="1"/>
  <c r="AD364" i="1"/>
  <c r="AE364" i="1"/>
  <c r="AF364" i="1"/>
  <c r="AG364" i="1"/>
  <c r="AH364" i="1"/>
  <c r="AQ364" i="1"/>
  <c r="L364" i="1" s="1"/>
  <c r="I365" i="1"/>
  <c r="E365" i="1" s="1"/>
  <c r="D365" i="1" s="1"/>
  <c r="M365" i="1"/>
  <c r="O365" i="1"/>
  <c r="AA365" i="1"/>
  <c r="AD365" i="1"/>
  <c r="AE365" i="1"/>
  <c r="AF365" i="1"/>
  <c r="AG365" i="1"/>
  <c r="AH365" i="1"/>
  <c r="AQ365" i="1"/>
  <c r="L365" i="1" s="1"/>
  <c r="I366" i="1"/>
  <c r="E366" i="1" s="1"/>
  <c r="D366" i="1" s="1"/>
  <c r="M366" i="1"/>
  <c r="O366" i="1"/>
  <c r="AA366" i="1"/>
  <c r="AD366" i="1"/>
  <c r="AE366" i="1"/>
  <c r="AF366" i="1"/>
  <c r="AG366" i="1"/>
  <c r="AH366" i="1"/>
  <c r="AQ366" i="1"/>
  <c r="L366" i="1" s="1"/>
  <c r="I367" i="1"/>
  <c r="E367" i="1" s="1"/>
  <c r="D367" i="1" s="1"/>
  <c r="M367" i="1"/>
  <c r="O367" i="1"/>
  <c r="AA367" i="1"/>
  <c r="AD367" i="1"/>
  <c r="AE367" i="1"/>
  <c r="AF367" i="1"/>
  <c r="AG367" i="1"/>
  <c r="AH367" i="1"/>
  <c r="AQ367" i="1"/>
  <c r="L367" i="1" s="1"/>
  <c r="I368" i="1"/>
  <c r="E368" i="1" s="1"/>
  <c r="D368" i="1" s="1"/>
  <c r="M368" i="1"/>
  <c r="O368" i="1"/>
  <c r="AA368" i="1"/>
  <c r="AD368" i="1"/>
  <c r="AE368" i="1"/>
  <c r="AF368" i="1"/>
  <c r="AG368" i="1"/>
  <c r="AH368" i="1"/>
  <c r="AQ368" i="1"/>
  <c r="L368" i="1" s="1"/>
  <c r="I369" i="1"/>
  <c r="E369" i="1" s="1"/>
  <c r="D369" i="1" s="1"/>
  <c r="M369" i="1"/>
  <c r="O369" i="1"/>
  <c r="AA369" i="1"/>
  <c r="AD369" i="1"/>
  <c r="AE369" i="1"/>
  <c r="AF369" i="1"/>
  <c r="AG369" i="1"/>
  <c r="AH369" i="1"/>
  <c r="AQ369" i="1"/>
  <c r="L369" i="1" s="1"/>
  <c r="I370" i="1"/>
  <c r="E370" i="1" s="1"/>
  <c r="D370" i="1" s="1"/>
  <c r="M370" i="1"/>
  <c r="O370" i="1"/>
  <c r="AA370" i="1"/>
  <c r="AD370" i="1"/>
  <c r="AE370" i="1"/>
  <c r="AF370" i="1"/>
  <c r="AG370" i="1"/>
  <c r="AH370" i="1"/>
  <c r="AQ370" i="1"/>
  <c r="L370" i="1" s="1"/>
  <c r="I371" i="1"/>
  <c r="E371" i="1" s="1"/>
  <c r="D371" i="1" s="1"/>
  <c r="M371" i="1"/>
  <c r="O371" i="1"/>
  <c r="AA371" i="1"/>
  <c r="AD371" i="1"/>
  <c r="AE371" i="1"/>
  <c r="AF371" i="1"/>
  <c r="AG371" i="1"/>
  <c r="AH371" i="1"/>
  <c r="AQ371" i="1"/>
  <c r="L371" i="1" s="1"/>
  <c r="I372" i="1"/>
  <c r="E372" i="1" s="1"/>
  <c r="D372" i="1" s="1"/>
  <c r="M372" i="1"/>
  <c r="O372" i="1"/>
  <c r="AA372" i="1"/>
  <c r="AD372" i="1"/>
  <c r="AE372" i="1"/>
  <c r="AF372" i="1"/>
  <c r="AG372" i="1"/>
  <c r="AH372" i="1"/>
  <c r="AQ372" i="1"/>
  <c r="L372" i="1" s="1"/>
  <c r="I373" i="1"/>
  <c r="E373" i="1" s="1"/>
  <c r="D373" i="1" s="1"/>
  <c r="M373" i="1"/>
  <c r="O373" i="1"/>
  <c r="AA373" i="1"/>
  <c r="AD373" i="1"/>
  <c r="AE373" i="1"/>
  <c r="AF373" i="1"/>
  <c r="AG373" i="1"/>
  <c r="AH373" i="1"/>
  <c r="AQ373" i="1"/>
  <c r="L373" i="1" s="1"/>
  <c r="I374" i="1"/>
  <c r="E374" i="1" s="1"/>
  <c r="D374" i="1" s="1"/>
  <c r="M374" i="1"/>
  <c r="O374" i="1"/>
  <c r="AA374" i="1"/>
  <c r="AD374" i="1"/>
  <c r="AE374" i="1"/>
  <c r="AF374" i="1"/>
  <c r="AG374" i="1"/>
  <c r="AH374" i="1"/>
  <c r="AQ374" i="1"/>
  <c r="L374" i="1" s="1"/>
  <c r="I375" i="1"/>
  <c r="E375" i="1" s="1"/>
  <c r="D375" i="1" s="1"/>
  <c r="M375" i="1"/>
  <c r="O375" i="1"/>
  <c r="AA375" i="1"/>
  <c r="AD375" i="1"/>
  <c r="AE375" i="1"/>
  <c r="AF375" i="1"/>
  <c r="AG375" i="1"/>
  <c r="AH375" i="1"/>
  <c r="AQ375" i="1"/>
  <c r="L375" i="1" s="1"/>
  <c r="I376" i="1"/>
  <c r="E376" i="1" s="1"/>
  <c r="D376" i="1" s="1"/>
  <c r="M376" i="1"/>
  <c r="O376" i="1"/>
  <c r="AA376" i="1"/>
  <c r="AD376" i="1"/>
  <c r="AE376" i="1"/>
  <c r="AF376" i="1"/>
  <c r="AG376" i="1"/>
  <c r="AH376" i="1"/>
  <c r="AQ376" i="1"/>
  <c r="L376" i="1" s="1"/>
  <c r="I377" i="1"/>
  <c r="E377" i="1" s="1"/>
  <c r="D377" i="1" s="1"/>
  <c r="M377" i="1"/>
  <c r="O377" i="1"/>
  <c r="AA377" i="1"/>
  <c r="AD377" i="1"/>
  <c r="AE377" i="1"/>
  <c r="AF377" i="1"/>
  <c r="AG377" i="1"/>
  <c r="AH377" i="1"/>
  <c r="AQ377" i="1"/>
  <c r="L377" i="1" s="1"/>
  <c r="I378" i="1"/>
  <c r="E378" i="1" s="1"/>
  <c r="D378" i="1" s="1"/>
  <c r="M378" i="1"/>
  <c r="O378" i="1"/>
  <c r="AA378" i="1"/>
  <c r="AD378" i="1"/>
  <c r="AE378" i="1"/>
  <c r="AF378" i="1"/>
  <c r="AG378" i="1"/>
  <c r="AH378" i="1"/>
  <c r="AQ378" i="1"/>
  <c r="L378" i="1" s="1"/>
  <c r="I379" i="1"/>
  <c r="E379" i="1" s="1"/>
  <c r="D379" i="1" s="1"/>
  <c r="M379" i="1"/>
  <c r="O379" i="1"/>
  <c r="AA379" i="1"/>
  <c r="AD379" i="1"/>
  <c r="AE379" i="1"/>
  <c r="AF379" i="1"/>
  <c r="AG379" i="1"/>
  <c r="AH379" i="1"/>
  <c r="AQ379" i="1"/>
  <c r="L379" i="1" s="1"/>
  <c r="I380" i="1"/>
  <c r="E380" i="1" s="1"/>
  <c r="D380" i="1" s="1"/>
  <c r="M380" i="1"/>
  <c r="O380" i="1"/>
  <c r="AA380" i="1"/>
  <c r="AD380" i="1"/>
  <c r="AE380" i="1"/>
  <c r="AF380" i="1"/>
  <c r="AG380" i="1"/>
  <c r="AH380" i="1"/>
  <c r="AQ380" i="1"/>
  <c r="L380" i="1" s="1"/>
  <c r="I381" i="1"/>
  <c r="E381" i="1" s="1"/>
  <c r="D381" i="1" s="1"/>
  <c r="M381" i="1"/>
  <c r="O381" i="1"/>
  <c r="AA381" i="1"/>
  <c r="AD381" i="1"/>
  <c r="AE381" i="1"/>
  <c r="AF381" i="1"/>
  <c r="AG381" i="1"/>
  <c r="AH381" i="1"/>
  <c r="AQ381" i="1"/>
  <c r="L381" i="1" s="1"/>
  <c r="I382" i="1"/>
  <c r="E382" i="1" s="1"/>
  <c r="D382" i="1" s="1"/>
  <c r="M382" i="1"/>
  <c r="O382" i="1"/>
  <c r="AA382" i="1"/>
  <c r="AD382" i="1"/>
  <c r="AE382" i="1"/>
  <c r="AF382" i="1"/>
  <c r="AG382" i="1"/>
  <c r="AH382" i="1"/>
  <c r="AQ382" i="1"/>
  <c r="L382" i="1" s="1"/>
  <c r="I383" i="1"/>
  <c r="E383" i="1" s="1"/>
  <c r="D383" i="1" s="1"/>
  <c r="M383" i="1"/>
  <c r="O383" i="1"/>
  <c r="AA383" i="1"/>
  <c r="AD383" i="1"/>
  <c r="AE383" i="1"/>
  <c r="AF383" i="1"/>
  <c r="AG383" i="1"/>
  <c r="AH383" i="1"/>
  <c r="AQ383" i="1"/>
  <c r="L383" i="1" s="1"/>
  <c r="I384" i="1"/>
  <c r="E384" i="1" s="1"/>
  <c r="D384" i="1" s="1"/>
  <c r="M384" i="1"/>
  <c r="O384" i="1"/>
  <c r="AA384" i="1"/>
  <c r="AD384" i="1"/>
  <c r="AE384" i="1"/>
  <c r="AF384" i="1"/>
  <c r="AG384" i="1"/>
  <c r="AH384" i="1"/>
  <c r="AQ384" i="1"/>
  <c r="L384" i="1" s="1"/>
  <c r="I385" i="1"/>
  <c r="E385" i="1" s="1"/>
  <c r="D385" i="1" s="1"/>
  <c r="M385" i="1"/>
  <c r="O385" i="1"/>
  <c r="AA385" i="1"/>
  <c r="AD385" i="1"/>
  <c r="AE385" i="1"/>
  <c r="AF385" i="1"/>
  <c r="AG385" i="1"/>
  <c r="AH385" i="1"/>
  <c r="AQ385" i="1"/>
  <c r="L385" i="1" s="1"/>
  <c r="I386" i="1"/>
  <c r="E386" i="1" s="1"/>
  <c r="D386" i="1" s="1"/>
  <c r="M386" i="1"/>
  <c r="O386" i="1"/>
  <c r="AA386" i="1"/>
  <c r="AD386" i="1"/>
  <c r="AE386" i="1"/>
  <c r="AF386" i="1"/>
  <c r="AG386" i="1"/>
  <c r="AH386" i="1"/>
  <c r="AQ386" i="1"/>
  <c r="L386" i="1" s="1"/>
  <c r="I387" i="1"/>
  <c r="E387" i="1" s="1"/>
  <c r="D387" i="1" s="1"/>
  <c r="M387" i="1"/>
  <c r="O387" i="1"/>
  <c r="AA387" i="1"/>
  <c r="AD387" i="1"/>
  <c r="AE387" i="1"/>
  <c r="AF387" i="1"/>
  <c r="AG387" i="1"/>
  <c r="AH387" i="1"/>
  <c r="AQ387" i="1"/>
  <c r="L387" i="1" s="1"/>
  <c r="I388" i="1"/>
  <c r="E388" i="1" s="1"/>
  <c r="D388" i="1" s="1"/>
  <c r="M388" i="1"/>
  <c r="O388" i="1"/>
  <c r="AA388" i="1"/>
  <c r="AD388" i="1"/>
  <c r="AE388" i="1"/>
  <c r="AF388" i="1"/>
  <c r="AG388" i="1"/>
  <c r="AH388" i="1"/>
  <c r="AQ388" i="1"/>
  <c r="L388" i="1" s="1"/>
  <c r="I389" i="1"/>
  <c r="E389" i="1" s="1"/>
  <c r="D389" i="1" s="1"/>
  <c r="M389" i="1"/>
  <c r="O389" i="1"/>
  <c r="AA389" i="1"/>
  <c r="AD389" i="1"/>
  <c r="AE389" i="1"/>
  <c r="AF389" i="1"/>
  <c r="AG389" i="1"/>
  <c r="AH389" i="1"/>
  <c r="AQ389" i="1"/>
  <c r="L389" i="1" s="1"/>
  <c r="I390" i="1"/>
  <c r="E390" i="1" s="1"/>
  <c r="D390" i="1" s="1"/>
  <c r="M390" i="1"/>
  <c r="O390" i="1"/>
  <c r="AA390" i="1"/>
  <c r="AD390" i="1"/>
  <c r="AE390" i="1"/>
  <c r="AF390" i="1"/>
  <c r="AG390" i="1"/>
  <c r="AH390" i="1"/>
  <c r="AQ390" i="1"/>
  <c r="L390" i="1" s="1"/>
  <c r="I391" i="1"/>
  <c r="E391" i="1" s="1"/>
  <c r="D391" i="1" s="1"/>
  <c r="M391" i="1"/>
  <c r="O391" i="1"/>
  <c r="AA391" i="1"/>
  <c r="AD391" i="1"/>
  <c r="AE391" i="1"/>
  <c r="AF391" i="1"/>
  <c r="AG391" i="1"/>
  <c r="AH391" i="1"/>
  <c r="AQ391" i="1"/>
  <c r="L391" i="1" s="1"/>
  <c r="I392" i="1"/>
  <c r="E392" i="1" s="1"/>
  <c r="D392" i="1" s="1"/>
  <c r="M392" i="1"/>
  <c r="O392" i="1"/>
  <c r="AA392" i="1"/>
  <c r="AD392" i="1"/>
  <c r="AE392" i="1"/>
  <c r="AF392" i="1"/>
  <c r="AG392" i="1"/>
  <c r="AH392" i="1"/>
  <c r="AQ392" i="1"/>
  <c r="L392" i="1" s="1"/>
  <c r="I393" i="1"/>
  <c r="E393" i="1" s="1"/>
  <c r="D393" i="1" s="1"/>
  <c r="M393" i="1"/>
  <c r="O393" i="1"/>
  <c r="AA393" i="1"/>
  <c r="AD393" i="1"/>
  <c r="AE393" i="1"/>
  <c r="AF393" i="1"/>
  <c r="AG393" i="1"/>
  <c r="AH393" i="1"/>
  <c r="AQ393" i="1"/>
  <c r="L393" i="1" s="1"/>
  <c r="I394" i="1"/>
  <c r="E394" i="1" s="1"/>
  <c r="D394" i="1" s="1"/>
  <c r="M394" i="1"/>
  <c r="O394" i="1"/>
  <c r="AA394" i="1"/>
  <c r="AD394" i="1"/>
  <c r="AE394" i="1"/>
  <c r="AF394" i="1"/>
  <c r="AG394" i="1"/>
  <c r="AH394" i="1"/>
  <c r="AQ394" i="1"/>
  <c r="L394" i="1" s="1"/>
  <c r="I395" i="1"/>
  <c r="E395" i="1" s="1"/>
  <c r="D395" i="1" s="1"/>
  <c r="M395" i="1"/>
  <c r="O395" i="1"/>
  <c r="AA395" i="1"/>
  <c r="AD395" i="1"/>
  <c r="AE395" i="1"/>
  <c r="AF395" i="1"/>
  <c r="AG395" i="1"/>
  <c r="AH395" i="1"/>
  <c r="AQ395" i="1"/>
  <c r="L395" i="1" s="1"/>
  <c r="I396" i="1"/>
  <c r="E396" i="1" s="1"/>
  <c r="D396" i="1" s="1"/>
  <c r="M396" i="1"/>
  <c r="O396" i="1"/>
  <c r="AA396" i="1"/>
  <c r="AD396" i="1"/>
  <c r="AE396" i="1"/>
  <c r="AF396" i="1"/>
  <c r="AG396" i="1"/>
  <c r="AH396" i="1"/>
  <c r="AQ396" i="1"/>
  <c r="L396" i="1" s="1"/>
  <c r="I397" i="1"/>
  <c r="E397" i="1" s="1"/>
  <c r="D397" i="1" s="1"/>
  <c r="M397" i="1"/>
  <c r="O397" i="1"/>
  <c r="AA397" i="1"/>
  <c r="AD397" i="1"/>
  <c r="AE397" i="1"/>
  <c r="AF397" i="1"/>
  <c r="AG397" i="1"/>
  <c r="AH397" i="1"/>
  <c r="AQ397" i="1"/>
  <c r="L397" i="1" s="1"/>
  <c r="I398" i="1"/>
  <c r="E398" i="1" s="1"/>
  <c r="D398" i="1" s="1"/>
  <c r="M398" i="1"/>
  <c r="O398" i="1"/>
  <c r="AA398" i="1"/>
  <c r="AD398" i="1"/>
  <c r="AE398" i="1"/>
  <c r="AF398" i="1"/>
  <c r="AG398" i="1"/>
  <c r="AH398" i="1"/>
  <c r="AQ398" i="1"/>
  <c r="L398" i="1" s="1"/>
  <c r="I399" i="1"/>
  <c r="E399" i="1" s="1"/>
  <c r="D399" i="1" s="1"/>
  <c r="M399" i="1"/>
  <c r="O399" i="1"/>
  <c r="AA399" i="1"/>
  <c r="AD399" i="1"/>
  <c r="AE399" i="1"/>
  <c r="AF399" i="1"/>
  <c r="AG399" i="1"/>
  <c r="AH399" i="1"/>
  <c r="AQ399" i="1"/>
  <c r="L399" i="1" s="1"/>
  <c r="I400" i="1"/>
  <c r="E400" i="1" s="1"/>
  <c r="D400" i="1" s="1"/>
  <c r="M400" i="1"/>
  <c r="O400" i="1"/>
  <c r="AA400" i="1"/>
  <c r="AD400" i="1"/>
  <c r="AE400" i="1"/>
  <c r="AF400" i="1"/>
  <c r="AG400" i="1"/>
  <c r="AH400" i="1"/>
  <c r="AQ400" i="1"/>
  <c r="L400" i="1" s="1"/>
  <c r="I401" i="1"/>
  <c r="E401" i="1" s="1"/>
  <c r="D401" i="1" s="1"/>
  <c r="M401" i="1"/>
  <c r="O401" i="1"/>
  <c r="AA401" i="1"/>
  <c r="AD401" i="1"/>
  <c r="AE401" i="1"/>
  <c r="AF401" i="1"/>
  <c r="AG401" i="1"/>
  <c r="AH401" i="1"/>
  <c r="AQ401" i="1"/>
  <c r="L401" i="1" s="1"/>
  <c r="I402" i="1"/>
  <c r="E402" i="1" s="1"/>
  <c r="D402" i="1" s="1"/>
  <c r="M402" i="1"/>
  <c r="O402" i="1"/>
  <c r="AA402" i="1"/>
  <c r="AD402" i="1"/>
  <c r="AE402" i="1"/>
  <c r="AF402" i="1"/>
  <c r="AG402" i="1"/>
  <c r="AH402" i="1"/>
  <c r="AQ402" i="1"/>
  <c r="L402" i="1" s="1"/>
  <c r="I403" i="1"/>
  <c r="E403" i="1" s="1"/>
  <c r="D403" i="1" s="1"/>
  <c r="M403" i="1"/>
  <c r="O403" i="1"/>
  <c r="AA403" i="1"/>
  <c r="AD403" i="1"/>
  <c r="AE403" i="1"/>
  <c r="AF403" i="1"/>
  <c r="AG403" i="1"/>
  <c r="AH403" i="1"/>
  <c r="AQ403" i="1"/>
  <c r="L403" i="1" s="1"/>
  <c r="I404" i="1"/>
  <c r="E404" i="1" s="1"/>
  <c r="D404" i="1" s="1"/>
  <c r="M404" i="1"/>
  <c r="O404" i="1"/>
  <c r="AA404" i="1"/>
  <c r="AD404" i="1"/>
  <c r="AE404" i="1"/>
  <c r="AF404" i="1"/>
  <c r="AG404" i="1"/>
  <c r="AH404" i="1"/>
  <c r="AQ404" i="1"/>
  <c r="L404" i="1" s="1"/>
  <c r="I405" i="1"/>
  <c r="E405" i="1" s="1"/>
  <c r="D405" i="1" s="1"/>
  <c r="M405" i="1"/>
  <c r="O405" i="1"/>
  <c r="AA405" i="1"/>
  <c r="AD405" i="1"/>
  <c r="AE405" i="1"/>
  <c r="AF405" i="1"/>
  <c r="AG405" i="1"/>
  <c r="AH405" i="1"/>
  <c r="AQ405" i="1"/>
  <c r="L405" i="1" s="1"/>
  <c r="I406" i="1"/>
  <c r="E406" i="1" s="1"/>
  <c r="D406" i="1" s="1"/>
  <c r="M406" i="1"/>
  <c r="O406" i="1"/>
  <c r="AA406" i="1"/>
  <c r="AD406" i="1"/>
  <c r="AE406" i="1"/>
  <c r="AF406" i="1"/>
  <c r="AG406" i="1"/>
  <c r="AH406" i="1"/>
  <c r="AQ406" i="1"/>
  <c r="L406" i="1" s="1"/>
  <c r="I407" i="1"/>
  <c r="E407" i="1" s="1"/>
  <c r="D407" i="1" s="1"/>
  <c r="M407" i="1"/>
  <c r="O407" i="1"/>
  <c r="AA407" i="1"/>
  <c r="AD407" i="1"/>
  <c r="AE407" i="1"/>
  <c r="AF407" i="1"/>
  <c r="AG407" i="1"/>
  <c r="AH407" i="1"/>
  <c r="AQ407" i="1"/>
  <c r="L407" i="1" s="1"/>
  <c r="I408" i="1"/>
  <c r="E408" i="1" s="1"/>
  <c r="D408" i="1" s="1"/>
  <c r="M408" i="1"/>
  <c r="O408" i="1"/>
  <c r="AA408" i="1"/>
  <c r="AD408" i="1"/>
  <c r="AE408" i="1"/>
  <c r="AF408" i="1"/>
  <c r="AG408" i="1"/>
  <c r="AH408" i="1"/>
  <c r="AQ408" i="1"/>
  <c r="L408" i="1" s="1"/>
  <c r="I409" i="1"/>
  <c r="E409" i="1" s="1"/>
  <c r="D409" i="1" s="1"/>
  <c r="M409" i="1"/>
  <c r="O409" i="1"/>
  <c r="AA409" i="1"/>
  <c r="AD409" i="1"/>
  <c r="AE409" i="1"/>
  <c r="AF409" i="1"/>
  <c r="AG409" i="1"/>
  <c r="AH409" i="1"/>
  <c r="AQ409" i="1"/>
  <c r="L409" i="1" s="1"/>
  <c r="I410" i="1"/>
  <c r="E410" i="1" s="1"/>
  <c r="D410" i="1" s="1"/>
  <c r="M410" i="1"/>
  <c r="O410" i="1"/>
  <c r="AA410" i="1"/>
  <c r="AD410" i="1"/>
  <c r="AE410" i="1"/>
  <c r="AF410" i="1"/>
  <c r="AG410" i="1"/>
  <c r="AH410" i="1"/>
  <c r="AQ410" i="1"/>
  <c r="L410" i="1" s="1"/>
  <c r="I411" i="1"/>
  <c r="E411" i="1" s="1"/>
  <c r="D411" i="1" s="1"/>
  <c r="M411" i="1"/>
  <c r="O411" i="1"/>
  <c r="AA411" i="1"/>
  <c r="AD411" i="1"/>
  <c r="AE411" i="1"/>
  <c r="AF411" i="1"/>
  <c r="AG411" i="1"/>
  <c r="AH411" i="1"/>
  <c r="AQ411" i="1"/>
  <c r="L411" i="1" s="1"/>
  <c r="I412" i="1"/>
  <c r="E412" i="1" s="1"/>
  <c r="D412" i="1" s="1"/>
  <c r="M412" i="1"/>
  <c r="O412" i="1"/>
  <c r="AA412" i="1"/>
  <c r="AD412" i="1"/>
  <c r="AE412" i="1"/>
  <c r="AF412" i="1"/>
  <c r="AG412" i="1"/>
  <c r="AH412" i="1"/>
  <c r="AQ412" i="1"/>
  <c r="L412" i="1" s="1"/>
  <c r="I413" i="1"/>
  <c r="E413" i="1" s="1"/>
  <c r="D413" i="1" s="1"/>
  <c r="M413" i="1"/>
  <c r="O413" i="1"/>
  <c r="AA413" i="1"/>
  <c r="AD413" i="1"/>
  <c r="AE413" i="1"/>
  <c r="AF413" i="1"/>
  <c r="AG413" i="1"/>
  <c r="AH413" i="1"/>
  <c r="AQ413" i="1"/>
  <c r="L413" i="1" s="1"/>
  <c r="I414" i="1"/>
  <c r="E414" i="1" s="1"/>
  <c r="D414" i="1" s="1"/>
  <c r="M414" i="1"/>
  <c r="O414" i="1"/>
  <c r="AA414" i="1"/>
  <c r="AD414" i="1"/>
  <c r="AE414" i="1"/>
  <c r="AF414" i="1"/>
  <c r="AG414" i="1"/>
  <c r="AH414" i="1"/>
  <c r="AQ414" i="1"/>
  <c r="L414" i="1" s="1"/>
  <c r="I415" i="1"/>
  <c r="E415" i="1" s="1"/>
  <c r="D415" i="1" s="1"/>
  <c r="M415" i="1"/>
  <c r="O415" i="1"/>
  <c r="AA415" i="1"/>
  <c r="AD415" i="1"/>
  <c r="AE415" i="1"/>
  <c r="AF415" i="1"/>
  <c r="AG415" i="1"/>
  <c r="AH415" i="1"/>
  <c r="AQ415" i="1"/>
  <c r="L415" i="1" s="1"/>
  <c r="I416" i="1"/>
  <c r="E416" i="1" s="1"/>
  <c r="D416" i="1" s="1"/>
  <c r="M416" i="1"/>
  <c r="O416" i="1"/>
  <c r="AA416" i="1"/>
  <c r="AD416" i="1"/>
  <c r="AE416" i="1"/>
  <c r="AF416" i="1"/>
  <c r="AG416" i="1"/>
  <c r="AH416" i="1"/>
  <c r="AQ416" i="1"/>
  <c r="L416" i="1" s="1"/>
  <c r="I417" i="1"/>
  <c r="E417" i="1" s="1"/>
  <c r="D417" i="1" s="1"/>
  <c r="M417" i="1"/>
  <c r="O417" i="1"/>
  <c r="AA417" i="1"/>
  <c r="AD417" i="1"/>
  <c r="AE417" i="1"/>
  <c r="AF417" i="1"/>
  <c r="AG417" i="1"/>
  <c r="AH417" i="1"/>
  <c r="AQ417" i="1"/>
  <c r="L417" i="1" s="1"/>
  <c r="I418" i="1"/>
  <c r="E418" i="1" s="1"/>
  <c r="D418" i="1" s="1"/>
  <c r="M418" i="1"/>
  <c r="O418" i="1"/>
  <c r="AA418" i="1"/>
  <c r="AD418" i="1"/>
  <c r="AE418" i="1"/>
  <c r="AF418" i="1"/>
  <c r="AG418" i="1"/>
  <c r="AH418" i="1"/>
  <c r="AQ418" i="1"/>
  <c r="L418" i="1" s="1"/>
  <c r="I419" i="1"/>
  <c r="E419" i="1" s="1"/>
  <c r="D419" i="1" s="1"/>
  <c r="M419" i="1"/>
  <c r="O419" i="1"/>
  <c r="AA419" i="1"/>
  <c r="AD419" i="1"/>
  <c r="AE419" i="1"/>
  <c r="AF419" i="1"/>
  <c r="AG419" i="1"/>
  <c r="AH419" i="1"/>
  <c r="AQ419" i="1"/>
  <c r="L419" i="1" s="1"/>
  <c r="I420" i="1"/>
  <c r="E420" i="1" s="1"/>
  <c r="D420" i="1" s="1"/>
  <c r="M420" i="1"/>
  <c r="O420" i="1"/>
  <c r="AA420" i="1"/>
  <c r="AD420" i="1"/>
  <c r="AE420" i="1"/>
  <c r="AF420" i="1"/>
  <c r="AG420" i="1"/>
  <c r="AH420" i="1"/>
  <c r="AQ420" i="1"/>
  <c r="L420" i="1" s="1"/>
  <c r="I421" i="1"/>
  <c r="E421" i="1" s="1"/>
  <c r="D421" i="1" s="1"/>
  <c r="M421" i="1"/>
  <c r="O421" i="1"/>
  <c r="AA421" i="1"/>
  <c r="AD421" i="1"/>
  <c r="AE421" i="1"/>
  <c r="AF421" i="1"/>
  <c r="AG421" i="1"/>
  <c r="AH421" i="1"/>
  <c r="AQ421" i="1"/>
  <c r="L421" i="1" s="1"/>
  <c r="I422" i="1"/>
  <c r="E422" i="1" s="1"/>
  <c r="D422" i="1" s="1"/>
  <c r="M422" i="1"/>
  <c r="O422" i="1"/>
  <c r="AA422" i="1"/>
  <c r="AD422" i="1"/>
  <c r="AE422" i="1"/>
  <c r="AF422" i="1"/>
  <c r="AG422" i="1"/>
  <c r="AH422" i="1"/>
  <c r="AQ422" i="1"/>
  <c r="L422" i="1" s="1"/>
  <c r="I423" i="1"/>
  <c r="E423" i="1" s="1"/>
  <c r="D423" i="1" s="1"/>
  <c r="M423" i="1"/>
  <c r="O423" i="1"/>
  <c r="AA423" i="1"/>
  <c r="AD423" i="1"/>
  <c r="AE423" i="1"/>
  <c r="AF423" i="1"/>
  <c r="AG423" i="1"/>
  <c r="AH423" i="1"/>
  <c r="AQ423" i="1"/>
  <c r="L423" i="1" s="1"/>
  <c r="I424" i="1"/>
  <c r="E424" i="1" s="1"/>
  <c r="D424" i="1" s="1"/>
  <c r="M424" i="1"/>
  <c r="O424" i="1"/>
  <c r="AA424" i="1"/>
  <c r="AD424" i="1"/>
  <c r="AE424" i="1"/>
  <c r="AF424" i="1"/>
  <c r="AG424" i="1"/>
  <c r="AH424" i="1"/>
  <c r="AQ424" i="1"/>
  <c r="L424" i="1" s="1"/>
  <c r="I425" i="1"/>
  <c r="E425" i="1" s="1"/>
  <c r="D425" i="1" s="1"/>
  <c r="M425" i="1"/>
  <c r="O425" i="1"/>
  <c r="AA425" i="1"/>
  <c r="AD425" i="1"/>
  <c r="AE425" i="1"/>
  <c r="AF425" i="1"/>
  <c r="AG425" i="1"/>
  <c r="AH425" i="1"/>
  <c r="AQ425" i="1"/>
  <c r="L425" i="1" s="1"/>
  <c r="I426" i="1"/>
  <c r="E426" i="1" s="1"/>
  <c r="D426" i="1" s="1"/>
  <c r="M426" i="1"/>
  <c r="O426" i="1"/>
  <c r="AA426" i="1"/>
  <c r="AD426" i="1"/>
  <c r="AE426" i="1"/>
  <c r="AF426" i="1"/>
  <c r="AG426" i="1"/>
  <c r="AH426" i="1"/>
  <c r="AQ426" i="1"/>
  <c r="L426" i="1" s="1"/>
  <c r="I427" i="1"/>
  <c r="E427" i="1" s="1"/>
  <c r="D427" i="1" s="1"/>
  <c r="M427" i="1"/>
  <c r="O427" i="1"/>
  <c r="AA427" i="1"/>
  <c r="AD427" i="1"/>
  <c r="AE427" i="1"/>
  <c r="AF427" i="1"/>
  <c r="AG427" i="1"/>
  <c r="AH427" i="1"/>
  <c r="AQ427" i="1"/>
  <c r="L427" i="1" s="1"/>
  <c r="I428" i="1"/>
  <c r="E428" i="1" s="1"/>
  <c r="D428" i="1" s="1"/>
  <c r="M428" i="1"/>
  <c r="O428" i="1"/>
  <c r="AA428" i="1"/>
  <c r="AD428" i="1"/>
  <c r="AE428" i="1"/>
  <c r="AF428" i="1"/>
  <c r="AG428" i="1"/>
  <c r="AH428" i="1"/>
  <c r="AQ428" i="1"/>
  <c r="L428" i="1" s="1"/>
  <c r="I429" i="1"/>
  <c r="E429" i="1" s="1"/>
  <c r="D429" i="1" s="1"/>
  <c r="M429" i="1"/>
  <c r="O429" i="1"/>
  <c r="AA429" i="1"/>
  <c r="AD429" i="1"/>
  <c r="AE429" i="1"/>
  <c r="AF429" i="1"/>
  <c r="AG429" i="1"/>
  <c r="AH429" i="1"/>
  <c r="AQ429" i="1"/>
  <c r="L429" i="1" s="1"/>
  <c r="I430" i="1"/>
  <c r="E430" i="1" s="1"/>
  <c r="D430" i="1" s="1"/>
  <c r="M430" i="1"/>
  <c r="O430" i="1"/>
  <c r="AA430" i="1"/>
  <c r="AD430" i="1"/>
  <c r="AE430" i="1"/>
  <c r="AF430" i="1"/>
  <c r="AG430" i="1"/>
  <c r="AH430" i="1"/>
  <c r="AQ430" i="1"/>
  <c r="L430" i="1" s="1"/>
  <c r="I431" i="1"/>
  <c r="E431" i="1" s="1"/>
  <c r="D431" i="1" s="1"/>
  <c r="M431" i="1"/>
  <c r="O431" i="1"/>
  <c r="AA431" i="1"/>
  <c r="AD431" i="1"/>
  <c r="AE431" i="1"/>
  <c r="AF431" i="1"/>
  <c r="AG431" i="1"/>
  <c r="AH431" i="1"/>
  <c r="AQ431" i="1"/>
  <c r="L431" i="1" s="1"/>
  <c r="I432" i="1"/>
  <c r="E432" i="1" s="1"/>
  <c r="D432" i="1" s="1"/>
  <c r="M432" i="1"/>
  <c r="O432" i="1"/>
  <c r="AA432" i="1"/>
  <c r="AD432" i="1"/>
  <c r="AE432" i="1"/>
  <c r="AF432" i="1"/>
  <c r="AG432" i="1"/>
  <c r="AH432" i="1"/>
  <c r="AQ432" i="1"/>
  <c r="L432" i="1" s="1"/>
  <c r="I433" i="1"/>
  <c r="E433" i="1" s="1"/>
  <c r="D433" i="1" s="1"/>
  <c r="M433" i="1"/>
  <c r="O433" i="1"/>
  <c r="AA433" i="1"/>
  <c r="AD433" i="1"/>
  <c r="AE433" i="1"/>
  <c r="AF433" i="1"/>
  <c r="AG433" i="1"/>
  <c r="AH433" i="1"/>
  <c r="AQ433" i="1"/>
  <c r="L433" i="1" s="1"/>
  <c r="I434" i="1"/>
  <c r="E434" i="1" s="1"/>
  <c r="D434" i="1" s="1"/>
  <c r="M434" i="1"/>
  <c r="O434" i="1"/>
  <c r="AA434" i="1"/>
  <c r="AD434" i="1"/>
  <c r="AE434" i="1"/>
  <c r="AF434" i="1"/>
  <c r="AG434" i="1"/>
  <c r="AH434" i="1"/>
  <c r="AQ434" i="1"/>
  <c r="L434" i="1" s="1"/>
  <c r="I435" i="1"/>
  <c r="E435" i="1" s="1"/>
  <c r="D435" i="1" s="1"/>
  <c r="M435" i="1"/>
  <c r="O435" i="1"/>
  <c r="AA435" i="1"/>
  <c r="AD435" i="1"/>
  <c r="AE435" i="1"/>
  <c r="AF435" i="1"/>
  <c r="AG435" i="1"/>
  <c r="AH435" i="1"/>
  <c r="AQ435" i="1"/>
  <c r="L435" i="1" s="1"/>
  <c r="I436" i="1"/>
  <c r="E436" i="1" s="1"/>
  <c r="D436" i="1" s="1"/>
  <c r="M436" i="1"/>
  <c r="O436" i="1"/>
  <c r="AA436" i="1"/>
  <c r="AD436" i="1"/>
  <c r="AE436" i="1"/>
  <c r="AF436" i="1"/>
  <c r="AG436" i="1"/>
  <c r="AH436" i="1"/>
  <c r="AQ436" i="1"/>
  <c r="L436" i="1" s="1"/>
  <c r="I437" i="1"/>
  <c r="E437" i="1" s="1"/>
  <c r="D437" i="1" s="1"/>
  <c r="M437" i="1"/>
  <c r="O437" i="1"/>
  <c r="AA437" i="1"/>
  <c r="AD437" i="1"/>
  <c r="AE437" i="1"/>
  <c r="AF437" i="1"/>
  <c r="AG437" i="1"/>
  <c r="AH437" i="1"/>
  <c r="AQ437" i="1"/>
  <c r="L437" i="1" s="1"/>
  <c r="I438" i="1"/>
  <c r="E438" i="1" s="1"/>
  <c r="D438" i="1" s="1"/>
  <c r="M438" i="1"/>
  <c r="O438" i="1"/>
  <c r="AA438" i="1"/>
  <c r="AD438" i="1"/>
  <c r="AE438" i="1"/>
  <c r="AF438" i="1"/>
  <c r="AG438" i="1"/>
  <c r="AH438" i="1"/>
  <c r="AQ438" i="1"/>
  <c r="L438" i="1" s="1"/>
  <c r="I439" i="1"/>
  <c r="E439" i="1" s="1"/>
  <c r="D439" i="1" s="1"/>
  <c r="M439" i="1"/>
  <c r="O439" i="1"/>
  <c r="AA439" i="1"/>
  <c r="AD439" i="1"/>
  <c r="AE439" i="1"/>
  <c r="AF439" i="1"/>
  <c r="AG439" i="1"/>
  <c r="AH439" i="1"/>
  <c r="AQ439" i="1"/>
  <c r="L439" i="1" s="1"/>
  <c r="I440" i="1"/>
  <c r="E440" i="1" s="1"/>
  <c r="D440" i="1" s="1"/>
  <c r="M440" i="1"/>
  <c r="O440" i="1"/>
  <c r="AA440" i="1"/>
  <c r="AD440" i="1"/>
  <c r="AE440" i="1"/>
  <c r="AF440" i="1"/>
  <c r="AG440" i="1"/>
  <c r="AH440" i="1"/>
  <c r="AQ440" i="1"/>
  <c r="L440" i="1" s="1"/>
  <c r="I441" i="1"/>
  <c r="E441" i="1" s="1"/>
  <c r="D441" i="1" s="1"/>
  <c r="M441" i="1"/>
  <c r="O441" i="1"/>
  <c r="AA441" i="1"/>
  <c r="AD441" i="1"/>
  <c r="AE441" i="1"/>
  <c r="AF441" i="1"/>
  <c r="AG441" i="1"/>
  <c r="AH441" i="1"/>
  <c r="AQ441" i="1"/>
  <c r="L441" i="1" s="1"/>
  <c r="I442" i="1"/>
  <c r="E442" i="1" s="1"/>
  <c r="D442" i="1" s="1"/>
  <c r="M442" i="1"/>
  <c r="O442" i="1"/>
  <c r="AA442" i="1"/>
  <c r="AD442" i="1"/>
  <c r="AE442" i="1"/>
  <c r="AF442" i="1"/>
  <c r="AG442" i="1"/>
  <c r="AH442" i="1"/>
  <c r="AQ442" i="1"/>
  <c r="L442" i="1" s="1"/>
  <c r="I443" i="1"/>
  <c r="E443" i="1" s="1"/>
  <c r="D443" i="1" s="1"/>
  <c r="M443" i="1"/>
  <c r="O443" i="1"/>
  <c r="AA443" i="1"/>
  <c r="AD443" i="1"/>
  <c r="AE443" i="1"/>
  <c r="AF443" i="1"/>
  <c r="AG443" i="1"/>
  <c r="AH443" i="1"/>
  <c r="AQ443" i="1"/>
  <c r="L443" i="1" s="1"/>
  <c r="I444" i="1"/>
  <c r="E444" i="1" s="1"/>
  <c r="D444" i="1" s="1"/>
  <c r="M444" i="1"/>
  <c r="O444" i="1"/>
  <c r="AA444" i="1"/>
  <c r="AD444" i="1"/>
  <c r="AE444" i="1"/>
  <c r="AF444" i="1"/>
  <c r="AG444" i="1"/>
  <c r="AH444" i="1"/>
  <c r="AQ444" i="1"/>
  <c r="L444" i="1" s="1"/>
  <c r="I445" i="1"/>
  <c r="E445" i="1" s="1"/>
  <c r="D445" i="1" s="1"/>
  <c r="M445" i="1"/>
  <c r="O445" i="1"/>
  <c r="AA445" i="1"/>
  <c r="AD445" i="1"/>
  <c r="AE445" i="1"/>
  <c r="AF445" i="1"/>
  <c r="AG445" i="1"/>
  <c r="AH445" i="1"/>
  <c r="AQ445" i="1"/>
  <c r="L445" i="1" s="1"/>
  <c r="I446" i="1"/>
  <c r="E446" i="1" s="1"/>
  <c r="D446" i="1" s="1"/>
  <c r="M446" i="1"/>
  <c r="O446" i="1"/>
  <c r="AA446" i="1"/>
  <c r="AD446" i="1"/>
  <c r="AE446" i="1"/>
  <c r="AF446" i="1"/>
  <c r="AG446" i="1"/>
  <c r="AH446" i="1"/>
  <c r="AQ446" i="1"/>
  <c r="L446" i="1" s="1"/>
  <c r="I447" i="1"/>
  <c r="E447" i="1" s="1"/>
  <c r="D447" i="1" s="1"/>
  <c r="M447" i="1"/>
  <c r="O447" i="1"/>
  <c r="AA447" i="1"/>
  <c r="AD447" i="1"/>
  <c r="AE447" i="1"/>
  <c r="AF447" i="1"/>
  <c r="AG447" i="1"/>
  <c r="AH447" i="1"/>
  <c r="AQ447" i="1"/>
  <c r="L447" i="1" s="1"/>
  <c r="I448" i="1"/>
  <c r="E448" i="1" s="1"/>
  <c r="D448" i="1" s="1"/>
  <c r="M448" i="1"/>
  <c r="O448" i="1"/>
  <c r="AA448" i="1"/>
  <c r="AD448" i="1"/>
  <c r="AE448" i="1"/>
  <c r="AF448" i="1"/>
  <c r="AG448" i="1"/>
  <c r="AH448" i="1"/>
  <c r="AQ448" i="1"/>
  <c r="L448" i="1" s="1"/>
  <c r="I449" i="1"/>
  <c r="E449" i="1" s="1"/>
  <c r="D449" i="1" s="1"/>
  <c r="M449" i="1"/>
  <c r="O449" i="1"/>
  <c r="AA449" i="1"/>
  <c r="AD449" i="1"/>
  <c r="AE449" i="1"/>
  <c r="AF449" i="1"/>
  <c r="AG449" i="1"/>
  <c r="AH449" i="1"/>
  <c r="AQ449" i="1"/>
  <c r="L449" i="1" s="1"/>
  <c r="I450" i="1"/>
  <c r="E450" i="1" s="1"/>
  <c r="D450" i="1" s="1"/>
  <c r="M450" i="1"/>
  <c r="O450" i="1"/>
  <c r="AA450" i="1"/>
  <c r="AD450" i="1"/>
  <c r="AE450" i="1"/>
  <c r="AF450" i="1"/>
  <c r="AG450" i="1"/>
  <c r="AH450" i="1"/>
  <c r="AQ450" i="1"/>
  <c r="L450" i="1" s="1"/>
  <c r="I451" i="1"/>
  <c r="E451" i="1" s="1"/>
  <c r="D451" i="1" s="1"/>
  <c r="M451" i="1"/>
  <c r="O451" i="1"/>
  <c r="AA451" i="1"/>
  <c r="AD451" i="1"/>
  <c r="AE451" i="1"/>
  <c r="AF451" i="1"/>
  <c r="AG451" i="1"/>
  <c r="AH451" i="1"/>
  <c r="AQ451" i="1"/>
  <c r="L451" i="1" s="1"/>
  <c r="I452" i="1"/>
  <c r="E452" i="1" s="1"/>
  <c r="D452" i="1" s="1"/>
  <c r="M452" i="1"/>
  <c r="O452" i="1"/>
  <c r="AA452" i="1"/>
  <c r="AD452" i="1"/>
  <c r="AE452" i="1"/>
  <c r="AF452" i="1"/>
  <c r="AG452" i="1"/>
  <c r="AH452" i="1"/>
  <c r="AQ452" i="1"/>
  <c r="L452" i="1" s="1"/>
  <c r="I453" i="1"/>
  <c r="E453" i="1" s="1"/>
  <c r="D453" i="1" s="1"/>
  <c r="M453" i="1"/>
  <c r="O453" i="1"/>
  <c r="AA453" i="1"/>
  <c r="AD453" i="1"/>
  <c r="AE453" i="1"/>
  <c r="AF453" i="1"/>
  <c r="AG453" i="1"/>
  <c r="AH453" i="1"/>
  <c r="AQ453" i="1"/>
  <c r="L453" i="1" s="1"/>
  <c r="I454" i="1"/>
  <c r="E454" i="1" s="1"/>
  <c r="D454" i="1" s="1"/>
  <c r="M454" i="1"/>
  <c r="O454" i="1"/>
  <c r="AA454" i="1"/>
  <c r="AD454" i="1"/>
  <c r="AE454" i="1"/>
  <c r="AF454" i="1"/>
  <c r="AG454" i="1"/>
  <c r="AH454" i="1"/>
  <c r="AQ454" i="1"/>
  <c r="L454" i="1" s="1"/>
  <c r="I455" i="1"/>
  <c r="E455" i="1" s="1"/>
  <c r="D455" i="1" s="1"/>
  <c r="M455" i="1"/>
  <c r="O455" i="1"/>
  <c r="AA455" i="1"/>
  <c r="AD455" i="1"/>
  <c r="AE455" i="1"/>
  <c r="AF455" i="1"/>
  <c r="AG455" i="1"/>
  <c r="AH455" i="1"/>
  <c r="AQ455" i="1"/>
  <c r="L455" i="1" s="1"/>
  <c r="I456" i="1"/>
  <c r="E456" i="1" s="1"/>
  <c r="D456" i="1" s="1"/>
  <c r="M456" i="1"/>
  <c r="O456" i="1"/>
  <c r="AA456" i="1"/>
  <c r="AD456" i="1"/>
  <c r="AE456" i="1"/>
  <c r="AF456" i="1"/>
  <c r="AG456" i="1"/>
  <c r="AH456" i="1"/>
  <c r="AQ456" i="1"/>
  <c r="L456" i="1" s="1"/>
  <c r="I457" i="1"/>
  <c r="E457" i="1" s="1"/>
  <c r="D457" i="1" s="1"/>
  <c r="M457" i="1"/>
  <c r="O457" i="1"/>
  <c r="AA457" i="1"/>
  <c r="AD457" i="1"/>
  <c r="AE457" i="1"/>
  <c r="AF457" i="1"/>
  <c r="AG457" i="1"/>
  <c r="AH457" i="1"/>
  <c r="AQ457" i="1"/>
  <c r="L457" i="1" s="1"/>
  <c r="I458" i="1"/>
  <c r="E458" i="1" s="1"/>
  <c r="D458" i="1" s="1"/>
  <c r="M458" i="1"/>
  <c r="O458" i="1"/>
  <c r="AA458" i="1"/>
  <c r="AD458" i="1"/>
  <c r="AE458" i="1"/>
  <c r="AF458" i="1"/>
  <c r="AG458" i="1"/>
  <c r="AH458" i="1"/>
  <c r="AQ458" i="1"/>
  <c r="L458" i="1" s="1"/>
  <c r="I459" i="1"/>
  <c r="E459" i="1" s="1"/>
  <c r="D459" i="1" s="1"/>
  <c r="M459" i="1"/>
  <c r="O459" i="1"/>
  <c r="AA459" i="1"/>
  <c r="AD459" i="1"/>
  <c r="AE459" i="1"/>
  <c r="AF459" i="1"/>
  <c r="AG459" i="1"/>
  <c r="AH459" i="1"/>
  <c r="AQ459" i="1"/>
  <c r="L459" i="1" s="1"/>
  <c r="I460" i="1"/>
  <c r="E460" i="1" s="1"/>
  <c r="D460" i="1" s="1"/>
  <c r="M460" i="1"/>
  <c r="O460" i="1"/>
  <c r="AA460" i="1"/>
  <c r="AD460" i="1"/>
  <c r="AE460" i="1"/>
  <c r="AF460" i="1"/>
  <c r="AG460" i="1"/>
  <c r="AH460" i="1"/>
  <c r="AQ460" i="1"/>
  <c r="L460" i="1" s="1"/>
  <c r="I461" i="1"/>
  <c r="E461" i="1" s="1"/>
  <c r="D461" i="1" s="1"/>
  <c r="M461" i="1"/>
  <c r="O461" i="1"/>
  <c r="AA461" i="1"/>
  <c r="AD461" i="1"/>
  <c r="AE461" i="1"/>
  <c r="AF461" i="1"/>
  <c r="AG461" i="1"/>
  <c r="AH461" i="1"/>
  <c r="AQ461" i="1"/>
  <c r="L461" i="1" s="1"/>
  <c r="I462" i="1"/>
  <c r="E462" i="1" s="1"/>
  <c r="D462" i="1" s="1"/>
  <c r="M462" i="1"/>
  <c r="O462" i="1"/>
  <c r="AA462" i="1"/>
  <c r="AD462" i="1"/>
  <c r="AE462" i="1"/>
  <c r="AF462" i="1"/>
  <c r="AG462" i="1"/>
  <c r="AH462" i="1"/>
  <c r="AQ462" i="1"/>
  <c r="L462" i="1" s="1"/>
  <c r="I463" i="1"/>
  <c r="E463" i="1" s="1"/>
  <c r="D463" i="1" s="1"/>
  <c r="M463" i="1"/>
  <c r="O463" i="1"/>
  <c r="AA463" i="1"/>
  <c r="AD463" i="1"/>
  <c r="AE463" i="1"/>
  <c r="AF463" i="1"/>
  <c r="AG463" i="1"/>
  <c r="AH463" i="1"/>
  <c r="AQ463" i="1"/>
  <c r="L463" i="1" s="1"/>
  <c r="I464" i="1"/>
  <c r="E464" i="1" s="1"/>
  <c r="D464" i="1" s="1"/>
  <c r="M464" i="1"/>
  <c r="O464" i="1"/>
  <c r="AA464" i="1"/>
  <c r="AD464" i="1"/>
  <c r="AE464" i="1"/>
  <c r="AF464" i="1"/>
  <c r="AG464" i="1"/>
  <c r="AH464" i="1"/>
  <c r="AQ464" i="1"/>
  <c r="L464" i="1" s="1"/>
  <c r="I465" i="1"/>
  <c r="E465" i="1" s="1"/>
  <c r="D465" i="1" s="1"/>
  <c r="M465" i="1"/>
  <c r="O465" i="1"/>
  <c r="AA465" i="1"/>
  <c r="AD465" i="1"/>
  <c r="AE465" i="1"/>
  <c r="AF465" i="1"/>
  <c r="AG465" i="1"/>
  <c r="AH465" i="1"/>
  <c r="AQ465" i="1"/>
  <c r="L465" i="1" s="1"/>
  <c r="I466" i="1"/>
  <c r="E466" i="1" s="1"/>
  <c r="D466" i="1" s="1"/>
  <c r="M466" i="1"/>
  <c r="O466" i="1"/>
  <c r="AA466" i="1"/>
  <c r="AD466" i="1"/>
  <c r="AE466" i="1"/>
  <c r="AF466" i="1"/>
  <c r="AG466" i="1"/>
  <c r="AH466" i="1"/>
  <c r="AQ466" i="1"/>
  <c r="L466" i="1" s="1"/>
  <c r="I467" i="1"/>
  <c r="E467" i="1" s="1"/>
  <c r="D467" i="1" s="1"/>
  <c r="M467" i="1"/>
  <c r="O467" i="1"/>
  <c r="AA467" i="1"/>
  <c r="AD467" i="1"/>
  <c r="AE467" i="1"/>
  <c r="AF467" i="1"/>
  <c r="AG467" i="1"/>
  <c r="AH467" i="1"/>
  <c r="AQ467" i="1"/>
  <c r="L467" i="1" s="1"/>
  <c r="I468" i="1"/>
  <c r="E468" i="1" s="1"/>
  <c r="D468" i="1" s="1"/>
  <c r="M468" i="1"/>
  <c r="O468" i="1"/>
  <c r="AA468" i="1"/>
  <c r="AD468" i="1"/>
  <c r="AE468" i="1"/>
  <c r="AF468" i="1"/>
  <c r="AG468" i="1"/>
  <c r="AH468" i="1"/>
  <c r="AQ468" i="1"/>
  <c r="L468" i="1" s="1"/>
  <c r="I469" i="1"/>
  <c r="E469" i="1" s="1"/>
  <c r="D469" i="1" s="1"/>
  <c r="M469" i="1"/>
  <c r="O469" i="1"/>
  <c r="AA469" i="1"/>
  <c r="AD469" i="1"/>
  <c r="AE469" i="1"/>
  <c r="AF469" i="1"/>
  <c r="AG469" i="1"/>
  <c r="AH469" i="1"/>
  <c r="AQ469" i="1"/>
  <c r="L469" i="1" s="1"/>
  <c r="I470" i="1"/>
  <c r="E470" i="1" s="1"/>
  <c r="D470" i="1" s="1"/>
  <c r="M470" i="1"/>
  <c r="O470" i="1"/>
  <c r="AA470" i="1"/>
  <c r="AD470" i="1"/>
  <c r="AE470" i="1"/>
  <c r="AF470" i="1"/>
  <c r="AG470" i="1"/>
  <c r="AH470" i="1"/>
  <c r="AQ470" i="1"/>
  <c r="L470" i="1" s="1"/>
  <c r="I471" i="1"/>
  <c r="E471" i="1" s="1"/>
  <c r="D471" i="1" s="1"/>
  <c r="M471" i="1"/>
  <c r="O471" i="1"/>
  <c r="AA471" i="1"/>
  <c r="AD471" i="1"/>
  <c r="AE471" i="1"/>
  <c r="AF471" i="1"/>
  <c r="AG471" i="1"/>
  <c r="AH471" i="1"/>
  <c r="AQ471" i="1"/>
  <c r="L471" i="1" s="1"/>
  <c r="I472" i="1"/>
  <c r="E472" i="1" s="1"/>
  <c r="D472" i="1" s="1"/>
  <c r="M472" i="1"/>
  <c r="O472" i="1"/>
  <c r="AA472" i="1"/>
  <c r="AD472" i="1"/>
  <c r="AE472" i="1"/>
  <c r="AF472" i="1"/>
  <c r="AG472" i="1"/>
  <c r="AH472" i="1"/>
  <c r="AQ472" i="1"/>
  <c r="L472" i="1" s="1"/>
  <c r="I473" i="1"/>
  <c r="E473" i="1" s="1"/>
  <c r="D473" i="1" s="1"/>
  <c r="M473" i="1"/>
  <c r="O473" i="1"/>
  <c r="AA473" i="1"/>
  <c r="AD473" i="1"/>
  <c r="AE473" i="1"/>
  <c r="AF473" i="1"/>
  <c r="AG473" i="1"/>
  <c r="AH473" i="1"/>
  <c r="AQ473" i="1"/>
  <c r="L473" i="1" s="1"/>
  <c r="I474" i="1"/>
  <c r="E474" i="1" s="1"/>
  <c r="D474" i="1" s="1"/>
  <c r="M474" i="1"/>
  <c r="O474" i="1"/>
  <c r="AA474" i="1"/>
  <c r="AD474" i="1"/>
  <c r="AE474" i="1"/>
  <c r="AF474" i="1"/>
  <c r="AG474" i="1"/>
  <c r="AH474" i="1"/>
  <c r="AQ474" i="1"/>
  <c r="L474" i="1" s="1"/>
  <c r="I475" i="1"/>
  <c r="E475" i="1" s="1"/>
  <c r="D475" i="1" s="1"/>
  <c r="M475" i="1"/>
  <c r="O475" i="1"/>
  <c r="AA475" i="1"/>
  <c r="AD475" i="1"/>
  <c r="AE475" i="1"/>
  <c r="AF475" i="1"/>
  <c r="AG475" i="1"/>
  <c r="AH475" i="1"/>
  <c r="AQ475" i="1"/>
  <c r="L475" i="1" s="1"/>
  <c r="I476" i="1"/>
  <c r="E476" i="1" s="1"/>
  <c r="D476" i="1" s="1"/>
  <c r="M476" i="1"/>
  <c r="O476" i="1"/>
  <c r="AA476" i="1"/>
  <c r="AD476" i="1"/>
  <c r="AE476" i="1"/>
  <c r="AF476" i="1"/>
  <c r="AG476" i="1"/>
  <c r="AH476" i="1"/>
  <c r="AQ476" i="1"/>
  <c r="L476" i="1" s="1"/>
  <c r="I477" i="1"/>
  <c r="E477" i="1" s="1"/>
  <c r="D477" i="1" s="1"/>
  <c r="M477" i="1"/>
  <c r="O477" i="1"/>
  <c r="AA477" i="1"/>
  <c r="AD477" i="1"/>
  <c r="AE477" i="1"/>
  <c r="AF477" i="1"/>
  <c r="AG477" i="1"/>
  <c r="AH477" i="1"/>
  <c r="AQ477" i="1"/>
  <c r="L477" i="1" s="1"/>
  <c r="I478" i="1"/>
  <c r="E478" i="1" s="1"/>
  <c r="D478" i="1" s="1"/>
  <c r="M478" i="1"/>
  <c r="O478" i="1"/>
  <c r="AA478" i="1"/>
  <c r="AD478" i="1"/>
  <c r="AE478" i="1"/>
  <c r="AF478" i="1"/>
  <c r="AG478" i="1"/>
  <c r="AH478" i="1"/>
  <c r="AQ478" i="1"/>
  <c r="L478" i="1" s="1"/>
  <c r="I479" i="1"/>
  <c r="E479" i="1" s="1"/>
  <c r="D479" i="1" s="1"/>
  <c r="M479" i="1"/>
  <c r="O479" i="1"/>
  <c r="AA479" i="1"/>
  <c r="AD479" i="1"/>
  <c r="AE479" i="1"/>
  <c r="AF479" i="1"/>
  <c r="AG479" i="1"/>
  <c r="AH479" i="1"/>
  <c r="AQ479" i="1"/>
  <c r="L479" i="1" s="1"/>
  <c r="I480" i="1"/>
  <c r="E480" i="1" s="1"/>
  <c r="D480" i="1" s="1"/>
  <c r="M480" i="1"/>
  <c r="O480" i="1"/>
  <c r="AA480" i="1"/>
  <c r="AD480" i="1"/>
  <c r="AE480" i="1"/>
  <c r="AF480" i="1"/>
  <c r="AG480" i="1"/>
  <c r="AH480" i="1"/>
  <c r="AQ480" i="1"/>
  <c r="L480" i="1" s="1"/>
  <c r="I481" i="1"/>
  <c r="E481" i="1" s="1"/>
  <c r="D481" i="1" s="1"/>
  <c r="M481" i="1"/>
  <c r="O481" i="1"/>
  <c r="AA481" i="1"/>
  <c r="AD481" i="1"/>
  <c r="AE481" i="1"/>
  <c r="AF481" i="1"/>
  <c r="AG481" i="1"/>
  <c r="AH481" i="1"/>
  <c r="AQ481" i="1"/>
  <c r="L481" i="1" s="1"/>
  <c r="I482" i="1"/>
  <c r="E482" i="1" s="1"/>
  <c r="D482" i="1" s="1"/>
  <c r="M482" i="1"/>
  <c r="O482" i="1"/>
  <c r="AA482" i="1"/>
  <c r="AD482" i="1"/>
  <c r="AE482" i="1"/>
  <c r="AF482" i="1"/>
  <c r="AG482" i="1"/>
  <c r="AH482" i="1"/>
  <c r="AQ482" i="1"/>
  <c r="L482" i="1" s="1"/>
  <c r="I483" i="1"/>
  <c r="E483" i="1" s="1"/>
  <c r="D483" i="1" s="1"/>
  <c r="M483" i="1"/>
  <c r="O483" i="1"/>
  <c r="AA483" i="1"/>
  <c r="AD483" i="1"/>
  <c r="AE483" i="1"/>
  <c r="AF483" i="1"/>
  <c r="AG483" i="1"/>
  <c r="AH483" i="1"/>
  <c r="AQ483" i="1"/>
  <c r="L483" i="1" s="1"/>
  <c r="I484" i="1"/>
  <c r="E484" i="1" s="1"/>
  <c r="D484" i="1" s="1"/>
  <c r="M484" i="1"/>
  <c r="O484" i="1"/>
  <c r="AA484" i="1"/>
  <c r="AD484" i="1"/>
  <c r="AE484" i="1"/>
  <c r="AF484" i="1"/>
  <c r="AG484" i="1"/>
  <c r="AH484" i="1"/>
  <c r="AQ484" i="1"/>
  <c r="L484" i="1" s="1"/>
  <c r="I485" i="1"/>
  <c r="E485" i="1" s="1"/>
  <c r="D485" i="1" s="1"/>
  <c r="M485" i="1"/>
  <c r="O485" i="1"/>
  <c r="AA485" i="1"/>
  <c r="AD485" i="1"/>
  <c r="AE485" i="1"/>
  <c r="AF485" i="1"/>
  <c r="AG485" i="1"/>
  <c r="AH485" i="1"/>
  <c r="AQ485" i="1"/>
  <c r="L485" i="1" s="1"/>
  <c r="I486" i="1"/>
  <c r="E486" i="1" s="1"/>
  <c r="D486" i="1" s="1"/>
  <c r="M486" i="1"/>
  <c r="O486" i="1"/>
  <c r="AA486" i="1"/>
  <c r="AD486" i="1"/>
  <c r="AE486" i="1"/>
  <c r="AF486" i="1"/>
  <c r="AG486" i="1"/>
  <c r="AH486" i="1"/>
  <c r="AQ486" i="1"/>
  <c r="L486" i="1" s="1"/>
  <c r="I487" i="1"/>
  <c r="E487" i="1" s="1"/>
  <c r="D487" i="1" s="1"/>
  <c r="M487" i="1"/>
  <c r="O487" i="1"/>
  <c r="AA487" i="1"/>
  <c r="AD487" i="1"/>
  <c r="AE487" i="1"/>
  <c r="AF487" i="1"/>
  <c r="AG487" i="1"/>
  <c r="AH487" i="1"/>
  <c r="AQ487" i="1"/>
  <c r="L487" i="1" s="1"/>
  <c r="I488" i="1"/>
  <c r="E488" i="1" s="1"/>
  <c r="D488" i="1" s="1"/>
  <c r="M488" i="1"/>
  <c r="O488" i="1"/>
  <c r="AA488" i="1"/>
  <c r="AD488" i="1"/>
  <c r="AE488" i="1"/>
  <c r="AF488" i="1"/>
  <c r="AG488" i="1"/>
  <c r="AH488" i="1"/>
  <c r="AQ488" i="1"/>
  <c r="L488" i="1" s="1"/>
  <c r="I489" i="1"/>
  <c r="E489" i="1" s="1"/>
  <c r="D489" i="1" s="1"/>
  <c r="M489" i="1"/>
  <c r="O489" i="1"/>
  <c r="AA489" i="1"/>
  <c r="AD489" i="1"/>
  <c r="AE489" i="1"/>
  <c r="AF489" i="1"/>
  <c r="AG489" i="1"/>
  <c r="AH489" i="1"/>
  <c r="AQ489" i="1"/>
  <c r="L489" i="1" s="1"/>
  <c r="I490" i="1"/>
  <c r="E490" i="1" s="1"/>
  <c r="D490" i="1" s="1"/>
  <c r="M490" i="1"/>
  <c r="O490" i="1"/>
  <c r="AA490" i="1"/>
  <c r="AD490" i="1"/>
  <c r="AE490" i="1"/>
  <c r="AF490" i="1"/>
  <c r="AG490" i="1"/>
  <c r="AH490" i="1"/>
  <c r="AQ490" i="1"/>
  <c r="L490" i="1" s="1"/>
  <c r="I491" i="1"/>
  <c r="E491" i="1" s="1"/>
  <c r="D491" i="1" s="1"/>
  <c r="M491" i="1"/>
  <c r="O491" i="1"/>
  <c r="AA491" i="1"/>
  <c r="AD491" i="1"/>
  <c r="AE491" i="1"/>
  <c r="AF491" i="1"/>
  <c r="AG491" i="1"/>
  <c r="AH491" i="1"/>
  <c r="AQ491" i="1"/>
  <c r="L491" i="1" s="1"/>
  <c r="I492" i="1"/>
  <c r="E492" i="1" s="1"/>
  <c r="D492" i="1" s="1"/>
  <c r="M492" i="1"/>
  <c r="O492" i="1"/>
  <c r="AA492" i="1"/>
  <c r="AD492" i="1"/>
  <c r="AE492" i="1"/>
  <c r="AF492" i="1"/>
  <c r="AG492" i="1"/>
  <c r="AH492" i="1"/>
  <c r="AQ492" i="1"/>
  <c r="L492" i="1" s="1"/>
  <c r="I493" i="1"/>
  <c r="E493" i="1" s="1"/>
  <c r="D493" i="1" s="1"/>
  <c r="M493" i="1"/>
  <c r="O493" i="1"/>
  <c r="AA493" i="1"/>
  <c r="AD493" i="1"/>
  <c r="AE493" i="1"/>
  <c r="AF493" i="1"/>
  <c r="AG493" i="1"/>
  <c r="AH493" i="1"/>
  <c r="AQ493" i="1"/>
  <c r="L493" i="1" s="1"/>
  <c r="I494" i="1"/>
  <c r="E494" i="1" s="1"/>
  <c r="D494" i="1" s="1"/>
  <c r="M494" i="1"/>
  <c r="O494" i="1"/>
  <c r="AA494" i="1"/>
  <c r="AD494" i="1"/>
  <c r="AE494" i="1"/>
  <c r="AF494" i="1"/>
  <c r="AG494" i="1"/>
  <c r="AH494" i="1"/>
  <c r="AQ494" i="1"/>
  <c r="L494" i="1" s="1"/>
  <c r="I495" i="1"/>
  <c r="E495" i="1" s="1"/>
  <c r="D495" i="1" s="1"/>
  <c r="M495" i="1"/>
  <c r="O495" i="1"/>
  <c r="AA495" i="1"/>
  <c r="AD495" i="1"/>
  <c r="AE495" i="1"/>
  <c r="AF495" i="1"/>
  <c r="AG495" i="1"/>
  <c r="AH495" i="1"/>
  <c r="AQ495" i="1"/>
  <c r="L495" i="1" s="1"/>
  <c r="I496" i="1"/>
  <c r="E496" i="1" s="1"/>
  <c r="D496" i="1" s="1"/>
  <c r="M496" i="1"/>
  <c r="O496" i="1"/>
  <c r="AA496" i="1"/>
  <c r="AD496" i="1"/>
  <c r="AE496" i="1"/>
  <c r="AF496" i="1"/>
  <c r="AG496" i="1"/>
  <c r="AH496" i="1"/>
  <c r="AQ496" i="1"/>
  <c r="L496" i="1" s="1"/>
  <c r="I497" i="1"/>
  <c r="E497" i="1" s="1"/>
  <c r="D497" i="1" s="1"/>
  <c r="M497" i="1"/>
  <c r="O497" i="1"/>
  <c r="AA497" i="1"/>
  <c r="AD497" i="1"/>
  <c r="AE497" i="1"/>
  <c r="AF497" i="1"/>
  <c r="AG497" i="1"/>
  <c r="AH497" i="1"/>
  <c r="AQ497" i="1"/>
  <c r="L497" i="1" s="1"/>
  <c r="I498" i="1"/>
  <c r="E498" i="1" s="1"/>
  <c r="D498" i="1" s="1"/>
  <c r="M498" i="1"/>
  <c r="O498" i="1"/>
  <c r="AA498" i="1"/>
  <c r="AD498" i="1"/>
  <c r="AE498" i="1"/>
  <c r="AF498" i="1"/>
  <c r="AG498" i="1"/>
  <c r="AH498" i="1"/>
  <c r="AQ498" i="1"/>
  <c r="L498" i="1" s="1"/>
  <c r="I499" i="1"/>
  <c r="E499" i="1" s="1"/>
  <c r="D499" i="1" s="1"/>
  <c r="M499" i="1"/>
  <c r="O499" i="1"/>
  <c r="AA499" i="1"/>
  <c r="AD499" i="1"/>
  <c r="AE499" i="1"/>
  <c r="AF499" i="1"/>
  <c r="AG499" i="1"/>
  <c r="AH499" i="1"/>
  <c r="AQ499" i="1"/>
  <c r="L499" i="1" s="1"/>
  <c r="I500" i="1"/>
  <c r="E500" i="1" s="1"/>
  <c r="D500" i="1" s="1"/>
  <c r="M500" i="1"/>
  <c r="O500" i="1"/>
  <c r="AA500" i="1"/>
  <c r="AD500" i="1"/>
  <c r="AE500" i="1"/>
  <c r="AF500" i="1"/>
  <c r="AG500" i="1"/>
  <c r="AH500" i="1"/>
  <c r="AQ500" i="1"/>
  <c r="L500" i="1" s="1"/>
  <c r="I501" i="1"/>
  <c r="E501" i="1" s="1"/>
  <c r="D501" i="1" s="1"/>
  <c r="M501" i="1"/>
  <c r="O501" i="1"/>
  <c r="AA501" i="1"/>
  <c r="AD501" i="1"/>
  <c r="AE501" i="1"/>
  <c r="AF501" i="1"/>
  <c r="AG501" i="1"/>
  <c r="AH501" i="1"/>
  <c r="AQ501" i="1"/>
  <c r="L501" i="1" s="1"/>
  <c r="I502" i="1"/>
  <c r="E502" i="1" s="1"/>
  <c r="D502" i="1" s="1"/>
  <c r="M502" i="1"/>
  <c r="O502" i="1"/>
  <c r="AA502" i="1"/>
  <c r="AD502" i="1"/>
  <c r="AE502" i="1"/>
  <c r="AF502" i="1"/>
  <c r="AG502" i="1"/>
  <c r="AH502" i="1"/>
  <c r="AQ502" i="1"/>
  <c r="L502" i="1" s="1"/>
  <c r="I503" i="1"/>
  <c r="E503" i="1" s="1"/>
  <c r="D503" i="1" s="1"/>
  <c r="M503" i="1"/>
  <c r="O503" i="1"/>
  <c r="AA503" i="1"/>
  <c r="AD503" i="1"/>
  <c r="AE503" i="1"/>
  <c r="AF503" i="1"/>
  <c r="AG503" i="1"/>
  <c r="AH503" i="1"/>
  <c r="AQ503" i="1"/>
  <c r="L503" i="1" s="1"/>
  <c r="I504" i="1"/>
  <c r="E504" i="1" s="1"/>
  <c r="D504" i="1" s="1"/>
  <c r="M504" i="1"/>
  <c r="O504" i="1"/>
  <c r="AA504" i="1"/>
  <c r="AD504" i="1"/>
  <c r="AE504" i="1"/>
  <c r="AF504" i="1"/>
  <c r="AG504" i="1"/>
  <c r="AH504" i="1"/>
  <c r="AQ504" i="1"/>
  <c r="L504" i="1" s="1"/>
  <c r="I505" i="1"/>
  <c r="E505" i="1" s="1"/>
  <c r="D505" i="1" s="1"/>
  <c r="M505" i="1"/>
  <c r="O505" i="1"/>
  <c r="AA505" i="1"/>
  <c r="AD505" i="1"/>
  <c r="AE505" i="1"/>
  <c r="AF505" i="1"/>
  <c r="AG505" i="1"/>
  <c r="AH505" i="1"/>
  <c r="AQ505" i="1"/>
  <c r="L505" i="1" s="1"/>
  <c r="I506" i="1"/>
  <c r="E506" i="1" s="1"/>
  <c r="D506" i="1" s="1"/>
  <c r="M506" i="1"/>
  <c r="O506" i="1"/>
  <c r="AA506" i="1"/>
  <c r="AD506" i="1"/>
  <c r="AE506" i="1"/>
  <c r="AF506" i="1"/>
  <c r="AG506" i="1"/>
  <c r="AH506" i="1"/>
  <c r="AQ506" i="1"/>
  <c r="L506" i="1" s="1"/>
  <c r="I507" i="1"/>
  <c r="E507" i="1" s="1"/>
  <c r="D507" i="1" s="1"/>
  <c r="M507" i="1"/>
  <c r="O507" i="1"/>
  <c r="AA507" i="1"/>
  <c r="AD507" i="1"/>
  <c r="AE507" i="1"/>
  <c r="AF507" i="1"/>
  <c r="AG507" i="1"/>
  <c r="AH507" i="1"/>
  <c r="AQ507" i="1"/>
  <c r="L507" i="1" s="1"/>
  <c r="I508" i="1"/>
  <c r="E508" i="1" s="1"/>
  <c r="D508" i="1" s="1"/>
  <c r="M508" i="1"/>
  <c r="O508" i="1"/>
  <c r="AA508" i="1"/>
  <c r="AD508" i="1"/>
  <c r="AE508" i="1"/>
  <c r="AF508" i="1"/>
  <c r="AG508" i="1"/>
  <c r="AH508" i="1"/>
  <c r="AQ508" i="1"/>
  <c r="L508" i="1" s="1"/>
  <c r="I509" i="1"/>
  <c r="E509" i="1" s="1"/>
  <c r="D509" i="1" s="1"/>
  <c r="M509" i="1"/>
  <c r="O509" i="1"/>
  <c r="AA509" i="1"/>
  <c r="AD509" i="1"/>
  <c r="AE509" i="1"/>
  <c r="AF509" i="1"/>
  <c r="AG509" i="1"/>
  <c r="AH509" i="1"/>
  <c r="AQ509" i="1"/>
  <c r="L509" i="1" s="1"/>
  <c r="I510" i="1"/>
  <c r="E510" i="1" s="1"/>
  <c r="D510" i="1" s="1"/>
  <c r="M510" i="1"/>
  <c r="O510" i="1"/>
  <c r="AA510" i="1"/>
  <c r="AD510" i="1"/>
  <c r="AE510" i="1"/>
  <c r="AF510" i="1"/>
  <c r="AG510" i="1"/>
  <c r="AH510" i="1"/>
  <c r="AQ510" i="1"/>
  <c r="L510" i="1" s="1"/>
  <c r="I511" i="1"/>
  <c r="E511" i="1" s="1"/>
  <c r="D511" i="1" s="1"/>
  <c r="M511" i="1"/>
  <c r="O511" i="1"/>
  <c r="AA511" i="1"/>
  <c r="AD511" i="1"/>
  <c r="AE511" i="1"/>
  <c r="AF511" i="1"/>
  <c r="AG511" i="1"/>
  <c r="AH511" i="1"/>
  <c r="AQ511" i="1"/>
  <c r="L511" i="1" s="1"/>
  <c r="I512" i="1"/>
  <c r="E512" i="1" s="1"/>
  <c r="D512" i="1" s="1"/>
  <c r="M512" i="1"/>
  <c r="O512" i="1"/>
  <c r="AA512" i="1"/>
  <c r="AD512" i="1"/>
  <c r="AE512" i="1"/>
  <c r="AF512" i="1"/>
  <c r="AG512" i="1"/>
  <c r="AH512" i="1"/>
  <c r="AQ512" i="1"/>
  <c r="L512" i="1" s="1"/>
  <c r="I513" i="1"/>
  <c r="E513" i="1" s="1"/>
  <c r="D513" i="1" s="1"/>
  <c r="M513" i="1"/>
  <c r="O513" i="1"/>
  <c r="AA513" i="1"/>
  <c r="AD513" i="1"/>
  <c r="AE513" i="1"/>
  <c r="AF513" i="1"/>
  <c r="AG513" i="1"/>
  <c r="AH513" i="1"/>
  <c r="AQ513" i="1"/>
  <c r="L513" i="1" s="1"/>
  <c r="I514" i="1"/>
  <c r="E514" i="1" s="1"/>
  <c r="D514" i="1" s="1"/>
  <c r="M514" i="1"/>
  <c r="O514" i="1"/>
  <c r="AA514" i="1"/>
  <c r="AD514" i="1"/>
  <c r="AE514" i="1"/>
  <c r="AF514" i="1"/>
  <c r="AG514" i="1"/>
  <c r="AH514" i="1"/>
  <c r="AQ514" i="1"/>
  <c r="L514" i="1" s="1"/>
  <c r="I515" i="1"/>
  <c r="E515" i="1" s="1"/>
  <c r="D515" i="1" s="1"/>
  <c r="M515" i="1"/>
  <c r="O515" i="1"/>
  <c r="AA515" i="1"/>
  <c r="AD515" i="1"/>
  <c r="AE515" i="1"/>
  <c r="AF515" i="1"/>
  <c r="AG515" i="1"/>
  <c r="AH515" i="1"/>
  <c r="AQ515" i="1"/>
  <c r="L515" i="1" s="1"/>
  <c r="I516" i="1"/>
  <c r="E516" i="1" s="1"/>
  <c r="D516" i="1" s="1"/>
  <c r="M516" i="1"/>
  <c r="O516" i="1"/>
  <c r="AA516" i="1"/>
  <c r="AD516" i="1"/>
  <c r="AE516" i="1"/>
  <c r="AF516" i="1"/>
  <c r="AG516" i="1"/>
  <c r="AH516" i="1"/>
  <c r="AQ516" i="1"/>
  <c r="L516" i="1" s="1"/>
  <c r="I517" i="1"/>
  <c r="E517" i="1" s="1"/>
  <c r="D517" i="1" s="1"/>
  <c r="M517" i="1"/>
  <c r="O517" i="1"/>
  <c r="AA517" i="1"/>
  <c r="AD517" i="1"/>
  <c r="AE517" i="1"/>
  <c r="AF517" i="1"/>
  <c r="AG517" i="1"/>
  <c r="AH517" i="1"/>
  <c r="AQ517" i="1"/>
  <c r="L517" i="1" s="1"/>
  <c r="I518" i="1"/>
  <c r="E518" i="1" s="1"/>
  <c r="D518" i="1" s="1"/>
  <c r="M518" i="1"/>
  <c r="O518" i="1"/>
  <c r="AA518" i="1"/>
  <c r="AD518" i="1"/>
  <c r="AE518" i="1"/>
  <c r="AF518" i="1"/>
  <c r="AG518" i="1"/>
  <c r="AH518" i="1"/>
  <c r="AQ518" i="1"/>
  <c r="L518" i="1" s="1"/>
  <c r="I519" i="1"/>
  <c r="E519" i="1" s="1"/>
  <c r="D519" i="1" s="1"/>
  <c r="M519" i="1"/>
  <c r="O519" i="1"/>
  <c r="AA519" i="1"/>
  <c r="AD519" i="1"/>
  <c r="AE519" i="1"/>
  <c r="AF519" i="1"/>
  <c r="AG519" i="1"/>
  <c r="AH519" i="1"/>
  <c r="AQ519" i="1"/>
  <c r="L519" i="1" s="1"/>
  <c r="I520" i="1"/>
  <c r="E520" i="1" s="1"/>
  <c r="D520" i="1" s="1"/>
  <c r="M520" i="1"/>
  <c r="O520" i="1"/>
  <c r="AA520" i="1"/>
  <c r="AD520" i="1"/>
  <c r="AE520" i="1"/>
  <c r="AF520" i="1"/>
  <c r="AG520" i="1"/>
  <c r="AH520" i="1"/>
  <c r="AQ520" i="1"/>
  <c r="L520" i="1" s="1"/>
  <c r="I521" i="1"/>
  <c r="E521" i="1" s="1"/>
  <c r="D521" i="1" s="1"/>
  <c r="M521" i="1"/>
  <c r="O521" i="1"/>
  <c r="AA521" i="1"/>
  <c r="AD521" i="1"/>
  <c r="AE521" i="1"/>
  <c r="AF521" i="1"/>
  <c r="AG521" i="1"/>
  <c r="AH521" i="1"/>
  <c r="AQ521" i="1"/>
  <c r="L521" i="1" s="1"/>
  <c r="I522" i="1"/>
  <c r="E522" i="1" s="1"/>
  <c r="D522" i="1" s="1"/>
  <c r="M522" i="1"/>
  <c r="O522" i="1"/>
  <c r="AA522" i="1"/>
  <c r="AD522" i="1"/>
  <c r="AE522" i="1"/>
  <c r="AF522" i="1"/>
  <c r="AG522" i="1"/>
  <c r="AH522" i="1"/>
  <c r="AQ522" i="1"/>
  <c r="L522" i="1" s="1"/>
  <c r="I523" i="1"/>
  <c r="E523" i="1" s="1"/>
  <c r="D523" i="1" s="1"/>
  <c r="M523" i="1"/>
  <c r="O523" i="1"/>
  <c r="AA523" i="1"/>
  <c r="AD523" i="1"/>
  <c r="AE523" i="1"/>
  <c r="AF523" i="1"/>
  <c r="AG523" i="1"/>
  <c r="AH523" i="1"/>
  <c r="AQ523" i="1"/>
  <c r="L523" i="1" s="1"/>
  <c r="I524" i="1"/>
  <c r="E524" i="1" s="1"/>
  <c r="D524" i="1" s="1"/>
  <c r="M524" i="1"/>
  <c r="O524" i="1"/>
  <c r="AA524" i="1"/>
  <c r="AD524" i="1"/>
  <c r="AE524" i="1"/>
  <c r="AF524" i="1"/>
  <c r="AG524" i="1"/>
  <c r="AH524" i="1"/>
  <c r="AQ524" i="1"/>
  <c r="L524" i="1" s="1"/>
  <c r="I525" i="1"/>
  <c r="E525" i="1" s="1"/>
  <c r="D525" i="1" s="1"/>
  <c r="M525" i="1"/>
  <c r="O525" i="1"/>
  <c r="AA525" i="1"/>
  <c r="AD525" i="1"/>
  <c r="AE525" i="1"/>
  <c r="AF525" i="1"/>
  <c r="AG525" i="1"/>
  <c r="AH525" i="1"/>
  <c r="AQ525" i="1"/>
  <c r="L525" i="1" s="1"/>
  <c r="I526" i="1"/>
  <c r="E526" i="1" s="1"/>
  <c r="D526" i="1" s="1"/>
  <c r="M526" i="1"/>
  <c r="O526" i="1"/>
  <c r="AA526" i="1"/>
  <c r="AD526" i="1"/>
  <c r="AE526" i="1"/>
  <c r="AF526" i="1"/>
  <c r="AG526" i="1"/>
  <c r="AH526" i="1"/>
  <c r="AQ526" i="1"/>
  <c r="L526" i="1" s="1"/>
  <c r="I527" i="1"/>
  <c r="E527" i="1" s="1"/>
  <c r="D527" i="1" s="1"/>
  <c r="M527" i="1"/>
  <c r="O527" i="1"/>
  <c r="AA527" i="1"/>
  <c r="AD527" i="1"/>
  <c r="AE527" i="1"/>
  <c r="AF527" i="1"/>
  <c r="AG527" i="1"/>
  <c r="AH527" i="1"/>
  <c r="AQ527" i="1"/>
  <c r="L527" i="1" s="1"/>
  <c r="I528" i="1"/>
  <c r="E528" i="1" s="1"/>
  <c r="D528" i="1" s="1"/>
  <c r="M528" i="1"/>
  <c r="O528" i="1"/>
  <c r="AA528" i="1"/>
  <c r="AD528" i="1"/>
  <c r="AE528" i="1"/>
  <c r="AF528" i="1"/>
  <c r="AG528" i="1"/>
  <c r="AH528" i="1"/>
  <c r="AQ528" i="1"/>
  <c r="L528" i="1" s="1"/>
  <c r="I529" i="1"/>
  <c r="E529" i="1" s="1"/>
  <c r="D529" i="1" s="1"/>
  <c r="M529" i="1"/>
  <c r="O529" i="1"/>
  <c r="AA529" i="1"/>
  <c r="AD529" i="1"/>
  <c r="AE529" i="1"/>
  <c r="AF529" i="1"/>
  <c r="AG529" i="1"/>
  <c r="AH529" i="1"/>
  <c r="AQ529" i="1"/>
  <c r="L529" i="1" s="1"/>
  <c r="I530" i="1"/>
  <c r="E530" i="1" s="1"/>
  <c r="D530" i="1" s="1"/>
  <c r="M530" i="1"/>
  <c r="O530" i="1"/>
  <c r="AA530" i="1"/>
  <c r="AD530" i="1"/>
  <c r="AE530" i="1"/>
  <c r="AF530" i="1"/>
  <c r="AG530" i="1"/>
  <c r="AH530" i="1"/>
  <c r="AQ530" i="1"/>
  <c r="L530" i="1" s="1"/>
  <c r="I531" i="1"/>
  <c r="E531" i="1" s="1"/>
  <c r="D531" i="1" s="1"/>
  <c r="M531" i="1"/>
  <c r="O531" i="1"/>
  <c r="AA531" i="1"/>
  <c r="AD531" i="1"/>
  <c r="AE531" i="1"/>
  <c r="AF531" i="1"/>
  <c r="AG531" i="1"/>
  <c r="AH531" i="1"/>
  <c r="AQ531" i="1"/>
  <c r="L531" i="1" s="1"/>
  <c r="I532" i="1"/>
  <c r="E532" i="1" s="1"/>
  <c r="D532" i="1" s="1"/>
  <c r="M532" i="1"/>
  <c r="O532" i="1"/>
  <c r="AA532" i="1"/>
  <c r="AD532" i="1"/>
  <c r="AE532" i="1"/>
  <c r="AF532" i="1"/>
  <c r="AG532" i="1"/>
  <c r="AH532" i="1"/>
  <c r="AQ532" i="1"/>
  <c r="L532" i="1" s="1"/>
  <c r="I533" i="1"/>
  <c r="E533" i="1" s="1"/>
  <c r="D533" i="1" s="1"/>
  <c r="M533" i="1"/>
  <c r="O533" i="1"/>
  <c r="AA533" i="1"/>
  <c r="AD533" i="1"/>
  <c r="AE533" i="1"/>
  <c r="AF533" i="1"/>
  <c r="AG533" i="1"/>
  <c r="AH533" i="1"/>
  <c r="AQ533" i="1"/>
  <c r="L533" i="1" s="1"/>
  <c r="I534" i="1"/>
  <c r="E534" i="1" s="1"/>
  <c r="D534" i="1" s="1"/>
  <c r="M534" i="1"/>
  <c r="O534" i="1"/>
  <c r="AA534" i="1"/>
  <c r="AD534" i="1"/>
  <c r="AE534" i="1"/>
  <c r="AF534" i="1"/>
  <c r="AG534" i="1"/>
  <c r="AH534" i="1"/>
  <c r="AQ534" i="1"/>
  <c r="L534" i="1" s="1"/>
  <c r="I535" i="1"/>
  <c r="E535" i="1" s="1"/>
  <c r="D535" i="1" s="1"/>
  <c r="M535" i="1"/>
  <c r="O535" i="1"/>
  <c r="AA535" i="1"/>
  <c r="AD535" i="1"/>
  <c r="AE535" i="1"/>
  <c r="AF535" i="1"/>
  <c r="AG535" i="1"/>
  <c r="AH535" i="1"/>
  <c r="AQ535" i="1"/>
  <c r="L535" i="1" s="1"/>
  <c r="I536" i="1"/>
  <c r="E536" i="1" s="1"/>
  <c r="D536" i="1" s="1"/>
  <c r="M536" i="1"/>
  <c r="O536" i="1"/>
  <c r="AA536" i="1"/>
  <c r="AD536" i="1"/>
  <c r="AE536" i="1"/>
  <c r="AF536" i="1"/>
  <c r="AG536" i="1"/>
  <c r="AH536" i="1"/>
  <c r="AQ536" i="1"/>
  <c r="L536" i="1" s="1"/>
  <c r="I537" i="1"/>
  <c r="E537" i="1" s="1"/>
  <c r="D537" i="1" s="1"/>
  <c r="M537" i="1"/>
  <c r="O537" i="1"/>
  <c r="AA537" i="1"/>
  <c r="AD537" i="1"/>
  <c r="AE537" i="1"/>
  <c r="AF537" i="1"/>
  <c r="AG537" i="1"/>
  <c r="AH537" i="1"/>
  <c r="AQ537" i="1"/>
  <c r="L537" i="1" s="1"/>
  <c r="I538" i="1"/>
  <c r="E538" i="1" s="1"/>
  <c r="D538" i="1" s="1"/>
  <c r="M538" i="1"/>
  <c r="O538" i="1"/>
  <c r="AA538" i="1"/>
  <c r="AD538" i="1"/>
  <c r="AE538" i="1"/>
  <c r="AF538" i="1"/>
  <c r="AG538" i="1"/>
  <c r="AH538" i="1"/>
  <c r="AQ538" i="1"/>
  <c r="L538" i="1" s="1"/>
  <c r="I539" i="1"/>
  <c r="E539" i="1" s="1"/>
  <c r="D539" i="1" s="1"/>
  <c r="M539" i="1"/>
  <c r="O539" i="1"/>
  <c r="AA539" i="1"/>
  <c r="AD539" i="1"/>
  <c r="AE539" i="1"/>
  <c r="AF539" i="1"/>
  <c r="AG539" i="1"/>
  <c r="AH539" i="1"/>
  <c r="AQ539" i="1"/>
  <c r="L539" i="1" s="1"/>
  <c r="I540" i="1"/>
  <c r="E540" i="1" s="1"/>
  <c r="D540" i="1" s="1"/>
  <c r="M540" i="1"/>
  <c r="O540" i="1"/>
  <c r="AA540" i="1"/>
  <c r="AD540" i="1"/>
  <c r="AE540" i="1"/>
  <c r="AF540" i="1"/>
  <c r="AG540" i="1"/>
  <c r="AH540" i="1"/>
  <c r="AQ540" i="1"/>
  <c r="L540" i="1" s="1"/>
  <c r="I541" i="1"/>
  <c r="E541" i="1" s="1"/>
  <c r="D541" i="1" s="1"/>
  <c r="M541" i="1"/>
  <c r="O541" i="1"/>
  <c r="AA541" i="1"/>
  <c r="AD541" i="1"/>
  <c r="AE541" i="1"/>
  <c r="AF541" i="1"/>
  <c r="AG541" i="1"/>
  <c r="AH541" i="1"/>
  <c r="AQ541" i="1"/>
  <c r="L541" i="1" s="1"/>
  <c r="I542" i="1"/>
  <c r="E542" i="1" s="1"/>
  <c r="D542" i="1" s="1"/>
  <c r="M542" i="1"/>
  <c r="O542" i="1"/>
  <c r="AA542" i="1"/>
  <c r="AD542" i="1"/>
  <c r="AE542" i="1"/>
  <c r="AF542" i="1"/>
  <c r="AG542" i="1"/>
  <c r="AH542" i="1"/>
  <c r="AQ542" i="1"/>
  <c r="L542" i="1" s="1"/>
  <c r="I543" i="1"/>
  <c r="E543" i="1" s="1"/>
  <c r="D543" i="1" s="1"/>
  <c r="M543" i="1"/>
  <c r="O543" i="1"/>
  <c r="AA543" i="1"/>
  <c r="AD543" i="1"/>
  <c r="AE543" i="1"/>
  <c r="AF543" i="1"/>
  <c r="AG543" i="1"/>
  <c r="AH543" i="1"/>
  <c r="AQ543" i="1"/>
  <c r="L543" i="1" s="1"/>
  <c r="I544" i="1"/>
  <c r="E544" i="1" s="1"/>
  <c r="D544" i="1" s="1"/>
  <c r="M544" i="1"/>
  <c r="O544" i="1"/>
  <c r="AA544" i="1"/>
  <c r="AD544" i="1"/>
  <c r="AE544" i="1"/>
  <c r="AF544" i="1"/>
  <c r="AG544" i="1"/>
  <c r="AH544" i="1"/>
  <c r="AQ544" i="1"/>
  <c r="L544" i="1" s="1"/>
  <c r="I545" i="1"/>
  <c r="E545" i="1" s="1"/>
  <c r="D545" i="1" s="1"/>
  <c r="M545" i="1"/>
  <c r="O545" i="1"/>
  <c r="AA545" i="1"/>
  <c r="AD545" i="1"/>
  <c r="AE545" i="1"/>
  <c r="AF545" i="1"/>
  <c r="AG545" i="1"/>
  <c r="AH545" i="1"/>
  <c r="AQ545" i="1"/>
  <c r="L545" i="1" s="1"/>
  <c r="I546" i="1"/>
  <c r="E546" i="1" s="1"/>
  <c r="D546" i="1" s="1"/>
  <c r="M546" i="1"/>
  <c r="O546" i="1"/>
  <c r="AA546" i="1"/>
  <c r="AD546" i="1"/>
  <c r="AE546" i="1"/>
  <c r="AF546" i="1"/>
  <c r="AG546" i="1"/>
  <c r="AH546" i="1"/>
  <c r="AQ546" i="1"/>
  <c r="L546" i="1" s="1"/>
  <c r="I547" i="1"/>
  <c r="E547" i="1" s="1"/>
  <c r="D547" i="1" s="1"/>
  <c r="M547" i="1"/>
  <c r="O547" i="1"/>
  <c r="AA547" i="1"/>
  <c r="AD547" i="1"/>
  <c r="AE547" i="1"/>
  <c r="AF547" i="1"/>
  <c r="AG547" i="1"/>
  <c r="AH547" i="1"/>
  <c r="AQ547" i="1"/>
  <c r="L547" i="1" s="1"/>
  <c r="I548" i="1"/>
  <c r="E548" i="1" s="1"/>
  <c r="D548" i="1" s="1"/>
  <c r="M548" i="1"/>
  <c r="O548" i="1"/>
  <c r="AA548" i="1"/>
  <c r="AD548" i="1"/>
  <c r="AE548" i="1"/>
  <c r="AF548" i="1"/>
  <c r="AG548" i="1"/>
  <c r="AH548" i="1"/>
  <c r="AQ548" i="1"/>
  <c r="L548" i="1" s="1"/>
  <c r="I549" i="1"/>
  <c r="E549" i="1" s="1"/>
  <c r="D549" i="1" s="1"/>
  <c r="M549" i="1"/>
  <c r="O549" i="1"/>
  <c r="AA549" i="1"/>
  <c r="AD549" i="1"/>
  <c r="AE549" i="1"/>
  <c r="AF549" i="1"/>
  <c r="AG549" i="1"/>
  <c r="AH549" i="1"/>
  <c r="AQ549" i="1"/>
  <c r="L549" i="1" s="1"/>
  <c r="I550" i="1"/>
  <c r="E550" i="1" s="1"/>
  <c r="D550" i="1" s="1"/>
  <c r="M550" i="1"/>
  <c r="O550" i="1"/>
  <c r="AA550" i="1"/>
  <c r="AD550" i="1"/>
  <c r="AE550" i="1"/>
  <c r="AF550" i="1"/>
  <c r="AG550" i="1"/>
  <c r="AH550" i="1"/>
  <c r="AQ550" i="1"/>
  <c r="L550" i="1" s="1"/>
  <c r="I551" i="1"/>
  <c r="E551" i="1" s="1"/>
  <c r="D551" i="1" s="1"/>
  <c r="M551" i="1"/>
  <c r="O551" i="1"/>
  <c r="AA551" i="1"/>
  <c r="AD551" i="1"/>
  <c r="AE551" i="1"/>
  <c r="AF551" i="1"/>
  <c r="AG551" i="1"/>
  <c r="AH551" i="1"/>
  <c r="AQ551" i="1"/>
  <c r="L551" i="1" s="1"/>
  <c r="I552" i="1"/>
  <c r="E552" i="1" s="1"/>
  <c r="D552" i="1" s="1"/>
  <c r="M552" i="1"/>
  <c r="O552" i="1"/>
  <c r="AA552" i="1"/>
  <c r="AD552" i="1"/>
  <c r="AE552" i="1"/>
  <c r="AF552" i="1"/>
  <c r="AG552" i="1"/>
  <c r="AH552" i="1"/>
  <c r="AQ552" i="1"/>
  <c r="L552" i="1" s="1"/>
  <c r="I553" i="1"/>
  <c r="E553" i="1" s="1"/>
  <c r="D553" i="1" s="1"/>
  <c r="M553" i="1"/>
  <c r="O553" i="1"/>
  <c r="AA553" i="1"/>
  <c r="AD553" i="1"/>
  <c r="AE553" i="1"/>
  <c r="AF553" i="1"/>
  <c r="AG553" i="1"/>
  <c r="AH553" i="1"/>
  <c r="AQ553" i="1"/>
  <c r="L553" i="1" s="1"/>
  <c r="I554" i="1"/>
  <c r="E554" i="1" s="1"/>
  <c r="D554" i="1" s="1"/>
  <c r="M554" i="1"/>
  <c r="O554" i="1"/>
  <c r="AA554" i="1"/>
  <c r="AD554" i="1"/>
  <c r="AE554" i="1"/>
  <c r="AF554" i="1"/>
  <c r="AG554" i="1"/>
  <c r="AH554" i="1"/>
  <c r="AQ554" i="1"/>
  <c r="L554" i="1" s="1"/>
  <c r="I555" i="1"/>
  <c r="E555" i="1" s="1"/>
  <c r="D555" i="1" s="1"/>
  <c r="M555" i="1"/>
  <c r="O555" i="1"/>
  <c r="AA555" i="1"/>
  <c r="AD555" i="1"/>
  <c r="AE555" i="1"/>
  <c r="AF555" i="1"/>
  <c r="AG555" i="1"/>
  <c r="AH555" i="1"/>
  <c r="AQ555" i="1"/>
  <c r="L555" i="1" s="1"/>
  <c r="I556" i="1"/>
  <c r="E556" i="1" s="1"/>
  <c r="D556" i="1" s="1"/>
  <c r="M556" i="1"/>
  <c r="O556" i="1"/>
  <c r="AA556" i="1"/>
  <c r="AD556" i="1"/>
  <c r="AE556" i="1"/>
  <c r="AF556" i="1"/>
  <c r="AG556" i="1"/>
  <c r="AH556" i="1"/>
  <c r="AQ556" i="1"/>
  <c r="L556" i="1" s="1"/>
  <c r="I557" i="1"/>
  <c r="E557" i="1" s="1"/>
  <c r="D557" i="1" s="1"/>
  <c r="M557" i="1"/>
  <c r="O557" i="1"/>
  <c r="AA557" i="1"/>
  <c r="AD557" i="1"/>
  <c r="AE557" i="1"/>
  <c r="AF557" i="1"/>
  <c r="AG557" i="1"/>
  <c r="AH557" i="1"/>
  <c r="AQ557" i="1"/>
  <c r="L557" i="1" s="1"/>
  <c r="I558" i="1"/>
  <c r="E558" i="1" s="1"/>
  <c r="D558" i="1" s="1"/>
  <c r="M558" i="1"/>
  <c r="O558" i="1"/>
  <c r="AA558" i="1"/>
  <c r="AD558" i="1"/>
  <c r="AE558" i="1"/>
  <c r="AF558" i="1"/>
  <c r="AG558" i="1"/>
  <c r="AH558" i="1"/>
  <c r="AQ558" i="1"/>
  <c r="L558" i="1" s="1"/>
  <c r="I559" i="1"/>
  <c r="E559" i="1" s="1"/>
  <c r="D559" i="1" s="1"/>
  <c r="M559" i="1"/>
  <c r="O559" i="1"/>
  <c r="AA559" i="1"/>
  <c r="AD559" i="1"/>
  <c r="AE559" i="1"/>
  <c r="AF559" i="1"/>
  <c r="AG559" i="1"/>
  <c r="AH559" i="1"/>
  <c r="AQ559" i="1"/>
  <c r="L559" i="1" s="1"/>
  <c r="I560" i="1"/>
  <c r="E560" i="1" s="1"/>
  <c r="D560" i="1" s="1"/>
  <c r="M560" i="1"/>
  <c r="O560" i="1"/>
  <c r="AA560" i="1"/>
  <c r="AD560" i="1"/>
  <c r="AE560" i="1"/>
  <c r="AF560" i="1"/>
  <c r="AG560" i="1"/>
  <c r="AH560" i="1"/>
  <c r="AQ560" i="1"/>
  <c r="L560" i="1" s="1"/>
  <c r="I561" i="1"/>
  <c r="E561" i="1" s="1"/>
  <c r="D561" i="1" s="1"/>
  <c r="M561" i="1"/>
  <c r="O561" i="1"/>
  <c r="AA561" i="1"/>
  <c r="AD561" i="1"/>
  <c r="AE561" i="1"/>
  <c r="AF561" i="1"/>
  <c r="AG561" i="1"/>
  <c r="AH561" i="1"/>
  <c r="AQ561" i="1"/>
  <c r="L561" i="1" s="1"/>
  <c r="I562" i="1"/>
  <c r="E562" i="1" s="1"/>
  <c r="D562" i="1" s="1"/>
  <c r="M562" i="1"/>
  <c r="O562" i="1"/>
  <c r="AA562" i="1"/>
  <c r="AD562" i="1"/>
  <c r="AE562" i="1"/>
  <c r="AF562" i="1"/>
  <c r="AG562" i="1"/>
  <c r="AH562" i="1"/>
  <c r="AQ562" i="1"/>
  <c r="L562" i="1" s="1"/>
  <c r="I563" i="1"/>
  <c r="E563" i="1" s="1"/>
  <c r="D563" i="1" s="1"/>
  <c r="M563" i="1"/>
  <c r="O563" i="1"/>
  <c r="AA563" i="1"/>
  <c r="AD563" i="1"/>
  <c r="AE563" i="1"/>
  <c r="AF563" i="1"/>
  <c r="AG563" i="1"/>
  <c r="AH563" i="1"/>
  <c r="AQ563" i="1"/>
  <c r="L563" i="1" s="1"/>
  <c r="I564" i="1"/>
  <c r="E564" i="1" s="1"/>
  <c r="D564" i="1" s="1"/>
  <c r="M564" i="1"/>
  <c r="O564" i="1"/>
  <c r="AA564" i="1"/>
  <c r="AD564" i="1"/>
  <c r="AE564" i="1"/>
  <c r="AF564" i="1"/>
  <c r="AG564" i="1"/>
  <c r="AH564" i="1"/>
  <c r="AQ564" i="1"/>
  <c r="L564" i="1" s="1"/>
  <c r="I565" i="1"/>
  <c r="E565" i="1" s="1"/>
  <c r="D565" i="1" s="1"/>
  <c r="M565" i="1"/>
  <c r="O565" i="1"/>
  <c r="AA565" i="1"/>
  <c r="AD565" i="1"/>
  <c r="AE565" i="1"/>
  <c r="AF565" i="1"/>
  <c r="AG565" i="1"/>
  <c r="AH565" i="1"/>
  <c r="AQ565" i="1"/>
  <c r="L565" i="1" s="1"/>
  <c r="I566" i="1"/>
  <c r="E566" i="1" s="1"/>
  <c r="D566" i="1" s="1"/>
  <c r="M566" i="1"/>
  <c r="O566" i="1"/>
  <c r="AA566" i="1"/>
  <c r="AD566" i="1"/>
  <c r="AE566" i="1"/>
  <c r="AF566" i="1"/>
  <c r="AG566" i="1"/>
  <c r="AH566" i="1"/>
  <c r="AQ566" i="1"/>
  <c r="L566" i="1" s="1"/>
  <c r="I567" i="1"/>
  <c r="E567" i="1" s="1"/>
  <c r="D567" i="1" s="1"/>
  <c r="M567" i="1"/>
  <c r="O567" i="1"/>
  <c r="AA567" i="1"/>
  <c r="AD567" i="1"/>
  <c r="AE567" i="1"/>
  <c r="AF567" i="1"/>
  <c r="AG567" i="1"/>
  <c r="AH567" i="1"/>
  <c r="AQ567" i="1"/>
  <c r="L567" i="1" s="1"/>
  <c r="I568" i="1"/>
  <c r="E568" i="1" s="1"/>
  <c r="D568" i="1" s="1"/>
  <c r="M568" i="1"/>
  <c r="O568" i="1"/>
  <c r="AA568" i="1"/>
  <c r="AD568" i="1"/>
  <c r="AE568" i="1"/>
  <c r="AF568" i="1"/>
  <c r="AG568" i="1"/>
  <c r="AH568" i="1"/>
  <c r="AQ568" i="1"/>
  <c r="L568" i="1" s="1"/>
  <c r="I569" i="1"/>
  <c r="E569" i="1" s="1"/>
  <c r="D569" i="1" s="1"/>
  <c r="M569" i="1"/>
  <c r="O569" i="1"/>
  <c r="AA569" i="1"/>
  <c r="AD569" i="1"/>
  <c r="AE569" i="1"/>
  <c r="AF569" i="1"/>
  <c r="AG569" i="1"/>
  <c r="AH569" i="1"/>
  <c r="AQ569" i="1"/>
  <c r="L569" i="1" s="1"/>
  <c r="I570" i="1"/>
  <c r="E570" i="1" s="1"/>
  <c r="D570" i="1" s="1"/>
  <c r="M570" i="1"/>
  <c r="O570" i="1"/>
  <c r="AA570" i="1"/>
  <c r="AD570" i="1"/>
  <c r="AE570" i="1"/>
  <c r="AF570" i="1"/>
  <c r="AG570" i="1"/>
  <c r="AH570" i="1"/>
  <c r="AQ570" i="1"/>
  <c r="L570" i="1" s="1"/>
  <c r="I571" i="1"/>
  <c r="E571" i="1" s="1"/>
  <c r="D571" i="1" s="1"/>
  <c r="M571" i="1"/>
  <c r="O571" i="1"/>
  <c r="AA571" i="1"/>
  <c r="AD571" i="1"/>
  <c r="AE571" i="1"/>
  <c r="AF571" i="1"/>
  <c r="AG571" i="1"/>
  <c r="AH571" i="1"/>
  <c r="AQ571" i="1"/>
  <c r="L571" i="1" s="1"/>
  <c r="I572" i="1"/>
  <c r="E572" i="1" s="1"/>
  <c r="D572" i="1" s="1"/>
  <c r="M572" i="1"/>
  <c r="O572" i="1"/>
  <c r="AA572" i="1"/>
  <c r="AD572" i="1"/>
  <c r="AE572" i="1"/>
  <c r="AF572" i="1"/>
  <c r="AG572" i="1"/>
  <c r="AH572" i="1"/>
  <c r="AQ572" i="1"/>
  <c r="L572" i="1" s="1"/>
  <c r="I573" i="1"/>
  <c r="E573" i="1" s="1"/>
  <c r="D573" i="1" s="1"/>
  <c r="M573" i="1"/>
  <c r="O573" i="1"/>
  <c r="AA573" i="1"/>
  <c r="AD573" i="1"/>
  <c r="AE573" i="1"/>
  <c r="AF573" i="1"/>
  <c r="AG573" i="1"/>
  <c r="AH573" i="1"/>
  <c r="AQ573" i="1"/>
  <c r="L573" i="1" s="1"/>
  <c r="I574" i="1"/>
  <c r="E574" i="1" s="1"/>
  <c r="D574" i="1" s="1"/>
  <c r="M574" i="1"/>
  <c r="O574" i="1"/>
  <c r="AA574" i="1"/>
  <c r="AD574" i="1"/>
  <c r="AE574" i="1"/>
  <c r="AF574" i="1"/>
  <c r="AG574" i="1"/>
  <c r="AH574" i="1"/>
  <c r="AQ574" i="1"/>
  <c r="L574" i="1" s="1"/>
  <c r="I575" i="1"/>
  <c r="E575" i="1" s="1"/>
  <c r="D575" i="1" s="1"/>
  <c r="M575" i="1"/>
  <c r="O575" i="1"/>
  <c r="AA575" i="1"/>
  <c r="AD575" i="1"/>
  <c r="AE575" i="1"/>
  <c r="AF575" i="1"/>
  <c r="AG575" i="1"/>
  <c r="AH575" i="1"/>
  <c r="AQ575" i="1"/>
  <c r="L575" i="1" s="1"/>
  <c r="I576" i="1"/>
  <c r="E576" i="1" s="1"/>
  <c r="D576" i="1" s="1"/>
  <c r="M576" i="1"/>
  <c r="O576" i="1"/>
  <c r="AA576" i="1"/>
  <c r="AD576" i="1"/>
  <c r="AE576" i="1"/>
  <c r="AF576" i="1"/>
  <c r="AG576" i="1"/>
  <c r="AH576" i="1"/>
  <c r="AQ576" i="1"/>
  <c r="L576" i="1" s="1"/>
  <c r="I577" i="1"/>
  <c r="E577" i="1" s="1"/>
  <c r="D577" i="1" s="1"/>
  <c r="M577" i="1"/>
  <c r="O577" i="1"/>
  <c r="AA577" i="1"/>
  <c r="AD577" i="1"/>
  <c r="AE577" i="1"/>
  <c r="AF577" i="1"/>
  <c r="AG577" i="1"/>
  <c r="AH577" i="1"/>
  <c r="AQ577" i="1"/>
  <c r="L577" i="1" s="1"/>
  <c r="I578" i="1"/>
  <c r="E578" i="1" s="1"/>
  <c r="D578" i="1" s="1"/>
  <c r="M578" i="1"/>
  <c r="O578" i="1"/>
  <c r="AA578" i="1"/>
  <c r="AD578" i="1"/>
  <c r="AE578" i="1"/>
  <c r="AF578" i="1"/>
  <c r="AG578" i="1"/>
  <c r="AH578" i="1"/>
  <c r="AQ578" i="1"/>
  <c r="L578" i="1" s="1"/>
  <c r="I579" i="1"/>
  <c r="E579" i="1" s="1"/>
  <c r="D579" i="1" s="1"/>
  <c r="M579" i="1"/>
  <c r="O579" i="1"/>
  <c r="AA579" i="1"/>
  <c r="AD579" i="1"/>
  <c r="AE579" i="1"/>
  <c r="AF579" i="1"/>
  <c r="AG579" i="1"/>
  <c r="AH579" i="1"/>
  <c r="AQ579" i="1"/>
  <c r="L579" i="1" s="1"/>
  <c r="I580" i="1"/>
  <c r="E580" i="1" s="1"/>
  <c r="D580" i="1" s="1"/>
  <c r="M580" i="1"/>
  <c r="O580" i="1"/>
  <c r="AA580" i="1"/>
  <c r="AD580" i="1"/>
  <c r="AE580" i="1"/>
  <c r="AF580" i="1"/>
  <c r="AG580" i="1"/>
  <c r="AH580" i="1"/>
  <c r="AQ580" i="1"/>
  <c r="L580" i="1" s="1"/>
  <c r="I581" i="1"/>
  <c r="E581" i="1" s="1"/>
  <c r="D581" i="1" s="1"/>
  <c r="M581" i="1"/>
  <c r="O581" i="1"/>
  <c r="AA581" i="1"/>
  <c r="AD581" i="1"/>
  <c r="AE581" i="1"/>
  <c r="AF581" i="1"/>
  <c r="AG581" i="1"/>
  <c r="AH581" i="1"/>
  <c r="AQ581" i="1"/>
  <c r="L581" i="1" s="1"/>
  <c r="I582" i="1"/>
  <c r="E582" i="1" s="1"/>
  <c r="D582" i="1" s="1"/>
  <c r="M582" i="1"/>
  <c r="O582" i="1"/>
  <c r="AA582" i="1"/>
  <c r="AD582" i="1"/>
  <c r="AE582" i="1"/>
  <c r="AF582" i="1"/>
  <c r="AG582" i="1"/>
  <c r="AH582" i="1"/>
  <c r="AQ582" i="1"/>
  <c r="L582" i="1" s="1"/>
  <c r="I583" i="1"/>
  <c r="E583" i="1" s="1"/>
  <c r="D583" i="1" s="1"/>
  <c r="M583" i="1"/>
  <c r="O583" i="1"/>
  <c r="AA583" i="1"/>
  <c r="AD583" i="1"/>
  <c r="AE583" i="1"/>
  <c r="AF583" i="1"/>
  <c r="AG583" i="1"/>
  <c r="AH583" i="1"/>
  <c r="AQ583" i="1"/>
  <c r="L583" i="1" s="1"/>
  <c r="I584" i="1"/>
  <c r="E584" i="1" s="1"/>
  <c r="D584" i="1" s="1"/>
  <c r="M584" i="1"/>
  <c r="O584" i="1"/>
  <c r="AA584" i="1"/>
  <c r="AD584" i="1"/>
  <c r="AE584" i="1"/>
  <c r="AF584" i="1"/>
  <c r="AG584" i="1"/>
  <c r="AH584" i="1"/>
  <c r="AQ584" i="1"/>
  <c r="L584" i="1" s="1"/>
  <c r="I585" i="1"/>
  <c r="E585" i="1" s="1"/>
  <c r="D585" i="1" s="1"/>
  <c r="M585" i="1"/>
  <c r="O585" i="1"/>
  <c r="AA585" i="1"/>
  <c r="AD585" i="1"/>
  <c r="AE585" i="1"/>
  <c r="AF585" i="1"/>
  <c r="AG585" i="1"/>
  <c r="AH585" i="1"/>
  <c r="AQ585" i="1"/>
  <c r="L585" i="1" s="1"/>
  <c r="I586" i="1"/>
  <c r="E586" i="1" s="1"/>
  <c r="D586" i="1" s="1"/>
  <c r="M586" i="1"/>
  <c r="O586" i="1"/>
  <c r="AA586" i="1"/>
  <c r="AD586" i="1"/>
  <c r="AE586" i="1"/>
  <c r="AF586" i="1"/>
  <c r="AG586" i="1"/>
  <c r="AH586" i="1"/>
  <c r="AQ586" i="1"/>
  <c r="L586" i="1" s="1"/>
  <c r="I587" i="1"/>
  <c r="E587" i="1" s="1"/>
  <c r="D587" i="1" s="1"/>
  <c r="M587" i="1"/>
  <c r="O587" i="1"/>
  <c r="AA587" i="1"/>
  <c r="AD587" i="1"/>
  <c r="AE587" i="1"/>
  <c r="AF587" i="1"/>
  <c r="AG587" i="1"/>
  <c r="AH587" i="1"/>
  <c r="AQ587" i="1"/>
  <c r="L587" i="1" s="1"/>
  <c r="I588" i="1"/>
  <c r="E588" i="1" s="1"/>
  <c r="D588" i="1" s="1"/>
  <c r="M588" i="1"/>
  <c r="O588" i="1"/>
  <c r="AA588" i="1"/>
  <c r="AD588" i="1"/>
  <c r="AE588" i="1"/>
  <c r="AF588" i="1"/>
  <c r="AG588" i="1"/>
  <c r="AH588" i="1"/>
  <c r="AQ588" i="1"/>
  <c r="L588" i="1" s="1"/>
  <c r="I589" i="1"/>
  <c r="E589" i="1" s="1"/>
  <c r="D589" i="1" s="1"/>
  <c r="M589" i="1"/>
  <c r="O589" i="1"/>
  <c r="AA589" i="1"/>
  <c r="AD589" i="1"/>
  <c r="AE589" i="1"/>
  <c r="AF589" i="1"/>
  <c r="AG589" i="1"/>
  <c r="AH589" i="1"/>
  <c r="AQ589" i="1"/>
  <c r="L589" i="1" s="1"/>
  <c r="I590" i="1"/>
  <c r="E590" i="1" s="1"/>
  <c r="D590" i="1" s="1"/>
  <c r="M590" i="1"/>
  <c r="O590" i="1"/>
  <c r="AA590" i="1"/>
  <c r="AD590" i="1"/>
  <c r="AE590" i="1"/>
  <c r="AF590" i="1"/>
  <c r="AG590" i="1"/>
  <c r="AH590" i="1"/>
  <c r="AQ590" i="1"/>
  <c r="L590" i="1" s="1"/>
  <c r="I591" i="1"/>
  <c r="E591" i="1" s="1"/>
  <c r="D591" i="1" s="1"/>
  <c r="M591" i="1"/>
  <c r="O591" i="1"/>
  <c r="AA591" i="1"/>
  <c r="AD591" i="1"/>
  <c r="AE591" i="1"/>
  <c r="AF591" i="1"/>
  <c r="AG591" i="1"/>
  <c r="AH591" i="1"/>
  <c r="AQ591" i="1"/>
  <c r="L591" i="1" s="1"/>
  <c r="I592" i="1"/>
  <c r="E592" i="1" s="1"/>
  <c r="D592" i="1" s="1"/>
  <c r="M592" i="1"/>
  <c r="O592" i="1"/>
  <c r="AA592" i="1"/>
  <c r="AD592" i="1"/>
  <c r="AE592" i="1"/>
  <c r="AF592" i="1"/>
  <c r="AG592" i="1"/>
  <c r="AH592" i="1"/>
  <c r="AQ592" i="1"/>
  <c r="L592" i="1" s="1"/>
  <c r="I593" i="1"/>
  <c r="E593" i="1" s="1"/>
  <c r="D593" i="1" s="1"/>
  <c r="M593" i="1"/>
  <c r="O593" i="1"/>
  <c r="AA593" i="1"/>
  <c r="AD593" i="1"/>
  <c r="AE593" i="1"/>
  <c r="AF593" i="1"/>
  <c r="AG593" i="1"/>
  <c r="AH593" i="1"/>
  <c r="AQ593" i="1"/>
  <c r="L593" i="1" s="1"/>
  <c r="I594" i="1"/>
  <c r="E594" i="1" s="1"/>
  <c r="D594" i="1" s="1"/>
  <c r="M594" i="1"/>
  <c r="O594" i="1"/>
  <c r="AA594" i="1"/>
  <c r="AD594" i="1"/>
  <c r="AE594" i="1"/>
  <c r="AF594" i="1"/>
  <c r="AG594" i="1"/>
  <c r="AH594" i="1"/>
  <c r="AQ594" i="1"/>
  <c r="L594" i="1" s="1"/>
  <c r="I595" i="1"/>
  <c r="E595" i="1" s="1"/>
  <c r="D595" i="1" s="1"/>
  <c r="M595" i="1"/>
  <c r="O595" i="1"/>
  <c r="AA595" i="1"/>
  <c r="AD595" i="1"/>
  <c r="AE595" i="1"/>
  <c r="AF595" i="1"/>
  <c r="AG595" i="1"/>
  <c r="AH595" i="1"/>
  <c r="AQ595" i="1"/>
  <c r="L595" i="1" s="1"/>
  <c r="I596" i="1"/>
  <c r="E596" i="1" s="1"/>
  <c r="D596" i="1" s="1"/>
  <c r="M596" i="1"/>
  <c r="O596" i="1"/>
  <c r="AA596" i="1"/>
  <c r="AD596" i="1"/>
  <c r="AE596" i="1"/>
  <c r="AF596" i="1"/>
  <c r="AG596" i="1"/>
  <c r="AH596" i="1"/>
  <c r="AQ596" i="1"/>
  <c r="L596" i="1" s="1"/>
  <c r="I597" i="1"/>
  <c r="E597" i="1" s="1"/>
  <c r="D597" i="1" s="1"/>
  <c r="M597" i="1"/>
  <c r="O597" i="1"/>
  <c r="AA597" i="1"/>
  <c r="AD597" i="1"/>
  <c r="AE597" i="1"/>
  <c r="AF597" i="1"/>
  <c r="AG597" i="1"/>
  <c r="AH597" i="1"/>
  <c r="AQ597" i="1"/>
  <c r="L597" i="1" s="1"/>
  <c r="I598" i="1"/>
  <c r="E598" i="1" s="1"/>
  <c r="D598" i="1" s="1"/>
  <c r="M598" i="1"/>
  <c r="O598" i="1"/>
  <c r="AA598" i="1"/>
  <c r="AD598" i="1"/>
  <c r="AE598" i="1"/>
  <c r="AF598" i="1"/>
  <c r="AG598" i="1"/>
  <c r="AH598" i="1"/>
  <c r="AQ598" i="1"/>
  <c r="L598" i="1" s="1"/>
  <c r="I599" i="1"/>
  <c r="E599" i="1" s="1"/>
  <c r="D599" i="1" s="1"/>
  <c r="M599" i="1"/>
  <c r="O599" i="1"/>
  <c r="AA599" i="1"/>
  <c r="AD599" i="1"/>
  <c r="AE599" i="1"/>
  <c r="AF599" i="1"/>
  <c r="AG599" i="1"/>
  <c r="AH599" i="1"/>
  <c r="AQ599" i="1"/>
  <c r="L599" i="1" s="1"/>
  <c r="I600" i="1"/>
  <c r="E600" i="1" s="1"/>
  <c r="D600" i="1" s="1"/>
  <c r="M600" i="1"/>
  <c r="O600" i="1"/>
  <c r="AA600" i="1"/>
  <c r="AD600" i="1"/>
  <c r="AE600" i="1"/>
  <c r="AF600" i="1"/>
  <c r="AG600" i="1"/>
  <c r="AH600" i="1"/>
  <c r="AQ600" i="1"/>
  <c r="L600" i="1" s="1"/>
  <c r="I601" i="1"/>
  <c r="E601" i="1" s="1"/>
  <c r="D601" i="1" s="1"/>
  <c r="M601" i="1"/>
  <c r="O601" i="1"/>
  <c r="AA601" i="1"/>
  <c r="AD601" i="1"/>
  <c r="AE601" i="1"/>
  <c r="AF601" i="1"/>
  <c r="AG601" i="1"/>
  <c r="AH601" i="1"/>
  <c r="AQ601" i="1"/>
  <c r="L601" i="1" s="1"/>
  <c r="I602" i="1"/>
  <c r="E602" i="1" s="1"/>
  <c r="D602" i="1" s="1"/>
  <c r="M602" i="1"/>
  <c r="O602" i="1"/>
  <c r="AA602" i="1"/>
  <c r="AD602" i="1"/>
  <c r="AE602" i="1"/>
  <c r="AF602" i="1"/>
  <c r="AG602" i="1"/>
  <c r="AH602" i="1"/>
  <c r="AQ602" i="1"/>
  <c r="L602" i="1" s="1"/>
  <c r="I603" i="1"/>
  <c r="E603" i="1" s="1"/>
  <c r="D603" i="1" s="1"/>
  <c r="M603" i="1"/>
  <c r="O603" i="1"/>
  <c r="AA603" i="1"/>
  <c r="AD603" i="1"/>
  <c r="AE603" i="1"/>
  <c r="AF603" i="1"/>
  <c r="AG603" i="1"/>
  <c r="AH603" i="1"/>
  <c r="AQ603" i="1"/>
  <c r="L603" i="1" s="1"/>
  <c r="I604" i="1"/>
  <c r="E604" i="1" s="1"/>
  <c r="D604" i="1" s="1"/>
  <c r="M604" i="1"/>
  <c r="O604" i="1"/>
  <c r="AA604" i="1"/>
  <c r="AD604" i="1"/>
  <c r="AE604" i="1"/>
  <c r="AF604" i="1"/>
  <c r="AG604" i="1"/>
  <c r="AH604" i="1"/>
  <c r="AQ604" i="1"/>
  <c r="L604" i="1" s="1"/>
  <c r="I605" i="1"/>
  <c r="E605" i="1" s="1"/>
  <c r="D605" i="1" s="1"/>
  <c r="M605" i="1"/>
  <c r="O605" i="1"/>
  <c r="AA605" i="1"/>
  <c r="AD605" i="1"/>
  <c r="AE605" i="1"/>
  <c r="AF605" i="1"/>
  <c r="AG605" i="1"/>
  <c r="AH605" i="1"/>
  <c r="AQ605" i="1"/>
  <c r="L605" i="1" s="1"/>
  <c r="I606" i="1"/>
  <c r="E606" i="1" s="1"/>
  <c r="D606" i="1" s="1"/>
  <c r="M606" i="1"/>
  <c r="O606" i="1"/>
  <c r="AA606" i="1"/>
  <c r="AD606" i="1"/>
  <c r="AE606" i="1"/>
  <c r="AF606" i="1"/>
  <c r="AG606" i="1"/>
  <c r="AH606" i="1"/>
  <c r="AQ606" i="1"/>
  <c r="L606" i="1" s="1"/>
  <c r="I607" i="1"/>
  <c r="E607" i="1" s="1"/>
  <c r="D607" i="1" s="1"/>
  <c r="M607" i="1"/>
  <c r="O607" i="1"/>
  <c r="AA607" i="1"/>
  <c r="AD607" i="1"/>
  <c r="AE607" i="1"/>
  <c r="AF607" i="1"/>
  <c r="AG607" i="1"/>
  <c r="AH607" i="1"/>
  <c r="AQ607" i="1"/>
  <c r="L607" i="1" s="1"/>
  <c r="I608" i="1"/>
  <c r="E608" i="1" s="1"/>
  <c r="D608" i="1" s="1"/>
  <c r="M608" i="1"/>
  <c r="O608" i="1"/>
  <c r="AA608" i="1"/>
  <c r="AD608" i="1"/>
  <c r="AE608" i="1"/>
  <c r="AF608" i="1"/>
  <c r="AG608" i="1"/>
  <c r="AH608" i="1"/>
  <c r="AQ608" i="1"/>
  <c r="L608" i="1" s="1"/>
  <c r="I609" i="1"/>
  <c r="E609" i="1" s="1"/>
  <c r="D609" i="1" s="1"/>
  <c r="M609" i="1"/>
  <c r="O609" i="1"/>
  <c r="AA609" i="1"/>
  <c r="AD609" i="1"/>
  <c r="AE609" i="1"/>
  <c r="AF609" i="1"/>
  <c r="AG609" i="1"/>
  <c r="AH609" i="1"/>
  <c r="AQ609" i="1"/>
  <c r="L609" i="1" s="1"/>
  <c r="I610" i="1"/>
  <c r="E610" i="1" s="1"/>
  <c r="D610" i="1" s="1"/>
  <c r="M610" i="1"/>
  <c r="O610" i="1"/>
  <c r="AA610" i="1"/>
  <c r="AD610" i="1"/>
  <c r="AE610" i="1"/>
  <c r="AF610" i="1"/>
  <c r="AG610" i="1"/>
  <c r="AH610" i="1"/>
  <c r="AQ610" i="1"/>
  <c r="L610" i="1" s="1"/>
  <c r="I611" i="1"/>
  <c r="E611" i="1" s="1"/>
  <c r="D611" i="1" s="1"/>
  <c r="M611" i="1"/>
  <c r="O611" i="1"/>
  <c r="AA611" i="1"/>
  <c r="AD611" i="1"/>
  <c r="AE611" i="1"/>
  <c r="AF611" i="1"/>
  <c r="AG611" i="1"/>
  <c r="AH611" i="1"/>
  <c r="AQ611" i="1"/>
  <c r="L611" i="1" s="1"/>
  <c r="I612" i="1"/>
  <c r="E612" i="1" s="1"/>
  <c r="D612" i="1" s="1"/>
  <c r="M612" i="1"/>
  <c r="O612" i="1"/>
  <c r="AA612" i="1"/>
  <c r="AD612" i="1"/>
  <c r="AE612" i="1"/>
  <c r="AF612" i="1"/>
  <c r="AG612" i="1"/>
  <c r="AH612" i="1"/>
  <c r="AQ612" i="1"/>
  <c r="L612" i="1" s="1"/>
  <c r="I613" i="1"/>
  <c r="E613" i="1" s="1"/>
  <c r="D613" i="1" s="1"/>
  <c r="M613" i="1"/>
  <c r="O613" i="1"/>
  <c r="AA613" i="1"/>
  <c r="AD613" i="1"/>
  <c r="AE613" i="1"/>
  <c r="AF613" i="1"/>
  <c r="AG613" i="1"/>
  <c r="AH613" i="1"/>
  <c r="AQ613" i="1"/>
  <c r="L613" i="1" s="1"/>
  <c r="I614" i="1"/>
  <c r="E614" i="1" s="1"/>
  <c r="D614" i="1" s="1"/>
  <c r="M614" i="1"/>
  <c r="O614" i="1"/>
  <c r="AA614" i="1"/>
  <c r="AD614" i="1"/>
  <c r="AE614" i="1"/>
  <c r="AF614" i="1"/>
  <c r="AG614" i="1"/>
  <c r="AH614" i="1"/>
  <c r="AQ614" i="1"/>
  <c r="L614" i="1" s="1"/>
  <c r="I615" i="1"/>
  <c r="E615" i="1" s="1"/>
  <c r="D615" i="1" s="1"/>
  <c r="M615" i="1"/>
  <c r="O615" i="1"/>
  <c r="AA615" i="1"/>
  <c r="AD615" i="1"/>
  <c r="AE615" i="1"/>
  <c r="AF615" i="1"/>
  <c r="AG615" i="1"/>
  <c r="AH615" i="1"/>
  <c r="AQ615" i="1"/>
  <c r="L615" i="1" s="1"/>
  <c r="I616" i="1"/>
  <c r="E616" i="1" s="1"/>
  <c r="D616" i="1" s="1"/>
  <c r="M616" i="1"/>
  <c r="O616" i="1"/>
  <c r="AA616" i="1"/>
  <c r="AD616" i="1"/>
  <c r="AE616" i="1"/>
  <c r="AF616" i="1"/>
  <c r="AG616" i="1"/>
  <c r="AH616" i="1"/>
  <c r="AQ616" i="1"/>
  <c r="L616" i="1" s="1"/>
  <c r="I617" i="1"/>
  <c r="E617" i="1" s="1"/>
  <c r="D617" i="1" s="1"/>
  <c r="M617" i="1"/>
  <c r="O617" i="1"/>
  <c r="AA617" i="1"/>
  <c r="AD617" i="1"/>
  <c r="AE617" i="1"/>
  <c r="AF617" i="1"/>
  <c r="AG617" i="1"/>
  <c r="AH617" i="1"/>
  <c r="AQ617" i="1"/>
  <c r="L617" i="1" s="1"/>
  <c r="I618" i="1"/>
  <c r="E618" i="1" s="1"/>
  <c r="D618" i="1" s="1"/>
  <c r="M618" i="1"/>
  <c r="O618" i="1"/>
  <c r="AA618" i="1"/>
  <c r="AD618" i="1"/>
  <c r="AE618" i="1"/>
  <c r="AF618" i="1"/>
  <c r="AG618" i="1"/>
  <c r="AH618" i="1"/>
  <c r="AQ618" i="1"/>
  <c r="L618" i="1" s="1"/>
  <c r="I619" i="1"/>
  <c r="E619" i="1" s="1"/>
  <c r="D619" i="1" s="1"/>
  <c r="M619" i="1"/>
  <c r="O619" i="1"/>
  <c r="AA619" i="1"/>
  <c r="AD619" i="1"/>
  <c r="AE619" i="1"/>
  <c r="AF619" i="1"/>
  <c r="AG619" i="1"/>
  <c r="AH619" i="1"/>
  <c r="AQ619" i="1"/>
  <c r="L619" i="1" s="1"/>
  <c r="I620" i="1"/>
  <c r="E620" i="1" s="1"/>
  <c r="D620" i="1" s="1"/>
  <c r="M620" i="1"/>
  <c r="O620" i="1"/>
  <c r="AA620" i="1"/>
  <c r="AD620" i="1"/>
  <c r="AE620" i="1"/>
  <c r="AF620" i="1"/>
  <c r="AG620" i="1"/>
  <c r="AH620" i="1"/>
  <c r="AQ620" i="1"/>
  <c r="L620" i="1" s="1"/>
  <c r="I621" i="1"/>
  <c r="E621" i="1" s="1"/>
  <c r="D621" i="1" s="1"/>
  <c r="M621" i="1"/>
  <c r="O621" i="1"/>
  <c r="AA621" i="1"/>
  <c r="AD621" i="1"/>
  <c r="AE621" i="1"/>
  <c r="AF621" i="1"/>
  <c r="AG621" i="1"/>
  <c r="AH621" i="1"/>
  <c r="AQ621" i="1"/>
  <c r="L621" i="1" s="1"/>
  <c r="I622" i="1"/>
  <c r="E622" i="1" s="1"/>
  <c r="D622" i="1" s="1"/>
  <c r="M622" i="1"/>
  <c r="O622" i="1"/>
  <c r="AA622" i="1"/>
  <c r="AD622" i="1"/>
  <c r="AE622" i="1"/>
  <c r="AF622" i="1"/>
  <c r="AG622" i="1"/>
  <c r="AH622" i="1"/>
  <c r="AQ622" i="1"/>
  <c r="L622" i="1" s="1"/>
  <c r="I623" i="1"/>
  <c r="E623" i="1" s="1"/>
  <c r="D623" i="1" s="1"/>
  <c r="M623" i="1"/>
  <c r="O623" i="1"/>
  <c r="AA623" i="1"/>
  <c r="AD623" i="1"/>
  <c r="AE623" i="1"/>
  <c r="AF623" i="1"/>
  <c r="AG623" i="1"/>
  <c r="AH623" i="1"/>
  <c r="AQ623" i="1"/>
  <c r="L623" i="1" s="1"/>
  <c r="I624" i="1"/>
  <c r="E624" i="1" s="1"/>
  <c r="D624" i="1" s="1"/>
  <c r="M624" i="1"/>
  <c r="O624" i="1"/>
  <c r="AA624" i="1"/>
  <c r="AD624" i="1"/>
  <c r="AE624" i="1"/>
  <c r="AF624" i="1"/>
  <c r="AG624" i="1"/>
  <c r="AH624" i="1"/>
  <c r="AQ624" i="1"/>
  <c r="L624" i="1" s="1"/>
  <c r="I625" i="1"/>
  <c r="E625" i="1" s="1"/>
  <c r="D625" i="1" s="1"/>
  <c r="M625" i="1"/>
  <c r="O625" i="1"/>
  <c r="AA625" i="1"/>
  <c r="AD625" i="1"/>
  <c r="AE625" i="1"/>
  <c r="AF625" i="1"/>
  <c r="AG625" i="1"/>
  <c r="AH625" i="1"/>
  <c r="AQ625" i="1"/>
  <c r="L625" i="1" s="1"/>
  <c r="I626" i="1"/>
  <c r="E626" i="1" s="1"/>
  <c r="D626" i="1" s="1"/>
  <c r="M626" i="1"/>
  <c r="O626" i="1"/>
  <c r="AA626" i="1"/>
  <c r="AD626" i="1"/>
  <c r="AE626" i="1"/>
  <c r="AF626" i="1"/>
  <c r="AG626" i="1"/>
  <c r="AH626" i="1"/>
  <c r="AQ626" i="1"/>
  <c r="L626" i="1" s="1"/>
  <c r="I627" i="1"/>
  <c r="E627" i="1" s="1"/>
  <c r="D627" i="1" s="1"/>
  <c r="M627" i="1"/>
  <c r="O627" i="1"/>
  <c r="AA627" i="1"/>
  <c r="AD627" i="1"/>
  <c r="AE627" i="1"/>
  <c r="AF627" i="1"/>
  <c r="AG627" i="1"/>
  <c r="AH627" i="1"/>
  <c r="AQ627" i="1"/>
  <c r="L627" i="1" s="1"/>
  <c r="I628" i="1"/>
  <c r="E628" i="1" s="1"/>
  <c r="D628" i="1" s="1"/>
  <c r="M628" i="1"/>
  <c r="O628" i="1"/>
  <c r="AA628" i="1"/>
  <c r="AD628" i="1"/>
  <c r="AE628" i="1"/>
  <c r="AF628" i="1"/>
  <c r="AG628" i="1"/>
  <c r="AH628" i="1"/>
  <c r="AQ628" i="1"/>
  <c r="L628" i="1" s="1"/>
  <c r="I629" i="1"/>
  <c r="E629" i="1" s="1"/>
  <c r="D629" i="1" s="1"/>
  <c r="M629" i="1"/>
  <c r="O629" i="1"/>
  <c r="AA629" i="1"/>
  <c r="AD629" i="1"/>
  <c r="AE629" i="1"/>
  <c r="AF629" i="1"/>
  <c r="AG629" i="1"/>
  <c r="AH629" i="1"/>
  <c r="AQ629" i="1"/>
  <c r="L629" i="1" s="1"/>
  <c r="I630" i="1"/>
  <c r="E630" i="1" s="1"/>
  <c r="D630" i="1" s="1"/>
  <c r="M630" i="1"/>
  <c r="O630" i="1"/>
  <c r="AA630" i="1"/>
  <c r="AD630" i="1"/>
  <c r="AE630" i="1"/>
  <c r="AF630" i="1"/>
  <c r="AG630" i="1"/>
  <c r="AH630" i="1"/>
  <c r="AQ630" i="1"/>
  <c r="L630" i="1" s="1"/>
  <c r="I631" i="1"/>
  <c r="E631" i="1" s="1"/>
  <c r="D631" i="1" s="1"/>
  <c r="M631" i="1"/>
  <c r="O631" i="1"/>
  <c r="AA631" i="1"/>
  <c r="AD631" i="1"/>
  <c r="AE631" i="1"/>
  <c r="AF631" i="1"/>
  <c r="AG631" i="1"/>
  <c r="AH631" i="1"/>
  <c r="AQ631" i="1"/>
  <c r="L631" i="1" s="1"/>
  <c r="I632" i="1"/>
  <c r="E632" i="1" s="1"/>
  <c r="D632" i="1" s="1"/>
  <c r="M632" i="1"/>
  <c r="O632" i="1"/>
  <c r="AA632" i="1"/>
  <c r="AD632" i="1"/>
  <c r="AE632" i="1"/>
  <c r="AF632" i="1"/>
  <c r="AG632" i="1"/>
  <c r="AH632" i="1"/>
  <c r="AQ632" i="1"/>
  <c r="L632" i="1" s="1"/>
  <c r="I633" i="1"/>
  <c r="E633" i="1" s="1"/>
  <c r="D633" i="1" s="1"/>
  <c r="M633" i="1"/>
  <c r="O633" i="1"/>
  <c r="AA633" i="1"/>
  <c r="AD633" i="1"/>
  <c r="AE633" i="1"/>
  <c r="AF633" i="1"/>
  <c r="AG633" i="1"/>
  <c r="AH633" i="1"/>
  <c r="AQ633" i="1"/>
  <c r="L633" i="1" s="1"/>
  <c r="I634" i="1"/>
  <c r="E634" i="1" s="1"/>
  <c r="D634" i="1" s="1"/>
  <c r="M634" i="1"/>
  <c r="O634" i="1"/>
  <c r="AA634" i="1"/>
  <c r="AD634" i="1"/>
  <c r="AE634" i="1"/>
  <c r="AF634" i="1"/>
  <c r="AG634" i="1"/>
  <c r="AH634" i="1"/>
  <c r="AQ634" i="1"/>
  <c r="L634" i="1" s="1"/>
  <c r="I635" i="1"/>
  <c r="E635" i="1" s="1"/>
  <c r="D635" i="1" s="1"/>
  <c r="M635" i="1"/>
  <c r="O635" i="1"/>
  <c r="AA635" i="1"/>
  <c r="AD635" i="1"/>
  <c r="AE635" i="1"/>
  <c r="AF635" i="1"/>
  <c r="AG635" i="1"/>
  <c r="AH635" i="1"/>
  <c r="AQ635" i="1"/>
  <c r="L635" i="1" s="1"/>
  <c r="I636" i="1"/>
  <c r="E636" i="1" s="1"/>
  <c r="D636" i="1" s="1"/>
  <c r="M636" i="1"/>
  <c r="O636" i="1"/>
  <c r="AA636" i="1"/>
  <c r="AD636" i="1"/>
  <c r="AE636" i="1"/>
  <c r="AF636" i="1"/>
  <c r="AG636" i="1"/>
  <c r="AH636" i="1"/>
  <c r="AQ636" i="1"/>
  <c r="L636" i="1" s="1"/>
  <c r="I637" i="1"/>
  <c r="E637" i="1" s="1"/>
  <c r="D637" i="1" s="1"/>
  <c r="M637" i="1"/>
  <c r="O637" i="1"/>
  <c r="AA637" i="1"/>
  <c r="AD637" i="1"/>
  <c r="AE637" i="1"/>
  <c r="AF637" i="1"/>
  <c r="AG637" i="1"/>
  <c r="AH637" i="1"/>
  <c r="AQ637" i="1"/>
  <c r="L637" i="1" s="1"/>
  <c r="I638" i="1"/>
  <c r="E638" i="1" s="1"/>
  <c r="D638" i="1" s="1"/>
  <c r="M638" i="1"/>
  <c r="O638" i="1"/>
  <c r="AA638" i="1"/>
  <c r="AD638" i="1"/>
  <c r="AE638" i="1"/>
  <c r="AF638" i="1"/>
  <c r="AG638" i="1"/>
  <c r="AH638" i="1"/>
  <c r="AQ638" i="1"/>
  <c r="L638" i="1" s="1"/>
  <c r="I639" i="1"/>
  <c r="E639" i="1" s="1"/>
  <c r="D639" i="1" s="1"/>
  <c r="M639" i="1"/>
  <c r="O639" i="1"/>
  <c r="AA639" i="1"/>
  <c r="AD639" i="1"/>
  <c r="AE639" i="1"/>
  <c r="AF639" i="1"/>
  <c r="AG639" i="1"/>
  <c r="AH639" i="1"/>
  <c r="AQ639" i="1"/>
  <c r="L639" i="1" s="1"/>
  <c r="I640" i="1"/>
  <c r="E640" i="1" s="1"/>
  <c r="D640" i="1" s="1"/>
  <c r="M640" i="1"/>
  <c r="O640" i="1"/>
  <c r="AA640" i="1"/>
  <c r="AD640" i="1"/>
  <c r="AE640" i="1"/>
  <c r="AF640" i="1"/>
  <c r="AG640" i="1"/>
  <c r="AH640" i="1"/>
  <c r="AQ640" i="1"/>
  <c r="L640" i="1" s="1"/>
  <c r="I641" i="1"/>
  <c r="E641" i="1" s="1"/>
  <c r="D641" i="1" s="1"/>
  <c r="M641" i="1"/>
  <c r="O641" i="1"/>
  <c r="AA641" i="1"/>
  <c r="AD641" i="1"/>
  <c r="AE641" i="1"/>
  <c r="AF641" i="1"/>
  <c r="AG641" i="1"/>
  <c r="AH641" i="1"/>
  <c r="AQ641" i="1"/>
  <c r="L641" i="1" s="1"/>
  <c r="I642" i="1"/>
  <c r="E642" i="1" s="1"/>
  <c r="D642" i="1" s="1"/>
  <c r="M642" i="1"/>
  <c r="O642" i="1"/>
  <c r="AA642" i="1"/>
  <c r="AD642" i="1"/>
  <c r="AE642" i="1"/>
  <c r="AF642" i="1"/>
  <c r="AG642" i="1"/>
  <c r="AH642" i="1"/>
  <c r="AQ642" i="1"/>
  <c r="L642" i="1" s="1"/>
  <c r="I643" i="1"/>
  <c r="E643" i="1" s="1"/>
  <c r="D643" i="1" s="1"/>
  <c r="M643" i="1"/>
  <c r="O643" i="1"/>
  <c r="AA643" i="1"/>
  <c r="AD643" i="1"/>
  <c r="AE643" i="1"/>
  <c r="AF643" i="1"/>
  <c r="AG643" i="1"/>
  <c r="AH643" i="1"/>
  <c r="AQ643" i="1"/>
  <c r="L643" i="1" s="1"/>
  <c r="I644" i="1"/>
  <c r="E644" i="1" s="1"/>
  <c r="D644" i="1" s="1"/>
  <c r="M644" i="1"/>
  <c r="O644" i="1"/>
  <c r="AA644" i="1"/>
  <c r="AD644" i="1"/>
  <c r="AE644" i="1"/>
  <c r="AF644" i="1"/>
  <c r="AG644" i="1"/>
  <c r="AH644" i="1"/>
  <c r="AQ644" i="1"/>
  <c r="L644" i="1" s="1"/>
  <c r="I645" i="1"/>
  <c r="E645" i="1" s="1"/>
  <c r="D645" i="1" s="1"/>
  <c r="M645" i="1"/>
  <c r="O645" i="1"/>
  <c r="AA645" i="1"/>
  <c r="AD645" i="1"/>
  <c r="AE645" i="1"/>
  <c r="AF645" i="1"/>
  <c r="AG645" i="1"/>
  <c r="AH645" i="1"/>
  <c r="AQ645" i="1"/>
  <c r="L645" i="1" s="1"/>
  <c r="I646" i="1"/>
  <c r="E646" i="1" s="1"/>
  <c r="D646" i="1" s="1"/>
  <c r="M646" i="1"/>
  <c r="O646" i="1"/>
  <c r="AA646" i="1"/>
  <c r="AD646" i="1"/>
  <c r="AE646" i="1"/>
  <c r="AF646" i="1"/>
  <c r="AG646" i="1"/>
  <c r="AH646" i="1"/>
  <c r="AQ646" i="1"/>
  <c r="L646" i="1" s="1"/>
  <c r="I647" i="1"/>
  <c r="E647" i="1" s="1"/>
  <c r="D647" i="1" s="1"/>
  <c r="M647" i="1"/>
  <c r="O647" i="1"/>
  <c r="AA647" i="1"/>
  <c r="AD647" i="1"/>
  <c r="AE647" i="1"/>
  <c r="AF647" i="1"/>
  <c r="AG647" i="1"/>
  <c r="AH647" i="1"/>
  <c r="AQ647" i="1"/>
  <c r="L647" i="1" s="1"/>
  <c r="I648" i="1"/>
  <c r="E648" i="1" s="1"/>
  <c r="D648" i="1" s="1"/>
  <c r="M648" i="1"/>
  <c r="O648" i="1"/>
  <c r="AA648" i="1"/>
  <c r="AD648" i="1"/>
  <c r="AE648" i="1"/>
  <c r="AF648" i="1"/>
  <c r="AG648" i="1"/>
  <c r="AH648" i="1"/>
  <c r="AQ648" i="1"/>
  <c r="L648" i="1" s="1"/>
  <c r="I649" i="1"/>
  <c r="E649" i="1" s="1"/>
  <c r="D649" i="1" s="1"/>
  <c r="M649" i="1"/>
  <c r="O649" i="1"/>
  <c r="AA649" i="1"/>
  <c r="AD649" i="1"/>
  <c r="AE649" i="1"/>
  <c r="AF649" i="1"/>
  <c r="AG649" i="1"/>
  <c r="AH649" i="1"/>
  <c r="AQ649" i="1"/>
  <c r="L649" i="1" s="1"/>
  <c r="I650" i="1"/>
  <c r="E650" i="1" s="1"/>
  <c r="D650" i="1" s="1"/>
  <c r="M650" i="1"/>
  <c r="O650" i="1"/>
  <c r="AA650" i="1"/>
  <c r="AD650" i="1"/>
  <c r="AE650" i="1"/>
  <c r="AF650" i="1"/>
  <c r="AG650" i="1"/>
  <c r="AH650" i="1"/>
  <c r="AQ650" i="1"/>
  <c r="L650" i="1" s="1"/>
  <c r="I651" i="1"/>
  <c r="E651" i="1" s="1"/>
  <c r="D651" i="1" s="1"/>
  <c r="M651" i="1"/>
  <c r="O651" i="1"/>
  <c r="AA651" i="1"/>
  <c r="AD651" i="1"/>
  <c r="AE651" i="1"/>
  <c r="AF651" i="1"/>
  <c r="AG651" i="1"/>
  <c r="AH651" i="1"/>
  <c r="AQ651" i="1"/>
  <c r="L651" i="1" s="1"/>
  <c r="I652" i="1"/>
  <c r="E652" i="1" s="1"/>
  <c r="D652" i="1" s="1"/>
  <c r="M652" i="1"/>
  <c r="O652" i="1"/>
  <c r="AA652" i="1"/>
  <c r="AD652" i="1"/>
  <c r="AE652" i="1"/>
  <c r="AF652" i="1"/>
  <c r="AG652" i="1"/>
  <c r="AH652" i="1"/>
  <c r="AQ652" i="1"/>
  <c r="L652" i="1" s="1"/>
  <c r="I653" i="1"/>
  <c r="E653" i="1" s="1"/>
  <c r="D653" i="1" s="1"/>
  <c r="M653" i="1"/>
  <c r="O653" i="1"/>
  <c r="AA653" i="1"/>
  <c r="AD653" i="1"/>
  <c r="AE653" i="1"/>
  <c r="AF653" i="1"/>
  <c r="AG653" i="1"/>
  <c r="AH653" i="1"/>
  <c r="AQ653" i="1"/>
  <c r="L653" i="1" s="1"/>
  <c r="I654" i="1"/>
  <c r="E654" i="1" s="1"/>
  <c r="D654" i="1" s="1"/>
  <c r="M654" i="1"/>
  <c r="O654" i="1"/>
  <c r="AA654" i="1"/>
  <c r="AD654" i="1"/>
  <c r="AE654" i="1"/>
  <c r="AF654" i="1"/>
  <c r="AG654" i="1"/>
  <c r="AH654" i="1"/>
  <c r="AQ654" i="1"/>
  <c r="L654" i="1" s="1"/>
  <c r="I655" i="1"/>
  <c r="E655" i="1" s="1"/>
  <c r="D655" i="1" s="1"/>
  <c r="M655" i="1"/>
  <c r="O655" i="1"/>
  <c r="AA655" i="1"/>
  <c r="AD655" i="1"/>
  <c r="AE655" i="1"/>
  <c r="AF655" i="1"/>
  <c r="AG655" i="1"/>
  <c r="AH655" i="1"/>
  <c r="AQ655" i="1"/>
  <c r="L655" i="1" s="1"/>
  <c r="I656" i="1"/>
  <c r="E656" i="1" s="1"/>
  <c r="D656" i="1" s="1"/>
  <c r="M656" i="1"/>
  <c r="O656" i="1"/>
  <c r="AA656" i="1"/>
  <c r="AD656" i="1"/>
  <c r="AE656" i="1"/>
  <c r="AF656" i="1"/>
  <c r="AG656" i="1"/>
  <c r="AH656" i="1"/>
  <c r="AQ656" i="1"/>
  <c r="L656" i="1" s="1"/>
  <c r="I657" i="1"/>
  <c r="E657" i="1" s="1"/>
  <c r="D657" i="1" s="1"/>
  <c r="M657" i="1"/>
  <c r="O657" i="1"/>
  <c r="AA657" i="1"/>
  <c r="AD657" i="1"/>
  <c r="AE657" i="1"/>
  <c r="AF657" i="1"/>
  <c r="AG657" i="1"/>
  <c r="AH657" i="1"/>
  <c r="AQ657" i="1"/>
  <c r="L657" i="1" s="1"/>
  <c r="I658" i="1"/>
  <c r="E658" i="1" s="1"/>
  <c r="D658" i="1" s="1"/>
  <c r="M658" i="1"/>
  <c r="O658" i="1"/>
  <c r="AA658" i="1"/>
  <c r="AD658" i="1"/>
  <c r="AE658" i="1"/>
  <c r="AF658" i="1"/>
  <c r="AG658" i="1"/>
  <c r="AH658" i="1"/>
  <c r="AQ658" i="1"/>
  <c r="L658" i="1" s="1"/>
  <c r="I659" i="1"/>
  <c r="E659" i="1" s="1"/>
  <c r="D659" i="1" s="1"/>
  <c r="M659" i="1"/>
  <c r="O659" i="1"/>
  <c r="AA659" i="1"/>
  <c r="AD659" i="1"/>
  <c r="AE659" i="1"/>
  <c r="AF659" i="1"/>
  <c r="AG659" i="1"/>
  <c r="AH659" i="1"/>
  <c r="AQ659" i="1"/>
  <c r="L659" i="1" s="1"/>
  <c r="I660" i="1"/>
  <c r="E660" i="1" s="1"/>
  <c r="D660" i="1" s="1"/>
  <c r="M660" i="1"/>
  <c r="O660" i="1"/>
  <c r="AA660" i="1"/>
  <c r="AD660" i="1"/>
  <c r="AE660" i="1"/>
  <c r="AF660" i="1"/>
  <c r="AG660" i="1"/>
  <c r="AH660" i="1"/>
  <c r="AQ660" i="1"/>
  <c r="L660" i="1" s="1"/>
  <c r="I661" i="1"/>
  <c r="E661" i="1" s="1"/>
  <c r="D661" i="1" s="1"/>
  <c r="M661" i="1"/>
  <c r="O661" i="1"/>
  <c r="AA661" i="1"/>
  <c r="AD661" i="1"/>
  <c r="AE661" i="1"/>
  <c r="AF661" i="1"/>
  <c r="AG661" i="1"/>
  <c r="AH661" i="1"/>
  <c r="AQ661" i="1"/>
  <c r="L661" i="1" s="1"/>
  <c r="I662" i="1"/>
  <c r="E662" i="1" s="1"/>
  <c r="D662" i="1" s="1"/>
  <c r="M662" i="1"/>
  <c r="O662" i="1"/>
  <c r="AA662" i="1"/>
  <c r="AD662" i="1"/>
  <c r="AE662" i="1"/>
  <c r="AF662" i="1"/>
  <c r="AG662" i="1"/>
  <c r="AH662" i="1"/>
  <c r="AQ662" i="1"/>
  <c r="L662" i="1" s="1"/>
  <c r="I663" i="1"/>
  <c r="E663" i="1" s="1"/>
  <c r="D663" i="1" s="1"/>
  <c r="M663" i="1"/>
  <c r="O663" i="1"/>
  <c r="AA663" i="1"/>
  <c r="AD663" i="1"/>
  <c r="AE663" i="1"/>
  <c r="AF663" i="1"/>
  <c r="AG663" i="1"/>
  <c r="AH663" i="1"/>
  <c r="AQ663" i="1"/>
  <c r="L663" i="1" s="1"/>
  <c r="I664" i="1"/>
  <c r="E664" i="1" s="1"/>
  <c r="D664" i="1" s="1"/>
  <c r="M664" i="1"/>
  <c r="O664" i="1"/>
  <c r="AA664" i="1"/>
  <c r="AD664" i="1"/>
  <c r="AE664" i="1"/>
  <c r="AF664" i="1"/>
  <c r="AG664" i="1"/>
  <c r="AH664" i="1"/>
  <c r="AQ664" i="1"/>
  <c r="L664" i="1" s="1"/>
  <c r="I665" i="1"/>
  <c r="E665" i="1" s="1"/>
  <c r="D665" i="1" s="1"/>
  <c r="M665" i="1"/>
  <c r="O665" i="1"/>
  <c r="AA665" i="1"/>
  <c r="AD665" i="1"/>
  <c r="AE665" i="1"/>
  <c r="AF665" i="1"/>
  <c r="AG665" i="1"/>
  <c r="AH665" i="1"/>
  <c r="AQ665" i="1"/>
  <c r="L665" i="1" s="1"/>
  <c r="I666" i="1"/>
  <c r="E666" i="1" s="1"/>
  <c r="D666" i="1" s="1"/>
  <c r="M666" i="1"/>
  <c r="O666" i="1"/>
  <c r="AA666" i="1"/>
  <c r="AD666" i="1"/>
  <c r="AE666" i="1"/>
  <c r="AF666" i="1"/>
  <c r="AG666" i="1"/>
  <c r="AH666" i="1"/>
  <c r="AQ666" i="1"/>
  <c r="L666" i="1" s="1"/>
  <c r="I667" i="1"/>
  <c r="E667" i="1" s="1"/>
  <c r="D667" i="1" s="1"/>
  <c r="M667" i="1"/>
  <c r="O667" i="1"/>
  <c r="AA667" i="1"/>
  <c r="AD667" i="1"/>
  <c r="AE667" i="1"/>
  <c r="AF667" i="1"/>
  <c r="AG667" i="1"/>
  <c r="AH667" i="1"/>
  <c r="AQ667" i="1"/>
  <c r="L667" i="1" s="1"/>
  <c r="I668" i="1"/>
  <c r="E668" i="1" s="1"/>
  <c r="D668" i="1" s="1"/>
  <c r="M668" i="1"/>
  <c r="O668" i="1"/>
  <c r="AA668" i="1"/>
  <c r="AD668" i="1"/>
  <c r="AE668" i="1"/>
  <c r="AF668" i="1"/>
  <c r="AG668" i="1"/>
  <c r="AH668" i="1"/>
  <c r="AQ668" i="1"/>
  <c r="L668" i="1" s="1"/>
  <c r="I669" i="1"/>
  <c r="E669" i="1" s="1"/>
  <c r="D669" i="1" s="1"/>
  <c r="M669" i="1"/>
  <c r="O669" i="1"/>
  <c r="AA669" i="1"/>
  <c r="AD669" i="1"/>
  <c r="AE669" i="1"/>
  <c r="AF669" i="1"/>
  <c r="AG669" i="1"/>
  <c r="AH669" i="1"/>
  <c r="AQ669" i="1"/>
  <c r="L669" i="1" s="1"/>
  <c r="I670" i="1"/>
  <c r="E670" i="1" s="1"/>
  <c r="D670" i="1" s="1"/>
  <c r="M670" i="1"/>
  <c r="O670" i="1"/>
  <c r="AA670" i="1"/>
  <c r="AD670" i="1"/>
  <c r="AE670" i="1"/>
  <c r="AF670" i="1"/>
  <c r="AG670" i="1"/>
  <c r="AH670" i="1"/>
  <c r="AQ670" i="1"/>
  <c r="L670" i="1" s="1"/>
  <c r="I671" i="1"/>
  <c r="E671" i="1" s="1"/>
  <c r="D671" i="1" s="1"/>
  <c r="M671" i="1"/>
  <c r="O671" i="1"/>
  <c r="AA671" i="1"/>
  <c r="AD671" i="1"/>
  <c r="AE671" i="1"/>
  <c r="AF671" i="1"/>
  <c r="AG671" i="1"/>
  <c r="AH671" i="1"/>
  <c r="AQ671" i="1"/>
  <c r="L671" i="1" s="1"/>
  <c r="I672" i="1"/>
  <c r="E672" i="1" s="1"/>
  <c r="D672" i="1" s="1"/>
  <c r="M672" i="1"/>
  <c r="O672" i="1"/>
  <c r="AA672" i="1"/>
  <c r="AD672" i="1"/>
  <c r="AE672" i="1"/>
  <c r="AF672" i="1"/>
  <c r="AG672" i="1"/>
  <c r="AH672" i="1"/>
  <c r="AQ672" i="1"/>
  <c r="L672" i="1" s="1"/>
  <c r="I673" i="1"/>
  <c r="E673" i="1" s="1"/>
  <c r="D673" i="1" s="1"/>
  <c r="M673" i="1"/>
  <c r="O673" i="1"/>
  <c r="AA673" i="1"/>
  <c r="AD673" i="1"/>
  <c r="AE673" i="1"/>
  <c r="AF673" i="1"/>
  <c r="AG673" i="1"/>
  <c r="AH673" i="1"/>
  <c r="AQ673" i="1"/>
  <c r="L673" i="1" s="1"/>
  <c r="I674" i="1"/>
  <c r="E674" i="1" s="1"/>
  <c r="D674" i="1" s="1"/>
  <c r="M674" i="1"/>
  <c r="O674" i="1"/>
  <c r="AA674" i="1"/>
  <c r="AD674" i="1"/>
  <c r="AE674" i="1"/>
  <c r="AF674" i="1"/>
  <c r="AG674" i="1"/>
  <c r="AH674" i="1"/>
  <c r="AQ674" i="1"/>
  <c r="L674" i="1" s="1"/>
  <c r="I675" i="1"/>
  <c r="E675" i="1" s="1"/>
  <c r="D675" i="1" s="1"/>
  <c r="M675" i="1"/>
  <c r="O675" i="1"/>
  <c r="AA675" i="1"/>
  <c r="AD675" i="1"/>
  <c r="AE675" i="1"/>
  <c r="AF675" i="1"/>
  <c r="AG675" i="1"/>
  <c r="AH675" i="1"/>
  <c r="AQ675" i="1"/>
  <c r="L675" i="1" s="1"/>
  <c r="I676" i="1"/>
  <c r="E676" i="1" s="1"/>
  <c r="D676" i="1" s="1"/>
  <c r="M676" i="1"/>
  <c r="O676" i="1"/>
  <c r="AA676" i="1"/>
  <c r="AD676" i="1"/>
  <c r="AE676" i="1"/>
  <c r="AF676" i="1"/>
  <c r="AG676" i="1"/>
  <c r="AH676" i="1"/>
  <c r="AQ676" i="1"/>
  <c r="L676" i="1" s="1"/>
  <c r="I677" i="1"/>
  <c r="E677" i="1" s="1"/>
  <c r="D677" i="1" s="1"/>
  <c r="M677" i="1"/>
  <c r="O677" i="1"/>
  <c r="AA677" i="1"/>
  <c r="AD677" i="1"/>
  <c r="AE677" i="1"/>
  <c r="AF677" i="1"/>
  <c r="AG677" i="1"/>
  <c r="AH677" i="1"/>
  <c r="AQ677" i="1"/>
  <c r="L677" i="1" s="1"/>
  <c r="I678" i="1"/>
  <c r="E678" i="1" s="1"/>
  <c r="D678" i="1" s="1"/>
  <c r="M678" i="1"/>
  <c r="O678" i="1"/>
  <c r="AA678" i="1"/>
  <c r="AD678" i="1"/>
  <c r="AE678" i="1"/>
  <c r="AF678" i="1"/>
  <c r="AG678" i="1"/>
  <c r="AH678" i="1"/>
  <c r="AQ678" i="1"/>
  <c r="L678" i="1" s="1"/>
  <c r="I679" i="1"/>
  <c r="E679" i="1" s="1"/>
  <c r="D679" i="1" s="1"/>
  <c r="M679" i="1"/>
  <c r="O679" i="1"/>
  <c r="AA679" i="1"/>
  <c r="AD679" i="1"/>
  <c r="AE679" i="1"/>
  <c r="AF679" i="1"/>
  <c r="AG679" i="1"/>
  <c r="AH679" i="1"/>
  <c r="AQ679" i="1"/>
  <c r="L679" i="1" s="1"/>
  <c r="I680" i="1"/>
  <c r="E680" i="1" s="1"/>
  <c r="D680" i="1" s="1"/>
  <c r="M680" i="1"/>
  <c r="O680" i="1"/>
  <c r="AA680" i="1"/>
  <c r="AD680" i="1"/>
  <c r="AE680" i="1"/>
  <c r="AF680" i="1"/>
  <c r="AG680" i="1"/>
  <c r="AH680" i="1"/>
  <c r="AQ680" i="1"/>
  <c r="L680" i="1" s="1"/>
  <c r="I681" i="1"/>
  <c r="E681" i="1" s="1"/>
  <c r="D681" i="1" s="1"/>
  <c r="M681" i="1"/>
  <c r="O681" i="1"/>
  <c r="AA681" i="1"/>
  <c r="AD681" i="1"/>
  <c r="AE681" i="1"/>
  <c r="AF681" i="1"/>
  <c r="AG681" i="1"/>
  <c r="AH681" i="1"/>
  <c r="AQ681" i="1"/>
  <c r="L681" i="1" s="1"/>
  <c r="I682" i="1"/>
  <c r="E682" i="1" s="1"/>
  <c r="D682" i="1" s="1"/>
  <c r="M682" i="1"/>
  <c r="O682" i="1"/>
  <c r="AA682" i="1"/>
  <c r="AD682" i="1"/>
  <c r="AE682" i="1"/>
  <c r="AF682" i="1"/>
  <c r="AG682" i="1"/>
  <c r="AH682" i="1"/>
  <c r="AQ682" i="1"/>
  <c r="L682" i="1" s="1"/>
  <c r="I683" i="1"/>
  <c r="E683" i="1" s="1"/>
  <c r="D683" i="1" s="1"/>
  <c r="M683" i="1"/>
  <c r="O683" i="1"/>
  <c r="AA683" i="1"/>
  <c r="AD683" i="1"/>
  <c r="AE683" i="1"/>
  <c r="AF683" i="1"/>
  <c r="AG683" i="1"/>
  <c r="AH683" i="1"/>
  <c r="AQ683" i="1"/>
  <c r="L683" i="1" s="1"/>
  <c r="I684" i="1"/>
  <c r="E684" i="1" s="1"/>
  <c r="D684" i="1" s="1"/>
  <c r="M684" i="1"/>
  <c r="O684" i="1"/>
  <c r="AA684" i="1"/>
  <c r="AD684" i="1"/>
  <c r="AE684" i="1"/>
  <c r="AF684" i="1"/>
  <c r="AG684" i="1"/>
  <c r="AH684" i="1"/>
  <c r="AQ684" i="1"/>
  <c r="L684" i="1" s="1"/>
  <c r="I685" i="1"/>
  <c r="E685" i="1" s="1"/>
  <c r="D685" i="1" s="1"/>
  <c r="M685" i="1"/>
  <c r="O685" i="1"/>
  <c r="AA685" i="1"/>
  <c r="AD685" i="1"/>
  <c r="AE685" i="1"/>
  <c r="AF685" i="1"/>
  <c r="AG685" i="1"/>
  <c r="AH685" i="1"/>
  <c r="AQ685" i="1"/>
  <c r="L685" i="1" s="1"/>
  <c r="I686" i="1"/>
  <c r="E686" i="1" s="1"/>
  <c r="D686" i="1" s="1"/>
  <c r="M686" i="1"/>
  <c r="O686" i="1"/>
  <c r="AA686" i="1"/>
  <c r="AD686" i="1"/>
  <c r="AE686" i="1"/>
  <c r="AF686" i="1"/>
  <c r="AG686" i="1"/>
  <c r="AH686" i="1"/>
  <c r="AQ686" i="1"/>
  <c r="L686" i="1" s="1"/>
  <c r="I687" i="1"/>
  <c r="E687" i="1" s="1"/>
  <c r="D687" i="1" s="1"/>
  <c r="M687" i="1"/>
  <c r="O687" i="1"/>
  <c r="AA687" i="1"/>
  <c r="AD687" i="1"/>
  <c r="AE687" i="1"/>
  <c r="AF687" i="1"/>
  <c r="AG687" i="1"/>
  <c r="AH687" i="1"/>
  <c r="AQ687" i="1"/>
  <c r="L687" i="1" s="1"/>
  <c r="I688" i="1"/>
  <c r="E688" i="1" s="1"/>
  <c r="D688" i="1" s="1"/>
  <c r="M688" i="1"/>
  <c r="O688" i="1"/>
  <c r="AA688" i="1"/>
  <c r="AD688" i="1"/>
  <c r="AE688" i="1"/>
  <c r="AF688" i="1"/>
  <c r="AG688" i="1"/>
  <c r="AH688" i="1"/>
  <c r="AQ688" i="1"/>
  <c r="L688" i="1" s="1"/>
  <c r="I689" i="1"/>
  <c r="E689" i="1" s="1"/>
  <c r="D689" i="1" s="1"/>
  <c r="M689" i="1"/>
  <c r="O689" i="1"/>
  <c r="AA689" i="1"/>
  <c r="AD689" i="1"/>
  <c r="AE689" i="1"/>
  <c r="AF689" i="1"/>
  <c r="AG689" i="1"/>
  <c r="AH689" i="1"/>
  <c r="AQ689" i="1"/>
  <c r="L689" i="1" s="1"/>
  <c r="I690" i="1"/>
  <c r="E690" i="1" s="1"/>
  <c r="D690" i="1" s="1"/>
  <c r="M690" i="1"/>
  <c r="O690" i="1"/>
  <c r="AA690" i="1"/>
  <c r="AD690" i="1"/>
  <c r="AE690" i="1"/>
  <c r="AF690" i="1"/>
  <c r="AG690" i="1"/>
  <c r="AH690" i="1"/>
  <c r="AQ690" i="1"/>
  <c r="L690" i="1" s="1"/>
  <c r="I691" i="1"/>
  <c r="E691" i="1" s="1"/>
  <c r="D691" i="1" s="1"/>
  <c r="M691" i="1"/>
  <c r="O691" i="1"/>
  <c r="AA691" i="1"/>
  <c r="AD691" i="1"/>
  <c r="AE691" i="1"/>
  <c r="AF691" i="1"/>
  <c r="AG691" i="1"/>
  <c r="AH691" i="1"/>
  <c r="AQ691" i="1"/>
  <c r="L691" i="1" s="1"/>
  <c r="I692" i="1"/>
  <c r="E692" i="1" s="1"/>
  <c r="D692" i="1" s="1"/>
  <c r="M692" i="1"/>
  <c r="O692" i="1"/>
  <c r="AA692" i="1"/>
  <c r="AD692" i="1"/>
  <c r="AE692" i="1"/>
  <c r="AF692" i="1"/>
  <c r="AG692" i="1"/>
  <c r="AH692" i="1"/>
  <c r="AQ692" i="1"/>
  <c r="L692" i="1" s="1"/>
  <c r="I693" i="1"/>
  <c r="E693" i="1" s="1"/>
  <c r="D693" i="1" s="1"/>
  <c r="M693" i="1"/>
  <c r="O693" i="1"/>
  <c r="AA693" i="1"/>
  <c r="AD693" i="1"/>
  <c r="AE693" i="1"/>
  <c r="AF693" i="1"/>
  <c r="AG693" i="1"/>
  <c r="AH693" i="1"/>
  <c r="AQ693" i="1"/>
  <c r="L693" i="1" s="1"/>
  <c r="I694" i="1"/>
  <c r="E694" i="1" s="1"/>
  <c r="D694" i="1" s="1"/>
  <c r="M694" i="1"/>
  <c r="O694" i="1"/>
  <c r="AA694" i="1"/>
  <c r="AD694" i="1"/>
  <c r="AE694" i="1"/>
  <c r="AF694" i="1"/>
  <c r="AG694" i="1"/>
  <c r="AH694" i="1"/>
  <c r="AQ694" i="1"/>
  <c r="L694" i="1" s="1"/>
  <c r="I695" i="1"/>
  <c r="E695" i="1" s="1"/>
  <c r="D695" i="1" s="1"/>
  <c r="M695" i="1"/>
  <c r="O695" i="1"/>
  <c r="AA695" i="1"/>
  <c r="AD695" i="1"/>
  <c r="AE695" i="1"/>
  <c r="AF695" i="1"/>
  <c r="AG695" i="1"/>
  <c r="AH695" i="1"/>
  <c r="AQ695" i="1"/>
  <c r="L695" i="1" s="1"/>
  <c r="I696" i="1"/>
  <c r="E696" i="1" s="1"/>
  <c r="D696" i="1" s="1"/>
  <c r="M696" i="1"/>
  <c r="O696" i="1"/>
  <c r="AA696" i="1"/>
  <c r="AD696" i="1"/>
  <c r="AE696" i="1"/>
  <c r="AF696" i="1"/>
  <c r="AG696" i="1"/>
  <c r="AH696" i="1"/>
  <c r="AQ696" i="1"/>
  <c r="L696" i="1" s="1"/>
  <c r="I697" i="1"/>
  <c r="E697" i="1" s="1"/>
  <c r="D697" i="1" s="1"/>
  <c r="M697" i="1"/>
  <c r="O697" i="1"/>
  <c r="AA697" i="1"/>
  <c r="AD697" i="1"/>
  <c r="AE697" i="1"/>
  <c r="AF697" i="1"/>
  <c r="AG697" i="1"/>
  <c r="AH697" i="1"/>
  <c r="AQ697" i="1"/>
  <c r="L697" i="1" s="1"/>
  <c r="I698" i="1"/>
  <c r="E698" i="1" s="1"/>
  <c r="D698" i="1" s="1"/>
  <c r="M698" i="1"/>
  <c r="O698" i="1"/>
  <c r="AA698" i="1"/>
  <c r="AD698" i="1"/>
  <c r="AE698" i="1"/>
  <c r="AF698" i="1"/>
  <c r="AG698" i="1"/>
  <c r="AH698" i="1"/>
  <c r="AQ698" i="1"/>
  <c r="L698" i="1" s="1"/>
  <c r="I699" i="1"/>
  <c r="E699" i="1" s="1"/>
  <c r="D699" i="1" s="1"/>
  <c r="M699" i="1"/>
  <c r="O699" i="1"/>
  <c r="AA699" i="1"/>
  <c r="AD699" i="1"/>
  <c r="AE699" i="1"/>
  <c r="AF699" i="1"/>
  <c r="AG699" i="1"/>
  <c r="AH699" i="1"/>
  <c r="AQ699" i="1"/>
  <c r="L699" i="1" s="1"/>
  <c r="I700" i="1"/>
  <c r="E700" i="1" s="1"/>
  <c r="D700" i="1" s="1"/>
  <c r="M700" i="1"/>
  <c r="O700" i="1"/>
  <c r="AA700" i="1"/>
  <c r="AD700" i="1"/>
  <c r="AE700" i="1"/>
  <c r="AF700" i="1"/>
  <c r="AG700" i="1"/>
  <c r="AH700" i="1"/>
  <c r="AQ700" i="1"/>
  <c r="L700" i="1" s="1"/>
  <c r="I701" i="1"/>
  <c r="E701" i="1" s="1"/>
  <c r="D701" i="1" s="1"/>
  <c r="M701" i="1"/>
  <c r="O701" i="1"/>
  <c r="AA701" i="1"/>
  <c r="AD701" i="1"/>
  <c r="AE701" i="1"/>
  <c r="AF701" i="1"/>
  <c r="AG701" i="1"/>
  <c r="AH701" i="1"/>
  <c r="AQ701" i="1"/>
  <c r="L701" i="1" s="1"/>
  <c r="I702" i="1"/>
  <c r="E702" i="1" s="1"/>
  <c r="D702" i="1" s="1"/>
  <c r="M702" i="1"/>
  <c r="O702" i="1"/>
  <c r="AA702" i="1"/>
  <c r="AD702" i="1"/>
  <c r="AE702" i="1"/>
  <c r="AF702" i="1"/>
  <c r="AG702" i="1"/>
  <c r="AH702" i="1"/>
  <c r="AQ702" i="1"/>
  <c r="L702" i="1" s="1"/>
  <c r="I703" i="1"/>
  <c r="E703" i="1" s="1"/>
  <c r="D703" i="1" s="1"/>
  <c r="M703" i="1"/>
  <c r="O703" i="1"/>
  <c r="AA703" i="1"/>
  <c r="AD703" i="1"/>
  <c r="AE703" i="1"/>
  <c r="AF703" i="1"/>
  <c r="AG703" i="1"/>
  <c r="AH703" i="1"/>
  <c r="AQ703" i="1"/>
  <c r="L703" i="1" s="1"/>
  <c r="I704" i="1"/>
  <c r="E704" i="1" s="1"/>
  <c r="D704" i="1" s="1"/>
  <c r="M704" i="1"/>
  <c r="O704" i="1"/>
  <c r="AA704" i="1"/>
  <c r="AD704" i="1"/>
  <c r="AE704" i="1"/>
  <c r="AF704" i="1"/>
  <c r="AG704" i="1"/>
  <c r="AH704" i="1"/>
  <c r="AQ704" i="1"/>
  <c r="L704" i="1" s="1"/>
  <c r="I705" i="1"/>
  <c r="E705" i="1" s="1"/>
  <c r="D705" i="1" s="1"/>
  <c r="M705" i="1"/>
  <c r="O705" i="1"/>
  <c r="AA705" i="1"/>
  <c r="AD705" i="1"/>
  <c r="AE705" i="1"/>
  <c r="AF705" i="1"/>
  <c r="AG705" i="1"/>
  <c r="AH705" i="1"/>
  <c r="AQ705" i="1"/>
  <c r="L705" i="1" s="1"/>
  <c r="I706" i="1"/>
  <c r="E706" i="1" s="1"/>
  <c r="D706" i="1" s="1"/>
  <c r="M706" i="1"/>
  <c r="O706" i="1"/>
  <c r="AA706" i="1"/>
  <c r="AD706" i="1"/>
  <c r="AE706" i="1"/>
  <c r="AF706" i="1"/>
  <c r="AG706" i="1"/>
  <c r="AH706" i="1"/>
  <c r="AQ706" i="1"/>
  <c r="L706" i="1" s="1"/>
  <c r="I707" i="1"/>
  <c r="E707" i="1" s="1"/>
  <c r="D707" i="1" s="1"/>
  <c r="M707" i="1"/>
  <c r="O707" i="1"/>
  <c r="AA707" i="1"/>
  <c r="AD707" i="1"/>
  <c r="AE707" i="1"/>
  <c r="AF707" i="1"/>
  <c r="AG707" i="1"/>
  <c r="AH707" i="1"/>
  <c r="AQ707" i="1"/>
  <c r="L707" i="1" s="1"/>
  <c r="I708" i="1"/>
  <c r="E708" i="1" s="1"/>
  <c r="D708" i="1" s="1"/>
  <c r="M708" i="1"/>
  <c r="O708" i="1"/>
  <c r="AA708" i="1"/>
  <c r="AD708" i="1"/>
  <c r="AE708" i="1"/>
  <c r="AF708" i="1"/>
  <c r="AG708" i="1"/>
  <c r="AH708" i="1"/>
  <c r="AQ708" i="1"/>
  <c r="L708" i="1" s="1"/>
  <c r="I709" i="1"/>
  <c r="E709" i="1" s="1"/>
  <c r="D709" i="1" s="1"/>
  <c r="M709" i="1"/>
  <c r="O709" i="1"/>
  <c r="AA709" i="1"/>
  <c r="AD709" i="1"/>
  <c r="AE709" i="1"/>
  <c r="AF709" i="1"/>
  <c r="AG709" i="1"/>
  <c r="AH709" i="1"/>
  <c r="AQ709" i="1"/>
  <c r="L709" i="1" s="1"/>
  <c r="I710" i="1"/>
  <c r="E710" i="1" s="1"/>
  <c r="D710" i="1" s="1"/>
  <c r="M710" i="1"/>
  <c r="O710" i="1"/>
  <c r="AA710" i="1"/>
  <c r="AD710" i="1"/>
  <c r="AE710" i="1"/>
  <c r="AF710" i="1"/>
  <c r="AG710" i="1"/>
  <c r="AH710" i="1"/>
  <c r="AQ710" i="1"/>
  <c r="L710" i="1" s="1"/>
  <c r="I711" i="1"/>
  <c r="E711" i="1" s="1"/>
  <c r="D711" i="1" s="1"/>
  <c r="M711" i="1"/>
  <c r="O711" i="1"/>
  <c r="AA711" i="1"/>
  <c r="AD711" i="1"/>
  <c r="AE711" i="1"/>
  <c r="AF711" i="1"/>
  <c r="AG711" i="1"/>
  <c r="AH711" i="1"/>
  <c r="AQ711" i="1"/>
  <c r="L711" i="1" s="1"/>
  <c r="I712" i="1"/>
  <c r="E712" i="1" s="1"/>
  <c r="D712" i="1" s="1"/>
  <c r="M712" i="1"/>
  <c r="O712" i="1"/>
  <c r="AA712" i="1"/>
  <c r="AD712" i="1"/>
  <c r="AE712" i="1"/>
  <c r="AF712" i="1"/>
  <c r="AG712" i="1"/>
  <c r="AH712" i="1"/>
  <c r="AQ712" i="1"/>
  <c r="L712" i="1" s="1"/>
  <c r="I713" i="1"/>
  <c r="E713" i="1" s="1"/>
  <c r="D713" i="1" s="1"/>
  <c r="M713" i="1"/>
  <c r="O713" i="1"/>
  <c r="AA713" i="1"/>
  <c r="AD713" i="1"/>
  <c r="AE713" i="1"/>
  <c r="AF713" i="1"/>
  <c r="AG713" i="1"/>
  <c r="AH713" i="1"/>
  <c r="AQ713" i="1"/>
  <c r="L713" i="1" s="1"/>
  <c r="I714" i="1"/>
  <c r="E714" i="1" s="1"/>
  <c r="D714" i="1" s="1"/>
  <c r="M714" i="1"/>
  <c r="O714" i="1"/>
  <c r="AA714" i="1"/>
  <c r="AD714" i="1"/>
  <c r="AE714" i="1"/>
  <c r="AF714" i="1"/>
  <c r="AG714" i="1"/>
  <c r="AH714" i="1"/>
  <c r="AQ714" i="1"/>
  <c r="L714" i="1" s="1"/>
  <c r="I715" i="1"/>
  <c r="E715" i="1" s="1"/>
  <c r="D715" i="1" s="1"/>
  <c r="M715" i="1"/>
  <c r="O715" i="1"/>
  <c r="AA715" i="1"/>
  <c r="AD715" i="1"/>
  <c r="AE715" i="1"/>
  <c r="AF715" i="1"/>
  <c r="AG715" i="1"/>
  <c r="AH715" i="1"/>
  <c r="AQ715" i="1"/>
  <c r="L715" i="1" s="1"/>
  <c r="I716" i="1"/>
  <c r="E716" i="1" s="1"/>
  <c r="D716" i="1" s="1"/>
  <c r="M716" i="1"/>
  <c r="O716" i="1"/>
  <c r="AA716" i="1"/>
  <c r="AD716" i="1"/>
  <c r="AE716" i="1"/>
  <c r="AF716" i="1"/>
  <c r="AG716" i="1"/>
  <c r="AH716" i="1"/>
  <c r="AQ716" i="1"/>
  <c r="L716" i="1" s="1"/>
  <c r="I717" i="1"/>
  <c r="E717" i="1" s="1"/>
  <c r="D717" i="1" s="1"/>
  <c r="M717" i="1"/>
  <c r="O717" i="1"/>
  <c r="AA717" i="1"/>
  <c r="AD717" i="1"/>
  <c r="AE717" i="1"/>
  <c r="AF717" i="1"/>
  <c r="AG717" i="1"/>
  <c r="AH717" i="1"/>
  <c r="AQ717" i="1"/>
  <c r="L717" i="1" s="1"/>
  <c r="I718" i="1"/>
  <c r="E718" i="1" s="1"/>
  <c r="D718" i="1" s="1"/>
  <c r="M718" i="1"/>
  <c r="O718" i="1"/>
  <c r="AA718" i="1"/>
  <c r="AD718" i="1"/>
  <c r="AE718" i="1"/>
  <c r="AF718" i="1"/>
  <c r="AG718" i="1"/>
  <c r="AH718" i="1"/>
  <c r="AQ718" i="1"/>
  <c r="L718" i="1" s="1"/>
  <c r="I719" i="1"/>
  <c r="E719" i="1" s="1"/>
  <c r="D719" i="1" s="1"/>
  <c r="M719" i="1"/>
  <c r="O719" i="1"/>
  <c r="AA719" i="1"/>
  <c r="AD719" i="1"/>
  <c r="AE719" i="1"/>
  <c r="AF719" i="1"/>
  <c r="AG719" i="1"/>
  <c r="AH719" i="1"/>
  <c r="AQ719" i="1"/>
  <c r="L719" i="1" s="1"/>
  <c r="I720" i="1"/>
  <c r="E720" i="1" s="1"/>
  <c r="D720" i="1" s="1"/>
  <c r="M720" i="1"/>
  <c r="O720" i="1"/>
  <c r="AA720" i="1"/>
  <c r="AD720" i="1"/>
  <c r="AE720" i="1"/>
  <c r="AF720" i="1"/>
  <c r="AG720" i="1"/>
  <c r="AH720" i="1"/>
  <c r="AQ720" i="1"/>
  <c r="L720" i="1" s="1"/>
  <c r="I721" i="1"/>
  <c r="E721" i="1" s="1"/>
  <c r="D721" i="1" s="1"/>
  <c r="M721" i="1"/>
  <c r="O721" i="1"/>
  <c r="AA721" i="1"/>
  <c r="AD721" i="1"/>
  <c r="AE721" i="1"/>
  <c r="AF721" i="1"/>
  <c r="AG721" i="1"/>
  <c r="AH721" i="1"/>
  <c r="AQ721" i="1"/>
  <c r="L721" i="1" s="1"/>
  <c r="I722" i="1"/>
  <c r="E722" i="1" s="1"/>
  <c r="D722" i="1" s="1"/>
  <c r="M722" i="1"/>
  <c r="O722" i="1"/>
  <c r="AA722" i="1"/>
  <c r="AD722" i="1"/>
  <c r="AE722" i="1"/>
  <c r="AF722" i="1"/>
  <c r="AG722" i="1"/>
  <c r="AH722" i="1"/>
  <c r="AQ722" i="1"/>
  <c r="L722" i="1" s="1"/>
  <c r="I723" i="1"/>
  <c r="E723" i="1" s="1"/>
  <c r="D723" i="1" s="1"/>
  <c r="M723" i="1"/>
  <c r="O723" i="1"/>
  <c r="AA723" i="1"/>
  <c r="AD723" i="1"/>
  <c r="AE723" i="1"/>
  <c r="AF723" i="1"/>
  <c r="AG723" i="1"/>
  <c r="AH723" i="1"/>
  <c r="AQ723" i="1"/>
  <c r="L723" i="1" s="1"/>
  <c r="I724" i="1"/>
  <c r="E724" i="1" s="1"/>
  <c r="D724" i="1" s="1"/>
  <c r="M724" i="1"/>
  <c r="O724" i="1"/>
  <c r="AA724" i="1"/>
  <c r="AD724" i="1"/>
  <c r="AE724" i="1"/>
  <c r="AF724" i="1"/>
  <c r="AG724" i="1"/>
  <c r="AH724" i="1"/>
  <c r="AQ724" i="1"/>
  <c r="L724" i="1" s="1"/>
  <c r="I725" i="1"/>
  <c r="E725" i="1" s="1"/>
  <c r="D725" i="1" s="1"/>
  <c r="M725" i="1"/>
  <c r="O725" i="1"/>
  <c r="AA725" i="1"/>
  <c r="AD725" i="1"/>
  <c r="AE725" i="1"/>
  <c r="AF725" i="1"/>
  <c r="AG725" i="1"/>
  <c r="AH725" i="1"/>
  <c r="AQ725" i="1"/>
  <c r="L725" i="1" s="1"/>
  <c r="I726" i="1"/>
  <c r="E726" i="1" s="1"/>
  <c r="D726" i="1" s="1"/>
  <c r="M726" i="1"/>
  <c r="O726" i="1"/>
  <c r="AA726" i="1"/>
  <c r="AD726" i="1"/>
  <c r="AE726" i="1"/>
  <c r="AF726" i="1"/>
  <c r="AG726" i="1"/>
  <c r="AH726" i="1"/>
  <c r="AQ726" i="1"/>
  <c r="L726" i="1" s="1"/>
  <c r="I727" i="1"/>
  <c r="E727" i="1" s="1"/>
  <c r="D727" i="1" s="1"/>
  <c r="M727" i="1"/>
  <c r="O727" i="1"/>
  <c r="AA727" i="1"/>
  <c r="AD727" i="1"/>
  <c r="AE727" i="1"/>
  <c r="AF727" i="1"/>
  <c r="AG727" i="1"/>
  <c r="AH727" i="1"/>
  <c r="AQ727" i="1"/>
  <c r="L727" i="1" s="1"/>
  <c r="I728" i="1"/>
  <c r="E728" i="1" s="1"/>
  <c r="D728" i="1" s="1"/>
  <c r="M728" i="1"/>
  <c r="O728" i="1"/>
  <c r="AA728" i="1"/>
  <c r="AD728" i="1"/>
  <c r="AE728" i="1"/>
  <c r="AF728" i="1"/>
  <c r="AG728" i="1"/>
  <c r="AH728" i="1"/>
  <c r="AQ728" i="1"/>
  <c r="L728" i="1" s="1"/>
  <c r="I729" i="1"/>
  <c r="E729" i="1" s="1"/>
  <c r="D729" i="1" s="1"/>
  <c r="M729" i="1"/>
  <c r="O729" i="1"/>
  <c r="AA729" i="1"/>
  <c r="AD729" i="1"/>
  <c r="AE729" i="1"/>
  <c r="AF729" i="1"/>
  <c r="AG729" i="1"/>
  <c r="AH729" i="1"/>
  <c r="AQ729" i="1"/>
  <c r="L729" i="1" s="1"/>
  <c r="I730" i="1"/>
  <c r="E730" i="1" s="1"/>
  <c r="D730" i="1" s="1"/>
  <c r="M730" i="1"/>
  <c r="O730" i="1"/>
  <c r="AA730" i="1"/>
  <c r="AD730" i="1"/>
  <c r="AE730" i="1"/>
  <c r="AF730" i="1"/>
  <c r="AG730" i="1"/>
  <c r="AH730" i="1"/>
  <c r="AQ730" i="1"/>
  <c r="L730" i="1" s="1"/>
  <c r="I731" i="1"/>
  <c r="E731" i="1" s="1"/>
  <c r="D731" i="1" s="1"/>
  <c r="M731" i="1"/>
  <c r="O731" i="1"/>
  <c r="AA731" i="1"/>
  <c r="AD731" i="1"/>
  <c r="AE731" i="1"/>
  <c r="AF731" i="1"/>
  <c r="AG731" i="1"/>
  <c r="AH731" i="1"/>
  <c r="AQ731" i="1"/>
  <c r="L731" i="1" s="1"/>
  <c r="I732" i="1"/>
  <c r="E732" i="1" s="1"/>
  <c r="D732" i="1" s="1"/>
  <c r="M732" i="1"/>
  <c r="O732" i="1"/>
  <c r="AA732" i="1"/>
  <c r="AD732" i="1"/>
  <c r="AE732" i="1"/>
  <c r="AF732" i="1"/>
  <c r="AG732" i="1"/>
  <c r="AH732" i="1"/>
  <c r="AQ732" i="1"/>
  <c r="L732" i="1" s="1"/>
  <c r="I733" i="1"/>
  <c r="E733" i="1" s="1"/>
  <c r="D733" i="1" s="1"/>
  <c r="M733" i="1"/>
  <c r="O733" i="1"/>
  <c r="AA733" i="1"/>
  <c r="AD733" i="1"/>
  <c r="AE733" i="1"/>
  <c r="AF733" i="1"/>
  <c r="AG733" i="1"/>
  <c r="AH733" i="1"/>
  <c r="AQ733" i="1"/>
  <c r="L733" i="1" s="1"/>
  <c r="I734" i="1"/>
  <c r="E734" i="1" s="1"/>
  <c r="D734" i="1" s="1"/>
  <c r="M734" i="1"/>
  <c r="O734" i="1"/>
  <c r="AA734" i="1"/>
  <c r="AD734" i="1"/>
  <c r="AE734" i="1"/>
  <c r="AF734" i="1"/>
  <c r="AG734" i="1"/>
  <c r="AH734" i="1"/>
  <c r="AQ734" i="1"/>
  <c r="L734" i="1" s="1"/>
  <c r="I735" i="1"/>
  <c r="E735" i="1" s="1"/>
  <c r="D735" i="1" s="1"/>
  <c r="M735" i="1"/>
  <c r="O735" i="1"/>
  <c r="AA735" i="1"/>
  <c r="AD735" i="1"/>
  <c r="AE735" i="1"/>
  <c r="AF735" i="1"/>
  <c r="AG735" i="1"/>
  <c r="AH735" i="1"/>
  <c r="AQ735" i="1"/>
  <c r="L735" i="1" s="1"/>
  <c r="I736" i="1"/>
  <c r="E736" i="1" s="1"/>
  <c r="D736" i="1" s="1"/>
  <c r="M736" i="1"/>
  <c r="O736" i="1"/>
  <c r="AA736" i="1"/>
  <c r="AD736" i="1"/>
  <c r="AE736" i="1"/>
  <c r="AF736" i="1"/>
  <c r="AG736" i="1"/>
  <c r="AH736" i="1"/>
  <c r="AQ736" i="1"/>
  <c r="L736" i="1" s="1"/>
  <c r="I737" i="1"/>
  <c r="E737" i="1" s="1"/>
  <c r="D737" i="1" s="1"/>
  <c r="M737" i="1"/>
  <c r="O737" i="1"/>
  <c r="AA737" i="1"/>
  <c r="AD737" i="1"/>
  <c r="AE737" i="1"/>
  <c r="AF737" i="1"/>
  <c r="AG737" i="1"/>
  <c r="AH737" i="1"/>
  <c r="AQ737" i="1"/>
  <c r="L737" i="1" s="1"/>
  <c r="I738" i="1"/>
  <c r="E738" i="1" s="1"/>
  <c r="D738" i="1" s="1"/>
  <c r="M738" i="1"/>
  <c r="O738" i="1"/>
  <c r="AA738" i="1"/>
  <c r="AD738" i="1"/>
  <c r="AE738" i="1"/>
  <c r="AF738" i="1"/>
  <c r="AG738" i="1"/>
  <c r="AH738" i="1"/>
  <c r="AQ738" i="1"/>
  <c r="L738" i="1" s="1"/>
  <c r="I739" i="1"/>
  <c r="E739" i="1" s="1"/>
  <c r="D739" i="1" s="1"/>
  <c r="M739" i="1"/>
  <c r="O739" i="1"/>
  <c r="AA739" i="1"/>
  <c r="AD739" i="1"/>
  <c r="AE739" i="1"/>
  <c r="AF739" i="1"/>
  <c r="AG739" i="1"/>
  <c r="AH739" i="1"/>
  <c r="AQ739" i="1"/>
  <c r="L739" i="1" s="1"/>
  <c r="I740" i="1"/>
  <c r="E740" i="1" s="1"/>
  <c r="D740" i="1" s="1"/>
  <c r="M740" i="1"/>
  <c r="O740" i="1"/>
  <c r="AA740" i="1"/>
  <c r="AD740" i="1"/>
  <c r="AE740" i="1"/>
  <c r="AF740" i="1"/>
  <c r="AG740" i="1"/>
  <c r="AH740" i="1"/>
  <c r="AQ740" i="1"/>
  <c r="L740" i="1" s="1"/>
  <c r="I741" i="1"/>
  <c r="E741" i="1" s="1"/>
  <c r="D741" i="1" s="1"/>
  <c r="M741" i="1"/>
  <c r="O741" i="1"/>
  <c r="AA741" i="1"/>
  <c r="AD741" i="1"/>
  <c r="AE741" i="1"/>
  <c r="AF741" i="1"/>
  <c r="AG741" i="1"/>
  <c r="AH741" i="1"/>
  <c r="AQ741" i="1"/>
  <c r="L741" i="1" s="1"/>
  <c r="I742" i="1"/>
  <c r="E742" i="1" s="1"/>
  <c r="D742" i="1" s="1"/>
  <c r="M742" i="1"/>
  <c r="O742" i="1"/>
  <c r="AA742" i="1"/>
  <c r="AD742" i="1"/>
  <c r="AE742" i="1"/>
  <c r="AF742" i="1"/>
  <c r="AG742" i="1"/>
  <c r="AH742" i="1"/>
  <c r="AQ742" i="1"/>
  <c r="L742" i="1" s="1"/>
  <c r="I743" i="1"/>
  <c r="E743" i="1" s="1"/>
  <c r="D743" i="1" s="1"/>
  <c r="M743" i="1"/>
  <c r="O743" i="1"/>
  <c r="AA743" i="1"/>
  <c r="AD743" i="1"/>
  <c r="AE743" i="1"/>
  <c r="AF743" i="1"/>
  <c r="AG743" i="1"/>
  <c r="AH743" i="1"/>
  <c r="AQ743" i="1"/>
  <c r="L743" i="1" s="1"/>
  <c r="I744" i="1"/>
  <c r="E744" i="1" s="1"/>
  <c r="D744" i="1" s="1"/>
  <c r="M744" i="1"/>
  <c r="O744" i="1"/>
  <c r="AA744" i="1"/>
  <c r="AD744" i="1"/>
  <c r="AE744" i="1"/>
  <c r="AF744" i="1"/>
  <c r="AG744" i="1"/>
  <c r="AH744" i="1"/>
  <c r="AQ744" i="1"/>
  <c r="L744" i="1" s="1"/>
  <c r="I745" i="1"/>
  <c r="E745" i="1" s="1"/>
  <c r="D745" i="1" s="1"/>
  <c r="M745" i="1"/>
  <c r="O745" i="1"/>
  <c r="AA745" i="1"/>
  <c r="AD745" i="1"/>
  <c r="AE745" i="1"/>
  <c r="AF745" i="1"/>
  <c r="AG745" i="1"/>
  <c r="AH745" i="1"/>
  <c r="AQ745" i="1"/>
  <c r="L745" i="1" s="1"/>
  <c r="I746" i="1"/>
  <c r="E746" i="1" s="1"/>
  <c r="D746" i="1" s="1"/>
  <c r="M746" i="1"/>
  <c r="O746" i="1"/>
  <c r="AA746" i="1"/>
  <c r="AD746" i="1"/>
  <c r="AE746" i="1"/>
  <c r="AF746" i="1"/>
  <c r="AG746" i="1"/>
  <c r="AH746" i="1"/>
  <c r="AQ746" i="1"/>
  <c r="L746" i="1" s="1"/>
  <c r="I747" i="1"/>
  <c r="E747" i="1" s="1"/>
  <c r="D747" i="1" s="1"/>
  <c r="M747" i="1"/>
  <c r="O747" i="1"/>
  <c r="AA747" i="1"/>
  <c r="AD747" i="1"/>
  <c r="AE747" i="1"/>
  <c r="AF747" i="1"/>
  <c r="AG747" i="1"/>
  <c r="AH747" i="1"/>
  <c r="AQ747" i="1"/>
  <c r="L747" i="1" s="1"/>
  <c r="I748" i="1"/>
  <c r="E748" i="1" s="1"/>
  <c r="D748" i="1" s="1"/>
  <c r="M748" i="1"/>
  <c r="O748" i="1"/>
  <c r="AA748" i="1"/>
  <c r="AD748" i="1"/>
  <c r="AE748" i="1"/>
  <c r="AF748" i="1"/>
  <c r="AG748" i="1"/>
  <c r="AH748" i="1"/>
  <c r="AQ748" i="1"/>
  <c r="L748" i="1" s="1"/>
  <c r="I749" i="1"/>
  <c r="E749" i="1" s="1"/>
  <c r="D749" i="1" s="1"/>
  <c r="M749" i="1"/>
  <c r="O749" i="1"/>
  <c r="AA749" i="1"/>
  <c r="AD749" i="1"/>
  <c r="AE749" i="1"/>
  <c r="AF749" i="1"/>
  <c r="AG749" i="1"/>
  <c r="AH749" i="1"/>
  <c r="AQ749" i="1"/>
  <c r="L749" i="1" s="1"/>
  <c r="I750" i="1"/>
  <c r="E750" i="1" s="1"/>
  <c r="D750" i="1" s="1"/>
  <c r="M750" i="1"/>
  <c r="O750" i="1"/>
  <c r="AA750" i="1"/>
  <c r="AD750" i="1"/>
  <c r="AE750" i="1"/>
  <c r="AF750" i="1"/>
  <c r="AG750" i="1"/>
  <c r="AH750" i="1"/>
  <c r="AQ750" i="1"/>
  <c r="L750" i="1" s="1"/>
  <c r="I751" i="1"/>
  <c r="E751" i="1" s="1"/>
  <c r="D751" i="1" s="1"/>
  <c r="M751" i="1"/>
  <c r="O751" i="1"/>
  <c r="AA751" i="1"/>
  <c r="AD751" i="1"/>
  <c r="AE751" i="1"/>
  <c r="AF751" i="1"/>
  <c r="AG751" i="1"/>
  <c r="AH751" i="1"/>
  <c r="AQ751" i="1"/>
  <c r="L751" i="1" s="1"/>
  <c r="I752" i="1"/>
  <c r="E752" i="1" s="1"/>
  <c r="D752" i="1" s="1"/>
  <c r="M752" i="1"/>
  <c r="O752" i="1"/>
  <c r="AA752" i="1"/>
  <c r="AD752" i="1"/>
  <c r="AE752" i="1"/>
  <c r="AF752" i="1"/>
  <c r="AG752" i="1"/>
  <c r="AH752" i="1"/>
  <c r="AQ752" i="1"/>
  <c r="L752" i="1" s="1"/>
  <c r="I753" i="1"/>
  <c r="E753" i="1" s="1"/>
  <c r="D753" i="1" s="1"/>
  <c r="M753" i="1"/>
  <c r="O753" i="1"/>
  <c r="AA753" i="1"/>
  <c r="AD753" i="1"/>
  <c r="AE753" i="1"/>
  <c r="AF753" i="1"/>
  <c r="AG753" i="1"/>
  <c r="AH753" i="1"/>
  <c r="AQ753" i="1"/>
  <c r="L753" i="1" s="1"/>
  <c r="I754" i="1"/>
  <c r="E754" i="1" s="1"/>
  <c r="D754" i="1" s="1"/>
  <c r="M754" i="1"/>
  <c r="O754" i="1"/>
  <c r="AA754" i="1"/>
  <c r="AD754" i="1"/>
  <c r="AE754" i="1"/>
  <c r="AF754" i="1"/>
  <c r="AG754" i="1"/>
  <c r="AH754" i="1"/>
  <c r="AQ754" i="1"/>
  <c r="L754" i="1" s="1"/>
  <c r="I755" i="1"/>
  <c r="E755" i="1" s="1"/>
  <c r="D755" i="1" s="1"/>
  <c r="M755" i="1"/>
  <c r="O755" i="1"/>
  <c r="AA755" i="1"/>
  <c r="AD755" i="1"/>
  <c r="AE755" i="1"/>
  <c r="AF755" i="1"/>
  <c r="AG755" i="1"/>
  <c r="AH755" i="1"/>
  <c r="AQ755" i="1"/>
  <c r="L755" i="1" s="1"/>
  <c r="I756" i="1"/>
  <c r="E756" i="1" s="1"/>
  <c r="D756" i="1" s="1"/>
  <c r="M756" i="1"/>
  <c r="O756" i="1"/>
  <c r="AA756" i="1"/>
  <c r="AD756" i="1"/>
  <c r="AE756" i="1"/>
  <c r="AF756" i="1"/>
  <c r="AG756" i="1"/>
  <c r="AH756" i="1"/>
  <c r="AQ756" i="1"/>
  <c r="L756" i="1" s="1"/>
  <c r="I757" i="1"/>
  <c r="E757" i="1" s="1"/>
  <c r="D757" i="1" s="1"/>
  <c r="M757" i="1"/>
  <c r="O757" i="1"/>
  <c r="AA757" i="1"/>
  <c r="AD757" i="1"/>
  <c r="AE757" i="1"/>
  <c r="AF757" i="1"/>
  <c r="AG757" i="1"/>
  <c r="AH757" i="1"/>
  <c r="AQ757" i="1"/>
  <c r="L757" i="1" s="1"/>
  <c r="I758" i="1"/>
  <c r="E758" i="1" s="1"/>
  <c r="D758" i="1" s="1"/>
  <c r="M758" i="1"/>
  <c r="O758" i="1"/>
  <c r="AA758" i="1"/>
  <c r="AD758" i="1"/>
  <c r="AE758" i="1"/>
  <c r="AF758" i="1"/>
  <c r="AG758" i="1"/>
  <c r="AH758" i="1"/>
  <c r="AQ758" i="1"/>
  <c r="L758" i="1" s="1"/>
  <c r="I759" i="1"/>
  <c r="E759" i="1" s="1"/>
  <c r="D759" i="1" s="1"/>
  <c r="M759" i="1"/>
  <c r="O759" i="1"/>
  <c r="AA759" i="1"/>
  <c r="AD759" i="1"/>
  <c r="AE759" i="1"/>
  <c r="AF759" i="1"/>
  <c r="AG759" i="1"/>
  <c r="AH759" i="1"/>
  <c r="AQ759" i="1"/>
  <c r="L759" i="1" s="1"/>
  <c r="I760" i="1"/>
  <c r="E760" i="1" s="1"/>
  <c r="D760" i="1" s="1"/>
  <c r="M760" i="1"/>
  <c r="O760" i="1"/>
  <c r="AA760" i="1"/>
  <c r="AD760" i="1"/>
  <c r="AE760" i="1"/>
  <c r="AF760" i="1"/>
  <c r="AG760" i="1"/>
  <c r="AH760" i="1"/>
  <c r="AQ760" i="1"/>
  <c r="L760" i="1" s="1"/>
  <c r="I761" i="1"/>
  <c r="E761" i="1" s="1"/>
  <c r="D761" i="1" s="1"/>
  <c r="M761" i="1"/>
  <c r="O761" i="1"/>
  <c r="AA761" i="1"/>
  <c r="AD761" i="1"/>
  <c r="AE761" i="1"/>
  <c r="AF761" i="1"/>
  <c r="AG761" i="1"/>
  <c r="AH761" i="1"/>
  <c r="AQ761" i="1"/>
  <c r="L761" i="1" s="1"/>
  <c r="I762" i="1"/>
  <c r="E762" i="1" s="1"/>
  <c r="D762" i="1" s="1"/>
  <c r="M762" i="1"/>
  <c r="O762" i="1"/>
  <c r="AA762" i="1"/>
  <c r="AD762" i="1"/>
  <c r="AE762" i="1"/>
  <c r="AF762" i="1"/>
  <c r="AG762" i="1"/>
  <c r="AH762" i="1"/>
  <c r="AQ762" i="1"/>
  <c r="L762" i="1" s="1"/>
  <c r="I763" i="1"/>
  <c r="E763" i="1" s="1"/>
  <c r="D763" i="1" s="1"/>
  <c r="M763" i="1"/>
  <c r="O763" i="1"/>
  <c r="AA763" i="1"/>
  <c r="AD763" i="1"/>
  <c r="AE763" i="1"/>
  <c r="AF763" i="1"/>
  <c r="AG763" i="1"/>
  <c r="AH763" i="1"/>
  <c r="AQ763" i="1"/>
  <c r="L763" i="1" s="1"/>
  <c r="I764" i="1"/>
  <c r="E764" i="1" s="1"/>
  <c r="D764" i="1" s="1"/>
  <c r="M764" i="1"/>
  <c r="O764" i="1"/>
  <c r="AA764" i="1"/>
  <c r="AD764" i="1"/>
  <c r="AE764" i="1"/>
  <c r="AF764" i="1"/>
  <c r="AG764" i="1"/>
  <c r="AH764" i="1"/>
  <c r="AQ764" i="1"/>
  <c r="L764" i="1" s="1"/>
  <c r="I765" i="1"/>
  <c r="E765" i="1" s="1"/>
  <c r="D765" i="1" s="1"/>
  <c r="M765" i="1"/>
  <c r="O765" i="1"/>
  <c r="AA765" i="1"/>
  <c r="AD765" i="1"/>
  <c r="AE765" i="1"/>
  <c r="AF765" i="1"/>
  <c r="AG765" i="1"/>
  <c r="AH765" i="1"/>
  <c r="AQ765" i="1"/>
  <c r="L765" i="1" s="1"/>
  <c r="I766" i="1"/>
  <c r="E766" i="1" s="1"/>
  <c r="D766" i="1" s="1"/>
  <c r="M766" i="1"/>
  <c r="O766" i="1"/>
  <c r="AA766" i="1"/>
  <c r="AD766" i="1"/>
  <c r="AE766" i="1"/>
  <c r="AF766" i="1"/>
  <c r="AG766" i="1"/>
  <c r="AH766" i="1"/>
  <c r="AQ766" i="1"/>
  <c r="L766" i="1" s="1"/>
  <c r="I767" i="1"/>
  <c r="E767" i="1" s="1"/>
  <c r="D767" i="1" s="1"/>
  <c r="M767" i="1"/>
  <c r="O767" i="1"/>
  <c r="AA767" i="1"/>
  <c r="AD767" i="1"/>
  <c r="AE767" i="1"/>
  <c r="AF767" i="1"/>
  <c r="AG767" i="1"/>
  <c r="AH767" i="1"/>
  <c r="AQ767" i="1"/>
  <c r="L767" i="1" s="1"/>
  <c r="I768" i="1"/>
  <c r="E768" i="1" s="1"/>
  <c r="D768" i="1" s="1"/>
  <c r="M768" i="1"/>
  <c r="O768" i="1"/>
  <c r="AA768" i="1"/>
  <c r="AD768" i="1"/>
  <c r="AE768" i="1"/>
  <c r="AF768" i="1"/>
  <c r="AG768" i="1"/>
  <c r="AH768" i="1"/>
  <c r="AQ768" i="1"/>
  <c r="L768" i="1" s="1"/>
  <c r="I769" i="1"/>
  <c r="E769" i="1" s="1"/>
  <c r="D769" i="1" s="1"/>
  <c r="M769" i="1"/>
  <c r="O769" i="1"/>
  <c r="AA769" i="1"/>
  <c r="AD769" i="1"/>
  <c r="AE769" i="1"/>
  <c r="AF769" i="1"/>
  <c r="AG769" i="1"/>
  <c r="AH769" i="1"/>
  <c r="AQ769" i="1"/>
  <c r="L769" i="1" s="1"/>
  <c r="I770" i="1"/>
  <c r="E770" i="1" s="1"/>
  <c r="D770" i="1" s="1"/>
  <c r="M770" i="1"/>
  <c r="O770" i="1"/>
  <c r="AA770" i="1"/>
  <c r="AD770" i="1"/>
  <c r="AE770" i="1"/>
  <c r="AF770" i="1"/>
  <c r="AG770" i="1"/>
  <c r="AH770" i="1"/>
  <c r="AQ770" i="1"/>
  <c r="L770" i="1" s="1"/>
  <c r="I771" i="1"/>
  <c r="E771" i="1" s="1"/>
  <c r="D771" i="1" s="1"/>
  <c r="M771" i="1"/>
  <c r="O771" i="1"/>
  <c r="AA771" i="1"/>
  <c r="AD771" i="1"/>
  <c r="AE771" i="1"/>
  <c r="AF771" i="1"/>
  <c r="AG771" i="1"/>
  <c r="AH771" i="1"/>
  <c r="AQ771" i="1"/>
  <c r="L771" i="1" s="1"/>
  <c r="I772" i="1"/>
  <c r="E772" i="1" s="1"/>
  <c r="D772" i="1" s="1"/>
  <c r="M772" i="1"/>
  <c r="O772" i="1"/>
  <c r="AA772" i="1"/>
  <c r="AD772" i="1"/>
  <c r="AE772" i="1"/>
  <c r="AF772" i="1"/>
  <c r="AG772" i="1"/>
  <c r="AH772" i="1"/>
  <c r="AQ772" i="1"/>
  <c r="L772" i="1" s="1"/>
  <c r="I773" i="1"/>
  <c r="E773" i="1" s="1"/>
  <c r="D773" i="1" s="1"/>
  <c r="M773" i="1"/>
  <c r="O773" i="1"/>
  <c r="AA773" i="1"/>
  <c r="AD773" i="1"/>
  <c r="AE773" i="1"/>
  <c r="AF773" i="1"/>
  <c r="AG773" i="1"/>
  <c r="AH773" i="1"/>
  <c r="AQ773" i="1"/>
  <c r="L773" i="1" s="1"/>
  <c r="I774" i="1"/>
  <c r="E774" i="1" s="1"/>
  <c r="D774" i="1" s="1"/>
  <c r="M774" i="1"/>
  <c r="O774" i="1"/>
  <c r="AA774" i="1"/>
  <c r="AD774" i="1"/>
  <c r="AE774" i="1"/>
  <c r="AF774" i="1"/>
  <c r="AG774" i="1"/>
  <c r="AH774" i="1"/>
  <c r="AQ774" i="1"/>
  <c r="L774" i="1" s="1"/>
  <c r="I775" i="1"/>
  <c r="E775" i="1" s="1"/>
  <c r="D775" i="1" s="1"/>
  <c r="M775" i="1"/>
  <c r="O775" i="1"/>
  <c r="AA775" i="1"/>
  <c r="AD775" i="1"/>
  <c r="AE775" i="1"/>
  <c r="AF775" i="1"/>
  <c r="AG775" i="1"/>
  <c r="AH775" i="1"/>
  <c r="AQ775" i="1"/>
  <c r="L775" i="1" s="1"/>
  <c r="I776" i="1"/>
  <c r="E776" i="1" s="1"/>
  <c r="D776" i="1" s="1"/>
  <c r="M776" i="1"/>
  <c r="O776" i="1"/>
  <c r="AA776" i="1"/>
  <c r="AD776" i="1"/>
  <c r="AE776" i="1"/>
  <c r="AF776" i="1"/>
  <c r="AG776" i="1"/>
  <c r="AH776" i="1"/>
  <c r="AQ776" i="1"/>
  <c r="L776" i="1" s="1"/>
  <c r="I777" i="1"/>
  <c r="E777" i="1" s="1"/>
  <c r="D777" i="1" s="1"/>
  <c r="M777" i="1"/>
  <c r="O777" i="1"/>
  <c r="AA777" i="1"/>
  <c r="AD777" i="1"/>
  <c r="AE777" i="1"/>
  <c r="AF777" i="1"/>
  <c r="AG777" i="1"/>
  <c r="AH777" i="1"/>
  <c r="AQ777" i="1"/>
  <c r="L777" i="1" s="1"/>
  <c r="I778" i="1"/>
  <c r="E778" i="1" s="1"/>
  <c r="D778" i="1" s="1"/>
  <c r="M778" i="1"/>
  <c r="O778" i="1"/>
  <c r="AA778" i="1"/>
  <c r="AD778" i="1"/>
  <c r="AE778" i="1"/>
  <c r="AF778" i="1"/>
  <c r="AG778" i="1"/>
  <c r="AH778" i="1"/>
  <c r="AQ778" i="1"/>
  <c r="L778" i="1" s="1"/>
  <c r="I779" i="1"/>
  <c r="E779" i="1" s="1"/>
  <c r="D779" i="1" s="1"/>
  <c r="M779" i="1"/>
  <c r="O779" i="1"/>
  <c r="AA779" i="1"/>
  <c r="AD779" i="1"/>
  <c r="AE779" i="1"/>
  <c r="AF779" i="1"/>
  <c r="AG779" i="1"/>
  <c r="AH779" i="1"/>
  <c r="AQ779" i="1"/>
  <c r="L779" i="1" s="1"/>
  <c r="I780" i="1"/>
  <c r="E780" i="1" s="1"/>
  <c r="D780" i="1" s="1"/>
  <c r="M780" i="1"/>
  <c r="O780" i="1"/>
  <c r="AA780" i="1"/>
  <c r="AD780" i="1"/>
  <c r="AE780" i="1"/>
  <c r="AF780" i="1"/>
  <c r="AG780" i="1"/>
  <c r="AH780" i="1"/>
  <c r="AQ780" i="1"/>
  <c r="L780" i="1" s="1"/>
  <c r="I781" i="1"/>
  <c r="E781" i="1" s="1"/>
  <c r="D781" i="1" s="1"/>
  <c r="M781" i="1"/>
  <c r="O781" i="1"/>
  <c r="AA781" i="1"/>
  <c r="AD781" i="1"/>
  <c r="AE781" i="1"/>
  <c r="AF781" i="1"/>
  <c r="AG781" i="1"/>
  <c r="AH781" i="1"/>
  <c r="AQ781" i="1"/>
  <c r="L781" i="1" s="1"/>
  <c r="I782" i="1"/>
  <c r="E782" i="1" s="1"/>
  <c r="D782" i="1" s="1"/>
  <c r="M782" i="1"/>
  <c r="O782" i="1"/>
  <c r="AA782" i="1"/>
  <c r="AD782" i="1"/>
  <c r="AE782" i="1"/>
  <c r="AF782" i="1"/>
  <c r="AG782" i="1"/>
  <c r="AH782" i="1"/>
  <c r="AQ782" i="1"/>
  <c r="L782" i="1" s="1"/>
  <c r="I783" i="1"/>
  <c r="E783" i="1" s="1"/>
  <c r="D783" i="1" s="1"/>
  <c r="M783" i="1"/>
  <c r="O783" i="1"/>
  <c r="AA783" i="1"/>
  <c r="AD783" i="1"/>
  <c r="AE783" i="1"/>
  <c r="AF783" i="1"/>
  <c r="AG783" i="1"/>
  <c r="AH783" i="1"/>
  <c r="AQ783" i="1"/>
  <c r="L783" i="1" s="1"/>
  <c r="I784" i="1"/>
  <c r="E784" i="1" s="1"/>
  <c r="D784" i="1" s="1"/>
  <c r="M784" i="1"/>
  <c r="O784" i="1"/>
  <c r="AA784" i="1"/>
  <c r="AD784" i="1"/>
  <c r="AE784" i="1"/>
  <c r="AF784" i="1"/>
  <c r="AG784" i="1"/>
  <c r="AH784" i="1"/>
  <c r="AQ784" i="1"/>
  <c r="L784" i="1" s="1"/>
  <c r="I785" i="1"/>
  <c r="E785" i="1" s="1"/>
  <c r="D785" i="1" s="1"/>
  <c r="M785" i="1"/>
  <c r="O785" i="1"/>
  <c r="AA785" i="1"/>
  <c r="AD785" i="1"/>
  <c r="AE785" i="1"/>
  <c r="AF785" i="1"/>
  <c r="AG785" i="1"/>
  <c r="AH785" i="1"/>
  <c r="AQ785" i="1"/>
  <c r="L785" i="1" s="1"/>
  <c r="I786" i="1"/>
  <c r="E786" i="1" s="1"/>
  <c r="D786" i="1" s="1"/>
  <c r="M786" i="1"/>
  <c r="O786" i="1"/>
  <c r="AA786" i="1"/>
  <c r="AD786" i="1"/>
  <c r="AE786" i="1"/>
  <c r="AF786" i="1"/>
  <c r="AG786" i="1"/>
  <c r="AH786" i="1"/>
  <c r="AQ786" i="1"/>
  <c r="L786" i="1" s="1"/>
  <c r="I787" i="1"/>
  <c r="E787" i="1" s="1"/>
  <c r="D787" i="1" s="1"/>
  <c r="M787" i="1"/>
  <c r="O787" i="1"/>
  <c r="AA787" i="1"/>
  <c r="AD787" i="1"/>
  <c r="AE787" i="1"/>
  <c r="AF787" i="1"/>
  <c r="AG787" i="1"/>
  <c r="AH787" i="1"/>
  <c r="AQ787" i="1"/>
  <c r="L787" i="1" s="1"/>
  <c r="I788" i="1"/>
  <c r="E788" i="1" s="1"/>
  <c r="D788" i="1" s="1"/>
  <c r="M788" i="1"/>
  <c r="O788" i="1"/>
  <c r="AA788" i="1"/>
  <c r="AD788" i="1"/>
  <c r="AE788" i="1"/>
  <c r="AF788" i="1"/>
  <c r="AG788" i="1"/>
  <c r="AH788" i="1"/>
  <c r="AQ788" i="1"/>
  <c r="L788" i="1" s="1"/>
  <c r="I789" i="1"/>
  <c r="E789" i="1" s="1"/>
  <c r="D789" i="1" s="1"/>
  <c r="M789" i="1"/>
  <c r="O789" i="1"/>
  <c r="AA789" i="1"/>
  <c r="AD789" i="1"/>
  <c r="AE789" i="1"/>
  <c r="AF789" i="1"/>
  <c r="AG789" i="1"/>
  <c r="AH789" i="1"/>
  <c r="AQ789" i="1"/>
  <c r="L789" i="1" s="1"/>
  <c r="I790" i="1"/>
  <c r="E790" i="1" s="1"/>
  <c r="D790" i="1" s="1"/>
  <c r="M790" i="1"/>
  <c r="O790" i="1"/>
  <c r="AA790" i="1"/>
  <c r="AD790" i="1"/>
  <c r="AE790" i="1"/>
  <c r="AF790" i="1"/>
  <c r="AG790" i="1"/>
  <c r="AH790" i="1"/>
  <c r="AQ790" i="1"/>
  <c r="L790" i="1" s="1"/>
  <c r="I791" i="1"/>
  <c r="E791" i="1" s="1"/>
  <c r="D791" i="1" s="1"/>
  <c r="M791" i="1"/>
  <c r="O791" i="1"/>
  <c r="AA791" i="1"/>
  <c r="AD791" i="1"/>
  <c r="AE791" i="1"/>
  <c r="AF791" i="1"/>
  <c r="AG791" i="1"/>
  <c r="AH791" i="1"/>
  <c r="AQ791" i="1"/>
  <c r="L791" i="1" s="1"/>
  <c r="I792" i="1"/>
  <c r="E792" i="1" s="1"/>
  <c r="D792" i="1" s="1"/>
  <c r="M792" i="1"/>
  <c r="O792" i="1"/>
  <c r="AA792" i="1"/>
  <c r="AD792" i="1"/>
  <c r="AE792" i="1"/>
  <c r="AF792" i="1"/>
  <c r="AG792" i="1"/>
  <c r="AH792" i="1"/>
  <c r="AQ792" i="1"/>
  <c r="L792" i="1" s="1"/>
  <c r="I793" i="1"/>
  <c r="E793" i="1" s="1"/>
  <c r="D793" i="1" s="1"/>
  <c r="M793" i="1"/>
  <c r="O793" i="1"/>
  <c r="AA793" i="1"/>
  <c r="AD793" i="1"/>
  <c r="AE793" i="1"/>
  <c r="AF793" i="1"/>
  <c r="AG793" i="1"/>
  <c r="AH793" i="1"/>
  <c r="AQ793" i="1"/>
  <c r="L793" i="1" s="1"/>
  <c r="I794" i="1"/>
  <c r="E794" i="1" s="1"/>
  <c r="D794" i="1" s="1"/>
  <c r="M794" i="1"/>
  <c r="O794" i="1"/>
  <c r="AA794" i="1"/>
  <c r="AD794" i="1"/>
  <c r="AE794" i="1"/>
  <c r="AF794" i="1"/>
  <c r="AG794" i="1"/>
  <c r="AH794" i="1"/>
  <c r="AQ794" i="1"/>
  <c r="L794" i="1" s="1"/>
  <c r="I795" i="1"/>
  <c r="E795" i="1" s="1"/>
  <c r="D795" i="1" s="1"/>
  <c r="M795" i="1"/>
  <c r="O795" i="1"/>
  <c r="AA795" i="1"/>
  <c r="AD795" i="1"/>
  <c r="AE795" i="1"/>
  <c r="AF795" i="1"/>
  <c r="AG795" i="1"/>
  <c r="AH795" i="1"/>
  <c r="AQ795" i="1"/>
  <c r="L795" i="1" s="1"/>
  <c r="I796" i="1"/>
  <c r="E796" i="1" s="1"/>
  <c r="D796" i="1" s="1"/>
  <c r="M796" i="1"/>
  <c r="O796" i="1"/>
  <c r="AA796" i="1"/>
  <c r="AD796" i="1"/>
  <c r="AE796" i="1"/>
  <c r="AF796" i="1"/>
  <c r="AG796" i="1"/>
  <c r="AH796" i="1"/>
  <c r="AQ796" i="1"/>
  <c r="L796" i="1" s="1"/>
  <c r="I797" i="1"/>
  <c r="E797" i="1" s="1"/>
  <c r="D797" i="1" s="1"/>
  <c r="M797" i="1"/>
  <c r="O797" i="1"/>
  <c r="AA797" i="1"/>
  <c r="AD797" i="1"/>
  <c r="AE797" i="1"/>
  <c r="AF797" i="1"/>
  <c r="AG797" i="1"/>
  <c r="AH797" i="1"/>
  <c r="AQ797" i="1"/>
  <c r="L797" i="1" s="1"/>
  <c r="I798" i="1"/>
  <c r="E798" i="1" s="1"/>
  <c r="D798" i="1" s="1"/>
  <c r="M798" i="1"/>
  <c r="O798" i="1"/>
  <c r="AA798" i="1"/>
  <c r="AD798" i="1"/>
  <c r="AE798" i="1"/>
  <c r="AF798" i="1"/>
  <c r="AG798" i="1"/>
  <c r="AH798" i="1"/>
  <c r="AQ798" i="1"/>
  <c r="L798" i="1" s="1"/>
  <c r="I799" i="1"/>
  <c r="E799" i="1" s="1"/>
  <c r="D799" i="1" s="1"/>
  <c r="M799" i="1"/>
  <c r="O799" i="1"/>
  <c r="AA799" i="1"/>
  <c r="AD799" i="1"/>
  <c r="AE799" i="1"/>
  <c r="AF799" i="1"/>
  <c r="AG799" i="1"/>
  <c r="AH799" i="1"/>
  <c r="AQ799" i="1"/>
  <c r="L799" i="1" s="1"/>
  <c r="I800" i="1"/>
  <c r="E800" i="1" s="1"/>
  <c r="D800" i="1" s="1"/>
  <c r="M800" i="1"/>
  <c r="O800" i="1"/>
  <c r="AA800" i="1"/>
  <c r="AD800" i="1"/>
  <c r="AE800" i="1"/>
  <c r="AF800" i="1"/>
  <c r="AG800" i="1"/>
  <c r="AH800" i="1"/>
  <c r="AQ800" i="1"/>
  <c r="L800" i="1" s="1"/>
  <c r="I801" i="1"/>
  <c r="E801" i="1" s="1"/>
  <c r="D801" i="1" s="1"/>
  <c r="M801" i="1"/>
  <c r="O801" i="1"/>
  <c r="AA801" i="1"/>
  <c r="AD801" i="1"/>
  <c r="AE801" i="1"/>
  <c r="AF801" i="1"/>
  <c r="AG801" i="1"/>
  <c r="AH801" i="1"/>
  <c r="AQ801" i="1"/>
  <c r="L801" i="1" s="1"/>
  <c r="I802" i="1"/>
  <c r="E802" i="1" s="1"/>
  <c r="D802" i="1" s="1"/>
  <c r="M802" i="1"/>
  <c r="O802" i="1"/>
  <c r="AA802" i="1"/>
  <c r="AD802" i="1"/>
  <c r="AE802" i="1"/>
  <c r="AF802" i="1"/>
  <c r="AG802" i="1"/>
  <c r="AH802" i="1"/>
  <c r="AQ802" i="1"/>
  <c r="L802" i="1" s="1"/>
  <c r="I803" i="1"/>
  <c r="E803" i="1" s="1"/>
  <c r="D803" i="1" s="1"/>
  <c r="M803" i="1"/>
  <c r="O803" i="1"/>
  <c r="AA803" i="1"/>
  <c r="AD803" i="1"/>
  <c r="AE803" i="1"/>
  <c r="AF803" i="1"/>
  <c r="AG803" i="1"/>
  <c r="AH803" i="1"/>
  <c r="AQ803" i="1"/>
  <c r="L803" i="1" s="1"/>
  <c r="I804" i="1"/>
  <c r="E804" i="1" s="1"/>
  <c r="D804" i="1" s="1"/>
  <c r="M804" i="1"/>
  <c r="O804" i="1"/>
  <c r="AA804" i="1"/>
  <c r="AD804" i="1"/>
  <c r="AE804" i="1"/>
  <c r="AF804" i="1"/>
  <c r="AG804" i="1"/>
  <c r="AH804" i="1"/>
  <c r="AQ804" i="1"/>
  <c r="L804" i="1" s="1"/>
  <c r="I805" i="1"/>
  <c r="E805" i="1" s="1"/>
  <c r="D805" i="1" s="1"/>
  <c r="M805" i="1"/>
  <c r="O805" i="1"/>
  <c r="AA805" i="1"/>
  <c r="AD805" i="1"/>
  <c r="AE805" i="1"/>
  <c r="AF805" i="1"/>
  <c r="AG805" i="1"/>
  <c r="AH805" i="1"/>
  <c r="AQ805" i="1"/>
  <c r="L805" i="1" s="1"/>
  <c r="I806" i="1"/>
  <c r="E806" i="1" s="1"/>
  <c r="D806" i="1" s="1"/>
  <c r="M806" i="1"/>
  <c r="O806" i="1"/>
  <c r="AA806" i="1"/>
  <c r="AD806" i="1"/>
  <c r="AE806" i="1"/>
  <c r="AF806" i="1"/>
  <c r="AG806" i="1"/>
  <c r="AH806" i="1"/>
  <c r="AQ806" i="1"/>
  <c r="L806" i="1" s="1"/>
  <c r="I807" i="1"/>
  <c r="E807" i="1" s="1"/>
  <c r="D807" i="1" s="1"/>
  <c r="M807" i="1"/>
  <c r="O807" i="1"/>
  <c r="AA807" i="1"/>
  <c r="AD807" i="1"/>
  <c r="AE807" i="1"/>
  <c r="AF807" i="1"/>
  <c r="AG807" i="1"/>
  <c r="AH807" i="1"/>
  <c r="AQ807" i="1"/>
  <c r="L807" i="1" s="1"/>
  <c r="I808" i="1"/>
  <c r="E808" i="1" s="1"/>
  <c r="D808" i="1" s="1"/>
  <c r="M808" i="1"/>
  <c r="O808" i="1"/>
  <c r="AA808" i="1"/>
  <c r="AD808" i="1"/>
  <c r="AE808" i="1"/>
  <c r="AF808" i="1"/>
  <c r="AG808" i="1"/>
  <c r="AH808" i="1"/>
  <c r="AQ808" i="1"/>
  <c r="L808" i="1" s="1"/>
  <c r="I809" i="1"/>
  <c r="E809" i="1" s="1"/>
  <c r="D809" i="1" s="1"/>
  <c r="M809" i="1"/>
  <c r="O809" i="1"/>
  <c r="AA809" i="1"/>
  <c r="AD809" i="1"/>
  <c r="AE809" i="1"/>
  <c r="AF809" i="1"/>
  <c r="AG809" i="1"/>
  <c r="AH809" i="1"/>
  <c r="AQ809" i="1"/>
  <c r="L809" i="1" s="1"/>
  <c r="I810" i="1"/>
  <c r="E810" i="1" s="1"/>
  <c r="D810" i="1" s="1"/>
  <c r="M810" i="1"/>
  <c r="O810" i="1"/>
  <c r="AA810" i="1"/>
  <c r="AD810" i="1"/>
  <c r="AE810" i="1"/>
  <c r="AF810" i="1"/>
  <c r="AG810" i="1"/>
  <c r="AH810" i="1"/>
  <c r="AQ810" i="1"/>
  <c r="L810" i="1" s="1"/>
  <c r="I811" i="1"/>
  <c r="E811" i="1" s="1"/>
  <c r="D811" i="1" s="1"/>
  <c r="M811" i="1"/>
  <c r="O811" i="1"/>
  <c r="AA811" i="1"/>
  <c r="AD811" i="1"/>
  <c r="AE811" i="1"/>
  <c r="AF811" i="1"/>
  <c r="AG811" i="1"/>
  <c r="AH811" i="1"/>
  <c r="AQ811" i="1"/>
  <c r="L811" i="1" s="1"/>
  <c r="I812" i="1"/>
  <c r="E812" i="1" s="1"/>
  <c r="D812" i="1" s="1"/>
  <c r="M812" i="1"/>
  <c r="O812" i="1"/>
  <c r="AA812" i="1"/>
  <c r="AD812" i="1"/>
  <c r="AE812" i="1"/>
  <c r="AF812" i="1"/>
  <c r="AG812" i="1"/>
  <c r="AH812" i="1"/>
  <c r="AQ812" i="1"/>
  <c r="L812" i="1" s="1"/>
  <c r="I813" i="1"/>
  <c r="E813" i="1" s="1"/>
  <c r="D813" i="1" s="1"/>
  <c r="M813" i="1"/>
  <c r="O813" i="1"/>
  <c r="AA813" i="1"/>
  <c r="AD813" i="1"/>
  <c r="AE813" i="1"/>
  <c r="AF813" i="1"/>
  <c r="AG813" i="1"/>
  <c r="AH813" i="1"/>
  <c r="AQ813" i="1"/>
  <c r="L813" i="1" s="1"/>
  <c r="I814" i="1"/>
  <c r="E814" i="1" s="1"/>
  <c r="D814" i="1" s="1"/>
  <c r="M814" i="1"/>
  <c r="O814" i="1"/>
  <c r="AA814" i="1"/>
  <c r="AD814" i="1"/>
  <c r="AE814" i="1"/>
  <c r="AF814" i="1"/>
  <c r="AG814" i="1"/>
  <c r="AH814" i="1"/>
  <c r="AQ814" i="1"/>
  <c r="L814" i="1" s="1"/>
  <c r="I815" i="1"/>
  <c r="E815" i="1" s="1"/>
  <c r="D815" i="1" s="1"/>
  <c r="M815" i="1"/>
  <c r="O815" i="1"/>
  <c r="AA815" i="1"/>
  <c r="AD815" i="1"/>
  <c r="AE815" i="1"/>
  <c r="AF815" i="1"/>
  <c r="AG815" i="1"/>
  <c r="AH815" i="1"/>
  <c r="AQ815" i="1"/>
  <c r="L815" i="1" s="1"/>
  <c r="I816" i="1"/>
  <c r="E816" i="1" s="1"/>
  <c r="D816" i="1" s="1"/>
  <c r="M816" i="1"/>
  <c r="O816" i="1"/>
  <c r="AA816" i="1"/>
  <c r="AD816" i="1"/>
  <c r="AE816" i="1"/>
  <c r="AF816" i="1"/>
  <c r="AG816" i="1"/>
  <c r="AH816" i="1"/>
  <c r="AQ816" i="1"/>
  <c r="L816" i="1" s="1"/>
  <c r="I817" i="1"/>
  <c r="E817" i="1" s="1"/>
  <c r="D817" i="1" s="1"/>
  <c r="M817" i="1"/>
  <c r="O817" i="1"/>
  <c r="AA817" i="1"/>
  <c r="AD817" i="1"/>
  <c r="AE817" i="1"/>
  <c r="AF817" i="1"/>
  <c r="AG817" i="1"/>
  <c r="AH817" i="1"/>
  <c r="AQ817" i="1"/>
  <c r="L817" i="1" s="1"/>
  <c r="I818" i="1"/>
  <c r="E818" i="1" s="1"/>
  <c r="D818" i="1" s="1"/>
  <c r="M818" i="1"/>
  <c r="O818" i="1"/>
  <c r="AA818" i="1"/>
  <c r="AD818" i="1"/>
  <c r="AE818" i="1"/>
  <c r="AF818" i="1"/>
  <c r="AG818" i="1"/>
  <c r="AH818" i="1"/>
  <c r="AQ818" i="1"/>
  <c r="L818" i="1" s="1"/>
  <c r="I819" i="1"/>
  <c r="E819" i="1" s="1"/>
  <c r="D819" i="1" s="1"/>
  <c r="M819" i="1"/>
  <c r="O819" i="1"/>
  <c r="AA819" i="1"/>
  <c r="AD819" i="1"/>
  <c r="AE819" i="1"/>
  <c r="AF819" i="1"/>
  <c r="AG819" i="1"/>
  <c r="AH819" i="1"/>
  <c r="AQ819" i="1"/>
  <c r="L819" i="1" s="1"/>
  <c r="I820" i="1"/>
  <c r="E820" i="1" s="1"/>
  <c r="D820" i="1" s="1"/>
  <c r="M820" i="1"/>
  <c r="O820" i="1"/>
  <c r="AA820" i="1"/>
  <c r="AD820" i="1"/>
  <c r="AE820" i="1"/>
  <c r="AF820" i="1"/>
  <c r="AG820" i="1"/>
  <c r="AH820" i="1"/>
  <c r="AQ820" i="1"/>
  <c r="L820" i="1" s="1"/>
  <c r="I821" i="1"/>
  <c r="E821" i="1" s="1"/>
  <c r="D821" i="1" s="1"/>
  <c r="M821" i="1"/>
  <c r="O821" i="1"/>
  <c r="AA821" i="1"/>
  <c r="AD821" i="1"/>
  <c r="AE821" i="1"/>
  <c r="AF821" i="1"/>
  <c r="AG821" i="1"/>
  <c r="AH821" i="1"/>
  <c r="AQ821" i="1"/>
  <c r="L821" i="1" s="1"/>
  <c r="I822" i="1"/>
  <c r="E822" i="1" s="1"/>
  <c r="D822" i="1" s="1"/>
  <c r="M822" i="1"/>
  <c r="O822" i="1"/>
  <c r="AA822" i="1"/>
  <c r="AD822" i="1"/>
  <c r="AE822" i="1"/>
  <c r="AF822" i="1"/>
  <c r="AG822" i="1"/>
  <c r="AH822" i="1"/>
  <c r="AQ822" i="1"/>
  <c r="L822" i="1" s="1"/>
  <c r="I823" i="1"/>
  <c r="E823" i="1" s="1"/>
  <c r="D823" i="1" s="1"/>
  <c r="M823" i="1"/>
  <c r="O823" i="1"/>
  <c r="AA823" i="1"/>
  <c r="AD823" i="1"/>
  <c r="AE823" i="1"/>
  <c r="AF823" i="1"/>
  <c r="AG823" i="1"/>
  <c r="AH823" i="1"/>
  <c r="AQ823" i="1"/>
  <c r="L823" i="1" s="1"/>
  <c r="I824" i="1"/>
  <c r="E824" i="1" s="1"/>
  <c r="D824" i="1" s="1"/>
  <c r="M824" i="1"/>
  <c r="O824" i="1"/>
  <c r="AA824" i="1"/>
  <c r="AD824" i="1"/>
  <c r="AE824" i="1"/>
  <c r="AF824" i="1"/>
  <c r="AG824" i="1"/>
  <c r="AH824" i="1"/>
  <c r="AQ824" i="1"/>
  <c r="L824" i="1" s="1"/>
  <c r="I825" i="1"/>
  <c r="E825" i="1" s="1"/>
  <c r="D825" i="1" s="1"/>
  <c r="M825" i="1"/>
  <c r="O825" i="1"/>
  <c r="AA825" i="1"/>
  <c r="AD825" i="1"/>
  <c r="AE825" i="1"/>
  <c r="AF825" i="1"/>
  <c r="AG825" i="1"/>
  <c r="AH825" i="1"/>
  <c r="AQ825" i="1"/>
  <c r="L825" i="1" s="1"/>
  <c r="I826" i="1"/>
  <c r="E826" i="1" s="1"/>
  <c r="D826" i="1" s="1"/>
  <c r="M826" i="1"/>
  <c r="O826" i="1"/>
  <c r="AA826" i="1"/>
  <c r="AD826" i="1"/>
  <c r="AE826" i="1"/>
  <c r="AF826" i="1"/>
  <c r="AG826" i="1"/>
  <c r="AH826" i="1"/>
  <c r="AQ826" i="1"/>
  <c r="L826" i="1" s="1"/>
  <c r="I827" i="1"/>
  <c r="E827" i="1" s="1"/>
  <c r="D827" i="1" s="1"/>
  <c r="M827" i="1"/>
  <c r="O827" i="1"/>
  <c r="AA827" i="1"/>
  <c r="AD827" i="1"/>
  <c r="AE827" i="1"/>
  <c r="AF827" i="1"/>
  <c r="AG827" i="1"/>
  <c r="AH827" i="1"/>
  <c r="AQ827" i="1"/>
  <c r="L827" i="1" s="1"/>
  <c r="I828" i="1"/>
  <c r="E828" i="1" s="1"/>
  <c r="D828" i="1" s="1"/>
  <c r="M828" i="1"/>
  <c r="O828" i="1"/>
  <c r="AA828" i="1"/>
  <c r="AD828" i="1"/>
  <c r="AE828" i="1"/>
  <c r="AF828" i="1"/>
  <c r="AG828" i="1"/>
  <c r="AH828" i="1"/>
  <c r="AQ828" i="1"/>
  <c r="L828" i="1" s="1"/>
  <c r="I829" i="1"/>
  <c r="E829" i="1" s="1"/>
  <c r="D829" i="1" s="1"/>
  <c r="M829" i="1"/>
  <c r="O829" i="1"/>
  <c r="AA829" i="1"/>
  <c r="AD829" i="1"/>
  <c r="AE829" i="1"/>
  <c r="AF829" i="1"/>
  <c r="AG829" i="1"/>
  <c r="AH829" i="1"/>
  <c r="AQ829" i="1"/>
  <c r="L829" i="1" s="1"/>
  <c r="I830" i="1"/>
  <c r="E830" i="1" s="1"/>
  <c r="D830" i="1" s="1"/>
  <c r="M830" i="1"/>
  <c r="O830" i="1"/>
  <c r="AA830" i="1"/>
  <c r="AD830" i="1"/>
  <c r="AE830" i="1"/>
  <c r="AF830" i="1"/>
  <c r="AG830" i="1"/>
  <c r="AH830" i="1"/>
  <c r="AQ830" i="1"/>
  <c r="L830" i="1" s="1"/>
  <c r="I831" i="1"/>
  <c r="E831" i="1" s="1"/>
  <c r="D831" i="1" s="1"/>
  <c r="M831" i="1"/>
  <c r="O831" i="1"/>
  <c r="AA831" i="1"/>
  <c r="AD831" i="1"/>
  <c r="AE831" i="1"/>
  <c r="AF831" i="1"/>
  <c r="AG831" i="1"/>
  <c r="AH831" i="1"/>
  <c r="AQ831" i="1"/>
  <c r="L831" i="1" s="1"/>
  <c r="I832" i="1"/>
  <c r="E832" i="1" s="1"/>
  <c r="D832" i="1" s="1"/>
  <c r="M832" i="1"/>
  <c r="O832" i="1"/>
  <c r="AA832" i="1"/>
  <c r="AD832" i="1"/>
  <c r="AE832" i="1"/>
  <c r="AF832" i="1"/>
  <c r="AG832" i="1"/>
  <c r="AH832" i="1"/>
  <c r="AQ832" i="1"/>
  <c r="L832" i="1" s="1"/>
  <c r="I833" i="1"/>
  <c r="E833" i="1" s="1"/>
  <c r="D833" i="1" s="1"/>
  <c r="M833" i="1"/>
  <c r="O833" i="1"/>
  <c r="AA833" i="1"/>
  <c r="AD833" i="1"/>
  <c r="AE833" i="1"/>
  <c r="AF833" i="1"/>
  <c r="AG833" i="1"/>
  <c r="AH833" i="1"/>
  <c r="AQ833" i="1"/>
  <c r="L833" i="1" s="1"/>
  <c r="I834" i="1"/>
  <c r="E834" i="1" s="1"/>
  <c r="D834" i="1" s="1"/>
  <c r="M834" i="1"/>
  <c r="O834" i="1"/>
  <c r="AA834" i="1"/>
  <c r="AD834" i="1"/>
  <c r="AE834" i="1"/>
  <c r="AF834" i="1"/>
  <c r="AG834" i="1"/>
  <c r="AH834" i="1"/>
  <c r="AQ834" i="1"/>
  <c r="L834" i="1" s="1"/>
  <c r="I835" i="1"/>
  <c r="E835" i="1" s="1"/>
  <c r="D835" i="1" s="1"/>
  <c r="M835" i="1"/>
  <c r="O835" i="1"/>
  <c r="AA835" i="1"/>
  <c r="AD835" i="1"/>
  <c r="AE835" i="1"/>
  <c r="AF835" i="1"/>
  <c r="AG835" i="1"/>
  <c r="AH835" i="1"/>
  <c r="AQ835" i="1"/>
  <c r="L835" i="1" s="1"/>
  <c r="I836" i="1"/>
  <c r="E836" i="1" s="1"/>
  <c r="D836" i="1" s="1"/>
  <c r="M836" i="1"/>
  <c r="O836" i="1"/>
  <c r="AA836" i="1"/>
  <c r="AD836" i="1"/>
  <c r="AE836" i="1"/>
  <c r="AF836" i="1"/>
  <c r="AG836" i="1"/>
  <c r="AH836" i="1"/>
  <c r="AQ836" i="1"/>
  <c r="L836" i="1" s="1"/>
  <c r="I837" i="1"/>
  <c r="E837" i="1" s="1"/>
  <c r="D837" i="1" s="1"/>
  <c r="M837" i="1"/>
  <c r="O837" i="1"/>
  <c r="AA837" i="1"/>
  <c r="AD837" i="1"/>
  <c r="AE837" i="1"/>
  <c r="AF837" i="1"/>
  <c r="AG837" i="1"/>
  <c r="AH837" i="1"/>
  <c r="AQ837" i="1"/>
  <c r="L837" i="1" s="1"/>
  <c r="I838" i="1"/>
  <c r="E838" i="1" s="1"/>
  <c r="D838" i="1" s="1"/>
  <c r="M838" i="1"/>
  <c r="O838" i="1"/>
  <c r="AA838" i="1"/>
  <c r="AD838" i="1"/>
  <c r="AE838" i="1"/>
  <c r="AF838" i="1"/>
  <c r="AG838" i="1"/>
  <c r="AH838" i="1"/>
  <c r="AQ838" i="1"/>
  <c r="L838" i="1" s="1"/>
  <c r="I839" i="1"/>
  <c r="E839" i="1" s="1"/>
  <c r="D839" i="1" s="1"/>
  <c r="M839" i="1"/>
  <c r="O839" i="1"/>
  <c r="AA839" i="1"/>
  <c r="AD839" i="1"/>
  <c r="AE839" i="1"/>
  <c r="AF839" i="1"/>
  <c r="AG839" i="1"/>
  <c r="AH839" i="1"/>
  <c r="AQ839" i="1"/>
  <c r="L839" i="1" s="1"/>
  <c r="I840" i="1"/>
  <c r="E840" i="1" s="1"/>
  <c r="D840" i="1" s="1"/>
  <c r="M840" i="1"/>
  <c r="O840" i="1"/>
  <c r="AA840" i="1"/>
  <c r="AD840" i="1"/>
  <c r="AE840" i="1"/>
  <c r="AF840" i="1"/>
  <c r="AG840" i="1"/>
  <c r="AH840" i="1"/>
  <c r="AQ840" i="1"/>
  <c r="L840" i="1" s="1"/>
  <c r="I841" i="1"/>
  <c r="E841" i="1" s="1"/>
  <c r="D841" i="1" s="1"/>
  <c r="M841" i="1"/>
  <c r="O841" i="1"/>
  <c r="AA841" i="1"/>
  <c r="AD841" i="1"/>
  <c r="AE841" i="1"/>
  <c r="AF841" i="1"/>
  <c r="AG841" i="1"/>
  <c r="AH841" i="1"/>
  <c r="AQ841" i="1"/>
  <c r="L841" i="1" s="1"/>
  <c r="I842" i="1"/>
  <c r="E842" i="1" s="1"/>
  <c r="D842" i="1" s="1"/>
  <c r="M842" i="1"/>
  <c r="O842" i="1"/>
  <c r="AA842" i="1"/>
  <c r="AD842" i="1"/>
  <c r="AE842" i="1"/>
  <c r="AF842" i="1"/>
  <c r="AG842" i="1"/>
  <c r="AH842" i="1"/>
  <c r="AQ842" i="1"/>
  <c r="L842" i="1" s="1"/>
  <c r="I843" i="1"/>
  <c r="E843" i="1" s="1"/>
  <c r="D843" i="1" s="1"/>
  <c r="M843" i="1"/>
  <c r="O843" i="1"/>
  <c r="AA843" i="1"/>
  <c r="AD843" i="1"/>
  <c r="AE843" i="1"/>
  <c r="AF843" i="1"/>
  <c r="AG843" i="1"/>
  <c r="AH843" i="1"/>
  <c r="AQ843" i="1"/>
  <c r="L843" i="1" s="1"/>
  <c r="I844" i="1"/>
  <c r="E844" i="1" s="1"/>
  <c r="D844" i="1" s="1"/>
  <c r="M844" i="1"/>
  <c r="O844" i="1"/>
  <c r="AA844" i="1"/>
  <c r="AD844" i="1"/>
  <c r="AE844" i="1"/>
  <c r="AF844" i="1"/>
  <c r="AG844" i="1"/>
  <c r="AH844" i="1"/>
  <c r="AQ844" i="1"/>
  <c r="L844" i="1" s="1"/>
  <c r="I845" i="1"/>
  <c r="E845" i="1" s="1"/>
  <c r="D845" i="1" s="1"/>
  <c r="M845" i="1"/>
  <c r="O845" i="1"/>
  <c r="AA845" i="1"/>
  <c r="AD845" i="1"/>
  <c r="AE845" i="1"/>
  <c r="AF845" i="1"/>
  <c r="AG845" i="1"/>
  <c r="AH845" i="1"/>
  <c r="AQ845" i="1"/>
  <c r="L845" i="1" s="1"/>
  <c r="I846" i="1"/>
  <c r="E846" i="1" s="1"/>
  <c r="D846" i="1" s="1"/>
  <c r="M846" i="1"/>
  <c r="O846" i="1"/>
  <c r="AA846" i="1"/>
  <c r="AD846" i="1"/>
  <c r="AE846" i="1"/>
  <c r="AF846" i="1"/>
  <c r="AG846" i="1"/>
  <c r="AH846" i="1"/>
  <c r="AQ846" i="1"/>
  <c r="L846" i="1" s="1"/>
  <c r="I847" i="1"/>
  <c r="E847" i="1" s="1"/>
  <c r="D847" i="1" s="1"/>
  <c r="M847" i="1"/>
  <c r="O847" i="1"/>
  <c r="AA847" i="1"/>
  <c r="AD847" i="1"/>
  <c r="AE847" i="1"/>
  <c r="AF847" i="1"/>
  <c r="AG847" i="1"/>
  <c r="AH847" i="1"/>
  <c r="AQ847" i="1"/>
  <c r="L847" i="1" s="1"/>
  <c r="I848" i="1"/>
  <c r="E848" i="1" s="1"/>
  <c r="D848" i="1" s="1"/>
  <c r="M848" i="1"/>
  <c r="O848" i="1"/>
  <c r="AA848" i="1"/>
  <c r="AD848" i="1"/>
  <c r="AE848" i="1"/>
  <c r="AF848" i="1"/>
  <c r="AG848" i="1"/>
  <c r="AH848" i="1"/>
  <c r="AQ848" i="1"/>
  <c r="L848" i="1" s="1"/>
  <c r="I849" i="1"/>
  <c r="E849" i="1" s="1"/>
  <c r="D849" i="1" s="1"/>
  <c r="M849" i="1"/>
  <c r="O849" i="1"/>
  <c r="AA849" i="1"/>
  <c r="AD849" i="1"/>
  <c r="AE849" i="1"/>
  <c r="AF849" i="1"/>
  <c r="AG849" i="1"/>
  <c r="AH849" i="1"/>
  <c r="AQ849" i="1"/>
  <c r="L849" i="1" s="1"/>
  <c r="I850" i="1"/>
  <c r="E850" i="1" s="1"/>
  <c r="D850" i="1" s="1"/>
  <c r="M850" i="1"/>
  <c r="O850" i="1"/>
  <c r="AA850" i="1"/>
  <c r="AD850" i="1"/>
  <c r="AE850" i="1"/>
  <c r="AF850" i="1"/>
  <c r="AG850" i="1"/>
  <c r="AH850" i="1"/>
  <c r="AQ850" i="1"/>
  <c r="L850" i="1" s="1"/>
  <c r="I851" i="1"/>
  <c r="E851" i="1" s="1"/>
  <c r="D851" i="1" s="1"/>
  <c r="M851" i="1"/>
  <c r="O851" i="1"/>
  <c r="AA851" i="1"/>
  <c r="AD851" i="1"/>
  <c r="AE851" i="1"/>
  <c r="AF851" i="1"/>
  <c r="AG851" i="1"/>
  <c r="AH851" i="1"/>
  <c r="AQ851" i="1"/>
  <c r="L851" i="1" s="1"/>
  <c r="I852" i="1"/>
  <c r="E852" i="1" s="1"/>
  <c r="D852" i="1" s="1"/>
  <c r="M852" i="1"/>
  <c r="O852" i="1"/>
  <c r="AA852" i="1"/>
  <c r="AD852" i="1"/>
  <c r="AE852" i="1"/>
  <c r="AF852" i="1"/>
  <c r="AG852" i="1"/>
  <c r="AH852" i="1"/>
  <c r="AQ852" i="1"/>
  <c r="L852" i="1" s="1"/>
  <c r="I853" i="1"/>
  <c r="E853" i="1" s="1"/>
  <c r="D853" i="1" s="1"/>
  <c r="M853" i="1"/>
  <c r="O853" i="1"/>
  <c r="AA853" i="1"/>
  <c r="AD853" i="1"/>
  <c r="AE853" i="1"/>
  <c r="AF853" i="1"/>
  <c r="AG853" i="1"/>
  <c r="AH853" i="1"/>
  <c r="AQ853" i="1"/>
  <c r="L853" i="1" s="1"/>
  <c r="I854" i="1"/>
  <c r="E854" i="1" s="1"/>
  <c r="D854" i="1" s="1"/>
  <c r="M854" i="1"/>
  <c r="O854" i="1"/>
  <c r="AA854" i="1"/>
  <c r="AD854" i="1"/>
  <c r="AE854" i="1"/>
  <c r="AF854" i="1"/>
  <c r="AG854" i="1"/>
  <c r="AH854" i="1"/>
  <c r="AQ854" i="1"/>
  <c r="L854" i="1" s="1"/>
  <c r="I855" i="1"/>
  <c r="E855" i="1" s="1"/>
  <c r="D855" i="1" s="1"/>
  <c r="M855" i="1"/>
  <c r="O855" i="1"/>
  <c r="AA855" i="1"/>
  <c r="AD855" i="1"/>
  <c r="AE855" i="1"/>
  <c r="AF855" i="1"/>
  <c r="AG855" i="1"/>
  <c r="AH855" i="1"/>
  <c r="AQ855" i="1"/>
  <c r="L855" i="1" s="1"/>
  <c r="I856" i="1"/>
  <c r="E856" i="1" s="1"/>
  <c r="D856" i="1" s="1"/>
  <c r="M856" i="1"/>
  <c r="O856" i="1"/>
  <c r="AA856" i="1"/>
  <c r="AD856" i="1"/>
  <c r="AE856" i="1"/>
  <c r="AF856" i="1"/>
  <c r="AG856" i="1"/>
  <c r="AH856" i="1"/>
  <c r="AQ856" i="1"/>
  <c r="L856" i="1" s="1"/>
  <c r="I857" i="1"/>
  <c r="E857" i="1" s="1"/>
  <c r="D857" i="1" s="1"/>
  <c r="M857" i="1"/>
  <c r="O857" i="1"/>
  <c r="AA857" i="1"/>
  <c r="AD857" i="1"/>
  <c r="AE857" i="1"/>
  <c r="AF857" i="1"/>
  <c r="AG857" i="1"/>
  <c r="AH857" i="1"/>
  <c r="AQ857" i="1"/>
  <c r="L857" i="1" s="1"/>
  <c r="I858" i="1"/>
  <c r="E858" i="1" s="1"/>
  <c r="D858" i="1" s="1"/>
  <c r="M858" i="1"/>
  <c r="O858" i="1"/>
  <c r="AA858" i="1"/>
  <c r="AD858" i="1"/>
  <c r="AE858" i="1"/>
  <c r="AF858" i="1"/>
  <c r="AG858" i="1"/>
  <c r="AH858" i="1"/>
  <c r="AQ858" i="1"/>
  <c r="L858" i="1" s="1"/>
  <c r="I859" i="1"/>
  <c r="E859" i="1" s="1"/>
  <c r="D859" i="1" s="1"/>
  <c r="M859" i="1"/>
  <c r="O859" i="1"/>
  <c r="AA859" i="1"/>
  <c r="AD859" i="1"/>
  <c r="AE859" i="1"/>
  <c r="AF859" i="1"/>
  <c r="AG859" i="1"/>
  <c r="AH859" i="1"/>
  <c r="AQ859" i="1"/>
  <c r="L859" i="1" s="1"/>
  <c r="I860" i="1"/>
  <c r="E860" i="1" s="1"/>
  <c r="D860" i="1" s="1"/>
  <c r="M860" i="1"/>
  <c r="O860" i="1"/>
  <c r="AA860" i="1"/>
  <c r="AD860" i="1"/>
  <c r="AE860" i="1"/>
  <c r="AF860" i="1"/>
  <c r="AG860" i="1"/>
  <c r="AH860" i="1"/>
  <c r="AQ860" i="1"/>
  <c r="L860" i="1" s="1"/>
  <c r="I861" i="1"/>
  <c r="E861" i="1" s="1"/>
  <c r="D861" i="1" s="1"/>
  <c r="M861" i="1"/>
  <c r="O861" i="1"/>
  <c r="AA861" i="1"/>
  <c r="AD861" i="1"/>
  <c r="AE861" i="1"/>
  <c r="AF861" i="1"/>
  <c r="AG861" i="1"/>
  <c r="AH861" i="1"/>
  <c r="AQ861" i="1"/>
  <c r="L861" i="1" s="1"/>
  <c r="I862" i="1"/>
  <c r="E862" i="1" s="1"/>
  <c r="D862" i="1" s="1"/>
  <c r="M862" i="1"/>
  <c r="O862" i="1"/>
  <c r="AA862" i="1"/>
  <c r="AD862" i="1"/>
  <c r="AE862" i="1"/>
  <c r="AF862" i="1"/>
  <c r="AG862" i="1"/>
  <c r="AH862" i="1"/>
  <c r="AQ862" i="1"/>
  <c r="L862" i="1" s="1"/>
  <c r="I863" i="1"/>
  <c r="E863" i="1" s="1"/>
  <c r="D863" i="1" s="1"/>
  <c r="M863" i="1"/>
  <c r="O863" i="1"/>
  <c r="AA863" i="1"/>
  <c r="AD863" i="1"/>
  <c r="AE863" i="1"/>
  <c r="AF863" i="1"/>
  <c r="AG863" i="1"/>
  <c r="AH863" i="1"/>
  <c r="AQ863" i="1"/>
  <c r="L863" i="1" s="1"/>
  <c r="I864" i="1"/>
  <c r="E864" i="1" s="1"/>
  <c r="D864" i="1" s="1"/>
  <c r="M864" i="1"/>
  <c r="O864" i="1"/>
  <c r="AA864" i="1"/>
  <c r="AD864" i="1"/>
  <c r="AE864" i="1"/>
  <c r="AF864" i="1"/>
  <c r="AG864" i="1"/>
  <c r="AH864" i="1"/>
  <c r="AQ864" i="1"/>
  <c r="L864" i="1" s="1"/>
  <c r="I865" i="1"/>
  <c r="E865" i="1" s="1"/>
  <c r="D865" i="1" s="1"/>
  <c r="M865" i="1"/>
  <c r="O865" i="1"/>
  <c r="AA865" i="1"/>
  <c r="AD865" i="1"/>
  <c r="AE865" i="1"/>
  <c r="AF865" i="1"/>
  <c r="AG865" i="1"/>
  <c r="AH865" i="1"/>
  <c r="AQ865" i="1"/>
  <c r="L865" i="1" s="1"/>
  <c r="I866" i="1"/>
  <c r="E866" i="1" s="1"/>
  <c r="D866" i="1" s="1"/>
  <c r="M866" i="1"/>
  <c r="O866" i="1"/>
  <c r="AA866" i="1"/>
  <c r="AD866" i="1"/>
  <c r="AE866" i="1"/>
  <c r="AF866" i="1"/>
  <c r="AG866" i="1"/>
  <c r="AH866" i="1"/>
  <c r="AQ866" i="1"/>
  <c r="L866" i="1" s="1"/>
  <c r="I867" i="1"/>
  <c r="E867" i="1" s="1"/>
  <c r="D867" i="1" s="1"/>
  <c r="M867" i="1"/>
  <c r="O867" i="1"/>
  <c r="AA867" i="1"/>
  <c r="AD867" i="1"/>
  <c r="AE867" i="1"/>
  <c r="AF867" i="1"/>
  <c r="AG867" i="1"/>
  <c r="AH867" i="1"/>
  <c r="AQ867" i="1"/>
  <c r="L867" i="1" s="1"/>
  <c r="I868" i="1"/>
  <c r="E868" i="1" s="1"/>
  <c r="D868" i="1" s="1"/>
  <c r="M868" i="1"/>
  <c r="O868" i="1"/>
  <c r="AA868" i="1"/>
  <c r="AD868" i="1"/>
  <c r="AE868" i="1"/>
  <c r="AF868" i="1"/>
  <c r="AG868" i="1"/>
  <c r="AH868" i="1"/>
  <c r="AQ868" i="1"/>
  <c r="L868" i="1" s="1"/>
  <c r="I869" i="1"/>
  <c r="E869" i="1" s="1"/>
  <c r="D869" i="1" s="1"/>
  <c r="M869" i="1"/>
  <c r="O869" i="1"/>
  <c r="AA869" i="1"/>
  <c r="AD869" i="1"/>
  <c r="AE869" i="1"/>
  <c r="AF869" i="1"/>
  <c r="AG869" i="1"/>
  <c r="AH869" i="1"/>
  <c r="AQ869" i="1"/>
  <c r="L869" i="1" s="1"/>
  <c r="I870" i="1"/>
  <c r="E870" i="1" s="1"/>
  <c r="D870" i="1" s="1"/>
  <c r="M870" i="1"/>
  <c r="O870" i="1"/>
  <c r="AA870" i="1"/>
  <c r="AD870" i="1"/>
  <c r="AE870" i="1"/>
  <c r="AF870" i="1"/>
  <c r="AG870" i="1"/>
  <c r="AH870" i="1"/>
  <c r="AQ870" i="1"/>
  <c r="L870" i="1" s="1"/>
  <c r="I871" i="1"/>
  <c r="E871" i="1" s="1"/>
  <c r="D871" i="1" s="1"/>
  <c r="M871" i="1"/>
  <c r="O871" i="1"/>
  <c r="AA871" i="1"/>
  <c r="AD871" i="1"/>
  <c r="AE871" i="1"/>
  <c r="AF871" i="1"/>
  <c r="AG871" i="1"/>
  <c r="AH871" i="1"/>
  <c r="AQ871" i="1"/>
  <c r="L871" i="1" s="1"/>
  <c r="I872" i="1"/>
  <c r="E872" i="1" s="1"/>
  <c r="D872" i="1" s="1"/>
  <c r="M872" i="1"/>
  <c r="O872" i="1"/>
  <c r="AA872" i="1"/>
  <c r="AD872" i="1"/>
  <c r="AE872" i="1"/>
  <c r="AF872" i="1"/>
  <c r="AG872" i="1"/>
  <c r="AH872" i="1"/>
  <c r="AQ872" i="1"/>
  <c r="L872" i="1" s="1"/>
  <c r="I873" i="1"/>
  <c r="E873" i="1" s="1"/>
  <c r="D873" i="1" s="1"/>
  <c r="M873" i="1"/>
  <c r="O873" i="1"/>
  <c r="AA873" i="1"/>
  <c r="AD873" i="1"/>
  <c r="AE873" i="1"/>
  <c r="AF873" i="1"/>
  <c r="AG873" i="1"/>
  <c r="AH873" i="1"/>
  <c r="AQ873" i="1"/>
  <c r="L873" i="1" s="1"/>
  <c r="I874" i="1"/>
  <c r="E874" i="1" s="1"/>
  <c r="D874" i="1" s="1"/>
  <c r="M874" i="1"/>
  <c r="O874" i="1"/>
  <c r="AA874" i="1"/>
  <c r="AD874" i="1"/>
  <c r="AE874" i="1"/>
  <c r="AF874" i="1"/>
  <c r="AG874" i="1"/>
  <c r="AH874" i="1"/>
  <c r="AQ874" i="1"/>
  <c r="L874" i="1" s="1"/>
  <c r="I875" i="1"/>
  <c r="E875" i="1" s="1"/>
  <c r="D875" i="1" s="1"/>
  <c r="M875" i="1"/>
  <c r="O875" i="1"/>
  <c r="AA875" i="1"/>
  <c r="AD875" i="1"/>
  <c r="AE875" i="1"/>
  <c r="AF875" i="1"/>
  <c r="AG875" i="1"/>
  <c r="AH875" i="1"/>
  <c r="AQ875" i="1"/>
  <c r="L875" i="1" s="1"/>
  <c r="I876" i="1"/>
  <c r="E876" i="1" s="1"/>
  <c r="D876" i="1" s="1"/>
  <c r="M876" i="1"/>
  <c r="O876" i="1"/>
  <c r="AA876" i="1"/>
  <c r="AD876" i="1"/>
  <c r="AE876" i="1"/>
  <c r="AF876" i="1"/>
  <c r="AG876" i="1"/>
  <c r="AH876" i="1"/>
  <c r="AQ876" i="1"/>
  <c r="L876" i="1" s="1"/>
  <c r="I877" i="1"/>
  <c r="E877" i="1" s="1"/>
  <c r="D877" i="1" s="1"/>
  <c r="M877" i="1"/>
  <c r="O877" i="1"/>
  <c r="AA877" i="1"/>
  <c r="AD877" i="1"/>
  <c r="AE877" i="1"/>
  <c r="AF877" i="1"/>
  <c r="AG877" i="1"/>
  <c r="AH877" i="1"/>
  <c r="AQ877" i="1"/>
  <c r="L877" i="1" s="1"/>
  <c r="I878" i="1"/>
  <c r="E878" i="1" s="1"/>
  <c r="D878" i="1" s="1"/>
  <c r="M878" i="1"/>
  <c r="O878" i="1"/>
  <c r="AA878" i="1"/>
  <c r="AD878" i="1"/>
  <c r="AE878" i="1"/>
  <c r="AF878" i="1"/>
  <c r="AG878" i="1"/>
  <c r="AH878" i="1"/>
  <c r="AQ878" i="1"/>
  <c r="L878" i="1" s="1"/>
  <c r="I879" i="1"/>
  <c r="E879" i="1" s="1"/>
  <c r="D879" i="1" s="1"/>
  <c r="M879" i="1"/>
  <c r="O879" i="1"/>
  <c r="AA879" i="1"/>
  <c r="AD879" i="1"/>
  <c r="AE879" i="1"/>
  <c r="AF879" i="1"/>
  <c r="AG879" i="1"/>
  <c r="AH879" i="1"/>
  <c r="AQ879" i="1"/>
  <c r="L879" i="1" s="1"/>
  <c r="I880" i="1"/>
  <c r="E880" i="1" s="1"/>
  <c r="D880" i="1" s="1"/>
  <c r="M880" i="1"/>
  <c r="O880" i="1"/>
  <c r="AA880" i="1"/>
  <c r="AD880" i="1"/>
  <c r="AE880" i="1"/>
  <c r="AF880" i="1"/>
  <c r="AG880" i="1"/>
  <c r="AH880" i="1"/>
  <c r="AQ880" i="1"/>
  <c r="L880" i="1" s="1"/>
  <c r="I881" i="1"/>
  <c r="E881" i="1" s="1"/>
  <c r="D881" i="1" s="1"/>
  <c r="M881" i="1"/>
  <c r="O881" i="1"/>
  <c r="AA881" i="1"/>
  <c r="AD881" i="1"/>
  <c r="AE881" i="1"/>
  <c r="AF881" i="1"/>
  <c r="AG881" i="1"/>
  <c r="AH881" i="1"/>
  <c r="AQ881" i="1"/>
  <c r="L881" i="1" s="1"/>
  <c r="I882" i="1"/>
  <c r="E882" i="1" s="1"/>
  <c r="D882" i="1" s="1"/>
  <c r="M882" i="1"/>
  <c r="O882" i="1"/>
  <c r="AA882" i="1"/>
  <c r="AD882" i="1"/>
  <c r="AE882" i="1"/>
  <c r="AF882" i="1"/>
  <c r="AG882" i="1"/>
  <c r="AH882" i="1"/>
  <c r="AQ882" i="1"/>
  <c r="L882" i="1" s="1"/>
  <c r="I883" i="1"/>
  <c r="E883" i="1" s="1"/>
  <c r="D883" i="1" s="1"/>
  <c r="M883" i="1"/>
  <c r="O883" i="1"/>
  <c r="AA883" i="1"/>
  <c r="AD883" i="1"/>
  <c r="AE883" i="1"/>
  <c r="AF883" i="1"/>
  <c r="AG883" i="1"/>
  <c r="AH883" i="1"/>
  <c r="AQ883" i="1"/>
  <c r="L883" i="1" s="1"/>
  <c r="I884" i="1"/>
  <c r="E884" i="1" s="1"/>
  <c r="D884" i="1" s="1"/>
  <c r="M884" i="1"/>
  <c r="O884" i="1"/>
  <c r="AA884" i="1"/>
  <c r="AD884" i="1"/>
  <c r="AE884" i="1"/>
  <c r="AF884" i="1"/>
  <c r="AG884" i="1"/>
  <c r="AH884" i="1"/>
  <c r="AQ884" i="1"/>
  <c r="L884" i="1" s="1"/>
  <c r="I885" i="1"/>
  <c r="E885" i="1" s="1"/>
  <c r="D885" i="1" s="1"/>
  <c r="M885" i="1"/>
  <c r="O885" i="1"/>
  <c r="AA885" i="1"/>
  <c r="AD885" i="1"/>
  <c r="AE885" i="1"/>
  <c r="AF885" i="1"/>
  <c r="AG885" i="1"/>
  <c r="AH885" i="1"/>
  <c r="AQ885" i="1"/>
  <c r="L885" i="1" s="1"/>
  <c r="I886" i="1"/>
  <c r="E886" i="1" s="1"/>
  <c r="D886" i="1" s="1"/>
  <c r="M886" i="1"/>
  <c r="O886" i="1"/>
  <c r="AA886" i="1"/>
  <c r="AD886" i="1"/>
  <c r="AE886" i="1"/>
  <c r="AF886" i="1"/>
  <c r="AG886" i="1"/>
  <c r="AH886" i="1"/>
  <c r="AQ886" i="1"/>
  <c r="L886" i="1" s="1"/>
  <c r="I887" i="1"/>
  <c r="E887" i="1" s="1"/>
  <c r="D887" i="1" s="1"/>
  <c r="M887" i="1"/>
  <c r="O887" i="1"/>
  <c r="AA887" i="1"/>
  <c r="AD887" i="1"/>
  <c r="AE887" i="1"/>
  <c r="AF887" i="1"/>
  <c r="AG887" i="1"/>
  <c r="AH887" i="1"/>
  <c r="AQ887" i="1"/>
  <c r="L887" i="1" s="1"/>
  <c r="I888" i="1"/>
  <c r="E888" i="1" s="1"/>
  <c r="D888" i="1" s="1"/>
  <c r="M888" i="1"/>
  <c r="O888" i="1"/>
  <c r="AA888" i="1"/>
  <c r="AD888" i="1"/>
  <c r="AE888" i="1"/>
  <c r="AF888" i="1"/>
  <c r="AG888" i="1"/>
  <c r="AH888" i="1"/>
  <c r="AQ888" i="1"/>
  <c r="L888" i="1" s="1"/>
  <c r="I889" i="1"/>
  <c r="E889" i="1" s="1"/>
  <c r="D889" i="1" s="1"/>
  <c r="M889" i="1"/>
  <c r="O889" i="1"/>
  <c r="AA889" i="1"/>
  <c r="AD889" i="1"/>
  <c r="AE889" i="1"/>
  <c r="AF889" i="1"/>
  <c r="AG889" i="1"/>
  <c r="AH889" i="1"/>
  <c r="AQ889" i="1"/>
  <c r="L889" i="1" s="1"/>
  <c r="I890" i="1"/>
  <c r="E890" i="1" s="1"/>
  <c r="D890" i="1" s="1"/>
  <c r="M890" i="1"/>
  <c r="O890" i="1"/>
  <c r="AA890" i="1"/>
  <c r="AD890" i="1"/>
  <c r="AE890" i="1"/>
  <c r="AF890" i="1"/>
  <c r="AG890" i="1"/>
  <c r="AH890" i="1"/>
  <c r="AQ890" i="1"/>
  <c r="L890" i="1" s="1"/>
  <c r="I891" i="1"/>
  <c r="E891" i="1" s="1"/>
  <c r="D891" i="1" s="1"/>
  <c r="M891" i="1"/>
  <c r="O891" i="1"/>
  <c r="AA891" i="1"/>
  <c r="AD891" i="1"/>
  <c r="AE891" i="1"/>
  <c r="AF891" i="1"/>
  <c r="AG891" i="1"/>
  <c r="AH891" i="1"/>
  <c r="AQ891" i="1"/>
  <c r="L891" i="1" s="1"/>
  <c r="I892" i="1"/>
  <c r="E892" i="1" s="1"/>
  <c r="D892" i="1" s="1"/>
  <c r="M892" i="1"/>
  <c r="O892" i="1"/>
  <c r="AA892" i="1"/>
  <c r="AD892" i="1"/>
  <c r="AE892" i="1"/>
  <c r="AF892" i="1"/>
  <c r="AG892" i="1"/>
  <c r="AH892" i="1"/>
  <c r="AQ892" i="1"/>
  <c r="L892" i="1" s="1"/>
  <c r="I893" i="1"/>
  <c r="E893" i="1" s="1"/>
  <c r="D893" i="1" s="1"/>
  <c r="M893" i="1"/>
  <c r="O893" i="1"/>
  <c r="AA893" i="1"/>
  <c r="AD893" i="1"/>
  <c r="AE893" i="1"/>
  <c r="AF893" i="1"/>
  <c r="AG893" i="1"/>
  <c r="AH893" i="1"/>
  <c r="AQ893" i="1"/>
  <c r="L893" i="1" s="1"/>
  <c r="I894" i="1"/>
  <c r="E894" i="1" s="1"/>
  <c r="D894" i="1" s="1"/>
  <c r="M894" i="1"/>
  <c r="O894" i="1"/>
  <c r="AA894" i="1"/>
  <c r="AD894" i="1"/>
  <c r="AE894" i="1"/>
  <c r="AF894" i="1"/>
  <c r="AG894" i="1"/>
  <c r="AH894" i="1"/>
  <c r="AQ894" i="1"/>
  <c r="L894" i="1" s="1"/>
  <c r="I895" i="1"/>
  <c r="E895" i="1" s="1"/>
  <c r="D895" i="1" s="1"/>
  <c r="M895" i="1"/>
  <c r="O895" i="1"/>
  <c r="AA895" i="1"/>
  <c r="AD895" i="1"/>
  <c r="AE895" i="1"/>
  <c r="AF895" i="1"/>
  <c r="AG895" i="1"/>
  <c r="AH895" i="1"/>
  <c r="AQ895" i="1"/>
  <c r="L895" i="1" s="1"/>
  <c r="I896" i="1"/>
  <c r="E896" i="1" s="1"/>
  <c r="D896" i="1" s="1"/>
  <c r="M896" i="1"/>
  <c r="O896" i="1"/>
  <c r="AA896" i="1"/>
  <c r="AD896" i="1"/>
  <c r="AE896" i="1"/>
  <c r="AF896" i="1"/>
  <c r="AG896" i="1"/>
  <c r="AH896" i="1"/>
  <c r="AQ896" i="1"/>
  <c r="L896" i="1" s="1"/>
  <c r="I897" i="1"/>
  <c r="E897" i="1" s="1"/>
  <c r="D897" i="1" s="1"/>
  <c r="M897" i="1"/>
  <c r="O897" i="1"/>
  <c r="AA897" i="1"/>
  <c r="AD897" i="1"/>
  <c r="AE897" i="1"/>
  <c r="AF897" i="1"/>
  <c r="AG897" i="1"/>
  <c r="AH897" i="1"/>
  <c r="AQ897" i="1"/>
  <c r="L897" i="1" s="1"/>
  <c r="I898" i="1"/>
  <c r="E898" i="1" s="1"/>
  <c r="D898" i="1" s="1"/>
  <c r="M898" i="1"/>
  <c r="O898" i="1"/>
  <c r="AA898" i="1"/>
  <c r="AD898" i="1"/>
  <c r="AE898" i="1"/>
  <c r="AF898" i="1"/>
  <c r="AG898" i="1"/>
  <c r="AH898" i="1"/>
  <c r="AQ898" i="1"/>
  <c r="L898" i="1" s="1"/>
  <c r="I899" i="1"/>
  <c r="E899" i="1" s="1"/>
  <c r="D899" i="1" s="1"/>
  <c r="M899" i="1"/>
  <c r="O899" i="1"/>
  <c r="AA899" i="1"/>
  <c r="AD899" i="1"/>
  <c r="AE899" i="1"/>
  <c r="AF899" i="1"/>
  <c r="AG899" i="1"/>
  <c r="AH899" i="1"/>
  <c r="AQ899" i="1"/>
  <c r="L899" i="1" s="1"/>
  <c r="I900" i="1"/>
  <c r="E900" i="1" s="1"/>
  <c r="D900" i="1" s="1"/>
  <c r="M900" i="1"/>
  <c r="O900" i="1"/>
  <c r="AA900" i="1"/>
  <c r="AD900" i="1"/>
  <c r="AE900" i="1"/>
  <c r="AF900" i="1"/>
  <c r="AG900" i="1"/>
  <c r="AH900" i="1"/>
  <c r="AQ900" i="1"/>
  <c r="L900" i="1" s="1"/>
  <c r="I901" i="1"/>
  <c r="E901" i="1" s="1"/>
  <c r="D901" i="1" s="1"/>
  <c r="M901" i="1"/>
  <c r="O901" i="1"/>
  <c r="AA901" i="1"/>
  <c r="AD901" i="1"/>
  <c r="AE901" i="1"/>
  <c r="AF901" i="1"/>
  <c r="AG901" i="1"/>
  <c r="AH901" i="1"/>
  <c r="AQ901" i="1"/>
  <c r="L901" i="1" s="1"/>
  <c r="I902" i="1"/>
  <c r="E902" i="1" s="1"/>
  <c r="D902" i="1" s="1"/>
  <c r="M902" i="1"/>
  <c r="O902" i="1"/>
  <c r="AA902" i="1"/>
  <c r="AD902" i="1"/>
  <c r="AE902" i="1"/>
  <c r="AF902" i="1"/>
  <c r="AG902" i="1"/>
  <c r="AH902" i="1"/>
  <c r="AQ902" i="1"/>
  <c r="L902" i="1" s="1"/>
  <c r="I903" i="1"/>
  <c r="E903" i="1" s="1"/>
  <c r="D903" i="1" s="1"/>
  <c r="M903" i="1"/>
  <c r="O903" i="1"/>
  <c r="AA903" i="1"/>
  <c r="AD903" i="1"/>
  <c r="AE903" i="1"/>
  <c r="AF903" i="1"/>
  <c r="AG903" i="1"/>
  <c r="AH903" i="1"/>
  <c r="AQ903" i="1"/>
  <c r="L903" i="1" s="1"/>
  <c r="I904" i="1"/>
  <c r="E904" i="1" s="1"/>
  <c r="D904" i="1" s="1"/>
  <c r="M904" i="1"/>
  <c r="O904" i="1"/>
  <c r="AA904" i="1"/>
  <c r="AD904" i="1"/>
  <c r="AE904" i="1"/>
  <c r="AF904" i="1"/>
  <c r="AG904" i="1"/>
  <c r="AH904" i="1"/>
  <c r="AQ904" i="1"/>
  <c r="L904" i="1" s="1"/>
  <c r="I905" i="1"/>
  <c r="E905" i="1" s="1"/>
  <c r="D905" i="1" s="1"/>
  <c r="M905" i="1"/>
  <c r="O905" i="1"/>
  <c r="AA905" i="1"/>
  <c r="AD905" i="1"/>
  <c r="AE905" i="1"/>
  <c r="AF905" i="1"/>
  <c r="AG905" i="1"/>
  <c r="AH905" i="1"/>
  <c r="AQ905" i="1"/>
  <c r="L905" i="1" s="1"/>
  <c r="I906" i="1"/>
  <c r="E906" i="1" s="1"/>
  <c r="D906" i="1" s="1"/>
  <c r="M906" i="1"/>
  <c r="O906" i="1"/>
  <c r="AA906" i="1"/>
  <c r="AD906" i="1"/>
  <c r="AE906" i="1"/>
  <c r="AF906" i="1"/>
  <c r="AG906" i="1"/>
  <c r="AH906" i="1"/>
  <c r="AQ906" i="1"/>
  <c r="L906" i="1" s="1"/>
  <c r="I907" i="1"/>
  <c r="E907" i="1" s="1"/>
  <c r="D907" i="1" s="1"/>
  <c r="M907" i="1"/>
  <c r="O907" i="1"/>
  <c r="AA907" i="1"/>
  <c r="AD907" i="1"/>
  <c r="AE907" i="1"/>
  <c r="AF907" i="1"/>
  <c r="AG907" i="1"/>
  <c r="AH907" i="1"/>
  <c r="AQ907" i="1"/>
  <c r="L907" i="1" s="1"/>
  <c r="I908" i="1"/>
  <c r="E908" i="1" s="1"/>
  <c r="D908" i="1" s="1"/>
  <c r="M908" i="1"/>
  <c r="O908" i="1"/>
  <c r="AA908" i="1"/>
  <c r="AD908" i="1"/>
  <c r="AE908" i="1"/>
  <c r="AF908" i="1"/>
  <c r="AG908" i="1"/>
  <c r="AH908" i="1"/>
  <c r="AQ908" i="1"/>
  <c r="L908" i="1" s="1"/>
  <c r="I909" i="1"/>
  <c r="E909" i="1" s="1"/>
  <c r="D909" i="1" s="1"/>
  <c r="M909" i="1"/>
  <c r="O909" i="1"/>
  <c r="AA909" i="1"/>
  <c r="AD909" i="1"/>
  <c r="AE909" i="1"/>
  <c r="AF909" i="1"/>
  <c r="AG909" i="1"/>
  <c r="AH909" i="1"/>
  <c r="AQ909" i="1"/>
  <c r="L909" i="1" s="1"/>
  <c r="I910" i="1"/>
  <c r="E910" i="1" s="1"/>
  <c r="D910" i="1" s="1"/>
  <c r="M910" i="1"/>
  <c r="O910" i="1"/>
  <c r="AA910" i="1"/>
  <c r="AD910" i="1"/>
  <c r="AE910" i="1"/>
  <c r="AF910" i="1"/>
  <c r="AG910" i="1"/>
  <c r="AH910" i="1"/>
  <c r="AQ910" i="1"/>
  <c r="L910" i="1" s="1"/>
  <c r="I911" i="1"/>
  <c r="E911" i="1" s="1"/>
  <c r="D911" i="1" s="1"/>
  <c r="M911" i="1"/>
  <c r="O911" i="1"/>
  <c r="AA911" i="1"/>
  <c r="AD911" i="1"/>
  <c r="AE911" i="1"/>
  <c r="AF911" i="1"/>
  <c r="AG911" i="1"/>
  <c r="AH911" i="1"/>
  <c r="AQ911" i="1"/>
  <c r="L911" i="1" s="1"/>
  <c r="I912" i="1"/>
  <c r="E912" i="1" s="1"/>
  <c r="D912" i="1" s="1"/>
  <c r="M912" i="1"/>
  <c r="O912" i="1"/>
  <c r="AA912" i="1"/>
  <c r="AD912" i="1"/>
  <c r="AE912" i="1"/>
  <c r="AF912" i="1"/>
  <c r="AG912" i="1"/>
  <c r="AH912" i="1"/>
  <c r="AQ912" i="1"/>
  <c r="L912" i="1" s="1"/>
  <c r="I913" i="1"/>
  <c r="E913" i="1" s="1"/>
  <c r="D913" i="1" s="1"/>
  <c r="M913" i="1"/>
  <c r="O913" i="1"/>
  <c r="AA913" i="1"/>
  <c r="AD913" i="1"/>
  <c r="AE913" i="1"/>
  <c r="AF913" i="1"/>
  <c r="AG913" i="1"/>
  <c r="AH913" i="1"/>
  <c r="AQ913" i="1"/>
  <c r="L913" i="1" s="1"/>
  <c r="I914" i="1"/>
  <c r="E914" i="1" s="1"/>
  <c r="D914" i="1" s="1"/>
  <c r="M914" i="1"/>
  <c r="O914" i="1"/>
  <c r="AA914" i="1"/>
  <c r="AD914" i="1"/>
  <c r="AE914" i="1"/>
  <c r="AF914" i="1"/>
  <c r="AG914" i="1"/>
  <c r="AH914" i="1"/>
  <c r="AQ914" i="1"/>
  <c r="L914" i="1" s="1"/>
  <c r="I915" i="1"/>
  <c r="E915" i="1" s="1"/>
  <c r="D915" i="1" s="1"/>
  <c r="M915" i="1"/>
  <c r="O915" i="1"/>
  <c r="AA915" i="1"/>
  <c r="AD915" i="1"/>
  <c r="AE915" i="1"/>
  <c r="AF915" i="1"/>
  <c r="AG915" i="1"/>
  <c r="AH915" i="1"/>
  <c r="AQ915" i="1"/>
  <c r="L915" i="1" s="1"/>
  <c r="I916" i="1"/>
  <c r="E916" i="1" s="1"/>
  <c r="D916" i="1" s="1"/>
  <c r="M916" i="1"/>
  <c r="O916" i="1"/>
  <c r="AA916" i="1"/>
  <c r="AD916" i="1"/>
  <c r="AE916" i="1"/>
  <c r="AF916" i="1"/>
  <c r="AG916" i="1"/>
  <c r="AH916" i="1"/>
  <c r="AQ916" i="1"/>
  <c r="L916" i="1" s="1"/>
  <c r="I917" i="1"/>
  <c r="E917" i="1" s="1"/>
  <c r="D917" i="1" s="1"/>
  <c r="M917" i="1"/>
  <c r="O917" i="1"/>
  <c r="AA917" i="1"/>
  <c r="AD917" i="1"/>
  <c r="AE917" i="1"/>
  <c r="AF917" i="1"/>
  <c r="AG917" i="1"/>
  <c r="AH917" i="1"/>
  <c r="AQ917" i="1"/>
  <c r="L917" i="1" s="1"/>
  <c r="I918" i="1"/>
  <c r="E918" i="1" s="1"/>
  <c r="D918" i="1" s="1"/>
  <c r="M918" i="1"/>
  <c r="O918" i="1"/>
  <c r="AA918" i="1"/>
  <c r="AD918" i="1"/>
  <c r="AE918" i="1"/>
  <c r="AF918" i="1"/>
  <c r="AG918" i="1"/>
  <c r="AH918" i="1"/>
  <c r="AQ918" i="1"/>
  <c r="L918" i="1" s="1"/>
  <c r="I919" i="1"/>
  <c r="E919" i="1" s="1"/>
  <c r="D919" i="1" s="1"/>
  <c r="M919" i="1"/>
  <c r="O919" i="1"/>
  <c r="AA919" i="1"/>
  <c r="AD919" i="1"/>
  <c r="AE919" i="1"/>
  <c r="AF919" i="1"/>
  <c r="AG919" i="1"/>
  <c r="AH919" i="1"/>
  <c r="AQ919" i="1"/>
  <c r="L919" i="1" s="1"/>
  <c r="I920" i="1"/>
  <c r="E920" i="1" s="1"/>
  <c r="D920" i="1" s="1"/>
  <c r="M920" i="1"/>
  <c r="O920" i="1"/>
  <c r="AA920" i="1"/>
  <c r="AD920" i="1"/>
  <c r="AE920" i="1"/>
  <c r="AF920" i="1"/>
  <c r="AG920" i="1"/>
  <c r="AH920" i="1"/>
  <c r="AQ920" i="1"/>
  <c r="L920" i="1" s="1"/>
  <c r="I921" i="1"/>
  <c r="E921" i="1" s="1"/>
  <c r="D921" i="1" s="1"/>
  <c r="M921" i="1"/>
  <c r="O921" i="1"/>
  <c r="AA921" i="1"/>
  <c r="AD921" i="1"/>
  <c r="AE921" i="1"/>
  <c r="AF921" i="1"/>
  <c r="AG921" i="1"/>
  <c r="AH921" i="1"/>
  <c r="AQ921" i="1"/>
  <c r="L921" i="1" s="1"/>
  <c r="I922" i="1"/>
  <c r="E922" i="1" s="1"/>
  <c r="D922" i="1" s="1"/>
  <c r="M922" i="1"/>
  <c r="O922" i="1"/>
  <c r="AA922" i="1"/>
  <c r="AD922" i="1"/>
  <c r="AE922" i="1"/>
  <c r="AF922" i="1"/>
  <c r="AG922" i="1"/>
  <c r="AH922" i="1"/>
  <c r="AQ922" i="1"/>
  <c r="L922" i="1" s="1"/>
  <c r="I923" i="1"/>
  <c r="E923" i="1" s="1"/>
  <c r="D923" i="1" s="1"/>
  <c r="M923" i="1"/>
  <c r="O923" i="1"/>
  <c r="AA923" i="1"/>
  <c r="AD923" i="1"/>
  <c r="AE923" i="1"/>
  <c r="AF923" i="1"/>
  <c r="AG923" i="1"/>
  <c r="AH923" i="1"/>
  <c r="AQ923" i="1"/>
  <c r="L923" i="1" s="1"/>
  <c r="I924" i="1"/>
  <c r="E924" i="1" s="1"/>
  <c r="D924" i="1" s="1"/>
  <c r="M924" i="1"/>
  <c r="O924" i="1"/>
  <c r="AA924" i="1"/>
  <c r="AD924" i="1"/>
  <c r="AE924" i="1"/>
  <c r="AF924" i="1"/>
  <c r="AG924" i="1"/>
  <c r="AH924" i="1"/>
  <c r="AQ924" i="1"/>
  <c r="L924" i="1" s="1"/>
  <c r="I925" i="1"/>
  <c r="E925" i="1" s="1"/>
  <c r="D925" i="1" s="1"/>
  <c r="M925" i="1"/>
  <c r="O925" i="1"/>
  <c r="AA925" i="1"/>
  <c r="AD925" i="1"/>
  <c r="AE925" i="1"/>
  <c r="AF925" i="1"/>
  <c r="AG925" i="1"/>
  <c r="AH925" i="1"/>
  <c r="AQ925" i="1"/>
  <c r="L925" i="1" s="1"/>
  <c r="I926" i="1"/>
  <c r="E926" i="1" s="1"/>
  <c r="D926" i="1" s="1"/>
  <c r="M926" i="1"/>
  <c r="O926" i="1"/>
  <c r="AA926" i="1"/>
  <c r="AD926" i="1"/>
  <c r="AE926" i="1"/>
  <c r="AF926" i="1"/>
  <c r="AG926" i="1"/>
  <c r="AH926" i="1"/>
  <c r="AQ926" i="1"/>
  <c r="L926" i="1" s="1"/>
  <c r="I927" i="1"/>
  <c r="E927" i="1" s="1"/>
  <c r="D927" i="1" s="1"/>
  <c r="M927" i="1"/>
  <c r="O927" i="1"/>
  <c r="AA927" i="1"/>
  <c r="AD927" i="1"/>
  <c r="AE927" i="1"/>
  <c r="AF927" i="1"/>
  <c r="AG927" i="1"/>
  <c r="AH927" i="1"/>
  <c r="AQ927" i="1"/>
  <c r="L927" i="1" s="1"/>
  <c r="I928" i="1"/>
  <c r="E928" i="1" s="1"/>
  <c r="D928" i="1" s="1"/>
  <c r="M928" i="1"/>
  <c r="O928" i="1"/>
  <c r="AA928" i="1"/>
  <c r="AD928" i="1"/>
  <c r="AE928" i="1"/>
  <c r="AF928" i="1"/>
  <c r="AG928" i="1"/>
  <c r="AH928" i="1"/>
  <c r="AQ928" i="1"/>
  <c r="L928" i="1" s="1"/>
  <c r="I929" i="1"/>
  <c r="E929" i="1" s="1"/>
  <c r="D929" i="1" s="1"/>
  <c r="M929" i="1"/>
  <c r="O929" i="1"/>
  <c r="AA929" i="1"/>
  <c r="AD929" i="1"/>
  <c r="AE929" i="1"/>
  <c r="AF929" i="1"/>
  <c r="AG929" i="1"/>
  <c r="AH929" i="1"/>
  <c r="AQ929" i="1"/>
  <c r="L929" i="1" s="1"/>
  <c r="I930" i="1"/>
  <c r="E930" i="1" s="1"/>
  <c r="D930" i="1" s="1"/>
  <c r="M930" i="1"/>
  <c r="O930" i="1"/>
  <c r="AA930" i="1"/>
  <c r="AD930" i="1"/>
  <c r="AE930" i="1"/>
  <c r="AF930" i="1"/>
  <c r="AG930" i="1"/>
  <c r="AH930" i="1"/>
  <c r="AQ930" i="1"/>
  <c r="L930" i="1" s="1"/>
  <c r="I931" i="1"/>
  <c r="E931" i="1" s="1"/>
  <c r="D931" i="1" s="1"/>
  <c r="M931" i="1"/>
  <c r="O931" i="1"/>
  <c r="AA931" i="1"/>
  <c r="AD931" i="1"/>
  <c r="AE931" i="1"/>
  <c r="AF931" i="1"/>
  <c r="AG931" i="1"/>
  <c r="AH931" i="1"/>
  <c r="AQ931" i="1"/>
  <c r="L931" i="1" s="1"/>
  <c r="I932" i="1"/>
  <c r="E932" i="1" s="1"/>
  <c r="D932" i="1" s="1"/>
  <c r="M932" i="1"/>
  <c r="O932" i="1"/>
  <c r="AA932" i="1"/>
  <c r="AD932" i="1"/>
  <c r="AE932" i="1"/>
  <c r="AF932" i="1"/>
  <c r="AG932" i="1"/>
  <c r="AH932" i="1"/>
  <c r="AQ932" i="1"/>
  <c r="L932" i="1" s="1"/>
  <c r="I933" i="1"/>
  <c r="E933" i="1" s="1"/>
  <c r="D933" i="1" s="1"/>
  <c r="M933" i="1"/>
  <c r="O933" i="1"/>
  <c r="AA933" i="1"/>
  <c r="AD933" i="1"/>
  <c r="AE933" i="1"/>
  <c r="AF933" i="1"/>
  <c r="AG933" i="1"/>
  <c r="AH933" i="1"/>
  <c r="AQ933" i="1"/>
  <c r="L933" i="1" s="1"/>
  <c r="I934" i="1"/>
  <c r="E934" i="1" s="1"/>
  <c r="D934" i="1" s="1"/>
  <c r="M934" i="1"/>
  <c r="O934" i="1"/>
  <c r="AA934" i="1"/>
  <c r="AD934" i="1"/>
  <c r="AE934" i="1"/>
  <c r="AF934" i="1"/>
  <c r="AG934" i="1"/>
  <c r="AH934" i="1"/>
  <c r="AQ934" i="1"/>
  <c r="L934" i="1" s="1"/>
  <c r="I935" i="1"/>
  <c r="E935" i="1" s="1"/>
  <c r="D935" i="1" s="1"/>
  <c r="M935" i="1"/>
  <c r="O935" i="1"/>
  <c r="AA935" i="1"/>
  <c r="AD935" i="1"/>
  <c r="AE935" i="1"/>
  <c r="AF935" i="1"/>
  <c r="AG935" i="1"/>
  <c r="AH935" i="1"/>
  <c r="AQ935" i="1"/>
  <c r="L935" i="1" s="1"/>
  <c r="I936" i="1"/>
  <c r="E936" i="1" s="1"/>
  <c r="D936" i="1" s="1"/>
  <c r="M936" i="1"/>
  <c r="O936" i="1"/>
  <c r="AA936" i="1"/>
  <c r="AD936" i="1"/>
  <c r="AE936" i="1"/>
  <c r="AF936" i="1"/>
  <c r="AG936" i="1"/>
  <c r="AH936" i="1"/>
  <c r="AQ936" i="1"/>
  <c r="L936" i="1" s="1"/>
  <c r="I937" i="1"/>
  <c r="E937" i="1" s="1"/>
  <c r="D937" i="1" s="1"/>
  <c r="M937" i="1"/>
  <c r="O937" i="1"/>
  <c r="AA937" i="1"/>
  <c r="AD937" i="1"/>
  <c r="AE937" i="1"/>
  <c r="AF937" i="1"/>
  <c r="AG937" i="1"/>
  <c r="AH937" i="1"/>
  <c r="AQ937" i="1"/>
  <c r="L937" i="1" s="1"/>
  <c r="I938" i="1"/>
  <c r="E938" i="1" s="1"/>
  <c r="D938" i="1" s="1"/>
  <c r="M938" i="1"/>
  <c r="O938" i="1"/>
  <c r="AA938" i="1"/>
  <c r="AD938" i="1"/>
  <c r="AE938" i="1"/>
  <c r="AF938" i="1"/>
  <c r="AG938" i="1"/>
  <c r="AH938" i="1"/>
  <c r="AQ938" i="1"/>
  <c r="L938" i="1" s="1"/>
  <c r="I939" i="1"/>
  <c r="E939" i="1" s="1"/>
  <c r="D939" i="1" s="1"/>
  <c r="M939" i="1"/>
  <c r="O939" i="1"/>
  <c r="AA939" i="1"/>
  <c r="AD939" i="1"/>
  <c r="AE939" i="1"/>
  <c r="AF939" i="1"/>
  <c r="AG939" i="1"/>
  <c r="AH939" i="1"/>
  <c r="AQ939" i="1"/>
  <c r="L939" i="1" s="1"/>
  <c r="I940" i="1"/>
  <c r="E940" i="1" s="1"/>
  <c r="D940" i="1" s="1"/>
  <c r="M940" i="1"/>
  <c r="O940" i="1"/>
  <c r="AA940" i="1"/>
  <c r="AD940" i="1"/>
  <c r="AE940" i="1"/>
  <c r="AF940" i="1"/>
  <c r="AG940" i="1"/>
  <c r="AH940" i="1"/>
  <c r="AQ940" i="1"/>
  <c r="L940" i="1" s="1"/>
  <c r="I941" i="1"/>
  <c r="E941" i="1" s="1"/>
  <c r="D941" i="1" s="1"/>
  <c r="M941" i="1"/>
  <c r="O941" i="1"/>
  <c r="AA941" i="1"/>
  <c r="AD941" i="1"/>
  <c r="AE941" i="1"/>
  <c r="AF941" i="1"/>
  <c r="AG941" i="1"/>
  <c r="AH941" i="1"/>
  <c r="AQ941" i="1"/>
  <c r="L941" i="1" s="1"/>
  <c r="I942" i="1"/>
  <c r="E942" i="1" s="1"/>
  <c r="D942" i="1" s="1"/>
  <c r="M942" i="1"/>
  <c r="O942" i="1"/>
  <c r="AA942" i="1"/>
  <c r="AD942" i="1"/>
  <c r="AE942" i="1"/>
  <c r="AF942" i="1"/>
  <c r="AG942" i="1"/>
  <c r="AH942" i="1"/>
  <c r="AQ942" i="1"/>
  <c r="L942" i="1" s="1"/>
  <c r="I943" i="1"/>
  <c r="E943" i="1" s="1"/>
  <c r="D943" i="1" s="1"/>
  <c r="M943" i="1"/>
  <c r="O943" i="1"/>
  <c r="AA943" i="1"/>
  <c r="AD943" i="1"/>
  <c r="AE943" i="1"/>
  <c r="AF943" i="1"/>
  <c r="AG943" i="1"/>
  <c r="AH943" i="1"/>
  <c r="AQ943" i="1"/>
  <c r="L943" i="1" s="1"/>
  <c r="I944" i="1"/>
  <c r="E944" i="1" s="1"/>
  <c r="D944" i="1" s="1"/>
  <c r="M944" i="1"/>
  <c r="O944" i="1"/>
  <c r="AA944" i="1"/>
  <c r="AD944" i="1"/>
  <c r="AE944" i="1"/>
  <c r="AF944" i="1"/>
  <c r="AG944" i="1"/>
  <c r="AH944" i="1"/>
  <c r="AQ944" i="1"/>
  <c r="L944" i="1" s="1"/>
  <c r="I945" i="1"/>
  <c r="E945" i="1" s="1"/>
  <c r="D945" i="1" s="1"/>
  <c r="M945" i="1"/>
  <c r="O945" i="1"/>
  <c r="AA945" i="1"/>
  <c r="AD945" i="1"/>
  <c r="AE945" i="1"/>
  <c r="AF945" i="1"/>
  <c r="AG945" i="1"/>
  <c r="AH945" i="1"/>
  <c r="AQ945" i="1"/>
  <c r="L945" i="1" s="1"/>
  <c r="I946" i="1"/>
  <c r="E946" i="1" s="1"/>
  <c r="D946" i="1" s="1"/>
  <c r="M946" i="1"/>
  <c r="O946" i="1"/>
  <c r="AA946" i="1"/>
  <c r="AD946" i="1"/>
  <c r="AE946" i="1"/>
  <c r="AF946" i="1"/>
  <c r="AG946" i="1"/>
  <c r="AH946" i="1"/>
  <c r="AQ946" i="1"/>
  <c r="L946" i="1" s="1"/>
  <c r="I947" i="1"/>
  <c r="E947" i="1" s="1"/>
  <c r="D947" i="1" s="1"/>
  <c r="M947" i="1"/>
  <c r="O947" i="1"/>
  <c r="AA947" i="1"/>
  <c r="AD947" i="1"/>
  <c r="AE947" i="1"/>
  <c r="AF947" i="1"/>
  <c r="AG947" i="1"/>
  <c r="AH947" i="1"/>
  <c r="AQ947" i="1"/>
  <c r="L947" i="1" s="1"/>
  <c r="I948" i="1"/>
  <c r="E948" i="1" s="1"/>
  <c r="D948" i="1" s="1"/>
  <c r="M948" i="1"/>
  <c r="O948" i="1"/>
  <c r="AA948" i="1"/>
  <c r="AD948" i="1"/>
  <c r="AE948" i="1"/>
  <c r="AF948" i="1"/>
  <c r="AG948" i="1"/>
  <c r="AH948" i="1"/>
  <c r="AQ948" i="1"/>
  <c r="L948" i="1" s="1"/>
  <c r="I949" i="1"/>
  <c r="E949" i="1" s="1"/>
  <c r="D949" i="1" s="1"/>
  <c r="M949" i="1"/>
  <c r="O949" i="1"/>
  <c r="AA949" i="1"/>
  <c r="AD949" i="1"/>
  <c r="AE949" i="1"/>
  <c r="AF949" i="1"/>
  <c r="AG949" i="1"/>
  <c r="AH949" i="1"/>
  <c r="AQ949" i="1"/>
  <c r="L949" i="1" s="1"/>
  <c r="I950" i="1"/>
  <c r="E950" i="1" s="1"/>
  <c r="D950" i="1" s="1"/>
  <c r="M950" i="1"/>
  <c r="O950" i="1"/>
  <c r="AA950" i="1"/>
  <c r="AD950" i="1"/>
  <c r="AE950" i="1"/>
  <c r="AF950" i="1"/>
  <c r="AG950" i="1"/>
  <c r="AH950" i="1"/>
  <c r="AQ950" i="1"/>
  <c r="L950" i="1" s="1"/>
  <c r="I951" i="1"/>
  <c r="E951" i="1" s="1"/>
  <c r="D951" i="1" s="1"/>
  <c r="M951" i="1"/>
  <c r="O951" i="1"/>
  <c r="AA951" i="1"/>
  <c r="AD951" i="1"/>
  <c r="AE951" i="1"/>
  <c r="AF951" i="1"/>
  <c r="AG951" i="1"/>
  <c r="AH951" i="1"/>
  <c r="AQ951" i="1"/>
  <c r="L951" i="1" s="1"/>
  <c r="I952" i="1"/>
  <c r="E952" i="1" s="1"/>
  <c r="D952" i="1" s="1"/>
  <c r="M952" i="1"/>
  <c r="O952" i="1"/>
  <c r="AA952" i="1"/>
  <c r="AD952" i="1"/>
  <c r="AE952" i="1"/>
  <c r="AF952" i="1"/>
  <c r="AG952" i="1"/>
  <c r="AH952" i="1"/>
  <c r="AQ952" i="1"/>
  <c r="L952" i="1" s="1"/>
  <c r="I953" i="1"/>
  <c r="E953" i="1" s="1"/>
  <c r="D953" i="1" s="1"/>
  <c r="M953" i="1"/>
  <c r="O953" i="1"/>
  <c r="AA953" i="1"/>
  <c r="AD953" i="1"/>
  <c r="AE953" i="1"/>
  <c r="AF953" i="1"/>
  <c r="AG953" i="1"/>
  <c r="AH953" i="1"/>
  <c r="AQ953" i="1"/>
  <c r="L953" i="1" s="1"/>
  <c r="I954" i="1"/>
  <c r="E954" i="1" s="1"/>
  <c r="D954" i="1" s="1"/>
  <c r="M954" i="1"/>
  <c r="O954" i="1"/>
  <c r="AA954" i="1"/>
  <c r="AD954" i="1"/>
  <c r="AE954" i="1"/>
  <c r="AF954" i="1"/>
  <c r="AG954" i="1"/>
  <c r="AH954" i="1"/>
  <c r="AQ954" i="1"/>
  <c r="L954" i="1" s="1"/>
  <c r="I955" i="1"/>
  <c r="E955" i="1" s="1"/>
  <c r="D955" i="1" s="1"/>
  <c r="M955" i="1"/>
  <c r="O955" i="1"/>
  <c r="AA955" i="1"/>
  <c r="AD955" i="1"/>
  <c r="AE955" i="1"/>
  <c r="AF955" i="1"/>
  <c r="AG955" i="1"/>
  <c r="AH955" i="1"/>
  <c r="AQ955" i="1"/>
  <c r="L955" i="1" s="1"/>
  <c r="I956" i="1"/>
  <c r="E956" i="1" s="1"/>
  <c r="D956" i="1" s="1"/>
  <c r="M956" i="1"/>
  <c r="O956" i="1"/>
  <c r="AA956" i="1"/>
  <c r="AD956" i="1"/>
  <c r="AE956" i="1"/>
  <c r="AF956" i="1"/>
  <c r="AG956" i="1"/>
  <c r="AH956" i="1"/>
  <c r="AQ956" i="1"/>
  <c r="L956" i="1" s="1"/>
  <c r="I957" i="1"/>
  <c r="E957" i="1" s="1"/>
  <c r="D957" i="1" s="1"/>
  <c r="M957" i="1"/>
  <c r="O957" i="1"/>
  <c r="AA957" i="1"/>
  <c r="AD957" i="1"/>
  <c r="AE957" i="1"/>
  <c r="AF957" i="1"/>
  <c r="AG957" i="1"/>
  <c r="AH957" i="1"/>
  <c r="AQ957" i="1"/>
  <c r="L957" i="1" s="1"/>
  <c r="I958" i="1"/>
  <c r="E958" i="1" s="1"/>
  <c r="D958" i="1" s="1"/>
  <c r="M958" i="1"/>
  <c r="O958" i="1"/>
  <c r="AA958" i="1"/>
  <c r="AD958" i="1"/>
  <c r="AE958" i="1"/>
  <c r="AF958" i="1"/>
  <c r="AG958" i="1"/>
  <c r="AH958" i="1"/>
  <c r="AQ958" i="1"/>
  <c r="L958" i="1" s="1"/>
  <c r="I959" i="1"/>
  <c r="E959" i="1" s="1"/>
  <c r="D959" i="1" s="1"/>
  <c r="M959" i="1"/>
  <c r="O959" i="1"/>
  <c r="AA959" i="1"/>
  <c r="AD959" i="1"/>
  <c r="AE959" i="1"/>
  <c r="AF959" i="1"/>
  <c r="AG959" i="1"/>
  <c r="AH959" i="1"/>
  <c r="AQ959" i="1"/>
  <c r="L959" i="1" s="1"/>
  <c r="I960" i="1"/>
  <c r="E960" i="1" s="1"/>
  <c r="D960" i="1" s="1"/>
  <c r="M960" i="1"/>
  <c r="O960" i="1"/>
  <c r="AA960" i="1"/>
  <c r="AD960" i="1"/>
  <c r="AE960" i="1"/>
  <c r="AF960" i="1"/>
  <c r="AG960" i="1"/>
  <c r="AH960" i="1"/>
  <c r="AQ960" i="1"/>
  <c r="L960" i="1" s="1"/>
  <c r="I961" i="1"/>
  <c r="E961" i="1" s="1"/>
  <c r="D961" i="1" s="1"/>
  <c r="M961" i="1"/>
  <c r="O961" i="1"/>
  <c r="AA961" i="1"/>
  <c r="AD961" i="1"/>
  <c r="AE961" i="1"/>
  <c r="AF961" i="1"/>
  <c r="AG961" i="1"/>
  <c r="AH961" i="1"/>
  <c r="AQ961" i="1"/>
  <c r="L961" i="1" s="1"/>
  <c r="I962" i="1"/>
  <c r="E962" i="1" s="1"/>
  <c r="D962" i="1" s="1"/>
  <c r="M962" i="1"/>
  <c r="O962" i="1"/>
  <c r="AA962" i="1"/>
  <c r="AD962" i="1"/>
  <c r="AE962" i="1"/>
  <c r="AF962" i="1"/>
  <c r="AG962" i="1"/>
  <c r="AH962" i="1"/>
  <c r="AQ962" i="1"/>
  <c r="L962" i="1" s="1"/>
  <c r="I963" i="1"/>
  <c r="E963" i="1" s="1"/>
  <c r="D963" i="1" s="1"/>
  <c r="M963" i="1"/>
  <c r="O963" i="1"/>
  <c r="AA963" i="1"/>
  <c r="AD963" i="1"/>
  <c r="AE963" i="1"/>
  <c r="AF963" i="1"/>
  <c r="AG963" i="1"/>
  <c r="AH963" i="1"/>
  <c r="AQ963" i="1"/>
  <c r="L963" i="1" s="1"/>
  <c r="I964" i="1"/>
  <c r="E964" i="1" s="1"/>
  <c r="D964" i="1" s="1"/>
  <c r="M964" i="1"/>
  <c r="O964" i="1"/>
  <c r="AA964" i="1"/>
  <c r="AD964" i="1"/>
  <c r="AE964" i="1"/>
  <c r="AF964" i="1"/>
  <c r="AG964" i="1"/>
  <c r="AH964" i="1"/>
  <c r="AQ964" i="1"/>
  <c r="L964" i="1" s="1"/>
  <c r="I965" i="1"/>
  <c r="E965" i="1" s="1"/>
  <c r="D965" i="1" s="1"/>
  <c r="M965" i="1"/>
  <c r="O965" i="1"/>
  <c r="AA965" i="1"/>
  <c r="AD965" i="1"/>
  <c r="AE965" i="1"/>
  <c r="AF965" i="1"/>
  <c r="AG965" i="1"/>
  <c r="AH965" i="1"/>
  <c r="AQ965" i="1"/>
  <c r="L965" i="1" s="1"/>
  <c r="I966" i="1"/>
  <c r="E966" i="1" s="1"/>
  <c r="D966" i="1" s="1"/>
  <c r="M966" i="1"/>
  <c r="O966" i="1"/>
  <c r="AA966" i="1"/>
  <c r="AD966" i="1"/>
  <c r="AE966" i="1"/>
  <c r="AF966" i="1"/>
  <c r="AG966" i="1"/>
  <c r="AH966" i="1"/>
  <c r="AQ966" i="1"/>
  <c r="L966" i="1" s="1"/>
  <c r="I967" i="1"/>
  <c r="E967" i="1" s="1"/>
  <c r="D967" i="1" s="1"/>
  <c r="M967" i="1"/>
  <c r="O967" i="1"/>
  <c r="AA967" i="1"/>
  <c r="AD967" i="1"/>
  <c r="AE967" i="1"/>
  <c r="AF967" i="1"/>
  <c r="AG967" i="1"/>
  <c r="AH967" i="1"/>
  <c r="AQ967" i="1"/>
  <c r="L967" i="1" s="1"/>
  <c r="I968" i="1"/>
  <c r="E968" i="1" s="1"/>
  <c r="D968" i="1" s="1"/>
  <c r="M968" i="1"/>
  <c r="O968" i="1"/>
  <c r="AA968" i="1"/>
  <c r="AD968" i="1"/>
  <c r="AE968" i="1"/>
  <c r="AF968" i="1"/>
  <c r="AG968" i="1"/>
  <c r="AH968" i="1"/>
  <c r="AQ968" i="1"/>
  <c r="L968" i="1" s="1"/>
  <c r="I969" i="1"/>
  <c r="E969" i="1" s="1"/>
  <c r="D969" i="1" s="1"/>
  <c r="M969" i="1"/>
  <c r="O969" i="1"/>
  <c r="AA969" i="1"/>
  <c r="AD969" i="1"/>
  <c r="AE969" i="1"/>
  <c r="AF969" i="1"/>
  <c r="AG969" i="1"/>
  <c r="AH969" i="1"/>
  <c r="AQ969" i="1"/>
  <c r="L969" i="1" s="1"/>
  <c r="I970" i="1"/>
  <c r="E970" i="1" s="1"/>
  <c r="D970" i="1" s="1"/>
  <c r="M970" i="1"/>
  <c r="O970" i="1"/>
  <c r="AA970" i="1"/>
  <c r="AD970" i="1"/>
  <c r="AE970" i="1"/>
  <c r="AF970" i="1"/>
  <c r="AG970" i="1"/>
  <c r="AH970" i="1"/>
  <c r="AQ970" i="1"/>
  <c r="L970" i="1" s="1"/>
  <c r="I971" i="1"/>
  <c r="E971" i="1" s="1"/>
  <c r="D971" i="1" s="1"/>
  <c r="M971" i="1"/>
  <c r="O971" i="1"/>
  <c r="AA971" i="1"/>
  <c r="AD971" i="1"/>
  <c r="AE971" i="1"/>
  <c r="AF971" i="1"/>
  <c r="AG971" i="1"/>
  <c r="AH971" i="1"/>
  <c r="AQ971" i="1"/>
  <c r="L971" i="1" s="1"/>
  <c r="I972" i="1"/>
  <c r="E972" i="1" s="1"/>
  <c r="D972" i="1" s="1"/>
  <c r="M972" i="1"/>
  <c r="O972" i="1"/>
  <c r="AA972" i="1"/>
  <c r="AD972" i="1"/>
  <c r="AE972" i="1"/>
  <c r="AF972" i="1"/>
  <c r="AG972" i="1"/>
  <c r="AH972" i="1"/>
  <c r="AQ972" i="1"/>
  <c r="L972" i="1" s="1"/>
  <c r="I973" i="1"/>
  <c r="E973" i="1" s="1"/>
  <c r="D973" i="1" s="1"/>
  <c r="M973" i="1"/>
  <c r="O973" i="1"/>
  <c r="AA973" i="1"/>
  <c r="AD973" i="1"/>
  <c r="AE973" i="1"/>
  <c r="AF973" i="1"/>
  <c r="AG973" i="1"/>
  <c r="AH973" i="1"/>
  <c r="AQ973" i="1"/>
  <c r="L973" i="1" s="1"/>
  <c r="I974" i="1"/>
  <c r="E974" i="1" s="1"/>
  <c r="D974" i="1" s="1"/>
  <c r="M974" i="1"/>
  <c r="O974" i="1"/>
  <c r="AA974" i="1"/>
  <c r="AD974" i="1"/>
  <c r="AE974" i="1"/>
  <c r="AF974" i="1"/>
  <c r="AG974" i="1"/>
  <c r="AH974" i="1"/>
  <c r="AQ974" i="1"/>
  <c r="L974" i="1" s="1"/>
  <c r="I975" i="1"/>
  <c r="E975" i="1" s="1"/>
  <c r="D975" i="1" s="1"/>
  <c r="M975" i="1"/>
  <c r="O975" i="1"/>
  <c r="AA975" i="1"/>
  <c r="AD975" i="1"/>
  <c r="AE975" i="1"/>
  <c r="AF975" i="1"/>
  <c r="AG975" i="1"/>
  <c r="AH975" i="1"/>
  <c r="AQ975" i="1"/>
  <c r="L975" i="1" s="1"/>
  <c r="I976" i="1"/>
  <c r="E976" i="1" s="1"/>
  <c r="D976" i="1" s="1"/>
  <c r="M976" i="1"/>
  <c r="O976" i="1"/>
  <c r="AA976" i="1"/>
  <c r="AD976" i="1"/>
  <c r="AE976" i="1"/>
  <c r="AF976" i="1"/>
  <c r="AG976" i="1"/>
  <c r="AH976" i="1"/>
  <c r="AQ976" i="1"/>
  <c r="L976" i="1" s="1"/>
  <c r="I977" i="1"/>
  <c r="E977" i="1" s="1"/>
  <c r="D977" i="1" s="1"/>
  <c r="M977" i="1"/>
  <c r="O977" i="1"/>
  <c r="AA977" i="1"/>
  <c r="AD977" i="1"/>
  <c r="AE977" i="1"/>
  <c r="AF977" i="1"/>
  <c r="AG977" i="1"/>
  <c r="AH977" i="1"/>
  <c r="AQ977" i="1"/>
  <c r="L977" i="1" s="1"/>
  <c r="I978" i="1"/>
  <c r="E978" i="1" s="1"/>
  <c r="D978" i="1" s="1"/>
  <c r="M978" i="1"/>
  <c r="O978" i="1"/>
  <c r="AA978" i="1"/>
  <c r="AD978" i="1"/>
  <c r="AE978" i="1"/>
  <c r="AF978" i="1"/>
  <c r="AG978" i="1"/>
  <c r="AH978" i="1"/>
  <c r="AQ978" i="1"/>
  <c r="L978" i="1" s="1"/>
  <c r="I979" i="1"/>
  <c r="E979" i="1" s="1"/>
  <c r="D979" i="1" s="1"/>
  <c r="M979" i="1"/>
  <c r="O979" i="1"/>
  <c r="AA979" i="1"/>
  <c r="AD979" i="1"/>
  <c r="AE979" i="1"/>
  <c r="AF979" i="1"/>
  <c r="AG979" i="1"/>
  <c r="AH979" i="1"/>
  <c r="AQ979" i="1"/>
  <c r="L979" i="1" s="1"/>
  <c r="I980" i="1"/>
  <c r="E980" i="1" s="1"/>
  <c r="D980" i="1" s="1"/>
  <c r="M980" i="1"/>
  <c r="O980" i="1"/>
  <c r="AA980" i="1"/>
  <c r="AD980" i="1"/>
  <c r="AE980" i="1"/>
  <c r="AF980" i="1"/>
  <c r="AG980" i="1"/>
  <c r="AH980" i="1"/>
  <c r="AQ980" i="1"/>
  <c r="L980" i="1" s="1"/>
  <c r="I981" i="1"/>
  <c r="E981" i="1" s="1"/>
  <c r="D981" i="1" s="1"/>
  <c r="M981" i="1"/>
  <c r="O981" i="1"/>
  <c r="AA981" i="1"/>
  <c r="AD981" i="1"/>
  <c r="AE981" i="1"/>
  <c r="AF981" i="1"/>
  <c r="AG981" i="1"/>
  <c r="AH981" i="1"/>
  <c r="AQ981" i="1"/>
  <c r="L981" i="1" s="1"/>
  <c r="I982" i="1"/>
  <c r="E982" i="1" s="1"/>
  <c r="D982" i="1" s="1"/>
  <c r="M982" i="1"/>
  <c r="O982" i="1"/>
  <c r="AA982" i="1"/>
  <c r="AD982" i="1"/>
  <c r="AE982" i="1"/>
  <c r="AF982" i="1"/>
  <c r="AG982" i="1"/>
  <c r="AH982" i="1"/>
  <c r="AQ982" i="1"/>
  <c r="L982" i="1" s="1"/>
  <c r="I983" i="1"/>
  <c r="E983" i="1" s="1"/>
  <c r="D983" i="1" s="1"/>
  <c r="M983" i="1"/>
  <c r="O983" i="1"/>
  <c r="AA983" i="1"/>
  <c r="AD983" i="1"/>
  <c r="AE983" i="1"/>
  <c r="AF983" i="1"/>
  <c r="AG983" i="1"/>
  <c r="AH983" i="1"/>
  <c r="AQ983" i="1"/>
  <c r="L983" i="1" s="1"/>
  <c r="I984" i="1"/>
  <c r="E984" i="1" s="1"/>
  <c r="D984" i="1" s="1"/>
  <c r="M984" i="1"/>
  <c r="O984" i="1"/>
  <c r="AA984" i="1"/>
  <c r="AD984" i="1"/>
  <c r="AE984" i="1"/>
  <c r="AF984" i="1"/>
  <c r="AG984" i="1"/>
  <c r="AH984" i="1"/>
  <c r="AQ984" i="1"/>
  <c r="L984" i="1" s="1"/>
  <c r="I985" i="1"/>
  <c r="E985" i="1" s="1"/>
  <c r="D985" i="1" s="1"/>
  <c r="M985" i="1"/>
  <c r="O985" i="1"/>
  <c r="AA985" i="1"/>
  <c r="AD985" i="1"/>
  <c r="AE985" i="1"/>
  <c r="AF985" i="1"/>
  <c r="AG985" i="1"/>
  <c r="AH985" i="1"/>
  <c r="AQ985" i="1"/>
  <c r="L985" i="1" s="1"/>
  <c r="I986" i="1"/>
  <c r="E986" i="1" s="1"/>
  <c r="D986" i="1" s="1"/>
  <c r="M986" i="1"/>
  <c r="O986" i="1"/>
  <c r="AA986" i="1"/>
  <c r="AD986" i="1"/>
  <c r="AE986" i="1"/>
  <c r="AF986" i="1"/>
  <c r="AG986" i="1"/>
  <c r="AH986" i="1"/>
  <c r="AQ986" i="1"/>
  <c r="L986" i="1" s="1"/>
  <c r="I987" i="1"/>
  <c r="E987" i="1" s="1"/>
  <c r="D987" i="1" s="1"/>
  <c r="M987" i="1"/>
  <c r="O987" i="1"/>
  <c r="AA987" i="1"/>
  <c r="AD987" i="1"/>
  <c r="AE987" i="1"/>
  <c r="AF987" i="1"/>
  <c r="AG987" i="1"/>
  <c r="AH987" i="1"/>
  <c r="AQ987" i="1"/>
  <c r="L987" i="1" s="1"/>
  <c r="I988" i="1"/>
  <c r="E988" i="1" s="1"/>
  <c r="D988" i="1" s="1"/>
  <c r="M988" i="1"/>
  <c r="O988" i="1"/>
  <c r="AA988" i="1"/>
  <c r="AD988" i="1"/>
  <c r="AE988" i="1"/>
  <c r="AF988" i="1"/>
  <c r="AG988" i="1"/>
  <c r="AH988" i="1"/>
  <c r="AQ988" i="1"/>
  <c r="L988" i="1" s="1"/>
  <c r="I989" i="1"/>
  <c r="E989" i="1" s="1"/>
  <c r="D989" i="1" s="1"/>
  <c r="M989" i="1"/>
  <c r="O989" i="1"/>
  <c r="AA989" i="1"/>
  <c r="AD989" i="1"/>
  <c r="AE989" i="1"/>
  <c r="AF989" i="1"/>
  <c r="AG989" i="1"/>
  <c r="AH989" i="1"/>
  <c r="AQ989" i="1"/>
  <c r="L989" i="1" s="1"/>
  <c r="I990" i="1"/>
  <c r="E990" i="1" s="1"/>
  <c r="D990" i="1" s="1"/>
  <c r="M990" i="1"/>
  <c r="O990" i="1"/>
  <c r="AA990" i="1"/>
  <c r="AD990" i="1"/>
  <c r="AE990" i="1"/>
  <c r="AF990" i="1"/>
  <c r="AG990" i="1"/>
  <c r="AH990" i="1"/>
  <c r="AQ990" i="1"/>
  <c r="L990" i="1" s="1"/>
  <c r="I991" i="1"/>
  <c r="E991" i="1" s="1"/>
  <c r="D991" i="1" s="1"/>
  <c r="M991" i="1"/>
  <c r="O991" i="1"/>
  <c r="AA991" i="1"/>
  <c r="AD991" i="1"/>
  <c r="AE991" i="1"/>
  <c r="AF991" i="1"/>
  <c r="AG991" i="1"/>
  <c r="AH991" i="1"/>
  <c r="AQ991" i="1"/>
  <c r="L991" i="1" s="1"/>
  <c r="I992" i="1"/>
  <c r="E992" i="1" s="1"/>
  <c r="D992" i="1" s="1"/>
  <c r="M992" i="1"/>
  <c r="O992" i="1"/>
  <c r="AA992" i="1"/>
  <c r="AD992" i="1"/>
  <c r="AE992" i="1"/>
  <c r="AF992" i="1"/>
  <c r="AG992" i="1"/>
  <c r="AH992" i="1"/>
  <c r="AQ992" i="1"/>
  <c r="L992" i="1" s="1"/>
  <c r="I993" i="1"/>
  <c r="E993" i="1" s="1"/>
  <c r="D993" i="1" s="1"/>
  <c r="M993" i="1"/>
  <c r="O993" i="1"/>
  <c r="AA993" i="1"/>
  <c r="AD993" i="1"/>
  <c r="AE993" i="1"/>
  <c r="AF993" i="1"/>
  <c r="AG993" i="1"/>
  <c r="AH993" i="1"/>
  <c r="AQ993" i="1"/>
  <c r="L993" i="1" s="1"/>
  <c r="I994" i="1"/>
  <c r="E994" i="1" s="1"/>
  <c r="D994" i="1" s="1"/>
  <c r="M994" i="1"/>
  <c r="O994" i="1"/>
  <c r="AA994" i="1"/>
  <c r="AD994" i="1"/>
  <c r="AE994" i="1"/>
  <c r="AF994" i="1"/>
  <c r="AG994" i="1"/>
  <c r="AH994" i="1"/>
  <c r="AQ994" i="1"/>
  <c r="L994" i="1" s="1"/>
  <c r="I995" i="1"/>
  <c r="E995" i="1" s="1"/>
  <c r="D995" i="1" s="1"/>
  <c r="M995" i="1"/>
  <c r="O995" i="1"/>
  <c r="AA995" i="1"/>
  <c r="AD995" i="1"/>
  <c r="AE995" i="1"/>
  <c r="AF995" i="1"/>
  <c r="AG995" i="1"/>
  <c r="AH995" i="1"/>
  <c r="AQ995" i="1"/>
  <c r="L995" i="1" s="1"/>
  <c r="I996" i="1"/>
  <c r="E996" i="1" s="1"/>
  <c r="D996" i="1" s="1"/>
  <c r="M996" i="1"/>
  <c r="O996" i="1"/>
  <c r="AA996" i="1"/>
  <c r="AD996" i="1"/>
  <c r="AE996" i="1"/>
  <c r="AF996" i="1"/>
  <c r="AG996" i="1"/>
  <c r="AH996" i="1"/>
  <c r="AQ996" i="1"/>
  <c r="L996" i="1" s="1"/>
  <c r="I997" i="1"/>
  <c r="E997" i="1" s="1"/>
  <c r="D997" i="1" s="1"/>
  <c r="M997" i="1"/>
  <c r="O997" i="1"/>
  <c r="AA997" i="1"/>
  <c r="AD997" i="1"/>
  <c r="AE997" i="1"/>
  <c r="AF997" i="1"/>
  <c r="AG997" i="1"/>
  <c r="AH997" i="1"/>
  <c r="AQ997" i="1"/>
  <c r="L997" i="1" s="1"/>
  <c r="I998" i="1"/>
  <c r="E998" i="1" s="1"/>
  <c r="D998" i="1" s="1"/>
  <c r="M998" i="1"/>
  <c r="O998" i="1"/>
  <c r="AA998" i="1"/>
  <c r="AD998" i="1"/>
  <c r="AE998" i="1"/>
  <c r="AF998" i="1"/>
  <c r="AG998" i="1"/>
  <c r="AH998" i="1"/>
  <c r="AQ998" i="1"/>
  <c r="L998" i="1" s="1"/>
  <c r="I999" i="1"/>
  <c r="E999" i="1" s="1"/>
  <c r="D999" i="1" s="1"/>
  <c r="M999" i="1"/>
  <c r="O999" i="1"/>
  <c r="AA999" i="1"/>
  <c r="AD999" i="1"/>
  <c r="AE999" i="1"/>
  <c r="AF999" i="1"/>
  <c r="AG999" i="1"/>
  <c r="AH999" i="1"/>
  <c r="AQ999" i="1"/>
  <c r="L999" i="1" s="1"/>
  <c r="I1000" i="1"/>
  <c r="E1000" i="1" s="1"/>
  <c r="D1000" i="1" s="1"/>
  <c r="M1000" i="1"/>
  <c r="O1000" i="1"/>
  <c r="AA1000" i="1"/>
  <c r="AD1000" i="1"/>
  <c r="AE1000" i="1"/>
  <c r="AF1000" i="1"/>
  <c r="AG1000" i="1"/>
  <c r="AH1000" i="1"/>
  <c r="AQ1000" i="1"/>
  <c r="L1000" i="1" s="1"/>
  <c r="I1001" i="1"/>
  <c r="E1001" i="1" s="1"/>
  <c r="D1001" i="1" s="1"/>
  <c r="M1001" i="1"/>
  <c r="O1001" i="1"/>
  <c r="AA1001" i="1"/>
  <c r="AD1001" i="1"/>
  <c r="AE1001" i="1"/>
  <c r="AF1001" i="1"/>
  <c r="AG1001" i="1"/>
  <c r="AH1001" i="1"/>
  <c r="AQ1001" i="1"/>
  <c r="L1001" i="1" s="1"/>
  <c r="I1002" i="1"/>
  <c r="E1002" i="1" s="1"/>
  <c r="D1002" i="1" s="1"/>
  <c r="M1002" i="1"/>
  <c r="O1002" i="1"/>
  <c r="AA1002" i="1"/>
  <c r="AD1002" i="1"/>
  <c r="AE1002" i="1"/>
  <c r="AF1002" i="1"/>
  <c r="AG1002" i="1"/>
  <c r="AH1002" i="1"/>
  <c r="AQ1002" i="1"/>
  <c r="L1002" i="1" s="1"/>
  <c r="I1003" i="1"/>
  <c r="E1003" i="1" s="1"/>
  <c r="D1003" i="1" s="1"/>
  <c r="M1003" i="1"/>
  <c r="O1003" i="1"/>
  <c r="AA1003" i="1"/>
  <c r="AD1003" i="1"/>
  <c r="AE1003" i="1"/>
  <c r="AF1003" i="1"/>
  <c r="AG1003" i="1"/>
  <c r="AH1003" i="1"/>
  <c r="AQ1003" i="1"/>
  <c r="L1003" i="1" s="1"/>
  <c r="I1004" i="1"/>
  <c r="E1004" i="1" s="1"/>
  <c r="D1004" i="1" s="1"/>
  <c r="M1004" i="1"/>
  <c r="O1004" i="1"/>
  <c r="AA1004" i="1"/>
  <c r="AD1004" i="1"/>
  <c r="AE1004" i="1"/>
  <c r="AF1004" i="1"/>
  <c r="AG1004" i="1"/>
  <c r="AH1004" i="1"/>
  <c r="AQ1004" i="1"/>
  <c r="L1004" i="1" s="1"/>
  <c r="I1005" i="1"/>
  <c r="E1005" i="1" s="1"/>
  <c r="D1005" i="1" s="1"/>
  <c r="M1005" i="1"/>
  <c r="O1005" i="1"/>
  <c r="AA1005" i="1"/>
  <c r="AD1005" i="1"/>
  <c r="AE1005" i="1"/>
  <c r="AF1005" i="1"/>
  <c r="AG1005" i="1"/>
  <c r="AH1005" i="1"/>
  <c r="AQ1005" i="1"/>
  <c r="L1005" i="1" s="1"/>
  <c r="I1006" i="1"/>
  <c r="E1006" i="1" s="1"/>
  <c r="D1006" i="1" s="1"/>
  <c r="M1006" i="1"/>
  <c r="O1006" i="1"/>
  <c r="AA1006" i="1"/>
  <c r="AD1006" i="1"/>
  <c r="AE1006" i="1"/>
  <c r="AF1006" i="1"/>
  <c r="AG1006" i="1"/>
  <c r="AH1006" i="1"/>
  <c r="AQ1006" i="1"/>
  <c r="L1006" i="1" s="1"/>
  <c r="I1007" i="1"/>
  <c r="E1007" i="1" s="1"/>
  <c r="D1007" i="1" s="1"/>
  <c r="M1007" i="1"/>
  <c r="O1007" i="1"/>
  <c r="AA1007" i="1"/>
  <c r="AD1007" i="1"/>
  <c r="AE1007" i="1"/>
  <c r="AF1007" i="1"/>
  <c r="AG1007" i="1"/>
  <c r="AH1007" i="1"/>
  <c r="AQ1007" i="1"/>
  <c r="L1007" i="1" s="1"/>
  <c r="I1008" i="1"/>
  <c r="E1008" i="1" s="1"/>
  <c r="D1008" i="1" s="1"/>
  <c r="M1008" i="1"/>
  <c r="O1008" i="1"/>
  <c r="AA1008" i="1"/>
  <c r="AD1008" i="1"/>
  <c r="AE1008" i="1"/>
  <c r="AF1008" i="1"/>
  <c r="AG1008" i="1"/>
  <c r="AH1008" i="1"/>
  <c r="AQ1008" i="1"/>
  <c r="L1008" i="1" s="1"/>
  <c r="I1009" i="1"/>
  <c r="E1009" i="1" s="1"/>
  <c r="D1009" i="1" s="1"/>
  <c r="M1009" i="1"/>
  <c r="O1009" i="1"/>
  <c r="AA1009" i="1"/>
  <c r="AD1009" i="1"/>
  <c r="AE1009" i="1"/>
  <c r="AF1009" i="1"/>
  <c r="AG1009" i="1"/>
  <c r="AH1009" i="1"/>
  <c r="AQ1009" i="1"/>
  <c r="L1009" i="1" s="1"/>
  <c r="I1010" i="1"/>
  <c r="E1010" i="1" s="1"/>
  <c r="D1010" i="1" s="1"/>
  <c r="M1010" i="1"/>
  <c r="O1010" i="1"/>
  <c r="AA1010" i="1"/>
  <c r="AD1010" i="1"/>
  <c r="AE1010" i="1"/>
  <c r="AF1010" i="1"/>
  <c r="AG1010" i="1"/>
  <c r="AH1010" i="1"/>
  <c r="AQ1010" i="1"/>
  <c r="L1010" i="1" s="1"/>
  <c r="I1011" i="1"/>
  <c r="E1011" i="1" s="1"/>
  <c r="D1011" i="1" s="1"/>
  <c r="M1011" i="1"/>
  <c r="O1011" i="1"/>
  <c r="AA1011" i="1"/>
  <c r="AD1011" i="1"/>
  <c r="AE1011" i="1"/>
  <c r="AF1011" i="1"/>
  <c r="AG1011" i="1"/>
  <c r="AH1011" i="1"/>
  <c r="AQ1011" i="1"/>
  <c r="L1011" i="1" s="1"/>
  <c r="I1012" i="1"/>
  <c r="E1012" i="1" s="1"/>
  <c r="D1012" i="1" s="1"/>
  <c r="M1012" i="1"/>
  <c r="O1012" i="1"/>
  <c r="AA1012" i="1"/>
  <c r="AD1012" i="1"/>
  <c r="AE1012" i="1"/>
  <c r="AF1012" i="1"/>
  <c r="AG1012" i="1"/>
  <c r="AH1012" i="1"/>
  <c r="AQ1012" i="1"/>
  <c r="L1012" i="1" s="1"/>
  <c r="I1013" i="1"/>
  <c r="E1013" i="1" s="1"/>
  <c r="D1013" i="1" s="1"/>
  <c r="M1013" i="1"/>
  <c r="O1013" i="1"/>
  <c r="AA1013" i="1"/>
  <c r="AD1013" i="1"/>
  <c r="AE1013" i="1"/>
  <c r="AF1013" i="1"/>
  <c r="AG1013" i="1"/>
  <c r="AH1013" i="1"/>
  <c r="AQ1013" i="1"/>
  <c r="L1013" i="1" s="1"/>
  <c r="I1014" i="1"/>
  <c r="E1014" i="1" s="1"/>
  <c r="D1014" i="1" s="1"/>
  <c r="M1014" i="1"/>
  <c r="O1014" i="1"/>
  <c r="AA1014" i="1"/>
  <c r="AD1014" i="1"/>
  <c r="AE1014" i="1"/>
  <c r="AF1014" i="1"/>
  <c r="AG1014" i="1"/>
  <c r="AH1014" i="1"/>
  <c r="AQ1014" i="1"/>
  <c r="L1014" i="1" s="1"/>
  <c r="I1015" i="1"/>
  <c r="E1015" i="1" s="1"/>
  <c r="D1015" i="1" s="1"/>
  <c r="M1015" i="1"/>
  <c r="O1015" i="1"/>
  <c r="AA1015" i="1"/>
  <c r="AD1015" i="1"/>
  <c r="AE1015" i="1"/>
  <c r="AF1015" i="1"/>
  <c r="AG1015" i="1"/>
  <c r="AH1015" i="1"/>
  <c r="AQ1015" i="1"/>
  <c r="L1015" i="1" s="1"/>
  <c r="I1016" i="1"/>
  <c r="E1016" i="1" s="1"/>
  <c r="D1016" i="1" s="1"/>
  <c r="M1016" i="1"/>
  <c r="O1016" i="1"/>
  <c r="AA1016" i="1"/>
  <c r="AD1016" i="1"/>
  <c r="AE1016" i="1"/>
  <c r="AF1016" i="1"/>
  <c r="AG1016" i="1"/>
  <c r="AH1016" i="1"/>
  <c r="AQ1016" i="1"/>
  <c r="L1016" i="1" s="1"/>
  <c r="I1017" i="1"/>
  <c r="E1017" i="1" s="1"/>
  <c r="D1017" i="1" s="1"/>
  <c r="M1017" i="1"/>
  <c r="O1017" i="1"/>
  <c r="AA1017" i="1"/>
  <c r="AD1017" i="1"/>
  <c r="AE1017" i="1"/>
  <c r="AF1017" i="1"/>
  <c r="AG1017" i="1"/>
  <c r="AH1017" i="1"/>
  <c r="AQ1017" i="1"/>
  <c r="L1017" i="1" s="1"/>
  <c r="I1018" i="1"/>
  <c r="E1018" i="1" s="1"/>
  <c r="D1018" i="1" s="1"/>
  <c r="M1018" i="1"/>
  <c r="O1018" i="1"/>
  <c r="AA1018" i="1"/>
  <c r="AD1018" i="1"/>
  <c r="AE1018" i="1"/>
  <c r="AF1018" i="1"/>
  <c r="AG1018" i="1"/>
  <c r="AH1018" i="1"/>
  <c r="AQ1018" i="1"/>
  <c r="L1018" i="1" s="1"/>
  <c r="I1019" i="1"/>
  <c r="E1019" i="1" s="1"/>
  <c r="D1019" i="1" s="1"/>
  <c r="M1019" i="1"/>
  <c r="O1019" i="1"/>
  <c r="AA1019" i="1"/>
  <c r="AD1019" i="1"/>
  <c r="AE1019" i="1"/>
  <c r="AF1019" i="1"/>
  <c r="AG1019" i="1"/>
  <c r="AH1019" i="1"/>
  <c r="AQ1019" i="1"/>
  <c r="L1019" i="1" s="1"/>
  <c r="I1020" i="1"/>
  <c r="E1020" i="1" s="1"/>
  <c r="D1020" i="1" s="1"/>
  <c r="M1020" i="1"/>
  <c r="O1020" i="1"/>
  <c r="AA1020" i="1"/>
  <c r="AD1020" i="1"/>
  <c r="AE1020" i="1"/>
  <c r="AF1020" i="1"/>
  <c r="AG1020" i="1"/>
  <c r="AH1020" i="1"/>
  <c r="AQ1020" i="1"/>
  <c r="L1020" i="1" s="1"/>
  <c r="I1021" i="1"/>
  <c r="E1021" i="1" s="1"/>
  <c r="D1021" i="1" s="1"/>
  <c r="M1021" i="1"/>
  <c r="O1021" i="1"/>
  <c r="AA1021" i="1"/>
  <c r="AD1021" i="1"/>
  <c r="AE1021" i="1"/>
  <c r="AF1021" i="1"/>
  <c r="AG1021" i="1"/>
  <c r="AH1021" i="1"/>
  <c r="AQ1021" i="1"/>
  <c r="L1021" i="1" s="1"/>
  <c r="I1022" i="1"/>
  <c r="E1022" i="1" s="1"/>
  <c r="D1022" i="1" s="1"/>
  <c r="M1022" i="1"/>
  <c r="O1022" i="1"/>
  <c r="AA1022" i="1"/>
  <c r="AD1022" i="1"/>
  <c r="AE1022" i="1"/>
  <c r="AF1022" i="1"/>
  <c r="AG1022" i="1"/>
  <c r="AH1022" i="1"/>
  <c r="AQ1022" i="1"/>
  <c r="L1022" i="1" s="1"/>
  <c r="I1023" i="1"/>
  <c r="E1023" i="1" s="1"/>
  <c r="D1023" i="1" s="1"/>
  <c r="M1023" i="1"/>
  <c r="O1023" i="1"/>
  <c r="AA1023" i="1"/>
  <c r="AD1023" i="1"/>
  <c r="AE1023" i="1"/>
  <c r="AF1023" i="1"/>
  <c r="AG1023" i="1"/>
  <c r="AH1023" i="1"/>
  <c r="AQ1023" i="1"/>
  <c r="L1023" i="1" s="1"/>
  <c r="I1024" i="1"/>
  <c r="E1024" i="1" s="1"/>
  <c r="D1024" i="1" s="1"/>
  <c r="M1024" i="1"/>
  <c r="O1024" i="1"/>
  <c r="AA1024" i="1"/>
  <c r="AD1024" i="1"/>
  <c r="AE1024" i="1"/>
  <c r="AF1024" i="1"/>
  <c r="AG1024" i="1"/>
  <c r="AH1024" i="1"/>
  <c r="AQ1024" i="1"/>
  <c r="L1024" i="1" s="1"/>
  <c r="I1025" i="1"/>
  <c r="E1025" i="1" s="1"/>
  <c r="D1025" i="1" s="1"/>
  <c r="M1025" i="1"/>
  <c r="O1025" i="1"/>
  <c r="AA1025" i="1"/>
  <c r="AD1025" i="1"/>
  <c r="AE1025" i="1"/>
  <c r="AF1025" i="1"/>
  <c r="AG1025" i="1"/>
  <c r="AH1025" i="1"/>
  <c r="AQ1025" i="1"/>
  <c r="L1025" i="1" s="1"/>
  <c r="I1026" i="1"/>
  <c r="E1026" i="1" s="1"/>
  <c r="D1026" i="1" s="1"/>
  <c r="M1026" i="1"/>
  <c r="O1026" i="1"/>
  <c r="AA1026" i="1"/>
  <c r="AD1026" i="1"/>
  <c r="AE1026" i="1"/>
  <c r="AF1026" i="1"/>
  <c r="AG1026" i="1"/>
  <c r="AH1026" i="1"/>
  <c r="AQ1026" i="1"/>
  <c r="L1026" i="1" s="1"/>
  <c r="I1027" i="1"/>
  <c r="E1027" i="1" s="1"/>
  <c r="D1027" i="1" s="1"/>
  <c r="M1027" i="1"/>
  <c r="O1027" i="1"/>
  <c r="AA1027" i="1"/>
  <c r="AD1027" i="1"/>
  <c r="AE1027" i="1"/>
  <c r="AF1027" i="1"/>
  <c r="AG1027" i="1"/>
  <c r="AH1027" i="1"/>
  <c r="AQ1027" i="1"/>
  <c r="L1027" i="1" s="1"/>
  <c r="I1028" i="1"/>
  <c r="E1028" i="1" s="1"/>
  <c r="D1028" i="1" s="1"/>
  <c r="M1028" i="1"/>
  <c r="O1028" i="1"/>
  <c r="AA1028" i="1"/>
  <c r="AD1028" i="1"/>
  <c r="AE1028" i="1"/>
  <c r="AF1028" i="1"/>
  <c r="AG1028" i="1"/>
  <c r="AH1028" i="1"/>
  <c r="AQ1028" i="1"/>
  <c r="L1028" i="1" s="1"/>
  <c r="I1029" i="1"/>
  <c r="E1029" i="1" s="1"/>
  <c r="D1029" i="1" s="1"/>
  <c r="M1029" i="1"/>
  <c r="O1029" i="1"/>
  <c r="AA1029" i="1"/>
  <c r="AD1029" i="1"/>
  <c r="AE1029" i="1"/>
  <c r="AF1029" i="1"/>
  <c r="AG1029" i="1"/>
  <c r="AH1029" i="1"/>
  <c r="AQ1029" i="1"/>
  <c r="L1029" i="1" s="1"/>
  <c r="I1030" i="1"/>
  <c r="E1030" i="1" s="1"/>
  <c r="D1030" i="1" s="1"/>
  <c r="M1030" i="1"/>
  <c r="O1030" i="1"/>
  <c r="AA1030" i="1"/>
  <c r="AD1030" i="1"/>
  <c r="AE1030" i="1"/>
  <c r="AF1030" i="1"/>
  <c r="AG1030" i="1"/>
  <c r="AH1030" i="1"/>
  <c r="AQ1030" i="1"/>
  <c r="L1030" i="1" s="1"/>
  <c r="I1031" i="1"/>
  <c r="E1031" i="1" s="1"/>
  <c r="D1031" i="1" s="1"/>
  <c r="M1031" i="1"/>
  <c r="O1031" i="1"/>
  <c r="AA1031" i="1"/>
  <c r="AD1031" i="1"/>
  <c r="AE1031" i="1"/>
  <c r="AF1031" i="1"/>
  <c r="AG1031" i="1"/>
  <c r="AH1031" i="1"/>
  <c r="AQ1031" i="1"/>
  <c r="L1031" i="1" s="1"/>
  <c r="I1032" i="1"/>
  <c r="E1032" i="1" s="1"/>
  <c r="D1032" i="1" s="1"/>
  <c r="M1032" i="1"/>
  <c r="O1032" i="1"/>
  <c r="AA1032" i="1"/>
  <c r="AD1032" i="1"/>
  <c r="AE1032" i="1"/>
  <c r="AF1032" i="1"/>
  <c r="AG1032" i="1"/>
  <c r="AH1032" i="1"/>
  <c r="AQ1032" i="1"/>
  <c r="L1032" i="1" s="1"/>
  <c r="I1033" i="1"/>
  <c r="E1033" i="1" s="1"/>
  <c r="D1033" i="1" s="1"/>
  <c r="M1033" i="1"/>
  <c r="O1033" i="1"/>
  <c r="AA1033" i="1"/>
  <c r="AD1033" i="1"/>
  <c r="AE1033" i="1"/>
  <c r="AF1033" i="1"/>
  <c r="AG1033" i="1"/>
  <c r="AH1033" i="1"/>
  <c r="AQ1033" i="1"/>
  <c r="L1033" i="1" s="1"/>
  <c r="I1034" i="1"/>
  <c r="E1034" i="1" s="1"/>
  <c r="D1034" i="1" s="1"/>
  <c r="M1034" i="1"/>
  <c r="O1034" i="1"/>
  <c r="AA1034" i="1"/>
  <c r="AD1034" i="1"/>
  <c r="AE1034" i="1"/>
  <c r="AF1034" i="1"/>
  <c r="AG1034" i="1"/>
  <c r="AH1034" i="1"/>
  <c r="AQ1034" i="1"/>
  <c r="L1034" i="1" s="1"/>
  <c r="I1035" i="1"/>
  <c r="E1035" i="1" s="1"/>
  <c r="D1035" i="1" s="1"/>
  <c r="M1035" i="1"/>
  <c r="O1035" i="1"/>
  <c r="AA1035" i="1"/>
  <c r="AD1035" i="1"/>
  <c r="AE1035" i="1"/>
  <c r="AF1035" i="1"/>
  <c r="AG1035" i="1"/>
  <c r="AH1035" i="1"/>
  <c r="AQ1035" i="1"/>
  <c r="L1035" i="1" s="1"/>
  <c r="I1036" i="1"/>
  <c r="E1036" i="1" s="1"/>
  <c r="D1036" i="1" s="1"/>
  <c r="M1036" i="1"/>
  <c r="O1036" i="1"/>
  <c r="AA1036" i="1"/>
  <c r="AD1036" i="1"/>
  <c r="AE1036" i="1"/>
  <c r="AF1036" i="1"/>
  <c r="AG1036" i="1"/>
  <c r="AH1036" i="1"/>
  <c r="AQ1036" i="1"/>
  <c r="L1036" i="1" s="1"/>
  <c r="I1037" i="1"/>
  <c r="E1037" i="1" s="1"/>
  <c r="D1037" i="1" s="1"/>
  <c r="M1037" i="1"/>
  <c r="O1037" i="1"/>
  <c r="AA1037" i="1"/>
  <c r="AD1037" i="1"/>
  <c r="AE1037" i="1"/>
  <c r="AF1037" i="1"/>
  <c r="AG1037" i="1"/>
  <c r="AH1037" i="1"/>
  <c r="AQ1037" i="1"/>
  <c r="L1037" i="1" s="1"/>
  <c r="I1038" i="1"/>
  <c r="E1038" i="1" s="1"/>
  <c r="D1038" i="1" s="1"/>
  <c r="M1038" i="1"/>
  <c r="O1038" i="1"/>
  <c r="AA1038" i="1"/>
  <c r="AD1038" i="1"/>
  <c r="AE1038" i="1"/>
  <c r="AF1038" i="1"/>
  <c r="AG1038" i="1"/>
  <c r="AH1038" i="1"/>
  <c r="AQ1038" i="1"/>
  <c r="L1038" i="1" s="1"/>
  <c r="I1039" i="1"/>
  <c r="E1039" i="1" s="1"/>
  <c r="D1039" i="1" s="1"/>
  <c r="M1039" i="1"/>
  <c r="O1039" i="1"/>
  <c r="AA1039" i="1"/>
  <c r="AD1039" i="1"/>
  <c r="AE1039" i="1"/>
  <c r="AF1039" i="1"/>
  <c r="AG1039" i="1"/>
  <c r="AH1039" i="1"/>
  <c r="AQ1039" i="1"/>
  <c r="L1039" i="1" s="1"/>
  <c r="I1040" i="1"/>
  <c r="E1040" i="1" s="1"/>
  <c r="D1040" i="1" s="1"/>
  <c r="M1040" i="1"/>
  <c r="O1040" i="1"/>
  <c r="AA1040" i="1"/>
  <c r="AD1040" i="1"/>
  <c r="AE1040" i="1"/>
  <c r="AF1040" i="1"/>
  <c r="AG1040" i="1"/>
  <c r="AH1040" i="1"/>
  <c r="AQ1040" i="1"/>
  <c r="L1040" i="1" s="1"/>
  <c r="I1041" i="1"/>
  <c r="E1041" i="1" s="1"/>
  <c r="D1041" i="1" s="1"/>
  <c r="M1041" i="1"/>
  <c r="O1041" i="1"/>
  <c r="AA1041" i="1"/>
  <c r="AD1041" i="1"/>
  <c r="AE1041" i="1"/>
  <c r="AF1041" i="1"/>
  <c r="AG1041" i="1"/>
  <c r="AH1041" i="1"/>
  <c r="AQ1041" i="1"/>
  <c r="L1041" i="1" s="1"/>
  <c r="I1042" i="1"/>
  <c r="E1042" i="1" s="1"/>
  <c r="D1042" i="1" s="1"/>
  <c r="M1042" i="1"/>
  <c r="O1042" i="1"/>
  <c r="AA1042" i="1"/>
  <c r="AD1042" i="1"/>
  <c r="AE1042" i="1"/>
  <c r="AF1042" i="1"/>
  <c r="AG1042" i="1"/>
  <c r="AH1042" i="1"/>
  <c r="AQ1042" i="1"/>
  <c r="L1042" i="1" s="1"/>
  <c r="I1043" i="1"/>
  <c r="E1043" i="1" s="1"/>
  <c r="D1043" i="1" s="1"/>
  <c r="M1043" i="1"/>
  <c r="O1043" i="1"/>
  <c r="AA1043" i="1"/>
  <c r="AD1043" i="1"/>
  <c r="AE1043" i="1"/>
  <c r="AF1043" i="1"/>
  <c r="AG1043" i="1"/>
  <c r="AH1043" i="1"/>
  <c r="AQ1043" i="1"/>
  <c r="L1043" i="1" s="1"/>
  <c r="I1044" i="1"/>
  <c r="E1044" i="1" s="1"/>
  <c r="D1044" i="1" s="1"/>
  <c r="M1044" i="1"/>
  <c r="O1044" i="1"/>
  <c r="AA1044" i="1"/>
  <c r="AD1044" i="1"/>
  <c r="AE1044" i="1"/>
  <c r="AF1044" i="1"/>
  <c r="AG1044" i="1"/>
  <c r="AH1044" i="1"/>
  <c r="AQ1044" i="1"/>
  <c r="L1044" i="1" s="1"/>
  <c r="I1045" i="1"/>
  <c r="E1045" i="1" s="1"/>
  <c r="D1045" i="1" s="1"/>
  <c r="M1045" i="1"/>
  <c r="O1045" i="1"/>
  <c r="AA1045" i="1"/>
  <c r="AD1045" i="1"/>
  <c r="AE1045" i="1"/>
  <c r="AF1045" i="1"/>
  <c r="AG1045" i="1"/>
  <c r="AH1045" i="1"/>
  <c r="AQ1045" i="1"/>
  <c r="L1045" i="1" s="1"/>
  <c r="I1046" i="1"/>
  <c r="E1046" i="1" s="1"/>
  <c r="D1046" i="1" s="1"/>
  <c r="M1046" i="1"/>
  <c r="O1046" i="1"/>
  <c r="AA1046" i="1"/>
  <c r="AD1046" i="1"/>
  <c r="AE1046" i="1"/>
  <c r="AF1046" i="1"/>
  <c r="AG1046" i="1"/>
  <c r="AH1046" i="1"/>
  <c r="AQ1046" i="1"/>
  <c r="L1046" i="1" s="1"/>
  <c r="I1047" i="1"/>
  <c r="E1047" i="1" s="1"/>
  <c r="D1047" i="1" s="1"/>
  <c r="M1047" i="1"/>
  <c r="O1047" i="1"/>
  <c r="AA1047" i="1"/>
  <c r="AD1047" i="1"/>
  <c r="AE1047" i="1"/>
  <c r="AF1047" i="1"/>
  <c r="AG1047" i="1"/>
  <c r="AH1047" i="1"/>
  <c r="AQ1047" i="1"/>
  <c r="L1047" i="1" s="1"/>
  <c r="I1048" i="1"/>
  <c r="E1048" i="1" s="1"/>
  <c r="D1048" i="1" s="1"/>
  <c r="M1048" i="1"/>
  <c r="O1048" i="1"/>
  <c r="AA1048" i="1"/>
  <c r="AD1048" i="1"/>
  <c r="AE1048" i="1"/>
  <c r="AF1048" i="1"/>
  <c r="AG1048" i="1"/>
  <c r="AH1048" i="1"/>
  <c r="AQ1048" i="1"/>
  <c r="L1048" i="1" s="1"/>
  <c r="I1049" i="1"/>
  <c r="E1049" i="1" s="1"/>
  <c r="D1049" i="1" s="1"/>
  <c r="M1049" i="1"/>
  <c r="O1049" i="1"/>
  <c r="AA1049" i="1"/>
  <c r="AD1049" i="1"/>
  <c r="AE1049" i="1"/>
  <c r="AF1049" i="1"/>
  <c r="AG1049" i="1"/>
  <c r="AH1049" i="1"/>
  <c r="AQ1049" i="1"/>
  <c r="L1049" i="1" s="1"/>
  <c r="I1050" i="1"/>
  <c r="E1050" i="1" s="1"/>
  <c r="D1050" i="1" s="1"/>
  <c r="M1050" i="1"/>
  <c r="O1050" i="1"/>
  <c r="AA1050" i="1"/>
  <c r="AD1050" i="1"/>
  <c r="AE1050" i="1"/>
  <c r="AF1050" i="1"/>
  <c r="AG1050" i="1"/>
  <c r="AH1050" i="1"/>
  <c r="AQ1050" i="1"/>
  <c r="L1050" i="1" s="1"/>
  <c r="I1051" i="1"/>
  <c r="E1051" i="1" s="1"/>
  <c r="D1051" i="1" s="1"/>
  <c r="M1051" i="1"/>
  <c r="O1051" i="1"/>
  <c r="AA1051" i="1"/>
  <c r="AD1051" i="1"/>
  <c r="AE1051" i="1"/>
  <c r="AF1051" i="1"/>
  <c r="AG1051" i="1"/>
  <c r="AH1051" i="1"/>
  <c r="AQ1051" i="1"/>
  <c r="L1051" i="1" s="1"/>
  <c r="I1052" i="1"/>
  <c r="E1052" i="1" s="1"/>
  <c r="D1052" i="1" s="1"/>
  <c r="M1052" i="1"/>
  <c r="O1052" i="1"/>
  <c r="AA1052" i="1"/>
  <c r="AD1052" i="1"/>
  <c r="AE1052" i="1"/>
  <c r="AF1052" i="1"/>
  <c r="AG1052" i="1"/>
  <c r="AH1052" i="1"/>
  <c r="AQ1052" i="1"/>
  <c r="L1052" i="1" s="1"/>
  <c r="I1053" i="1"/>
  <c r="E1053" i="1" s="1"/>
  <c r="D1053" i="1" s="1"/>
  <c r="M1053" i="1"/>
  <c r="O1053" i="1"/>
  <c r="AA1053" i="1"/>
  <c r="AD1053" i="1"/>
  <c r="AE1053" i="1"/>
  <c r="AF1053" i="1"/>
  <c r="AG1053" i="1"/>
  <c r="AH1053" i="1"/>
  <c r="AQ1053" i="1"/>
  <c r="L1053" i="1" s="1"/>
  <c r="I1054" i="1"/>
  <c r="E1054" i="1" s="1"/>
  <c r="D1054" i="1" s="1"/>
  <c r="M1054" i="1"/>
  <c r="O1054" i="1"/>
  <c r="AA1054" i="1"/>
  <c r="AD1054" i="1"/>
  <c r="AE1054" i="1"/>
  <c r="AF1054" i="1"/>
  <c r="AG1054" i="1"/>
  <c r="AH1054" i="1"/>
  <c r="AQ1054" i="1"/>
  <c r="L1054" i="1" s="1"/>
  <c r="I1055" i="1"/>
  <c r="E1055" i="1" s="1"/>
  <c r="D1055" i="1" s="1"/>
  <c r="M1055" i="1"/>
  <c r="O1055" i="1"/>
  <c r="AA1055" i="1"/>
  <c r="AD1055" i="1"/>
  <c r="AE1055" i="1"/>
  <c r="AF1055" i="1"/>
  <c r="AG1055" i="1"/>
  <c r="AH1055" i="1"/>
  <c r="AQ1055" i="1"/>
  <c r="L1055" i="1" s="1"/>
  <c r="I1056" i="1"/>
  <c r="E1056" i="1" s="1"/>
  <c r="D1056" i="1" s="1"/>
  <c r="M1056" i="1"/>
  <c r="O1056" i="1"/>
  <c r="AA1056" i="1"/>
  <c r="AD1056" i="1"/>
  <c r="AE1056" i="1"/>
  <c r="AF1056" i="1"/>
  <c r="AG1056" i="1"/>
  <c r="AH1056" i="1"/>
  <c r="AQ1056" i="1"/>
  <c r="L1056" i="1" s="1"/>
  <c r="I1057" i="1"/>
  <c r="E1057" i="1" s="1"/>
  <c r="D1057" i="1" s="1"/>
  <c r="M1057" i="1"/>
  <c r="O1057" i="1"/>
  <c r="AA1057" i="1"/>
  <c r="AD1057" i="1"/>
  <c r="AE1057" i="1"/>
  <c r="AF1057" i="1"/>
  <c r="AG1057" i="1"/>
  <c r="AH1057" i="1"/>
  <c r="AQ1057" i="1"/>
  <c r="L1057" i="1" s="1"/>
  <c r="I1058" i="1"/>
  <c r="E1058" i="1" s="1"/>
  <c r="D1058" i="1" s="1"/>
  <c r="M1058" i="1"/>
  <c r="O1058" i="1"/>
  <c r="AA1058" i="1"/>
  <c r="AD1058" i="1"/>
  <c r="AE1058" i="1"/>
  <c r="AF1058" i="1"/>
  <c r="AG1058" i="1"/>
  <c r="AH1058" i="1"/>
  <c r="AQ1058" i="1"/>
  <c r="L1058" i="1" s="1"/>
  <c r="I1059" i="1"/>
  <c r="E1059" i="1" s="1"/>
  <c r="D1059" i="1" s="1"/>
  <c r="M1059" i="1"/>
  <c r="O1059" i="1"/>
  <c r="AA1059" i="1"/>
  <c r="AD1059" i="1"/>
  <c r="AE1059" i="1"/>
  <c r="AF1059" i="1"/>
  <c r="AG1059" i="1"/>
  <c r="AH1059" i="1"/>
  <c r="AQ1059" i="1"/>
  <c r="L1059" i="1" s="1"/>
  <c r="I1060" i="1"/>
  <c r="E1060" i="1" s="1"/>
  <c r="D1060" i="1" s="1"/>
  <c r="M1060" i="1"/>
  <c r="O1060" i="1"/>
  <c r="AA1060" i="1"/>
  <c r="AD1060" i="1"/>
  <c r="AE1060" i="1"/>
  <c r="AF1060" i="1"/>
  <c r="AG1060" i="1"/>
  <c r="AH1060" i="1"/>
  <c r="AQ1060" i="1"/>
  <c r="L1060" i="1" s="1"/>
  <c r="I1061" i="1"/>
  <c r="E1061" i="1" s="1"/>
  <c r="D1061" i="1" s="1"/>
  <c r="M1061" i="1"/>
  <c r="O1061" i="1"/>
  <c r="AA1061" i="1"/>
  <c r="AD1061" i="1"/>
  <c r="AE1061" i="1"/>
  <c r="AF1061" i="1"/>
  <c r="AG1061" i="1"/>
  <c r="AH1061" i="1"/>
  <c r="AQ1061" i="1"/>
  <c r="L1061" i="1" s="1"/>
  <c r="I1062" i="1"/>
  <c r="E1062" i="1" s="1"/>
  <c r="D1062" i="1" s="1"/>
  <c r="M1062" i="1"/>
  <c r="O1062" i="1"/>
  <c r="AA1062" i="1"/>
  <c r="AD1062" i="1"/>
  <c r="AE1062" i="1"/>
  <c r="AF1062" i="1"/>
  <c r="AG1062" i="1"/>
  <c r="AH1062" i="1"/>
  <c r="AQ1062" i="1"/>
  <c r="L1062" i="1" s="1"/>
  <c r="I1063" i="1"/>
  <c r="E1063" i="1" s="1"/>
  <c r="D1063" i="1" s="1"/>
  <c r="M1063" i="1"/>
  <c r="O1063" i="1"/>
  <c r="AA1063" i="1"/>
  <c r="AD1063" i="1"/>
  <c r="AE1063" i="1"/>
  <c r="AF1063" i="1"/>
  <c r="AG1063" i="1"/>
  <c r="AH1063" i="1"/>
  <c r="AQ1063" i="1"/>
  <c r="L1063" i="1" s="1"/>
  <c r="I1064" i="1"/>
  <c r="E1064" i="1" s="1"/>
  <c r="D1064" i="1" s="1"/>
  <c r="M1064" i="1"/>
  <c r="O1064" i="1"/>
  <c r="AA1064" i="1"/>
  <c r="AD1064" i="1"/>
  <c r="AE1064" i="1"/>
  <c r="AF1064" i="1"/>
  <c r="AG1064" i="1"/>
  <c r="AH1064" i="1"/>
  <c r="AQ1064" i="1"/>
  <c r="L1064" i="1" s="1"/>
  <c r="I1065" i="1"/>
  <c r="E1065" i="1" s="1"/>
  <c r="D1065" i="1" s="1"/>
  <c r="M1065" i="1"/>
  <c r="O1065" i="1"/>
  <c r="AA1065" i="1"/>
  <c r="AD1065" i="1"/>
  <c r="AE1065" i="1"/>
  <c r="AF1065" i="1"/>
  <c r="AG1065" i="1"/>
  <c r="AH1065" i="1"/>
  <c r="AQ1065" i="1"/>
  <c r="L1065" i="1" s="1"/>
  <c r="I1066" i="1"/>
  <c r="E1066" i="1" s="1"/>
  <c r="D1066" i="1" s="1"/>
  <c r="M1066" i="1"/>
  <c r="O1066" i="1"/>
  <c r="AA1066" i="1"/>
  <c r="AD1066" i="1"/>
  <c r="AE1066" i="1"/>
  <c r="AF1066" i="1"/>
  <c r="AG1066" i="1"/>
  <c r="AH1066" i="1"/>
  <c r="AQ1066" i="1"/>
  <c r="L1066" i="1" s="1"/>
  <c r="I1067" i="1"/>
  <c r="E1067" i="1" s="1"/>
  <c r="D1067" i="1" s="1"/>
  <c r="M1067" i="1"/>
  <c r="O1067" i="1"/>
  <c r="AA1067" i="1"/>
  <c r="AD1067" i="1"/>
  <c r="AE1067" i="1"/>
  <c r="AF1067" i="1"/>
  <c r="AG1067" i="1"/>
  <c r="AH1067" i="1"/>
  <c r="AQ1067" i="1"/>
  <c r="L1067" i="1" s="1"/>
  <c r="I1068" i="1"/>
  <c r="E1068" i="1" s="1"/>
  <c r="D1068" i="1" s="1"/>
  <c r="M1068" i="1"/>
  <c r="O1068" i="1"/>
  <c r="AA1068" i="1"/>
  <c r="AD1068" i="1"/>
  <c r="AE1068" i="1"/>
  <c r="AF1068" i="1"/>
  <c r="AG1068" i="1"/>
  <c r="AH1068" i="1"/>
  <c r="AQ1068" i="1"/>
  <c r="L1068" i="1" s="1"/>
  <c r="I1069" i="1"/>
  <c r="E1069" i="1" s="1"/>
  <c r="D1069" i="1" s="1"/>
  <c r="M1069" i="1"/>
  <c r="O1069" i="1"/>
  <c r="AA1069" i="1"/>
  <c r="AD1069" i="1"/>
  <c r="AE1069" i="1"/>
  <c r="AF1069" i="1"/>
  <c r="AG1069" i="1"/>
  <c r="AH1069" i="1"/>
  <c r="AQ1069" i="1"/>
  <c r="L1069" i="1" s="1"/>
  <c r="I1070" i="1"/>
  <c r="E1070" i="1" s="1"/>
  <c r="D1070" i="1" s="1"/>
  <c r="M1070" i="1"/>
  <c r="O1070" i="1"/>
  <c r="AA1070" i="1"/>
  <c r="AD1070" i="1"/>
  <c r="AE1070" i="1"/>
  <c r="AF1070" i="1"/>
  <c r="AG1070" i="1"/>
  <c r="AH1070" i="1"/>
  <c r="AQ1070" i="1"/>
  <c r="L1070" i="1" s="1"/>
  <c r="I1071" i="1"/>
  <c r="E1071" i="1" s="1"/>
  <c r="D1071" i="1" s="1"/>
  <c r="M1071" i="1"/>
  <c r="O1071" i="1"/>
  <c r="AA1071" i="1"/>
  <c r="AD1071" i="1"/>
  <c r="AE1071" i="1"/>
  <c r="AF1071" i="1"/>
  <c r="AG1071" i="1"/>
  <c r="AH1071" i="1"/>
  <c r="AQ1071" i="1"/>
  <c r="L1071" i="1" s="1"/>
  <c r="I1072" i="1"/>
  <c r="E1072" i="1" s="1"/>
  <c r="D1072" i="1" s="1"/>
  <c r="M1072" i="1"/>
  <c r="O1072" i="1"/>
  <c r="AA1072" i="1"/>
  <c r="AD1072" i="1"/>
  <c r="AE1072" i="1"/>
  <c r="AF1072" i="1"/>
  <c r="AG1072" i="1"/>
  <c r="AH1072" i="1"/>
  <c r="AQ1072" i="1"/>
  <c r="L1072" i="1" s="1"/>
  <c r="I1073" i="1"/>
  <c r="E1073" i="1" s="1"/>
  <c r="D1073" i="1" s="1"/>
  <c r="M1073" i="1"/>
  <c r="O1073" i="1"/>
  <c r="AA1073" i="1"/>
  <c r="AD1073" i="1"/>
  <c r="AE1073" i="1"/>
  <c r="AF1073" i="1"/>
  <c r="AG1073" i="1"/>
  <c r="AH1073" i="1"/>
  <c r="AQ1073" i="1"/>
  <c r="L1073" i="1" s="1"/>
  <c r="I1074" i="1"/>
  <c r="E1074" i="1" s="1"/>
  <c r="D1074" i="1" s="1"/>
  <c r="M1074" i="1"/>
  <c r="O1074" i="1"/>
  <c r="AA1074" i="1"/>
  <c r="AD1074" i="1"/>
  <c r="AE1074" i="1"/>
  <c r="AF1074" i="1"/>
  <c r="AG1074" i="1"/>
  <c r="AH1074" i="1"/>
  <c r="AQ1074" i="1"/>
  <c r="L1074" i="1" s="1"/>
  <c r="I1075" i="1"/>
  <c r="E1075" i="1" s="1"/>
  <c r="D1075" i="1" s="1"/>
  <c r="M1075" i="1"/>
  <c r="O1075" i="1"/>
  <c r="AA1075" i="1"/>
  <c r="AD1075" i="1"/>
  <c r="AE1075" i="1"/>
  <c r="AF1075" i="1"/>
  <c r="AG1075" i="1"/>
  <c r="AH1075" i="1"/>
  <c r="AQ1075" i="1"/>
  <c r="L1075" i="1" s="1"/>
  <c r="I1076" i="1"/>
  <c r="E1076" i="1" s="1"/>
  <c r="D1076" i="1" s="1"/>
  <c r="M1076" i="1"/>
  <c r="O1076" i="1"/>
  <c r="AA1076" i="1"/>
  <c r="AD1076" i="1"/>
  <c r="AE1076" i="1"/>
  <c r="AF1076" i="1"/>
  <c r="AG1076" i="1"/>
  <c r="AH1076" i="1"/>
  <c r="AQ1076" i="1"/>
  <c r="L1076" i="1" s="1"/>
  <c r="I1077" i="1"/>
  <c r="E1077" i="1" s="1"/>
  <c r="D1077" i="1" s="1"/>
  <c r="M1077" i="1"/>
  <c r="O1077" i="1"/>
  <c r="AA1077" i="1"/>
  <c r="AD1077" i="1"/>
  <c r="AE1077" i="1"/>
  <c r="AF1077" i="1"/>
  <c r="AG1077" i="1"/>
  <c r="AH1077" i="1"/>
  <c r="AQ1077" i="1"/>
  <c r="L1077" i="1" s="1"/>
  <c r="I1078" i="1"/>
  <c r="E1078" i="1" s="1"/>
  <c r="D1078" i="1" s="1"/>
  <c r="M1078" i="1"/>
  <c r="O1078" i="1"/>
  <c r="AA1078" i="1"/>
  <c r="AD1078" i="1"/>
  <c r="AE1078" i="1"/>
  <c r="AF1078" i="1"/>
  <c r="AG1078" i="1"/>
  <c r="AH1078" i="1"/>
  <c r="AQ1078" i="1"/>
  <c r="L1078" i="1" s="1"/>
  <c r="I1079" i="1"/>
  <c r="E1079" i="1" s="1"/>
  <c r="D1079" i="1" s="1"/>
  <c r="M1079" i="1"/>
  <c r="O1079" i="1"/>
  <c r="AA1079" i="1"/>
  <c r="AD1079" i="1"/>
  <c r="AE1079" i="1"/>
  <c r="AF1079" i="1"/>
  <c r="AG1079" i="1"/>
  <c r="AH1079" i="1"/>
  <c r="AQ1079" i="1"/>
  <c r="L1079" i="1" s="1"/>
  <c r="I1080" i="1"/>
  <c r="E1080" i="1" s="1"/>
  <c r="D1080" i="1" s="1"/>
  <c r="M1080" i="1"/>
  <c r="O1080" i="1"/>
  <c r="AA1080" i="1"/>
  <c r="AD1080" i="1"/>
  <c r="AE1080" i="1"/>
  <c r="AF1080" i="1"/>
  <c r="AG1080" i="1"/>
  <c r="AH1080" i="1"/>
  <c r="AQ1080" i="1"/>
  <c r="L1080" i="1" s="1"/>
  <c r="I1081" i="1"/>
  <c r="E1081" i="1" s="1"/>
  <c r="D1081" i="1" s="1"/>
  <c r="M1081" i="1"/>
  <c r="O1081" i="1"/>
  <c r="AA1081" i="1"/>
  <c r="AD1081" i="1"/>
  <c r="AE1081" i="1"/>
  <c r="AF1081" i="1"/>
  <c r="AG1081" i="1"/>
  <c r="AH1081" i="1"/>
  <c r="AQ1081" i="1"/>
  <c r="L1081" i="1" s="1"/>
  <c r="I1082" i="1"/>
  <c r="E1082" i="1" s="1"/>
  <c r="D1082" i="1" s="1"/>
  <c r="M1082" i="1"/>
  <c r="O1082" i="1"/>
  <c r="AA1082" i="1"/>
  <c r="AD1082" i="1"/>
  <c r="AE1082" i="1"/>
  <c r="AF1082" i="1"/>
  <c r="AG1082" i="1"/>
  <c r="AH1082" i="1"/>
  <c r="AQ1082" i="1"/>
  <c r="L1082" i="1" s="1"/>
  <c r="I1083" i="1"/>
  <c r="E1083" i="1" s="1"/>
  <c r="D1083" i="1" s="1"/>
  <c r="M1083" i="1"/>
  <c r="O1083" i="1"/>
  <c r="AA1083" i="1"/>
  <c r="AD1083" i="1"/>
  <c r="AE1083" i="1"/>
  <c r="AF1083" i="1"/>
  <c r="AG1083" i="1"/>
  <c r="AH1083" i="1"/>
  <c r="AQ1083" i="1"/>
  <c r="L1083" i="1" s="1"/>
  <c r="I1084" i="1"/>
  <c r="E1084" i="1" s="1"/>
  <c r="D1084" i="1" s="1"/>
  <c r="M1084" i="1"/>
  <c r="O1084" i="1"/>
  <c r="AA1084" i="1"/>
  <c r="AD1084" i="1"/>
  <c r="AE1084" i="1"/>
  <c r="AF1084" i="1"/>
  <c r="AG1084" i="1"/>
  <c r="AH1084" i="1"/>
  <c r="AQ1084" i="1"/>
  <c r="L1084" i="1" s="1"/>
  <c r="I1085" i="1"/>
  <c r="E1085" i="1" s="1"/>
  <c r="D1085" i="1" s="1"/>
  <c r="M1085" i="1"/>
  <c r="O1085" i="1"/>
  <c r="AA1085" i="1"/>
  <c r="AD1085" i="1"/>
  <c r="AE1085" i="1"/>
  <c r="AF1085" i="1"/>
  <c r="AG1085" i="1"/>
  <c r="AH1085" i="1"/>
  <c r="AQ1085" i="1"/>
  <c r="L1085" i="1" s="1"/>
  <c r="I1086" i="1"/>
  <c r="E1086" i="1" s="1"/>
  <c r="D1086" i="1" s="1"/>
  <c r="M1086" i="1"/>
  <c r="O1086" i="1"/>
  <c r="AA1086" i="1"/>
  <c r="AD1086" i="1"/>
  <c r="AE1086" i="1"/>
  <c r="AF1086" i="1"/>
  <c r="AG1086" i="1"/>
  <c r="AH1086" i="1"/>
  <c r="AQ1086" i="1"/>
  <c r="L1086" i="1" s="1"/>
  <c r="I1087" i="1"/>
  <c r="E1087" i="1" s="1"/>
  <c r="D1087" i="1" s="1"/>
  <c r="M1087" i="1"/>
  <c r="O1087" i="1"/>
  <c r="AA1087" i="1"/>
  <c r="AD1087" i="1"/>
  <c r="AE1087" i="1"/>
  <c r="AF1087" i="1"/>
  <c r="AG1087" i="1"/>
  <c r="AH1087" i="1"/>
  <c r="AQ1087" i="1"/>
  <c r="L1087" i="1" s="1"/>
  <c r="I1088" i="1"/>
  <c r="E1088" i="1" s="1"/>
  <c r="D1088" i="1" s="1"/>
  <c r="M1088" i="1"/>
  <c r="O1088" i="1"/>
  <c r="AA1088" i="1"/>
  <c r="AD1088" i="1"/>
  <c r="AE1088" i="1"/>
  <c r="AF1088" i="1"/>
  <c r="AG1088" i="1"/>
  <c r="AH1088" i="1"/>
  <c r="AQ1088" i="1"/>
  <c r="L1088" i="1" s="1"/>
  <c r="I1089" i="1"/>
  <c r="E1089" i="1" s="1"/>
  <c r="D1089" i="1" s="1"/>
  <c r="M1089" i="1"/>
  <c r="O1089" i="1"/>
  <c r="AA1089" i="1"/>
  <c r="AD1089" i="1"/>
  <c r="AE1089" i="1"/>
  <c r="AF1089" i="1"/>
  <c r="AG1089" i="1"/>
  <c r="AH1089" i="1"/>
  <c r="AQ1089" i="1"/>
  <c r="L1089" i="1" s="1"/>
  <c r="I1090" i="1"/>
  <c r="E1090" i="1" s="1"/>
  <c r="D1090" i="1" s="1"/>
  <c r="M1090" i="1"/>
  <c r="O1090" i="1"/>
  <c r="AA1090" i="1"/>
  <c r="AD1090" i="1"/>
  <c r="AE1090" i="1"/>
  <c r="AF1090" i="1"/>
  <c r="AG1090" i="1"/>
  <c r="AH1090" i="1"/>
  <c r="AQ1090" i="1"/>
  <c r="L1090" i="1" s="1"/>
  <c r="I1091" i="1"/>
  <c r="E1091" i="1" s="1"/>
  <c r="D1091" i="1" s="1"/>
  <c r="M1091" i="1"/>
  <c r="O1091" i="1"/>
  <c r="AA1091" i="1"/>
  <c r="AD1091" i="1"/>
  <c r="AE1091" i="1"/>
  <c r="AF1091" i="1"/>
  <c r="AG1091" i="1"/>
  <c r="AH1091" i="1"/>
  <c r="AQ1091" i="1"/>
  <c r="L1091" i="1" s="1"/>
  <c r="I1092" i="1"/>
  <c r="E1092" i="1" s="1"/>
  <c r="D1092" i="1" s="1"/>
  <c r="M1092" i="1"/>
  <c r="O1092" i="1"/>
  <c r="AA1092" i="1"/>
  <c r="AD1092" i="1"/>
  <c r="AE1092" i="1"/>
  <c r="AF1092" i="1"/>
  <c r="AG1092" i="1"/>
  <c r="AH1092" i="1"/>
  <c r="AQ1092" i="1"/>
  <c r="L1092" i="1" s="1"/>
  <c r="I1093" i="1"/>
  <c r="E1093" i="1" s="1"/>
  <c r="D1093" i="1" s="1"/>
  <c r="M1093" i="1"/>
  <c r="O1093" i="1"/>
  <c r="AA1093" i="1"/>
  <c r="AD1093" i="1"/>
  <c r="AE1093" i="1"/>
  <c r="AF1093" i="1"/>
  <c r="AG1093" i="1"/>
  <c r="AH1093" i="1"/>
  <c r="AQ1093" i="1"/>
  <c r="L1093" i="1" s="1"/>
  <c r="I1094" i="1"/>
  <c r="E1094" i="1" s="1"/>
  <c r="D1094" i="1" s="1"/>
  <c r="M1094" i="1"/>
  <c r="O1094" i="1"/>
  <c r="AA1094" i="1"/>
  <c r="AD1094" i="1"/>
  <c r="AE1094" i="1"/>
  <c r="AF1094" i="1"/>
  <c r="AG1094" i="1"/>
  <c r="AH1094" i="1"/>
  <c r="AQ1094" i="1"/>
  <c r="L1094" i="1" s="1"/>
  <c r="I1095" i="1"/>
  <c r="E1095" i="1" s="1"/>
  <c r="D1095" i="1" s="1"/>
  <c r="M1095" i="1"/>
  <c r="O1095" i="1"/>
  <c r="AA1095" i="1"/>
  <c r="AD1095" i="1"/>
  <c r="AE1095" i="1"/>
  <c r="AF1095" i="1"/>
  <c r="AG1095" i="1"/>
  <c r="AH1095" i="1"/>
  <c r="AQ1095" i="1"/>
  <c r="L1095" i="1" s="1"/>
  <c r="I1096" i="1"/>
  <c r="E1096" i="1" s="1"/>
  <c r="D1096" i="1" s="1"/>
  <c r="M1096" i="1"/>
  <c r="O1096" i="1"/>
  <c r="AA1096" i="1"/>
  <c r="AD1096" i="1"/>
  <c r="AE1096" i="1"/>
  <c r="AF1096" i="1"/>
  <c r="AG1096" i="1"/>
  <c r="AH1096" i="1"/>
  <c r="AQ1096" i="1"/>
  <c r="L1096" i="1" s="1"/>
  <c r="I1097" i="1"/>
  <c r="E1097" i="1" s="1"/>
  <c r="D1097" i="1" s="1"/>
  <c r="M1097" i="1"/>
  <c r="O1097" i="1"/>
  <c r="AA1097" i="1"/>
  <c r="AD1097" i="1"/>
  <c r="AE1097" i="1"/>
  <c r="AF1097" i="1"/>
  <c r="AG1097" i="1"/>
  <c r="AH1097" i="1"/>
  <c r="AQ1097" i="1"/>
  <c r="L1097" i="1" s="1"/>
  <c r="I1098" i="1"/>
  <c r="E1098" i="1" s="1"/>
  <c r="D1098" i="1" s="1"/>
  <c r="M1098" i="1"/>
  <c r="O1098" i="1"/>
  <c r="AA1098" i="1"/>
  <c r="AD1098" i="1"/>
  <c r="AE1098" i="1"/>
  <c r="AF1098" i="1"/>
  <c r="AG1098" i="1"/>
  <c r="AH1098" i="1"/>
  <c r="AQ1098" i="1"/>
  <c r="L1098" i="1" s="1"/>
  <c r="I1099" i="1"/>
  <c r="E1099" i="1" s="1"/>
  <c r="D1099" i="1" s="1"/>
  <c r="M1099" i="1"/>
  <c r="O1099" i="1"/>
  <c r="AA1099" i="1"/>
  <c r="AD1099" i="1"/>
  <c r="AE1099" i="1"/>
  <c r="AF1099" i="1"/>
  <c r="AG1099" i="1"/>
  <c r="AH1099" i="1"/>
  <c r="AQ1099" i="1"/>
  <c r="L1099" i="1" s="1"/>
  <c r="I1100" i="1"/>
  <c r="E1100" i="1" s="1"/>
  <c r="D1100" i="1" s="1"/>
  <c r="M1100" i="1"/>
  <c r="O1100" i="1"/>
  <c r="AA1100" i="1"/>
  <c r="AD1100" i="1"/>
  <c r="AE1100" i="1"/>
  <c r="AF1100" i="1"/>
  <c r="AG1100" i="1"/>
  <c r="AH1100" i="1"/>
  <c r="AQ1100" i="1"/>
  <c r="L1100" i="1" s="1"/>
  <c r="I1101" i="1"/>
  <c r="E1101" i="1" s="1"/>
  <c r="D1101" i="1" s="1"/>
  <c r="M1101" i="1"/>
  <c r="O1101" i="1"/>
  <c r="AA1101" i="1"/>
  <c r="AD1101" i="1"/>
  <c r="AE1101" i="1"/>
  <c r="AF1101" i="1"/>
  <c r="AG1101" i="1"/>
  <c r="AH1101" i="1"/>
  <c r="AQ1101" i="1"/>
  <c r="L1101" i="1" s="1"/>
  <c r="I1102" i="1"/>
  <c r="E1102" i="1" s="1"/>
  <c r="D1102" i="1" s="1"/>
  <c r="M1102" i="1"/>
  <c r="O1102" i="1"/>
  <c r="AA1102" i="1"/>
  <c r="AD1102" i="1"/>
  <c r="AE1102" i="1"/>
  <c r="AF1102" i="1"/>
  <c r="AG1102" i="1"/>
  <c r="AH1102" i="1"/>
  <c r="AQ1102" i="1"/>
  <c r="L1102" i="1" s="1"/>
  <c r="I1103" i="1"/>
  <c r="E1103" i="1" s="1"/>
  <c r="D1103" i="1" s="1"/>
  <c r="M1103" i="1"/>
  <c r="O1103" i="1"/>
  <c r="AA1103" i="1"/>
  <c r="AD1103" i="1"/>
  <c r="AE1103" i="1"/>
  <c r="AF1103" i="1"/>
  <c r="AG1103" i="1"/>
  <c r="AH1103" i="1"/>
  <c r="AQ1103" i="1"/>
  <c r="L1103" i="1" s="1"/>
  <c r="I1104" i="1"/>
  <c r="E1104" i="1" s="1"/>
  <c r="D1104" i="1" s="1"/>
  <c r="M1104" i="1"/>
  <c r="O1104" i="1"/>
  <c r="AA1104" i="1"/>
  <c r="AD1104" i="1"/>
  <c r="AE1104" i="1"/>
  <c r="AF1104" i="1"/>
  <c r="AG1104" i="1"/>
  <c r="AH1104" i="1"/>
  <c r="AQ1104" i="1"/>
  <c r="L1104" i="1" s="1"/>
  <c r="I1105" i="1"/>
  <c r="E1105" i="1" s="1"/>
  <c r="D1105" i="1" s="1"/>
  <c r="M1105" i="1"/>
  <c r="O1105" i="1"/>
  <c r="AA1105" i="1"/>
  <c r="AD1105" i="1"/>
  <c r="AE1105" i="1"/>
  <c r="AF1105" i="1"/>
  <c r="AG1105" i="1"/>
  <c r="AH1105" i="1"/>
  <c r="AQ1105" i="1"/>
  <c r="L1105" i="1" s="1"/>
  <c r="I1106" i="1"/>
  <c r="E1106" i="1" s="1"/>
  <c r="D1106" i="1" s="1"/>
  <c r="M1106" i="1"/>
  <c r="O1106" i="1"/>
  <c r="AA1106" i="1"/>
  <c r="AD1106" i="1"/>
  <c r="AE1106" i="1"/>
  <c r="AF1106" i="1"/>
  <c r="AG1106" i="1"/>
  <c r="AH1106" i="1"/>
  <c r="AQ1106" i="1"/>
  <c r="L1106" i="1" s="1"/>
  <c r="I1107" i="1"/>
  <c r="E1107" i="1" s="1"/>
  <c r="D1107" i="1" s="1"/>
  <c r="M1107" i="1"/>
  <c r="O1107" i="1"/>
  <c r="AA1107" i="1"/>
  <c r="AD1107" i="1"/>
  <c r="AE1107" i="1"/>
  <c r="AF1107" i="1"/>
  <c r="AG1107" i="1"/>
  <c r="AH1107" i="1"/>
  <c r="AQ1107" i="1"/>
  <c r="L1107" i="1" s="1"/>
  <c r="I1108" i="1"/>
  <c r="E1108" i="1" s="1"/>
  <c r="D1108" i="1" s="1"/>
  <c r="M1108" i="1"/>
  <c r="O1108" i="1"/>
  <c r="AA1108" i="1"/>
  <c r="AD1108" i="1"/>
  <c r="AE1108" i="1"/>
  <c r="AF1108" i="1"/>
  <c r="AG1108" i="1"/>
  <c r="AH1108" i="1"/>
  <c r="AQ1108" i="1"/>
  <c r="L1108" i="1" s="1"/>
  <c r="I1109" i="1"/>
  <c r="E1109" i="1" s="1"/>
  <c r="D1109" i="1" s="1"/>
  <c r="M1109" i="1"/>
  <c r="O1109" i="1"/>
  <c r="AA1109" i="1"/>
  <c r="AD1109" i="1"/>
  <c r="AE1109" i="1"/>
  <c r="AF1109" i="1"/>
  <c r="AG1109" i="1"/>
  <c r="AH1109" i="1"/>
  <c r="AQ1109" i="1"/>
  <c r="L1109" i="1" s="1"/>
  <c r="I1110" i="1"/>
  <c r="E1110" i="1" s="1"/>
  <c r="D1110" i="1" s="1"/>
  <c r="M1110" i="1"/>
  <c r="O1110" i="1"/>
  <c r="AA1110" i="1"/>
  <c r="AD1110" i="1"/>
  <c r="AE1110" i="1"/>
  <c r="AF1110" i="1"/>
  <c r="AG1110" i="1"/>
  <c r="AH1110" i="1"/>
  <c r="AQ1110" i="1"/>
  <c r="L1110" i="1" s="1"/>
  <c r="I1111" i="1"/>
  <c r="E1111" i="1" s="1"/>
  <c r="D1111" i="1" s="1"/>
  <c r="M1111" i="1"/>
  <c r="O1111" i="1"/>
  <c r="AA1111" i="1"/>
  <c r="AD1111" i="1"/>
  <c r="AE1111" i="1"/>
  <c r="AF1111" i="1"/>
  <c r="AG1111" i="1"/>
  <c r="AH1111" i="1"/>
  <c r="AQ1111" i="1"/>
  <c r="L1111" i="1" s="1"/>
  <c r="I1112" i="1"/>
  <c r="E1112" i="1" s="1"/>
  <c r="D1112" i="1" s="1"/>
  <c r="M1112" i="1"/>
  <c r="O1112" i="1"/>
  <c r="AA1112" i="1"/>
  <c r="AD1112" i="1"/>
  <c r="AE1112" i="1"/>
  <c r="AF1112" i="1"/>
  <c r="AG1112" i="1"/>
  <c r="AH1112" i="1"/>
  <c r="AQ1112" i="1"/>
  <c r="L1112" i="1" s="1"/>
  <c r="I1113" i="1"/>
  <c r="E1113" i="1" s="1"/>
  <c r="D1113" i="1" s="1"/>
  <c r="M1113" i="1"/>
  <c r="O1113" i="1"/>
  <c r="AA1113" i="1"/>
  <c r="AD1113" i="1"/>
  <c r="AE1113" i="1"/>
  <c r="AF1113" i="1"/>
  <c r="AG1113" i="1"/>
  <c r="AH1113" i="1"/>
  <c r="AQ1113" i="1"/>
  <c r="L1113" i="1" s="1"/>
  <c r="I1114" i="1"/>
  <c r="E1114" i="1" s="1"/>
  <c r="D1114" i="1" s="1"/>
  <c r="M1114" i="1"/>
  <c r="O1114" i="1"/>
  <c r="AA1114" i="1"/>
  <c r="AD1114" i="1"/>
  <c r="AE1114" i="1"/>
  <c r="AF1114" i="1"/>
  <c r="AG1114" i="1"/>
  <c r="AH1114" i="1"/>
  <c r="AQ1114" i="1"/>
  <c r="L1114" i="1" s="1"/>
  <c r="I1115" i="1"/>
  <c r="E1115" i="1" s="1"/>
  <c r="D1115" i="1" s="1"/>
  <c r="M1115" i="1"/>
  <c r="O1115" i="1"/>
  <c r="AA1115" i="1"/>
  <c r="AD1115" i="1"/>
  <c r="AE1115" i="1"/>
  <c r="AF1115" i="1"/>
  <c r="AG1115" i="1"/>
  <c r="AH1115" i="1"/>
  <c r="AQ1115" i="1"/>
  <c r="L1115" i="1" s="1"/>
  <c r="I1116" i="1"/>
  <c r="E1116" i="1" s="1"/>
  <c r="D1116" i="1" s="1"/>
  <c r="M1116" i="1"/>
  <c r="O1116" i="1"/>
  <c r="AA1116" i="1"/>
  <c r="AD1116" i="1"/>
  <c r="AE1116" i="1"/>
  <c r="AF1116" i="1"/>
  <c r="AG1116" i="1"/>
  <c r="AH1116" i="1"/>
  <c r="AQ1116" i="1"/>
  <c r="L1116" i="1" s="1"/>
  <c r="I1117" i="1"/>
  <c r="E1117" i="1" s="1"/>
  <c r="D1117" i="1" s="1"/>
  <c r="M1117" i="1"/>
  <c r="O1117" i="1"/>
  <c r="AA1117" i="1"/>
  <c r="AD1117" i="1"/>
  <c r="AE1117" i="1"/>
  <c r="AF1117" i="1"/>
  <c r="AG1117" i="1"/>
  <c r="AH1117" i="1"/>
  <c r="AQ1117" i="1"/>
  <c r="L1117" i="1" s="1"/>
  <c r="I1118" i="1"/>
  <c r="E1118" i="1" s="1"/>
  <c r="D1118" i="1" s="1"/>
  <c r="M1118" i="1"/>
  <c r="O1118" i="1"/>
  <c r="AA1118" i="1"/>
  <c r="AD1118" i="1"/>
  <c r="AE1118" i="1"/>
  <c r="AF1118" i="1"/>
  <c r="AG1118" i="1"/>
  <c r="AH1118" i="1"/>
  <c r="AQ1118" i="1"/>
  <c r="L1118" i="1" s="1"/>
  <c r="I1119" i="1"/>
  <c r="E1119" i="1" s="1"/>
  <c r="D1119" i="1" s="1"/>
  <c r="M1119" i="1"/>
  <c r="O1119" i="1"/>
  <c r="AA1119" i="1"/>
  <c r="AD1119" i="1"/>
  <c r="AE1119" i="1"/>
  <c r="AF1119" i="1"/>
  <c r="AG1119" i="1"/>
  <c r="AH1119" i="1"/>
  <c r="AQ1119" i="1"/>
  <c r="L1119" i="1" s="1"/>
  <c r="I1120" i="1"/>
  <c r="E1120" i="1" s="1"/>
  <c r="D1120" i="1" s="1"/>
  <c r="M1120" i="1"/>
  <c r="O1120" i="1"/>
  <c r="AA1120" i="1"/>
  <c r="AD1120" i="1"/>
  <c r="AE1120" i="1"/>
  <c r="AF1120" i="1"/>
  <c r="AG1120" i="1"/>
  <c r="AH1120" i="1"/>
  <c r="AQ1120" i="1"/>
  <c r="L1120" i="1" s="1"/>
  <c r="I1121" i="1"/>
  <c r="E1121" i="1" s="1"/>
  <c r="D1121" i="1" s="1"/>
  <c r="M1121" i="1"/>
  <c r="O1121" i="1"/>
  <c r="AA1121" i="1"/>
  <c r="AD1121" i="1"/>
  <c r="AE1121" i="1"/>
  <c r="AF1121" i="1"/>
  <c r="AG1121" i="1"/>
  <c r="AH1121" i="1"/>
  <c r="AQ1121" i="1"/>
  <c r="L1121" i="1" s="1"/>
  <c r="I1122" i="1"/>
  <c r="E1122" i="1" s="1"/>
  <c r="D1122" i="1" s="1"/>
  <c r="M1122" i="1"/>
  <c r="O1122" i="1"/>
  <c r="AA1122" i="1"/>
  <c r="AD1122" i="1"/>
  <c r="AE1122" i="1"/>
  <c r="AF1122" i="1"/>
  <c r="AG1122" i="1"/>
  <c r="AH1122" i="1"/>
  <c r="AQ1122" i="1"/>
  <c r="L1122" i="1" s="1"/>
  <c r="I1123" i="1"/>
  <c r="E1123" i="1" s="1"/>
  <c r="D1123" i="1" s="1"/>
  <c r="M1123" i="1"/>
  <c r="O1123" i="1"/>
  <c r="AA1123" i="1"/>
  <c r="AD1123" i="1"/>
  <c r="AE1123" i="1"/>
  <c r="AF1123" i="1"/>
  <c r="AG1123" i="1"/>
  <c r="AH1123" i="1"/>
  <c r="AQ1123" i="1"/>
  <c r="L1123" i="1" s="1"/>
  <c r="I1124" i="1"/>
  <c r="E1124" i="1" s="1"/>
  <c r="D1124" i="1" s="1"/>
  <c r="M1124" i="1"/>
  <c r="O1124" i="1"/>
  <c r="AA1124" i="1"/>
  <c r="AD1124" i="1"/>
  <c r="AE1124" i="1"/>
  <c r="AF1124" i="1"/>
  <c r="AG1124" i="1"/>
  <c r="AH1124" i="1"/>
  <c r="AQ1124" i="1"/>
  <c r="L1124" i="1" s="1"/>
  <c r="I1125" i="1"/>
  <c r="E1125" i="1" s="1"/>
  <c r="D1125" i="1" s="1"/>
  <c r="M1125" i="1"/>
  <c r="O1125" i="1"/>
  <c r="AA1125" i="1"/>
  <c r="AD1125" i="1"/>
  <c r="AE1125" i="1"/>
  <c r="AF1125" i="1"/>
  <c r="AG1125" i="1"/>
  <c r="AH1125" i="1"/>
  <c r="AQ1125" i="1"/>
  <c r="L1125" i="1" s="1"/>
  <c r="I1126" i="1"/>
  <c r="E1126" i="1" s="1"/>
  <c r="D1126" i="1" s="1"/>
  <c r="M1126" i="1"/>
  <c r="O1126" i="1"/>
  <c r="AA1126" i="1"/>
  <c r="AD1126" i="1"/>
  <c r="AE1126" i="1"/>
  <c r="AF1126" i="1"/>
  <c r="AG1126" i="1"/>
  <c r="AH1126" i="1"/>
  <c r="AQ1126" i="1"/>
  <c r="L1126" i="1" s="1"/>
  <c r="I1127" i="1"/>
  <c r="E1127" i="1" s="1"/>
  <c r="D1127" i="1" s="1"/>
  <c r="M1127" i="1"/>
  <c r="O1127" i="1"/>
  <c r="AA1127" i="1"/>
  <c r="AD1127" i="1"/>
  <c r="AE1127" i="1"/>
  <c r="AF1127" i="1"/>
  <c r="AG1127" i="1"/>
  <c r="AH1127" i="1"/>
  <c r="AQ1127" i="1"/>
  <c r="L1127" i="1" s="1"/>
  <c r="I1128" i="1"/>
  <c r="E1128" i="1" s="1"/>
  <c r="D1128" i="1" s="1"/>
  <c r="M1128" i="1"/>
  <c r="O1128" i="1"/>
  <c r="AA1128" i="1"/>
  <c r="AD1128" i="1"/>
  <c r="AE1128" i="1"/>
  <c r="AF1128" i="1"/>
  <c r="AG1128" i="1"/>
  <c r="AH1128" i="1"/>
  <c r="AQ1128" i="1"/>
  <c r="L1128" i="1" s="1"/>
  <c r="I1129" i="1"/>
  <c r="E1129" i="1" s="1"/>
  <c r="D1129" i="1" s="1"/>
  <c r="M1129" i="1"/>
  <c r="O1129" i="1"/>
  <c r="AA1129" i="1"/>
  <c r="AD1129" i="1"/>
  <c r="AE1129" i="1"/>
  <c r="AF1129" i="1"/>
  <c r="AG1129" i="1"/>
  <c r="AH1129" i="1"/>
  <c r="AQ1129" i="1"/>
  <c r="L1129" i="1" s="1"/>
  <c r="I1130" i="1"/>
  <c r="E1130" i="1" s="1"/>
  <c r="D1130" i="1" s="1"/>
  <c r="M1130" i="1"/>
  <c r="O1130" i="1"/>
  <c r="AA1130" i="1"/>
  <c r="AD1130" i="1"/>
  <c r="AE1130" i="1"/>
  <c r="AF1130" i="1"/>
  <c r="AG1130" i="1"/>
  <c r="AH1130" i="1"/>
  <c r="AQ1130" i="1"/>
  <c r="L1130" i="1" s="1"/>
  <c r="I1131" i="1"/>
  <c r="E1131" i="1" s="1"/>
  <c r="D1131" i="1" s="1"/>
  <c r="M1131" i="1"/>
  <c r="O1131" i="1"/>
  <c r="AA1131" i="1"/>
  <c r="AD1131" i="1"/>
  <c r="AE1131" i="1"/>
  <c r="AF1131" i="1"/>
  <c r="AG1131" i="1"/>
  <c r="AH1131" i="1"/>
  <c r="AQ1131" i="1"/>
  <c r="L1131" i="1" s="1"/>
  <c r="I1132" i="1"/>
  <c r="E1132" i="1" s="1"/>
  <c r="D1132" i="1" s="1"/>
  <c r="M1132" i="1"/>
  <c r="O1132" i="1"/>
  <c r="AA1132" i="1"/>
  <c r="AD1132" i="1"/>
  <c r="AE1132" i="1"/>
  <c r="AF1132" i="1"/>
  <c r="AG1132" i="1"/>
  <c r="AH1132" i="1"/>
  <c r="AQ1132" i="1"/>
  <c r="L1132" i="1" s="1"/>
  <c r="I1133" i="1"/>
  <c r="E1133" i="1" s="1"/>
  <c r="D1133" i="1" s="1"/>
  <c r="M1133" i="1"/>
  <c r="O1133" i="1"/>
  <c r="AA1133" i="1"/>
  <c r="AD1133" i="1"/>
  <c r="AE1133" i="1"/>
  <c r="AF1133" i="1"/>
  <c r="AG1133" i="1"/>
  <c r="AH1133" i="1"/>
  <c r="AQ1133" i="1"/>
  <c r="L1133" i="1" s="1"/>
  <c r="I1134" i="1"/>
  <c r="E1134" i="1" s="1"/>
  <c r="D1134" i="1" s="1"/>
  <c r="M1134" i="1"/>
  <c r="O1134" i="1"/>
  <c r="AA1134" i="1"/>
  <c r="AD1134" i="1"/>
  <c r="AE1134" i="1"/>
  <c r="AF1134" i="1"/>
  <c r="AG1134" i="1"/>
  <c r="AH1134" i="1"/>
  <c r="AQ1134" i="1"/>
  <c r="L1134" i="1" s="1"/>
  <c r="I1135" i="1"/>
  <c r="E1135" i="1" s="1"/>
  <c r="D1135" i="1" s="1"/>
  <c r="M1135" i="1"/>
  <c r="O1135" i="1"/>
  <c r="AA1135" i="1"/>
  <c r="AD1135" i="1"/>
  <c r="AE1135" i="1"/>
  <c r="AF1135" i="1"/>
  <c r="AG1135" i="1"/>
  <c r="AH1135" i="1"/>
  <c r="AQ1135" i="1"/>
  <c r="L1135" i="1" s="1"/>
  <c r="I1136" i="1"/>
  <c r="E1136" i="1" s="1"/>
  <c r="D1136" i="1" s="1"/>
  <c r="M1136" i="1"/>
  <c r="O1136" i="1"/>
  <c r="AA1136" i="1"/>
  <c r="AD1136" i="1"/>
  <c r="AE1136" i="1"/>
  <c r="AF1136" i="1"/>
  <c r="AG1136" i="1"/>
  <c r="AH1136" i="1"/>
  <c r="AQ1136" i="1"/>
  <c r="L1136" i="1" s="1"/>
  <c r="I1137" i="1"/>
  <c r="E1137" i="1" s="1"/>
  <c r="D1137" i="1" s="1"/>
  <c r="M1137" i="1"/>
  <c r="O1137" i="1"/>
  <c r="AA1137" i="1"/>
  <c r="AD1137" i="1"/>
  <c r="AE1137" i="1"/>
  <c r="AF1137" i="1"/>
  <c r="AG1137" i="1"/>
  <c r="AH1137" i="1"/>
  <c r="AQ1137" i="1"/>
  <c r="L1137" i="1" s="1"/>
  <c r="I1138" i="1"/>
  <c r="E1138" i="1" s="1"/>
  <c r="D1138" i="1" s="1"/>
  <c r="M1138" i="1"/>
  <c r="O1138" i="1"/>
  <c r="AA1138" i="1"/>
  <c r="AD1138" i="1"/>
  <c r="AE1138" i="1"/>
  <c r="AF1138" i="1"/>
  <c r="AG1138" i="1"/>
  <c r="AH1138" i="1"/>
  <c r="AQ1138" i="1"/>
  <c r="L1138" i="1" s="1"/>
  <c r="I1139" i="1"/>
  <c r="E1139" i="1" s="1"/>
  <c r="D1139" i="1" s="1"/>
  <c r="M1139" i="1"/>
  <c r="O1139" i="1"/>
  <c r="AA1139" i="1"/>
  <c r="AD1139" i="1"/>
  <c r="AE1139" i="1"/>
  <c r="AF1139" i="1"/>
  <c r="AG1139" i="1"/>
  <c r="AH1139" i="1"/>
  <c r="AQ1139" i="1"/>
  <c r="L1139" i="1" s="1"/>
  <c r="I1140" i="1"/>
  <c r="E1140" i="1" s="1"/>
  <c r="D1140" i="1" s="1"/>
  <c r="M1140" i="1"/>
  <c r="O1140" i="1"/>
  <c r="AA1140" i="1"/>
  <c r="AD1140" i="1"/>
  <c r="AE1140" i="1"/>
  <c r="AF1140" i="1"/>
  <c r="AG1140" i="1"/>
  <c r="AH1140" i="1"/>
  <c r="AQ1140" i="1"/>
  <c r="L1140" i="1" s="1"/>
  <c r="I1141" i="1"/>
  <c r="E1141" i="1" s="1"/>
  <c r="D1141" i="1" s="1"/>
  <c r="M1141" i="1"/>
  <c r="O1141" i="1"/>
  <c r="AA1141" i="1"/>
  <c r="AD1141" i="1"/>
  <c r="AE1141" i="1"/>
  <c r="AF1141" i="1"/>
  <c r="AG1141" i="1"/>
  <c r="AH1141" i="1"/>
  <c r="AQ1141" i="1"/>
  <c r="L1141" i="1" s="1"/>
  <c r="I1142" i="1"/>
  <c r="E1142" i="1" s="1"/>
  <c r="D1142" i="1" s="1"/>
  <c r="M1142" i="1"/>
  <c r="O1142" i="1"/>
  <c r="AA1142" i="1"/>
  <c r="AD1142" i="1"/>
  <c r="AE1142" i="1"/>
  <c r="AF1142" i="1"/>
  <c r="AG1142" i="1"/>
  <c r="AH1142" i="1"/>
  <c r="AQ1142" i="1"/>
  <c r="L1142" i="1" s="1"/>
  <c r="I1143" i="1"/>
  <c r="E1143" i="1" s="1"/>
  <c r="D1143" i="1" s="1"/>
  <c r="M1143" i="1"/>
  <c r="O1143" i="1"/>
  <c r="AA1143" i="1"/>
  <c r="AD1143" i="1"/>
  <c r="AE1143" i="1"/>
  <c r="AF1143" i="1"/>
  <c r="AG1143" i="1"/>
  <c r="AH1143" i="1"/>
  <c r="AQ1143" i="1"/>
  <c r="L1143" i="1" s="1"/>
  <c r="I1144" i="1"/>
  <c r="E1144" i="1" s="1"/>
  <c r="D1144" i="1" s="1"/>
  <c r="M1144" i="1"/>
  <c r="O1144" i="1"/>
  <c r="AA1144" i="1"/>
  <c r="AD1144" i="1"/>
  <c r="AE1144" i="1"/>
  <c r="AF1144" i="1"/>
  <c r="AG1144" i="1"/>
  <c r="AH1144" i="1"/>
  <c r="AQ1144" i="1"/>
  <c r="L1144" i="1" s="1"/>
  <c r="I1145" i="1"/>
  <c r="E1145" i="1" s="1"/>
  <c r="D1145" i="1" s="1"/>
  <c r="M1145" i="1"/>
  <c r="O1145" i="1"/>
  <c r="AA1145" i="1"/>
  <c r="AD1145" i="1"/>
  <c r="AE1145" i="1"/>
  <c r="AF1145" i="1"/>
  <c r="AG1145" i="1"/>
  <c r="AH1145" i="1"/>
  <c r="AQ1145" i="1"/>
  <c r="L1145" i="1" s="1"/>
  <c r="I1146" i="1"/>
  <c r="E1146" i="1" s="1"/>
  <c r="D1146" i="1" s="1"/>
  <c r="M1146" i="1"/>
  <c r="O1146" i="1"/>
  <c r="AA1146" i="1"/>
  <c r="AD1146" i="1"/>
  <c r="AE1146" i="1"/>
  <c r="AF1146" i="1"/>
  <c r="AG1146" i="1"/>
  <c r="AH1146" i="1"/>
  <c r="AQ1146" i="1"/>
  <c r="L1146" i="1" s="1"/>
  <c r="I1147" i="1"/>
  <c r="E1147" i="1" s="1"/>
  <c r="D1147" i="1" s="1"/>
  <c r="M1147" i="1"/>
  <c r="O1147" i="1"/>
  <c r="AA1147" i="1"/>
  <c r="AD1147" i="1"/>
  <c r="AE1147" i="1"/>
  <c r="AF1147" i="1"/>
  <c r="AG1147" i="1"/>
  <c r="AH1147" i="1"/>
  <c r="AQ1147" i="1"/>
  <c r="L1147" i="1" s="1"/>
  <c r="I1148" i="1"/>
  <c r="E1148" i="1" s="1"/>
  <c r="D1148" i="1" s="1"/>
  <c r="M1148" i="1"/>
  <c r="O1148" i="1"/>
  <c r="AA1148" i="1"/>
  <c r="AD1148" i="1"/>
  <c r="AE1148" i="1"/>
  <c r="AF1148" i="1"/>
  <c r="AG1148" i="1"/>
  <c r="AH1148" i="1"/>
  <c r="AQ1148" i="1"/>
  <c r="L1148" i="1" s="1"/>
  <c r="I1149" i="1"/>
  <c r="E1149" i="1" s="1"/>
  <c r="D1149" i="1" s="1"/>
  <c r="M1149" i="1"/>
  <c r="O1149" i="1"/>
  <c r="AA1149" i="1"/>
  <c r="AD1149" i="1"/>
  <c r="AE1149" i="1"/>
  <c r="AF1149" i="1"/>
  <c r="AG1149" i="1"/>
  <c r="AH1149" i="1"/>
  <c r="AQ1149" i="1"/>
  <c r="L1149" i="1" s="1"/>
  <c r="I1150" i="1"/>
  <c r="E1150" i="1" s="1"/>
  <c r="D1150" i="1" s="1"/>
  <c r="M1150" i="1"/>
  <c r="O1150" i="1"/>
  <c r="AA1150" i="1"/>
  <c r="AD1150" i="1"/>
  <c r="AE1150" i="1"/>
  <c r="AF1150" i="1"/>
  <c r="AG1150" i="1"/>
  <c r="AH1150" i="1"/>
  <c r="AQ1150" i="1"/>
  <c r="L1150" i="1" s="1"/>
  <c r="I1151" i="1"/>
  <c r="E1151" i="1" s="1"/>
  <c r="D1151" i="1" s="1"/>
  <c r="M1151" i="1"/>
  <c r="O1151" i="1"/>
  <c r="AA1151" i="1"/>
  <c r="AD1151" i="1"/>
  <c r="AE1151" i="1"/>
  <c r="AF1151" i="1"/>
  <c r="AG1151" i="1"/>
  <c r="AH1151" i="1"/>
  <c r="AQ1151" i="1"/>
  <c r="L1151" i="1" s="1"/>
  <c r="I1152" i="1"/>
  <c r="E1152" i="1" s="1"/>
  <c r="D1152" i="1" s="1"/>
  <c r="M1152" i="1"/>
  <c r="O1152" i="1"/>
  <c r="AA1152" i="1"/>
  <c r="AD1152" i="1"/>
  <c r="AE1152" i="1"/>
  <c r="AF1152" i="1"/>
  <c r="AG1152" i="1"/>
  <c r="AH1152" i="1"/>
  <c r="AQ1152" i="1"/>
  <c r="L1152" i="1" s="1"/>
  <c r="I1153" i="1"/>
  <c r="E1153" i="1" s="1"/>
  <c r="D1153" i="1" s="1"/>
  <c r="M1153" i="1"/>
  <c r="O1153" i="1"/>
  <c r="AA1153" i="1"/>
  <c r="AD1153" i="1"/>
  <c r="AE1153" i="1"/>
  <c r="AF1153" i="1"/>
  <c r="AG1153" i="1"/>
  <c r="AH1153" i="1"/>
  <c r="AQ1153" i="1"/>
  <c r="L1153" i="1" s="1"/>
  <c r="I1154" i="1"/>
  <c r="E1154" i="1" s="1"/>
  <c r="D1154" i="1" s="1"/>
  <c r="M1154" i="1"/>
  <c r="O1154" i="1"/>
  <c r="AA1154" i="1"/>
  <c r="AD1154" i="1"/>
  <c r="AE1154" i="1"/>
  <c r="AF1154" i="1"/>
  <c r="AG1154" i="1"/>
  <c r="AH1154" i="1"/>
  <c r="AQ1154" i="1"/>
  <c r="L1154" i="1" s="1"/>
  <c r="I1155" i="1"/>
  <c r="E1155" i="1" s="1"/>
  <c r="D1155" i="1" s="1"/>
  <c r="M1155" i="1"/>
  <c r="O1155" i="1"/>
  <c r="AA1155" i="1"/>
  <c r="AD1155" i="1"/>
  <c r="AE1155" i="1"/>
  <c r="AF1155" i="1"/>
  <c r="AG1155" i="1"/>
  <c r="AH1155" i="1"/>
  <c r="AQ1155" i="1"/>
  <c r="L1155" i="1" s="1"/>
  <c r="I1156" i="1"/>
  <c r="E1156" i="1" s="1"/>
  <c r="D1156" i="1" s="1"/>
  <c r="M1156" i="1"/>
  <c r="O1156" i="1"/>
  <c r="AA1156" i="1"/>
  <c r="AD1156" i="1"/>
  <c r="AE1156" i="1"/>
  <c r="AF1156" i="1"/>
  <c r="AG1156" i="1"/>
  <c r="AH1156" i="1"/>
  <c r="AQ1156" i="1"/>
  <c r="L1156" i="1" s="1"/>
  <c r="I1157" i="1"/>
  <c r="E1157" i="1" s="1"/>
  <c r="D1157" i="1" s="1"/>
  <c r="M1157" i="1"/>
  <c r="O1157" i="1"/>
  <c r="AA1157" i="1"/>
  <c r="AD1157" i="1"/>
  <c r="AE1157" i="1"/>
  <c r="AF1157" i="1"/>
  <c r="AG1157" i="1"/>
  <c r="AH1157" i="1"/>
  <c r="AQ1157" i="1"/>
  <c r="L1157" i="1" s="1"/>
  <c r="I1158" i="1"/>
  <c r="E1158" i="1" s="1"/>
  <c r="D1158" i="1" s="1"/>
  <c r="M1158" i="1"/>
  <c r="O1158" i="1"/>
  <c r="AA1158" i="1"/>
  <c r="AD1158" i="1"/>
  <c r="AE1158" i="1"/>
  <c r="AF1158" i="1"/>
  <c r="AG1158" i="1"/>
  <c r="AH1158" i="1"/>
  <c r="AQ1158" i="1"/>
  <c r="L1158" i="1" s="1"/>
  <c r="I1159" i="1"/>
  <c r="E1159" i="1" s="1"/>
  <c r="D1159" i="1" s="1"/>
  <c r="M1159" i="1"/>
  <c r="O1159" i="1"/>
  <c r="AA1159" i="1"/>
  <c r="AD1159" i="1"/>
  <c r="AE1159" i="1"/>
  <c r="AF1159" i="1"/>
  <c r="AG1159" i="1"/>
  <c r="AH1159" i="1"/>
  <c r="AQ1159" i="1"/>
  <c r="L1159" i="1" s="1"/>
  <c r="I1160" i="1"/>
  <c r="E1160" i="1" s="1"/>
  <c r="D1160" i="1" s="1"/>
  <c r="M1160" i="1"/>
  <c r="O1160" i="1"/>
  <c r="AA1160" i="1"/>
  <c r="AD1160" i="1"/>
  <c r="AE1160" i="1"/>
  <c r="AF1160" i="1"/>
  <c r="AG1160" i="1"/>
  <c r="AH1160" i="1"/>
  <c r="AQ1160" i="1"/>
  <c r="L1160" i="1" s="1"/>
  <c r="I1161" i="1"/>
  <c r="E1161" i="1" s="1"/>
  <c r="D1161" i="1" s="1"/>
  <c r="M1161" i="1"/>
  <c r="O1161" i="1"/>
  <c r="AA1161" i="1"/>
  <c r="AD1161" i="1"/>
  <c r="AE1161" i="1"/>
  <c r="AF1161" i="1"/>
  <c r="AG1161" i="1"/>
  <c r="AH1161" i="1"/>
  <c r="AQ1161" i="1"/>
  <c r="L1161" i="1" s="1"/>
  <c r="I1162" i="1"/>
  <c r="E1162" i="1" s="1"/>
  <c r="D1162" i="1" s="1"/>
  <c r="M1162" i="1"/>
  <c r="O1162" i="1"/>
  <c r="AA1162" i="1"/>
  <c r="AD1162" i="1"/>
  <c r="AE1162" i="1"/>
  <c r="AF1162" i="1"/>
  <c r="AG1162" i="1"/>
  <c r="AH1162" i="1"/>
  <c r="AQ1162" i="1"/>
  <c r="L1162" i="1" s="1"/>
  <c r="I1163" i="1"/>
  <c r="E1163" i="1" s="1"/>
  <c r="D1163" i="1" s="1"/>
  <c r="M1163" i="1"/>
  <c r="O1163" i="1"/>
  <c r="AA1163" i="1"/>
  <c r="AD1163" i="1"/>
  <c r="AE1163" i="1"/>
  <c r="AF1163" i="1"/>
  <c r="AG1163" i="1"/>
  <c r="AH1163" i="1"/>
  <c r="AQ1163" i="1"/>
  <c r="L1163" i="1" s="1"/>
  <c r="I1164" i="1"/>
  <c r="E1164" i="1" s="1"/>
  <c r="D1164" i="1" s="1"/>
  <c r="M1164" i="1"/>
  <c r="O1164" i="1"/>
  <c r="AA1164" i="1"/>
  <c r="AD1164" i="1"/>
  <c r="AE1164" i="1"/>
  <c r="AF1164" i="1"/>
  <c r="AG1164" i="1"/>
  <c r="AH1164" i="1"/>
  <c r="AQ1164" i="1"/>
  <c r="L1164" i="1" s="1"/>
  <c r="I1165" i="1"/>
  <c r="E1165" i="1" s="1"/>
  <c r="D1165" i="1" s="1"/>
  <c r="M1165" i="1"/>
  <c r="O1165" i="1"/>
  <c r="AA1165" i="1"/>
  <c r="AD1165" i="1"/>
  <c r="AE1165" i="1"/>
  <c r="AF1165" i="1"/>
  <c r="AG1165" i="1"/>
  <c r="AH1165" i="1"/>
  <c r="AQ1165" i="1"/>
  <c r="L1165" i="1" s="1"/>
  <c r="I1166" i="1"/>
  <c r="E1166" i="1" s="1"/>
  <c r="D1166" i="1" s="1"/>
  <c r="M1166" i="1"/>
  <c r="O1166" i="1"/>
  <c r="AA1166" i="1"/>
  <c r="AD1166" i="1"/>
  <c r="AE1166" i="1"/>
  <c r="AF1166" i="1"/>
  <c r="AG1166" i="1"/>
  <c r="AH1166" i="1"/>
  <c r="AQ1166" i="1"/>
  <c r="L1166" i="1" s="1"/>
  <c r="I1167" i="1"/>
  <c r="E1167" i="1" s="1"/>
  <c r="D1167" i="1" s="1"/>
  <c r="M1167" i="1"/>
  <c r="O1167" i="1"/>
  <c r="AA1167" i="1"/>
  <c r="AD1167" i="1"/>
  <c r="AE1167" i="1"/>
  <c r="AF1167" i="1"/>
  <c r="AG1167" i="1"/>
  <c r="AH1167" i="1"/>
  <c r="AQ1167" i="1"/>
  <c r="L1167" i="1" s="1"/>
  <c r="I1168" i="1"/>
  <c r="E1168" i="1" s="1"/>
  <c r="D1168" i="1" s="1"/>
  <c r="M1168" i="1"/>
  <c r="O1168" i="1"/>
  <c r="AA1168" i="1"/>
  <c r="AD1168" i="1"/>
  <c r="AE1168" i="1"/>
  <c r="AF1168" i="1"/>
  <c r="AG1168" i="1"/>
  <c r="AH1168" i="1"/>
  <c r="AQ1168" i="1"/>
  <c r="L1168" i="1" s="1"/>
  <c r="I1169" i="1"/>
  <c r="E1169" i="1" s="1"/>
  <c r="D1169" i="1" s="1"/>
  <c r="M1169" i="1"/>
  <c r="O1169" i="1"/>
  <c r="AA1169" i="1"/>
  <c r="AD1169" i="1"/>
  <c r="AE1169" i="1"/>
  <c r="AF1169" i="1"/>
  <c r="AG1169" i="1"/>
  <c r="AH1169" i="1"/>
  <c r="AQ1169" i="1"/>
  <c r="L1169" i="1" s="1"/>
  <c r="I1170" i="1"/>
  <c r="E1170" i="1" s="1"/>
  <c r="D1170" i="1" s="1"/>
  <c r="M1170" i="1"/>
  <c r="O1170" i="1"/>
  <c r="AA1170" i="1"/>
  <c r="AD1170" i="1"/>
  <c r="AE1170" i="1"/>
  <c r="AF1170" i="1"/>
  <c r="AG1170" i="1"/>
  <c r="AH1170" i="1"/>
  <c r="AQ1170" i="1"/>
  <c r="L1170" i="1" s="1"/>
  <c r="I1171" i="1"/>
  <c r="E1171" i="1" s="1"/>
  <c r="D1171" i="1" s="1"/>
  <c r="M1171" i="1"/>
  <c r="O1171" i="1"/>
  <c r="AA1171" i="1"/>
  <c r="AD1171" i="1"/>
  <c r="AE1171" i="1"/>
  <c r="AF1171" i="1"/>
  <c r="AG1171" i="1"/>
  <c r="AH1171" i="1"/>
  <c r="AQ1171" i="1"/>
  <c r="L1171" i="1" s="1"/>
  <c r="I1172" i="1"/>
  <c r="E1172" i="1" s="1"/>
  <c r="D1172" i="1" s="1"/>
  <c r="M1172" i="1"/>
  <c r="O1172" i="1"/>
  <c r="AA1172" i="1"/>
  <c r="AD1172" i="1"/>
  <c r="AE1172" i="1"/>
  <c r="AF1172" i="1"/>
  <c r="AG1172" i="1"/>
  <c r="AH1172" i="1"/>
  <c r="AQ1172" i="1"/>
  <c r="L1172" i="1" s="1"/>
  <c r="I1173" i="1"/>
  <c r="E1173" i="1" s="1"/>
  <c r="D1173" i="1" s="1"/>
  <c r="M1173" i="1"/>
  <c r="O1173" i="1"/>
  <c r="AA1173" i="1"/>
  <c r="AD1173" i="1"/>
  <c r="AE1173" i="1"/>
  <c r="AF1173" i="1"/>
  <c r="AG1173" i="1"/>
  <c r="AH1173" i="1"/>
  <c r="AQ1173" i="1"/>
  <c r="L1173" i="1" s="1"/>
  <c r="I1174" i="1"/>
  <c r="E1174" i="1" s="1"/>
  <c r="D1174" i="1" s="1"/>
  <c r="M1174" i="1"/>
  <c r="O1174" i="1"/>
  <c r="AA1174" i="1"/>
  <c r="AD1174" i="1"/>
  <c r="AE1174" i="1"/>
  <c r="AF1174" i="1"/>
  <c r="AG1174" i="1"/>
  <c r="AH1174" i="1"/>
  <c r="AQ1174" i="1"/>
  <c r="L1174" i="1" s="1"/>
  <c r="I1175" i="1"/>
  <c r="E1175" i="1" s="1"/>
  <c r="D1175" i="1" s="1"/>
  <c r="M1175" i="1"/>
  <c r="O1175" i="1"/>
  <c r="AA1175" i="1"/>
  <c r="AD1175" i="1"/>
  <c r="AE1175" i="1"/>
  <c r="AF1175" i="1"/>
  <c r="AG1175" i="1"/>
  <c r="AH1175" i="1"/>
  <c r="AQ1175" i="1"/>
  <c r="L1175" i="1" s="1"/>
  <c r="I1176" i="1"/>
  <c r="E1176" i="1" s="1"/>
  <c r="D1176" i="1" s="1"/>
  <c r="M1176" i="1"/>
  <c r="O1176" i="1"/>
  <c r="AA1176" i="1"/>
  <c r="AD1176" i="1"/>
  <c r="AE1176" i="1"/>
  <c r="AF1176" i="1"/>
  <c r="AG1176" i="1"/>
  <c r="AH1176" i="1"/>
  <c r="AQ1176" i="1"/>
  <c r="L1176" i="1" s="1"/>
  <c r="I1177" i="1"/>
  <c r="E1177" i="1" s="1"/>
  <c r="D1177" i="1" s="1"/>
  <c r="M1177" i="1"/>
  <c r="O1177" i="1"/>
  <c r="AA1177" i="1"/>
  <c r="AD1177" i="1"/>
  <c r="AE1177" i="1"/>
  <c r="AF1177" i="1"/>
  <c r="AG1177" i="1"/>
  <c r="AH1177" i="1"/>
  <c r="AQ1177" i="1"/>
  <c r="L1177" i="1" s="1"/>
  <c r="I1178" i="1"/>
  <c r="E1178" i="1" s="1"/>
  <c r="D1178" i="1" s="1"/>
  <c r="M1178" i="1"/>
  <c r="O1178" i="1"/>
  <c r="AA1178" i="1"/>
  <c r="AD1178" i="1"/>
  <c r="AE1178" i="1"/>
  <c r="AF1178" i="1"/>
  <c r="AG1178" i="1"/>
  <c r="AH1178" i="1"/>
  <c r="AQ1178" i="1"/>
  <c r="L1178" i="1" s="1"/>
  <c r="I1179" i="1"/>
  <c r="E1179" i="1" s="1"/>
  <c r="D1179" i="1" s="1"/>
  <c r="M1179" i="1"/>
  <c r="O1179" i="1"/>
  <c r="AA1179" i="1"/>
  <c r="AD1179" i="1"/>
  <c r="AE1179" i="1"/>
  <c r="AF1179" i="1"/>
  <c r="AG1179" i="1"/>
  <c r="AH1179" i="1"/>
  <c r="AQ1179" i="1"/>
  <c r="L1179" i="1" s="1"/>
  <c r="I1180" i="1"/>
  <c r="E1180" i="1" s="1"/>
  <c r="D1180" i="1" s="1"/>
  <c r="M1180" i="1"/>
  <c r="O1180" i="1"/>
  <c r="AA1180" i="1"/>
  <c r="AD1180" i="1"/>
  <c r="AE1180" i="1"/>
  <c r="AF1180" i="1"/>
  <c r="AG1180" i="1"/>
  <c r="AH1180" i="1"/>
  <c r="AQ1180" i="1"/>
  <c r="L1180" i="1" s="1"/>
  <c r="I1181" i="1"/>
  <c r="E1181" i="1" s="1"/>
  <c r="D1181" i="1" s="1"/>
  <c r="M1181" i="1"/>
  <c r="O1181" i="1"/>
  <c r="AA1181" i="1"/>
  <c r="AD1181" i="1"/>
  <c r="AE1181" i="1"/>
  <c r="AF1181" i="1"/>
  <c r="AG1181" i="1"/>
  <c r="AH1181" i="1"/>
  <c r="AQ1181" i="1"/>
  <c r="L1181" i="1" s="1"/>
  <c r="I1182" i="1"/>
  <c r="E1182" i="1" s="1"/>
  <c r="D1182" i="1" s="1"/>
  <c r="M1182" i="1"/>
  <c r="O1182" i="1"/>
  <c r="AA1182" i="1"/>
  <c r="AD1182" i="1"/>
  <c r="AE1182" i="1"/>
  <c r="AF1182" i="1"/>
  <c r="AG1182" i="1"/>
  <c r="AH1182" i="1"/>
  <c r="AQ1182" i="1"/>
  <c r="L1182" i="1" s="1"/>
  <c r="I1183" i="1"/>
  <c r="E1183" i="1" s="1"/>
  <c r="D1183" i="1" s="1"/>
  <c r="M1183" i="1"/>
  <c r="O1183" i="1"/>
  <c r="AA1183" i="1"/>
  <c r="AD1183" i="1"/>
  <c r="AE1183" i="1"/>
  <c r="AF1183" i="1"/>
  <c r="AG1183" i="1"/>
  <c r="AH1183" i="1"/>
  <c r="AQ1183" i="1"/>
  <c r="L1183" i="1" s="1"/>
  <c r="I1184" i="1"/>
  <c r="E1184" i="1" s="1"/>
  <c r="D1184" i="1" s="1"/>
  <c r="M1184" i="1"/>
  <c r="O1184" i="1"/>
  <c r="AA1184" i="1"/>
  <c r="AD1184" i="1"/>
  <c r="AE1184" i="1"/>
  <c r="AF1184" i="1"/>
  <c r="AG1184" i="1"/>
  <c r="AH1184" i="1"/>
  <c r="AQ1184" i="1"/>
  <c r="L1184" i="1" s="1"/>
  <c r="I1185" i="1"/>
  <c r="E1185" i="1" s="1"/>
  <c r="D1185" i="1" s="1"/>
  <c r="M1185" i="1"/>
  <c r="O1185" i="1"/>
  <c r="AA1185" i="1"/>
  <c r="AD1185" i="1"/>
  <c r="AE1185" i="1"/>
  <c r="AF1185" i="1"/>
  <c r="AG1185" i="1"/>
  <c r="AH1185" i="1"/>
  <c r="AQ1185" i="1"/>
  <c r="L1185" i="1" s="1"/>
  <c r="I1186" i="1"/>
  <c r="E1186" i="1" s="1"/>
  <c r="D1186" i="1" s="1"/>
  <c r="M1186" i="1"/>
  <c r="O1186" i="1"/>
  <c r="AA1186" i="1"/>
  <c r="AD1186" i="1"/>
  <c r="AE1186" i="1"/>
  <c r="AF1186" i="1"/>
  <c r="AG1186" i="1"/>
  <c r="AH1186" i="1"/>
  <c r="AQ1186" i="1"/>
  <c r="L1186" i="1" s="1"/>
  <c r="I1187" i="1"/>
  <c r="E1187" i="1" s="1"/>
  <c r="D1187" i="1" s="1"/>
  <c r="M1187" i="1"/>
  <c r="O1187" i="1"/>
  <c r="AA1187" i="1"/>
  <c r="AD1187" i="1"/>
  <c r="AE1187" i="1"/>
  <c r="AF1187" i="1"/>
  <c r="AG1187" i="1"/>
  <c r="AH1187" i="1"/>
  <c r="AQ1187" i="1"/>
  <c r="L1187" i="1" s="1"/>
  <c r="I1188" i="1"/>
  <c r="E1188" i="1" s="1"/>
  <c r="D1188" i="1" s="1"/>
  <c r="M1188" i="1"/>
  <c r="O1188" i="1"/>
  <c r="AA1188" i="1"/>
  <c r="AD1188" i="1"/>
  <c r="AE1188" i="1"/>
  <c r="AF1188" i="1"/>
  <c r="AG1188" i="1"/>
  <c r="AH1188" i="1"/>
  <c r="AQ1188" i="1"/>
  <c r="L1188" i="1" s="1"/>
  <c r="I1189" i="1"/>
  <c r="E1189" i="1" s="1"/>
  <c r="D1189" i="1" s="1"/>
  <c r="M1189" i="1"/>
  <c r="O1189" i="1"/>
  <c r="AA1189" i="1"/>
  <c r="AD1189" i="1"/>
  <c r="AE1189" i="1"/>
  <c r="AF1189" i="1"/>
  <c r="AG1189" i="1"/>
  <c r="AH1189" i="1"/>
  <c r="AQ1189" i="1"/>
  <c r="L1189" i="1" s="1"/>
  <c r="I1190" i="1"/>
  <c r="E1190" i="1" s="1"/>
  <c r="D1190" i="1" s="1"/>
  <c r="M1190" i="1"/>
  <c r="O1190" i="1"/>
  <c r="AA1190" i="1"/>
  <c r="AD1190" i="1"/>
  <c r="AE1190" i="1"/>
  <c r="AF1190" i="1"/>
  <c r="AG1190" i="1"/>
  <c r="AH1190" i="1"/>
  <c r="AQ1190" i="1"/>
  <c r="L1190" i="1" s="1"/>
  <c r="I1191" i="1"/>
  <c r="E1191" i="1" s="1"/>
  <c r="D1191" i="1" s="1"/>
  <c r="M1191" i="1"/>
  <c r="O1191" i="1"/>
  <c r="AA1191" i="1"/>
  <c r="AD1191" i="1"/>
  <c r="AE1191" i="1"/>
  <c r="AF1191" i="1"/>
  <c r="AG1191" i="1"/>
  <c r="AH1191" i="1"/>
  <c r="AQ1191" i="1"/>
  <c r="L1191" i="1" s="1"/>
  <c r="I1192" i="1"/>
  <c r="E1192" i="1" s="1"/>
  <c r="D1192" i="1" s="1"/>
  <c r="M1192" i="1"/>
  <c r="O1192" i="1"/>
  <c r="AA1192" i="1"/>
  <c r="AD1192" i="1"/>
  <c r="AE1192" i="1"/>
  <c r="AF1192" i="1"/>
  <c r="AG1192" i="1"/>
  <c r="AH1192" i="1"/>
  <c r="AQ1192" i="1"/>
  <c r="L1192" i="1" s="1"/>
  <c r="I1193" i="1"/>
  <c r="E1193" i="1" s="1"/>
  <c r="D1193" i="1" s="1"/>
  <c r="M1193" i="1"/>
  <c r="O1193" i="1"/>
  <c r="AA1193" i="1"/>
  <c r="AD1193" i="1"/>
  <c r="AE1193" i="1"/>
  <c r="AF1193" i="1"/>
  <c r="AG1193" i="1"/>
  <c r="AH1193" i="1"/>
  <c r="AQ1193" i="1"/>
  <c r="L1193" i="1" s="1"/>
  <c r="I1194" i="1"/>
  <c r="E1194" i="1" s="1"/>
  <c r="D1194" i="1" s="1"/>
  <c r="M1194" i="1"/>
  <c r="O1194" i="1"/>
  <c r="AA1194" i="1"/>
  <c r="AD1194" i="1"/>
  <c r="AE1194" i="1"/>
  <c r="AF1194" i="1"/>
  <c r="AG1194" i="1"/>
  <c r="AH1194" i="1"/>
  <c r="AQ1194" i="1"/>
  <c r="L1194" i="1" s="1"/>
  <c r="I1195" i="1"/>
  <c r="E1195" i="1" s="1"/>
  <c r="D1195" i="1" s="1"/>
  <c r="M1195" i="1"/>
  <c r="O1195" i="1"/>
  <c r="AA1195" i="1"/>
  <c r="AD1195" i="1"/>
  <c r="AE1195" i="1"/>
  <c r="AF1195" i="1"/>
  <c r="AG1195" i="1"/>
  <c r="AH1195" i="1"/>
  <c r="AQ1195" i="1"/>
  <c r="L1195" i="1" s="1"/>
  <c r="I1196" i="1"/>
  <c r="E1196" i="1" s="1"/>
  <c r="D1196" i="1" s="1"/>
  <c r="M1196" i="1"/>
  <c r="O1196" i="1"/>
  <c r="AA1196" i="1"/>
  <c r="AD1196" i="1"/>
  <c r="AE1196" i="1"/>
  <c r="AF1196" i="1"/>
  <c r="AG1196" i="1"/>
  <c r="AH1196" i="1"/>
  <c r="AQ1196" i="1"/>
  <c r="L1196" i="1" s="1"/>
  <c r="I1197" i="1"/>
  <c r="E1197" i="1" s="1"/>
  <c r="D1197" i="1" s="1"/>
  <c r="M1197" i="1"/>
  <c r="O1197" i="1"/>
  <c r="AA1197" i="1"/>
  <c r="AD1197" i="1"/>
  <c r="AE1197" i="1"/>
  <c r="AF1197" i="1"/>
  <c r="AG1197" i="1"/>
  <c r="AH1197" i="1"/>
  <c r="AQ1197" i="1"/>
  <c r="L1197" i="1" s="1"/>
  <c r="I1198" i="1"/>
  <c r="E1198" i="1" s="1"/>
  <c r="D1198" i="1" s="1"/>
  <c r="M1198" i="1"/>
  <c r="O1198" i="1"/>
  <c r="AA1198" i="1"/>
  <c r="AD1198" i="1"/>
  <c r="AE1198" i="1"/>
  <c r="AF1198" i="1"/>
  <c r="AG1198" i="1"/>
  <c r="AH1198" i="1"/>
  <c r="AQ1198" i="1"/>
  <c r="L1198" i="1" s="1"/>
  <c r="I1199" i="1"/>
  <c r="E1199" i="1" s="1"/>
  <c r="D1199" i="1" s="1"/>
  <c r="M1199" i="1"/>
  <c r="O1199" i="1"/>
  <c r="AA1199" i="1"/>
  <c r="AD1199" i="1"/>
  <c r="AE1199" i="1"/>
  <c r="AF1199" i="1"/>
  <c r="AG1199" i="1"/>
  <c r="AH1199" i="1"/>
  <c r="AQ1199" i="1"/>
  <c r="L1199" i="1" s="1"/>
  <c r="I1200" i="1"/>
  <c r="E1200" i="1" s="1"/>
  <c r="D1200" i="1" s="1"/>
  <c r="M1200" i="1"/>
  <c r="O1200" i="1"/>
  <c r="AA1200" i="1"/>
  <c r="AD1200" i="1"/>
  <c r="AE1200" i="1"/>
  <c r="AF1200" i="1"/>
  <c r="AG1200" i="1"/>
  <c r="AH1200" i="1"/>
  <c r="AQ1200" i="1"/>
  <c r="L1200" i="1" s="1"/>
  <c r="I1201" i="1"/>
  <c r="E1201" i="1" s="1"/>
  <c r="D1201" i="1" s="1"/>
  <c r="M1201" i="1"/>
  <c r="O1201" i="1"/>
  <c r="AA1201" i="1"/>
  <c r="AD1201" i="1"/>
  <c r="AE1201" i="1"/>
  <c r="AF1201" i="1"/>
  <c r="AG1201" i="1"/>
  <c r="AH1201" i="1"/>
  <c r="AQ1201" i="1"/>
  <c r="L1201" i="1" s="1"/>
  <c r="I1202" i="1"/>
  <c r="E1202" i="1" s="1"/>
  <c r="D1202" i="1" s="1"/>
  <c r="M1202" i="1"/>
  <c r="O1202" i="1"/>
  <c r="AA1202" i="1"/>
  <c r="AD1202" i="1"/>
  <c r="AE1202" i="1"/>
  <c r="AF1202" i="1"/>
  <c r="AG1202" i="1"/>
  <c r="AH1202" i="1"/>
  <c r="AQ1202" i="1"/>
  <c r="L1202" i="1" s="1"/>
  <c r="I1203" i="1"/>
  <c r="E1203" i="1" s="1"/>
  <c r="D1203" i="1" s="1"/>
  <c r="M1203" i="1"/>
  <c r="O1203" i="1"/>
  <c r="AA1203" i="1"/>
  <c r="AD1203" i="1"/>
  <c r="AE1203" i="1"/>
  <c r="AF1203" i="1"/>
  <c r="AG1203" i="1"/>
  <c r="AH1203" i="1"/>
  <c r="AQ1203" i="1"/>
  <c r="L1203" i="1" s="1"/>
  <c r="I1204" i="1"/>
  <c r="E1204" i="1" s="1"/>
  <c r="D1204" i="1" s="1"/>
  <c r="M1204" i="1"/>
  <c r="O1204" i="1"/>
  <c r="AA1204" i="1"/>
  <c r="AD1204" i="1"/>
  <c r="AE1204" i="1"/>
  <c r="AF1204" i="1"/>
  <c r="AG1204" i="1"/>
  <c r="AH1204" i="1"/>
  <c r="AQ1204" i="1"/>
  <c r="L1204" i="1" s="1"/>
  <c r="I1205" i="1"/>
  <c r="E1205" i="1" s="1"/>
  <c r="D1205" i="1" s="1"/>
  <c r="M1205" i="1"/>
  <c r="O1205" i="1"/>
  <c r="AA1205" i="1"/>
  <c r="AD1205" i="1"/>
  <c r="AE1205" i="1"/>
  <c r="AF1205" i="1"/>
  <c r="AG1205" i="1"/>
  <c r="AH1205" i="1"/>
  <c r="AQ1205" i="1"/>
  <c r="L1205" i="1" s="1"/>
  <c r="I1206" i="1"/>
  <c r="E1206" i="1" s="1"/>
  <c r="D1206" i="1" s="1"/>
  <c r="M1206" i="1"/>
  <c r="O1206" i="1"/>
  <c r="AA1206" i="1"/>
  <c r="AD1206" i="1"/>
  <c r="AE1206" i="1"/>
  <c r="AF1206" i="1"/>
  <c r="AG1206" i="1"/>
  <c r="AH1206" i="1"/>
  <c r="AQ1206" i="1"/>
  <c r="L1206" i="1" s="1"/>
  <c r="I1207" i="1"/>
  <c r="E1207" i="1" s="1"/>
  <c r="D1207" i="1" s="1"/>
  <c r="M1207" i="1"/>
  <c r="O1207" i="1"/>
  <c r="AA1207" i="1"/>
  <c r="AD1207" i="1"/>
  <c r="AE1207" i="1"/>
  <c r="AF1207" i="1"/>
  <c r="AG1207" i="1"/>
  <c r="AH1207" i="1"/>
  <c r="AQ1207" i="1"/>
  <c r="L1207" i="1" s="1"/>
  <c r="I1208" i="1"/>
  <c r="E1208" i="1" s="1"/>
  <c r="D1208" i="1" s="1"/>
  <c r="M1208" i="1"/>
  <c r="O1208" i="1"/>
  <c r="AA1208" i="1"/>
  <c r="AD1208" i="1"/>
  <c r="AE1208" i="1"/>
  <c r="AF1208" i="1"/>
  <c r="AG1208" i="1"/>
  <c r="AH1208" i="1"/>
  <c r="AQ1208" i="1"/>
  <c r="L1208" i="1" s="1"/>
  <c r="I1209" i="1"/>
  <c r="E1209" i="1" s="1"/>
  <c r="D1209" i="1" s="1"/>
  <c r="M1209" i="1"/>
  <c r="O1209" i="1"/>
  <c r="AA1209" i="1"/>
  <c r="AD1209" i="1"/>
  <c r="AE1209" i="1"/>
  <c r="AF1209" i="1"/>
  <c r="AG1209" i="1"/>
  <c r="AH1209" i="1"/>
  <c r="AQ1209" i="1"/>
  <c r="L1209" i="1" s="1"/>
  <c r="I1210" i="1"/>
  <c r="E1210" i="1" s="1"/>
  <c r="D1210" i="1" s="1"/>
  <c r="M1210" i="1"/>
  <c r="O1210" i="1"/>
  <c r="AA1210" i="1"/>
  <c r="AD1210" i="1"/>
  <c r="AE1210" i="1"/>
  <c r="AF1210" i="1"/>
  <c r="AG1210" i="1"/>
  <c r="AH1210" i="1"/>
  <c r="AQ1210" i="1"/>
  <c r="L1210" i="1" s="1"/>
  <c r="I1211" i="1"/>
  <c r="E1211" i="1" s="1"/>
  <c r="D1211" i="1" s="1"/>
  <c r="M1211" i="1"/>
  <c r="O1211" i="1"/>
  <c r="AA1211" i="1"/>
  <c r="AD1211" i="1"/>
  <c r="AE1211" i="1"/>
  <c r="AF1211" i="1"/>
  <c r="AG1211" i="1"/>
  <c r="AH1211" i="1"/>
  <c r="AQ1211" i="1"/>
  <c r="L1211" i="1" s="1"/>
  <c r="I1212" i="1"/>
  <c r="E1212" i="1" s="1"/>
  <c r="D1212" i="1" s="1"/>
  <c r="M1212" i="1"/>
  <c r="O1212" i="1"/>
  <c r="AA1212" i="1"/>
  <c r="AD1212" i="1"/>
  <c r="AE1212" i="1"/>
  <c r="AF1212" i="1"/>
  <c r="AG1212" i="1"/>
  <c r="AH1212" i="1"/>
  <c r="AQ1212" i="1"/>
  <c r="L1212" i="1" s="1"/>
  <c r="I1213" i="1"/>
  <c r="E1213" i="1" s="1"/>
  <c r="D1213" i="1" s="1"/>
  <c r="M1213" i="1"/>
  <c r="O1213" i="1"/>
  <c r="AA1213" i="1"/>
  <c r="AD1213" i="1"/>
  <c r="AE1213" i="1"/>
  <c r="AF1213" i="1"/>
  <c r="AG1213" i="1"/>
  <c r="AH1213" i="1"/>
  <c r="AQ1213" i="1"/>
  <c r="L1213" i="1" s="1"/>
  <c r="I1214" i="1"/>
  <c r="E1214" i="1" s="1"/>
  <c r="D1214" i="1" s="1"/>
  <c r="M1214" i="1"/>
  <c r="O1214" i="1"/>
  <c r="AA1214" i="1"/>
  <c r="AD1214" i="1"/>
  <c r="AE1214" i="1"/>
  <c r="AF1214" i="1"/>
  <c r="AG1214" i="1"/>
  <c r="AH1214" i="1"/>
  <c r="AQ1214" i="1"/>
  <c r="L1214" i="1" s="1"/>
  <c r="I1215" i="1"/>
  <c r="E1215" i="1" s="1"/>
  <c r="D1215" i="1" s="1"/>
  <c r="M1215" i="1"/>
  <c r="O1215" i="1"/>
  <c r="AA1215" i="1"/>
  <c r="AD1215" i="1"/>
  <c r="AE1215" i="1"/>
  <c r="AF1215" i="1"/>
  <c r="AG1215" i="1"/>
  <c r="AH1215" i="1"/>
  <c r="AQ1215" i="1"/>
  <c r="L1215" i="1" s="1"/>
  <c r="I1216" i="1"/>
  <c r="E1216" i="1" s="1"/>
  <c r="D1216" i="1" s="1"/>
  <c r="M1216" i="1"/>
  <c r="O1216" i="1"/>
  <c r="AA1216" i="1"/>
  <c r="AD1216" i="1"/>
  <c r="AE1216" i="1"/>
  <c r="AF1216" i="1"/>
  <c r="AG1216" i="1"/>
  <c r="AH1216" i="1"/>
  <c r="AQ1216" i="1"/>
  <c r="L1216" i="1" s="1"/>
  <c r="I1217" i="1"/>
  <c r="E1217" i="1" s="1"/>
  <c r="D1217" i="1" s="1"/>
  <c r="M1217" i="1"/>
  <c r="O1217" i="1"/>
  <c r="AA1217" i="1"/>
  <c r="AD1217" i="1"/>
  <c r="AE1217" i="1"/>
  <c r="AF1217" i="1"/>
  <c r="AG1217" i="1"/>
  <c r="AH1217" i="1"/>
  <c r="AQ1217" i="1"/>
  <c r="L1217" i="1" s="1"/>
  <c r="I1218" i="1"/>
  <c r="E1218" i="1" s="1"/>
  <c r="D1218" i="1" s="1"/>
  <c r="M1218" i="1"/>
  <c r="O1218" i="1"/>
  <c r="AA1218" i="1"/>
  <c r="AD1218" i="1"/>
  <c r="AE1218" i="1"/>
  <c r="AF1218" i="1"/>
  <c r="AG1218" i="1"/>
  <c r="AH1218" i="1"/>
  <c r="AQ1218" i="1"/>
  <c r="L1218" i="1" s="1"/>
  <c r="I1219" i="1"/>
  <c r="E1219" i="1" s="1"/>
  <c r="D1219" i="1" s="1"/>
  <c r="M1219" i="1"/>
  <c r="O1219" i="1"/>
  <c r="AA1219" i="1"/>
  <c r="AD1219" i="1"/>
  <c r="AE1219" i="1"/>
  <c r="AF1219" i="1"/>
  <c r="AG1219" i="1"/>
  <c r="AH1219" i="1"/>
  <c r="AQ1219" i="1"/>
  <c r="L1219" i="1" s="1"/>
  <c r="I1220" i="1"/>
  <c r="E1220" i="1" s="1"/>
  <c r="D1220" i="1" s="1"/>
  <c r="M1220" i="1"/>
  <c r="O1220" i="1"/>
  <c r="AA1220" i="1"/>
  <c r="AD1220" i="1"/>
  <c r="AE1220" i="1"/>
  <c r="AF1220" i="1"/>
  <c r="AG1220" i="1"/>
  <c r="AH1220" i="1"/>
  <c r="AQ1220" i="1"/>
  <c r="L1220" i="1" s="1"/>
  <c r="I1221" i="1"/>
  <c r="E1221" i="1" s="1"/>
  <c r="D1221" i="1" s="1"/>
  <c r="M1221" i="1"/>
  <c r="O1221" i="1"/>
  <c r="AA1221" i="1"/>
  <c r="AD1221" i="1"/>
  <c r="AE1221" i="1"/>
  <c r="AF1221" i="1"/>
  <c r="AG1221" i="1"/>
  <c r="AH1221" i="1"/>
  <c r="AQ1221" i="1"/>
  <c r="L1221" i="1" s="1"/>
  <c r="I1222" i="1"/>
  <c r="E1222" i="1" s="1"/>
  <c r="D1222" i="1" s="1"/>
  <c r="M1222" i="1"/>
  <c r="O1222" i="1"/>
  <c r="AA1222" i="1"/>
  <c r="AD1222" i="1"/>
  <c r="AE1222" i="1"/>
  <c r="AF1222" i="1"/>
  <c r="AG1222" i="1"/>
  <c r="AH1222" i="1"/>
  <c r="AQ1222" i="1"/>
  <c r="L1222" i="1" s="1"/>
  <c r="I1223" i="1"/>
  <c r="E1223" i="1" s="1"/>
  <c r="D1223" i="1" s="1"/>
  <c r="M1223" i="1"/>
  <c r="O1223" i="1"/>
  <c r="AA1223" i="1"/>
  <c r="AD1223" i="1"/>
  <c r="AE1223" i="1"/>
  <c r="AF1223" i="1"/>
  <c r="AG1223" i="1"/>
  <c r="AH1223" i="1"/>
  <c r="AQ1223" i="1"/>
  <c r="L1223" i="1" s="1"/>
  <c r="I1224" i="1"/>
  <c r="E1224" i="1" s="1"/>
  <c r="D1224" i="1" s="1"/>
  <c r="M1224" i="1"/>
  <c r="O1224" i="1"/>
  <c r="AA1224" i="1"/>
  <c r="AD1224" i="1"/>
  <c r="AE1224" i="1"/>
  <c r="AF1224" i="1"/>
  <c r="AG1224" i="1"/>
  <c r="AH1224" i="1"/>
  <c r="AQ1224" i="1"/>
  <c r="L1224" i="1" s="1"/>
  <c r="I1225" i="1"/>
  <c r="E1225" i="1" s="1"/>
  <c r="D1225" i="1" s="1"/>
  <c r="M1225" i="1"/>
  <c r="O1225" i="1"/>
  <c r="AA1225" i="1"/>
  <c r="AD1225" i="1"/>
  <c r="AE1225" i="1"/>
  <c r="AF1225" i="1"/>
  <c r="AG1225" i="1"/>
  <c r="AH1225" i="1"/>
  <c r="AQ1225" i="1"/>
  <c r="L1225" i="1" s="1"/>
  <c r="I1226" i="1"/>
  <c r="E1226" i="1" s="1"/>
  <c r="D1226" i="1" s="1"/>
  <c r="M1226" i="1"/>
  <c r="O1226" i="1"/>
  <c r="AA1226" i="1"/>
  <c r="AD1226" i="1"/>
  <c r="AE1226" i="1"/>
  <c r="AF1226" i="1"/>
  <c r="AG1226" i="1"/>
  <c r="AH1226" i="1"/>
  <c r="AQ1226" i="1"/>
  <c r="L1226" i="1" s="1"/>
  <c r="I1227" i="1"/>
  <c r="E1227" i="1" s="1"/>
  <c r="D1227" i="1" s="1"/>
  <c r="M1227" i="1"/>
  <c r="O1227" i="1"/>
  <c r="AA1227" i="1"/>
  <c r="AD1227" i="1"/>
  <c r="AE1227" i="1"/>
  <c r="AF1227" i="1"/>
  <c r="AG1227" i="1"/>
  <c r="AH1227" i="1"/>
  <c r="AQ1227" i="1"/>
  <c r="L1227" i="1" s="1"/>
  <c r="I1228" i="1"/>
  <c r="E1228" i="1" s="1"/>
  <c r="D1228" i="1" s="1"/>
  <c r="M1228" i="1"/>
  <c r="O1228" i="1"/>
  <c r="AA1228" i="1"/>
  <c r="AD1228" i="1"/>
  <c r="AE1228" i="1"/>
  <c r="AF1228" i="1"/>
  <c r="AG1228" i="1"/>
  <c r="AH1228" i="1"/>
  <c r="AQ1228" i="1"/>
  <c r="L1228" i="1" s="1"/>
  <c r="I1229" i="1"/>
  <c r="E1229" i="1" s="1"/>
  <c r="D1229" i="1" s="1"/>
  <c r="M1229" i="1"/>
  <c r="O1229" i="1"/>
  <c r="AA1229" i="1"/>
  <c r="AD1229" i="1"/>
  <c r="AE1229" i="1"/>
  <c r="AF1229" i="1"/>
  <c r="AG1229" i="1"/>
  <c r="AH1229" i="1"/>
  <c r="AQ1229" i="1"/>
  <c r="L1229" i="1" s="1"/>
  <c r="I1230" i="1"/>
  <c r="E1230" i="1" s="1"/>
  <c r="D1230" i="1" s="1"/>
  <c r="M1230" i="1"/>
  <c r="O1230" i="1"/>
  <c r="AA1230" i="1"/>
  <c r="AD1230" i="1"/>
  <c r="AE1230" i="1"/>
  <c r="AF1230" i="1"/>
  <c r="AG1230" i="1"/>
  <c r="AH1230" i="1"/>
  <c r="AQ1230" i="1"/>
  <c r="L1230" i="1" s="1"/>
  <c r="I1231" i="1"/>
  <c r="E1231" i="1" s="1"/>
  <c r="D1231" i="1" s="1"/>
  <c r="M1231" i="1"/>
  <c r="O1231" i="1"/>
  <c r="AA1231" i="1"/>
  <c r="AD1231" i="1"/>
  <c r="AE1231" i="1"/>
  <c r="AF1231" i="1"/>
  <c r="AG1231" i="1"/>
  <c r="AH1231" i="1"/>
  <c r="AQ1231" i="1"/>
  <c r="L1231" i="1" s="1"/>
  <c r="I1232" i="1"/>
  <c r="E1232" i="1" s="1"/>
  <c r="D1232" i="1" s="1"/>
  <c r="M1232" i="1"/>
  <c r="O1232" i="1"/>
  <c r="AA1232" i="1"/>
  <c r="AD1232" i="1"/>
  <c r="AE1232" i="1"/>
  <c r="AF1232" i="1"/>
  <c r="AG1232" i="1"/>
  <c r="AH1232" i="1"/>
  <c r="AQ1232" i="1"/>
  <c r="L1232" i="1" s="1"/>
  <c r="I1233" i="1"/>
  <c r="E1233" i="1" s="1"/>
  <c r="D1233" i="1" s="1"/>
  <c r="M1233" i="1"/>
  <c r="O1233" i="1"/>
  <c r="AA1233" i="1"/>
  <c r="AD1233" i="1"/>
  <c r="AE1233" i="1"/>
  <c r="AF1233" i="1"/>
  <c r="AG1233" i="1"/>
  <c r="AH1233" i="1"/>
  <c r="AQ1233" i="1"/>
  <c r="L1233" i="1" s="1"/>
  <c r="I1234" i="1"/>
  <c r="E1234" i="1" s="1"/>
  <c r="D1234" i="1" s="1"/>
  <c r="M1234" i="1"/>
  <c r="O1234" i="1"/>
  <c r="AA1234" i="1"/>
  <c r="AD1234" i="1"/>
  <c r="AE1234" i="1"/>
  <c r="AF1234" i="1"/>
  <c r="AG1234" i="1"/>
  <c r="AH1234" i="1"/>
  <c r="AQ1234" i="1"/>
  <c r="L1234" i="1" s="1"/>
  <c r="I1235" i="1"/>
  <c r="E1235" i="1" s="1"/>
  <c r="D1235" i="1" s="1"/>
  <c r="M1235" i="1"/>
  <c r="O1235" i="1"/>
  <c r="AA1235" i="1"/>
  <c r="AD1235" i="1"/>
  <c r="AE1235" i="1"/>
  <c r="AF1235" i="1"/>
  <c r="AG1235" i="1"/>
  <c r="AH1235" i="1"/>
  <c r="AQ1235" i="1"/>
  <c r="L1235" i="1" s="1"/>
  <c r="I1236" i="1"/>
  <c r="E1236" i="1" s="1"/>
  <c r="D1236" i="1" s="1"/>
  <c r="M1236" i="1"/>
  <c r="O1236" i="1"/>
  <c r="AA1236" i="1"/>
  <c r="AD1236" i="1"/>
  <c r="AE1236" i="1"/>
  <c r="AF1236" i="1"/>
  <c r="AG1236" i="1"/>
  <c r="AH1236" i="1"/>
  <c r="AQ1236" i="1"/>
  <c r="L1236" i="1" s="1"/>
  <c r="I1237" i="1"/>
  <c r="E1237" i="1" s="1"/>
  <c r="D1237" i="1" s="1"/>
  <c r="M1237" i="1"/>
  <c r="O1237" i="1"/>
  <c r="AA1237" i="1"/>
  <c r="AD1237" i="1"/>
  <c r="AE1237" i="1"/>
  <c r="AF1237" i="1"/>
  <c r="AG1237" i="1"/>
  <c r="AH1237" i="1"/>
  <c r="AQ1237" i="1"/>
  <c r="L1237" i="1" s="1"/>
  <c r="I1238" i="1"/>
  <c r="E1238" i="1" s="1"/>
  <c r="D1238" i="1" s="1"/>
  <c r="M1238" i="1"/>
  <c r="O1238" i="1"/>
  <c r="AA1238" i="1"/>
  <c r="AD1238" i="1"/>
  <c r="AE1238" i="1"/>
  <c r="AF1238" i="1"/>
  <c r="AG1238" i="1"/>
  <c r="AH1238" i="1"/>
  <c r="AQ1238" i="1"/>
  <c r="L1238" i="1" s="1"/>
  <c r="I1239" i="1"/>
  <c r="E1239" i="1" s="1"/>
  <c r="D1239" i="1" s="1"/>
  <c r="M1239" i="1"/>
  <c r="O1239" i="1"/>
  <c r="AA1239" i="1"/>
  <c r="AD1239" i="1"/>
  <c r="AE1239" i="1"/>
  <c r="AF1239" i="1"/>
  <c r="AG1239" i="1"/>
  <c r="AH1239" i="1"/>
  <c r="AQ1239" i="1"/>
  <c r="L1239" i="1" s="1"/>
  <c r="I1240" i="1"/>
  <c r="E1240" i="1" s="1"/>
  <c r="D1240" i="1" s="1"/>
  <c r="M1240" i="1"/>
  <c r="O1240" i="1"/>
  <c r="AA1240" i="1"/>
  <c r="AD1240" i="1"/>
  <c r="AE1240" i="1"/>
  <c r="AF1240" i="1"/>
  <c r="AG1240" i="1"/>
  <c r="AH1240" i="1"/>
  <c r="AQ1240" i="1"/>
  <c r="L1240" i="1" s="1"/>
  <c r="I1241" i="1"/>
  <c r="E1241" i="1" s="1"/>
  <c r="D1241" i="1" s="1"/>
  <c r="M1241" i="1"/>
  <c r="O1241" i="1"/>
  <c r="AA1241" i="1"/>
  <c r="AD1241" i="1"/>
  <c r="AE1241" i="1"/>
  <c r="AF1241" i="1"/>
  <c r="AG1241" i="1"/>
  <c r="AH1241" i="1"/>
  <c r="AQ1241" i="1"/>
  <c r="L1241" i="1" s="1"/>
  <c r="I1242" i="1"/>
  <c r="E1242" i="1" s="1"/>
  <c r="D1242" i="1" s="1"/>
  <c r="M1242" i="1"/>
  <c r="O1242" i="1"/>
  <c r="AA1242" i="1"/>
  <c r="AD1242" i="1"/>
  <c r="AE1242" i="1"/>
  <c r="AF1242" i="1"/>
  <c r="AG1242" i="1"/>
  <c r="AH1242" i="1"/>
  <c r="AQ1242" i="1"/>
  <c r="L1242" i="1" s="1"/>
  <c r="I1243" i="1"/>
  <c r="E1243" i="1" s="1"/>
  <c r="D1243" i="1" s="1"/>
  <c r="M1243" i="1"/>
  <c r="O1243" i="1"/>
  <c r="AA1243" i="1"/>
  <c r="AD1243" i="1"/>
  <c r="AE1243" i="1"/>
  <c r="AF1243" i="1"/>
  <c r="AG1243" i="1"/>
  <c r="AH1243" i="1"/>
  <c r="AQ1243" i="1"/>
  <c r="L1243" i="1" s="1"/>
  <c r="I1244" i="1"/>
  <c r="E1244" i="1" s="1"/>
  <c r="D1244" i="1" s="1"/>
  <c r="M1244" i="1"/>
  <c r="O1244" i="1"/>
  <c r="AA1244" i="1"/>
  <c r="AD1244" i="1"/>
  <c r="AE1244" i="1"/>
  <c r="AF1244" i="1"/>
  <c r="AG1244" i="1"/>
  <c r="AH1244" i="1"/>
  <c r="AQ1244" i="1"/>
  <c r="L1244" i="1" s="1"/>
  <c r="I1245" i="1"/>
  <c r="E1245" i="1" s="1"/>
  <c r="D1245" i="1" s="1"/>
  <c r="M1245" i="1"/>
  <c r="O1245" i="1"/>
  <c r="AA1245" i="1"/>
  <c r="AD1245" i="1"/>
  <c r="AE1245" i="1"/>
  <c r="AF1245" i="1"/>
  <c r="AG1245" i="1"/>
  <c r="AH1245" i="1"/>
  <c r="AQ1245" i="1"/>
  <c r="L1245" i="1" s="1"/>
  <c r="I1246" i="1"/>
  <c r="E1246" i="1" s="1"/>
  <c r="D1246" i="1" s="1"/>
  <c r="M1246" i="1"/>
  <c r="O1246" i="1"/>
  <c r="AA1246" i="1"/>
  <c r="AD1246" i="1"/>
  <c r="AE1246" i="1"/>
  <c r="AF1246" i="1"/>
  <c r="AG1246" i="1"/>
  <c r="AH1246" i="1"/>
  <c r="AQ1246" i="1"/>
  <c r="L1246" i="1" s="1"/>
  <c r="I1247" i="1"/>
  <c r="E1247" i="1" s="1"/>
  <c r="D1247" i="1" s="1"/>
  <c r="M1247" i="1"/>
  <c r="O1247" i="1"/>
  <c r="AA1247" i="1"/>
  <c r="AD1247" i="1"/>
  <c r="AE1247" i="1"/>
  <c r="AF1247" i="1"/>
  <c r="AG1247" i="1"/>
  <c r="AH1247" i="1"/>
  <c r="AQ1247" i="1"/>
  <c r="L1247" i="1" s="1"/>
  <c r="I1248" i="1"/>
  <c r="E1248" i="1" s="1"/>
  <c r="D1248" i="1" s="1"/>
  <c r="M1248" i="1"/>
  <c r="O1248" i="1"/>
  <c r="AA1248" i="1"/>
  <c r="AD1248" i="1"/>
  <c r="AE1248" i="1"/>
  <c r="AF1248" i="1"/>
  <c r="AG1248" i="1"/>
  <c r="AH1248" i="1"/>
  <c r="AQ1248" i="1"/>
  <c r="L1248" i="1" s="1"/>
  <c r="I1249" i="1"/>
  <c r="E1249" i="1" s="1"/>
  <c r="D1249" i="1" s="1"/>
  <c r="M1249" i="1"/>
  <c r="O1249" i="1"/>
  <c r="AA1249" i="1"/>
  <c r="AD1249" i="1"/>
  <c r="AE1249" i="1"/>
  <c r="AF1249" i="1"/>
  <c r="AG1249" i="1"/>
  <c r="AH1249" i="1"/>
  <c r="AQ1249" i="1"/>
  <c r="L1249" i="1" s="1"/>
  <c r="I1250" i="1"/>
  <c r="E1250" i="1" s="1"/>
  <c r="D1250" i="1" s="1"/>
  <c r="M1250" i="1"/>
  <c r="O1250" i="1"/>
  <c r="AA1250" i="1"/>
  <c r="AD1250" i="1"/>
  <c r="AE1250" i="1"/>
  <c r="AF1250" i="1"/>
  <c r="AG1250" i="1"/>
  <c r="AH1250" i="1"/>
  <c r="AQ1250" i="1"/>
  <c r="L1250" i="1" s="1"/>
  <c r="I1251" i="1"/>
  <c r="E1251" i="1" s="1"/>
  <c r="D1251" i="1" s="1"/>
  <c r="M1251" i="1"/>
  <c r="O1251" i="1"/>
  <c r="AA1251" i="1"/>
  <c r="AD1251" i="1"/>
  <c r="AE1251" i="1"/>
  <c r="AF1251" i="1"/>
  <c r="AG1251" i="1"/>
  <c r="AH1251" i="1"/>
  <c r="AQ1251" i="1"/>
  <c r="L1251" i="1" s="1"/>
  <c r="I1252" i="1"/>
  <c r="E1252" i="1" s="1"/>
  <c r="D1252" i="1" s="1"/>
  <c r="M1252" i="1"/>
  <c r="O1252" i="1"/>
  <c r="AA1252" i="1"/>
  <c r="AD1252" i="1"/>
  <c r="AE1252" i="1"/>
  <c r="AF1252" i="1"/>
  <c r="AG1252" i="1"/>
  <c r="AH1252" i="1"/>
  <c r="AQ1252" i="1"/>
  <c r="L1252" i="1" s="1"/>
  <c r="I1253" i="1"/>
  <c r="E1253" i="1" s="1"/>
  <c r="D1253" i="1" s="1"/>
  <c r="M1253" i="1"/>
  <c r="O1253" i="1"/>
  <c r="AA1253" i="1"/>
  <c r="AD1253" i="1"/>
  <c r="AE1253" i="1"/>
  <c r="AF1253" i="1"/>
  <c r="AG1253" i="1"/>
  <c r="AH1253" i="1"/>
  <c r="AQ1253" i="1"/>
  <c r="L1253" i="1" s="1"/>
  <c r="I1254" i="1"/>
  <c r="E1254" i="1" s="1"/>
  <c r="D1254" i="1" s="1"/>
  <c r="M1254" i="1"/>
  <c r="O1254" i="1"/>
  <c r="AA1254" i="1"/>
  <c r="AD1254" i="1"/>
  <c r="AE1254" i="1"/>
  <c r="AF1254" i="1"/>
  <c r="AG1254" i="1"/>
  <c r="AH1254" i="1"/>
  <c r="AQ1254" i="1"/>
  <c r="L1254" i="1" s="1"/>
  <c r="I1255" i="1"/>
  <c r="E1255" i="1" s="1"/>
  <c r="D1255" i="1" s="1"/>
  <c r="M1255" i="1"/>
  <c r="O1255" i="1"/>
  <c r="AA1255" i="1"/>
  <c r="AD1255" i="1"/>
  <c r="AE1255" i="1"/>
  <c r="AF1255" i="1"/>
  <c r="AG1255" i="1"/>
  <c r="AH1255" i="1"/>
  <c r="AQ1255" i="1"/>
  <c r="L1255" i="1" s="1"/>
  <c r="I1256" i="1"/>
  <c r="E1256" i="1" s="1"/>
  <c r="D1256" i="1" s="1"/>
  <c r="M1256" i="1"/>
  <c r="O1256" i="1"/>
  <c r="AA1256" i="1"/>
  <c r="AD1256" i="1"/>
  <c r="AE1256" i="1"/>
  <c r="AF1256" i="1"/>
  <c r="AG1256" i="1"/>
  <c r="AH1256" i="1"/>
  <c r="AQ1256" i="1"/>
  <c r="L1256" i="1" s="1"/>
  <c r="I1257" i="1"/>
  <c r="E1257" i="1" s="1"/>
  <c r="D1257" i="1" s="1"/>
  <c r="M1257" i="1"/>
  <c r="O1257" i="1"/>
  <c r="AA1257" i="1"/>
  <c r="AD1257" i="1"/>
  <c r="AE1257" i="1"/>
  <c r="AF1257" i="1"/>
  <c r="AG1257" i="1"/>
  <c r="AH1257" i="1"/>
  <c r="AQ1257" i="1"/>
  <c r="L1257" i="1" s="1"/>
  <c r="I1258" i="1"/>
  <c r="E1258" i="1" s="1"/>
  <c r="D1258" i="1" s="1"/>
  <c r="M1258" i="1"/>
  <c r="O1258" i="1"/>
  <c r="AA1258" i="1"/>
  <c r="AD1258" i="1"/>
  <c r="AE1258" i="1"/>
  <c r="AF1258" i="1"/>
  <c r="AG1258" i="1"/>
  <c r="AH1258" i="1"/>
  <c r="AQ1258" i="1"/>
  <c r="L1258" i="1" s="1"/>
  <c r="I1259" i="1"/>
  <c r="E1259" i="1" s="1"/>
  <c r="D1259" i="1" s="1"/>
  <c r="M1259" i="1"/>
  <c r="O1259" i="1"/>
  <c r="AA1259" i="1"/>
  <c r="AD1259" i="1"/>
  <c r="AE1259" i="1"/>
  <c r="AF1259" i="1"/>
  <c r="AG1259" i="1"/>
  <c r="AH1259" i="1"/>
  <c r="AQ1259" i="1"/>
  <c r="L1259" i="1" s="1"/>
  <c r="I1260" i="1"/>
  <c r="E1260" i="1" s="1"/>
  <c r="D1260" i="1" s="1"/>
  <c r="M1260" i="1"/>
  <c r="O1260" i="1"/>
  <c r="AA1260" i="1"/>
  <c r="AD1260" i="1"/>
  <c r="AE1260" i="1"/>
  <c r="AF1260" i="1"/>
  <c r="AG1260" i="1"/>
  <c r="AH1260" i="1"/>
  <c r="AQ1260" i="1"/>
  <c r="L1260" i="1" s="1"/>
  <c r="I1261" i="1"/>
  <c r="E1261" i="1" s="1"/>
  <c r="D1261" i="1" s="1"/>
  <c r="M1261" i="1"/>
  <c r="O1261" i="1"/>
  <c r="AA1261" i="1"/>
  <c r="AD1261" i="1"/>
  <c r="AE1261" i="1"/>
  <c r="AF1261" i="1"/>
  <c r="AG1261" i="1"/>
  <c r="AH1261" i="1"/>
  <c r="AQ1261" i="1"/>
  <c r="L1261" i="1" s="1"/>
  <c r="I1262" i="1"/>
  <c r="E1262" i="1" s="1"/>
  <c r="D1262" i="1" s="1"/>
  <c r="M1262" i="1"/>
  <c r="O1262" i="1"/>
  <c r="AA1262" i="1"/>
  <c r="AD1262" i="1"/>
  <c r="AE1262" i="1"/>
  <c r="AF1262" i="1"/>
  <c r="AG1262" i="1"/>
  <c r="AH1262" i="1"/>
  <c r="AQ1262" i="1"/>
  <c r="L1262" i="1" s="1"/>
  <c r="I1263" i="1"/>
  <c r="E1263" i="1" s="1"/>
  <c r="D1263" i="1" s="1"/>
  <c r="M1263" i="1"/>
  <c r="O1263" i="1"/>
  <c r="AA1263" i="1"/>
  <c r="AD1263" i="1"/>
  <c r="AE1263" i="1"/>
  <c r="AF1263" i="1"/>
  <c r="AG1263" i="1"/>
  <c r="AH1263" i="1"/>
  <c r="AQ1263" i="1"/>
  <c r="L1263" i="1" s="1"/>
  <c r="I1264" i="1"/>
  <c r="E1264" i="1" s="1"/>
  <c r="D1264" i="1" s="1"/>
  <c r="M1264" i="1"/>
  <c r="O1264" i="1"/>
  <c r="AA1264" i="1"/>
  <c r="AD1264" i="1"/>
  <c r="AE1264" i="1"/>
  <c r="AF1264" i="1"/>
  <c r="AG1264" i="1"/>
  <c r="AH1264" i="1"/>
  <c r="AQ1264" i="1"/>
  <c r="L1264" i="1" s="1"/>
  <c r="I1265" i="1"/>
  <c r="E1265" i="1" s="1"/>
  <c r="D1265" i="1" s="1"/>
  <c r="M1265" i="1"/>
  <c r="O1265" i="1"/>
  <c r="AA1265" i="1"/>
  <c r="AD1265" i="1"/>
  <c r="AE1265" i="1"/>
  <c r="AF1265" i="1"/>
  <c r="AG1265" i="1"/>
  <c r="AH1265" i="1"/>
  <c r="AQ1265" i="1"/>
  <c r="L1265" i="1" s="1"/>
  <c r="I1266" i="1"/>
  <c r="E1266" i="1" s="1"/>
  <c r="D1266" i="1" s="1"/>
  <c r="M1266" i="1"/>
  <c r="O1266" i="1"/>
  <c r="AA1266" i="1"/>
  <c r="AD1266" i="1"/>
  <c r="AE1266" i="1"/>
  <c r="AF1266" i="1"/>
  <c r="AG1266" i="1"/>
  <c r="AH1266" i="1"/>
  <c r="AQ1266" i="1"/>
  <c r="L1266" i="1" s="1"/>
  <c r="I1267" i="1"/>
  <c r="E1267" i="1" s="1"/>
  <c r="D1267" i="1" s="1"/>
  <c r="M1267" i="1"/>
  <c r="O1267" i="1"/>
  <c r="AA1267" i="1"/>
  <c r="AD1267" i="1"/>
  <c r="AE1267" i="1"/>
  <c r="AF1267" i="1"/>
  <c r="AG1267" i="1"/>
  <c r="AH1267" i="1"/>
  <c r="AQ1267" i="1"/>
  <c r="L1267" i="1" s="1"/>
  <c r="I1268" i="1"/>
  <c r="E1268" i="1" s="1"/>
  <c r="D1268" i="1" s="1"/>
  <c r="M1268" i="1"/>
  <c r="O1268" i="1"/>
  <c r="AA1268" i="1"/>
  <c r="AD1268" i="1"/>
  <c r="AE1268" i="1"/>
  <c r="AF1268" i="1"/>
  <c r="AG1268" i="1"/>
  <c r="AH1268" i="1"/>
  <c r="AQ1268" i="1"/>
  <c r="L1268" i="1" s="1"/>
  <c r="I1269" i="1"/>
  <c r="E1269" i="1" s="1"/>
  <c r="D1269" i="1" s="1"/>
  <c r="M1269" i="1"/>
  <c r="O1269" i="1"/>
  <c r="AA1269" i="1"/>
  <c r="AD1269" i="1"/>
  <c r="AE1269" i="1"/>
  <c r="AF1269" i="1"/>
  <c r="AG1269" i="1"/>
  <c r="AH1269" i="1"/>
  <c r="AQ1269" i="1"/>
  <c r="L1269" i="1" s="1"/>
  <c r="I1270" i="1"/>
  <c r="E1270" i="1" s="1"/>
  <c r="D1270" i="1" s="1"/>
  <c r="M1270" i="1"/>
  <c r="O1270" i="1"/>
  <c r="AA1270" i="1"/>
  <c r="AD1270" i="1"/>
  <c r="AE1270" i="1"/>
  <c r="AF1270" i="1"/>
  <c r="AG1270" i="1"/>
  <c r="AH1270" i="1"/>
  <c r="AQ1270" i="1"/>
  <c r="L1270" i="1" s="1"/>
  <c r="I1271" i="1"/>
  <c r="E1271" i="1" s="1"/>
  <c r="D1271" i="1" s="1"/>
  <c r="M1271" i="1"/>
  <c r="O1271" i="1"/>
  <c r="AA1271" i="1"/>
  <c r="AD1271" i="1"/>
  <c r="AE1271" i="1"/>
  <c r="AF1271" i="1"/>
  <c r="AG1271" i="1"/>
  <c r="AH1271" i="1"/>
  <c r="AQ1271" i="1"/>
  <c r="L1271" i="1" s="1"/>
  <c r="I1272" i="1"/>
  <c r="E1272" i="1" s="1"/>
  <c r="D1272" i="1" s="1"/>
  <c r="M1272" i="1"/>
  <c r="O1272" i="1"/>
  <c r="AA1272" i="1"/>
  <c r="AD1272" i="1"/>
  <c r="AE1272" i="1"/>
  <c r="AF1272" i="1"/>
  <c r="AG1272" i="1"/>
  <c r="AH1272" i="1"/>
  <c r="AQ1272" i="1"/>
  <c r="L1272" i="1" s="1"/>
  <c r="I1273" i="1"/>
  <c r="E1273" i="1" s="1"/>
  <c r="D1273" i="1" s="1"/>
  <c r="M1273" i="1"/>
  <c r="O1273" i="1"/>
  <c r="AA1273" i="1"/>
  <c r="AD1273" i="1"/>
  <c r="AE1273" i="1"/>
  <c r="AF1273" i="1"/>
  <c r="AG1273" i="1"/>
  <c r="AH1273" i="1"/>
  <c r="AQ1273" i="1"/>
  <c r="L1273" i="1" s="1"/>
  <c r="I1274" i="1"/>
  <c r="E1274" i="1" s="1"/>
  <c r="D1274" i="1" s="1"/>
  <c r="M1274" i="1"/>
  <c r="O1274" i="1"/>
  <c r="AA1274" i="1"/>
  <c r="AD1274" i="1"/>
  <c r="AE1274" i="1"/>
  <c r="AF1274" i="1"/>
  <c r="AG1274" i="1"/>
  <c r="AH1274" i="1"/>
  <c r="AQ1274" i="1"/>
  <c r="L1274" i="1" s="1"/>
  <c r="I1275" i="1"/>
  <c r="E1275" i="1" s="1"/>
  <c r="D1275" i="1" s="1"/>
  <c r="M1275" i="1"/>
  <c r="O1275" i="1"/>
  <c r="AA1275" i="1"/>
  <c r="AD1275" i="1"/>
  <c r="AE1275" i="1"/>
  <c r="AF1275" i="1"/>
  <c r="AG1275" i="1"/>
  <c r="AH1275" i="1"/>
  <c r="AQ1275" i="1"/>
  <c r="L1275" i="1" s="1"/>
  <c r="I1276" i="1"/>
  <c r="E1276" i="1" s="1"/>
  <c r="D1276" i="1" s="1"/>
  <c r="M1276" i="1"/>
  <c r="O1276" i="1"/>
  <c r="AA1276" i="1"/>
  <c r="AD1276" i="1"/>
  <c r="AE1276" i="1"/>
  <c r="AF1276" i="1"/>
  <c r="AG1276" i="1"/>
  <c r="AH1276" i="1"/>
  <c r="AQ1276" i="1"/>
  <c r="L1276" i="1" s="1"/>
  <c r="I1277" i="1"/>
  <c r="E1277" i="1" s="1"/>
  <c r="D1277" i="1" s="1"/>
  <c r="M1277" i="1"/>
  <c r="O1277" i="1"/>
  <c r="AA1277" i="1"/>
  <c r="AD1277" i="1"/>
  <c r="AE1277" i="1"/>
  <c r="AF1277" i="1"/>
  <c r="AG1277" i="1"/>
  <c r="AH1277" i="1"/>
  <c r="AQ1277" i="1"/>
  <c r="L1277" i="1" s="1"/>
  <c r="I1278" i="1"/>
  <c r="E1278" i="1" s="1"/>
  <c r="D1278" i="1" s="1"/>
  <c r="M1278" i="1"/>
  <c r="O1278" i="1"/>
  <c r="AA1278" i="1"/>
  <c r="AD1278" i="1"/>
  <c r="AE1278" i="1"/>
  <c r="AF1278" i="1"/>
  <c r="AG1278" i="1"/>
  <c r="AH1278" i="1"/>
  <c r="AQ1278" i="1"/>
  <c r="L1278" i="1" s="1"/>
  <c r="I1279" i="1"/>
  <c r="E1279" i="1" s="1"/>
  <c r="D1279" i="1" s="1"/>
  <c r="M1279" i="1"/>
  <c r="O1279" i="1"/>
  <c r="AA1279" i="1"/>
  <c r="AD1279" i="1"/>
  <c r="AE1279" i="1"/>
  <c r="AF1279" i="1"/>
  <c r="AG1279" i="1"/>
  <c r="AH1279" i="1"/>
  <c r="AQ1279" i="1"/>
  <c r="L1279" i="1" s="1"/>
  <c r="I1280" i="1"/>
  <c r="E1280" i="1" s="1"/>
  <c r="D1280" i="1" s="1"/>
  <c r="M1280" i="1"/>
  <c r="O1280" i="1"/>
  <c r="AA1280" i="1"/>
  <c r="AD1280" i="1"/>
  <c r="AE1280" i="1"/>
  <c r="AF1280" i="1"/>
  <c r="AG1280" i="1"/>
  <c r="AH1280" i="1"/>
  <c r="AQ1280" i="1"/>
  <c r="L1280" i="1" s="1"/>
  <c r="I1281" i="1"/>
  <c r="E1281" i="1" s="1"/>
  <c r="D1281" i="1" s="1"/>
  <c r="M1281" i="1"/>
  <c r="O1281" i="1"/>
  <c r="AA1281" i="1"/>
  <c r="AD1281" i="1"/>
  <c r="AE1281" i="1"/>
  <c r="AF1281" i="1"/>
  <c r="AG1281" i="1"/>
  <c r="AH1281" i="1"/>
  <c r="AQ1281" i="1"/>
  <c r="L1281" i="1" s="1"/>
  <c r="I1282" i="1"/>
  <c r="E1282" i="1" s="1"/>
  <c r="D1282" i="1" s="1"/>
  <c r="M1282" i="1"/>
  <c r="O1282" i="1"/>
  <c r="AA1282" i="1"/>
  <c r="AD1282" i="1"/>
  <c r="AE1282" i="1"/>
  <c r="AF1282" i="1"/>
  <c r="AG1282" i="1"/>
  <c r="AH1282" i="1"/>
  <c r="AQ1282" i="1"/>
  <c r="L1282" i="1" s="1"/>
  <c r="I1283" i="1"/>
  <c r="E1283" i="1" s="1"/>
  <c r="D1283" i="1" s="1"/>
  <c r="M1283" i="1"/>
  <c r="O1283" i="1"/>
  <c r="AA1283" i="1"/>
  <c r="AD1283" i="1"/>
  <c r="AE1283" i="1"/>
  <c r="AF1283" i="1"/>
  <c r="AG1283" i="1"/>
  <c r="AH1283" i="1"/>
  <c r="AQ1283" i="1"/>
  <c r="L1283" i="1" s="1"/>
  <c r="I1284" i="1"/>
  <c r="E1284" i="1" s="1"/>
  <c r="D1284" i="1" s="1"/>
  <c r="M1284" i="1"/>
  <c r="O1284" i="1"/>
  <c r="AA1284" i="1"/>
  <c r="AD1284" i="1"/>
  <c r="AE1284" i="1"/>
  <c r="AF1284" i="1"/>
  <c r="AG1284" i="1"/>
  <c r="AH1284" i="1"/>
  <c r="AQ1284" i="1"/>
  <c r="L1284" i="1" s="1"/>
  <c r="I88" i="1"/>
  <c r="E88" i="1" s="1"/>
  <c r="D88" i="1" s="1"/>
  <c r="M88" i="1"/>
  <c r="O88" i="1"/>
  <c r="AA88" i="1"/>
  <c r="AD88" i="1"/>
  <c r="AE88" i="1"/>
  <c r="AF88" i="1"/>
  <c r="AG88" i="1"/>
  <c r="AH88" i="1"/>
  <c r="AQ88" i="1"/>
  <c r="L88" i="1" s="1"/>
  <c r="I89" i="1"/>
  <c r="E89" i="1" s="1"/>
  <c r="D89" i="1" s="1"/>
  <c r="M89" i="1"/>
  <c r="O89" i="1"/>
  <c r="AA89" i="1"/>
  <c r="AD89" i="1"/>
  <c r="AE89" i="1"/>
  <c r="AF89" i="1"/>
  <c r="AG89" i="1"/>
  <c r="AH89" i="1"/>
  <c r="AQ89" i="1"/>
  <c r="L89" i="1" s="1"/>
  <c r="I90" i="1"/>
  <c r="E90" i="1" s="1"/>
  <c r="D90" i="1" s="1"/>
  <c r="M90" i="1"/>
  <c r="O90" i="1"/>
  <c r="AA90" i="1"/>
  <c r="AD90" i="1"/>
  <c r="AE90" i="1"/>
  <c r="AF90" i="1"/>
  <c r="AG90" i="1"/>
  <c r="AH90" i="1"/>
  <c r="AQ90" i="1"/>
  <c r="L90" i="1" s="1"/>
  <c r="I91" i="1"/>
  <c r="E91" i="1" s="1"/>
  <c r="D91" i="1" s="1"/>
  <c r="M91" i="1"/>
  <c r="O91" i="1"/>
  <c r="AA91" i="1"/>
  <c r="AD91" i="1"/>
  <c r="AE91" i="1"/>
  <c r="AF91" i="1"/>
  <c r="AG91" i="1"/>
  <c r="AH91" i="1"/>
  <c r="AQ91" i="1"/>
  <c r="L91" i="1" s="1"/>
  <c r="I92" i="1"/>
  <c r="E92" i="1" s="1"/>
  <c r="D92" i="1" s="1"/>
  <c r="M92" i="1"/>
  <c r="O92" i="1"/>
  <c r="AA92" i="1"/>
  <c r="AD92" i="1"/>
  <c r="AE92" i="1"/>
  <c r="AF92" i="1"/>
  <c r="AG92" i="1"/>
  <c r="AH92" i="1"/>
  <c r="AQ92" i="1"/>
  <c r="L92" i="1" s="1"/>
  <c r="I93" i="1"/>
  <c r="E93" i="1" s="1"/>
  <c r="D93" i="1" s="1"/>
  <c r="M93" i="1"/>
  <c r="O93" i="1"/>
  <c r="AA93" i="1"/>
  <c r="AD93" i="1"/>
  <c r="AE93" i="1"/>
  <c r="AF93" i="1"/>
  <c r="AG93" i="1"/>
  <c r="AH93" i="1"/>
  <c r="AQ93" i="1"/>
  <c r="L93" i="1" s="1"/>
  <c r="I94" i="1"/>
  <c r="E94" i="1" s="1"/>
  <c r="D94" i="1" s="1"/>
  <c r="M94" i="1"/>
  <c r="O94" i="1"/>
  <c r="AA94" i="1"/>
  <c r="AD94" i="1"/>
  <c r="AE94" i="1"/>
  <c r="AF94" i="1"/>
  <c r="AG94" i="1"/>
  <c r="AH94" i="1"/>
  <c r="AQ94" i="1"/>
  <c r="L94" i="1" s="1"/>
  <c r="I95" i="1"/>
  <c r="E95" i="1" s="1"/>
  <c r="D95" i="1" s="1"/>
  <c r="M95" i="1"/>
  <c r="O95" i="1"/>
  <c r="AA95" i="1"/>
  <c r="AD95" i="1"/>
  <c r="AE95" i="1"/>
  <c r="AF95" i="1"/>
  <c r="AG95" i="1"/>
  <c r="AH95" i="1"/>
  <c r="AQ95" i="1"/>
  <c r="L95" i="1" s="1"/>
  <c r="I96" i="1"/>
  <c r="E96" i="1" s="1"/>
  <c r="D96" i="1" s="1"/>
  <c r="M96" i="1"/>
  <c r="O96" i="1"/>
  <c r="AA96" i="1"/>
  <c r="AD96" i="1"/>
  <c r="AE96" i="1"/>
  <c r="AF96" i="1"/>
  <c r="AG96" i="1"/>
  <c r="AH96" i="1"/>
  <c r="AQ96" i="1"/>
  <c r="L96" i="1" s="1"/>
  <c r="I40" i="1"/>
  <c r="E40" i="1" s="1"/>
  <c r="D40" i="1" s="1"/>
  <c r="M40" i="1"/>
  <c r="O40" i="1"/>
  <c r="AA40" i="1"/>
  <c r="AD40" i="1"/>
  <c r="AE40" i="1"/>
  <c r="AF40" i="1"/>
  <c r="AG40" i="1"/>
  <c r="AH40" i="1"/>
  <c r="AQ40" i="1"/>
  <c r="L40" i="1" s="1"/>
  <c r="I41" i="1"/>
  <c r="E41" i="1" s="1"/>
  <c r="D41" i="1" s="1"/>
  <c r="M41" i="1"/>
  <c r="O41" i="1"/>
  <c r="AA41" i="1"/>
  <c r="AD41" i="1"/>
  <c r="AE41" i="1"/>
  <c r="AF41" i="1"/>
  <c r="AG41" i="1"/>
  <c r="AH41" i="1"/>
  <c r="AQ41" i="1"/>
  <c r="L41" i="1" s="1"/>
  <c r="I42" i="1"/>
  <c r="E42" i="1" s="1"/>
  <c r="D42" i="1" s="1"/>
  <c r="M42" i="1"/>
  <c r="O42" i="1"/>
  <c r="AA42" i="1"/>
  <c r="AD42" i="1"/>
  <c r="AE42" i="1"/>
  <c r="AF42" i="1"/>
  <c r="AG42" i="1"/>
  <c r="AH42" i="1"/>
  <c r="AQ42" i="1"/>
  <c r="L42" i="1" s="1"/>
  <c r="I43" i="1"/>
  <c r="E43" i="1" s="1"/>
  <c r="D43" i="1" s="1"/>
  <c r="M43" i="1"/>
  <c r="O43" i="1"/>
  <c r="AA43" i="1"/>
  <c r="AD43" i="1"/>
  <c r="AE43" i="1"/>
  <c r="AF43" i="1"/>
  <c r="AG43" i="1"/>
  <c r="AH43" i="1"/>
  <c r="AQ43" i="1"/>
  <c r="L43" i="1" s="1"/>
  <c r="I44" i="1"/>
  <c r="E44" i="1" s="1"/>
  <c r="D44" i="1" s="1"/>
  <c r="M44" i="1"/>
  <c r="O44" i="1"/>
  <c r="AA44" i="1"/>
  <c r="AD44" i="1"/>
  <c r="AE44" i="1"/>
  <c r="AF44" i="1"/>
  <c r="AG44" i="1"/>
  <c r="AH44" i="1"/>
  <c r="AQ44" i="1"/>
  <c r="L44" i="1" s="1"/>
  <c r="I45" i="1"/>
  <c r="E45" i="1" s="1"/>
  <c r="D45" i="1" s="1"/>
  <c r="M45" i="1"/>
  <c r="O45" i="1"/>
  <c r="AA45" i="1"/>
  <c r="AD45" i="1"/>
  <c r="AE45" i="1"/>
  <c r="AF45" i="1"/>
  <c r="AG45" i="1"/>
  <c r="AH45" i="1"/>
  <c r="AQ45" i="1"/>
  <c r="L45" i="1" s="1"/>
  <c r="I46" i="1"/>
  <c r="E46" i="1" s="1"/>
  <c r="D46" i="1" s="1"/>
  <c r="M46" i="1"/>
  <c r="O46" i="1"/>
  <c r="AA46" i="1"/>
  <c r="AD46" i="1"/>
  <c r="AE46" i="1"/>
  <c r="AF46" i="1"/>
  <c r="AG46" i="1"/>
  <c r="AH46" i="1"/>
  <c r="AQ46" i="1"/>
  <c r="L46" i="1" s="1"/>
  <c r="I47" i="1"/>
  <c r="E47" i="1" s="1"/>
  <c r="D47" i="1" s="1"/>
  <c r="M47" i="1"/>
  <c r="O47" i="1"/>
  <c r="AA47" i="1"/>
  <c r="AD47" i="1"/>
  <c r="AE47" i="1"/>
  <c r="AF47" i="1"/>
  <c r="AG47" i="1"/>
  <c r="AH47" i="1"/>
  <c r="AQ47" i="1"/>
  <c r="L47" i="1" s="1"/>
  <c r="I48" i="1"/>
  <c r="E48" i="1" s="1"/>
  <c r="D48" i="1" s="1"/>
  <c r="M48" i="1"/>
  <c r="O48" i="1"/>
  <c r="AA48" i="1"/>
  <c r="AD48" i="1"/>
  <c r="AE48" i="1"/>
  <c r="AF48" i="1"/>
  <c r="AG48" i="1"/>
  <c r="AH48" i="1"/>
  <c r="AQ48" i="1"/>
  <c r="L48" i="1" s="1"/>
  <c r="I49" i="1"/>
  <c r="E49" i="1" s="1"/>
  <c r="D49" i="1" s="1"/>
  <c r="M49" i="1"/>
  <c r="O49" i="1"/>
  <c r="AA49" i="1"/>
  <c r="AD49" i="1"/>
  <c r="AE49" i="1"/>
  <c r="AF49" i="1"/>
  <c r="AG49" i="1"/>
  <c r="AH49" i="1"/>
  <c r="AQ49" i="1"/>
  <c r="L49" i="1" s="1"/>
  <c r="I50" i="1"/>
  <c r="E50" i="1" s="1"/>
  <c r="D50" i="1" s="1"/>
  <c r="M50" i="1"/>
  <c r="O50" i="1"/>
  <c r="AA50" i="1"/>
  <c r="AD50" i="1"/>
  <c r="AE50" i="1"/>
  <c r="AF50" i="1"/>
  <c r="AG50" i="1"/>
  <c r="AH50" i="1"/>
  <c r="AQ50" i="1"/>
  <c r="L50" i="1" s="1"/>
  <c r="I51" i="1"/>
  <c r="E51" i="1" s="1"/>
  <c r="D51" i="1" s="1"/>
  <c r="M51" i="1"/>
  <c r="O51" i="1"/>
  <c r="AA51" i="1"/>
  <c r="AD51" i="1"/>
  <c r="AE51" i="1"/>
  <c r="AF51" i="1"/>
  <c r="AG51" i="1"/>
  <c r="AH51" i="1"/>
  <c r="AQ51" i="1"/>
  <c r="L51" i="1" s="1"/>
  <c r="I52" i="1"/>
  <c r="E52" i="1" s="1"/>
  <c r="D52" i="1" s="1"/>
  <c r="M52" i="1"/>
  <c r="O52" i="1"/>
  <c r="AA52" i="1"/>
  <c r="AD52" i="1"/>
  <c r="AE52" i="1"/>
  <c r="AF52" i="1"/>
  <c r="AG52" i="1"/>
  <c r="AH52" i="1"/>
  <c r="AQ52" i="1"/>
  <c r="L52" i="1" s="1"/>
  <c r="I53" i="1"/>
  <c r="E53" i="1" s="1"/>
  <c r="D53" i="1" s="1"/>
  <c r="M53" i="1"/>
  <c r="O53" i="1"/>
  <c r="AA53" i="1"/>
  <c r="AD53" i="1"/>
  <c r="AE53" i="1"/>
  <c r="AF53" i="1"/>
  <c r="AG53" i="1"/>
  <c r="AH53" i="1"/>
  <c r="AQ53" i="1"/>
  <c r="L53" i="1" s="1"/>
  <c r="I54" i="1"/>
  <c r="E54" i="1" s="1"/>
  <c r="D54" i="1" s="1"/>
  <c r="M54" i="1"/>
  <c r="O54" i="1"/>
  <c r="AA54" i="1"/>
  <c r="AD54" i="1"/>
  <c r="AE54" i="1"/>
  <c r="AF54" i="1"/>
  <c r="AG54" i="1"/>
  <c r="AH54" i="1"/>
  <c r="AQ54" i="1"/>
  <c r="L54" i="1" s="1"/>
  <c r="I55" i="1"/>
  <c r="E55" i="1" s="1"/>
  <c r="D55" i="1" s="1"/>
  <c r="M55" i="1"/>
  <c r="O55" i="1"/>
  <c r="AA55" i="1"/>
  <c r="AD55" i="1"/>
  <c r="AE55" i="1"/>
  <c r="AF55" i="1"/>
  <c r="AG55" i="1"/>
  <c r="AH55" i="1"/>
  <c r="AQ55" i="1"/>
  <c r="L55" i="1" s="1"/>
  <c r="I56" i="1"/>
  <c r="E56" i="1" s="1"/>
  <c r="D56" i="1" s="1"/>
  <c r="M56" i="1"/>
  <c r="O56" i="1"/>
  <c r="AA56" i="1"/>
  <c r="AD56" i="1"/>
  <c r="AE56" i="1"/>
  <c r="AF56" i="1"/>
  <c r="AG56" i="1"/>
  <c r="AH56" i="1"/>
  <c r="AQ56" i="1"/>
  <c r="L56" i="1" s="1"/>
  <c r="I57" i="1"/>
  <c r="E57" i="1" s="1"/>
  <c r="D57" i="1" s="1"/>
  <c r="M57" i="1"/>
  <c r="O57" i="1"/>
  <c r="AA57" i="1"/>
  <c r="AD57" i="1"/>
  <c r="AE57" i="1"/>
  <c r="AF57" i="1"/>
  <c r="AG57" i="1"/>
  <c r="AH57" i="1"/>
  <c r="AQ57" i="1"/>
  <c r="L57" i="1" s="1"/>
  <c r="I58" i="1"/>
  <c r="E58" i="1" s="1"/>
  <c r="D58" i="1" s="1"/>
  <c r="M58" i="1"/>
  <c r="O58" i="1"/>
  <c r="AA58" i="1"/>
  <c r="AD58" i="1"/>
  <c r="AE58" i="1"/>
  <c r="AF58" i="1"/>
  <c r="AG58" i="1"/>
  <c r="AH58" i="1"/>
  <c r="AQ58" i="1"/>
  <c r="L58" i="1" s="1"/>
  <c r="I59" i="1"/>
  <c r="E59" i="1" s="1"/>
  <c r="D59" i="1" s="1"/>
  <c r="M59" i="1"/>
  <c r="O59" i="1"/>
  <c r="AA59" i="1"/>
  <c r="AD59" i="1"/>
  <c r="AE59" i="1"/>
  <c r="AF59" i="1"/>
  <c r="AG59" i="1"/>
  <c r="AH59" i="1"/>
  <c r="AQ59" i="1"/>
  <c r="L59" i="1" s="1"/>
  <c r="I60" i="1"/>
  <c r="E60" i="1" s="1"/>
  <c r="D60" i="1" s="1"/>
  <c r="M60" i="1"/>
  <c r="O60" i="1"/>
  <c r="AA60" i="1"/>
  <c r="AD60" i="1"/>
  <c r="AE60" i="1"/>
  <c r="AF60" i="1"/>
  <c r="AG60" i="1"/>
  <c r="AH60" i="1"/>
  <c r="AQ60" i="1"/>
  <c r="L60" i="1" s="1"/>
  <c r="I61" i="1"/>
  <c r="E61" i="1" s="1"/>
  <c r="D61" i="1" s="1"/>
  <c r="M61" i="1"/>
  <c r="O61" i="1"/>
  <c r="AA61" i="1"/>
  <c r="AD61" i="1"/>
  <c r="AE61" i="1"/>
  <c r="AF61" i="1"/>
  <c r="AG61" i="1"/>
  <c r="AH61" i="1"/>
  <c r="AQ61" i="1"/>
  <c r="L61" i="1" s="1"/>
  <c r="I62" i="1"/>
  <c r="E62" i="1" s="1"/>
  <c r="D62" i="1" s="1"/>
  <c r="M62" i="1"/>
  <c r="O62" i="1"/>
  <c r="AA62" i="1"/>
  <c r="AD62" i="1"/>
  <c r="AE62" i="1"/>
  <c r="AF62" i="1"/>
  <c r="AG62" i="1"/>
  <c r="AH62" i="1"/>
  <c r="AQ62" i="1"/>
  <c r="L62" i="1" s="1"/>
  <c r="I63" i="1"/>
  <c r="E63" i="1" s="1"/>
  <c r="D63" i="1" s="1"/>
  <c r="M63" i="1"/>
  <c r="O63" i="1"/>
  <c r="AA63" i="1"/>
  <c r="AD63" i="1"/>
  <c r="AE63" i="1"/>
  <c r="AF63" i="1"/>
  <c r="AG63" i="1"/>
  <c r="AH63" i="1"/>
  <c r="AQ63" i="1"/>
  <c r="L63" i="1" s="1"/>
  <c r="I64" i="1"/>
  <c r="E64" i="1" s="1"/>
  <c r="D64" i="1" s="1"/>
  <c r="M64" i="1"/>
  <c r="O64" i="1"/>
  <c r="AA64" i="1"/>
  <c r="AD64" i="1"/>
  <c r="AE64" i="1"/>
  <c r="AF64" i="1"/>
  <c r="AG64" i="1"/>
  <c r="AH64" i="1"/>
  <c r="AQ64" i="1"/>
  <c r="L64" i="1" s="1"/>
  <c r="I65" i="1"/>
  <c r="E65" i="1" s="1"/>
  <c r="D65" i="1" s="1"/>
  <c r="M65" i="1"/>
  <c r="O65" i="1"/>
  <c r="AA65" i="1"/>
  <c r="AD65" i="1"/>
  <c r="AE65" i="1"/>
  <c r="AF65" i="1"/>
  <c r="AG65" i="1"/>
  <c r="AH65" i="1"/>
  <c r="AQ65" i="1"/>
  <c r="L65" i="1" s="1"/>
  <c r="I66" i="1"/>
  <c r="E66" i="1" s="1"/>
  <c r="D66" i="1" s="1"/>
  <c r="M66" i="1"/>
  <c r="O66" i="1"/>
  <c r="AA66" i="1"/>
  <c r="AD66" i="1"/>
  <c r="AE66" i="1"/>
  <c r="AF66" i="1"/>
  <c r="AG66" i="1"/>
  <c r="AH66" i="1"/>
  <c r="AQ66" i="1"/>
  <c r="L66" i="1" s="1"/>
  <c r="I67" i="1"/>
  <c r="E67" i="1" s="1"/>
  <c r="D67" i="1" s="1"/>
  <c r="M67" i="1"/>
  <c r="O67" i="1"/>
  <c r="AA67" i="1"/>
  <c r="AD67" i="1"/>
  <c r="AE67" i="1"/>
  <c r="AF67" i="1"/>
  <c r="AG67" i="1"/>
  <c r="AH67" i="1"/>
  <c r="AQ67" i="1"/>
  <c r="L67" i="1" s="1"/>
  <c r="I68" i="1"/>
  <c r="E68" i="1" s="1"/>
  <c r="D68" i="1" s="1"/>
  <c r="M68" i="1"/>
  <c r="O68" i="1"/>
  <c r="AA68" i="1"/>
  <c r="AD68" i="1"/>
  <c r="AE68" i="1"/>
  <c r="AF68" i="1"/>
  <c r="AG68" i="1"/>
  <c r="AH68" i="1"/>
  <c r="AQ68" i="1"/>
  <c r="L68" i="1" s="1"/>
  <c r="I69" i="1"/>
  <c r="E69" i="1" s="1"/>
  <c r="D69" i="1" s="1"/>
  <c r="M69" i="1"/>
  <c r="O69" i="1"/>
  <c r="AA69" i="1"/>
  <c r="AD69" i="1"/>
  <c r="AE69" i="1"/>
  <c r="AF69" i="1"/>
  <c r="AG69" i="1"/>
  <c r="AH69" i="1"/>
  <c r="AQ69" i="1"/>
  <c r="L69" i="1" s="1"/>
  <c r="I70" i="1"/>
  <c r="E70" i="1" s="1"/>
  <c r="D70" i="1" s="1"/>
  <c r="M70" i="1"/>
  <c r="O70" i="1"/>
  <c r="AA70" i="1"/>
  <c r="AD70" i="1"/>
  <c r="AE70" i="1"/>
  <c r="AF70" i="1"/>
  <c r="AG70" i="1"/>
  <c r="AH70" i="1"/>
  <c r="AQ70" i="1"/>
  <c r="L70" i="1" s="1"/>
  <c r="I71" i="1"/>
  <c r="E71" i="1" s="1"/>
  <c r="D71" i="1" s="1"/>
  <c r="M71" i="1"/>
  <c r="O71" i="1"/>
  <c r="AA71" i="1"/>
  <c r="AD71" i="1"/>
  <c r="AE71" i="1"/>
  <c r="AF71" i="1"/>
  <c r="AG71" i="1"/>
  <c r="AH71" i="1"/>
  <c r="AQ71" i="1"/>
  <c r="L71" i="1" s="1"/>
  <c r="I72" i="1"/>
  <c r="E72" i="1" s="1"/>
  <c r="D72" i="1" s="1"/>
  <c r="M72" i="1"/>
  <c r="O72" i="1"/>
  <c r="AA72" i="1"/>
  <c r="AD72" i="1"/>
  <c r="AE72" i="1"/>
  <c r="AF72" i="1"/>
  <c r="AG72" i="1"/>
  <c r="AH72" i="1"/>
  <c r="AQ72" i="1"/>
  <c r="L72" i="1" s="1"/>
  <c r="I73" i="1"/>
  <c r="E73" i="1" s="1"/>
  <c r="D73" i="1" s="1"/>
  <c r="M73" i="1"/>
  <c r="O73" i="1"/>
  <c r="AA73" i="1"/>
  <c r="AD73" i="1"/>
  <c r="AE73" i="1"/>
  <c r="AF73" i="1"/>
  <c r="AG73" i="1"/>
  <c r="AH73" i="1"/>
  <c r="AQ73" i="1"/>
  <c r="L73" i="1" s="1"/>
  <c r="I74" i="1"/>
  <c r="E74" i="1" s="1"/>
  <c r="D74" i="1" s="1"/>
  <c r="M74" i="1"/>
  <c r="O74" i="1"/>
  <c r="AA74" i="1"/>
  <c r="AD74" i="1"/>
  <c r="AE74" i="1"/>
  <c r="AF74" i="1"/>
  <c r="AG74" i="1"/>
  <c r="AH74" i="1"/>
  <c r="AQ74" i="1"/>
  <c r="L74" i="1" s="1"/>
  <c r="I75" i="1"/>
  <c r="E75" i="1" s="1"/>
  <c r="D75" i="1" s="1"/>
  <c r="M75" i="1"/>
  <c r="O75" i="1"/>
  <c r="AA75" i="1"/>
  <c r="AD75" i="1"/>
  <c r="AE75" i="1"/>
  <c r="AF75" i="1"/>
  <c r="AG75" i="1"/>
  <c r="AH75" i="1"/>
  <c r="AQ75" i="1"/>
  <c r="L75" i="1" s="1"/>
  <c r="I76" i="1"/>
  <c r="E76" i="1" s="1"/>
  <c r="D76" i="1" s="1"/>
  <c r="M76" i="1"/>
  <c r="O76" i="1"/>
  <c r="AA76" i="1"/>
  <c r="AD76" i="1"/>
  <c r="AE76" i="1"/>
  <c r="AF76" i="1"/>
  <c r="AG76" i="1"/>
  <c r="AH76" i="1"/>
  <c r="AQ76" i="1"/>
  <c r="L76" i="1" s="1"/>
  <c r="I77" i="1"/>
  <c r="E77" i="1" s="1"/>
  <c r="D77" i="1" s="1"/>
  <c r="M77" i="1"/>
  <c r="O77" i="1"/>
  <c r="AA77" i="1"/>
  <c r="AD77" i="1"/>
  <c r="AE77" i="1"/>
  <c r="AF77" i="1"/>
  <c r="AG77" i="1"/>
  <c r="AH77" i="1"/>
  <c r="AQ77" i="1"/>
  <c r="L77" i="1" s="1"/>
  <c r="I78" i="1"/>
  <c r="E78" i="1" s="1"/>
  <c r="D78" i="1" s="1"/>
  <c r="M78" i="1"/>
  <c r="O78" i="1"/>
  <c r="AA78" i="1"/>
  <c r="AD78" i="1"/>
  <c r="AE78" i="1"/>
  <c r="AF78" i="1"/>
  <c r="AG78" i="1"/>
  <c r="AH78" i="1"/>
  <c r="AQ78" i="1"/>
  <c r="L78" i="1" s="1"/>
  <c r="I79" i="1"/>
  <c r="E79" i="1" s="1"/>
  <c r="D79" i="1" s="1"/>
  <c r="M79" i="1"/>
  <c r="O79" i="1"/>
  <c r="AA79" i="1"/>
  <c r="AD79" i="1"/>
  <c r="AE79" i="1"/>
  <c r="AF79" i="1"/>
  <c r="AG79" i="1"/>
  <c r="AH79" i="1"/>
  <c r="AQ79" i="1"/>
  <c r="L79" i="1" s="1"/>
  <c r="I80" i="1"/>
  <c r="E80" i="1" s="1"/>
  <c r="D80" i="1" s="1"/>
  <c r="M80" i="1"/>
  <c r="O80" i="1"/>
  <c r="AA80" i="1"/>
  <c r="AD80" i="1"/>
  <c r="AE80" i="1"/>
  <c r="AF80" i="1"/>
  <c r="AG80" i="1"/>
  <c r="AH80" i="1"/>
  <c r="AQ80" i="1"/>
  <c r="L80" i="1" s="1"/>
  <c r="I81" i="1"/>
  <c r="E81" i="1" s="1"/>
  <c r="D81" i="1" s="1"/>
  <c r="M81" i="1"/>
  <c r="O81" i="1"/>
  <c r="AA81" i="1"/>
  <c r="AD81" i="1"/>
  <c r="AE81" i="1"/>
  <c r="AF81" i="1"/>
  <c r="AG81" i="1"/>
  <c r="AH81" i="1"/>
  <c r="AQ81" i="1"/>
  <c r="L81" i="1" s="1"/>
  <c r="I82" i="1"/>
  <c r="E82" i="1" s="1"/>
  <c r="D82" i="1" s="1"/>
  <c r="M82" i="1"/>
  <c r="O82" i="1"/>
  <c r="AA82" i="1"/>
  <c r="AD82" i="1"/>
  <c r="AE82" i="1"/>
  <c r="AF82" i="1"/>
  <c r="AG82" i="1"/>
  <c r="AH82" i="1"/>
  <c r="AQ82" i="1"/>
  <c r="L82" i="1" s="1"/>
  <c r="I83" i="1"/>
  <c r="E83" i="1" s="1"/>
  <c r="D83" i="1" s="1"/>
  <c r="M83" i="1"/>
  <c r="O83" i="1"/>
  <c r="AA83" i="1"/>
  <c r="AD83" i="1"/>
  <c r="AE83" i="1"/>
  <c r="AF83" i="1"/>
  <c r="AG83" i="1"/>
  <c r="AH83" i="1"/>
  <c r="AQ83" i="1"/>
  <c r="L83" i="1" s="1"/>
  <c r="I84" i="1"/>
  <c r="E84" i="1" s="1"/>
  <c r="D84" i="1" s="1"/>
  <c r="M84" i="1"/>
  <c r="O84" i="1"/>
  <c r="AA84" i="1"/>
  <c r="AD84" i="1"/>
  <c r="AE84" i="1"/>
  <c r="AF84" i="1"/>
  <c r="AG84" i="1"/>
  <c r="AH84" i="1"/>
  <c r="AQ84" i="1"/>
  <c r="L84" i="1" s="1"/>
  <c r="I85" i="1"/>
  <c r="E85" i="1" s="1"/>
  <c r="D85" i="1" s="1"/>
  <c r="M85" i="1"/>
  <c r="O85" i="1"/>
  <c r="AA85" i="1"/>
  <c r="AD85" i="1"/>
  <c r="AE85" i="1"/>
  <c r="AF85" i="1"/>
  <c r="AG85" i="1"/>
  <c r="AH85" i="1"/>
  <c r="AQ85" i="1"/>
  <c r="L85" i="1" s="1"/>
  <c r="I86" i="1"/>
  <c r="E86" i="1" s="1"/>
  <c r="D86" i="1" s="1"/>
  <c r="M86" i="1"/>
  <c r="O86" i="1"/>
  <c r="AA86" i="1"/>
  <c r="AD86" i="1"/>
  <c r="AE86" i="1"/>
  <c r="AF86" i="1"/>
  <c r="AG86" i="1"/>
  <c r="AH86" i="1"/>
  <c r="AQ86" i="1"/>
  <c r="L86" i="1" s="1"/>
  <c r="I87" i="1"/>
  <c r="E87" i="1" s="1"/>
  <c r="D87" i="1" s="1"/>
  <c r="M87" i="1"/>
  <c r="O87" i="1"/>
  <c r="AA87" i="1"/>
  <c r="AD87" i="1"/>
  <c r="AE87" i="1"/>
  <c r="AF87" i="1"/>
  <c r="AG87" i="1"/>
  <c r="AH87" i="1"/>
  <c r="AQ87" i="1"/>
  <c r="L87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I39" i="1"/>
  <c r="E39" i="1"/>
  <c r="D39" i="1"/>
  <c r="I38" i="1"/>
  <c r="E38" i="1"/>
  <c r="D38" i="1"/>
  <c r="I37" i="1"/>
  <c r="E37" i="1"/>
  <c r="D37" i="1"/>
  <c r="I36" i="1"/>
  <c r="E36" i="1"/>
  <c r="D36" i="1"/>
  <c r="I35" i="1"/>
  <c r="E35" i="1"/>
  <c r="D35" i="1"/>
  <c r="I34" i="1"/>
  <c r="E34" i="1"/>
  <c r="D34" i="1"/>
  <c r="I33" i="1"/>
  <c r="E33" i="1"/>
  <c r="D33" i="1"/>
  <c r="I32" i="1"/>
  <c r="E32" i="1"/>
  <c r="D32" i="1"/>
  <c r="I31" i="1"/>
  <c r="E31" i="1"/>
  <c r="D31" i="1"/>
  <c r="I30" i="1"/>
  <c r="E30" i="1"/>
  <c r="D30" i="1"/>
  <c r="I29" i="1"/>
  <c r="E29" i="1"/>
  <c r="D29" i="1"/>
  <c r="I28" i="1"/>
  <c r="E28" i="1"/>
  <c r="D28" i="1"/>
  <c r="I27" i="1"/>
  <c r="E27" i="1"/>
  <c r="D27" i="1"/>
  <c r="I26" i="1"/>
  <c r="E26" i="1"/>
  <c r="D26" i="1"/>
  <c r="I25" i="1"/>
  <c r="E25" i="1"/>
  <c r="D25" i="1"/>
  <c r="I24" i="1"/>
  <c r="E24" i="1"/>
  <c r="D24" i="1"/>
  <c r="I23" i="1"/>
  <c r="E23" i="1"/>
  <c r="D23" i="1"/>
  <c r="I22" i="1"/>
  <c r="E22" i="1"/>
  <c r="D22" i="1"/>
  <c r="I21" i="1"/>
  <c r="E21" i="1"/>
  <c r="D21" i="1"/>
  <c r="I20" i="1"/>
  <c r="E20" i="1"/>
  <c r="D20" i="1"/>
  <c r="I19" i="1"/>
  <c r="E19" i="1"/>
  <c r="D19" i="1"/>
  <c r="I18" i="1"/>
  <c r="E18" i="1"/>
  <c r="D18" i="1"/>
  <c r="I17" i="1"/>
  <c r="E17" i="1"/>
  <c r="D17" i="1"/>
  <c r="I16" i="1"/>
  <c r="E16" i="1"/>
  <c r="D16" i="1"/>
  <c r="I15" i="1"/>
  <c r="E15" i="1"/>
  <c r="D15" i="1"/>
  <c r="I14" i="1"/>
  <c r="E14" i="1"/>
  <c r="D14" i="1"/>
  <c r="I13" i="1"/>
  <c r="E13" i="1"/>
  <c r="D13" i="1"/>
  <c r="I12" i="1"/>
  <c r="E12" i="1"/>
  <c r="D12" i="1"/>
  <c r="I11" i="1"/>
  <c r="E11" i="1"/>
  <c r="D11" i="1"/>
  <c r="I10" i="1"/>
  <c r="E10" i="1"/>
  <c r="D10" i="1"/>
  <c r="I9" i="1"/>
  <c r="E9" i="1"/>
  <c r="D9" i="1"/>
  <c r="I8" i="1"/>
  <c r="E8" i="1"/>
  <c r="D8" i="1"/>
  <c r="I7" i="1"/>
  <c r="E7" i="1"/>
  <c r="D7" i="1"/>
  <c r="I6" i="1"/>
  <c r="E6" i="1"/>
  <c r="D6" i="1"/>
  <c r="I5" i="1"/>
  <c r="E5" i="1"/>
  <c r="D5" i="1"/>
  <c r="I4" i="1"/>
  <c r="E4" i="1"/>
  <c r="D4" i="1"/>
  <c r="I3" i="1"/>
  <c r="AA3" i="1"/>
  <c r="AH3" i="1"/>
  <c r="AG3" i="1"/>
  <c r="AF3" i="1"/>
  <c r="AE3" i="1"/>
  <c r="AD3" i="1"/>
  <c r="AQ39" i="1" l="1"/>
  <c r="L39" i="1" s="1"/>
  <c r="AH39" i="1"/>
  <c r="AG39" i="1"/>
  <c r="AF39" i="1"/>
  <c r="AE39" i="1"/>
  <c r="AD39" i="1"/>
  <c r="AA39" i="1"/>
  <c r="O39" i="1"/>
  <c r="M39" i="1"/>
  <c r="AQ4" i="1"/>
  <c r="L4" i="1" s="1"/>
  <c r="AH4" i="1"/>
  <c r="AG4" i="1"/>
  <c r="AF4" i="1"/>
  <c r="AE4" i="1"/>
  <c r="AD4" i="1"/>
  <c r="AA4" i="1"/>
  <c r="O4" i="1"/>
  <c r="M4" i="1"/>
  <c r="AQ5" i="1"/>
  <c r="L5" i="1" s="1"/>
  <c r="AH5" i="1"/>
  <c r="AG5" i="1"/>
  <c r="AF5" i="1"/>
  <c r="AE5" i="1"/>
  <c r="AD5" i="1"/>
  <c r="AA5" i="1"/>
  <c r="O5" i="1"/>
  <c r="M5" i="1"/>
  <c r="AQ6" i="1"/>
  <c r="L6" i="1" s="1"/>
  <c r="AH6" i="1"/>
  <c r="AG6" i="1"/>
  <c r="AF6" i="1"/>
  <c r="AE6" i="1"/>
  <c r="AD6" i="1"/>
  <c r="AA6" i="1"/>
  <c r="O6" i="1"/>
  <c r="M6" i="1"/>
  <c r="AQ7" i="1"/>
  <c r="L7" i="1" s="1"/>
  <c r="AH7" i="1"/>
  <c r="AG7" i="1"/>
  <c r="AF7" i="1"/>
  <c r="AE7" i="1"/>
  <c r="AD7" i="1"/>
  <c r="AA7" i="1"/>
  <c r="O7" i="1"/>
  <c r="M7" i="1"/>
  <c r="AQ8" i="1"/>
  <c r="L8" i="1" s="1"/>
  <c r="AH8" i="1"/>
  <c r="AG8" i="1"/>
  <c r="AF8" i="1"/>
  <c r="AE8" i="1"/>
  <c r="AD8" i="1"/>
  <c r="AA8" i="1"/>
  <c r="O8" i="1"/>
  <c r="M8" i="1"/>
  <c r="AQ9" i="1"/>
  <c r="L9" i="1" s="1"/>
  <c r="AH9" i="1"/>
  <c r="AG9" i="1"/>
  <c r="AF9" i="1"/>
  <c r="AE9" i="1"/>
  <c r="AD9" i="1"/>
  <c r="AA9" i="1"/>
  <c r="O9" i="1"/>
  <c r="M9" i="1"/>
  <c r="AQ10" i="1"/>
  <c r="L10" i="1" s="1"/>
  <c r="AH10" i="1"/>
  <c r="AG10" i="1"/>
  <c r="AF10" i="1"/>
  <c r="AE10" i="1"/>
  <c r="AD10" i="1"/>
  <c r="AA10" i="1"/>
  <c r="O10" i="1"/>
  <c r="M10" i="1"/>
  <c r="AQ11" i="1"/>
  <c r="L11" i="1" s="1"/>
  <c r="AH11" i="1"/>
  <c r="AG11" i="1"/>
  <c r="AF11" i="1"/>
  <c r="AE11" i="1"/>
  <c r="AD11" i="1"/>
  <c r="AA11" i="1"/>
  <c r="O11" i="1"/>
  <c r="M11" i="1"/>
  <c r="AQ12" i="1"/>
  <c r="L12" i="1" s="1"/>
  <c r="AH12" i="1"/>
  <c r="AG12" i="1"/>
  <c r="AF12" i="1"/>
  <c r="AE12" i="1"/>
  <c r="AD12" i="1"/>
  <c r="AA12" i="1"/>
  <c r="O12" i="1"/>
  <c r="M12" i="1"/>
  <c r="AQ13" i="1"/>
  <c r="L13" i="1" s="1"/>
  <c r="AH13" i="1"/>
  <c r="AG13" i="1"/>
  <c r="AF13" i="1"/>
  <c r="AE13" i="1"/>
  <c r="AD13" i="1"/>
  <c r="AA13" i="1"/>
  <c r="O13" i="1"/>
  <c r="M13" i="1"/>
  <c r="AQ14" i="1"/>
  <c r="L14" i="1" s="1"/>
  <c r="AH14" i="1"/>
  <c r="AG14" i="1"/>
  <c r="AF14" i="1"/>
  <c r="AE14" i="1"/>
  <c r="AD14" i="1"/>
  <c r="AA14" i="1"/>
  <c r="O14" i="1"/>
  <c r="M14" i="1"/>
  <c r="AQ15" i="1"/>
  <c r="L15" i="1" s="1"/>
  <c r="AH15" i="1"/>
  <c r="AG15" i="1"/>
  <c r="AF15" i="1"/>
  <c r="AE15" i="1"/>
  <c r="AD15" i="1"/>
  <c r="AA15" i="1"/>
  <c r="O15" i="1"/>
  <c r="M15" i="1"/>
  <c r="AQ16" i="1"/>
  <c r="L16" i="1" s="1"/>
  <c r="AH16" i="1"/>
  <c r="AG16" i="1"/>
  <c r="AF16" i="1"/>
  <c r="AE16" i="1"/>
  <c r="AD16" i="1"/>
  <c r="AA16" i="1"/>
  <c r="O16" i="1"/>
  <c r="M16" i="1"/>
  <c r="AQ17" i="1"/>
  <c r="L17" i="1" s="1"/>
  <c r="AH17" i="1"/>
  <c r="AG17" i="1"/>
  <c r="AF17" i="1"/>
  <c r="AE17" i="1"/>
  <c r="AD17" i="1"/>
  <c r="AA17" i="1"/>
  <c r="O17" i="1"/>
  <c r="M17" i="1"/>
  <c r="AQ18" i="1"/>
  <c r="L18" i="1" s="1"/>
  <c r="AH18" i="1"/>
  <c r="AG18" i="1"/>
  <c r="AF18" i="1"/>
  <c r="AE18" i="1"/>
  <c r="AD18" i="1"/>
  <c r="AA18" i="1"/>
  <c r="O18" i="1"/>
  <c r="M18" i="1"/>
  <c r="AQ19" i="1"/>
  <c r="L19" i="1" s="1"/>
  <c r="AH19" i="1"/>
  <c r="AG19" i="1"/>
  <c r="AF19" i="1"/>
  <c r="AE19" i="1"/>
  <c r="AD19" i="1"/>
  <c r="AA19" i="1"/>
  <c r="O19" i="1"/>
  <c r="M19" i="1"/>
  <c r="AQ20" i="1"/>
  <c r="L20" i="1" s="1"/>
  <c r="AH20" i="1"/>
  <c r="AG20" i="1"/>
  <c r="AF20" i="1"/>
  <c r="AE20" i="1"/>
  <c r="AD20" i="1"/>
  <c r="AA20" i="1"/>
  <c r="O20" i="1"/>
  <c r="M20" i="1"/>
  <c r="AQ21" i="1"/>
  <c r="L21" i="1" s="1"/>
  <c r="AH21" i="1"/>
  <c r="AG21" i="1"/>
  <c r="AF21" i="1"/>
  <c r="AE21" i="1"/>
  <c r="AD21" i="1"/>
  <c r="AA21" i="1"/>
  <c r="O21" i="1"/>
  <c r="M21" i="1"/>
  <c r="AQ22" i="1"/>
  <c r="L22" i="1" s="1"/>
  <c r="AH22" i="1"/>
  <c r="AG22" i="1"/>
  <c r="AF22" i="1"/>
  <c r="AE22" i="1"/>
  <c r="AD22" i="1"/>
  <c r="AA22" i="1"/>
  <c r="O22" i="1"/>
  <c r="M22" i="1"/>
  <c r="AQ23" i="1"/>
  <c r="L23" i="1" s="1"/>
  <c r="AH23" i="1"/>
  <c r="AG23" i="1"/>
  <c r="AF23" i="1"/>
  <c r="AE23" i="1"/>
  <c r="AD23" i="1"/>
  <c r="AA23" i="1"/>
  <c r="O23" i="1"/>
  <c r="M23" i="1"/>
  <c r="AQ24" i="1"/>
  <c r="L24" i="1" s="1"/>
  <c r="AH24" i="1"/>
  <c r="AG24" i="1"/>
  <c r="AF24" i="1"/>
  <c r="AE24" i="1"/>
  <c r="AD24" i="1"/>
  <c r="AA24" i="1"/>
  <c r="O24" i="1"/>
  <c r="M24" i="1"/>
  <c r="AQ25" i="1"/>
  <c r="L25" i="1" s="1"/>
  <c r="AH25" i="1"/>
  <c r="AG25" i="1"/>
  <c r="AF25" i="1"/>
  <c r="AE25" i="1"/>
  <c r="AD25" i="1"/>
  <c r="AA25" i="1"/>
  <c r="O25" i="1"/>
  <c r="M25" i="1"/>
  <c r="AQ26" i="1"/>
  <c r="L26" i="1" s="1"/>
  <c r="AH26" i="1"/>
  <c r="AG26" i="1"/>
  <c r="AF26" i="1"/>
  <c r="AE26" i="1"/>
  <c r="AD26" i="1"/>
  <c r="AA26" i="1"/>
  <c r="O26" i="1"/>
  <c r="M26" i="1"/>
  <c r="AQ27" i="1"/>
  <c r="L27" i="1" s="1"/>
  <c r="AH27" i="1"/>
  <c r="AG27" i="1"/>
  <c r="AF27" i="1"/>
  <c r="AE27" i="1"/>
  <c r="AD27" i="1"/>
  <c r="AA27" i="1"/>
  <c r="O27" i="1"/>
  <c r="M27" i="1"/>
  <c r="AQ28" i="1"/>
  <c r="L28" i="1" s="1"/>
  <c r="AH28" i="1"/>
  <c r="AG28" i="1"/>
  <c r="AF28" i="1"/>
  <c r="AE28" i="1"/>
  <c r="AD28" i="1"/>
  <c r="AA28" i="1"/>
  <c r="O28" i="1"/>
  <c r="M28" i="1"/>
  <c r="AQ29" i="1"/>
  <c r="L29" i="1" s="1"/>
  <c r="AH29" i="1"/>
  <c r="AG29" i="1"/>
  <c r="AF29" i="1"/>
  <c r="AE29" i="1"/>
  <c r="AD29" i="1"/>
  <c r="AA29" i="1"/>
  <c r="O29" i="1"/>
  <c r="M29" i="1"/>
  <c r="AQ30" i="1"/>
  <c r="L30" i="1" s="1"/>
  <c r="AH30" i="1"/>
  <c r="AG30" i="1"/>
  <c r="AF30" i="1"/>
  <c r="AE30" i="1"/>
  <c r="AD30" i="1"/>
  <c r="AA30" i="1"/>
  <c r="O30" i="1"/>
  <c r="M30" i="1"/>
  <c r="AQ31" i="1"/>
  <c r="L31" i="1" s="1"/>
  <c r="AH31" i="1"/>
  <c r="AG31" i="1"/>
  <c r="AF31" i="1"/>
  <c r="AE31" i="1"/>
  <c r="AD31" i="1"/>
  <c r="AA31" i="1"/>
  <c r="O31" i="1"/>
  <c r="M31" i="1"/>
  <c r="AQ32" i="1"/>
  <c r="L32" i="1" s="1"/>
  <c r="AH32" i="1"/>
  <c r="AG32" i="1"/>
  <c r="AF32" i="1"/>
  <c r="AE32" i="1"/>
  <c r="AD32" i="1"/>
  <c r="AA32" i="1"/>
  <c r="O32" i="1"/>
  <c r="M32" i="1"/>
  <c r="AQ33" i="1"/>
  <c r="L33" i="1" s="1"/>
  <c r="AH33" i="1"/>
  <c r="AG33" i="1"/>
  <c r="AF33" i="1"/>
  <c r="AE33" i="1"/>
  <c r="AD33" i="1"/>
  <c r="AA33" i="1"/>
  <c r="O33" i="1"/>
  <c r="M33" i="1"/>
  <c r="AQ34" i="1"/>
  <c r="L34" i="1" s="1"/>
  <c r="AH34" i="1"/>
  <c r="AG34" i="1"/>
  <c r="AF34" i="1"/>
  <c r="AE34" i="1"/>
  <c r="AD34" i="1"/>
  <c r="AA34" i="1"/>
  <c r="O34" i="1"/>
  <c r="M34" i="1"/>
  <c r="AQ35" i="1"/>
  <c r="L35" i="1" s="1"/>
  <c r="AH35" i="1"/>
  <c r="AG35" i="1"/>
  <c r="AF35" i="1"/>
  <c r="AE35" i="1"/>
  <c r="AD35" i="1"/>
  <c r="AA35" i="1"/>
  <c r="O35" i="1"/>
  <c r="M35" i="1"/>
  <c r="AQ36" i="1"/>
  <c r="L36" i="1" s="1"/>
  <c r="AH36" i="1"/>
  <c r="AG36" i="1"/>
  <c r="AF36" i="1"/>
  <c r="AE36" i="1"/>
  <c r="AD36" i="1"/>
  <c r="AA36" i="1"/>
  <c r="O36" i="1"/>
  <c r="M36" i="1"/>
  <c r="AQ37" i="1"/>
  <c r="L37" i="1" s="1"/>
  <c r="AH37" i="1"/>
  <c r="AG37" i="1"/>
  <c r="AF37" i="1"/>
  <c r="AE37" i="1"/>
  <c r="AD37" i="1"/>
  <c r="AA37" i="1"/>
  <c r="O37" i="1"/>
  <c r="M37" i="1"/>
  <c r="AQ38" i="1"/>
  <c r="L38" i="1" s="1"/>
  <c r="AH38" i="1"/>
  <c r="AG38" i="1"/>
  <c r="AF38" i="1"/>
  <c r="AE38" i="1"/>
  <c r="AD38" i="1"/>
  <c r="AA38" i="1"/>
  <c r="O38" i="1"/>
  <c r="M38" i="1"/>
  <c r="M3" i="1"/>
  <c r="O3" i="1"/>
  <c r="AQ3" i="1"/>
  <c r="L3" i="1" s="1"/>
  <c r="E3" i="1"/>
  <c r="D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tc={6CE8F6CE-A635-46D7-A095-A002CAB260BF}</author>
    <author>tc={340B8824-8377-464A-8FD2-CACA71AFD998}</author>
  </authors>
  <commentList>
    <comment ref="J3" authorId="0" shapeId="0" xr:uid="{6CE8F6CE-A635-46D7-A095-A002CAB260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Hierin moet het totaal aantal colli van de BL ingevuld worden </t>
      </text>
    </comment>
    <comment ref="N3" authorId="1" shapeId="0" xr:uid="{340B8824-8377-464A-8FD2-CACA71AFD9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Hiern moet het totale gewicht van de BL ingevuld worden </t>
      </text>
    </comment>
  </commentList>
</comments>
</file>

<file path=xl/sharedStrings.xml><?xml version="1.0" encoding="utf-8"?>
<sst xmlns="http://schemas.openxmlformats.org/spreadsheetml/2006/main" count="29531" uniqueCount="1343">
  <si>
    <t>(standaard = container)</t>
  </si>
  <si>
    <t>(2020-04-20)</t>
  </si>
  <si>
    <t>(12:00)</t>
  </si>
  <si>
    <t>indien vrachtlijst</t>
  </si>
  <si>
    <t>indien T1/MZL</t>
  </si>
  <si>
    <t>TemplateCode</t>
  </si>
  <si>
    <t>ActiveCompany</t>
  </si>
  <si>
    <t>referte (vak 7)</t>
  </si>
  <si>
    <t>Afzender</t>
  </si>
  <si>
    <t>Opdrachtgever</t>
  </si>
  <si>
    <t>contact</t>
  </si>
  <si>
    <t>Gewenste datum insturen AangifteDatum</t>
  </si>
  <si>
    <t>Gewenste uur insturen AangifteTijd</t>
  </si>
  <si>
    <t>Container</t>
  </si>
  <si>
    <t>GoederenCode</t>
  </si>
  <si>
    <t>BrutoGewicht</t>
  </si>
  <si>
    <t>netto gewicht</t>
  </si>
  <si>
    <t>Vrachtlijst</t>
  </si>
  <si>
    <t>Lloydsnummer</t>
  </si>
  <si>
    <t>BillOfLading</t>
  </si>
  <si>
    <t>Artikel</t>
  </si>
  <si>
    <t>Item</t>
  </si>
  <si>
    <t>CarrierCode
Agentcode</t>
  </si>
  <si>
    <t>Voorafg doc type</t>
  </si>
  <si>
    <t>Voorafg document</t>
  </si>
  <si>
    <t>datum voorafg document</t>
  </si>
  <si>
    <t>Kaai</t>
  </si>
  <si>
    <t>Schip</t>
  </si>
  <si>
    <t>Merken en nummers</t>
  </si>
  <si>
    <t>SchipLandcode</t>
  </si>
  <si>
    <t>BestemmelingNaam</t>
  </si>
  <si>
    <t>BestemmelingStraat</t>
  </si>
  <si>
    <t>BestemmelingPostcode</t>
  </si>
  <si>
    <t>BestemmelingPlaats</t>
  </si>
  <si>
    <t>BestemmelingLand</t>
  </si>
  <si>
    <t>DouanekantoorBestemming</t>
  </si>
  <si>
    <t>LandVanVertrek</t>
  </si>
  <si>
    <t>GrensTransportMode</t>
  </si>
  <si>
    <t>InlandTransportMode</t>
  </si>
  <si>
    <t>InlandTransportIdentiteit</t>
  </si>
  <si>
    <t>VIN</t>
  </si>
  <si>
    <t>ZEGEL</t>
  </si>
  <si>
    <t>CONTACT</t>
  </si>
  <si>
    <t>OPDRACHTGEVER</t>
  </si>
  <si>
    <t>DOUANEKANTOREN</t>
  </si>
  <si>
    <t>Aantal 
Verpakkingen</t>
  </si>
  <si>
    <t>Type 
Verpakkingen</t>
  </si>
  <si>
    <t>Goederen
omschrijving</t>
  </si>
  <si>
    <t>Bestemmeling
Naam</t>
  </si>
  <si>
    <t>Bestemmeling
Straat</t>
  </si>
  <si>
    <t>KvB</t>
  </si>
  <si>
    <t>Boekingsref</t>
  </si>
  <si>
    <t>HS CODE</t>
  </si>
  <si>
    <t>PK</t>
  </si>
  <si>
    <t>TBN</t>
  </si>
  <si>
    <t>CN</t>
  </si>
  <si>
    <t>PORTMAD869</t>
  </si>
  <si>
    <t>EMPTYSIMPT1</t>
  </si>
  <si>
    <t>IMPORT</t>
  </si>
  <si>
    <t>SKIIFM_AT</t>
  </si>
  <si>
    <t>shipping.bln@skygroup.nl,operation02@skygroup.nl,Operation11@skygroup.nl,Operation10@skygroup.nl,operation15@skygroup.nl,operation09@skygroup.nl,operation19@skygroup.nl,operation12@skygroup.nl,operation23@skygroup.nl,operation25@skygroup.nl,operation24@skygroup.nl,operation04@skygroup.nl,operation37@skygroup.nl,operation08@skygroup.nl,operation34@skygroup.nl</t>
  </si>
  <si>
    <t>OUR REF</t>
  </si>
  <si>
    <t>CONTAINERNO</t>
  </si>
  <si>
    <t>GROSSWGT</t>
  </si>
  <si>
    <t>COCOIMPORT</t>
  </si>
  <si>
    <t>DESC</t>
  </si>
  <si>
    <t>QTY</t>
  </si>
  <si>
    <t>3926909790</t>
  </si>
  <si>
    <t>KEURPUNT</t>
  </si>
  <si>
    <t>Noordkaai 9</t>
  </si>
  <si>
    <t>ANTWERPEN</t>
  </si>
  <si>
    <t>BE</t>
  </si>
  <si>
    <t>BE101000</t>
  </si>
  <si>
    <t>3916100090</t>
  </si>
  <si>
    <t>SEALING STRIP</t>
  </si>
  <si>
    <t>3920102490</t>
  </si>
  <si>
    <t>POLYETHYLENE PROTECTION FILM</t>
  </si>
  <si>
    <t>3920108990</t>
  </si>
  <si>
    <t>PE FILM</t>
  </si>
  <si>
    <t>GROUND GRID</t>
  </si>
  <si>
    <t>7419200090</t>
  </si>
  <si>
    <t>JACK STAND</t>
  </si>
  <si>
    <t>7616999099</t>
  </si>
  <si>
    <t>REPAIR MACHINE PULLER</t>
  </si>
  <si>
    <t>8202100000</t>
  </si>
  <si>
    <t>MANUAL HIGH BRANCH SAW</t>
  </si>
  <si>
    <t>8203200000</t>
  </si>
  <si>
    <t>FORGING PLIERS</t>
  </si>
  <si>
    <t>8205510000</t>
  </si>
  <si>
    <t>CAN OPENER</t>
  </si>
  <si>
    <t>8205598000</t>
  </si>
  <si>
    <t>8205700000</t>
  </si>
  <si>
    <t>A VICE</t>
  </si>
  <si>
    <t>8207501000</t>
  </si>
  <si>
    <t>DIAMOND BIT</t>
  </si>
  <si>
    <t>8210000000</t>
  </si>
  <si>
    <t>MANUAL  MEAT GRINDER</t>
  </si>
  <si>
    <t>8303009000</t>
  </si>
  <si>
    <t>8418690099</t>
  </si>
  <si>
    <t>ENGRAVING MACHINE CHILLER</t>
  </si>
  <si>
    <t>8419899890</t>
  </si>
  <si>
    <t>8425110000</t>
  </si>
  <si>
    <t>ELECTRIC HOIST</t>
  </si>
  <si>
    <t>8425190000</t>
  </si>
  <si>
    <t>LIFTING BLOCK</t>
  </si>
  <si>
    <t>8425490000</t>
  </si>
  <si>
    <t>JACK</t>
  </si>
  <si>
    <t>8431100000</t>
  </si>
  <si>
    <t>MONORAIL CAR</t>
  </si>
  <si>
    <t>8431498090</t>
  </si>
  <si>
    <t>TOWING HOOK</t>
  </si>
  <si>
    <t>8436809000</t>
  </si>
  <si>
    <t>HONEY EXTRACTOR</t>
  </si>
  <si>
    <t>8460390000</t>
  </si>
  <si>
    <t>GRINDING MACHINE</t>
  </si>
  <si>
    <t>8464900000</t>
  </si>
  <si>
    <t>ENGRAVING MACHINE</t>
  </si>
  <si>
    <t>8466300000</t>
  </si>
  <si>
    <t>INDEXING PLATE</t>
  </si>
  <si>
    <t>8466936000</t>
  </si>
  <si>
    <t>MILLING MACHINE TABLE</t>
  </si>
  <si>
    <t>8474809000</t>
  </si>
  <si>
    <t>DRAWING MACHINE</t>
  </si>
  <si>
    <t>8479899790</t>
  </si>
  <si>
    <t>DISASSEMBLER</t>
  </si>
  <si>
    <t>8515809000</t>
  </si>
  <si>
    <t>WELDING TORCH</t>
  </si>
  <si>
    <t>8516900099</t>
  </si>
  <si>
    <t>EXHAUST PIPE KIT</t>
  </si>
  <si>
    <t>8708709985</t>
  </si>
  <si>
    <t>CAR WHEEL COVER</t>
  </si>
  <si>
    <t>9503001000</t>
  </si>
  <si>
    <t>8716800000</t>
  </si>
  <si>
    <t>GARDEN CART</t>
  </si>
  <si>
    <t>8716909098</t>
  </si>
  <si>
    <t>BOX TRUCK SUPPORT</t>
  </si>
  <si>
    <t>9401710000</t>
  </si>
  <si>
    <t>SEAT</t>
  </si>
  <si>
    <t>9403208000</t>
  </si>
  <si>
    <t>STEEL KITCHEN TABLE</t>
  </si>
  <si>
    <t>PCKQTY</t>
    <phoneticPr fontId="4" type="noConversion"/>
  </si>
  <si>
    <t>MSCBEL</t>
  </si>
  <si>
    <t xml:space="preserve">AANTAL COLLI BL </t>
  </si>
  <si>
    <t xml:space="preserve">TOTAAL GEWICHT </t>
  </si>
  <si>
    <t>referentie opdracht</t>
  </si>
  <si>
    <t>D&amp;G EXPRESS LOGISTICS</t>
  </si>
  <si>
    <t>LUITHAGEN HAVEN 2 D</t>
  </si>
  <si>
    <t>WD-125020309</t>
  </si>
  <si>
    <t>MSMU8240149</t>
  </si>
  <si>
    <t>8414808090</t>
  </si>
  <si>
    <t>AIR COMPRESSOR</t>
  </si>
  <si>
    <t>8412390090</t>
  </si>
  <si>
    <t>AIR PRESSURE KIT BRAKE</t>
  </si>
  <si>
    <t>ALUMINUM LADDER</t>
  </si>
  <si>
    <t>4016999790</t>
  </si>
  <si>
    <t>CABLE PROTECTOR</t>
  </si>
  <si>
    <t>7610909095</t>
  </si>
  <si>
    <t>CANOPY</t>
  </si>
  <si>
    <t>9032890090</t>
  </si>
  <si>
    <t>CARBON DIOXIDE REGULATING GAS METER</t>
  </si>
  <si>
    <t>CART</t>
  </si>
  <si>
    <t>8459590000</t>
  </si>
  <si>
    <t>CHAIN SAW BRACKET</t>
  </si>
  <si>
    <t>8466934000</t>
  </si>
  <si>
    <t>CNC ROUTER RAIL</t>
  </si>
  <si>
    <t>E-TRACK</t>
  </si>
  <si>
    <t>EXHIBITION STAND</t>
  </si>
  <si>
    <t>8531109590</t>
  </si>
  <si>
    <t>GLASS FIBER</t>
  </si>
  <si>
    <t>HYDRAULIC OPENING DEVICE</t>
  </si>
  <si>
    <t>8302411000</t>
  </si>
  <si>
    <t>IRON HANGING RAIL</t>
  </si>
  <si>
    <t>8538909189</t>
  </si>
  <si>
    <t>KIT-ISOLATOR HARNESS</t>
  </si>
  <si>
    <t>8304000000</t>
  </si>
  <si>
    <t>LITERTURE DISPLAY</t>
  </si>
  <si>
    <t>8543709099</t>
  </si>
  <si>
    <t>METAL CHICKEN NEST BOX</t>
  </si>
  <si>
    <t>NICHE</t>
  </si>
  <si>
    <t>9506919000</t>
  </si>
  <si>
    <t>PILATES REFORMER</t>
  </si>
  <si>
    <t>8204200000</t>
  </si>
  <si>
    <t>PNEUMATIC WRENCH</t>
  </si>
  <si>
    <t>8413608090</t>
  </si>
  <si>
    <t>POOL PUMP</t>
  </si>
  <si>
    <t>8467295900</t>
  </si>
  <si>
    <t>PUNCHING AND SHEARING MACHINE</t>
  </si>
  <si>
    <t>8421210090</t>
  </si>
  <si>
    <t>SAND FILTER PUMP</t>
  </si>
  <si>
    <t>TELESCOPIC ALUMINUM LADDER</t>
  </si>
  <si>
    <t>TILES CUTTER</t>
  </si>
  <si>
    <t>8413820000</t>
  </si>
  <si>
    <t>TRANSFER PUMP</t>
  </si>
  <si>
    <t>TURNTABLE</t>
  </si>
  <si>
    <t>8413502090</t>
  </si>
  <si>
    <t>WATER PUMP</t>
  </si>
  <si>
    <t>WELDING WORKBENCH</t>
  </si>
  <si>
    <t>WD-125020315</t>
  </si>
  <si>
    <t>MSMU8568605</t>
  </si>
  <si>
    <t>8467119000</t>
  </si>
  <si>
    <t>AIR IMPACT WRENCH</t>
  </si>
  <si>
    <t>8414510090</t>
  </si>
  <si>
    <t>AIRBRUSH SPRAY BOOTH</t>
  </si>
  <si>
    <t>3917390099</t>
  </si>
  <si>
    <t>ALUMINUM PLASTIC PIPE</t>
  </si>
  <si>
    <t>7615101090</t>
  </si>
  <si>
    <t>ALUMINUM POT SET</t>
  </si>
  <si>
    <t>9016009000</t>
  </si>
  <si>
    <t>ANALYTICAL BALANCE</t>
  </si>
  <si>
    <t>8414599590</t>
  </si>
  <si>
    <t>AXIAL FAN</t>
  </si>
  <si>
    <t>BADGE MACHINE ACCESSORIES</t>
  </si>
  <si>
    <t>BENDER</t>
  </si>
  <si>
    <t>8472901000</t>
  </si>
  <si>
    <t>BILL MONEY COUNTER</t>
  </si>
  <si>
    <t>8460409000</t>
  </si>
  <si>
    <t>BIT GRINDER</t>
  </si>
  <si>
    <t>8472908000</t>
  </si>
  <si>
    <t>BUTTON MAKER</t>
  </si>
  <si>
    <t>CANOE DISPLAY STAND</t>
  </si>
  <si>
    <t>3918900090</t>
  </si>
  <si>
    <t>CARPET</t>
  </si>
  <si>
    <t>8413708990</t>
  </si>
  <si>
    <t>CENTRIFUGAL PUMP</t>
  </si>
  <si>
    <t>9503008190</t>
  </si>
  <si>
    <t>CHILDREN'S ROCKING HORSE</t>
  </si>
  <si>
    <t>9504908000</t>
  </si>
  <si>
    <t>CHIP SET</t>
  </si>
  <si>
    <t>4016910000</t>
  </si>
  <si>
    <t>DECELERATION RAMP</t>
  </si>
  <si>
    <t>8467219900</t>
  </si>
  <si>
    <t>DRILLING MACHINE</t>
  </si>
  <si>
    <t>8207509000</t>
  </si>
  <si>
    <t>DRILLING TOOL</t>
  </si>
  <si>
    <t>ELECTRIC JACK</t>
  </si>
  <si>
    <t>ELECTRIC PUNCHING SHEAR</t>
  </si>
  <si>
    <t>8413200090</t>
  </si>
  <si>
    <t>FILLING MACHINE</t>
  </si>
  <si>
    <t>7616999009</t>
  </si>
  <si>
    <t>FLAGPOLE KITS</t>
  </si>
  <si>
    <t>8479820000</t>
  </si>
  <si>
    <t>8516330000</t>
  </si>
  <si>
    <t>HAND DRIER</t>
  </si>
  <si>
    <t>8467190000</t>
  </si>
  <si>
    <t>HEAVY DUTY CONCRETE NAILER</t>
  </si>
  <si>
    <t>8708999790</t>
  </si>
  <si>
    <t>HITCH STEPS</t>
  </si>
  <si>
    <t>8467890000</t>
  </si>
  <si>
    <t>8509800000</t>
  </si>
  <si>
    <t>ICE CRUSHER</t>
  </si>
  <si>
    <t>ICE MAKER</t>
  </si>
  <si>
    <t>8504409590</t>
  </si>
  <si>
    <t>INVERTER</t>
  </si>
  <si>
    <t>KEY CABINET</t>
  </si>
  <si>
    <t>8422400000</t>
  </si>
  <si>
    <t>LABELLER</t>
  </si>
  <si>
    <t>8515290000</t>
  </si>
  <si>
    <t>MANUAL TILE CUTTER</t>
  </si>
  <si>
    <t>9027200000</t>
  </si>
  <si>
    <t>MEASURING WHEEL</t>
  </si>
  <si>
    <t>METAL DETECTOR</t>
  </si>
  <si>
    <t>8714109090</t>
  </si>
  <si>
    <t>MOTORCYCLE TRUNK</t>
  </si>
  <si>
    <t>9405423990</t>
  </si>
  <si>
    <t>PHOTOGRAPHY SOFTBOX</t>
  </si>
  <si>
    <t>3925908000</t>
  </si>
  <si>
    <t>PLASTIC ESCALATOR</t>
  </si>
  <si>
    <t>8467295100</t>
  </si>
  <si>
    <t>POLISHING MACHINE</t>
  </si>
  <si>
    <t>8438101000</t>
  </si>
  <si>
    <t>POPCORN MACHINE</t>
  </si>
  <si>
    <t>3923900000</t>
  </si>
  <si>
    <t>PORTABLE FUEL TANK</t>
  </si>
  <si>
    <t>9026202000</t>
  </si>
  <si>
    <t>PRESSURE GAUGE</t>
  </si>
  <si>
    <t>5609000000</t>
  </si>
  <si>
    <t>RATCHET BELT</t>
  </si>
  <si>
    <t>REPAIR STOOL</t>
  </si>
  <si>
    <t>3924100090</t>
  </si>
  <si>
    <t>RICE BIN</t>
  </si>
  <si>
    <t>SAFE DEPOSIT BOX</t>
  </si>
  <si>
    <t>8438500000</t>
  </si>
  <si>
    <t>SAWING MACHINE</t>
  </si>
  <si>
    <t>8428909080</t>
  </si>
  <si>
    <t>SCISSOR LIFT</t>
  </si>
  <si>
    <t>9401800000</t>
  </si>
  <si>
    <t>SHOWER SEATS</t>
  </si>
  <si>
    <t>9401790000</t>
  </si>
  <si>
    <t>SHOWER STOOL</t>
  </si>
  <si>
    <t>8424301000</t>
  </si>
  <si>
    <t>SPRAY MACHINE</t>
  </si>
  <si>
    <t>8424410000</t>
  </si>
  <si>
    <t>SPRAYER</t>
  </si>
  <si>
    <t>4202929890</t>
  </si>
  <si>
    <t>STORAGE CASE</t>
  </si>
  <si>
    <t>8302200090</t>
  </si>
  <si>
    <t>SWIVEL CASTERS WHEEL</t>
  </si>
  <si>
    <t>TELESCOPIC LADDER</t>
  </si>
  <si>
    <t>9026208000</t>
  </si>
  <si>
    <t>TEST PRESSURE GAUGE SET</t>
  </si>
  <si>
    <t>TROLLEY</t>
  </si>
  <si>
    <t>8708299000</t>
  </si>
  <si>
    <t>UNIVERSAL SPOILIER WING</t>
  </si>
  <si>
    <t>9617000000</t>
  </si>
  <si>
    <t>VACUUM BUCKET</t>
  </si>
  <si>
    <t>8508190000</t>
  </si>
  <si>
    <t>VACUUM CLEANER</t>
  </si>
  <si>
    <t>8414108990</t>
  </si>
  <si>
    <t>VACUUM PUMP GAUGE SET</t>
  </si>
  <si>
    <t>8422300000</t>
  </si>
  <si>
    <t>VACUUM SEALING MACHINE</t>
  </si>
  <si>
    <t>4420909990</t>
  </si>
  <si>
    <t>WATCH WINDER</t>
  </si>
  <si>
    <t>9506911000</t>
  </si>
  <si>
    <t>WORKOUT BENCH</t>
  </si>
  <si>
    <t>WD-125020298</t>
  </si>
  <si>
    <t>MSMU8704276</t>
  </si>
  <si>
    <t>ALUMINUM STAIR RAILING</t>
  </si>
  <si>
    <t>8302500000</t>
  </si>
  <si>
    <t>BAR HANGER</t>
  </si>
  <si>
    <t>7010902100</t>
  </si>
  <si>
    <t>BEVERAGE DISPENSER</t>
  </si>
  <si>
    <t>CHAIN WITH HOOK</t>
  </si>
  <si>
    <t>8480710000</t>
  </si>
  <si>
    <t>CONCRETE STAMP</t>
  </si>
  <si>
    <t>8419400090</t>
  </si>
  <si>
    <t>DISTILLER</t>
  </si>
  <si>
    <t>DUNNAGE RACK</t>
  </si>
  <si>
    <t>ELECTRIC MEAT SLICER</t>
  </si>
  <si>
    <t>8465990000</t>
  </si>
  <si>
    <t>ENGRAVING DRILLING MILLING MACHINE</t>
  </si>
  <si>
    <t>9403890090</t>
  </si>
  <si>
    <t>FABRIC ROOM DIVIDER</t>
  </si>
  <si>
    <t>8421999099</t>
  </si>
  <si>
    <t>FIBER FILTER BALL</t>
  </si>
  <si>
    <t>9401200000</t>
  </si>
  <si>
    <t>FORKLIFT SEAT</t>
  </si>
  <si>
    <t>FORKLIFT WORKING PLATFORM</t>
  </si>
  <si>
    <t>FOUNTAIN</t>
  </si>
  <si>
    <t>8504406090</t>
  </si>
  <si>
    <t>FREQUENCY CONVERTER</t>
  </si>
  <si>
    <t>HANDRAIL</t>
  </si>
  <si>
    <t>8423109000</t>
  </si>
  <si>
    <t>HANGING SCALE</t>
  </si>
  <si>
    <t>3923109090</t>
  </si>
  <si>
    <t>HEAT INSULATION BOX</t>
  </si>
  <si>
    <t>8481201090</t>
  </si>
  <si>
    <t>HYDRAULIC CONTROL VALVE</t>
  </si>
  <si>
    <t>8414208090</t>
  </si>
  <si>
    <t>HYDRAULIC FOOT PUMP</t>
  </si>
  <si>
    <t>ICE CREAM MACHINERY</t>
  </si>
  <si>
    <t>9017300000</t>
  </si>
  <si>
    <t>IMPERIAL GRADE ROD</t>
  </si>
  <si>
    <t>INTERLOCKING EVENT FLOORING</t>
  </si>
  <si>
    <t>IVY FENCE</t>
  </si>
  <si>
    <t>8501310099</t>
  </si>
  <si>
    <t>LINEAR ACTUATOR</t>
  </si>
  <si>
    <t>MAGNETIC CLEANER</t>
  </si>
  <si>
    <t>8443197000</t>
  </si>
  <si>
    <t>MANUAL ETCHER</t>
  </si>
  <si>
    <t>8413190090</t>
  </si>
  <si>
    <t>MANUAL PRESSURE TEST PUMP</t>
  </si>
  <si>
    <t>8501320099</t>
  </si>
  <si>
    <t>MOTOR</t>
  </si>
  <si>
    <t>8428208000</t>
  </si>
  <si>
    <t>MOTORCYCLE LIFT STAND</t>
  </si>
  <si>
    <t>OUTDOOR FOLDING CHAIR</t>
  </si>
  <si>
    <t>PARALLEL BARS</t>
  </si>
  <si>
    <t>9010600000</t>
  </si>
  <si>
    <t>PROJECTOR SCREEN</t>
  </si>
  <si>
    <t>RV VENT FAN</t>
  </si>
  <si>
    <t>SAFETY TRAFFIC PVC CONES</t>
  </si>
  <si>
    <t>7616910000</t>
  </si>
  <si>
    <t>SCREEN PRINTING</t>
  </si>
  <si>
    <t>3926200000</t>
  </si>
  <si>
    <t>SILICONE CLOTHING</t>
  </si>
  <si>
    <t>SMOOTH HEATING WATER PIPE</t>
  </si>
  <si>
    <t>RAILING</t>
  </si>
  <si>
    <t>SWIMMING POOL HANDRAILS</t>
  </si>
  <si>
    <t>9403910090</t>
  </si>
  <si>
    <t>TABLE LEGS</t>
  </si>
  <si>
    <t>8207409000</t>
  </si>
  <si>
    <t>TAP AND MOLD GROUP</t>
  </si>
  <si>
    <t>TERMINAL ALUMINUM LADDER</t>
  </si>
  <si>
    <t>TIRE RETRACTOR</t>
  </si>
  <si>
    <t>8204110000</t>
  </si>
  <si>
    <t>TORQUE WRENCH</t>
  </si>
  <si>
    <t>TRACTOR</t>
  </si>
  <si>
    <t>ULTRASONIC JEWELRY CLEANER</t>
  </si>
  <si>
    <t>9027899000</t>
  </si>
  <si>
    <t>WATER TANK TESTER</t>
  </si>
  <si>
    <t>5607909090</t>
  </si>
  <si>
    <t>WINCH LINE</t>
  </si>
  <si>
    <t>5607491900</t>
  </si>
  <si>
    <t>WINCH ROPE</t>
  </si>
  <si>
    <t>WD-125030057</t>
  </si>
  <si>
    <t>TCNU1351860</t>
  </si>
  <si>
    <t>AIR COLUMN BAG</t>
  </si>
  <si>
    <t>AIR HOCKEY TABLE</t>
  </si>
  <si>
    <t>8438809900</t>
  </si>
  <si>
    <t>COIL</t>
  </si>
  <si>
    <t>DENT REPAIR KIT</t>
  </si>
  <si>
    <t>DINING STOVE</t>
  </si>
  <si>
    <t>FIXED TUB TRANSFER BENCH</t>
  </si>
  <si>
    <t>FORT BUILDING KIT（BEAD）</t>
  </si>
  <si>
    <t>GARAGE TOOL CABINET</t>
  </si>
  <si>
    <t>GRADED CARD STORAGE BOX</t>
  </si>
  <si>
    <t>9403700000</t>
  </si>
  <si>
    <t>GUARD BAND</t>
  </si>
  <si>
    <t>HORN COMPRESSOR</t>
  </si>
  <si>
    <t>9506620000</t>
  </si>
  <si>
    <t>INFLATABLE BUMPER BALL</t>
  </si>
  <si>
    <t>9023008000</t>
  </si>
  <si>
    <t>INTUBATION MANIKIN STUDY TEACHING MODEL</t>
  </si>
  <si>
    <t>LOCKING ON BOTH SIDES RAISED TOILET SEAT</t>
  </si>
  <si>
    <t>METAL FENCE</t>
  </si>
  <si>
    <t>POLISHER MACHINE</t>
  </si>
  <si>
    <t>QUEUE LINE PROTECT</t>
  </si>
  <si>
    <t>ROOF RACK</t>
  </si>
  <si>
    <t>SAFETY HANDRAIL</t>
  </si>
  <si>
    <t>STEP STOOL</t>
  </si>
  <si>
    <t>TV BRACKET</t>
  </si>
  <si>
    <t>6602000090</t>
  </si>
  <si>
    <t>UNDERARM CRUTCHES</t>
  </si>
  <si>
    <t>8418302099</t>
  </si>
  <si>
    <t>VEHICLE REFRIGERATOR</t>
  </si>
  <si>
    <t>WATER PUMP</t>
  </si>
  <si>
    <t>4202129990</t>
  </si>
  <si>
    <t>WEATHERPROOF TROLLEY BOX</t>
  </si>
  <si>
    <t>WD-125030075</t>
  </si>
  <si>
    <t>TCNU1428597</t>
  </si>
  <si>
    <t>9031808000</t>
  </si>
  <si>
    <t>AUTOMOTIVE SMOKE MACHINE LEAK DETECTOR</t>
  </si>
  <si>
    <t>CASTERS</t>
  </si>
  <si>
    <t>COSMETIC BAG</t>
  </si>
  <si>
    <t>8302420090</t>
  </si>
  <si>
    <t>DRAWER SLIDES</t>
  </si>
  <si>
    <t>8544429090</t>
  </si>
  <si>
    <t>EXTENSION CORD WITH PLUG</t>
  </si>
  <si>
    <t>6601100000</t>
  </si>
  <si>
    <t>FOLDING AWNING</t>
  </si>
  <si>
    <t>8201100000</t>
  </si>
  <si>
    <t>GARDEN TOOLS</t>
  </si>
  <si>
    <t>ICE HOCKEY PRESS</t>
  </si>
  <si>
    <t>INSULATING COTTON</t>
  </si>
  <si>
    <t>LED LAMP</t>
  </si>
  <si>
    <t>METEOROGRAPH</t>
  </si>
  <si>
    <t>8438600000</t>
  </si>
  <si>
    <t>MICROTOME</t>
  </si>
  <si>
    <t>PET BEAUTY BATH</t>
  </si>
  <si>
    <t>PLANTING BED</t>
  </si>
  <si>
    <t>3918101090</t>
  </si>
  <si>
    <t>PVC WALL PANEL</t>
  </si>
  <si>
    <t>6702100000</t>
  </si>
  <si>
    <t>SIMULATED PLANT</t>
  </si>
  <si>
    <t>8509400000</t>
  </si>
  <si>
    <t>MIXER</t>
  </si>
  <si>
    <t>SURFACE PRESS</t>
  </si>
  <si>
    <t>3924900090</t>
  </si>
  <si>
    <t>TABLE MAT</t>
  </si>
  <si>
    <t>TRAINING NETWORK</t>
  </si>
  <si>
    <t>WELDING MACHINE</t>
  </si>
  <si>
    <t>WD-125020310</t>
  </si>
  <si>
    <t>TEMU7870878</t>
  </si>
  <si>
    <t>8715001000</t>
  </si>
  <si>
    <t>BABY STROLLERS</t>
  </si>
  <si>
    <t>8516609000</t>
  </si>
  <si>
    <t>BARBECUE ACCESSORIES</t>
  </si>
  <si>
    <t>8470500000</t>
  </si>
  <si>
    <t>BILL COUNTER</t>
  </si>
  <si>
    <t>8409910090</t>
  </si>
  <si>
    <t>BOAT STEERING KIT</t>
  </si>
  <si>
    <t>CAR REPAIR FLOOR</t>
  </si>
  <si>
    <t>CARPET MOP</t>
  </si>
  <si>
    <t>CHAIN BLOCK</t>
  </si>
  <si>
    <t>CROWBAR</t>
  </si>
  <si>
    <t>DRILL BITS</t>
  </si>
  <si>
    <t>ELECTRIC ROTISSERIE</t>
  </si>
  <si>
    <t>3920208090</t>
  </si>
  <si>
    <t>GARAGE FLOOR MATS</t>
  </si>
  <si>
    <t>8432900000</t>
  </si>
  <si>
    <t>HAY BALE SPEAR</t>
  </si>
  <si>
    <t>METAL TABLE LEGS</t>
  </si>
  <si>
    <t>9012100000</t>
  </si>
  <si>
    <t>MICROSCOPE</t>
  </si>
  <si>
    <t>PIPE STAND</t>
  </si>
  <si>
    <t>PIPE SUPPORT</t>
  </si>
  <si>
    <t>POLYESTER ROPES</t>
  </si>
  <si>
    <t>RESCUE JACK</t>
  </si>
  <si>
    <t>SHELF  BRACKETS</t>
  </si>
  <si>
    <t>STRAP</t>
  </si>
  <si>
    <t>TRASH CAN ROLLER BASE</t>
  </si>
  <si>
    <t>VEGETABLE CUTTER</t>
  </si>
  <si>
    <t>WD-125030066</t>
  </si>
  <si>
    <t>TGBU6999808</t>
  </si>
  <si>
    <t>AQUARIUM FILTER</t>
  </si>
  <si>
    <t>AROMA DIFFUSER</t>
  </si>
  <si>
    <t>8302600090</t>
  </si>
  <si>
    <t>AUTOMATIC DOOR OPENER</t>
  </si>
  <si>
    <t>BED LIFT MECHANISM</t>
  </si>
  <si>
    <t>BOAT FLOORING</t>
  </si>
  <si>
    <t>BREAD DISPLAY RACK</t>
  </si>
  <si>
    <t>BUCKET</t>
  </si>
  <si>
    <t>8416201000</t>
  </si>
  <si>
    <t>BURNER</t>
  </si>
  <si>
    <t>8516710000</t>
  </si>
  <si>
    <t>COFFEE BUCKET</t>
  </si>
  <si>
    <t>COIN COUNTER SORTER</t>
  </si>
  <si>
    <t>COTTON CANDY MACHINE</t>
  </si>
  <si>
    <t>8302419000</t>
  </si>
  <si>
    <t>CURTAIN TRACK</t>
  </si>
  <si>
    <t>8301401900</t>
  </si>
  <si>
    <t>DIGITAL DOOR LOCK</t>
  </si>
  <si>
    <t>8419818090</t>
  </si>
  <si>
    <t>ELECTRIC FOOD WARMER</t>
  </si>
  <si>
    <t>ELECTRIC FRYER</t>
  </si>
  <si>
    <t>ELECTRIC GRIDDLE STOVE</t>
  </si>
  <si>
    <t>8433111000</t>
  </si>
  <si>
    <t>ELECTRIC LEAF TRIMMER</t>
  </si>
  <si>
    <t>8424897000</t>
  </si>
  <si>
    <t>ELECTRIC TOWEL RACK</t>
  </si>
  <si>
    <t>FILM SEALING MACHINE</t>
  </si>
  <si>
    <t>FOLDABLE TILT LEGS</t>
  </si>
  <si>
    <t>FOOTBALL REBOUND DEVICE</t>
  </si>
  <si>
    <t>8519890000</t>
  </si>
  <si>
    <t>GRAMOPHONE</t>
  </si>
  <si>
    <t>GRID WALL</t>
  </si>
  <si>
    <t>9025804089</t>
  </si>
  <si>
    <t>HANDHELD THERMOMETER</t>
  </si>
  <si>
    <t>8419508090</t>
  </si>
  <si>
    <t>HEAT EXCHANGER</t>
  </si>
  <si>
    <t>8206000000</t>
  </si>
  <si>
    <t>HOUSEHOLD HAND TOOL KIT</t>
  </si>
  <si>
    <t>HYDRAULIC  LIFT  MECHANISMS</t>
  </si>
  <si>
    <t>INFLATABLE PAINT BOOTH WITH CENTRE DOOR</t>
  </si>
  <si>
    <t>IRON SWIVEL CASTER WHEELS</t>
  </si>
  <si>
    <t>9405618090</t>
  </si>
  <si>
    <t>LED DISPLAY STAND</t>
  </si>
  <si>
    <t>MAGNETIC DRUM</t>
  </si>
  <si>
    <t>8514208000</t>
  </si>
  <si>
    <t>MELTING FURNACE</t>
  </si>
  <si>
    <t>8525500000</t>
  </si>
  <si>
    <t>PIPE INSPECTION CAMERA</t>
  </si>
  <si>
    <t>PIZZA PLATE</t>
  </si>
  <si>
    <t>8443328000</t>
  </si>
  <si>
    <t>RECEIPT PRINTER</t>
  </si>
  <si>
    <t>7616991099</t>
  </si>
  <si>
    <t>ROUTER SLED</t>
  </si>
  <si>
    <t>SAFE CASE</t>
  </si>
  <si>
    <t>8516797090</t>
  </si>
  <si>
    <t>SAUNA STOVE</t>
  </si>
  <si>
    <t>8516808000</t>
  </si>
  <si>
    <t>SHOE DRYER</t>
  </si>
  <si>
    <t>8421398590</t>
  </si>
  <si>
    <t>SMOKE PURIFIER</t>
  </si>
  <si>
    <t>SMOOTHIE MACHINE</t>
  </si>
  <si>
    <t>9403999090</t>
  </si>
  <si>
    <t>DOOR</t>
  </si>
  <si>
    <t>STANCHION POST</t>
  </si>
  <si>
    <t>STORAGE BAG</t>
  </si>
  <si>
    <t>TUMBLING MAT</t>
  </si>
  <si>
    <t>8516720000</t>
  </si>
  <si>
    <t>WAFFLE CAKE MACHINE</t>
  </si>
  <si>
    <t>9015808000</t>
  </si>
  <si>
    <t>WEATHER STATION</t>
  </si>
  <si>
    <t>WD-125030073</t>
  </si>
  <si>
    <t>UETU6903211</t>
  </si>
  <si>
    <t>9206000000</t>
  </si>
  <si>
    <t>ELECTRONIC DRUM</t>
  </si>
  <si>
    <t>FOAM CUTTING MACHINE</t>
  </si>
  <si>
    <t>FOOD DRYING MACHINE</t>
  </si>
  <si>
    <t>GARAGE SHELF</t>
  </si>
  <si>
    <t>INJECTOR CLEANER</t>
  </si>
  <si>
    <t>METAL ART DRYING RACK</t>
  </si>
  <si>
    <t>SHEET MATERIAL TROLLEY</t>
  </si>
  <si>
    <t>CHAFING DISH</t>
  </si>
  <si>
    <t>TOILET ARMREST</t>
  </si>
  <si>
    <t>TRADITIONAL WALKER</t>
  </si>
  <si>
    <t>8515210000</t>
  </si>
  <si>
    <t>8713100000</t>
  </si>
  <si>
    <t>WHEELCHAIR</t>
  </si>
  <si>
    <t>WD-125020307</t>
  </si>
  <si>
    <t>CAAU5526759</t>
  </si>
  <si>
    <t>AGILITY COURSE KITS-COMBINATION STYLE</t>
  </si>
  <si>
    <t>AUTOMOBILE FUEL PUMP</t>
  </si>
  <si>
    <t>AUTOMOTIVE REPAIR TOOLS</t>
  </si>
  <si>
    <t>8479901500</t>
  </si>
  <si>
    <t>BOAT STEERING WHEEL</t>
  </si>
  <si>
    <t>CABLE WITH CONNECTOR</t>
  </si>
  <si>
    <t>CARD SLOT</t>
  </si>
  <si>
    <t>3921120090</t>
  </si>
  <si>
    <t>CEILING TILES</t>
  </si>
  <si>
    <t>8428102000</t>
  </si>
  <si>
    <t>CRANE</t>
  </si>
  <si>
    <t>8502310097</t>
  </si>
  <si>
    <t>FAN TYPE WIND TURBINE GENERATOR</t>
  </si>
  <si>
    <t>FIRE RESISTANT PAD</t>
  </si>
  <si>
    <t>FOLDING SAFETY DOOR</t>
  </si>
  <si>
    <t>8431200080</t>
  </si>
  <si>
    <t>FORKLIFT HOOK RACK</t>
  </si>
  <si>
    <t>GAME TABLE</t>
  </si>
  <si>
    <t>HARDWARE BRACKET</t>
  </si>
  <si>
    <t>8443390000</t>
  </si>
  <si>
    <t>HEAT PRESS MACHINE</t>
  </si>
  <si>
    <t>HOMEMADE ESSENTIAL OIL KIT</t>
  </si>
  <si>
    <t>8462619000</t>
  </si>
  <si>
    <t>HYDRAULIC PRESS</t>
  </si>
  <si>
    <t>JUICER</t>
  </si>
  <si>
    <t>JUMPING STOOL</t>
  </si>
  <si>
    <t>9033009000</t>
  </si>
  <si>
    <t>LABORATORY BRACKET</t>
  </si>
  <si>
    <t>LADDER HOOK</t>
  </si>
  <si>
    <t>9013200000</t>
  </si>
  <si>
    <t>LASER TUBE</t>
  </si>
  <si>
    <t>8302300020</t>
  </si>
  <si>
    <t>LIFTING JACK</t>
  </si>
  <si>
    <t>MAGNETIC BASE DRILL</t>
  </si>
  <si>
    <t>MANUAL MAHJONG TABLE</t>
  </si>
  <si>
    <t>OIL EXTRACTOR</t>
  </si>
  <si>
    <t>PALLET FORK</t>
  </si>
  <si>
    <t>PARK BENCHES</t>
  </si>
  <si>
    <t>PET CARRIER WITH WHEELS</t>
  </si>
  <si>
    <t>PET TREADMILL</t>
  </si>
  <si>
    <t>8516605000</t>
  </si>
  <si>
    <t>PIZZA OVEN</t>
  </si>
  <si>
    <t>PLATFORM</t>
  </si>
  <si>
    <t>8413508090</t>
  </si>
  <si>
    <t>PNEUMATIC HYDRAULIC PUMP</t>
  </si>
  <si>
    <t>POKER MAT</t>
  </si>
  <si>
    <t>PORTABLE WHEELCHAIR RAMP</t>
  </si>
  <si>
    <t>POWDER COATING MACHINE</t>
  </si>
  <si>
    <t>PUSH AND PULL SLED</t>
  </si>
  <si>
    <t>PUTTY SCRAPER</t>
  </si>
  <si>
    <t>REGULAR TYPE</t>
  </si>
  <si>
    <t>SILK-SCREEN PRINTER</t>
  </si>
  <si>
    <t>DOUBLE COLUMN HANDRAIL</t>
  </si>
  <si>
    <t>SHAKER</t>
  </si>
  <si>
    <t>WIRE ROPE</t>
  </si>
  <si>
    <t>9402900000</t>
  </si>
  <si>
    <t>STAIRCASE STRETCHER</t>
  </si>
  <si>
    <t>TARGET</t>
  </si>
  <si>
    <t>TOP ADJUSTMENT-ROUND</t>
  </si>
  <si>
    <t>TRAP</t>
  </si>
  <si>
    <t>8429409000</t>
  </si>
  <si>
    <t>VIBRATING RAMMER</t>
  </si>
  <si>
    <t>WATERPROOF BOARD</t>
  </si>
  <si>
    <t>WD-125020329</t>
  </si>
  <si>
    <t>CAAU8650038</t>
  </si>
  <si>
    <t>ACRYLIC STORAGE TABLE</t>
  </si>
  <si>
    <t>ENGINE SUPPORT</t>
  </si>
  <si>
    <t>FOLDABLE DOG CAR STEPS</t>
  </si>
  <si>
    <t>9506999000</t>
  </si>
  <si>
    <t>GEOMETRIC CLIMBER PLAY</t>
  </si>
  <si>
    <t>8413110000</t>
  </si>
  <si>
    <t>HAND OILER</t>
  </si>
  <si>
    <t>8425420000</t>
  </si>
  <si>
    <t>HYDRAULIC JACK</t>
  </si>
  <si>
    <t>HYDRAULIC PUMP</t>
  </si>
  <si>
    <t>HYDRAULIC TEST PUMP</t>
  </si>
  <si>
    <t>JUMPING BOX</t>
  </si>
  <si>
    <t>8458990000</t>
  </si>
  <si>
    <t>LATHE</t>
  </si>
  <si>
    <t>METAL PET CAGE</t>
  </si>
  <si>
    <t>PROFESSIONAL CLIMBING ROPE</t>
  </si>
  <si>
    <t>RETRACTABLE PIPE REELER</t>
  </si>
  <si>
    <t>SANDBAG STAND</t>
  </si>
  <si>
    <t>9404909000</t>
  </si>
  <si>
    <t>SPONGE PAD</t>
  </si>
  <si>
    <t>TARPAULIN DRUM</t>
  </si>
  <si>
    <t>TV STAND</t>
  </si>
  <si>
    <t>WD-125020300</t>
  </si>
  <si>
    <t>CAIU7419650</t>
  </si>
  <si>
    <t>BBQ GRIDDLE</t>
  </si>
  <si>
    <t>BOLT EXTRACTOR</t>
  </si>
  <si>
    <t>9015301000</t>
  </si>
  <si>
    <t>LASER LEVELER</t>
  </si>
  <si>
    <t>LIFTING CHAIN</t>
  </si>
  <si>
    <t>PIPE CLAMP</t>
  </si>
  <si>
    <t>8205100000</t>
  </si>
  <si>
    <t>PUNCH LOCATOR</t>
  </si>
  <si>
    <t>3918109090</t>
  </si>
  <si>
    <t>PVC FLOOR MAT</t>
  </si>
  <si>
    <t>THREAD REPAIR KIT</t>
  </si>
  <si>
    <t>WHEELBARROW</t>
  </si>
  <si>
    <t>WD-125020289</t>
  </si>
  <si>
    <t>CARU9985689</t>
  </si>
  <si>
    <t>CABLE STRIPPING MACHINE</t>
  </si>
  <si>
    <t>COMPRESSOR</t>
  </si>
  <si>
    <t>DISPLAY RACK</t>
  </si>
  <si>
    <t>EXHAUST FAN</t>
  </si>
  <si>
    <t>FISHING MOTOR</t>
  </si>
  <si>
    <t>GARAGE STOOL</t>
  </si>
  <si>
    <t>GAS PRESSURE WASHER</t>
  </si>
  <si>
    <t>GUIDE</t>
  </si>
  <si>
    <t>JUICE BEVERAGE</t>
  </si>
  <si>
    <t>LIQUID FILLING MACHINE</t>
  </si>
  <si>
    <t>MANUAL THREADER</t>
  </si>
  <si>
    <t>MINCER</t>
  </si>
  <si>
    <t>8409990090</t>
  </si>
  <si>
    <t>MOTORCYCLE BRACKET</t>
  </si>
  <si>
    <t>MUG HEAT PRESS ACCESSORIES</t>
  </si>
  <si>
    <t>OIL PUMP</t>
  </si>
  <si>
    <t>PHOTOGRAPHY LAMP HOLDER</t>
  </si>
  <si>
    <t>PLASTIC HOT CHOCOLATE DISPENSER</t>
  </si>
  <si>
    <t>8424200000</t>
  </si>
  <si>
    <t>PNEUMATIC CEMENT MORTAR GUN</t>
  </si>
  <si>
    <t>3922900000</t>
  </si>
  <si>
    <t>PORTABLE TOILET</t>
  </si>
  <si>
    <t>RECOVERY MACHINE</t>
  </si>
  <si>
    <t>SNOW MELT MACHINE</t>
  </si>
  <si>
    <t>THREADING DEVICE</t>
  </si>
  <si>
    <t>TIGHTENER</t>
  </si>
  <si>
    <t>TROLLEY STAIR CLIMBING CART</t>
  </si>
  <si>
    <t>UNDERBODY TRUCK KIT</t>
  </si>
  <si>
    <t>VACUUM PUMP</t>
  </si>
  <si>
    <t>WD-125030058</t>
  </si>
  <si>
    <t>CRXU9943805</t>
  </si>
  <si>
    <t>9032102090</t>
  </si>
  <si>
    <t>CONTROLLER</t>
  </si>
  <si>
    <t>9031499000</t>
  </si>
  <si>
    <t>DIGITAL READOUT FOR LATHE</t>
  </si>
  <si>
    <t>ENCLOSED CAT LITTER BOX</t>
  </si>
  <si>
    <t>4905900010</t>
  </si>
  <si>
    <t>GEOGRAPHIC GLOBES</t>
  </si>
  <si>
    <t>9027500000</t>
  </si>
  <si>
    <t>INFRARED THERMAL IMAGER</t>
  </si>
  <si>
    <t>8541430000</t>
  </si>
  <si>
    <t>SOLAR CONTROLLER</t>
  </si>
  <si>
    <t>SPORTS BACKPACK</t>
  </si>
  <si>
    <t>TABLE SAW MITER GAUGE</t>
  </si>
  <si>
    <t>UNIVERSAL DIAMOND SEAT</t>
  </si>
  <si>
    <t>WAFFLE MACHINE</t>
  </si>
  <si>
    <t>WALL-MOUNTED BOXING TARGET</t>
  </si>
  <si>
    <t>WITH INFLATABLE RING</t>
  </si>
  <si>
    <t>WD-125030069</t>
  </si>
  <si>
    <t>CXDU2168102</t>
  </si>
  <si>
    <t>AV MEDIA STAND</t>
  </si>
  <si>
    <t>BEDSTEAD</t>
  </si>
  <si>
    <t>BRAZING PLATE HEAT EXCHANGERS</t>
  </si>
  <si>
    <t>COMMODE CHAIR</t>
  </si>
  <si>
    <t>CRADLE</t>
  </si>
  <si>
    <t>8481900090</t>
  </si>
  <si>
    <t>DECK MOUNTED PRE-RINSE FAUCET</t>
  </si>
  <si>
    <t>DESK FAN</t>
  </si>
  <si>
    <t>9506290000</t>
  </si>
  <si>
    <t>DIVING RESPIRATOR</t>
  </si>
  <si>
    <t>FIXED PAYMENT</t>
  </si>
  <si>
    <t>8201400000</t>
  </si>
  <si>
    <t>HANDLE</t>
  </si>
  <si>
    <t>HOUSE STYLE FABRIC CAT SHELTER</t>
  </si>
  <si>
    <t>HUMIDIFIER</t>
  </si>
  <si>
    <t>INFLATABLE BLOWER</t>
  </si>
  <si>
    <t>KNEE SCOOTER</t>
  </si>
  <si>
    <t>METAL DISPLAY RACK</t>
  </si>
  <si>
    <t>9207108000</t>
  </si>
  <si>
    <t>MUSIC ELECTRIC KEYBOARD</t>
  </si>
  <si>
    <t>PLASTIC WALLBOARD</t>
  </si>
  <si>
    <t>8415820099</t>
  </si>
  <si>
    <t>PORTABLE AIR CONDITIONER</t>
  </si>
  <si>
    <t>PULL BASKET</t>
  </si>
  <si>
    <t>3921139000</t>
  </si>
  <si>
    <t>SELF-ADHESIVE ACOUSTIC FOAM PANELS</t>
  </si>
  <si>
    <t>SIMULATION TREE</t>
  </si>
  <si>
    <t>4202129190</t>
  </si>
  <si>
    <t>SOFT PISTOL CASES</t>
  </si>
  <si>
    <t>9405499090</t>
  </si>
  <si>
    <t>SPLICED GARAGE LIGHTS</t>
  </si>
  <si>
    <t>STEAMER</t>
  </si>
  <si>
    <t>4202125000</t>
  </si>
  <si>
    <t>WD-125020303</t>
  </si>
  <si>
    <t>DRYU9369693</t>
  </si>
  <si>
    <t>ACRYLIC MOBILE PHONE CASE</t>
  </si>
  <si>
    <t>8481809990</t>
  </si>
  <si>
    <t>ANTIFREEZE FAUCET</t>
  </si>
  <si>
    <t>BED PADS</t>
  </si>
  <si>
    <t>8208900000</t>
  </si>
  <si>
    <t>BLADE</t>
  </si>
  <si>
    <t>8467298500</t>
  </si>
  <si>
    <t>CARPET TRIMMER</t>
  </si>
  <si>
    <t>CONNECTOR</t>
  </si>
  <si>
    <t>8441107000</t>
  </si>
  <si>
    <t>DIE-CUTTING MACHINE</t>
  </si>
  <si>
    <t>FITNESS PRESS MACHINE</t>
  </si>
  <si>
    <t>MAGNETIC DRILL</t>
  </si>
  <si>
    <t>MANUAL PIPE BENDER</t>
  </si>
  <si>
    <t>OZONE GENERATOR</t>
  </si>
  <si>
    <t>8483508090</t>
  </si>
  <si>
    <t>PULLEY</t>
  </si>
  <si>
    <t>RECTANGULAR WATERFALL POOL FOUNTAIN WITH LED</t>
  </si>
  <si>
    <t>BAKING PAN</t>
  </si>
  <si>
    <t>CASTINGS</t>
  </si>
  <si>
    <t>THREE POINT SUSPENSION DEVICE FOR TOWING AGRICULTURAL MACHINERY</t>
  </si>
  <si>
    <t>WD-125030040</t>
  </si>
  <si>
    <t>FCIU8041691</t>
  </si>
  <si>
    <t>ACCESS PANEL</t>
  </si>
  <si>
    <t>BLUEPRINT STORAGE</t>
  </si>
  <si>
    <t>DIGITAL MEDICAL SCALE</t>
  </si>
  <si>
    <t>DRAWER SLIDE</t>
  </si>
  <si>
    <t>GARAGE DOOR MOTOR</t>
  </si>
  <si>
    <t>GAS FORGING FURNACE</t>
  </si>
  <si>
    <t>HITTING NET</t>
  </si>
  <si>
    <t>8514400000</t>
  </si>
  <si>
    <t>MAGNETIC HEATER</t>
  </si>
  <si>
    <t>MANUAL PIZZA NOODLE PRESS</t>
  </si>
  <si>
    <t>MANUAL TYPE</t>
  </si>
  <si>
    <t>8306290000</t>
  </si>
  <si>
    <t>MENTAL WEDDING VASE</t>
  </si>
  <si>
    <t>METAL HANGING SPICE RACK</t>
  </si>
  <si>
    <t>MICRO INLAID MIRROR</t>
  </si>
  <si>
    <t>MILKSHAKE MIXER</t>
  </si>
  <si>
    <t>ORIGINAL RETRACTABLE CARGO COVER</t>
  </si>
  <si>
    <t>PALLET TRUCK</t>
  </si>
  <si>
    <t>PAPER CUTTER</t>
  </si>
  <si>
    <t>PARTS BOX</t>
  </si>
  <si>
    <t>PORTABLE TIRE INFLATOR</t>
  </si>
  <si>
    <t>PUMP</t>
  </si>
  <si>
    <t>REAR DOOR MAT OF TRUCK</t>
  </si>
  <si>
    <t>ROOF EXHAUST FAN</t>
  </si>
  <si>
    <t>5701909090</t>
  </si>
  <si>
    <t>SELF ADHESIVE CARPET TILES</t>
  </si>
  <si>
    <t>SIDE MOUNTED BOAT THROTTLE CONTROLLER</t>
  </si>
  <si>
    <t>8517790000</t>
  </si>
  <si>
    <t>SIGNAL SHIELDING BOX AND SET</t>
  </si>
  <si>
    <t>SS DOOR FOR OUTDOOR KITCHEN/BBQ ISLAND</t>
  </si>
  <si>
    <t>STEEL TANK</t>
  </si>
  <si>
    <t>SUCKER</t>
  </si>
  <si>
    <t>7607209900</t>
  </si>
  <si>
    <t>THERMAL INSULATION FILM</t>
  </si>
  <si>
    <t>ULTRA THIN RLECTRIC WARMING TRAYS</t>
  </si>
  <si>
    <t>8418991087</t>
  </si>
  <si>
    <t>WATER TO AIR HEAT EXCHANGER</t>
  </si>
  <si>
    <t>WAX MELTING APPARATUS</t>
  </si>
  <si>
    <t>8515110000</t>
  </si>
  <si>
    <t>WELDING DEVICE</t>
  </si>
  <si>
    <t>WINDING MACHINE</t>
  </si>
  <si>
    <t>WD-125020328</t>
  </si>
  <si>
    <t>FDCU0098520</t>
  </si>
  <si>
    <t>8459290000</t>
  </si>
  <si>
    <t>BENCH DRILL</t>
  </si>
  <si>
    <t>DIAPER CHANGE STATION</t>
  </si>
  <si>
    <t>DOOR CLOSERS</t>
  </si>
  <si>
    <t>F-CLIP</t>
  </si>
  <si>
    <t>MUG HEAT PRESS AND ACCESSORIES</t>
  </si>
  <si>
    <t>CAST IRON PLATE</t>
  </si>
  <si>
    <t>SOLAR POWERED WATER PUMP</t>
  </si>
  <si>
    <t>WD-125030070</t>
  </si>
  <si>
    <t>FFAU3062713</t>
  </si>
  <si>
    <t>AUTOMATIC GEARBOX CLEANING OIL CHANGE</t>
  </si>
  <si>
    <t>CUP WASHER</t>
  </si>
  <si>
    <t>ELECTRIC BLAST FURNACE</t>
  </si>
  <si>
    <t>FOLDING CAMPING COT</t>
  </si>
  <si>
    <t>HOT AIR WELDING GUN FOR PLASTICS</t>
  </si>
  <si>
    <t>ICE MACHINE</t>
  </si>
  <si>
    <t>INSULATION WORKBENCH</t>
  </si>
  <si>
    <t>IRON BASE</t>
  </si>
  <si>
    <t>MINI CLAW CRANE MACHINE</t>
  </si>
  <si>
    <t>PLANT GROWTH FRAME</t>
  </si>
  <si>
    <t>POP-UP CANOPY</t>
  </si>
  <si>
    <t>9504200000</t>
  </si>
  <si>
    <t>PORTABLE POOL TABLE</t>
  </si>
  <si>
    <t>SOLAR HEATED SWIMMING POOL COVER</t>
  </si>
  <si>
    <t>STAMPING MACHINE</t>
  </si>
  <si>
    <t>STORAGE RACK</t>
  </si>
  <si>
    <t>STORAGE SHELF</t>
  </si>
  <si>
    <t>WALL MOUNTED TOOL CABINET</t>
  </si>
  <si>
    <t>WD-125030039</t>
  </si>
  <si>
    <t>FFAU3802677</t>
  </si>
  <si>
    <t>BASKETBALL BOARD</t>
  </si>
  <si>
    <t>BROKEN GRASS MACHINE</t>
  </si>
  <si>
    <t>ELECTRONIC AXIAL FLOW FAN</t>
  </si>
  <si>
    <t>FLEXIBLE DUCT</t>
  </si>
  <si>
    <t>JAM BUCKET</t>
  </si>
  <si>
    <t>POOL LOUNGE CHAIRS</t>
  </si>
  <si>
    <t>RAFFLE DRUM</t>
  </si>
  <si>
    <t>3919108090</t>
  </si>
  <si>
    <t>SEALING TAPE</t>
  </si>
  <si>
    <t>SLIDING DOOR OPENING MOTOR</t>
  </si>
  <si>
    <t>VACUUM SIPHON GRAVEL CLEANER</t>
  </si>
  <si>
    <t>WD-125020314</t>
  </si>
  <si>
    <t>FSCU7996366</t>
  </si>
  <si>
    <t>ALUMINUM RAILS FOR SAWS</t>
  </si>
  <si>
    <t>8515310000</t>
  </si>
  <si>
    <t>ARC WELDING MACHINE</t>
  </si>
  <si>
    <t>8708705085</t>
  </si>
  <si>
    <t>BEACH WHEEL</t>
  </si>
  <si>
    <t>BEVERAGE BUCKET</t>
  </si>
  <si>
    <t>BIT SOCKET SET</t>
  </si>
  <si>
    <t>9603901000</t>
  </si>
  <si>
    <t>BRUSH</t>
  </si>
  <si>
    <t>BUMPING POST</t>
  </si>
  <si>
    <t>CARPET CLEANING HOSE</t>
  </si>
  <si>
    <t>8464208000</t>
  </si>
  <si>
    <t>CONCRETE SANDER</t>
  </si>
  <si>
    <t>DOUBLE NUT GUN</t>
  </si>
  <si>
    <t>8425310000</t>
  </si>
  <si>
    <t>ELECTRIC WINCH</t>
  </si>
  <si>
    <t>FLOOR SUPPORT JACKS</t>
  </si>
  <si>
    <t>HEATING PLATE</t>
  </si>
  <si>
    <t>HEAVY DUTY ALUMINUM TOOL BOX</t>
  </si>
  <si>
    <t>8205300000</t>
  </si>
  <si>
    <t>HSS LATHE CHISEL</t>
  </si>
  <si>
    <t>9503006900</t>
  </si>
  <si>
    <t>KIDS WORKBENCH-WOODEN</t>
  </si>
  <si>
    <t>8466202000</t>
  </si>
  <si>
    <t>LATHE CHUCK</t>
  </si>
  <si>
    <t>LEVELLING INSTRUMENT</t>
  </si>
  <si>
    <t>8518210000</t>
  </si>
  <si>
    <t>ON-BOARD LOUDSPEAKER</t>
  </si>
  <si>
    <t>PARCEL BOX</t>
  </si>
  <si>
    <t>PLASTIC FLOWER POT</t>
  </si>
  <si>
    <t>8451500000</t>
  </si>
  <si>
    <t>RAG CUTTER</t>
  </si>
  <si>
    <t>REFRIGERANT METER</t>
  </si>
  <si>
    <t>9026108900</t>
  </si>
  <si>
    <t>REFRIGERANT SCALE</t>
  </si>
  <si>
    <t>REGULAR DRAWER</t>
  </si>
  <si>
    <t>RESTAURANT BRACKET</t>
  </si>
  <si>
    <t>SLICER</t>
  </si>
  <si>
    <t>SINK</t>
  </si>
  <si>
    <t>TOMATO SLICER</t>
  </si>
  <si>
    <t>8716909050</t>
  </si>
  <si>
    <t>TOW BAR</t>
  </si>
  <si>
    <t>9027810000</t>
  </si>
  <si>
    <t>VISCOMETER</t>
  </si>
  <si>
    <t>WD-125020318</t>
  </si>
  <si>
    <t>GLDU0704021</t>
  </si>
  <si>
    <t>AIR HEATER</t>
  </si>
  <si>
    <t>BARBED WIRE MESH</t>
  </si>
  <si>
    <t>BICYCLE REPAIR STAND</t>
  </si>
  <si>
    <t>8714999089</t>
  </si>
  <si>
    <t>BIKE BASKET</t>
  </si>
  <si>
    <t>4007000090</t>
  </si>
  <si>
    <t>BUNGEE STRAPS</t>
  </si>
  <si>
    <t>8431390090</t>
  </si>
  <si>
    <t>CLAMP</t>
  </si>
  <si>
    <t>COMPOST BARREL</t>
  </si>
  <si>
    <t>CORE LANYARD</t>
  </si>
  <si>
    <t>8708929900</t>
  </si>
  <si>
    <t>CUSTOM EXHAUST PIPE KIT</t>
  </si>
  <si>
    <t>CYCLONE DUST SEPARATOR KIT WITH BUCKET</t>
  </si>
  <si>
    <t>8515199000</t>
  </si>
  <si>
    <t>DENT REPAIR TOOL</t>
  </si>
  <si>
    <t>DRAG HARROW DRIVEWAY</t>
  </si>
  <si>
    <t>FENCE GATE</t>
  </si>
  <si>
    <t>FLOOR MATS</t>
  </si>
  <si>
    <t>8311200000</t>
  </si>
  <si>
    <t>FLUX CORE WELDING WIRE</t>
  </si>
  <si>
    <t>8421392590</t>
  </si>
  <si>
    <t>FUME PURIFIER</t>
  </si>
  <si>
    <t>HEATING MANTLE</t>
  </si>
  <si>
    <t>HOIST SUPPORT ARM MOUNTING ROD</t>
  </si>
  <si>
    <t>8412298990</t>
  </si>
  <si>
    <t>HYDRAULIC POWER UNIT</t>
  </si>
  <si>
    <t>HYDRAULIC RUDDER</t>
  </si>
  <si>
    <t>KAYAK ANCHOR</t>
  </si>
  <si>
    <t>8201900000</t>
  </si>
  <si>
    <t>LAWN RAKE</t>
  </si>
  <si>
    <t>7613000090</t>
  </si>
  <si>
    <t>LIQUID NITROGEN TANK</t>
  </si>
  <si>
    <t>LOG TONGS</t>
  </si>
  <si>
    <t>8505909090</t>
  </si>
  <si>
    <t>MAGNETIC LIFTER</t>
  </si>
  <si>
    <t>TRACTION BOARDS</t>
  </si>
  <si>
    <t>8462290000</t>
  </si>
  <si>
    <t>MANUAL TIRE REMOVAL TOOL</t>
  </si>
  <si>
    <t>8538909999</t>
  </si>
  <si>
    <t>METAL ELECTRICAL CABINET</t>
  </si>
  <si>
    <t>7009920000</t>
  </si>
  <si>
    <t>MIRROR</t>
  </si>
  <si>
    <t>MOBILE BASE</t>
  </si>
  <si>
    <t>8473308000</t>
  </si>
  <si>
    <t>NETWORK CABINET</t>
  </si>
  <si>
    <t>3925100000</t>
  </si>
  <si>
    <t>OIL RESERVOIR TANK</t>
  </si>
  <si>
    <t>OIL WATER SEPARATOR</t>
  </si>
  <si>
    <t>PATIO FIREPIT</t>
  </si>
  <si>
    <t>PIPE THREADING MACHINE</t>
  </si>
  <si>
    <t>5404901000</t>
  </si>
  <si>
    <t>WEED MAT</t>
  </si>
  <si>
    <t>PLASTIC WELDING MACHINE</t>
  </si>
  <si>
    <t>PU FOAMING WHEEL</t>
  </si>
  <si>
    <t>PUMPING UNIT</t>
  </si>
  <si>
    <t>PUNCHING NET</t>
  </si>
  <si>
    <t>RAIN BUCKET</t>
  </si>
  <si>
    <t>9610000000</t>
  </si>
  <si>
    <t>RESTAURANT BLACKBOARD</t>
  </si>
  <si>
    <t>ROOF RACK WATER TANK</t>
  </si>
  <si>
    <t>SAFE</t>
  </si>
  <si>
    <t>8465930000</t>
  </si>
  <si>
    <t>SANDER</t>
  </si>
  <si>
    <t>SAUSAGE STUFFER</t>
  </si>
  <si>
    <t>8202998000</t>
  </si>
  <si>
    <t>SAW BLADE</t>
  </si>
  <si>
    <t>4008219000</t>
  </si>
  <si>
    <t>3925300000</t>
  </si>
  <si>
    <t>SHEET SHAPED PVC DOOR CURTAIN</t>
  </si>
  <si>
    <t>3926400000</t>
  </si>
  <si>
    <t>ELECTRICAL ENCLOSURES</t>
  </si>
  <si>
    <t>THREE PIECE DRUM SET</t>
  </si>
  <si>
    <t>8301200000</t>
  </si>
  <si>
    <t>TIRE LOCK</t>
  </si>
  <si>
    <t>TORSION SPRING</t>
  </si>
  <si>
    <t>TREE CLIMBING GEAR</t>
  </si>
  <si>
    <t>VISE</t>
  </si>
  <si>
    <t>3923299000</t>
  </si>
  <si>
    <t>WATER STORAGE BAG</t>
  </si>
  <si>
    <t>8468100000</t>
  </si>
  <si>
    <t>8708709190</t>
  </si>
  <si>
    <t>WHEEL</t>
  </si>
  <si>
    <t>WIRE MESH</t>
  </si>
  <si>
    <t>WD-125020306</t>
  </si>
  <si>
    <t>MEDU4455865</t>
  </si>
  <si>
    <t>BACKGROUND STAND</t>
  </si>
  <si>
    <t>BEARING SEAL BELLOW EXPANDER TOOLS</t>
  </si>
  <si>
    <t>BIT</t>
  </si>
  <si>
    <t>8423822000</t>
  </si>
  <si>
    <t>CRANE SCALE</t>
  </si>
  <si>
    <t>8205400000</t>
  </si>
  <si>
    <t>DIGITAL TORQUE SCREWDRIVER</t>
  </si>
  <si>
    <t>8418509090</t>
  </si>
  <si>
    <t>DISPLAY CABINET</t>
  </si>
  <si>
    <t>DOG BARRIER PROOF</t>
  </si>
  <si>
    <t>FLAGPOLE</t>
  </si>
  <si>
    <t>FLOOR STANDING PROJECTOR STAND</t>
  </si>
  <si>
    <t>FUEL TRANSFER PUMP</t>
  </si>
  <si>
    <t>MANUAL FLUSH PRE-FILTER</t>
  </si>
  <si>
    <t>PET CAR SEAT</t>
  </si>
  <si>
    <t>8461509000</t>
  </si>
  <si>
    <t>PLASMA CUTTING EQUIPMENT</t>
  </si>
  <si>
    <t>5607509090</t>
  </si>
  <si>
    <t>POLYESTER CABLE</t>
  </si>
  <si>
    <t>8479810000</t>
  </si>
  <si>
    <t>RATCHET PRESS</t>
  </si>
  <si>
    <t>ROPE SET</t>
  </si>
  <si>
    <t>SAW BLADE SHARPENER</t>
  </si>
  <si>
    <t>8423818000</t>
  </si>
  <si>
    <t>SCALE KIT</t>
  </si>
  <si>
    <t>SCREEN MESH OF VIBRATING SCREEN</t>
  </si>
  <si>
    <t>8537109199</t>
  </si>
  <si>
    <t>SOCKET BOX</t>
  </si>
  <si>
    <t>WHISKEY</t>
  </si>
  <si>
    <t>8465920000</t>
  </si>
  <si>
    <t>TRIMMING MACHINE</t>
  </si>
  <si>
    <t>WD-125020319</t>
  </si>
  <si>
    <t>MEDU4967959</t>
  </si>
  <si>
    <t>DOUBLE LEG LIFTING CHAIN</t>
  </si>
  <si>
    <t>ARTIFICIAL PLANT FENCE</t>
  </si>
  <si>
    <t>BALL TO TRAILER ARM</t>
  </si>
  <si>
    <t>BAND SAW</t>
  </si>
  <si>
    <t>BAND SAWING MACHINE</t>
  </si>
  <si>
    <t>CLAMPS</t>
  </si>
  <si>
    <t>6914100000</t>
  </si>
  <si>
    <t>DEDICATED TO FIREPLACE</t>
  </si>
  <si>
    <t>ELECTRIC WIRE ROPE HOIST</t>
  </si>
  <si>
    <t>4421999999</t>
  </si>
  <si>
    <t>FURNITURE DOLLIES</t>
  </si>
  <si>
    <t>GLOCKENSPIEL XYLOPHONE</t>
  </si>
  <si>
    <t>INFLATABLE FLOATING DOCK</t>
  </si>
  <si>
    <t>MACHINE TOOL HOLDER</t>
  </si>
  <si>
    <t>MESH COVER</t>
  </si>
  <si>
    <t>PARTS</t>
  </si>
  <si>
    <t>PLASTIC DUMP GARDEN CARTS</t>
  </si>
  <si>
    <t>3920499090</t>
  </si>
  <si>
    <t>PVC TARPAULIN</t>
  </si>
  <si>
    <t>ROLLING PVC DOOR CURTAIN</t>
  </si>
  <si>
    <t>3920439090</t>
  </si>
  <si>
    <t>SHELF</t>
  </si>
  <si>
    <t>SUPPORT</t>
  </si>
  <si>
    <t>8504320090</t>
  </si>
  <si>
    <t>VOLTAGE CONVERTER</t>
  </si>
  <si>
    <t>WINCH SHACKLES</t>
  </si>
  <si>
    <t>7007198095</t>
  </si>
  <si>
    <t>WINDSHIELD PANEL</t>
  </si>
  <si>
    <t>WINDSHIELD RACK</t>
  </si>
  <si>
    <t>WD-125030049</t>
  </si>
  <si>
    <t>MEDU7109547</t>
  </si>
  <si>
    <t>4823200000</t>
  </si>
  <si>
    <t>FILTER PAPER</t>
  </si>
  <si>
    <t>8418610099</t>
  </si>
  <si>
    <t>HEAT PUMP</t>
  </si>
  <si>
    <t>HOCKEY GOAL</t>
  </si>
  <si>
    <t>RICE-MEAT DUMPLINGS FORMING MACHINE</t>
  </si>
  <si>
    <t>STEAM GENERATOR</t>
  </si>
  <si>
    <t>WD-125030068</t>
  </si>
  <si>
    <t>MEDU9355200</t>
  </si>
  <si>
    <t>FAN</t>
  </si>
  <si>
    <t>8531807000</t>
  </si>
  <si>
    <t>HOT DOG MACHINE</t>
  </si>
  <si>
    <t>PET BEAUTY TABLE</t>
  </si>
  <si>
    <t>7615200000</t>
  </si>
  <si>
    <t>WD-125020295</t>
  </si>
  <si>
    <t>MSBU5516482</t>
  </si>
  <si>
    <t>ALUMINUM ALLOY RAILING</t>
  </si>
  <si>
    <t>ALUMINUM RAMP</t>
  </si>
  <si>
    <t>BENCH CHAIN VISE</t>
  </si>
  <si>
    <t>8481803900</t>
  </si>
  <si>
    <t>CONTROL VALVE</t>
  </si>
  <si>
    <t>HAND PRESSURE PUMP</t>
  </si>
  <si>
    <t>HYDRAULIC PULLER</t>
  </si>
  <si>
    <t>4418790000</t>
  </si>
  <si>
    <t>JUICE PRESS</t>
  </si>
  <si>
    <t>8413910090</t>
  </si>
  <si>
    <t>PUMP FRAME</t>
  </si>
  <si>
    <t>SOCKET HOLDER</t>
  </si>
  <si>
    <t>WD-125020308</t>
  </si>
  <si>
    <t>MSCU5497581</t>
  </si>
  <si>
    <t>ALUMINUM WHEEL</t>
  </si>
  <si>
    <t>8301500000</t>
  </si>
  <si>
    <t>CONTAINER DOOR LOCK</t>
  </si>
  <si>
    <t>DISASSEMBLY TOOL</t>
  </si>
  <si>
    <t>GRINDING FIXTURE</t>
  </si>
  <si>
    <t>IRON BRACKET</t>
  </si>
  <si>
    <t>POLYESTER PULL TAPES</t>
  </si>
  <si>
    <t>SHELLER</t>
  </si>
  <si>
    <t>WATER DISTILLER</t>
  </si>
  <si>
    <t>WATERPROOF SHOWER SUBSTRATE</t>
  </si>
  <si>
    <t>WD-125020287</t>
  </si>
  <si>
    <t>MSDU5224106</t>
  </si>
  <si>
    <t>9619004090</t>
  </si>
  <si>
    <t>ABSORBENT UNDERPAD</t>
  </si>
  <si>
    <t>8462490000</t>
  </si>
  <si>
    <t>BENDING MACHINE</t>
  </si>
  <si>
    <t>CAKE DECORATING MACHINE</t>
  </si>
  <si>
    <t>DOVETAIL JIG</t>
  </si>
  <si>
    <t>DUST BARRIERS</t>
  </si>
  <si>
    <t>FRENCH FRIES</t>
  </si>
  <si>
    <t>GYPSUM BOARD ELEVATOR</t>
  </si>
  <si>
    <t>4016930090</t>
  </si>
  <si>
    <t>HEEL</t>
  </si>
  <si>
    <t>8421197000</t>
  </si>
  <si>
    <t>8418211090</t>
  </si>
  <si>
    <t>INCUBATOR</t>
  </si>
  <si>
    <t>INNER CORE CABLE</t>
  </si>
  <si>
    <t>LANDSCAPE ROCK RAKE</t>
  </si>
  <si>
    <t>LIVESTOCK FEEDER</t>
  </si>
  <si>
    <t>MAGNETIC STIRRER</t>
  </si>
  <si>
    <t>POKER MACHINE</t>
  </si>
  <si>
    <t>ROUND FIRE RING</t>
  </si>
  <si>
    <t>STEERING CYLINDER OUTBOARD</t>
  </si>
  <si>
    <t>VENEER REELING MACHINE</t>
  </si>
  <si>
    <t>WORDPAD</t>
  </si>
  <si>
    <t>WD-125030059</t>
  </si>
  <si>
    <t>MSDU5410409</t>
  </si>
  <si>
    <t>LINEAR RAIL</t>
  </si>
  <si>
    <t>8438400000</t>
  </si>
  <si>
    <t>WINEMAKER</t>
  </si>
  <si>
    <t>WD-125030048</t>
  </si>
  <si>
    <t>MSDU7786801</t>
  </si>
  <si>
    <t>BIRDCAGE</t>
  </si>
  <si>
    <t>BOAT SEAT PEDESTAL</t>
  </si>
  <si>
    <t>BOUNCE HOUSE</t>
  </si>
  <si>
    <t>DOUBLE CONDENSER WATER ALCOHOL DISTILLER</t>
  </si>
  <si>
    <t>ELECTRIC CORN TORTILLA MAKER MACHINE</t>
  </si>
  <si>
    <t>FIREWOOD RACK</t>
  </si>
  <si>
    <t>FOOD DISPLAY RACK</t>
  </si>
  <si>
    <t>GARMENT HANGER</t>
  </si>
  <si>
    <t>7013990090</t>
  </si>
  <si>
    <t>GLASS BALL</t>
  </si>
  <si>
    <t>HAND OPERATED TABLET PRESS</t>
  </si>
  <si>
    <t>HEATING TOWEL BUCKET</t>
  </si>
  <si>
    <t>JEWELRY POLISHER</t>
  </si>
  <si>
    <t>KIDS RIDE ON PUSH CAR</t>
  </si>
  <si>
    <t>KITCHEN SPICE RACK</t>
  </si>
  <si>
    <t>LAB CART SDP</t>
  </si>
  <si>
    <t>8536500500</t>
  </si>
  <si>
    <t>LAUNCHER</t>
  </si>
  <si>
    <t>8307900090</t>
  </si>
  <si>
    <t>MINI SPLIT LINE SET</t>
  </si>
  <si>
    <t>9011800000</t>
  </si>
  <si>
    <t>MULTI-DIRECTIONAL MICROSCOPE KIT</t>
  </si>
  <si>
    <t>PORTABLE CHARGING</t>
  </si>
  <si>
    <t>4006900000</t>
  </si>
  <si>
    <t>VACUUM SUCTION CUP</t>
  </si>
  <si>
    <t>6910100000</t>
  </si>
  <si>
    <t>VESSEL SINK</t>
  </si>
  <si>
    <t>6702900000</t>
  </si>
  <si>
    <t>WEDDING ARCH FLOWERS</t>
  </si>
  <si>
    <t>WIND CHIME</t>
  </si>
  <si>
    <t>WD-125030071</t>
  </si>
  <si>
    <t>MSDU8567372</t>
  </si>
  <si>
    <t>8205901000</t>
  </si>
  <si>
    <t>DINNER PLATE</t>
  </si>
  <si>
    <t>DOOR OPENER</t>
  </si>
  <si>
    <t>IRON FRAME NON-FOLDING BASKETBALL ARCADE GAME</t>
  </si>
  <si>
    <t>8507600090</t>
  </si>
  <si>
    <t>LITHIUM ION BATTERIES FOR ELECTRIC TOOLS</t>
  </si>
  <si>
    <t>LITHIUM ION BATTERIES FOR ELECTRIC TOOLSLITHIUM ION BATTERIES FOR ELECTRIC TOOLS</t>
  </si>
  <si>
    <t>SIMULATED BALL SEED POT</t>
  </si>
  <si>
    <t>WD-125030078</t>
  </si>
  <si>
    <t>MSDU8580712</t>
  </si>
  <si>
    <t>3922100000</t>
  </si>
  <si>
    <t>ABS PLASTIC SALON AND SPA HAIR SINK</t>
  </si>
  <si>
    <t>BRUSHED DC MOTOR</t>
  </si>
  <si>
    <t>CAR TAILGATE ELECTRIC STAY</t>
  </si>
  <si>
    <t>CHEESE SLICER</t>
  </si>
  <si>
    <t>CLIMB TUNNEL</t>
  </si>
  <si>
    <t>DEEP  IMPACT SOCKET</t>
  </si>
  <si>
    <t>DRILL CORE BITS</t>
  </si>
  <si>
    <t>DRY WALL FLAT DECORATION BOX</t>
  </si>
  <si>
    <t>8424829000</t>
  </si>
  <si>
    <t>GARDEN SPRINKLER</t>
  </si>
  <si>
    <t>HOSE</t>
  </si>
  <si>
    <t>LABELLING MACHINE</t>
  </si>
  <si>
    <t>NEEDLE THREADER</t>
  </si>
  <si>
    <t>OIL FILTER BARREL</t>
  </si>
  <si>
    <t>PORTABLE  COMPRESSOR</t>
  </si>
  <si>
    <t>SAFETY LOCK SET</t>
  </si>
  <si>
    <t>SCREWDRIVER</t>
  </si>
  <si>
    <t>SHOPPING CART</t>
  </si>
  <si>
    <t>SLIDING DOORS HARDWARE</t>
  </si>
  <si>
    <t>STEPPING STONES-BIONIC</t>
  </si>
  <si>
    <t>SUBMERSIBLE PUMP</t>
  </si>
  <si>
    <t>WHEEL SPCERS</t>
  </si>
  <si>
    <t>WINCH</t>
  </si>
  <si>
    <t>WD-125020311</t>
  </si>
  <si>
    <t>MSMU4147742</t>
  </si>
  <si>
    <t>BATHTUB ARMREST</t>
  </si>
  <si>
    <t>CUTTING PLOTTER</t>
  </si>
  <si>
    <t>CYLINDER PRESSURE GAUGE</t>
  </si>
  <si>
    <t>DECKING BALUSTER</t>
  </si>
  <si>
    <t>DIGITAL TORQUE WRENCH</t>
  </si>
  <si>
    <t>FOLDING SCAFFOLDING</t>
  </si>
  <si>
    <t>HAND DRYER</t>
  </si>
  <si>
    <t>7610100000</t>
  </si>
  <si>
    <t>PET DOOR</t>
  </si>
  <si>
    <t>PIPE ALIGNING DEVICE</t>
  </si>
  <si>
    <t>PLASTIC BRUSH</t>
  </si>
  <si>
    <t>PLASTIC FENCE</t>
  </si>
  <si>
    <t>5607501190</t>
  </si>
  <si>
    <t>SERVER RACK SHELF</t>
  </si>
  <si>
    <t>WIRE ROPE HOIST</t>
  </si>
  <si>
    <t>WD-125030064</t>
  </si>
  <si>
    <t>MSMU4497247</t>
  </si>
  <si>
    <t>8418408099</t>
  </si>
  <si>
    <t>BLAST FREEZER</t>
  </si>
  <si>
    <t>DRIP COFFEE MACHINE</t>
  </si>
  <si>
    <t>GARBAGE CAN</t>
  </si>
  <si>
    <t>HAND WELDED SINK</t>
  </si>
  <si>
    <t>HOLLOW OUT SHELVES</t>
  </si>
  <si>
    <t>RACK</t>
  </si>
  <si>
    <t>RECYCLING MACHINE</t>
  </si>
  <si>
    <t>WIRE  LAUNDRY CART</t>
  </si>
  <si>
    <t>WD-125020320</t>
  </si>
  <si>
    <t>MSMU4569727</t>
  </si>
  <si>
    <t>8307100090</t>
  </si>
  <si>
    <t>AIR CONDITIONING HOSE</t>
  </si>
  <si>
    <t>8537109899</t>
  </si>
  <si>
    <t>DRYWALL SCREW GUN</t>
  </si>
  <si>
    <t>MATTRESS TOPPER</t>
  </si>
  <si>
    <t>PLASTIC SHOPPING BASKET WITH HANDLE</t>
  </si>
  <si>
    <t>SERVICE WINDOW</t>
  </si>
  <si>
    <t>TIRE CHANGE TOOL - KIT</t>
  </si>
  <si>
    <t>WD-125020312</t>
  </si>
  <si>
    <t>MSMU5266197</t>
  </si>
  <si>
    <t>8412218090</t>
  </si>
  <si>
    <t>CAR LIFTER</t>
  </si>
  <si>
    <t>CAR MAT</t>
  </si>
  <si>
    <t>DRAINAGE MAT</t>
  </si>
  <si>
    <t>HAND DRUM</t>
  </si>
  <si>
    <t>INDEX HEAD</t>
  </si>
  <si>
    <t>POND LINER</t>
  </si>
  <si>
    <t>POST HOLE DIGGER</t>
  </si>
  <si>
    <t>ROLLING MILL</t>
  </si>
  <si>
    <t>SAFE-DEPOSIT BOX</t>
  </si>
  <si>
    <t>8543307000</t>
  </si>
  <si>
    <t>SALT CHLORINE GENERATOR</t>
  </si>
  <si>
    <t>SHELVES</t>
  </si>
  <si>
    <t>STAINLESS ELECTRICAL ENCLOSURES</t>
  </si>
  <si>
    <t>WATER CHANNEL</t>
  </si>
  <si>
    <t>WD-125020291</t>
  </si>
  <si>
    <t>MSMU5767820</t>
  </si>
  <si>
    <t>220V DOUBLE HEAT PIPES LINER</t>
  </si>
  <si>
    <t>ARMREST GLOVES</t>
  </si>
  <si>
    <t>BALUSTER SCREW PACKAGE 102</t>
  </si>
  <si>
    <t>8419908540</t>
  </si>
  <si>
    <t>BX CIRCUIT BOARD</t>
  </si>
  <si>
    <t>3917400099</t>
  </si>
  <si>
    <t>CONNECTING WATER PIPE</t>
  </si>
  <si>
    <t>9405920090</t>
  </si>
  <si>
    <t>CONTROL UINT-AW30</t>
  </si>
  <si>
    <t>8443999000</t>
  </si>
  <si>
    <t>DECORATIVE COVER</t>
  </si>
  <si>
    <t>FIXING STRIP</t>
  </si>
  <si>
    <t>9405990090</t>
  </si>
  <si>
    <t>LED-PQ 1200</t>
  </si>
  <si>
    <t>LENGTHENED FORKLIFT</t>
  </si>
  <si>
    <t>MOTHERBOARD</t>
  </si>
  <si>
    <t>PLASTIC FLOOR</t>
  </si>
  <si>
    <t>POWER PLUG-220V</t>
  </si>
  <si>
    <t>PUTTY SCRAPER 24INCH</t>
  </si>
  <si>
    <t>8526920090</t>
  </si>
  <si>
    <t>REMOTE CONTROL</t>
  </si>
  <si>
    <t>SEALING RING</t>
  </si>
  <si>
    <t>WD-125020327</t>
  </si>
  <si>
    <t>MSMU6210269</t>
  </si>
  <si>
    <t>CLASSIC AIR PUMP</t>
  </si>
  <si>
    <t>FLOOR JACKS</t>
  </si>
  <si>
    <t>8907100000</t>
  </si>
  <si>
    <t>INFLATABLE BOAT</t>
  </si>
  <si>
    <t>SANDBLASTING MACHINE</t>
  </si>
  <si>
    <t>SERVING WINDOW</t>
  </si>
  <si>
    <t>SHIP TRAILER GUIDE RAIL</t>
  </si>
  <si>
    <t>9017809000</t>
  </si>
  <si>
    <t>TIRE RULER</t>
  </si>
  <si>
    <t>L9839260</t>
  </si>
  <si>
    <t>MEDUGQ090136</t>
  </si>
  <si>
    <t>MEDUGQ090151</t>
  </si>
  <si>
    <t>MEDUYH957472</t>
  </si>
  <si>
    <t>MEDUYD754600</t>
  </si>
  <si>
    <t>MEDUYD754642</t>
  </si>
  <si>
    <t>MEDUYH957571</t>
  </si>
  <si>
    <t>MEDUYD754774</t>
  </si>
  <si>
    <t>MEDUYD754659</t>
  </si>
  <si>
    <t>MEDUYH957605</t>
  </si>
  <si>
    <t>MEDUYZ214469</t>
  </si>
  <si>
    <t>MEDUYZ214477</t>
  </si>
  <si>
    <t>MEDUGQ090060</t>
  </si>
  <si>
    <t>MEDUYD754584</t>
  </si>
  <si>
    <t>MEDUYD754741</t>
  </si>
  <si>
    <t>MEDUYH957464</t>
  </si>
  <si>
    <t>MEDUYD754725</t>
  </si>
  <si>
    <t>MEDUYZ214568</t>
  </si>
  <si>
    <t>MEDUYD754733</t>
  </si>
  <si>
    <t>MEDUYD754717</t>
  </si>
  <si>
    <t>MEDUGQ090144</t>
  </si>
  <si>
    <t>MEDUQT938576</t>
  </si>
  <si>
    <t>MEDUYZ017524</t>
  </si>
  <si>
    <t>MEDUQT938519</t>
  </si>
  <si>
    <t>MEDUYD754691</t>
  </si>
  <si>
    <t>MEDUYD754766</t>
  </si>
  <si>
    <t>MEDUYH957498</t>
  </si>
  <si>
    <t>MEDUYH957597</t>
  </si>
  <si>
    <t>MEDUQT938493</t>
  </si>
  <si>
    <t>MEDUYD754626</t>
  </si>
  <si>
    <t>MEDUYD754709</t>
  </si>
  <si>
    <t>MEDUYD754667</t>
  </si>
  <si>
    <t>MEDUGQ090052</t>
  </si>
  <si>
    <t>MEDUYZ182088</t>
  </si>
  <si>
    <t>MEDUVU370775</t>
  </si>
  <si>
    <t>MEDUYZ178649</t>
  </si>
  <si>
    <t>MEDUQT938568</t>
  </si>
  <si>
    <t>MEDUYZ214378</t>
  </si>
  <si>
    <t>MEDUYZ214402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</si>
</sst>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0.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Microsoft YaHei UI"/>
      <family val="2"/>
    </font>
    <font>
      <sz val="12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rgb="FFBBFB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164" fontId="0" fillId="3" borderId="0" xfId="0" applyNumberFormat="1" applyFill="1" applyAlignment="1">
      <alignment wrapText="1"/>
    </xf>
    <xf numFmtId="164" fontId="0" fillId="3" borderId="0" xfId="0" quotePrefix="1" applyNumberFormat="1" applyFill="1"/>
    <xf numFmtId="0" fontId="0" fillId="3" borderId="0" xfId="0" quotePrefix="1" applyFill="1"/>
    <xf numFmtId="3" fontId="0" fillId="0" borderId="0" xfId="0" applyNumberFormat="1"/>
    <xf numFmtId="0" fontId="2" fillId="0" borderId="0" xfId="0" applyFont="1"/>
    <xf numFmtId="0" fontId="3" fillId="0" borderId="0" xfId="1" applyAlignment="1">
      <alignment wrapText="1"/>
    </xf>
    <xf numFmtId="0" fontId="0" fillId="4" borderId="0" xfId="0" applyFill="1"/>
    <xf numFmtId="1" fontId="0" fillId="4" borderId="0" xfId="0" applyNumberFormat="1" applyFill="1"/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 wrapText="1"/>
    </xf>
    <xf numFmtId="0" fontId="5" fillId="0" borderId="0" xfId="0" applyFont="1"/>
    <xf numFmtId="2" fontId="0" fillId="4" borderId="0" xfId="0" applyNumberFormat="1" applyFill="1"/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wrapText="1"/>
    </xf>
    <xf numFmtId="0" fontId="5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3" dT="2025-03-15T09:23:10.95" personId="{00000000-0000-0000-0000-000000000000}" id="{6CE8F6CE-A635-46D7-A095-A002CAB260BF}">
    <text xml:space="preserve">Hierin moet het totaal aantal colli van de BL ingevuld worden </text>
  </threadedComment>
  <threadedComment ref="N3" dT="2025-03-15T09:24:07.32" personId="{00000000-0000-0000-0000-000000000000}" id="{340B8824-8377-464A-8FD2-CACA71AFD998}">
    <text xml:space="preserve">Hiern moet het totale gewicht van de BL ingevuld worden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965"/>
  <sheetViews>
    <sheetView tabSelected="1" zoomScale="80" zoomScaleNormal="80" workbookViewId="0">
      <selection activeCell="M220" sqref="M220"/>
    </sheetView>
  </sheetViews>
  <sheetFormatPr defaultColWidth="9.140625" defaultRowHeight="15" x14ac:dyDescent="0.25"/>
  <cols>
    <col min="1" max="1" width="17" bestFit="1" customWidth="1"/>
    <col min="2" max="2" width="15" bestFit="1" customWidth="1"/>
    <col min="3" max="3" width="23.140625" style="23" bestFit="1" customWidth="1"/>
    <col min="4" max="5" width="23.140625" bestFit="1" customWidth="1"/>
    <col min="6" max="6" width="14.42578125" bestFit="1" customWidth="1"/>
    <col min="7" max="7" width="14.5703125" style="1" hidden="1" customWidth="1"/>
    <col min="8" max="8" width="12.85546875" hidden="1" customWidth="1"/>
    <col min="9" max="9" width="23.140625" bestFit="1" customWidth="1"/>
    <col min="10" max="11" width="14.42578125" bestFit="1" customWidth="1"/>
    <col min="12" max="12" width="23.140625" bestFit="1" customWidth="1"/>
    <col min="13" max="13" width="84" customWidth="1"/>
    <col min="14" max="15" width="23.140625" bestFit="1" customWidth="1"/>
    <col min="16" max="17" width="14.42578125" bestFit="1" customWidth="1"/>
    <col min="18" max="18" width="16.7109375" bestFit="1" customWidth="1"/>
    <col min="19" max="21" width="14.42578125" bestFit="1" customWidth="1"/>
    <col min="22" max="22" width="11.85546875" hidden="1" customWidth="1"/>
    <col min="23" max="23" width="15.85546875" hidden="1" customWidth="1"/>
    <col min="24" max="24" width="11.85546875" hidden="1" customWidth="1"/>
    <col min="25" max="26" width="14.42578125" bestFit="1" customWidth="1"/>
    <col min="27" max="27" width="27.42578125" bestFit="1" customWidth="1"/>
    <col min="28" max="28" width="14.28515625" hidden="1" customWidth="1"/>
    <col min="29" max="29" width="14.42578125" bestFit="1" customWidth="1"/>
    <col min="30" max="34" width="14.5703125" bestFit="1" customWidth="1"/>
    <col min="35" max="35" width="15.85546875" customWidth="1"/>
    <col min="36" max="36" width="26.42578125" hidden="1" customWidth="1"/>
    <col min="37" max="37" width="20.42578125" hidden="1" customWidth="1"/>
    <col min="38" max="38" width="21.140625" hidden="1" customWidth="1"/>
    <col min="39" max="39" width="14.42578125" hidden="1" customWidth="1"/>
    <col min="40" max="41" width="9.140625" hidden="1" customWidth="1"/>
    <col min="42" max="42" width="14.42578125" bestFit="1" customWidth="1"/>
    <col min="43" max="43" width="23.140625" bestFit="1" customWidth="1"/>
  </cols>
  <sheetData>
    <row r="1" spans="1:43" s="3" customFormat="1" ht="30" x14ac:dyDescent="0.25">
      <c r="C1" s="21" t="s">
        <v>0</v>
      </c>
      <c r="D1" s="4"/>
      <c r="E1" s="4"/>
      <c r="G1" s="6" t="s">
        <v>1</v>
      </c>
      <c r="H1" s="7" t="s">
        <v>2</v>
      </c>
      <c r="I1" s="4"/>
      <c r="L1" s="4"/>
      <c r="M1" s="4"/>
      <c r="N1" s="4"/>
      <c r="O1" s="4"/>
      <c r="P1" s="3" t="s">
        <v>3</v>
      </c>
      <c r="Q1" s="3" t="s">
        <v>3</v>
      </c>
      <c r="R1" s="4" t="s">
        <v>3</v>
      </c>
      <c r="S1" s="3" t="s">
        <v>3</v>
      </c>
      <c r="T1" s="3" t="s">
        <v>3</v>
      </c>
      <c r="U1" s="3" t="s">
        <v>3</v>
      </c>
      <c r="V1" s="4" t="s">
        <v>4</v>
      </c>
      <c r="W1" s="4" t="s">
        <v>4</v>
      </c>
      <c r="X1" s="4" t="s">
        <v>4</v>
      </c>
      <c r="AM1" s="4"/>
      <c r="AQ1" s="4"/>
    </row>
    <row r="2" spans="1:43" s="3" customFormat="1" ht="60" x14ac:dyDescent="0.25">
      <c r="A2" s="3" t="s">
        <v>5</v>
      </c>
      <c r="B2" s="3" t="s">
        <v>6</v>
      </c>
      <c r="C2" s="21" t="s">
        <v>7</v>
      </c>
      <c r="D2" s="4" t="s">
        <v>8</v>
      </c>
      <c r="E2" s="4" t="s">
        <v>9</v>
      </c>
      <c r="F2" s="3" t="s">
        <v>10</v>
      </c>
      <c r="G2" s="5" t="s">
        <v>11</v>
      </c>
      <c r="H2" s="4" t="s">
        <v>12</v>
      </c>
      <c r="I2" s="4" t="s">
        <v>13</v>
      </c>
      <c r="J2" s="4" t="s">
        <v>45</v>
      </c>
      <c r="K2" s="4" t="s">
        <v>46</v>
      </c>
      <c r="L2" s="4" t="s">
        <v>14</v>
      </c>
      <c r="M2" s="4" t="s">
        <v>47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3" t="s">
        <v>26</v>
      </c>
      <c r="Z2" s="4" t="s">
        <v>27</v>
      </c>
      <c r="AA2" s="3" t="s">
        <v>28</v>
      </c>
      <c r="AB2" s="3" t="s">
        <v>29</v>
      </c>
      <c r="AC2" s="4" t="s">
        <v>48</v>
      </c>
      <c r="AD2" s="4" t="s">
        <v>49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3" t="s">
        <v>37</v>
      </c>
      <c r="AK2" s="3" t="s">
        <v>38</v>
      </c>
      <c r="AL2" s="3" t="s">
        <v>39</v>
      </c>
      <c r="AM2" s="4" t="s">
        <v>51</v>
      </c>
      <c r="AN2" s="3" t="s">
        <v>41</v>
      </c>
      <c r="AO2" s="3" t="s">
        <v>40</v>
      </c>
      <c r="AP2" s="4" t="s">
        <v>50</v>
      </c>
      <c r="AQ2" s="4" t="s">
        <v>52</v>
      </c>
    </row>
    <row r="3" spans="1:43" ht="15.75" x14ac:dyDescent="0.25">
      <c r="A3" s="11" t="s">
        <v>57</v>
      </c>
      <c r="B3" s="11" t="s">
        <v>56</v>
      </c>
      <c r="C3" s="22">
        <f>DATA!N2</f>
        <v>25001620</v>
      </c>
      <c r="D3" s="11" t="str">
        <f>E3</f>
        <v>SKIIFM_AT</v>
      </c>
      <c r="E3" s="11" t="str">
        <f>IF(I3&lt;&gt;"",VLOOKUP(F3,OPDRACHTGEVER!$A$2:$B$4,2,FALSE),"")</f>
        <v>SKIIFM_AT</v>
      </c>
      <c r="F3" s="11" t="s">
        <v>58</v>
      </c>
      <c r="I3" s="11" t="str">
        <f>IF(DATA!B2&lt;&gt;"",DATA!B2,"")</f>
        <v>MSMU8240149</v>
      </c>
      <c r="J3" s="12">
        <v>559</v>
      </c>
      <c r="K3" s="11" t="s">
        <v>53</v>
      </c>
      <c r="L3" s="11" t="str">
        <f>LEFT(AQ3,6)</f>
        <v>841480</v>
      </c>
      <c r="M3" s="11" t="str">
        <f>IF(I3&lt;&gt;"",DATA!E2,"")</f>
        <v>AIR COMPRESSOR</v>
      </c>
      <c r="N3" s="18">
        <v>6931</v>
      </c>
      <c r="O3" s="11">
        <f>IF(I3&lt;&gt;"",DATA!C2,"")</f>
        <v>13.75</v>
      </c>
      <c r="P3" s="2">
        <v>294094</v>
      </c>
      <c r="Q3" s="2" t="s">
        <v>1304</v>
      </c>
      <c r="R3" s="2" t="s">
        <v>1305</v>
      </c>
      <c r="S3" s="2">
        <v>208</v>
      </c>
      <c r="T3" s="2">
        <v>1</v>
      </c>
      <c r="U3" s="2" t="s">
        <v>141</v>
      </c>
      <c r="Y3" s="2">
        <v>1700</v>
      </c>
      <c r="Z3" s="11" t="s">
        <v>54</v>
      </c>
      <c r="AA3" s="11" t="str">
        <f>IF(I3&lt;&gt;"",Y3&amp;" - "&amp;Z3,"")</f>
        <v>1700 - TBN</v>
      </c>
      <c r="AC3" s="2" t="s">
        <v>145</v>
      </c>
      <c r="AD3" s="11" t="str">
        <f>IF($I3&lt;&gt;"",VLOOKUP($AC3,GEADRESSEERDE!$A$2:$E$4,2,),"")</f>
        <v>LUITHAGEN HAVEN 2 D</v>
      </c>
      <c r="AE3" s="11">
        <f>IF($I3&lt;&gt;"",VLOOKUP($AC3,GEADRESSEERDE!$A$2:$E$4,3,),"")</f>
        <v>2030</v>
      </c>
      <c r="AF3" s="11" t="str">
        <f>IF($I3&lt;&gt;"",VLOOKUP($AC3,GEADRESSEERDE!$A$2:$E$4,4,),"")</f>
        <v>ANTWERPEN</v>
      </c>
      <c r="AG3" s="11" t="str">
        <f>IF($I3&lt;&gt;"",VLOOKUP($AC3,GEADRESSEERDE!$A$2:$E$4,5,),"")</f>
        <v>BE</v>
      </c>
      <c r="AH3" s="11" t="str">
        <f>IF(I3&lt;&gt;"",VLOOKUP(AP3,KvB!$A$2:$B$3,2,FALSE),"")</f>
        <v>BE101000</v>
      </c>
      <c r="AI3" s="11" t="s">
        <v>55</v>
      </c>
      <c r="AJ3" s="11"/>
      <c r="AK3" s="11"/>
      <c r="AL3" s="11"/>
      <c r="AM3" s="11"/>
      <c r="AN3" s="11"/>
      <c r="AO3" s="11"/>
      <c r="AP3" s="2" t="s">
        <v>70</v>
      </c>
      <c r="AQ3" s="11" t="str">
        <f>IF(I3&lt;&gt;"",DATA!D2,"")</f>
        <v>8414808090</v>
      </c>
    </row>
    <row r="4" spans="1:43" ht="15.75" x14ac:dyDescent="0.25">
      <c r="A4" s="11" t="s">
        <v>57</v>
      </c>
      <c r="B4" s="11" t="s">
        <v>56</v>
      </c>
      <c r="C4" s="22">
        <f>C3</f>
        <v>25001620</v>
      </c>
      <c r="D4" s="11" t="str">
        <f t="shared" ref="D4:D38" si="0">E4</f>
        <v>SKIIFM_AT</v>
      </c>
      <c r="E4" s="11" t="str">
        <f>IF(I4&lt;&gt;"",VLOOKUP(F4,OPDRACHTGEVER!$A$2:$B$4,2,FALSE),"")</f>
        <v>SKIIFM_AT</v>
      </c>
      <c r="F4" s="11" t="s">
        <v>58</v>
      </c>
      <c r="I4" s="11" t="str">
        <f>IF(DATA!B3&lt;&gt;"",DATA!B3,"")</f>
        <v>MSMU8240149</v>
      </c>
      <c r="J4" s="12">
        <v>0</v>
      </c>
      <c r="K4" s="11" t="s">
        <v>53</v>
      </c>
      <c r="L4" s="11" t="str">
        <f t="shared" ref="L4:L38" si="1">LEFT(AQ4,6)</f>
        <v>841239</v>
      </c>
      <c r="M4" s="11" t="str">
        <f>IF(I4&lt;&gt;"",DATA!E3,"")</f>
        <v>AIR PRESSURE KIT BRAKE</v>
      </c>
      <c r="N4" s="12">
        <v>0</v>
      </c>
      <c r="O4" s="11">
        <f>IF(I4&lt;&gt;"",DATA!C3,"")</f>
        <v>15</v>
      </c>
      <c r="P4" s="2">
        <v>294094</v>
      </c>
      <c r="Q4" s="2" t="s">
        <v>1304</v>
      </c>
      <c r="R4" s="2" t="s">
        <v>1305</v>
      </c>
      <c r="S4" s="2">
        <v>208</v>
      </c>
      <c r="T4" s="2">
        <v>1</v>
      </c>
      <c r="U4" s="2" t="s">
        <v>141</v>
      </c>
      <c r="Y4" s="2">
        <v>1700</v>
      </c>
      <c r="Z4" s="11" t="s">
        <v>54</v>
      </c>
      <c r="AA4" s="11" t="str">
        <f t="shared" ref="AA4:AA38" si="2">IF(I4&lt;&gt;"",Y4&amp;" - "&amp;Z4,"")</f>
        <v>1700 - TBN</v>
      </c>
      <c r="AC4" s="2" t="s">
        <v>145</v>
      </c>
      <c r="AD4" s="11" t="str">
        <f>IF($I4&lt;&gt;"",VLOOKUP($AC4,GEADRESSEERDE!$A$2:$E$4,2,),"")</f>
        <v>LUITHAGEN HAVEN 2 D</v>
      </c>
      <c r="AE4" s="11">
        <f>IF($I4&lt;&gt;"",VLOOKUP($AC4,GEADRESSEERDE!$A$2:$E$4,3,),"")</f>
        <v>2030</v>
      </c>
      <c r="AF4" s="11" t="str">
        <f>IF($I4&lt;&gt;"",VLOOKUP($AC4,GEADRESSEERDE!$A$2:$E$4,4,),"")</f>
        <v>ANTWERPEN</v>
      </c>
      <c r="AG4" s="11" t="str">
        <f>IF($I4&lt;&gt;"",VLOOKUP($AC4,GEADRESSEERDE!$A$2:$E$4,5,),"")</f>
        <v>BE</v>
      </c>
      <c r="AH4" s="11" t="str">
        <f>IF(I4&lt;&gt;"",VLOOKUP(AP4,KvB!$A$2:$B$3,2,FALSE),"")</f>
        <v>BE101000</v>
      </c>
      <c r="AI4" s="11" t="s">
        <v>55</v>
      </c>
      <c r="AJ4" s="11"/>
      <c r="AK4" s="11"/>
      <c r="AL4" s="11"/>
      <c r="AM4" s="11"/>
      <c r="AN4" s="11"/>
      <c r="AO4" s="11"/>
      <c r="AP4" s="2" t="s">
        <v>70</v>
      </c>
      <c r="AQ4" s="11" t="str">
        <f>IF(I4&lt;&gt;"",DATA!D3,"")</f>
        <v>8412390090</v>
      </c>
    </row>
    <row r="5" spans="1:43" ht="15.75" x14ac:dyDescent="0.25">
      <c r="A5" s="11" t="s">
        <v>57</v>
      </c>
      <c r="B5" s="11" t="s">
        <v>56</v>
      </c>
      <c r="C5" s="22">
        <f t="shared" ref="C5:C68" si="3">C4</f>
        <v>25001620</v>
      </c>
      <c r="D5" s="11" t="str">
        <f t="shared" si="0"/>
        <v>SKIIFM_AT</v>
      </c>
      <c r="E5" s="11" t="str">
        <f>IF(I5&lt;&gt;"",VLOOKUP(F5,OPDRACHTGEVER!$A$2:$B$4,2,FALSE),"")</f>
        <v>SKIIFM_AT</v>
      </c>
      <c r="F5" s="11" t="s">
        <v>58</v>
      </c>
      <c r="I5" s="11" t="str">
        <f>IF(DATA!B4&lt;&gt;"",DATA!B4,"")</f>
        <v>MSMU8240149</v>
      </c>
      <c r="J5" s="12">
        <v>0</v>
      </c>
      <c r="K5" s="11" t="s">
        <v>53</v>
      </c>
      <c r="L5" s="11" t="str">
        <f t="shared" si="1"/>
        <v>741920</v>
      </c>
      <c r="M5" s="11" t="str">
        <f>IF(I5&lt;&gt;"",DATA!E4,"")</f>
        <v>ALUMINUM LADDER</v>
      </c>
      <c r="N5" s="12">
        <v>0</v>
      </c>
      <c r="O5" s="11">
        <f>IF(I5&lt;&gt;"",DATA!C4,"")</f>
        <v>15.65</v>
      </c>
      <c r="P5" s="2">
        <v>294094</v>
      </c>
      <c r="Q5" s="2" t="s">
        <v>1304</v>
      </c>
      <c r="R5" s="2" t="s">
        <v>1305</v>
      </c>
      <c r="S5" s="2">
        <v>208</v>
      </c>
      <c r="T5" s="2">
        <v>1</v>
      </c>
      <c r="U5" s="2" t="s">
        <v>141</v>
      </c>
      <c r="Y5" s="2">
        <v>1700</v>
      </c>
      <c r="Z5" s="11" t="s">
        <v>54</v>
      </c>
      <c r="AA5" s="11" t="str">
        <f t="shared" si="2"/>
        <v>1700 - TBN</v>
      </c>
      <c r="AC5" s="2" t="s">
        <v>145</v>
      </c>
      <c r="AD5" s="11" t="str">
        <f>IF($I5&lt;&gt;"",VLOOKUP($AC5,GEADRESSEERDE!$A$2:$E$4,2,),"")</f>
        <v>LUITHAGEN HAVEN 2 D</v>
      </c>
      <c r="AE5" s="11">
        <f>IF($I5&lt;&gt;"",VLOOKUP($AC5,GEADRESSEERDE!$A$2:$E$4,3,),"")</f>
        <v>2030</v>
      </c>
      <c r="AF5" s="11" t="str">
        <f>IF($I5&lt;&gt;"",VLOOKUP($AC5,GEADRESSEERDE!$A$2:$E$4,4,),"")</f>
        <v>ANTWERPEN</v>
      </c>
      <c r="AG5" s="11" t="str">
        <f>IF($I5&lt;&gt;"",VLOOKUP($AC5,GEADRESSEERDE!$A$2:$E$4,5,),"")</f>
        <v>BE</v>
      </c>
      <c r="AH5" s="11" t="str">
        <f>IF(I5&lt;&gt;"",VLOOKUP(AP5,KvB!$A$2:$B$3,2,FALSE),"")</f>
        <v>BE101000</v>
      </c>
      <c r="AI5" s="11" t="s">
        <v>55</v>
      </c>
      <c r="AJ5" s="11"/>
      <c r="AK5" s="11"/>
      <c r="AL5" s="11"/>
      <c r="AM5" s="11"/>
      <c r="AN5" s="11"/>
      <c r="AO5" s="11"/>
      <c r="AP5" s="2" t="s">
        <v>70</v>
      </c>
      <c r="AQ5" s="11" t="str">
        <f>IF(I5&lt;&gt;"",DATA!D4,"")</f>
        <v>7419200090</v>
      </c>
    </row>
    <row r="6" spans="1:43" ht="15.75" x14ac:dyDescent="0.25">
      <c r="A6" s="11" t="s">
        <v>57</v>
      </c>
      <c r="B6" s="11" t="s">
        <v>56</v>
      </c>
      <c r="C6" s="22">
        <f t="shared" si="3"/>
        <v>25001620</v>
      </c>
      <c r="D6" s="11" t="str">
        <f t="shared" si="0"/>
        <v>SKIIFM_AT</v>
      </c>
      <c r="E6" s="11" t="str">
        <f>IF(I6&lt;&gt;"",VLOOKUP(F6,OPDRACHTGEVER!$A$2:$B$4,2,FALSE),"")</f>
        <v>SKIIFM_AT</v>
      </c>
      <c r="F6" s="11" t="s">
        <v>58</v>
      </c>
      <c r="I6" s="11" t="str">
        <f>IF(DATA!B5&lt;&gt;"",DATA!B5,"")</f>
        <v>MSMU8240149</v>
      </c>
      <c r="J6" s="12">
        <v>0</v>
      </c>
      <c r="K6" s="11" t="s">
        <v>53</v>
      </c>
      <c r="L6" s="11" t="str">
        <f t="shared" si="1"/>
        <v>401699</v>
      </c>
      <c r="M6" s="11" t="str">
        <f>IF(I6&lt;&gt;"",DATA!E5,"")</f>
        <v>CABLE PROTECTOR</v>
      </c>
      <c r="N6" s="12">
        <v>0</v>
      </c>
      <c r="O6" s="11">
        <f>IF(I6&lt;&gt;"",DATA!C5,"")</f>
        <v>175.25</v>
      </c>
      <c r="P6" s="2">
        <v>294094</v>
      </c>
      <c r="Q6" s="2" t="s">
        <v>1304</v>
      </c>
      <c r="R6" s="2" t="s">
        <v>1305</v>
      </c>
      <c r="S6" s="2">
        <v>208</v>
      </c>
      <c r="T6" s="2">
        <v>1</v>
      </c>
      <c r="U6" s="2" t="s">
        <v>141</v>
      </c>
      <c r="Y6" s="2">
        <v>1700</v>
      </c>
      <c r="Z6" s="11" t="s">
        <v>54</v>
      </c>
      <c r="AA6" s="11" t="str">
        <f t="shared" si="2"/>
        <v>1700 - TBN</v>
      </c>
      <c r="AC6" s="2" t="s">
        <v>145</v>
      </c>
      <c r="AD6" s="11" t="str">
        <f>IF($I6&lt;&gt;"",VLOOKUP($AC6,GEADRESSEERDE!$A$2:$E$4,2,),"")</f>
        <v>LUITHAGEN HAVEN 2 D</v>
      </c>
      <c r="AE6" s="11">
        <f>IF($I6&lt;&gt;"",VLOOKUP($AC6,GEADRESSEERDE!$A$2:$E$4,3,),"")</f>
        <v>2030</v>
      </c>
      <c r="AF6" s="11" t="str">
        <f>IF($I6&lt;&gt;"",VLOOKUP($AC6,GEADRESSEERDE!$A$2:$E$4,4,),"")</f>
        <v>ANTWERPEN</v>
      </c>
      <c r="AG6" s="11" t="str">
        <f>IF($I6&lt;&gt;"",VLOOKUP($AC6,GEADRESSEERDE!$A$2:$E$4,5,),"")</f>
        <v>BE</v>
      </c>
      <c r="AH6" s="11" t="str">
        <f>IF(I6&lt;&gt;"",VLOOKUP(AP6,KvB!$A$2:$B$3,2,FALSE),"")</f>
        <v>BE101000</v>
      </c>
      <c r="AI6" s="11" t="s">
        <v>55</v>
      </c>
      <c r="AJ6" s="11"/>
      <c r="AK6" s="11"/>
      <c r="AL6" s="11"/>
      <c r="AM6" s="11"/>
      <c r="AN6" s="11"/>
      <c r="AO6" s="11"/>
      <c r="AP6" s="2" t="s">
        <v>70</v>
      </c>
      <c r="AQ6" s="11" t="str">
        <f>IF(I6&lt;&gt;"",DATA!D5,"")</f>
        <v>4016999790</v>
      </c>
    </row>
    <row r="7" spans="1:43" ht="15.75" x14ac:dyDescent="0.25">
      <c r="A7" s="11" t="s">
        <v>57</v>
      </c>
      <c r="B7" s="11" t="s">
        <v>56</v>
      </c>
      <c r="C7" s="22">
        <f t="shared" si="3"/>
        <v>25001620</v>
      </c>
      <c r="D7" s="11" t="str">
        <f t="shared" si="0"/>
        <v>SKIIFM_AT</v>
      </c>
      <c r="E7" s="11" t="str">
        <f>IF(I7&lt;&gt;"",VLOOKUP(F7,OPDRACHTGEVER!$A$2:$B$4,2,FALSE),"")</f>
        <v>SKIIFM_AT</v>
      </c>
      <c r="F7" s="11" t="s">
        <v>58</v>
      </c>
      <c r="I7" s="11" t="str">
        <f>IF(DATA!B6&lt;&gt;"",DATA!B6,"")</f>
        <v>MSMU8240149</v>
      </c>
      <c r="J7" s="12">
        <v>0</v>
      </c>
      <c r="K7" s="11" t="s">
        <v>53</v>
      </c>
      <c r="L7" s="11" t="str">
        <f t="shared" si="1"/>
        <v>761090</v>
      </c>
      <c r="M7" s="11" t="str">
        <f>IF(I7&lt;&gt;"",DATA!E6,"")</f>
        <v>CANOPY</v>
      </c>
      <c r="N7" s="12">
        <v>0</v>
      </c>
      <c r="O7" s="11">
        <f>IF(I7&lt;&gt;"",DATA!C6,"")</f>
        <v>15.55</v>
      </c>
      <c r="P7" s="2">
        <v>294094</v>
      </c>
      <c r="Q7" s="2" t="s">
        <v>1304</v>
      </c>
      <c r="R7" s="2" t="s">
        <v>1305</v>
      </c>
      <c r="S7" s="2">
        <v>208</v>
      </c>
      <c r="T7" s="2">
        <v>1</v>
      </c>
      <c r="U7" s="2" t="s">
        <v>141</v>
      </c>
      <c r="Y7" s="2">
        <v>1700</v>
      </c>
      <c r="Z7" s="11" t="s">
        <v>54</v>
      </c>
      <c r="AA7" s="11" t="str">
        <f t="shared" si="2"/>
        <v>1700 - TBN</v>
      </c>
      <c r="AC7" s="2" t="s">
        <v>145</v>
      </c>
      <c r="AD7" s="11" t="str">
        <f>IF($I7&lt;&gt;"",VLOOKUP($AC7,GEADRESSEERDE!$A$2:$E$4,2,),"")</f>
        <v>LUITHAGEN HAVEN 2 D</v>
      </c>
      <c r="AE7" s="11">
        <f>IF($I7&lt;&gt;"",VLOOKUP($AC7,GEADRESSEERDE!$A$2:$E$4,3,),"")</f>
        <v>2030</v>
      </c>
      <c r="AF7" s="11" t="str">
        <f>IF($I7&lt;&gt;"",VLOOKUP($AC7,GEADRESSEERDE!$A$2:$E$4,4,),"")</f>
        <v>ANTWERPEN</v>
      </c>
      <c r="AG7" s="11" t="str">
        <f>IF($I7&lt;&gt;"",VLOOKUP($AC7,GEADRESSEERDE!$A$2:$E$4,5,),"")</f>
        <v>BE</v>
      </c>
      <c r="AH7" s="11" t="str">
        <f>IF(I7&lt;&gt;"",VLOOKUP(AP7,KvB!$A$2:$B$3,2,FALSE),"")</f>
        <v>BE101000</v>
      </c>
      <c r="AI7" s="11" t="s">
        <v>55</v>
      </c>
      <c r="AJ7" s="11"/>
      <c r="AK7" s="11"/>
      <c r="AL7" s="11"/>
      <c r="AM7" s="11"/>
      <c r="AN7" s="11"/>
      <c r="AO7" s="11"/>
      <c r="AP7" s="2" t="s">
        <v>70</v>
      </c>
      <c r="AQ7" s="11" t="str">
        <f>IF(I7&lt;&gt;"",DATA!D6,"")</f>
        <v>7610909095</v>
      </c>
    </row>
    <row r="8" spans="1:43" ht="15.75" x14ac:dyDescent="0.25">
      <c r="A8" s="11" t="s">
        <v>57</v>
      </c>
      <c r="B8" s="11" t="s">
        <v>56</v>
      </c>
      <c r="C8" s="22">
        <f t="shared" si="3"/>
        <v>25001620</v>
      </c>
      <c r="D8" s="11" t="str">
        <f t="shared" si="0"/>
        <v>SKIIFM_AT</v>
      </c>
      <c r="E8" s="11" t="str">
        <f>IF(I8&lt;&gt;"",VLOOKUP(F8,OPDRACHTGEVER!$A$2:$B$4,2,FALSE),"")</f>
        <v>SKIIFM_AT</v>
      </c>
      <c r="F8" s="11" t="s">
        <v>58</v>
      </c>
      <c r="I8" s="11" t="str">
        <f>IF(DATA!B7&lt;&gt;"",DATA!B7,"")</f>
        <v>MSMU8240149</v>
      </c>
      <c r="J8" s="12">
        <v>0</v>
      </c>
      <c r="K8" s="11" t="s">
        <v>53</v>
      </c>
      <c r="L8" s="11" t="str">
        <f t="shared" si="1"/>
        <v>903289</v>
      </c>
      <c r="M8" s="11" t="str">
        <f>IF(I8&lt;&gt;"",DATA!E7,"")</f>
        <v>CARBON DIOXIDE REGULATING GAS METER</v>
      </c>
      <c r="N8" s="12">
        <v>0</v>
      </c>
      <c r="O8" s="11">
        <f>IF(I8&lt;&gt;"",DATA!C7,"")</f>
        <v>5.4</v>
      </c>
      <c r="P8" s="2">
        <v>294094</v>
      </c>
      <c r="Q8" s="2" t="s">
        <v>1304</v>
      </c>
      <c r="R8" s="2" t="s">
        <v>1305</v>
      </c>
      <c r="S8" s="2">
        <v>208</v>
      </c>
      <c r="T8" s="2">
        <v>1</v>
      </c>
      <c r="U8" s="2" t="s">
        <v>141</v>
      </c>
      <c r="Y8" s="2">
        <v>1700</v>
      </c>
      <c r="Z8" s="11" t="s">
        <v>54</v>
      </c>
      <c r="AA8" s="11" t="str">
        <f t="shared" si="2"/>
        <v>1700 - TBN</v>
      </c>
      <c r="AC8" s="2" t="s">
        <v>145</v>
      </c>
      <c r="AD8" s="11" t="str">
        <f>IF($I8&lt;&gt;"",VLOOKUP($AC8,GEADRESSEERDE!$A$2:$E$4,2,),"")</f>
        <v>LUITHAGEN HAVEN 2 D</v>
      </c>
      <c r="AE8" s="11">
        <f>IF($I8&lt;&gt;"",VLOOKUP($AC8,GEADRESSEERDE!$A$2:$E$4,3,),"")</f>
        <v>2030</v>
      </c>
      <c r="AF8" s="11" t="str">
        <f>IF($I8&lt;&gt;"",VLOOKUP($AC8,GEADRESSEERDE!$A$2:$E$4,4,),"")</f>
        <v>ANTWERPEN</v>
      </c>
      <c r="AG8" s="11" t="str">
        <f>IF($I8&lt;&gt;"",VLOOKUP($AC8,GEADRESSEERDE!$A$2:$E$4,5,),"")</f>
        <v>BE</v>
      </c>
      <c r="AH8" s="11" t="str">
        <f>IF(I8&lt;&gt;"",VLOOKUP(AP8,KvB!$A$2:$B$3,2,FALSE),"")</f>
        <v>BE101000</v>
      </c>
      <c r="AI8" s="11" t="s">
        <v>55</v>
      </c>
      <c r="AJ8" s="11"/>
      <c r="AK8" s="11"/>
      <c r="AL8" s="11"/>
      <c r="AM8" s="11"/>
      <c r="AN8" s="11"/>
      <c r="AO8" s="11"/>
      <c r="AP8" s="2" t="s">
        <v>70</v>
      </c>
      <c r="AQ8" s="11" t="str">
        <f>IF(I8&lt;&gt;"",DATA!D7,"")</f>
        <v>9032890090</v>
      </c>
    </row>
    <row r="9" spans="1:43" ht="15.75" x14ac:dyDescent="0.25">
      <c r="A9" s="11" t="s">
        <v>57</v>
      </c>
      <c r="B9" s="11" t="s">
        <v>56</v>
      </c>
      <c r="C9" s="22">
        <f t="shared" si="3"/>
        <v>25001620</v>
      </c>
      <c r="D9" s="11" t="str">
        <f t="shared" si="0"/>
        <v>SKIIFM_AT</v>
      </c>
      <c r="E9" s="11" t="str">
        <f>IF(I9&lt;&gt;"",VLOOKUP(F9,OPDRACHTGEVER!$A$2:$B$4,2,FALSE),"")</f>
        <v>SKIIFM_AT</v>
      </c>
      <c r="F9" s="11" t="s">
        <v>58</v>
      </c>
      <c r="I9" s="11" t="str">
        <f>IF(DATA!B8&lt;&gt;"",DATA!B8,"")</f>
        <v>MSMU8240149</v>
      </c>
      <c r="J9" s="12">
        <v>0</v>
      </c>
      <c r="K9" s="11" t="s">
        <v>53</v>
      </c>
      <c r="L9" s="11" t="str">
        <f t="shared" si="1"/>
        <v>871680</v>
      </c>
      <c r="M9" s="11" t="str">
        <f>IF(I9&lt;&gt;"",DATA!E8,"")</f>
        <v>CART</v>
      </c>
      <c r="N9" s="12">
        <v>0</v>
      </c>
      <c r="O9" s="11">
        <f>IF(I9&lt;&gt;"",DATA!C8,"")</f>
        <v>35.4</v>
      </c>
      <c r="P9" s="2">
        <v>294094</v>
      </c>
      <c r="Q9" s="2" t="s">
        <v>1304</v>
      </c>
      <c r="R9" s="2" t="s">
        <v>1305</v>
      </c>
      <c r="S9" s="2">
        <v>208</v>
      </c>
      <c r="T9" s="2">
        <v>1</v>
      </c>
      <c r="U9" s="2" t="s">
        <v>141</v>
      </c>
      <c r="Y9" s="2">
        <v>1700</v>
      </c>
      <c r="Z9" s="11" t="s">
        <v>54</v>
      </c>
      <c r="AA9" s="11" t="str">
        <f t="shared" si="2"/>
        <v>1700 - TBN</v>
      </c>
      <c r="AC9" s="2" t="s">
        <v>145</v>
      </c>
      <c r="AD9" s="11" t="str">
        <f>IF($I9&lt;&gt;"",VLOOKUP($AC9,GEADRESSEERDE!$A$2:$E$4,2,),"")</f>
        <v>LUITHAGEN HAVEN 2 D</v>
      </c>
      <c r="AE9" s="11">
        <f>IF($I9&lt;&gt;"",VLOOKUP($AC9,GEADRESSEERDE!$A$2:$E$4,3,),"")</f>
        <v>2030</v>
      </c>
      <c r="AF9" s="11" t="str">
        <f>IF($I9&lt;&gt;"",VLOOKUP($AC9,GEADRESSEERDE!$A$2:$E$4,4,),"")</f>
        <v>ANTWERPEN</v>
      </c>
      <c r="AG9" s="11" t="str">
        <f>IF($I9&lt;&gt;"",VLOOKUP($AC9,GEADRESSEERDE!$A$2:$E$4,5,),"")</f>
        <v>BE</v>
      </c>
      <c r="AH9" s="11" t="str">
        <f>IF(I9&lt;&gt;"",VLOOKUP(AP9,KvB!$A$2:$B$3,2,FALSE),"")</f>
        <v>BE101000</v>
      </c>
      <c r="AI9" s="11" t="s">
        <v>55</v>
      </c>
      <c r="AJ9" s="11"/>
      <c r="AK9" s="11"/>
      <c r="AL9" s="11"/>
      <c r="AM9" s="11"/>
      <c r="AN9" s="11"/>
      <c r="AO9" s="11"/>
      <c r="AP9" s="2" t="s">
        <v>70</v>
      </c>
      <c r="AQ9" s="11" t="str">
        <f>IF(I9&lt;&gt;"",DATA!D8,"")</f>
        <v>8716800000</v>
      </c>
    </row>
    <row r="10" spans="1:43" ht="15.75" x14ac:dyDescent="0.25">
      <c r="A10" s="11" t="s">
        <v>57</v>
      </c>
      <c r="B10" s="11" t="s">
        <v>56</v>
      </c>
      <c r="C10" s="22">
        <f t="shared" si="3"/>
        <v>25001620</v>
      </c>
      <c r="D10" s="11" t="str">
        <f t="shared" si="0"/>
        <v>SKIIFM_AT</v>
      </c>
      <c r="E10" s="11" t="str">
        <f>IF(I10&lt;&gt;"",VLOOKUP(F10,OPDRACHTGEVER!$A$2:$B$4,2,FALSE),"")</f>
        <v>SKIIFM_AT</v>
      </c>
      <c r="F10" s="11" t="s">
        <v>58</v>
      </c>
      <c r="I10" s="11" t="str">
        <f>IF(DATA!B9&lt;&gt;"",DATA!B9,"")</f>
        <v>MSMU8240149</v>
      </c>
      <c r="J10" s="12">
        <v>0</v>
      </c>
      <c r="K10" s="11" t="s">
        <v>53</v>
      </c>
      <c r="L10" s="11" t="str">
        <f t="shared" si="1"/>
        <v>845959</v>
      </c>
      <c r="M10" s="11" t="str">
        <f>IF(I10&lt;&gt;"",DATA!E9,"")</f>
        <v>CHAIN SAW BRACKET</v>
      </c>
      <c r="N10" s="12">
        <v>0</v>
      </c>
      <c r="O10" s="11">
        <f>IF(I10&lt;&gt;"",DATA!C9,"")</f>
        <v>27</v>
      </c>
      <c r="P10" s="2">
        <v>294094</v>
      </c>
      <c r="Q10" s="2" t="s">
        <v>1304</v>
      </c>
      <c r="R10" s="2" t="s">
        <v>1305</v>
      </c>
      <c r="S10" s="2">
        <v>208</v>
      </c>
      <c r="T10" s="2">
        <v>1</v>
      </c>
      <c r="U10" s="2" t="s">
        <v>141</v>
      </c>
      <c r="Y10" s="2">
        <v>1700</v>
      </c>
      <c r="Z10" s="11" t="s">
        <v>54</v>
      </c>
      <c r="AA10" s="11" t="str">
        <f t="shared" si="2"/>
        <v>1700 - TBN</v>
      </c>
      <c r="AC10" s="2" t="s">
        <v>145</v>
      </c>
      <c r="AD10" s="11" t="str">
        <f>IF($I10&lt;&gt;"",VLOOKUP($AC10,GEADRESSEERDE!$A$2:$E$4,2,),"")</f>
        <v>LUITHAGEN HAVEN 2 D</v>
      </c>
      <c r="AE10" s="11">
        <f>IF($I10&lt;&gt;"",VLOOKUP($AC10,GEADRESSEERDE!$A$2:$E$4,3,),"")</f>
        <v>2030</v>
      </c>
      <c r="AF10" s="11" t="str">
        <f>IF($I10&lt;&gt;"",VLOOKUP($AC10,GEADRESSEERDE!$A$2:$E$4,4,),"")</f>
        <v>ANTWERPEN</v>
      </c>
      <c r="AG10" s="11" t="str">
        <f>IF($I10&lt;&gt;"",VLOOKUP($AC10,GEADRESSEERDE!$A$2:$E$4,5,),"")</f>
        <v>BE</v>
      </c>
      <c r="AH10" s="11" t="str">
        <f>IF(I10&lt;&gt;"",VLOOKUP(AP10,KvB!$A$2:$B$3,2,FALSE),"")</f>
        <v>BE101000</v>
      </c>
      <c r="AI10" s="11" t="s">
        <v>55</v>
      </c>
      <c r="AJ10" s="11"/>
      <c r="AK10" s="11"/>
      <c r="AL10" s="11"/>
      <c r="AM10" s="11"/>
      <c r="AN10" s="11"/>
      <c r="AO10" s="11"/>
      <c r="AP10" s="2" t="s">
        <v>70</v>
      </c>
      <c r="AQ10" s="11" t="str">
        <f>IF(I10&lt;&gt;"",DATA!D9,"")</f>
        <v>8459590000</v>
      </c>
    </row>
    <row r="11" spans="1:43" ht="15.75" x14ac:dyDescent="0.25">
      <c r="A11" s="11" t="s">
        <v>57</v>
      </c>
      <c r="B11" s="11" t="s">
        <v>56</v>
      </c>
      <c r="C11" s="22">
        <f t="shared" si="3"/>
        <v>25001620</v>
      </c>
      <c r="D11" s="11" t="str">
        <f t="shared" si="0"/>
        <v>SKIIFM_AT</v>
      </c>
      <c r="E11" s="11" t="str">
        <f>IF(I11&lt;&gt;"",VLOOKUP(F11,OPDRACHTGEVER!$A$2:$B$4,2,FALSE),"")</f>
        <v>SKIIFM_AT</v>
      </c>
      <c r="F11" s="11" t="s">
        <v>58</v>
      </c>
      <c r="I11" s="11" t="str">
        <f>IF(DATA!B10&lt;&gt;"",DATA!B10,"")</f>
        <v>MSMU8240149</v>
      </c>
      <c r="J11" s="12">
        <v>0</v>
      </c>
      <c r="K11" s="11" t="s">
        <v>53</v>
      </c>
      <c r="L11" s="11" t="str">
        <f t="shared" si="1"/>
        <v>846693</v>
      </c>
      <c r="M11" s="11" t="str">
        <f>IF(I11&lt;&gt;"",DATA!E10,"")</f>
        <v>CNC ROUTER RAIL</v>
      </c>
      <c r="N11" s="12">
        <v>0</v>
      </c>
      <c r="O11" s="11">
        <f>IF(I11&lt;&gt;"",DATA!C10,"")</f>
        <v>94</v>
      </c>
      <c r="P11" s="2">
        <v>294094</v>
      </c>
      <c r="Q11" s="2" t="s">
        <v>1304</v>
      </c>
      <c r="R11" s="2" t="s">
        <v>1305</v>
      </c>
      <c r="S11" s="2">
        <v>208</v>
      </c>
      <c r="T11" s="2">
        <v>1</v>
      </c>
      <c r="U11" s="2" t="s">
        <v>141</v>
      </c>
      <c r="Y11" s="2">
        <v>1700</v>
      </c>
      <c r="Z11" s="11" t="s">
        <v>54</v>
      </c>
      <c r="AA11" s="11" t="str">
        <f t="shared" si="2"/>
        <v>1700 - TBN</v>
      </c>
      <c r="AC11" s="2" t="s">
        <v>145</v>
      </c>
      <c r="AD11" s="11" t="str">
        <f>IF($I11&lt;&gt;"",VLOOKUP($AC11,GEADRESSEERDE!$A$2:$E$4,2,),"")</f>
        <v>LUITHAGEN HAVEN 2 D</v>
      </c>
      <c r="AE11" s="11">
        <f>IF($I11&lt;&gt;"",VLOOKUP($AC11,GEADRESSEERDE!$A$2:$E$4,3,),"")</f>
        <v>2030</v>
      </c>
      <c r="AF11" s="11" t="str">
        <f>IF($I11&lt;&gt;"",VLOOKUP($AC11,GEADRESSEERDE!$A$2:$E$4,4,),"")</f>
        <v>ANTWERPEN</v>
      </c>
      <c r="AG11" s="11" t="str">
        <f>IF($I11&lt;&gt;"",VLOOKUP($AC11,GEADRESSEERDE!$A$2:$E$4,5,),"")</f>
        <v>BE</v>
      </c>
      <c r="AH11" s="11" t="str">
        <f>IF(I11&lt;&gt;"",VLOOKUP(AP11,KvB!$A$2:$B$3,2,FALSE),"")</f>
        <v>BE101000</v>
      </c>
      <c r="AI11" s="11" t="s">
        <v>55</v>
      </c>
      <c r="AJ11" s="11"/>
      <c r="AK11" s="11"/>
      <c r="AL11" s="11"/>
      <c r="AM11" s="11"/>
      <c r="AN11" s="11"/>
      <c r="AO11" s="11"/>
      <c r="AP11" s="2" t="s">
        <v>70</v>
      </c>
      <c r="AQ11" s="11" t="str">
        <f>IF(I11&lt;&gt;"",DATA!D10,"")</f>
        <v>8466934000</v>
      </c>
    </row>
    <row r="12" spans="1:43" ht="15.75" x14ac:dyDescent="0.25">
      <c r="A12" s="11" t="s">
        <v>57</v>
      </c>
      <c r="B12" s="11" t="s">
        <v>56</v>
      </c>
      <c r="C12" s="22">
        <f t="shared" si="3"/>
        <v>25001620</v>
      </c>
      <c r="D12" s="11" t="str">
        <f t="shared" si="0"/>
        <v>SKIIFM_AT</v>
      </c>
      <c r="E12" s="11" t="str">
        <f>IF(I12&lt;&gt;"",VLOOKUP(F12,OPDRACHTGEVER!$A$2:$B$4,2,FALSE),"")</f>
        <v>SKIIFM_AT</v>
      </c>
      <c r="F12" s="11" t="s">
        <v>58</v>
      </c>
      <c r="I12" s="11" t="str">
        <f>IF(DATA!B11&lt;&gt;"",DATA!B11,"")</f>
        <v>MSMU8240149</v>
      </c>
      <c r="J12" s="12">
        <v>0</v>
      </c>
      <c r="K12" s="11" t="s">
        <v>53</v>
      </c>
      <c r="L12" s="11" t="str">
        <f t="shared" si="1"/>
        <v>741920</v>
      </c>
      <c r="M12" s="11" t="str">
        <f>IF(I12&lt;&gt;"",DATA!E11,"")</f>
        <v>E-TRACK</v>
      </c>
      <c r="N12" s="12">
        <v>0</v>
      </c>
      <c r="O12" s="11">
        <f>IF(I12&lt;&gt;"",DATA!C11,"")</f>
        <v>15.9</v>
      </c>
      <c r="P12" s="2">
        <v>294094</v>
      </c>
      <c r="Q12" s="2" t="s">
        <v>1304</v>
      </c>
      <c r="R12" s="2" t="s">
        <v>1305</v>
      </c>
      <c r="S12" s="2">
        <v>208</v>
      </c>
      <c r="T12" s="2">
        <v>1</v>
      </c>
      <c r="U12" s="2" t="s">
        <v>141</v>
      </c>
      <c r="Y12" s="2">
        <v>1700</v>
      </c>
      <c r="Z12" s="11" t="s">
        <v>54</v>
      </c>
      <c r="AA12" s="11" t="str">
        <f t="shared" si="2"/>
        <v>1700 - TBN</v>
      </c>
      <c r="AC12" s="2" t="s">
        <v>145</v>
      </c>
      <c r="AD12" s="11" t="str">
        <f>IF($I12&lt;&gt;"",VLOOKUP($AC12,GEADRESSEERDE!$A$2:$E$4,2,),"")</f>
        <v>LUITHAGEN HAVEN 2 D</v>
      </c>
      <c r="AE12" s="11">
        <f>IF($I12&lt;&gt;"",VLOOKUP($AC12,GEADRESSEERDE!$A$2:$E$4,3,),"")</f>
        <v>2030</v>
      </c>
      <c r="AF12" s="11" t="str">
        <f>IF($I12&lt;&gt;"",VLOOKUP($AC12,GEADRESSEERDE!$A$2:$E$4,4,),"")</f>
        <v>ANTWERPEN</v>
      </c>
      <c r="AG12" s="11" t="str">
        <f>IF($I12&lt;&gt;"",VLOOKUP($AC12,GEADRESSEERDE!$A$2:$E$4,5,),"")</f>
        <v>BE</v>
      </c>
      <c r="AH12" s="11" t="str">
        <f>IF(I12&lt;&gt;"",VLOOKUP(AP12,KvB!$A$2:$B$3,2,FALSE),"")</f>
        <v>BE101000</v>
      </c>
      <c r="AI12" s="11" t="s">
        <v>55</v>
      </c>
      <c r="AJ12" s="11"/>
      <c r="AK12" s="11"/>
      <c r="AL12" s="11"/>
      <c r="AM12" s="11"/>
      <c r="AN12" s="11"/>
      <c r="AO12" s="11"/>
      <c r="AP12" s="2" t="s">
        <v>70</v>
      </c>
      <c r="AQ12" s="11" t="str">
        <f>IF(I12&lt;&gt;"",DATA!D11,"")</f>
        <v>7419200090</v>
      </c>
    </row>
    <row r="13" spans="1:43" ht="15.75" x14ac:dyDescent="0.25">
      <c r="A13" s="11" t="s">
        <v>57</v>
      </c>
      <c r="B13" s="11" t="s">
        <v>56</v>
      </c>
      <c r="C13" s="22">
        <f t="shared" si="3"/>
        <v>25001620</v>
      </c>
      <c r="D13" s="11" t="str">
        <f t="shared" si="0"/>
        <v>SKIIFM_AT</v>
      </c>
      <c r="E13" s="11" t="str">
        <f>IF(I13&lt;&gt;"",VLOOKUP(F13,OPDRACHTGEVER!$A$2:$B$4,2,FALSE),"")</f>
        <v>SKIIFM_AT</v>
      </c>
      <c r="F13" s="11" t="s">
        <v>58</v>
      </c>
      <c r="I13" s="11" t="str">
        <f>IF(DATA!B12&lt;&gt;"",DATA!B12,"")</f>
        <v>MSMU8240149</v>
      </c>
      <c r="J13" s="12">
        <v>0</v>
      </c>
      <c r="K13" s="11" t="s">
        <v>53</v>
      </c>
      <c r="L13" s="11" t="str">
        <f t="shared" si="1"/>
        <v>761090</v>
      </c>
      <c r="M13" s="11" t="str">
        <f>IF(I13&lt;&gt;"",DATA!E12,"")</f>
        <v>EXHIBITION STAND</v>
      </c>
      <c r="N13" s="12">
        <v>0</v>
      </c>
      <c r="O13" s="11">
        <f>IF(I13&lt;&gt;"",DATA!C12,"")</f>
        <v>2.4</v>
      </c>
      <c r="P13" s="2">
        <v>294094</v>
      </c>
      <c r="Q13" s="2" t="s">
        <v>1304</v>
      </c>
      <c r="R13" s="2" t="s">
        <v>1305</v>
      </c>
      <c r="S13" s="2">
        <v>208</v>
      </c>
      <c r="T13" s="2">
        <v>1</v>
      </c>
      <c r="U13" s="2" t="s">
        <v>141</v>
      </c>
      <c r="Y13" s="2">
        <v>1700</v>
      </c>
      <c r="Z13" s="11" t="s">
        <v>54</v>
      </c>
      <c r="AA13" s="11" t="str">
        <f t="shared" si="2"/>
        <v>1700 - TBN</v>
      </c>
      <c r="AC13" s="2" t="s">
        <v>145</v>
      </c>
      <c r="AD13" s="11" t="str">
        <f>IF($I13&lt;&gt;"",VLOOKUP($AC13,GEADRESSEERDE!$A$2:$E$4,2,),"")</f>
        <v>LUITHAGEN HAVEN 2 D</v>
      </c>
      <c r="AE13" s="11">
        <f>IF($I13&lt;&gt;"",VLOOKUP($AC13,GEADRESSEERDE!$A$2:$E$4,3,),"")</f>
        <v>2030</v>
      </c>
      <c r="AF13" s="11" t="str">
        <f>IF($I13&lt;&gt;"",VLOOKUP($AC13,GEADRESSEERDE!$A$2:$E$4,4,),"")</f>
        <v>ANTWERPEN</v>
      </c>
      <c r="AG13" s="11" t="str">
        <f>IF($I13&lt;&gt;"",VLOOKUP($AC13,GEADRESSEERDE!$A$2:$E$4,5,),"")</f>
        <v>BE</v>
      </c>
      <c r="AH13" s="11" t="str">
        <f>IF(I13&lt;&gt;"",VLOOKUP(AP13,KvB!$A$2:$B$3,2,FALSE),"")</f>
        <v>BE101000</v>
      </c>
      <c r="AI13" s="11" t="s">
        <v>55</v>
      </c>
      <c r="AJ13" s="11"/>
      <c r="AK13" s="11"/>
      <c r="AL13" s="11"/>
      <c r="AM13" s="11"/>
      <c r="AN13" s="11"/>
      <c r="AO13" s="11"/>
      <c r="AP13" s="2" t="s">
        <v>70</v>
      </c>
      <c r="AQ13" s="11" t="str">
        <f>IF(I13&lt;&gt;"",DATA!D12,"")</f>
        <v>7610909095</v>
      </c>
    </row>
    <row r="14" spans="1:43" ht="15.75" x14ac:dyDescent="0.25">
      <c r="A14" s="11" t="s">
        <v>57</v>
      </c>
      <c r="B14" s="11" t="s">
        <v>56</v>
      </c>
      <c r="C14" s="22">
        <f t="shared" si="3"/>
        <v>25001620</v>
      </c>
      <c r="D14" s="11" t="str">
        <f t="shared" si="0"/>
        <v>SKIIFM_AT</v>
      </c>
      <c r="E14" s="11" t="str">
        <f>IF(I14&lt;&gt;"",VLOOKUP(F14,OPDRACHTGEVER!$A$2:$B$4,2,FALSE),"")</f>
        <v>SKIIFM_AT</v>
      </c>
      <c r="F14" s="11" t="s">
        <v>58</v>
      </c>
      <c r="I14" s="11" t="str">
        <f>IF(DATA!B13&lt;&gt;"",DATA!B13,"")</f>
        <v>MSMU8240149</v>
      </c>
      <c r="J14" s="12">
        <v>0</v>
      </c>
      <c r="K14" s="11" t="s">
        <v>53</v>
      </c>
      <c r="L14" s="11" t="str">
        <f t="shared" si="1"/>
        <v>853110</v>
      </c>
      <c r="M14" s="11" t="str">
        <f>IF(I14&lt;&gt;"",DATA!E13,"")</f>
        <v>GLASS FIBER</v>
      </c>
      <c r="N14" s="12">
        <v>0</v>
      </c>
      <c r="O14" s="11">
        <f>IF(I14&lt;&gt;"",DATA!C13,"")</f>
        <v>5.55</v>
      </c>
      <c r="P14" s="2">
        <v>294094</v>
      </c>
      <c r="Q14" s="2" t="s">
        <v>1304</v>
      </c>
      <c r="R14" s="2" t="s">
        <v>1305</v>
      </c>
      <c r="S14" s="2">
        <v>208</v>
      </c>
      <c r="T14" s="2">
        <v>1</v>
      </c>
      <c r="U14" s="2" t="s">
        <v>141</v>
      </c>
      <c r="Y14" s="2">
        <v>1700</v>
      </c>
      <c r="Z14" s="11" t="s">
        <v>54</v>
      </c>
      <c r="AA14" s="11" t="str">
        <f t="shared" si="2"/>
        <v>1700 - TBN</v>
      </c>
      <c r="AC14" s="2" t="s">
        <v>145</v>
      </c>
      <c r="AD14" s="11" t="str">
        <f>IF($I14&lt;&gt;"",VLOOKUP($AC14,GEADRESSEERDE!$A$2:$E$4,2,),"")</f>
        <v>LUITHAGEN HAVEN 2 D</v>
      </c>
      <c r="AE14" s="11">
        <f>IF($I14&lt;&gt;"",VLOOKUP($AC14,GEADRESSEERDE!$A$2:$E$4,3,),"")</f>
        <v>2030</v>
      </c>
      <c r="AF14" s="11" t="str">
        <f>IF($I14&lt;&gt;"",VLOOKUP($AC14,GEADRESSEERDE!$A$2:$E$4,4,),"")</f>
        <v>ANTWERPEN</v>
      </c>
      <c r="AG14" s="11" t="str">
        <f>IF($I14&lt;&gt;"",VLOOKUP($AC14,GEADRESSEERDE!$A$2:$E$4,5,),"")</f>
        <v>BE</v>
      </c>
      <c r="AH14" s="11" t="str">
        <f>IF(I14&lt;&gt;"",VLOOKUP(AP14,KvB!$A$2:$B$3,2,FALSE),"")</f>
        <v>BE101000</v>
      </c>
      <c r="AI14" s="11" t="s">
        <v>55</v>
      </c>
      <c r="AJ14" s="11"/>
      <c r="AK14" s="11"/>
      <c r="AL14" s="11"/>
      <c r="AM14" s="11"/>
      <c r="AN14" s="11"/>
      <c r="AO14" s="11"/>
      <c r="AP14" s="2" t="s">
        <v>70</v>
      </c>
      <c r="AQ14" s="11" t="str">
        <f>IF(I14&lt;&gt;"",DATA!D13,"")</f>
        <v>8531109590</v>
      </c>
    </row>
    <row r="15" spans="1:43" ht="15.75" x14ac:dyDescent="0.25">
      <c r="A15" s="11" t="s">
        <v>57</v>
      </c>
      <c r="B15" s="11" t="s">
        <v>56</v>
      </c>
      <c r="C15" s="22">
        <f t="shared" si="3"/>
        <v>25001620</v>
      </c>
      <c r="D15" s="11" t="str">
        <f t="shared" si="0"/>
        <v>SKIIFM_AT</v>
      </c>
      <c r="E15" s="11" t="str">
        <f>IF(I15&lt;&gt;"",VLOOKUP(F15,OPDRACHTGEVER!$A$2:$B$4,2,FALSE),"")</f>
        <v>SKIIFM_AT</v>
      </c>
      <c r="F15" s="11" t="s">
        <v>58</v>
      </c>
      <c r="I15" s="11" t="str">
        <f>IF(DATA!B14&lt;&gt;"",DATA!B14,"")</f>
        <v>MSMU8240149</v>
      </c>
      <c r="J15" s="12">
        <v>0</v>
      </c>
      <c r="K15" s="11" t="s">
        <v>53</v>
      </c>
      <c r="L15" s="11" t="str">
        <f t="shared" si="1"/>
        <v>741920</v>
      </c>
      <c r="M15" s="11" t="str">
        <f>IF(I15&lt;&gt;"",DATA!E14,"")</f>
        <v>HYDRAULIC OPENING DEVICE</v>
      </c>
      <c r="N15" s="12">
        <v>0</v>
      </c>
      <c r="O15" s="11">
        <f>IF(I15&lt;&gt;"",DATA!C14,"")</f>
        <v>96.75</v>
      </c>
      <c r="P15" s="2">
        <v>294094</v>
      </c>
      <c r="Q15" s="2" t="s">
        <v>1304</v>
      </c>
      <c r="R15" s="2" t="s">
        <v>1305</v>
      </c>
      <c r="S15" s="2">
        <v>208</v>
      </c>
      <c r="T15" s="2">
        <v>1</v>
      </c>
      <c r="U15" s="2" t="s">
        <v>141</v>
      </c>
      <c r="Y15" s="2">
        <v>1700</v>
      </c>
      <c r="Z15" s="11" t="s">
        <v>54</v>
      </c>
      <c r="AA15" s="11" t="str">
        <f t="shared" si="2"/>
        <v>1700 - TBN</v>
      </c>
      <c r="AC15" s="2" t="s">
        <v>145</v>
      </c>
      <c r="AD15" s="11" t="str">
        <f>IF($I15&lt;&gt;"",VLOOKUP($AC15,GEADRESSEERDE!$A$2:$E$4,2,),"")</f>
        <v>LUITHAGEN HAVEN 2 D</v>
      </c>
      <c r="AE15" s="11">
        <f>IF($I15&lt;&gt;"",VLOOKUP($AC15,GEADRESSEERDE!$A$2:$E$4,3,),"")</f>
        <v>2030</v>
      </c>
      <c r="AF15" s="11" t="str">
        <f>IF($I15&lt;&gt;"",VLOOKUP($AC15,GEADRESSEERDE!$A$2:$E$4,4,),"")</f>
        <v>ANTWERPEN</v>
      </c>
      <c r="AG15" s="11" t="str">
        <f>IF($I15&lt;&gt;"",VLOOKUP($AC15,GEADRESSEERDE!$A$2:$E$4,5,),"")</f>
        <v>BE</v>
      </c>
      <c r="AH15" s="11" t="str">
        <f>IF(I15&lt;&gt;"",VLOOKUP(AP15,KvB!$A$2:$B$3,2,FALSE),"")</f>
        <v>BE101000</v>
      </c>
      <c r="AI15" s="11" t="s">
        <v>55</v>
      </c>
      <c r="AJ15" s="11"/>
      <c r="AK15" s="11"/>
      <c r="AL15" s="11"/>
      <c r="AM15" s="11"/>
      <c r="AN15" s="11"/>
      <c r="AO15" s="11"/>
      <c r="AP15" s="2" t="s">
        <v>70</v>
      </c>
      <c r="AQ15" s="11" t="str">
        <f>IF(I15&lt;&gt;"",DATA!D14,"")</f>
        <v>7419200090</v>
      </c>
    </row>
    <row r="16" spans="1:43" ht="15.75" x14ac:dyDescent="0.25">
      <c r="A16" s="11" t="s">
        <v>57</v>
      </c>
      <c r="B16" s="11" t="s">
        <v>56</v>
      </c>
      <c r="C16" s="22">
        <f t="shared" si="3"/>
        <v>25001620</v>
      </c>
      <c r="D16" s="11" t="str">
        <f t="shared" si="0"/>
        <v>SKIIFM_AT</v>
      </c>
      <c r="E16" s="11" t="str">
        <f>IF(I16&lt;&gt;"",VLOOKUP(F16,OPDRACHTGEVER!$A$2:$B$4,2,FALSE),"")</f>
        <v>SKIIFM_AT</v>
      </c>
      <c r="F16" s="11" t="s">
        <v>58</v>
      </c>
      <c r="I16" s="11" t="str">
        <f>IF(DATA!B15&lt;&gt;"",DATA!B15,"")</f>
        <v>MSMU8240149</v>
      </c>
      <c r="J16" s="12">
        <v>0</v>
      </c>
      <c r="K16" s="11" t="s">
        <v>53</v>
      </c>
      <c r="L16" s="11" t="str">
        <f t="shared" si="1"/>
        <v>830241</v>
      </c>
      <c r="M16" s="11" t="str">
        <f>IF(I16&lt;&gt;"",DATA!E15,"")</f>
        <v>IRON HANGING RAIL</v>
      </c>
      <c r="N16" s="12">
        <v>0</v>
      </c>
      <c r="O16" s="11">
        <f>IF(I16&lt;&gt;"",DATA!C15,"")</f>
        <v>68.25</v>
      </c>
      <c r="P16" s="2">
        <v>294094</v>
      </c>
      <c r="Q16" s="2" t="s">
        <v>1304</v>
      </c>
      <c r="R16" s="2" t="s">
        <v>1305</v>
      </c>
      <c r="S16" s="2">
        <v>208</v>
      </c>
      <c r="T16" s="2">
        <v>1</v>
      </c>
      <c r="U16" s="2" t="s">
        <v>141</v>
      </c>
      <c r="Y16" s="2">
        <v>1700</v>
      </c>
      <c r="Z16" s="11" t="s">
        <v>54</v>
      </c>
      <c r="AA16" s="11" t="str">
        <f t="shared" si="2"/>
        <v>1700 - TBN</v>
      </c>
      <c r="AC16" s="2" t="s">
        <v>145</v>
      </c>
      <c r="AD16" s="11" t="str">
        <f>IF($I16&lt;&gt;"",VLOOKUP($AC16,GEADRESSEERDE!$A$2:$E$4,2,),"")</f>
        <v>LUITHAGEN HAVEN 2 D</v>
      </c>
      <c r="AE16" s="11">
        <f>IF($I16&lt;&gt;"",VLOOKUP($AC16,GEADRESSEERDE!$A$2:$E$4,3,),"")</f>
        <v>2030</v>
      </c>
      <c r="AF16" s="11" t="str">
        <f>IF($I16&lt;&gt;"",VLOOKUP($AC16,GEADRESSEERDE!$A$2:$E$4,4,),"")</f>
        <v>ANTWERPEN</v>
      </c>
      <c r="AG16" s="11" t="str">
        <f>IF($I16&lt;&gt;"",VLOOKUP($AC16,GEADRESSEERDE!$A$2:$E$4,5,),"")</f>
        <v>BE</v>
      </c>
      <c r="AH16" s="11" t="str">
        <f>IF(I16&lt;&gt;"",VLOOKUP(AP16,KvB!$A$2:$B$3,2,FALSE),"")</f>
        <v>BE101000</v>
      </c>
      <c r="AI16" s="11" t="s">
        <v>55</v>
      </c>
      <c r="AJ16" s="11"/>
      <c r="AK16" s="11"/>
      <c r="AL16" s="11"/>
      <c r="AM16" s="11"/>
      <c r="AN16" s="11"/>
      <c r="AO16" s="11"/>
      <c r="AP16" s="2" t="s">
        <v>70</v>
      </c>
      <c r="AQ16" s="11" t="str">
        <f>IF(I16&lt;&gt;"",DATA!D15,"")</f>
        <v>8302411000</v>
      </c>
    </row>
    <row r="17" spans="1:43" ht="15.75" x14ac:dyDescent="0.25">
      <c r="A17" s="11" t="s">
        <v>57</v>
      </c>
      <c r="B17" s="11" t="s">
        <v>56</v>
      </c>
      <c r="C17" s="22">
        <f t="shared" si="3"/>
        <v>25001620</v>
      </c>
      <c r="D17" s="11" t="str">
        <f t="shared" si="0"/>
        <v>SKIIFM_AT</v>
      </c>
      <c r="E17" s="11" t="str">
        <f>IF(I17&lt;&gt;"",VLOOKUP(F17,OPDRACHTGEVER!$A$2:$B$4,2,FALSE),"")</f>
        <v>SKIIFM_AT</v>
      </c>
      <c r="F17" s="11" t="s">
        <v>58</v>
      </c>
      <c r="I17" s="11" t="str">
        <f>IF(DATA!B16&lt;&gt;"",DATA!B16,"")</f>
        <v>MSMU8240149</v>
      </c>
      <c r="J17" s="12">
        <v>0</v>
      </c>
      <c r="K17" s="11" t="s">
        <v>53</v>
      </c>
      <c r="L17" s="11" t="str">
        <f t="shared" si="1"/>
        <v>853890</v>
      </c>
      <c r="M17" s="11" t="str">
        <f>IF(I17&lt;&gt;"",DATA!E16,"")</f>
        <v>KIT-ISOLATOR HARNESS</v>
      </c>
      <c r="N17" s="12">
        <v>0</v>
      </c>
      <c r="O17" s="11">
        <f>IF(I17&lt;&gt;"",DATA!C16,"")</f>
        <v>10.199999999999999</v>
      </c>
      <c r="P17" s="2">
        <v>294094</v>
      </c>
      <c r="Q17" s="2" t="s">
        <v>1304</v>
      </c>
      <c r="R17" s="2" t="s">
        <v>1305</v>
      </c>
      <c r="S17" s="2">
        <v>208</v>
      </c>
      <c r="T17" s="2">
        <v>1</v>
      </c>
      <c r="U17" s="2" t="s">
        <v>141</v>
      </c>
      <c r="Y17" s="2">
        <v>1700</v>
      </c>
      <c r="Z17" s="11" t="s">
        <v>54</v>
      </c>
      <c r="AA17" s="11" t="str">
        <f t="shared" si="2"/>
        <v>1700 - TBN</v>
      </c>
      <c r="AC17" s="2" t="s">
        <v>145</v>
      </c>
      <c r="AD17" s="11" t="str">
        <f>IF($I17&lt;&gt;"",VLOOKUP($AC17,GEADRESSEERDE!$A$2:$E$4,2,),"")</f>
        <v>LUITHAGEN HAVEN 2 D</v>
      </c>
      <c r="AE17" s="11">
        <f>IF($I17&lt;&gt;"",VLOOKUP($AC17,GEADRESSEERDE!$A$2:$E$4,3,),"")</f>
        <v>2030</v>
      </c>
      <c r="AF17" s="11" t="str">
        <f>IF($I17&lt;&gt;"",VLOOKUP($AC17,GEADRESSEERDE!$A$2:$E$4,4,),"")</f>
        <v>ANTWERPEN</v>
      </c>
      <c r="AG17" s="11" t="str">
        <f>IF($I17&lt;&gt;"",VLOOKUP($AC17,GEADRESSEERDE!$A$2:$E$4,5,),"")</f>
        <v>BE</v>
      </c>
      <c r="AH17" s="11" t="str">
        <f>IF(I17&lt;&gt;"",VLOOKUP(AP17,KvB!$A$2:$B$3,2,FALSE),"")</f>
        <v>BE101000</v>
      </c>
      <c r="AI17" s="11" t="s">
        <v>55</v>
      </c>
      <c r="AJ17" s="11"/>
      <c r="AK17" s="11"/>
      <c r="AL17" s="11"/>
      <c r="AM17" s="11"/>
      <c r="AN17" s="11"/>
      <c r="AO17" s="11"/>
      <c r="AP17" s="2" t="s">
        <v>70</v>
      </c>
      <c r="AQ17" s="11" t="str">
        <f>IF(I17&lt;&gt;"",DATA!D16,"")</f>
        <v>8538909189</v>
      </c>
    </row>
    <row r="18" spans="1:43" ht="15.75" x14ac:dyDescent="0.25">
      <c r="A18" s="11" t="s">
        <v>57</v>
      </c>
      <c r="B18" s="11" t="s">
        <v>56</v>
      </c>
      <c r="C18" s="22">
        <f t="shared" si="3"/>
        <v>25001620</v>
      </c>
      <c r="D18" s="11" t="str">
        <f t="shared" si="0"/>
        <v>SKIIFM_AT</v>
      </c>
      <c r="E18" s="11" t="str">
        <f>IF(I18&lt;&gt;"",VLOOKUP(F18,OPDRACHTGEVER!$A$2:$B$4,2,FALSE),"")</f>
        <v>SKIIFM_AT</v>
      </c>
      <c r="F18" s="11" t="s">
        <v>58</v>
      </c>
      <c r="I18" s="11" t="str">
        <f>IF(DATA!B17&lt;&gt;"",DATA!B17,"")</f>
        <v>MSMU8240149</v>
      </c>
      <c r="J18" s="12">
        <v>0</v>
      </c>
      <c r="K18" s="11" t="s">
        <v>53</v>
      </c>
      <c r="L18" s="11" t="str">
        <f t="shared" si="1"/>
        <v>830400</v>
      </c>
      <c r="M18" s="11" t="str">
        <f>IF(I18&lt;&gt;"",DATA!E17,"")</f>
        <v>LITERTURE DISPLAY</v>
      </c>
      <c r="N18" s="12">
        <v>0</v>
      </c>
      <c r="O18" s="11">
        <f>IF(I18&lt;&gt;"",DATA!C17,"")</f>
        <v>6.8</v>
      </c>
      <c r="P18" s="2">
        <v>294094</v>
      </c>
      <c r="Q18" s="2" t="s">
        <v>1304</v>
      </c>
      <c r="R18" s="2" t="s">
        <v>1305</v>
      </c>
      <c r="S18" s="2">
        <v>208</v>
      </c>
      <c r="T18" s="2">
        <v>1</v>
      </c>
      <c r="U18" s="2" t="s">
        <v>141</v>
      </c>
      <c r="Y18" s="2">
        <v>1700</v>
      </c>
      <c r="Z18" s="11" t="s">
        <v>54</v>
      </c>
      <c r="AA18" s="11" t="str">
        <f t="shared" si="2"/>
        <v>1700 - TBN</v>
      </c>
      <c r="AC18" s="2" t="s">
        <v>145</v>
      </c>
      <c r="AD18" s="11" t="str">
        <f>IF($I18&lt;&gt;"",VLOOKUP($AC18,GEADRESSEERDE!$A$2:$E$4,2,),"")</f>
        <v>LUITHAGEN HAVEN 2 D</v>
      </c>
      <c r="AE18" s="11">
        <f>IF($I18&lt;&gt;"",VLOOKUP($AC18,GEADRESSEERDE!$A$2:$E$4,3,),"")</f>
        <v>2030</v>
      </c>
      <c r="AF18" s="11" t="str">
        <f>IF($I18&lt;&gt;"",VLOOKUP($AC18,GEADRESSEERDE!$A$2:$E$4,4,),"")</f>
        <v>ANTWERPEN</v>
      </c>
      <c r="AG18" s="11" t="str">
        <f>IF($I18&lt;&gt;"",VLOOKUP($AC18,GEADRESSEERDE!$A$2:$E$4,5,),"")</f>
        <v>BE</v>
      </c>
      <c r="AH18" s="11" t="str">
        <f>IF(I18&lt;&gt;"",VLOOKUP(AP18,KvB!$A$2:$B$3,2,FALSE),"")</f>
        <v>BE101000</v>
      </c>
      <c r="AI18" s="11" t="s">
        <v>55</v>
      </c>
      <c r="AJ18" s="11"/>
      <c r="AK18" s="11"/>
      <c r="AL18" s="11"/>
      <c r="AM18" s="11"/>
      <c r="AN18" s="11"/>
      <c r="AO18" s="11"/>
      <c r="AP18" s="2" t="s">
        <v>70</v>
      </c>
      <c r="AQ18" s="11" t="str">
        <f>IF(I18&lt;&gt;"",DATA!D17,"")</f>
        <v>8304000000</v>
      </c>
    </row>
    <row r="19" spans="1:43" ht="15.75" x14ac:dyDescent="0.25">
      <c r="A19" s="11" t="s">
        <v>57</v>
      </c>
      <c r="B19" s="11" t="s">
        <v>56</v>
      </c>
      <c r="C19" s="22">
        <f t="shared" si="3"/>
        <v>25001620</v>
      </c>
      <c r="D19" s="11" t="str">
        <f t="shared" si="0"/>
        <v>SKIIFM_AT</v>
      </c>
      <c r="E19" s="11" t="str">
        <f>IF(I19&lt;&gt;"",VLOOKUP(F19,OPDRACHTGEVER!$A$2:$B$4,2,FALSE),"")</f>
        <v>SKIIFM_AT</v>
      </c>
      <c r="F19" s="11" t="s">
        <v>58</v>
      </c>
      <c r="I19" s="11" t="str">
        <f>IF(DATA!B18&lt;&gt;"",DATA!B18,"")</f>
        <v>MSMU8240149</v>
      </c>
      <c r="J19" s="12">
        <v>0</v>
      </c>
      <c r="K19" s="11" t="s">
        <v>53</v>
      </c>
      <c r="L19" s="11" t="str">
        <f t="shared" si="1"/>
        <v>854370</v>
      </c>
      <c r="M19" s="11" t="str">
        <f>IF(I19&lt;&gt;"",DATA!E18,"")</f>
        <v>METAL CHICKEN NEST BOX</v>
      </c>
      <c r="N19" s="12">
        <v>0</v>
      </c>
      <c r="O19" s="11">
        <f>IF(I19&lt;&gt;"",DATA!C18,"")</f>
        <v>81.55</v>
      </c>
      <c r="P19" s="2">
        <v>294094</v>
      </c>
      <c r="Q19" s="2" t="s">
        <v>1304</v>
      </c>
      <c r="R19" s="2" t="s">
        <v>1305</v>
      </c>
      <c r="S19" s="2">
        <v>208</v>
      </c>
      <c r="T19" s="2">
        <v>1</v>
      </c>
      <c r="U19" s="2" t="s">
        <v>141</v>
      </c>
      <c r="Y19" s="2">
        <v>1700</v>
      </c>
      <c r="Z19" s="11" t="s">
        <v>54</v>
      </c>
      <c r="AA19" s="11" t="str">
        <f t="shared" si="2"/>
        <v>1700 - TBN</v>
      </c>
      <c r="AC19" s="2" t="s">
        <v>145</v>
      </c>
      <c r="AD19" s="11" t="str">
        <f>IF($I19&lt;&gt;"",VLOOKUP($AC19,GEADRESSEERDE!$A$2:$E$4,2,),"")</f>
        <v>LUITHAGEN HAVEN 2 D</v>
      </c>
      <c r="AE19" s="11">
        <f>IF($I19&lt;&gt;"",VLOOKUP($AC19,GEADRESSEERDE!$A$2:$E$4,3,),"")</f>
        <v>2030</v>
      </c>
      <c r="AF19" s="11" t="str">
        <f>IF($I19&lt;&gt;"",VLOOKUP($AC19,GEADRESSEERDE!$A$2:$E$4,4,),"")</f>
        <v>ANTWERPEN</v>
      </c>
      <c r="AG19" s="11" t="str">
        <f>IF($I19&lt;&gt;"",VLOOKUP($AC19,GEADRESSEERDE!$A$2:$E$4,5,),"")</f>
        <v>BE</v>
      </c>
      <c r="AH19" s="11" t="str">
        <f>IF(I19&lt;&gt;"",VLOOKUP(AP19,KvB!$A$2:$B$3,2,FALSE),"")</f>
        <v>BE101000</v>
      </c>
      <c r="AI19" s="11" t="s">
        <v>55</v>
      </c>
      <c r="AJ19" s="11"/>
      <c r="AK19" s="11"/>
      <c r="AL19" s="11"/>
      <c r="AM19" s="11"/>
      <c r="AN19" s="11"/>
      <c r="AO19" s="11"/>
      <c r="AP19" s="2" t="s">
        <v>70</v>
      </c>
      <c r="AQ19" s="11" t="str">
        <f>IF(I19&lt;&gt;"",DATA!D18,"")</f>
        <v>8543709099</v>
      </c>
    </row>
    <row r="20" spans="1:43" ht="15.75" x14ac:dyDescent="0.25">
      <c r="A20" s="11" t="s">
        <v>57</v>
      </c>
      <c r="B20" s="11" t="s">
        <v>56</v>
      </c>
      <c r="C20" s="22">
        <f t="shared" si="3"/>
        <v>25001620</v>
      </c>
      <c r="D20" s="11" t="str">
        <f t="shared" si="0"/>
        <v>SKIIFM_AT</v>
      </c>
      <c r="E20" s="11" t="str">
        <f>IF(I20&lt;&gt;"",VLOOKUP(F20,OPDRACHTGEVER!$A$2:$B$4,2,FALSE),"")</f>
        <v>SKIIFM_AT</v>
      </c>
      <c r="F20" s="11" t="s">
        <v>58</v>
      </c>
      <c r="I20" s="11" t="str">
        <f>IF(DATA!B19&lt;&gt;"",DATA!B19,"")</f>
        <v>MSMU8240149</v>
      </c>
      <c r="J20" s="12">
        <v>0</v>
      </c>
      <c r="K20" s="11" t="s">
        <v>53</v>
      </c>
      <c r="L20" s="11" t="str">
        <f t="shared" si="1"/>
        <v>741920</v>
      </c>
      <c r="M20" s="11" t="str">
        <f>IF(I20&lt;&gt;"",DATA!E19,"")</f>
        <v>NICHE</v>
      </c>
      <c r="N20" s="12">
        <v>0</v>
      </c>
      <c r="O20" s="11">
        <f>IF(I20&lt;&gt;"",DATA!C19,"")</f>
        <v>7.35</v>
      </c>
      <c r="P20" s="2">
        <v>294094</v>
      </c>
      <c r="Q20" s="2" t="s">
        <v>1304</v>
      </c>
      <c r="R20" s="2" t="s">
        <v>1305</v>
      </c>
      <c r="S20" s="2">
        <v>208</v>
      </c>
      <c r="T20" s="2">
        <v>1</v>
      </c>
      <c r="U20" s="2" t="s">
        <v>141</v>
      </c>
      <c r="Y20" s="2">
        <v>1700</v>
      </c>
      <c r="Z20" s="11" t="s">
        <v>54</v>
      </c>
      <c r="AA20" s="11" t="str">
        <f t="shared" si="2"/>
        <v>1700 - TBN</v>
      </c>
      <c r="AC20" s="2" t="s">
        <v>145</v>
      </c>
      <c r="AD20" s="11" t="str">
        <f>IF($I20&lt;&gt;"",VLOOKUP($AC20,GEADRESSEERDE!$A$2:$E$4,2,),"")</f>
        <v>LUITHAGEN HAVEN 2 D</v>
      </c>
      <c r="AE20" s="11">
        <f>IF($I20&lt;&gt;"",VLOOKUP($AC20,GEADRESSEERDE!$A$2:$E$4,3,),"")</f>
        <v>2030</v>
      </c>
      <c r="AF20" s="11" t="str">
        <f>IF($I20&lt;&gt;"",VLOOKUP($AC20,GEADRESSEERDE!$A$2:$E$4,4,),"")</f>
        <v>ANTWERPEN</v>
      </c>
      <c r="AG20" s="11" t="str">
        <f>IF($I20&lt;&gt;"",VLOOKUP($AC20,GEADRESSEERDE!$A$2:$E$4,5,),"")</f>
        <v>BE</v>
      </c>
      <c r="AH20" s="11" t="str">
        <f>IF(I20&lt;&gt;"",VLOOKUP(AP20,KvB!$A$2:$B$3,2,FALSE),"")</f>
        <v>BE101000</v>
      </c>
      <c r="AI20" s="11" t="s">
        <v>55</v>
      </c>
      <c r="AJ20" s="11"/>
      <c r="AK20" s="11"/>
      <c r="AL20" s="11"/>
      <c r="AM20" s="11"/>
      <c r="AN20" s="11"/>
      <c r="AO20" s="11"/>
      <c r="AP20" s="2" t="s">
        <v>70</v>
      </c>
      <c r="AQ20" s="11" t="str">
        <f>IF(I20&lt;&gt;"",DATA!D19,"")</f>
        <v>7419200090</v>
      </c>
    </row>
    <row r="21" spans="1:43" ht="15.75" x14ac:dyDescent="0.25">
      <c r="A21" s="11" t="s">
        <v>57</v>
      </c>
      <c r="B21" s="11" t="s">
        <v>56</v>
      </c>
      <c r="C21" s="22">
        <f t="shared" si="3"/>
        <v>25001620</v>
      </c>
      <c r="D21" s="11" t="str">
        <f t="shared" si="0"/>
        <v>SKIIFM_AT</v>
      </c>
      <c r="E21" s="11" t="str">
        <f>IF(I21&lt;&gt;"",VLOOKUP(F21,OPDRACHTGEVER!$A$2:$B$4,2,FALSE),"")</f>
        <v>SKIIFM_AT</v>
      </c>
      <c r="F21" s="11" t="s">
        <v>58</v>
      </c>
      <c r="I21" s="11" t="str">
        <f>IF(DATA!B20&lt;&gt;"",DATA!B20,"")</f>
        <v>MSMU8240149</v>
      </c>
      <c r="J21" s="12">
        <v>0</v>
      </c>
      <c r="K21" s="11" t="s">
        <v>53</v>
      </c>
      <c r="L21" s="11" t="str">
        <f t="shared" si="1"/>
        <v>950691</v>
      </c>
      <c r="M21" s="11" t="str">
        <f>IF(I21&lt;&gt;"",DATA!E20,"")</f>
        <v>PILATES REFORMER</v>
      </c>
      <c r="N21" s="12">
        <v>0</v>
      </c>
      <c r="O21" s="11">
        <f>IF(I21&lt;&gt;"",DATA!C20,"")</f>
        <v>185.15</v>
      </c>
      <c r="P21" s="2">
        <v>294094</v>
      </c>
      <c r="Q21" s="2" t="s">
        <v>1304</v>
      </c>
      <c r="R21" s="2" t="s">
        <v>1305</v>
      </c>
      <c r="S21" s="2">
        <v>208</v>
      </c>
      <c r="T21" s="2">
        <v>1</v>
      </c>
      <c r="U21" s="2" t="s">
        <v>141</v>
      </c>
      <c r="Y21" s="2">
        <v>1700</v>
      </c>
      <c r="Z21" s="11" t="s">
        <v>54</v>
      </c>
      <c r="AA21" s="11" t="str">
        <f t="shared" si="2"/>
        <v>1700 - TBN</v>
      </c>
      <c r="AC21" s="2" t="s">
        <v>145</v>
      </c>
      <c r="AD21" s="11" t="str">
        <f>IF($I21&lt;&gt;"",VLOOKUP($AC21,GEADRESSEERDE!$A$2:$E$4,2,),"")</f>
        <v>LUITHAGEN HAVEN 2 D</v>
      </c>
      <c r="AE21" s="11">
        <f>IF($I21&lt;&gt;"",VLOOKUP($AC21,GEADRESSEERDE!$A$2:$E$4,3,),"")</f>
        <v>2030</v>
      </c>
      <c r="AF21" s="11" t="str">
        <f>IF($I21&lt;&gt;"",VLOOKUP($AC21,GEADRESSEERDE!$A$2:$E$4,4,),"")</f>
        <v>ANTWERPEN</v>
      </c>
      <c r="AG21" s="11" t="str">
        <f>IF($I21&lt;&gt;"",VLOOKUP($AC21,GEADRESSEERDE!$A$2:$E$4,5,),"")</f>
        <v>BE</v>
      </c>
      <c r="AH21" s="11" t="str">
        <f>IF(I21&lt;&gt;"",VLOOKUP(AP21,KvB!$A$2:$B$3,2,FALSE),"")</f>
        <v>BE101000</v>
      </c>
      <c r="AI21" s="11" t="s">
        <v>55</v>
      </c>
      <c r="AJ21" s="11"/>
      <c r="AK21" s="11"/>
      <c r="AL21" s="11"/>
      <c r="AM21" s="11"/>
      <c r="AN21" s="11"/>
      <c r="AO21" s="11"/>
      <c r="AP21" s="2" t="s">
        <v>70</v>
      </c>
      <c r="AQ21" s="11" t="str">
        <f>IF(I21&lt;&gt;"",DATA!D20,"")</f>
        <v>9506919000</v>
      </c>
    </row>
    <row r="22" spans="1:43" ht="15.75" x14ac:dyDescent="0.25">
      <c r="A22" s="11" t="s">
        <v>57</v>
      </c>
      <c r="B22" s="11" t="s">
        <v>56</v>
      </c>
      <c r="C22" s="22">
        <f t="shared" si="3"/>
        <v>25001620</v>
      </c>
      <c r="D22" s="11" t="str">
        <f t="shared" si="0"/>
        <v>SKIIFM_AT</v>
      </c>
      <c r="E22" s="11" t="str">
        <f>IF(I22&lt;&gt;"",VLOOKUP(F22,OPDRACHTGEVER!$A$2:$B$4,2,FALSE),"")</f>
        <v>SKIIFM_AT</v>
      </c>
      <c r="F22" s="11" t="s">
        <v>58</v>
      </c>
      <c r="I22" s="11" t="str">
        <f>IF(DATA!B21&lt;&gt;"",DATA!B21,"")</f>
        <v>MSMU8240149</v>
      </c>
      <c r="J22" s="12">
        <v>0</v>
      </c>
      <c r="K22" s="11" t="s">
        <v>53</v>
      </c>
      <c r="L22" s="11" t="str">
        <f t="shared" si="1"/>
        <v>820420</v>
      </c>
      <c r="M22" s="11" t="str">
        <f>IF(I22&lt;&gt;"",DATA!E21,"")</f>
        <v>PNEUMATIC WRENCH</v>
      </c>
      <c r="N22" s="12">
        <v>0</v>
      </c>
      <c r="O22" s="11">
        <f>IF(I22&lt;&gt;"",DATA!C21,"")</f>
        <v>4.25</v>
      </c>
      <c r="P22" s="2">
        <v>294094</v>
      </c>
      <c r="Q22" s="2" t="s">
        <v>1304</v>
      </c>
      <c r="R22" s="2" t="s">
        <v>1305</v>
      </c>
      <c r="S22" s="2">
        <v>208</v>
      </c>
      <c r="T22" s="2">
        <v>1</v>
      </c>
      <c r="U22" s="2" t="s">
        <v>141</v>
      </c>
      <c r="Y22" s="2">
        <v>1700</v>
      </c>
      <c r="Z22" s="11" t="s">
        <v>54</v>
      </c>
      <c r="AA22" s="11" t="str">
        <f t="shared" si="2"/>
        <v>1700 - TBN</v>
      </c>
      <c r="AC22" s="2" t="s">
        <v>145</v>
      </c>
      <c r="AD22" s="11" t="str">
        <f>IF($I22&lt;&gt;"",VLOOKUP($AC22,GEADRESSEERDE!$A$2:$E$4,2,),"")</f>
        <v>LUITHAGEN HAVEN 2 D</v>
      </c>
      <c r="AE22" s="11">
        <f>IF($I22&lt;&gt;"",VLOOKUP($AC22,GEADRESSEERDE!$A$2:$E$4,3,),"")</f>
        <v>2030</v>
      </c>
      <c r="AF22" s="11" t="str">
        <f>IF($I22&lt;&gt;"",VLOOKUP($AC22,GEADRESSEERDE!$A$2:$E$4,4,),"")</f>
        <v>ANTWERPEN</v>
      </c>
      <c r="AG22" s="11" t="str">
        <f>IF($I22&lt;&gt;"",VLOOKUP($AC22,GEADRESSEERDE!$A$2:$E$4,5,),"")</f>
        <v>BE</v>
      </c>
      <c r="AH22" s="11" t="str">
        <f>IF(I22&lt;&gt;"",VLOOKUP(AP22,KvB!$A$2:$B$3,2,FALSE),"")</f>
        <v>BE101000</v>
      </c>
      <c r="AI22" s="11" t="s">
        <v>55</v>
      </c>
      <c r="AJ22" s="11"/>
      <c r="AK22" s="11"/>
      <c r="AL22" s="11"/>
      <c r="AM22" s="11"/>
      <c r="AN22" s="11"/>
      <c r="AO22" s="11"/>
      <c r="AP22" s="2" t="s">
        <v>70</v>
      </c>
      <c r="AQ22" s="11" t="str">
        <f>IF(I22&lt;&gt;"",DATA!D21,"")</f>
        <v>8204200000</v>
      </c>
    </row>
    <row r="23" spans="1:43" ht="15.75" x14ac:dyDescent="0.25">
      <c r="A23" s="11" t="s">
        <v>57</v>
      </c>
      <c r="B23" s="11" t="s">
        <v>56</v>
      </c>
      <c r="C23" s="22">
        <f t="shared" si="3"/>
        <v>25001620</v>
      </c>
      <c r="D23" s="11" t="str">
        <f t="shared" si="0"/>
        <v>SKIIFM_AT</v>
      </c>
      <c r="E23" s="11" t="str">
        <f>IF(I23&lt;&gt;"",VLOOKUP(F23,OPDRACHTGEVER!$A$2:$B$4,2,FALSE),"")</f>
        <v>SKIIFM_AT</v>
      </c>
      <c r="F23" s="11" t="s">
        <v>58</v>
      </c>
      <c r="I23" s="11" t="str">
        <f>IF(DATA!B22&lt;&gt;"",DATA!B22,"")</f>
        <v>MSMU8240149</v>
      </c>
      <c r="J23" s="12">
        <v>0</v>
      </c>
      <c r="K23" s="11" t="s">
        <v>53</v>
      </c>
      <c r="L23" s="11" t="str">
        <f t="shared" si="1"/>
        <v>841360</v>
      </c>
      <c r="M23" s="11" t="str">
        <f>IF(I23&lt;&gt;"",DATA!E22,"")</f>
        <v>POOL PUMP</v>
      </c>
      <c r="N23" s="12">
        <v>0</v>
      </c>
      <c r="O23" s="11">
        <f>IF(I23&lt;&gt;"",DATA!C22,"")</f>
        <v>89.85</v>
      </c>
      <c r="P23" s="2">
        <v>294094</v>
      </c>
      <c r="Q23" s="2" t="s">
        <v>1304</v>
      </c>
      <c r="R23" s="2" t="s">
        <v>1305</v>
      </c>
      <c r="S23" s="2">
        <v>208</v>
      </c>
      <c r="T23" s="2">
        <v>1</v>
      </c>
      <c r="U23" s="2" t="s">
        <v>141</v>
      </c>
      <c r="Y23" s="2">
        <v>1700</v>
      </c>
      <c r="Z23" s="11" t="s">
        <v>54</v>
      </c>
      <c r="AA23" s="11" t="str">
        <f t="shared" si="2"/>
        <v>1700 - TBN</v>
      </c>
      <c r="AC23" s="2" t="s">
        <v>145</v>
      </c>
      <c r="AD23" s="11" t="str">
        <f>IF($I23&lt;&gt;"",VLOOKUP($AC23,GEADRESSEERDE!$A$2:$E$4,2,),"")</f>
        <v>LUITHAGEN HAVEN 2 D</v>
      </c>
      <c r="AE23" s="11">
        <f>IF($I23&lt;&gt;"",VLOOKUP($AC23,GEADRESSEERDE!$A$2:$E$4,3,),"")</f>
        <v>2030</v>
      </c>
      <c r="AF23" s="11" t="str">
        <f>IF($I23&lt;&gt;"",VLOOKUP($AC23,GEADRESSEERDE!$A$2:$E$4,4,),"")</f>
        <v>ANTWERPEN</v>
      </c>
      <c r="AG23" s="11" t="str">
        <f>IF($I23&lt;&gt;"",VLOOKUP($AC23,GEADRESSEERDE!$A$2:$E$4,5,),"")</f>
        <v>BE</v>
      </c>
      <c r="AH23" s="11" t="str">
        <f>IF(I23&lt;&gt;"",VLOOKUP(AP23,KvB!$A$2:$B$3,2,FALSE),"")</f>
        <v>BE101000</v>
      </c>
      <c r="AI23" s="11" t="s">
        <v>55</v>
      </c>
      <c r="AJ23" s="11"/>
      <c r="AK23" s="11"/>
      <c r="AL23" s="11"/>
      <c r="AM23" s="11"/>
      <c r="AN23" s="11"/>
      <c r="AO23" s="11"/>
      <c r="AP23" s="2" t="s">
        <v>70</v>
      </c>
      <c r="AQ23" s="11" t="str">
        <f>IF(I23&lt;&gt;"",DATA!D22,"")</f>
        <v>8413608090</v>
      </c>
    </row>
    <row r="24" spans="1:43" ht="15.75" x14ac:dyDescent="0.25">
      <c r="A24" s="11" t="s">
        <v>57</v>
      </c>
      <c r="B24" s="11" t="s">
        <v>56</v>
      </c>
      <c r="C24" s="22">
        <f t="shared" si="3"/>
        <v>25001620</v>
      </c>
      <c r="D24" s="11" t="str">
        <f t="shared" si="0"/>
        <v>SKIIFM_AT</v>
      </c>
      <c r="E24" s="11" t="str">
        <f>IF(I24&lt;&gt;"",VLOOKUP(F24,OPDRACHTGEVER!$A$2:$B$4,2,FALSE),"")</f>
        <v>SKIIFM_AT</v>
      </c>
      <c r="F24" s="11" t="s">
        <v>58</v>
      </c>
      <c r="I24" s="11" t="str">
        <f>IF(DATA!B23&lt;&gt;"",DATA!B23,"")</f>
        <v>MSMU8240149</v>
      </c>
      <c r="J24" s="12">
        <v>0</v>
      </c>
      <c r="K24" s="11" t="s">
        <v>53</v>
      </c>
      <c r="L24" s="11" t="str">
        <f t="shared" si="1"/>
        <v>846729</v>
      </c>
      <c r="M24" s="11" t="str">
        <f>IF(I24&lt;&gt;"",DATA!E23,"")</f>
        <v>PUNCHING AND SHEARING MACHINE</v>
      </c>
      <c r="N24" s="12">
        <v>0</v>
      </c>
      <c r="O24" s="11">
        <f>IF(I24&lt;&gt;"",DATA!C23,"")</f>
        <v>6.3</v>
      </c>
      <c r="P24" s="2">
        <v>294094</v>
      </c>
      <c r="Q24" s="2" t="s">
        <v>1304</v>
      </c>
      <c r="R24" s="2" t="s">
        <v>1305</v>
      </c>
      <c r="S24" s="2">
        <v>208</v>
      </c>
      <c r="T24" s="2">
        <v>1</v>
      </c>
      <c r="U24" s="2" t="s">
        <v>141</v>
      </c>
      <c r="Y24" s="2">
        <v>1700</v>
      </c>
      <c r="Z24" s="11" t="s">
        <v>54</v>
      </c>
      <c r="AA24" s="11" t="str">
        <f t="shared" si="2"/>
        <v>1700 - TBN</v>
      </c>
      <c r="AC24" s="2" t="s">
        <v>145</v>
      </c>
      <c r="AD24" s="11" t="str">
        <f>IF($I24&lt;&gt;"",VLOOKUP($AC24,GEADRESSEERDE!$A$2:$E$4,2,),"")</f>
        <v>LUITHAGEN HAVEN 2 D</v>
      </c>
      <c r="AE24" s="11">
        <f>IF($I24&lt;&gt;"",VLOOKUP($AC24,GEADRESSEERDE!$A$2:$E$4,3,),"")</f>
        <v>2030</v>
      </c>
      <c r="AF24" s="11" t="str">
        <f>IF($I24&lt;&gt;"",VLOOKUP($AC24,GEADRESSEERDE!$A$2:$E$4,4,),"")</f>
        <v>ANTWERPEN</v>
      </c>
      <c r="AG24" s="11" t="str">
        <f>IF($I24&lt;&gt;"",VLOOKUP($AC24,GEADRESSEERDE!$A$2:$E$4,5,),"")</f>
        <v>BE</v>
      </c>
      <c r="AH24" s="11" t="str">
        <f>IF(I24&lt;&gt;"",VLOOKUP(AP24,KvB!$A$2:$B$3,2,FALSE),"")</f>
        <v>BE101000</v>
      </c>
      <c r="AI24" s="11" t="s">
        <v>55</v>
      </c>
      <c r="AJ24" s="11"/>
      <c r="AK24" s="11"/>
      <c r="AL24" s="11"/>
      <c r="AM24" s="11"/>
      <c r="AN24" s="11"/>
      <c r="AO24" s="11"/>
      <c r="AP24" s="2" t="s">
        <v>70</v>
      </c>
      <c r="AQ24" s="11" t="str">
        <f>IF(I24&lt;&gt;"",DATA!D23,"")</f>
        <v>8467295900</v>
      </c>
    </row>
    <row r="25" spans="1:43" ht="15.75" x14ac:dyDescent="0.25">
      <c r="A25" s="11" t="s">
        <v>57</v>
      </c>
      <c r="B25" s="11" t="s">
        <v>56</v>
      </c>
      <c r="C25" s="22">
        <f t="shared" si="3"/>
        <v>25001620</v>
      </c>
      <c r="D25" s="11" t="str">
        <f t="shared" si="0"/>
        <v>SKIIFM_AT</v>
      </c>
      <c r="E25" s="11" t="str">
        <f>IF(I25&lt;&gt;"",VLOOKUP(F25,OPDRACHTGEVER!$A$2:$B$4,2,FALSE),"")</f>
        <v>SKIIFM_AT</v>
      </c>
      <c r="F25" s="11" t="s">
        <v>58</v>
      </c>
      <c r="I25" s="11" t="str">
        <f>IF(DATA!B24&lt;&gt;"",DATA!B24,"")</f>
        <v>MSMU8240149</v>
      </c>
      <c r="J25" s="12">
        <v>0</v>
      </c>
      <c r="K25" s="11" t="s">
        <v>53</v>
      </c>
      <c r="L25" s="11" t="str">
        <f t="shared" si="1"/>
        <v>842121</v>
      </c>
      <c r="M25" s="11" t="str">
        <f>IF(I25&lt;&gt;"",DATA!E24,"")</f>
        <v>SAND FILTER PUMP</v>
      </c>
      <c r="N25" s="12">
        <v>0</v>
      </c>
      <c r="O25" s="11">
        <f>IF(I25&lt;&gt;"",DATA!C24,"")</f>
        <v>22.6</v>
      </c>
      <c r="P25" s="2">
        <v>294094</v>
      </c>
      <c r="Q25" s="2" t="s">
        <v>1304</v>
      </c>
      <c r="R25" s="2" t="s">
        <v>1305</v>
      </c>
      <c r="S25" s="2">
        <v>208</v>
      </c>
      <c r="T25" s="2">
        <v>1</v>
      </c>
      <c r="U25" s="2" t="s">
        <v>141</v>
      </c>
      <c r="Y25" s="2">
        <v>1700</v>
      </c>
      <c r="Z25" s="11" t="s">
        <v>54</v>
      </c>
      <c r="AA25" s="11" t="str">
        <f t="shared" si="2"/>
        <v>1700 - TBN</v>
      </c>
      <c r="AC25" s="2" t="s">
        <v>145</v>
      </c>
      <c r="AD25" s="11" t="str">
        <f>IF($I25&lt;&gt;"",VLOOKUP($AC25,GEADRESSEERDE!$A$2:$E$4,2,),"")</f>
        <v>LUITHAGEN HAVEN 2 D</v>
      </c>
      <c r="AE25" s="11">
        <f>IF($I25&lt;&gt;"",VLOOKUP($AC25,GEADRESSEERDE!$A$2:$E$4,3,),"")</f>
        <v>2030</v>
      </c>
      <c r="AF25" s="11" t="str">
        <f>IF($I25&lt;&gt;"",VLOOKUP($AC25,GEADRESSEERDE!$A$2:$E$4,4,),"")</f>
        <v>ANTWERPEN</v>
      </c>
      <c r="AG25" s="11" t="str">
        <f>IF($I25&lt;&gt;"",VLOOKUP($AC25,GEADRESSEERDE!$A$2:$E$4,5,),"")</f>
        <v>BE</v>
      </c>
      <c r="AH25" s="11" t="str">
        <f>IF(I25&lt;&gt;"",VLOOKUP(AP25,KvB!$A$2:$B$3,2,FALSE),"")</f>
        <v>BE101000</v>
      </c>
      <c r="AI25" s="11" t="s">
        <v>55</v>
      </c>
      <c r="AJ25" s="11"/>
      <c r="AK25" s="11"/>
      <c r="AL25" s="11"/>
      <c r="AM25" s="11"/>
      <c r="AN25" s="11"/>
      <c r="AO25" s="11"/>
      <c r="AP25" s="2" t="s">
        <v>70</v>
      </c>
      <c r="AQ25" s="11" t="str">
        <f>IF(I25&lt;&gt;"",DATA!D24,"")</f>
        <v>8421210090</v>
      </c>
    </row>
    <row r="26" spans="1:43" ht="15.75" x14ac:dyDescent="0.25">
      <c r="A26" s="11" t="s">
        <v>57</v>
      </c>
      <c r="B26" s="11" t="s">
        <v>56</v>
      </c>
      <c r="C26" s="22">
        <f t="shared" si="3"/>
        <v>25001620</v>
      </c>
      <c r="D26" s="11" t="str">
        <f t="shared" si="0"/>
        <v>SKIIFM_AT</v>
      </c>
      <c r="E26" s="11" t="str">
        <f>IF(I26&lt;&gt;"",VLOOKUP(F26,OPDRACHTGEVER!$A$2:$B$4,2,FALSE),"")</f>
        <v>SKIIFM_AT</v>
      </c>
      <c r="F26" s="11" t="s">
        <v>58</v>
      </c>
      <c r="I26" s="11" t="str">
        <f>IF(DATA!B25&lt;&gt;"",DATA!B25,"")</f>
        <v>MSMU8240149</v>
      </c>
      <c r="J26" s="12">
        <v>0</v>
      </c>
      <c r="K26" s="11" t="s">
        <v>53</v>
      </c>
      <c r="L26" s="11" t="str">
        <f t="shared" si="1"/>
        <v>741920</v>
      </c>
      <c r="M26" s="11" t="str">
        <f>IF(I26&lt;&gt;"",DATA!E25,"")</f>
        <v>TELESCOPIC ALUMINUM LADDER</v>
      </c>
      <c r="N26" s="12">
        <v>0</v>
      </c>
      <c r="O26" s="11">
        <f>IF(I26&lt;&gt;"",DATA!C25,"")</f>
        <v>17.45</v>
      </c>
      <c r="P26" s="2">
        <v>294094</v>
      </c>
      <c r="Q26" s="2" t="s">
        <v>1304</v>
      </c>
      <c r="R26" s="2" t="s">
        <v>1305</v>
      </c>
      <c r="S26" s="2">
        <v>208</v>
      </c>
      <c r="T26" s="2">
        <v>1</v>
      </c>
      <c r="U26" s="2" t="s">
        <v>141</v>
      </c>
      <c r="Y26" s="2">
        <v>1700</v>
      </c>
      <c r="Z26" s="11" t="s">
        <v>54</v>
      </c>
      <c r="AA26" s="11" t="str">
        <f t="shared" si="2"/>
        <v>1700 - TBN</v>
      </c>
      <c r="AC26" s="2" t="s">
        <v>145</v>
      </c>
      <c r="AD26" s="11" t="str">
        <f>IF($I26&lt;&gt;"",VLOOKUP($AC26,GEADRESSEERDE!$A$2:$E$4,2,),"")</f>
        <v>LUITHAGEN HAVEN 2 D</v>
      </c>
      <c r="AE26" s="11">
        <f>IF($I26&lt;&gt;"",VLOOKUP($AC26,GEADRESSEERDE!$A$2:$E$4,3,),"")</f>
        <v>2030</v>
      </c>
      <c r="AF26" s="11" t="str">
        <f>IF($I26&lt;&gt;"",VLOOKUP($AC26,GEADRESSEERDE!$A$2:$E$4,4,),"")</f>
        <v>ANTWERPEN</v>
      </c>
      <c r="AG26" s="11" t="str">
        <f>IF($I26&lt;&gt;"",VLOOKUP($AC26,GEADRESSEERDE!$A$2:$E$4,5,),"")</f>
        <v>BE</v>
      </c>
      <c r="AH26" s="11" t="str">
        <f>IF(I26&lt;&gt;"",VLOOKUP(AP26,KvB!$A$2:$B$3,2,FALSE),"")</f>
        <v>BE101000</v>
      </c>
      <c r="AI26" s="11" t="s">
        <v>55</v>
      </c>
      <c r="AJ26" s="11"/>
      <c r="AK26" s="11"/>
      <c r="AL26" s="11"/>
      <c r="AM26" s="11"/>
      <c r="AN26" s="11"/>
      <c r="AO26" s="11"/>
      <c r="AP26" s="2" t="s">
        <v>70</v>
      </c>
      <c r="AQ26" s="11" t="str">
        <f>IF(I26&lt;&gt;"",DATA!D25,"")</f>
        <v>7419200090</v>
      </c>
    </row>
    <row r="27" spans="1:43" ht="15.75" x14ac:dyDescent="0.25">
      <c r="A27" s="11" t="s">
        <v>57</v>
      </c>
      <c r="B27" s="11" t="s">
        <v>56</v>
      </c>
      <c r="C27" s="22">
        <f t="shared" si="3"/>
        <v>25001620</v>
      </c>
      <c r="D27" s="11" t="str">
        <f t="shared" si="0"/>
        <v>SKIIFM_AT</v>
      </c>
      <c r="E27" s="11" t="str">
        <f>IF(I27&lt;&gt;"",VLOOKUP(F27,OPDRACHTGEVER!$A$2:$B$4,2,FALSE),"")</f>
        <v>SKIIFM_AT</v>
      </c>
      <c r="F27" s="11" t="s">
        <v>58</v>
      </c>
      <c r="I27" s="11" t="str">
        <f>IF(DATA!B26&lt;&gt;"",DATA!B26,"")</f>
        <v>MSMU8240149</v>
      </c>
      <c r="J27" s="12">
        <v>0</v>
      </c>
      <c r="K27" s="11" t="s">
        <v>53</v>
      </c>
      <c r="L27" s="11" t="str">
        <f t="shared" si="1"/>
        <v>820559</v>
      </c>
      <c r="M27" s="11" t="str">
        <f>IF(I27&lt;&gt;"",DATA!E26,"")</f>
        <v>TILES CUTTER</v>
      </c>
      <c r="N27" s="12">
        <v>0</v>
      </c>
      <c r="O27" s="11">
        <f>IF(I27&lt;&gt;"",DATA!C26,"")</f>
        <v>5487.7</v>
      </c>
      <c r="P27" s="2">
        <v>294094</v>
      </c>
      <c r="Q27" s="2" t="s">
        <v>1304</v>
      </c>
      <c r="R27" s="2" t="s">
        <v>1305</v>
      </c>
      <c r="S27" s="2">
        <v>208</v>
      </c>
      <c r="T27" s="2">
        <v>1</v>
      </c>
      <c r="U27" s="2" t="s">
        <v>141</v>
      </c>
      <c r="Y27" s="2">
        <v>1700</v>
      </c>
      <c r="Z27" s="11" t="s">
        <v>54</v>
      </c>
      <c r="AA27" s="11" t="str">
        <f t="shared" si="2"/>
        <v>1700 - TBN</v>
      </c>
      <c r="AC27" s="2" t="s">
        <v>145</v>
      </c>
      <c r="AD27" s="11" t="str">
        <f>IF($I27&lt;&gt;"",VLOOKUP($AC27,GEADRESSEERDE!$A$2:$E$4,2,),"")</f>
        <v>LUITHAGEN HAVEN 2 D</v>
      </c>
      <c r="AE27" s="11">
        <f>IF($I27&lt;&gt;"",VLOOKUP($AC27,GEADRESSEERDE!$A$2:$E$4,3,),"")</f>
        <v>2030</v>
      </c>
      <c r="AF27" s="11" t="str">
        <f>IF($I27&lt;&gt;"",VLOOKUP($AC27,GEADRESSEERDE!$A$2:$E$4,4,),"")</f>
        <v>ANTWERPEN</v>
      </c>
      <c r="AG27" s="11" t="str">
        <f>IF($I27&lt;&gt;"",VLOOKUP($AC27,GEADRESSEERDE!$A$2:$E$4,5,),"")</f>
        <v>BE</v>
      </c>
      <c r="AH27" s="11" t="str">
        <f>IF(I27&lt;&gt;"",VLOOKUP(AP27,KvB!$A$2:$B$3,2,FALSE),"")</f>
        <v>BE101000</v>
      </c>
      <c r="AI27" s="11" t="s">
        <v>55</v>
      </c>
      <c r="AJ27" s="11"/>
      <c r="AK27" s="11"/>
      <c r="AL27" s="11"/>
      <c r="AM27" s="11"/>
      <c r="AN27" s="11"/>
      <c r="AO27" s="11"/>
      <c r="AP27" s="2" t="s">
        <v>70</v>
      </c>
      <c r="AQ27" s="11" t="str">
        <f>IF(I27&lt;&gt;"",DATA!D26,"")</f>
        <v>8205598000</v>
      </c>
    </row>
    <row r="28" spans="1:43" ht="15.75" x14ac:dyDescent="0.25">
      <c r="A28" s="11" t="s">
        <v>57</v>
      </c>
      <c r="B28" s="11" t="s">
        <v>56</v>
      </c>
      <c r="C28" s="22">
        <f t="shared" si="3"/>
        <v>25001620</v>
      </c>
      <c r="D28" s="11" t="str">
        <f t="shared" si="0"/>
        <v>SKIIFM_AT</v>
      </c>
      <c r="E28" s="11" t="str">
        <f>IF(I28&lt;&gt;"",VLOOKUP(F28,OPDRACHTGEVER!$A$2:$B$4,2,FALSE),"")</f>
        <v>SKIIFM_AT</v>
      </c>
      <c r="F28" s="11" t="s">
        <v>58</v>
      </c>
      <c r="I28" s="11" t="str">
        <f>IF(DATA!B27&lt;&gt;"",DATA!B27,"")</f>
        <v>MSMU8240149</v>
      </c>
      <c r="J28" s="12">
        <v>0</v>
      </c>
      <c r="K28" s="11" t="s">
        <v>53</v>
      </c>
      <c r="L28" s="11" t="str">
        <f t="shared" si="1"/>
        <v>841382</v>
      </c>
      <c r="M28" s="11" t="str">
        <f>IF(I28&lt;&gt;"",DATA!E27,"")</f>
        <v>TRANSFER PUMP</v>
      </c>
      <c r="N28" s="12">
        <v>0</v>
      </c>
      <c r="O28" s="11">
        <f>IF(I28&lt;&gt;"",DATA!C27,"")</f>
        <v>26.25</v>
      </c>
      <c r="P28" s="2">
        <v>294094</v>
      </c>
      <c r="Q28" s="2" t="s">
        <v>1304</v>
      </c>
      <c r="R28" s="2" t="s">
        <v>1305</v>
      </c>
      <c r="S28" s="2">
        <v>208</v>
      </c>
      <c r="T28" s="2">
        <v>1</v>
      </c>
      <c r="U28" s="2" t="s">
        <v>141</v>
      </c>
      <c r="Y28" s="2">
        <v>1700</v>
      </c>
      <c r="Z28" s="11" t="s">
        <v>54</v>
      </c>
      <c r="AA28" s="11" t="str">
        <f t="shared" si="2"/>
        <v>1700 - TBN</v>
      </c>
      <c r="AC28" s="2" t="s">
        <v>145</v>
      </c>
      <c r="AD28" s="11" t="str">
        <f>IF($I28&lt;&gt;"",VLOOKUP($AC28,GEADRESSEERDE!$A$2:$E$4,2,),"")</f>
        <v>LUITHAGEN HAVEN 2 D</v>
      </c>
      <c r="AE28" s="11">
        <f>IF($I28&lt;&gt;"",VLOOKUP($AC28,GEADRESSEERDE!$A$2:$E$4,3,),"")</f>
        <v>2030</v>
      </c>
      <c r="AF28" s="11" t="str">
        <f>IF($I28&lt;&gt;"",VLOOKUP($AC28,GEADRESSEERDE!$A$2:$E$4,4,),"")</f>
        <v>ANTWERPEN</v>
      </c>
      <c r="AG28" s="11" t="str">
        <f>IF($I28&lt;&gt;"",VLOOKUP($AC28,GEADRESSEERDE!$A$2:$E$4,5,),"")</f>
        <v>BE</v>
      </c>
      <c r="AH28" s="11" t="str">
        <f>IF(I28&lt;&gt;"",VLOOKUP(AP28,KvB!$A$2:$B$3,2,FALSE),"")</f>
        <v>BE101000</v>
      </c>
      <c r="AI28" s="11" t="s">
        <v>55</v>
      </c>
      <c r="AJ28" s="11"/>
      <c r="AK28" s="11"/>
      <c r="AL28" s="11"/>
      <c r="AM28" s="11"/>
      <c r="AN28" s="11"/>
      <c r="AO28" s="11"/>
      <c r="AP28" s="2" t="s">
        <v>70</v>
      </c>
      <c r="AQ28" s="11" t="str">
        <f>IF(I28&lt;&gt;"",DATA!D27,"")</f>
        <v>8413820000</v>
      </c>
    </row>
    <row r="29" spans="1:43" ht="15.75" x14ac:dyDescent="0.25">
      <c r="A29" s="11" t="s">
        <v>57</v>
      </c>
      <c r="B29" s="11" t="s">
        <v>56</v>
      </c>
      <c r="C29" s="22">
        <f t="shared" si="3"/>
        <v>25001620</v>
      </c>
      <c r="D29" s="11" t="str">
        <f t="shared" si="0"/>
        <v>SKIIFM_AT</v>
      </c>
      <c r="E29" s="11" t="str">
        <f>IF(I29&lt;&gt;"",VLOOKUP(F29,OPDRACHTGEVER!$A$2:$B$4,2,FALSE),"")</f>
        <v>SKIIFM_AT</v>
      </c>
      <c r="F29" s="11" t="s">
        <v>58</v>
      </c>
      <c r="I29" s="11" t="str">
        <f>IF(DATA!B28&lt;&gt;"",DATA!B28,"")</f>
        <v>MSMU8240149</v>
      </c>
      <c r="J29" s="12">
        <v>0</v>
      </c>
      <c r="K29" s="11" t="s">
        <v>53</v>
      </c>
      <c r="L29" s="11" t="str">
        <f t="shared" si="1"/>
        <v>392690</v>
      </c>
      <c r="M29" s="11" t="str">
        <f>IF(I29&lt;&gt;"",DATA!E28,"")</f>
        <v>TURNTABLE</v>
      </c>
      <c r="N29" s="12">
        <v>0</v>
      </c>
      <c r="O29" s="11">
        <f>IF(I29&lt;&gt;"",DATA!C28,"")</f>
        <v>7.9</v>
      </c>
      <c r="P29" s="2">
        <v>294094</v>
      </c>
      <c r="Q29" s="2" t="s">
        <v>1304</v>
      </c>
      <c r="R29" s="2" t="s">
        <v>1305</v>
      </c>
      <c r="S29" s="2">
        <v>208</v>
      </c>
      <c r="T29" s="2">
        <v>1</v>
      </c>
      <c r="U29" s="2" t="s">
        <v>141</v>
      </c>
      <c r="Y29" s="2">
        <v>1700</v>
      </c>
      <c r="Z29" s="11" t="s">
        <v>54</v>
      </c>
      <c r="AA29" s="11" t="str">
        <f t="shared" si="2"/>
        <v>1700 - TBN</v>
      </c>
      <c r="AC29" s="2" t="s">
        <v>145</v>
      </c>
      <c r="AD29" s="11" t="str">
        <f>IF($I29&lt;&gt;"",VLOOKUP($AC29,GEADRESSEERDE!$A$2:$E$4,2,),"")</f>
        <v>LUITHAGEN HAVEN 2 D</v>
      </c>
      <c r="AE29" s="11">
        <f>IF($I29&lt;&gt;"",VLOOKUP($AC29,GEADRESSEERDE!$A$2:$E$4,3,),"")</f>
        <v>2030</v>
      </c>
      <c r="AF29" s="11" t="str">
        <f>IF($I29&lt;&gt;"",VLOOKUP($AC29,GEADRESSEERDE!$A$2:$E$4,4,),"")</f>
        <v>ANTWERPEN</v>
      </c>
      <c r="AG29" s="11" t="str">
        <f>IF($I29&lt;&gt;"",VLOOKUP($AC29,GEADRESSEERDE!$A$2:$E$4,5,),"")</f>
        <v>BE</v>
      </c>
      <c r="AH29" s="11" t="str">
        <f>IF(I29&lt;&gt;"",VLOOKUP(AP29,KvB!$A$2:$B$3,2,FALSE),"")</f>
        <v>BE101000</v>
      </c>
      <c r="AI29" s="11" t="s">
        <v>55</v>
      </c>
      <c r="AJ29" s="11"/>
      <c r="AK29" s="11"/>
      <c r="AL29" s="11"/>
      <c r="AM29" s="11"/>
      <c r="AN29" s="11"/>
      <c r="AO29" s="11"/>
      <c r="AP29" s="2" t="s">
        <v>70</v>
      </c>
      <c r="AQ29" s="11" t="str">
        <f>IF(I29&lt;&gt;"",DATA!D28,"")</f>
        <v>3926909790</v>
      </c>
    </row>
    <row r="30" spans="1:43" ht="15.75" x14ac:dyDescent="0.25">
      <c r="A30" s="11" t="s">
        <v>57</v>
      </c>
      <c r="B30" s="11" t="s">
        <v>56</v>
      </c>
      <c r="C30" s="22">
        <f t="shared" si="3"/>
        <v>25001620</v>
      </c>
      <c r="D30" s="11" t="str">
        <f t="shared" si="0"/>
        <v>SKIIFM_AT</v>
      </c>
      <c r="E30" s="11" t="str">
        <f>IF(I30&lt;&gt;"",VLOOKUP(F30,OPDRACHTGEVER!$A$2:$B$4,2,FALSE),"")</f>
        <v>SKIIFM_AT</v>
      </c>
      <c r="F30" s="11" t="s">
        <v>58</v>
      </c>
      <c r="I30" s="11" t="str">
        <f>IF(DATA!B29&lt;&gt;"",DATA!B29,"")</f>
        <v>MSMU8240149</v>
      </c>
      <c r="J30" s="12">
        <v>0</v>
      </c>
      <c r="K30" s="11" t="s">
        <v>53</v>
      </c>
      <c r="L30" s="11" t="str">
        <f t="shared" si="1"/>
        <v>841350</v>
      </c>
      <c r="M30" s="11" t="str">
        <f>IF(I30&lt;&gt;"",DATA!E29,"")</f>
        <v>WATER PUMP</v>
      </c>
      <c r="N30" s="12">
        <v>0</v>
      </c>
      <c r="O30" s="11">
        <f>IF(I30&lt;&gt;"",DATA!C29,"")</f>
        <v>355</v>
      </c>
      <c r="P30" s="2">
        <v>294094</v>
      </c>
      <c r="Q30" s="2" t="s">
        <v>1304</v>
      </c>
      <c r="R30" s="2" t="s">
        <v>1305</v>
      </c>
      <c r="S30" s="2">
        <v>208</v>
      </c>
      <c r="T30" s="2">
        <v>1</v>
      </c>
      <c r="U30" s="2" t="s">
        <v>141</v>
      </c>
      <c r="Y30" s="2">
        <v>1700</v>
      </c>
      <c r="Z30" s="11" t="s">
        <v>54</v>
      </c>
      <c r="AA30" s="11" t="str">
        <f t="shared" si="2"/>
        <v>1700 - TBN</v>
      </c>
      <c r="AC30" s="2" t="s">
        <v>145</v>
      </c>
      <c r="AD30" s="11" t="str">
        <f>IF($I30&lt;&gt;"",VLOOKUP($AC30,GEADRESSEERDE!$A$2:$E$4,2,),"")</f>
        <v>LUITHAGEN HAVEN 2 D</v>
      </c>
      <c r="AE30" s="11">
        <f>IF($I30&lt;&gt;"",VLOOKUP($AC30,GEADRESSEERDE!$A$2:$E$4,3,),"")</f>
        <v>2030</v>
      </c>
      <c r="AF30" s="11" t="str">
        <f>IF($I30&lt;&gt;"",VLOOKUP($AC30,GEADRESSEERDE!$A$2:$E$4,4,),"")</f>
        <v>ANTWERPEN</v>
      </c>
      <c r="AG30" s="11" t="str">
        <f>IF($I30&lt;&gt;"",VLOOKUP($AC30,GEADRESSEERDE!$A$2:$E$4,5,),"")</f>
        <v>BE</v>
      </c>
      <c r="AH30" s="11" t="str">
        <f>IF(I30&lt;&gt;"",VLOOKUP(AP30,KvB!$A$2:$B$3,2,FALSE),"")</f>
        <v>BE101000</v>
      </c>
      <c r="AI30" s="11" t="s">
        <v>55</v>
      </c>
      <c r="AJ30" s="11"/>
      <c r="AK30" s="11"/>
      <c r="AL30" s="11"/>
      <c r="AM30" s="11"/>
      <c r="AN30" s="11"/>
      <c r="AO30" s="11"/>
      <c r="AP30" s="2" t="s">
        <v>70</v>
      </c>
      <c r="AQ30" s="11" t="str">
        <f>IF(I30&lt;&gt;"",DATA!D29,"")</f>
        <v>8413502090</v>
      </c>
    </row>
    <row r="31" spans="1:43" ht="15.75" x14ac:dyDescent="0.25">
      <c r="A31" s="11" t="s">
        <v>57</v>
      </c>
      <c r="B31" s="11" t="s">
        <v>56</v>
      </c>
      <c r="C31" s="22">
        <f t="shared" si="3"/>
        <v>25001620</v>
      </c>
      <c r="D31" s="11" t="str">
        <f t="shared" si="0"/>
        <v>SKIIFM_AT</v>
      </c>
      <c r="E31" s="11" t="str">
        <f>IF(I31&lt;&gt;"",VLOOKUP(F31,OPDRACHTGEVER!$A$2:$B$4,2,FALSE),"")</f>
        <v>SKIIFM_AT</v>
      </c>
      <c r="F31" s="11" t="s">
        <v>58</v>
      </c>
      <c r="I31" s="11" t="str">
        <f>IF(DATA!B30&lt;&gt;"",DATA!B30,"")</f>
        <v>MSMU8240149</v>
      </c>
      <c r="J31" s="12">
        <v>0</v>
      </c>
      <c r="K31" s="11" t="s">
        <v>53</v>
      </c>
      <c r="L31" s="11" t="str">
        <f t="shared" si="1"/>
        <v>940320</v>
      </c>
      <c r="M31" s="11" t="str">
        <f>IF(I31&lt;&gt;"",DATA!E30,"")</f>
        <v>WELDING WORKBENCH</v>
      </c>
      <c r="N31" s="12">
        <v>0</v>
      </c>
      <c r="O31" s="11">
        <f>IF(I31&lt;&gt;"",DATA!C30,"")</f>
        <v>36.65</v>
      </c>
      <c r="P31" s="2">
        <v>294094</v>
      </c>
      <c r="Q31" s="2" t="s">
        <v>1304</v>
      </c>
      <c r="R31" s="2" t="s">
        <v>1305</v>
      </c>
      <c r="S31" s="2">
        <v>208</v>
      </c>
      <c r="T31" s="2">
        <v>1</v>
      </c>
      <c r="U31" s="2" t="s">
        <v>141</v>
      </c>
      <c r="Y31" s="2">
        <v>1700</v>
      </c>
      <c r="Z31" s="11" t="s">
        <v>54</v>
      </c>
      <c r="AA31" s="11" t="str">
        <f t="shared" si="2"/>
        <v>1700 - TBN</v>
      </c>
      <c r="AC31" s="2" t="s">
        <v>145</v>
      </c>
      <c r="AD31" s="11" t="str">
        <f>IF($I31&lt;&gt;"",VLOOKUP($AC31,GEADRESSEERDE!$A$2:$E$4,2,),"")</f>
        <v>LUITHAGEN HAVEN 2 D</v>
      </c>
      <c r="AE31" s="11">
        <f>IF($I31&lt;&gt;"",VLOOKUP($AC31,GEADRESSEERDE!$A$2:$E$4,3,),"")</f>
        <v>2030</v>
      </c>
      <c r="AF31" s="11" t="str">
        <f>IF($I31&lt;&gt;"",VLOOKUP($AC31,GEADRESSEERDE!$A$2:$E$4,4,),"")</f>
        <v>ANTWERPEN</v>
      </c>
      <c r="AG31" s="11" t="str">
        <f>IF($I31&lt;&gt;"",VLOOKUP($AC31,GEADRESSEERDE!$A$2:$E$4,5,),"")</f>
        <v>BE</v>
      </c>
      <c r="AH31" s="11" t="str">
        <f>IF(I31&lt;&gt;"",VLOOKUP(AP31,KvB!$A$2:$B$3,2,FALSE),"")</f>
        <v>BE101000</v>
      </c>
      <c r="AI31" s="11" t="s">
        <v>55</v>
      </c>
      <c r="AJ31" s="11"/>
      <c r="AK31" s="11"/>
      <c r="AL31" s="11"/>
      <c r="AM31" s="11"/>
      <c r="AN31" s="11"/>
      <c r="AO31" s="11"/>
      <c r="AP31" s="2" t="s">
        <v>70</v>
      </c>
      <c r="AQ31" s="11" t="str">
        <f>IF(I31&lt;&gt;"",DATA!D30,"")</f>
        <v>9403208000</v>
      </c>
    </row>
    <row r="32" spans="1:43" ht="15.75" x14ac:dyDescent="0.25">
      <c r="A32" s="11" t="s">
        <v>57</v>
      </c>
      <c r="B32" s="11" t="s">
        <v>56</v>
      </c>
      <c r="C32" s="22">
        <f t="shared" si="3"/>
        <v>25001620</v>
      </c>
      <c r="D32" s="11" t="str">
        <f t="shared" si="0"/>
        <v>SKIIFM_AT</v>
      </c>
      <c r="E32" s="11" t="str">
        <f>IF(I32&lt;&gt;"",VLOOKUP(F32,OPDRACHTGEVER!$A$2:$B$4,2,FALSE),"")</f>
        <v>SKIIFM_AT</v>
      </c>
      <c r="F32" s="11" t="s">
        <v>58</v>
      </c>
      <c r="I32" s="11" t="str">
        <f>IF(DATA!B31&lt;&gt;"",DATA!B31,"")</f>
        <v>MSMU8568605</v>
      </c>
      <c r="J32" s="12">
        <v>1547</v>
      </c>
      <c r="K32" s="11" t="s">
        <v>53</v>
      </c>
      <c r="L32" s="11" t="str">
        <f t="shared" si="1"/>
        <v>841480</v>
      </c>
      <c r="M32" s="11" t="str">
        <f>IF(I32&lt;&gt;"",DATA!E31,"")</f>
        <v>AIR COMPRESSOR</v>
      </c>
      <c r="N32" s="12">
        <v>15918</v>
      </c>
      <c r="O32" s="11">
        <f>IF(I32&lt;&gt;"",DATA!C31,"")</f>
        <v>92.7</v>
      </c>
      <c r="P32" s="2">
        <v>294094</v>
      </c>
      <c r="Q32" s="2" t="s">
        <v>1304</v>
      </c>
      <c r="R32" s="2" t="s">
        <v>1306</v>
      </c>
      <c r="S32" s="2">
        <v>221</v>
      </c>
      <c r="T32" s="2">
        <v>1</v>
      </c>
      <c r="U32" s="2" t="s">
        <v>141</v>
      </c>
      <c r="Y32" s="2">
        <v>1700</v>
      </c>
      <c r="Z32" s="11" t="s">
        <v>54</v>
      </c>
      <c r="AA32" s="11" t="str">
        <f t="shared" si="2"/>
        <v>1700 - TBN</v>
      </c>
      <c r="AC32" s="2" t="s">
        <v>145</v>
      </c>
      <c r="AD32" s="11" t="str">
        <f>IF($I32&lt;&gt;"",VLOOKUP($AC32,GEADRESSEERDE!$A$2:$E$4,2,),"")</f>
        <v>LUITHAGEN HAVEN 2 D</v>
      </c>
      <c r="AE32" s="11">
        <f>IF($I32&lt;&gt;"",VLOOKUP($AC32,GEADRESSEERDE!$A$2:$E$4,3,),"")</f>
        <v>2030</v>
      </c>
      <c r="AF32" s="11" t="str">
        <f>IF($I32&lt;&gt;"",VLOOKUP($AC32,GEADRESSEERDE!$A$2:$E$4,4,),"")</f>
        <v>ANTWERPEN</v>
      </c>
      <c r="AG32" s="11" t="str">
        <f>IF($I32&lt;&gt;"",VLOOKUP($AC32,GEADRESSEERDE!$A$2:$E$4,5,),"")</f>
        <v>BE</v>
      </c>
      <c r="AH32" s="11" t="str">
        <f>IF(I32&lt;&gt;"",VLOOKUP(AP32,KvB!$A$2:$B$3,2,FALSE),"")</f>
        <v>BE101000</v>
      </c>
      <c r="AI32" s="11" t="s">
        <v>55</v>
      </c>
      <c r="AJ32" s="11"/>
      <c r="AK32" s="11"/>
      <c r="AL32" s="11"/>
      <c r="AM32" s="11"/>
      <c r="AN32" s="11"/>
      <c r="AO32" s="11"/>
      <c r="AP32" s="2" t="s">
        <v>70</v>
      </c>
      <c r="AQ32" s="11" t="str">
        <f>IF(I32&lt;&gt;"",DATA!D31,"")</f>
        <v>8414808090</v>
      </c>
    </row>
    <row r="33" spans="1:43" ht="15.75" x14ac:dyDescent="0.25">
      <c r="A33" s="11" t="s">
        <v>57</v>
      </c>
      <c r="B33" s="11" t="s">
        <v>56</v>
      </c>
      <c r="C33" s="22">
        <f t="shared" si="3"/>
        <v>25001620</v>
      </c>
      <c r="D33" s="11" t="str">
        <f t="shared" si="0"/>
        <v>SKIIFM_AT</v>
      </c>
      <c r="E33" s="11" t="str">
        <f>IF(I33&lt;&gt;"",VLOOKUP(F33,OPDRACHTGEVER!$A$2:$B$4,2,FALSE),"")</f>
        <v>SKIIFM_AT</v>
      </c>
      <c r="F33" s="11" t="s">
        <v>58</v>
      </c>
      <c r="I33" s="11" t="str">
        <f>IF(DATA!B32&lt;&gt;"",DATA!B32,"")</f>
        <v>MSMU8568605</v>
      </c>
      <c r="J33" s="12">
        <v>0</v>
      </c>
      <c r="K33" s="11" t="s">
        <v>53</v>
      </c>
      <c r="L33" s="11" t="str">
        <f t="shared" si="1"/>
        <v>846711</v>
      </c>
      <c r="M33" s="11" t="str">
        <f>IF(I33&lt;&gt;"",DATA!E32,"")</f>
        <v>AIR IMPACT WRENCH</v>
      </c>
      <c r="N33" s="12">
        <v>0</v>
      </c>
      <c r="O33" s="11">
        <f>IF(I33&lt;&gt;"",DATA!C32,"")</f>
        <v>96.6</v>
      </c>
      <c r="P33" s="2">
        <v>294094</v>
      </c>
      <c r="Q33" s="2" t="s">
        <v>1304</v>
      </c>
      <c r="R33" s="2" t="s">
        <v>1306</v>
      </c>
      <c r="S33" s="2">
        <v>221</v>
      </c>
      <c r="T33" s="2">
        <v>1</v>
      </c>
      <c r="U33" s="2" t="s">
        <v>141</v>
      </c>
      <c r="Y33" s="2">
        <v>1700</v>
      </c>
      <c r="Z33" s="11" t="s">
        <v>54</v>
      </c>
      <c r="AA33" s="11" t="str">
        <f t="shared" si="2"/>
        <v>1700 - TBN</v>
      </c>
      <c r="AC33" s="2" t="s">
        <v>145</v>
      </c>
      <c r="AD33" s="11" t="str">
        <f>IF($I33&lt;&gt;"",VLOOKUP($AC33,GEADRESSEERDE!$A$2:$E$4,2,),"")</f>
        <v>LUITHAGEN HAVEN 2 D</v>
      </c>
      <c r="AE33" s="11">
        <f>IF($I33&lt;&gt;"",VLOOKUP($AC33,GEADRESSEERDE!$A$2:$E$4,3,),"")</f>
        <v>2030</v>
      </c>
      <c r="AF33" s="11" t="str">
        <f>IF($I33&lt;&gt;"",VLOOKUP($AC33,GEADRESSEERDE!$A$2:$E$4,4,),"")</f>
        <v>ANTWERPEN</v>
      </c>
      <c r="AG33" s="11" t="str">
        <f>IF($I33&lt;&gt;"",VLOOKUP($AC33,GEADRESSEERDE!$A$2:$E$4,5,),"")</f>
        <v>BE</v>
      </c>
      <c r="AH33" s="11" t="str">
        <f>IF(I33&lt;&gt;"",VLOOKUP(AP33,KvB!$A$2:$B$3,2,FALSE),"")</f>
        <v>BE101000</v>
      </c>
      <c r="AI33" s="11" t="s">
        <v>55</v>
      </c>
      <c r="AJ33" s="11"/>
      <c r="AK33" s="11"/>
      <c r="AL33" s="11"/>
      <c r="AM33" s="11"/>
      <c r="AN33" s="11"/>
      <c r="AO33" s="11"/>
      <c r="AP33" s="2" t="s">
        <v>70</v>
      </c>
      <c r="AQ33" s="11" t="str">
        <f>IF(I33&lt;&gt;"",DATA!D32,"")</f>
        <v>8467119000</v>
      </c>
    </row>
    <row r="34" spans="1:43" ht="15.75" x14ac:dyDescent="0.25">
      <c r="A34" s="11" t="s">
        <v>57</v>
      </c>
      <c r="B34" s="11" t="s">
        <v>56</v>
      </c>
      <c r="C34" s="22">
        <f t="shared" si="3"/>
        <v>25001620</v>
      </c>
      <c r="D34" s="11" t="str">
        <f t="shared" si="0"/>
        <v>SKIIFM_AT</v>
      </c>
      <c r="E34" s="11" t="str">
        <f>IF(I34&lt;&gt;"",VLOOKUP(F34,OPDRACHTGEVER!$A$2:$B$4,2,FALSE),"")</f>
        <v>SKIIFM_AT</v>
      </c>
      <c r="F34" s="11" t="s">
        <v>58</v>
      </c>
      <c r="I34" s="11" t="str">
        <f>IF(DATA!B33&lt;&gt;"",DATA!B33,"")</f>
        <v>MSMU8568605</v>
      </c>
      <c r="J34" s="12">
        <v>0</v>
      </c>
      <c r="K34" s="11" t="s">
        <v>53</v>
      </c>
      <c r="L34" s="11" t="str">
        <f t="shared" si="1"/>
        <v>841239</v>
      </c>
      <c r="M34" s="11" t="str">
        <f>IF(I34&lt;&gt;"",DATA!E33,"")</f>
        <v>AIR PRESSURE KIT BRAKE</v>
      </c>
      <c r="N34" s="12">
        <v>0</v>
      </c>
      <c r="O34" s="11">
        <f>IF(I34&lt;&gt;"",DATA!C33,"")</f>
        <v>22.5</v>
      </c>
      <c r="P34" s="2">
        <v>294094</v>
      </c>
      <c r="Q34" s="2" t="s">
        <v>1304</v>
      </c>
      <c r="R34" s="2" t="s">
        <v>1306</v>
      </c>
      <c r="S34" s="2">
        <v>221</v>
      </c>
      <c r="T34" s="2">
        <v>1</v>
      </c>
      <c r="U34" s="2" t="s">
        <v>141</v>
      </c>
      <c r="Y34" s="2">
        <v>1700</v>
      </c>
      <c r="Z34" s="11" t="s">
        <v>54</v>
      </c>
      <c r="AA34" s="11" t="str">
        <f t="shared" si="2"/>
        <v>1700 - TBN</v>
      </c>
      <c r="AC34" s="2" t="s">
        <v>145</v>
      </c>
      <c r="AD34" s="11" t="str">
        <f>IF($I34&lt;&gt;"",VLOOKUP($AC34,GEADRESSEERDE!$A$2:$E$4,2,),"")</f>
        <v>LUITHAGEN HAVEN 2 D</v>
      </c>
      <c r="AE34" s="11">
        <f>IF($I34&lt;&gt;"",VLOOKUP($AC34,GEADRESSEERDE!$A$2:$E$4,3,),"")</f>
        <v>2030</v>
      </c>
      <c r="AF34" s="11" t="str">
        <f>IF($I34&lt;&gt;"",VLOOKUP($AC34,GEADRESSEERDE!$A$2:$E$4,4,),"")</f>
        <v>ANTWERPEN</v>
      </c>
      <c r="AG34" s="11" t="str">
        <f>IF($I34&lt;&gt;"",VLOOKUP($AC34,GEADRESSEERDE!$A$2:$E$4,5,),"")</f>
        <v>BE</v>
      </c>
      <c r="AH34" s="11" t="str">
        <f>IF(I34&lt;&gt;"",VLOOKUP(AP34,KvB!$A$2:$B$3,2,FALSE),"")</f>
        <v>BE101000</v>
      </c>
      <c r="AI34" s="11" t="s">
        <v>55</v>
      </c>
      <c r="AJ34" s="11"/>
      <c r="AK34" s="11"/>
      <c r="AL34" s="11"/>
      <c r="AM34" s="11"/>
      <c r="AN34" s="11"/>
      <c r="AO34" s="11"/>
      <c r="AP34" s="2" t="s">
        <v>70</v>
      </c>
      <c r="AQ34" s="11" t="str">
        <f>IF(I34&lt;&gt;"",DATA!D33,"")</f>
        <v>8412390090</v>
      </c>
    </row>
    <row r="35" spans="1:43" ht="15.75" x14ac:dyDescent="0.25">
      <c r="A35" s="11" t="s">
        <v>57</v>
      </c>
      <c r="B35" s="11" t="s">
        <v>56</v>
      </c>
      <c r="C35" s="22">
        <f t="shared" si="3"/>
        <v>25001620</v>
      </c>
      <c r="D35" s="11" t="str">
        <f t="shared" si="0"/>
        <v>SKIIFM_AT</v>
      </c>
      <c r="E35" s="11" t="str">
        <f>IF(I35&lt;&gt;"",VLOOKUP(F35,OPDRACHTGEVER!$A$2:$B$4,2,FALSE),"")</f>
        <v>SKIIFM_AT</v>
      </c>
      <c r="F35" s="11" t="s">
        <v>58</v>
      </c>
      <c r="I35" s="11" t="str">
        <f>IF(DATA!B34&lt;&gt;"",DATA!B34,"")</f>
        <v>MSMU8568605</v>
      </c>
      <c r="J35" s="12">
        <v>0</v>
      </c>
      <c r="K35" s="11" t="s">
        <v>53</v>
      </c>
      <c r="L35" s="11" t="str">
        <f t="shared" si="1"/>
        <v>841451</v>
      </c>
      <c r="M35" s="11" t="str">
        <f>IF(I35&lt;&gt;"",DATA!E34,"")</f>
        <v>AIRBRUSH SPRAY BOOTH</v>
      </c>
      <c r="N35" s="12">
        <v>0</v>
      </c>
      <c r="O35" s="11">
        <f>IF(I35&lt;&gt;"",DATA!C34,"")</f>
        <v>4.8499999999999996</v>
      </c>
      <c r="P35" s="2">
        <v>294094</v>
      </c>
      <c r="Q35" s="2" t="s">
        <v>1304</v>
      </c>
      <c r="R35" s="2" t="s">
        <v>1306</v>
      </c>
      <c r="S35" s="2">
        <v>221</v>
      </c>
      <c r="T35" s="2">
        <v>1</v>
      </c>
      <c r="U35" s="2" t="s">
        <v>141</v>
      </c>
      <c r="Y35" s="2">
        <v>1700</v>
      </c>
      <c r="Z35" s="11" t="s">
        <v>54</v>
      </c>
      <c r="AA35" s="11" t="str">
        <f t="shared" si="2"/>
        <v>1700 - TBN</v>
      </c>
      <c r="AC35" s="2" t="s">
        <v>145</v>
      </c>
      <c r="AD35" s="11" t="str">
        <f>IF($I35&lt;&gt;"",VLOOKUP($AC35,GEADRESSEERDE!$A$2:$E$4,2,),"")</f>
        <v>LUITHAGEN HAVEN 2 D</v>
      </c>
      <c r="AE35" s="11">
        <f>IF($I35&lt;&gt;"",VLOOKUP($AC35,GEADRESSEERDE!$A$2:$E$4,3,),"")</f>
        <v>2030</v>
      </c>
      <c r="AF35" s="11" t="str">
        <f>IF($I35&lt;&gt;"",VLOOKUP($AC35,GEADRESSEERDE!$A$2:$E$4,4,),"")</f>
        <v>ANTWERPEN</v>
      </c>
      <c r="AG35" s="11" t="str">
        <f>IF($I35&lt;&gt;"",VLOOKUP($AC35,GEADRESSEERDE!$A$2:$E$4,5,),"")</f>
        <v>BE</v>
      </c>
      <c r="AH35" s="11" t="str">
        <f>IF(I35&lt;&gt;"",VLOOKUP(AP35,KvB!$A$2:$B$3,2,FALSE),"")</f>
        <v>BE101000</v>
      </c>
      <c r="AI35" s="11" t="s">
        <v>55</v>
      </c>
      <c r="AJ35" s="11"/>
      <c r="AK35" s="11"/>
      <c r="AL35" s="11"/>
      <c r="AM35" s="11"/>
      <c r="AN35" s="11"/>
      <c r="AO35" s="11"/>
      <c r="AP35" s="2" t="s">
        <v>70</v>
      </c>
      <c r="AQ35" s="11" t="str">
        <f>IF(I35&lt;&gt;"",DATA!D34,"")</f>
        <v>8414510090</v>
      </c>
    </row>
    <row r="36" spans="1:43" ht="15.75" x14ac:dyDescent="0.25">
      <c r="A36" s="11" t="s">
        <v>57</v>
      </c>
      <c r="B36" s="11" t="s">
        <v>56</v>
      </c>
      <c r="C36" s="22">
        <f t="shared" si="3"/>
        <v>25001620</v>
      </c>
      <c r="D36" s="11" t="str">
        <f t="shared" si="0"/>
        <v>SKIIFM_AT</v>
      </c>
      <c r="E36" s="11" t="str">
        <f>IF(I36&lt;&gt;"",VLOOKUP(F36,OPDRACHTGEVER!$A$2:$B$4,2,FALSE),"")</f>
        <v>SKIIFM_AT</v>
      </c>
      <c r="F36" s="11" t="s">
        <v>58</v>
      </c>
      <c r="I36" s="11" t="str">
        <f>IF(DATA!B35&lt;&gt;"",DATA!B35,"")</f>
        <v>MSMU8568605</v>
      </c>
      <c r="J36" s="12">
        <v>0</v>
      </c>
      <c r="K36" s="11" t="s">
        <v>53</v>
      </c>
      <c r="L36" s="11" t="str">
        <f t="shared" si="1"/>
        <v>741920</v>
      </c>
      <c r="M36" s="11" t="str">
        <f>IF(I36&lt;&gt;"",DATA!E35,"")</f>
        <v>ALUMINUM LADDER</v>
      </c>
      <c r="N36" s="12">
        <v>0</v>
      </c>
      <c r="O36" s="11">
        <f>IF(I36&lt;&gt;"",DATA!C35,"")</f>
        <v>276.64999999999998</v>
      </c>
      <c r="P36" s="2">
        <v>294094</v>
      </c>
      <c r="Q36" s="2" t="s">
        <v>1304</v>
      </c>
      <c r="R36" s="2" t="s">
        <v>1306</v>
      </c>
      <c r="S36" s="2">
        <v>221</v>
      </c>
      <c r="T36" s="2">
        <v>1</v>
      </c>
      <c r="U36" s="2" t="s">
        <v>141</v>
      </c>
      <c r="Y36" s="2">
        <v>1700</v>
      </c>
      <c r="Z36" s="11" t="s">
        <v>54</v>
      </c>
      <c r="AA36" s="11" t="str">
        <f t="shared" si="2"/>
        <v>1700 - TBN</v>
      </c>
      <c r="AC36" s="2" t="s">
        <v>145</v>
      </c>
      <c r="AD36" s="11" t="str">
        <f>IF($I36&lt;&gt;"",VLOOKUP($AC36,GEADRESSEERDE!$A$2:$E$4,2,),"")</f>
        <v>LUITHAGEN HAVEN 2 D</v>
      </c>
      <c r="AE36" s="11">
        <f>IF($I36&lt;&gt;"",VLOOKUP($AC36,GEADRESSEERDE!$A$2:$E$4,3,),"")</f>
        <v>2030</v>
      </c>
      <c r="AF36" s="11" t="str">
        <f>IF($I36&lt;&gt;"",VLOOKUP($AC36,GEADRESSEERDE!$A$2:$E$4,4,),"")</f>
        <v>ANTWERPEN</v>
      </c>
      <c r="AG36" s="11" t="str">
        <f>IF($I36&lt;&gt;"",VLOOKUP($AC36,GEADRESSEERDE!$A$2:$E$4,5,),"")</f>
        <v>BE</v>
      </c>
      <c r="AH36" s="11" t="str">
        <f>IF(I36&lt;&gt;"",VLOOKUP(AP36,KvB!$A$2:$B$3,2,FALSE),"")</f>
        <v>BE101000</v>
      </c>
      <c r="AI36" s="11" t="s">
        <v>55</v>
      </c>
      <c r="AJ36" s="11"/>
      <c r="AK36" s="11"/>
      <c r="AL36" s="11"/>
      <c r="AM36" s="11"/>
      <c r="AN36" s="11"/>
      <c r="AO36" s="11"/>
      <c r="AP36" s="2" t="s">
        <v>70</v>
      </c>
      <c r="AQ36" s="11" t="str">
        <f>IF(I36&lt;&gt;"",DATA!D35,"")</f>
        <v>7419200090</v>
      </c>
    </row>
    <row r="37" spans="1:43" ht="15.75" x14ac:dyDescent="0.25">
      <c r="A37" s="11" t="s">
        <v>57</v>
      </c>
      <c r="B37" s="11" t="s">
        <v>56</v>
      </c>
      <c r="C37" s="22">
        <f t="shared" si="3"/>
        <v>25001620</v>
      </c>
      <c r="D37" s="11" t="str">
        <f t="shared" si="0"/>
        <v>SKIIFM_AT</v>
      </c>
      <c r="E37" s="11" t="str">
        <f>IF(I37&lt;&gt;"",VLOOKUP(F37,OPDRACHTGEVER!$A$2:$B$4,2,FALSE),"")</f>
        <v>SKIIFM_AT</v>
      </c>
      <c r="F37" s="11" t="s">
        <v>58</v>
      </c>
      <c r="I37" s="11" t="str">
        <f>IF(DATA!B36&lt;&gt;"",DATA!B36,"")</f>
        <v>MSMU8568605</v>
      </c>
      <c r="J37" s="12">
        <v>0</v>
      </c>
      <c r="K37" s="11" t="s">
        <v>53</v>
      </c>
      <c r="L37" s="11" t="str">
        <f t="shared" si="1"/>
        <v>391739</v>
      </c>
      <c r="M37" s="11" t="str">
        <f>IF(I37&lt;&gt;"",DATA!E36,"")</f>
        <v>ALUMINUM PLASTIC PIPE</v>
      </c>
      <c r="N37" s="12">
        <v>0</v>
      </c>
      <c r="O37" s="11">
        <f>IF(I37&lt;&gt;"",DATA!C36,"")</f>
        <v>19.3</v>
      </c>
      <c r="P37" s="2">
        <v>294094</v>
      </c>
      <c r="Q37" s="2" t="s">
        <v>1304</v>
      </c>
      <c r="R37" s="2" t="s">
        <v>1306</v>
      </c>
      <c r="S37" s="2">
        <v>221</v>
      </c>
      <c r="T37" s="2">
        <v>1</v>
      </c>
      <c r="U37" s="2" t="s">
        <v>141</v>
      </c>
      <c r="Y37" s="2">
        <v>1700</v>
      </c>
      <c r="Z37" s="11" t="s">
        <v>54</v>
      </c>
      <c r="AA37" s="11" t="str">
        <f t="shared" si="2"/>
        <v>1700 - TBN</v>
      </c>
      <c r="AC37" s="2" t="s">
        <v>145</v>
      </c>
      <c r="AD37" s="11" t="str">
        <f>IF($I37&lt;&gt;"",VLOOKUP($AC37,GEADRESSEERDE!$A$2:$E$4,2,),"")</f>
        <v>LUITHAGEN HAVEN 2 D</v>
      </c>
      <c r="AE37" s="11">
        <f>IF($I37&lt;&gt;"",VLOOKUP($AC37,GEADRESSEERDE!$A$2:$E$4,3,),"")</f>
        <v>2030</v>
      </c>
      <c r="AF37" s="11" t="str">
        <f>IF($I37&lt;&gt;"",VLOOKUP($AC37,GEADRESSEERDE!$A$2:$E$4,4,),"")</f>
        <v>ANTWERPEN</v>
      </c>
      <c r="AG37" s="11" t="str">
        <f>IF($I37&lt;&gt;"",VLOOKUP($AC37,GEADRESSEERDE!$A$2:$E$4,5,),"")</f>
        <v>BE</v>
      </c>
      <c r="AH37" s="11" t="str">
        <f>IF(I37&lt;&gt;"",VLOOKUP(AP37,KvB!$A$2:$B$3,2,FALSE),"")</f>
        <v>BE101000</v>
      </c>
      <c r="AI37" s="11" t="s">
        <v>55</v>
      </c>
      <c r="AJ37" s="11"/>
      <c r="AK37" s="11"/>
      <c r="AL37" s="11"/>
      <c r="AM37" s="11"/>
      <c r="AN37" s="11"/>
      <c r="AO37" s="11"/>
      <c r="AP37" s="2" t="s">
        <v>70</v>
      </c>
      <c r="AQ37" s="11" t="str">
        <f>IF(I37&lt;&gt;"",DATA!D36,"")</f>
        <v>3917390099</v>
      </c>
    </row>
    <row r="38" spans="1:43" ht="15.75" x14ac:dyDescent="0.25">
      <c r="A38" s="11" t="s">
        <v>57</v>
      </c>
      <c r="B38" s="11" t="s">
        <v>56</v>
      </c>
      <c r="C38" s="22">
        <f t="shared" si="3"/>
        <v>25001620</v>
      </c>
      <c r="D38" s="11" t="str">
        <f t="shared" si="0"/>
        <v>SKIIFM_AT</v>
      </c>
      <c r="E38" s="11" t="str">
        <f>IF(I38&lt;&gt;"",VLOOKUP(F38,OPDRACHTGEVER!$A$2:$B$4,2,FALSE),"")</f>
        <v>SKIIFM_AT</v>
      </c>
      <c r="F38" s="11" t="s">
        <v>58</v>
      </c>
      <c r="I38" s="11" t="str">
        <f>IF(DATA!B37&lt;&gt;"",DATA!B37,"")</f>
        <v>MSMU8568605</v>
      </c>
      <c r="J38" s="12">
        <v>0</v>
      </c>
      <c r="K38" s="11" t="s">
        <v>53</v>
      </c>
      <c r="L38" s="11" t="str">
        <f t="shared" si="1"/>
        <v>761510</v>
      </c>
      <c r="M38" s="11" t="str">
        <f>IF(I38&lt;&gt;"",DATA!E37,"")</f>
        <v>ALUMINUM POT SET</v>
      </c>
      <c r="N38" s="12">
        <v>0</v>
      </c>
      <c r="O38" s="11">
        <f>IF(I38&lt;&gt;"",DATA!C37,"")</f>
        <v>279.45</v>
      </c>
      <c r="P38" s="2">
        <v>294094</v>
      </c>
      <c r="Q38" s="2" t="s">
        <v>1304</v>
      </c>
      <c r="R38" s="2" t="s">
        <v>1306</v>
      </c>
      <c r="S38" s="2">
        <v>221</v>
      </c>
      <c r="T38" s="2">
        <v>1</v>
      </c>
      <c r="U38" s="2" t="s">
        <v>141</v>
      </c>
      <c r="Y38" s="2">
        <v>1700</v>
      </c>
      <c r="Z38" s="11" t="s">
        <v>54</v>
      </c>
      <c r="AA38" s="11" t="str">
        <f t="shared" si="2"/>
        <v>1700 - TBN</v>
      </c>
      <c r="AC38" s="2" t="s">
        <v>145</v>
      </c>
      <c r="AD38" s="11" t="str">
        <f>IF($I38&lt;&gt;"",VLOOKUP($AC38,GEADRESSEERDE!$A$2:$E$4,2,),"")</f>
        <v>LUITHAGEN HAVEN 2 D</v>
      </c>
      <c r="AE38" s="11">
        <f>IF($I38&lt;&gt;"",VLOOKUP($AC38,GEADRESSEERDE!$A$2:$E$4,3,),"")</f>
        <v>2030</v>
      </c>
      <c r="AF38" s="11" t="str">
        <f>IF($I38&lt;&gt;"",VLOOKUP($AC38,GEADRESSEERDE!$A$2:$E$4,4,),"")</f>
        <v>ANTWERPEN</v>
      </c>
      <c r="AG38" s="11" t="str">
        <f>IF($I38&lt;&gt;"",VLOOKUP($AC38,GEADRESSEERDE!$A$2:$E$4,5,),"")</f>
        <v>BE</v>
      </c>
      <c r="AH38" s="11" t="str">
        <f>IF(I38&lt;&gt;"",VLOOKUP(AP38,KvB!$A$2:$B$3,2,FALSE),"")</f>
        <v>BE101000</v>
      </c>
      <c r="AI38" s="11" t="s">
        <v>55</v>
      </c>
      <c r="AJ38" s="11"/>
      <c r="AK38" s="11"/>
      <c r="AL38" s="11"/>
      <c r="AM38" s="11"/>
      <c r="AN38" s="11"/>
      <c r="AO38" s="11"/>
      <c r="AP38" s="2" t="s">
        <v>70</v>
      </c>
      <c r="AQ38" s="11" t="str">
        <f>IF(I38&lt;&gt;"",DATA!D37,"")</f>
        <v>7615101090</v>
      </c>
    </row>
    <row r="39" spans="1:43" ht="15.75" x14ac:dyDescent="0.25">
      <c r="A39" s="11" t="s">
        <v>57</v>
      </c>
      <c r="B39" s="11" t="s">
        <v>56</v>
      </c>
      <c r="C39" s="22">
        <f t="shared" si="3"/>
        <v>25001620</v>
      </c>
      <c r="D39" s="11" t="str">
        <f t="shared" ref="D39:D51" si="4">E39</f>
        <v>SKIIFM_AT</v>
      </c>
      <c r="E39" s="11" t="str">
        <f>IF(I39&lt;&gt;"",VLOOKUP(F39,OPDRACHTGEVER!$A$2:$B$4,2,FALSE),"")</f>
        <v>SKIIFM_AT</v>
      </c>
      <c r="F39" s="11" t="s">
        <v>58</v>
      </c>
      <c r="I39" s="11" t="str">
        <f>IF(DATA!B38&lt;&gt;"",DATA!B38,"")</f>
        <v>MSMU8568605</v>
      </c>
      <c r="J39" s="12">
        <v>0</v>
      </c>
      <c r="K39" s="11" t="s">
        <v>53</v>
      </c>
      <c r="L39" s="11" t="str">
        <f t="shared" ref="L39:L51" si="5">LEFT(AQ39,6)</f>
        <v>901600</v>
      </c>
      <c r="M39" s="11" t="str">
        <f>IF(I39&lt;&gt;"",DATA!E38,"")</f>
        <v>ANALYTICAL BALANCE</v>
      </c>
      <c r="N39" s="12">
        <v>0</v>
      </c>
      <c r="O39" s="11">
        <f>IF(I39&lt;&gt;"",DATA!C38,"")</f>
        <v>16.399999999999999</v>
      </c>
      <c r="P39" s="2">
        <v>294094</v>
      </c>
      <c r="Q39" s="2" t="s">
        <v>1304</v>
      </c>
      <c r="R39" s="2" t="s">
        <v>1306</v>
      </c>
      <c r="S39" s="2">
        <v>221</v>
      </c>
      <c r="T39" s="2">
        <v>1</v>
      </c>
      <c r="U39" s="2" t="s">
        <v>141</v>
      </c>
      <c r="Y39" s="2">
        <v>1700</v>
      </c>
      <c r="Z39" s="11" t="s">
        <v>54</v>
      </c>
      <c r="AA39" s="11" t="str">
        <f t="shared" ref="AA39:AA51" si="6">IF(I39&lt;&gt;"",Y39&amp;" - "&amp;Z39,"")</f>
        <v>1700 - TBN</v>
      </c>
      <c r="AC39" s="2" t="s">
        <v>145</v>
      </c>
      <c r="AD39" s="11" t="str">
        <f>IF($I39&lt;&gt;"",VLOOKUP($AC39,GEADRESSEERDE!$A$2:$E$4,2,),"")</f>
        <v>LUITHAGEN HAVEN 2 D</v>
      </c>
      <c r="AE39" s="11">
        <f>IF($I39&lt;&gt;"",VLOOKUP($AC39,GEADRESSEERDE!$A$2:$E$4,3,),"")</f>
        <v>2030</v>
      </c>
      <c r="AF39" s="11" t="str">
        <f>IF($I39&lt;&gt;"",VLOOKUP($AC39,GEADRESSEERDE!$A$2:$E$4,4,),"")</f>
        <v>ANTWERPEN</v>
      </c>
      <c r="AG39" s="11" t="str">
        <f>IF($I39&lt;&gt;"",VLOOKUP($AC39,GEADRESSEERDE!$A$2:$E$4,5,),"")</f>
        <v>BE</v>
      </c>
      <c r="AH39" s="11" t="str">
        <f>IF(I39&lt;&gt;"",VLOOKUP(AP39,KvB!$A$2:$B$3,2,FALSE),"")</f>
        <v>BE101000</v>
      </c>
      <c r="AI39" s="11" t="s">
        <v>55</v>
      </c>
      <c r="AJ39" s="11"/>
      <c r="AK39" s="11"/>
      <c r="AL39" s="11"/>
      <c r="AM39" s="11"/>
      <c r="AN39" s="11"/>
      <c r="AO39" s="11"/>
      <c r="AP39" s="2" t="s">
        <v>70</v>
      </c>
      <c r="AQ39" s="11" t="str">
        <f>IF(I39&lt;&gt;"",DATA!D38,"")</f>
        <v>9016009000</v>
      </c>
    </row>
    <row r="40" spans="1:43" ht="15.75" x14ac:dyDescent="0.25">
      <c r="A40" s="11" t="s">
        <v>57</v>
      </c>
      <c r="B40" s="11" t="s">
        <v>56</v>
      </c>
      <c r="C40" s="22">
        <f t="shared" si="3"/>
        <v>25001620</v>
      </c>
      <c r="D40" s="11" t="str">
        <f t="shared" si="4"/>
        <v>SKIIFM_AT</v>
      </c>
      <c r="E40" s="11" t="str">
        <f>IF(I40&lt;&gt;"",VLOOKUP(F40,OPDRACHTGEVER!$A$2:$B$4,2,FALSE),"")</f>
        <v>SKIIFM_AT</v>
      </c>
      <c r="F40" s="11" t="s">
        <v>58</v>
      </c>
      <c r="I40" s="11" t="str">
        <f>IF(DATA!B39&lt;&gt;"",DATA!B39,"")</f>
        <v>MSMU8568605</v>
      </c>
      <c r="J40" s="12">
        <v>0</v>
      </c>
      <c r="K40" s="11" t="s">
        <v>53</v>
      </c>
      <c r="L40" s="11" t="str">
        <f t="shared" si="5"/>
        <v>841459</v>
      </c>
      <c r="M40" s="11" t="str">
        <f>IF(I40&lt;&gt;"",DATA!E39,"")</f>
        <v>AXIAL FAN</v>
      </c>
      <c r="N40" s="12">
        <v>0</v>
      </c>
      <c r="O40" s="11">
        <f>IF(I40&lt;&gt;"",DATA!C39,"")</f>
        <v>18.5</v>
      </c>
      <c r="P40" s="2">
        <v>294094</v>
      </c>
      <c r="Q40" s="2" t="s">
        <v>1304</v>
      </c>
      <c r="R40" s="2" t="s">
        <v>1306</v>
      </c>
      <c r="S40" s="2">
        <v>221</v>
      </c>
      <c r="T40" s="2">
        <v>1</v>
      </c>
      <c r="U40" s="2" t="s">
        <v>141</v>
      </c>
      <c r="Y40" s="2">
        <v>1700</v>
      </c>
      <c r="Z40" s="11" t="s">
        <v>54</v>
      </c>
      <c r="AA40" s="11" t="str">
        <f t="shared" si="6"/>
        <v>1700 - TBN</v>
      </c>
      <c r="AC40" s="2" t="s">
        <v>145</v>
      </c>
      <c r="AD40" s="11" t="str">
        <f>IF($I40&lt;&gt;"",VLOOKUP($AC40,GEADRESSEERDE!$A$2:$E$4,2,),"")</f>
        <v>LUITHAGEN HAVEN 2 D</v>
      </c>
      <c r="AE40" s="11">
        <f>IF($I40&lt;&gt;"",VLOOKUP($AC40,GEADRESSEERDE!$A$2:$E$4,3,),"")</f>
        <v>2030</v>
      </c>
      <c r="AF40" s="11" t="str">
        <f>IF($I40&lt;&gt;"",VLOOKUP($AC40,GEADRESSEERDE!$A$2:$E$4,4,),"")</f>
        <v>ANTWERPEN</v>
      </c>
      <c r="AG40" s="11" t="str">
        <f>IF($I40&lt;&gt;"",VLOOKUP($AC40,GEADRESSEERDE!$A$2:$E$4,5,),"")</f>
        <v>BE</v>
      </c>
      <c r="AH40" s="11" t="str">
        <f>IF(I40&lt;&gt;"",VLOOKUP(AP40,KvB!$A$2:$B$3,2,FALSE),"")</f>
        <v>BE101000</v>
      </c>
      <c r="AI40" s="11" t="s">
        <v>55</v>
      </c>
      <c r="AJ40" s="11"/>
      <c r="AK40" s="11"/>
      <c r="AL40" s="11"/>
      <c r="AM40" s="11"/>
      <c r="AN40" s="11"/>
      <c r="AO40" s="11"/>
      <c r="AP40" s="2" t="s">
        <v>70</v>
      </c>
      <c r="AQ40" s="11" t="str">
        <f>IF(I40&lt;&gt;"",DATA!D39,"")</f>
        <v>8414599590</v>
      </c>
    </row>
    <row r="41" spans="1:43" ht="15.75" x14ac:dyDescent="0.25">
      <c r="A41" s="11" t="s">
        <v>57</v>
      </c>
      <c r="B41" s="11" t="s">
        <v>56</v>
      </c>
      <c r="C41" s="22">
        <f t="shared" si="3"/>
        <v>25001620</v>
      </c>
      <c r="D41" s="11" t="str">
        <f t="shared" si="4"/>
        <v>SKIIFM_AT</v>
      </c>
      <c r="E41" s="11" t="str">
        <f>IF(I41&lt;&gt;"",VLOOKUP(F41,OPDRACHTGEVER!$A$2:$B$4,2,FALSE),"")</f>
        <v>SKIIFM_AT</v>
      </c>
      <c r="F41" s="11" t="s">
        <v>58</v>
      </c>
      <c r="I41" s="11" t="str">
        <f>IF(DATA!B40&lt;&gt;"",DATA!B40,"")</f>
        <v>MSMU8568605</v>
      </c>
      <c r="J41" s="12">
        <v>0</v>
      </c>
      <c r="K41" s="11" t="s">
        <v>53</v>
      </c>
      <c r="L41" s="11" t="str">
        <f t="shared" si="5"/>
        <v>741920</v>
      </c>
      <c r="M41" s="11" t="str">
        <f>IF(I41&lt;&gt;"",DATA!E40,"")</f>
        <v>BADGE MACHINE ACCESSORIES</v>
      </c>
      <c r="N41" s="12">
        <v>0</v>
      </c>
      <c r="O41" s="11">
        <f>IF(I41&lt;&gt;"",DATA!C40,"")</f>
        <v>173.25</v>
      </c>
      <c r="P41" s="2">
        <v>294094</v>
      </c>
      <c r="Q41" s="2" t="s">
        <v>1304</v>
      </c>
      <c r="R41" s="2" t="s">
        <v>1306</v>
      </c>
      <c r="S41" s="2">
        <v>221</v>
      </c>
      <c r="T41" s="2">
        <v>1</v>
      </c>
      <c r="U41" s="2" t="s">
        <v>141</v>
      </c>
      <c r="Y41" s="2">
        <v>1700</v>
      </c>
      <c r="Z41" s="11" t="s">
        <v>54</v>
      </c>
      <c r="AA41" s="11" t="str">
        <f t="shared" si="6"/>
        <v>1700 - TBN</v>
      </c>
      <c r="AC41" s="2" t="s">
        <v>145</v>
      </c>
      <c r="AD41" s="11" t="str">
        <f>IF($I41&lt;&gt;"",VLOOKUP($AC41,GEADRESSEERDE!$A$2:$E$4,2,),"")</f>
        <v>LUITHAGEN HAVEN 2 D</v>
      </c>
      <c r="AE41" s="11">
        <f>IF($I41&lt;&gt;"",VLOOKUP($AC41,GEADRESSEERDE!$A$2:$E$4,3,),"")</f>
        <v>2030</v>
      </c>
      <c r="AF41" s="11" t="str">
        <f>IF($I41&lt;&gt;"",VLOOKUP($AC41,GEADRESSEERDE!$A$2:$E$4,4,),"")</f>
        <v>ANTWERPEN</v>
      </c>
      <c r="AG41" s="11" t="str">
        <f>IF($I41&lt;&gt;"",VLOOKUP($AC41,GEADRESSEERDE!$A$2:$E$4,5,),"")</f>
        <v>BE</v>
      </c>
      <c r="AH41" s="11" t="str">
        <f>IF(I41&lt;&gt;"",VLOOKUP(AP41,KvB!$A$2:$B$3,2,FALSE),"")</f>
        <v>BE101000</v>
      </c>
      <c r="AI41" s="11" t="s">
        <v>55</v>
      </c>
      <c r="AJ41" s="11"/>
      <c r="AK41" s="11"/>
      <c r="AL41" s="11"/>
      <c r="AM41" s="11"/>
      <c r="AN41" s="11"/>
      <c r="AO41" s="11"/>
      <c r="AP41" s="2" t="s">
        <v>70</v>
      </c>
      <c r="AQ41" s="11" t="str">
        <f>IF(I41&lt;&gt;"",DATA!D40,"")</f>
        <v>7419200090</v>
      </c>
    </row>
    <row r="42" spans="1:43" ht="15.75" x14ac:dyDescent="0.25">
      <c r="A42" s="11" t="s">
        <v>57</v>
      </c>
      <c r="B42" s="11" t="s">
        <v>56</v>
      </c>
      <c r="C42" s="22">
        <f t="shared" si="3"/>
        <v>25001620</v>
      </c>
      <c r="D42" s="11" t="str">
        <f t="shared" si="4"/>
        <v>SKIIFM_AT</v>
      </c>
      <c r="E42" s="11" t="str">
        <f>IF(I42&lt;&gt;"",VLOOKUP(F42,OPDRACHTGEVER!$A$2:$B$4,2,FALSE),"")</f>
        <v>SKIIFM_AT</v>
      </c>
      <c r="F42" s="11" t="s">
        <v>58</v>
      </c>
      <c r="I42" s="11" t="str">
        <f>IF(DATA!B41&lt;&gt;"",DATA!B41,"")</f>
        <v>MSMU8568605</v>
      </c>
      <c r="J42" s="12">
        <v>0</v>
      </c>
      <c r="K42" s="11" t="s">
        <v>53</v>
      </c>
      <c r="L42" s="11" t="str">
        <f t="shared" si="5"/>
        <v>820559</v>
      </c>
      <c r="M42" s="11" t="str">
        <f>IF(I42&lt;&gt;"",DATA!E41,"")</f>
        <v>BENDER</v>
      </c>
      <c r="N42" s="12">
        <v>0</v>
      </c>
      <c r="O42" s="11">
        <f>IF(I42&lt;&gt;"",DATA!C41,"")</f>
        <v>252.95</v>
      </c>
      <c r="P42" s="2">
        <v>294094</v>
      </c>
      <c r="Q42" s="2" t="s">
        <v>1304</v>
      </c>
      <c r="R42" s="2" t="s">
        <v>1306</v>
      </c>
      <c r="S42" s="2">
        <v>221</v>
      </c>
      <c r="T42" s="2">
        <v>1</v>
      </c>
      <c r="U42" s="2" t="s">
        <v>141</v>
      </c>
      <c r="Y42" s="2">
        <v>1700</v>
      </c>
      <c r="Z42" s="11" t="s">
        <v>54</v>
      </c>
      <c r="AA42" s="11" t="str">
        <f t="shared" si="6"/>
        <v>1700 - TBN</v>
      </c>
      <c r="AC42" s="2" t="s">
        <v>145</v>
      </c>
      <c r="AD42" s="11" t="str">
        <f>IF($I42&lt;&gt;"",VLOOKUP($AC42,GEADRESSEERDE!$A$2:$E$4,2,),"")</f>
        <v>LUITHAGEN HAVEN 2 D</v>
      </c>
      <c r="AE42" s="11">
        <f>IF($I42&lt;&gt;"",VLOOKUP($AC42,GEADRESSEERDE!$A$2:$E$4,3,),"")</f>
        <v>2030</v>
      </c>
      <c r="AF42" s="11" t="str">
        <f>IF($I42&lt;&gt;"",VLOOKUP($AC42,GEADRESSEERDE!$A$2:$E$4,4,),"")</f>
        <v>ANTWERPEN</v>
      </c>
      <c r="AG42" s="11" t="str">
        <f>IF($I42&lt;&gt;"",VLOOKUP($AC42,GEADRESSEERDE!$A$2:$E$4,5,),"")</f>
        <v>BE</v>
      </c>
      <c r="AH42" s="11" t="str">
        <f>IF(I42&lt;&gt;"",VLOOKUP(AP42,KvB!$A$2:$B$3,2,FALSE),"")</f>
        <v>BE101000</v>
      </c>
      <c r="AI42" s="11" t="s">
        <v>55</v>
      </c>
      <c r="AJ42" s="11"/>
      <c r="AK42" s="11"/>
      <c r="AL42" s="11"/>
      <c r="AM42" s="11"/>
      <c r="AN42" s="11"/>
      <c r="AO42" s="11"/>
      <c r="AP42" s="2" t="s">
        <v>70</v>
      </c>
      <c r="AQ42" s="11" t="str">
        <f>IF(I42&lt;&gt;"",DATA!D41,"")</f>
        <v>8205598000</v>
      </c>
    </row>
    <row r="43" spans="1:43" ht="15.75" x14ac:dyDescent="0.25">
      <c r="A43" s="11" t="s">
        <v>57</v>
      </c>
      <c r="B43" s="11" t="s">
        <v>56</v>
      </c>
      <c r="C43" s="22">
        <f t="shared" si="3"/>
        <v>25001620</v>
      </c>
      <c r="D43" s="11" t="str">
        <f t="shared" si="4"/>
        <v>SKIIFM_AT</v>
      </c>
      <c r="E43" s="11" t="str">
        <f>IF(I43&lt;&gt;"",VLOOKUP(F43,OPDRACHTGEVER!$A$2:$B$4,2,FALSE),"")</f>
        <v>SKIIFM_AT</v>
      </c>
      <c r="F43" s="11" t="s">
        <v>58</v>
      </c>
      <c r="I43" s="11" t="str">
        <f>IF(DATA!B42&lt;&gt;"",DATA!B42,"")</f>
        <v>MSMU8568605</v>
      </c>
      <c r="J43" s="12">
        <v>0</v>
      </c>
      <c r="K43" s="11" t="s">
        <v>53</v>
      </c>
      <c r="L43" s="11" t="str">
        <f t="shared" si="5"/>
        <v>847290</v>
      </c>
      <c r="M43" s="11" t="str">
        <f>IF(I43&lt;&gt;"",DATA!E42,"")</f>
        <v>BILL MONEY COUNTER</v>
      </c>
      <c r="N43" s="12">
        <v>0</v>
      </c>
      <c r="O43" s="11">
        <f>IF(I43&lt;&gt;"",DATA!C42,"")</f>
        <v>53</v>
      </c>
      <c r="P43" s="2">
        <v>294094</v>
      </c>
      <c r="Q43" s="2" t="s">
        <v>1304</v>
      </c>
      <c r="R43" s="2" t="s">
        <v>1306</v>
      </c>
      <c r="S43" s="2">
        <v>221</v>
      </c>
      <c r="T43" s="2">
        <v>1</v>
      </c>
      <c r="U43" s="2" t="s">
        <v>141</v>
      </c>
      <c r="Y43" s="2">
        <v>1700</v>
      </c>
      <c r="Z43" s="11" t="s">
        <v>54</v>
      </c>
      <c r="AA43" s="11" t="str">
        <f t="shared" si="6"/>
        <v>1700 - TBN</v>
      </c>
      <c r="AC43" s="2" t="s">
        <v>145</v>
      </c>
      <c r="AD43" s="11" t="str">
        <f>IF($I43&lt;&gt;"",VLOOKUP($AC43,GEADRESSEERDE!$A$2:$E$4,2,),"")</f>
        <v>LUITHAGEN HAVEN 2 D</v>
      </c>
      <c r="AE43" s="11">
        <f>IF($I43&lt;&gt;"",VLOOKUP($AC43,GEADRESSEERDE!$A$2:$E$4,3,),"")</f>
        <v>2030</v>
      </c>
      <c r="AF43" s="11" t="str">
        <f>IF($I43&lt;&gt;"",VLOOKUP($AC43,GEADRESSEERDE!$A$2:$E$4,4,),"")</f>
        <v>ANTWERPEN</v>
      </c>
      <c r="AG43" s="11" t="str">
        <f>IF($I43&lt;&gt;"",VLOOKUP($AC43,GEADRESSEERDE!$A$2:$E$4,5,),"")</f>
        <v>BE</v>
      </c>
      <c r="AH43" s="11" t="str">
        <f>IF(I43&lt;&gt;"",VLOOKUP(AP43,KvB!$A$2:$B$3,2,FALSE),"")</f>
        <v>BE101000</v>
      </c>
      <c r="AI43" s="11" t="s">
        <v>55</v>
      </c>
      <c r="AJ43" s="11"/>
      <c r="AK43" s="11"/>
      <c r="AL43" s="11"/>
      <c r="AM43" s="11"/>
      <c r="AN43" s="11"/>
      <c r="AO43" s="11"/>
      <c r="AP43" s="2" t="s">
        <v>70</v>
      </c>
      <c r="AQ43" s="11" t="str">
        <f>IF(I43&lt;&gt;"",DATA!D42,"")</f>
        <v>8472901000</v>
      </c>
    </row>
    <row r="44" spans="1:43" ht="15.75" x14ac:dyDescent="0.25">
      <c r="A44" s="11" t="s">
        <v>57</v>
      </c>
      <c r="B44" s="11" t="s">
        <v>56</v>
      </c>
      <c r="C44" s="22">
        <f t="shared" si="3"/>
        <v>25001620</v>
      </c>
      <c r="D44" s="11" t="str">
        <f t="shared" si="4"/>
        <v>SKIIFM_AT</v>
      </c>
      <c r="E44" s="11" t="str">
        <f>IF(I44&lt;&gt;"",VLOOKUP(F44,OPDRACHTGEVER!$A$2:$B$4,2,FALSE),"")</f>
        <v>SKIIFM_AT</v>
      </c>
      <c r="F44" s="11" t="s">
        <v>58</v>
      </c>
      <c r="I44" s="11" t="str">
        <f>IF(DATA!B43&lt;&gt;"",DATA!B43,"")</f>
        <v>MSMU8568605</v>
      </c>
      <c r="J44" s="12">
        <v>0</v>
      </c>
      <c r="K44" s="11" t="s">
        <v>53</v>
      </c>
      <c r="L44" s="11" t="str">
        <f t="shared" si="5"/>
        <v>846040</v>
      </c>
      <c r="M44" s="11" t="str">
        <f>IF(I44&lt;&gt;"",DATA!E43,"")</f>
        <v>BIT GRINDER</v>
      </c>
      <c r="N44" s="12">
        <v>0</v>
      </c>
      <c r="O44" s="11">
        <f>IF(I44&lt;&gt;"",DATA!C43,"")</f>
        <v>353.2</v>
      </c>
      <c r="P44" s="2">
        <v>294094</v>
      </c>
      <c r="Q44" s="2" t="s">
        <v>1304</v>
      </c>
      <c r="R44" s="2" t="s">
        <v>1306</v>
      </c>
      <c r="S44" s="2">
        <v>221</v>
      </c>
      <c r="T44" s="2">
        <v>1</v>
      </c>
      <c r="U44" s="2" t="s">
        <v>141</v>
      </c>
      <c r="Y44" s="2">
        <v>1700</v>
      </c>
      <c r="Z44" s="11" t="s">
        <v>54</v>
      </c>
      <c r="AA44" s="11" t="str">
        <f t="shared" si="6"/>
        <v>1700 - TBN</v>
      </c>
      <c r="AC44" s="2" t="s">
        <v>145</v>
      </c>
      <c r="AD44" s="11" t="str">
        <f>IF($I44&lt;&gt;"",VLOOKUP($AC44,GEADRESSEERDE!$A$2:$E$4,2,),"")</f>
        <v>LUITHAGEN HAVEN 2 D</v>
      </c>
      <c r="AE44" s="11">
        <f>IF($I44&lt;&gt;"",VLOOKUP($AC44,GEADRESSEERDE!$A$2:$E$4,3,),"")</f>
        <v>2030</v>
      </c>
      <c r="AF44" s="11" t="str">
        <f>IF($I44&lt;&gt;"",VLOOKUP($AC44,GEADRESSEERDE!$A$2:$E$4,4,),"")</f>
        <v>ANTWERPEN</v>
      </c>
      <c r="AG44" s="11" t="str">
        <f>IF($I44&lt;&gt;"",VLOOKUP($AC44,GEADRESSEERDE!$A$2:$E$4,5,),"")</f>
        <v>BE</v>
      </c>
      <c r="AH44" s="11" t="str">
        <f>IF(I44&lt;&gt;"",VLOOKUP(AP44,KvB!$A$2:$B$3,2,FALSE),"")</f>
        <v>BE101000</v>
      </c>
      <c r="AI44" s="11" t="s">
        <v>55</v>
      </c>
      <c r="AJ44" s="11"/>
      <c r="AK44" s="11"/>
      <c r="AL44" s="11"/>
      <c r="AM44" s="11"/>
      <c r="AN44" s="11"/>
      <c r="AO44" s="11"/>
      <c r="AP44" s="2" t="s">
        <v>70</v>
      </c>
      <c r="AQ44" s="11" t="str">
        <f>IF(I44&lt;&gt;"",DATA!D43,"")</f>
        <v>8460409000</v>
      </c>
    </row>
    <row r="45" spans="1:43" ht="15.75" x14ac:dyDescent="0.25">
      <c r="A45" s="11" t="s">
        <v>57</v>
      </c>
      <c r="B45" s="11" t="s">
        <v>56</v>
      </c>
      <c r="C45" s="22">
        <f t="shared" si="3"/>
        <v>25001620</v>
      </c>
      <c r="D45" s="11" t="str">
        <f t="shared" si="4"/>
        <v>SKIIFM_AT</v>
      </c>
      <c r="E45" s="11" t="str">
        <f>IF(I45&lt;&gt;"",VLOOKUP(F45,OPDRACHTGEVER!$A$2:$B$4,2,FALSE),"")</f>
        <v>SKIIFM_AT</v>
      </c>
      <c r="F45" s="11" t="s">
        <v>58</v>
      </c>
      <c r="I45" s="11" t="str">
        <f>IF(DATA!B44&lt;&gt;"",DATA!B44,"")</f>
        <v>MSMU8568605</v>
      </c>
      <c r="J45" s="12">
        <v>0</v>
      </c>
      <c r="K45" s="11" t="s">
        <v>53</v>
      </c>
      <c r="L45" s="11" t="str">
        <f t="shared" si="5"/>
        <v>847290</v>
      </c>
      <c r="M45" s="11" t="str">
        <f>IF(I45&lt;&gt;"",DATA!E44,"")</f>
        <v>BUTTON MAKER</v>
      </c>
      <c r="N45" s="12">
        <v>0</v>
      </c>
      <c r="O45" s="11">
        <f>IF(I45&lt;&gt;"",DATA!C44,"")</f>
        <v>75.3</v>
      </c>
      <c r="P45" s="2">
        <v>294094</v>
      </c>
      <c r="Q45" s="2" t="s">
        <v>1304</v>
      </c>
      <c r="R45" s="2" t="s">
        <v>1306</v>
      </c>
      <c r="S45" s="2">
        <v>221</v>
      </c>
      <c r="T45" s="2">
        <v>1</v>
      </c>
      <c r="U45" s="2" t="s">
        <v>141</v>
      </c>
      <c r="Y45" s="2">
        <v>1700</v>
      </c>
      <c r="Z45" s="11" t="s">
        <v>54</v>
      </c>
      <c r="AA45" s="11" t="str">
        <f t="shared" si="6"/>
        <v>1700 - TBN</v>
      </c>
      <c r="AC45" s="2" t="s">
        <v>145</v>
      </c>
      <c r="AD45" s="11" t="str">
        <f>IF($I45&lt;&gt;"",VLOOKUP($AC45,GEADRESSEERDE!$A$2:$E$4,2,),"")</f>
        <v>LUITHAGEN HAVEN 2 D</v>
      </c>
      <c r="AE45" s="11">
        <f>IF($I45&lt;&gt;"",VLOOKUP($AC45,GEADRESSEERDE!$A$2:$E$4,3,),"")</f>
        <v>2030</v>
      </c>
      <c r="AF45" s="11" t="str">
        <f>IF($I45&lt;&gt;"",VLOOKUP($AC45,GEADRESSEERDE!$A$2:$E$4,4,),"")</f>
        <v>ANTWERPEN</v>
      </c>
      <c r="AG45" s="11" t="str">
        <f>IF($I45&lt;&gt;"",VLOOKUP($AC45,GEADRESSEERDE!$A$2:$E$4,5,),"")</f>
        <v>BE</v>
      </c>
      <c r="AH45" s="11" t="str">
        <f>IF(I45&lt;&gt;"",VLOOKUP(AP45,KvB!$A$2:$B$3,2,FALSE),"")</f>
        <v>BE101000</v>
      </c>
      <c r="AI45" s="11" t="s">
        <v>55</v>
      </c>
      <c r="AJ45" s="11"/>
      <c r="AK45" s="11"/>
      <c r="AL45" s="11"/>
      <c r="AM45" s="11"/>
      <c r="AN45" s="11"/>
      <c r="AO45" s="11"/>
      <c r="AP45" s="2" t="s">
        <v>70</v>
      </c>
      <c r="AQ45" s="11" t="str">
        <f>IF(I45&lt;&gt;"",DATA!D44,"")</f>
        <v>8472908000</v>
      </c>
    </row>
    <row r="46" spans="1:43" ht="15.75" x14ac:dyDescent="0.25">
      <c r="A46" s="11" t="s">
        <v>57</v>
      </c>
      <c r="B46" s="11" t="s">
        <v>56</v>
      </c>
      <c r="C46" s="22">
        <f t="shared" si="3"/>
        <v>25001620</v>
      </c>
      <c r="D46" s="11" t="str">
        <f t="shared" si="4"/>
        <v>SKIIFM_AT</v>
      </c>
      <c r="E46" s="11" t="str">
        <f>IF(I46&lt;&gt;"",VLOOKUP(F46,OPDRACHTGEVER!$A$2:$B$4,2,FALSE),"")</f>
        <v>SKIIFM_AT</v>
      </c>
      <c r="F46" s="11" t="s">
        <v>58</v>
      </c>
      <c r="I46" s="11" t="str">
        <f>IF(DATA!B45&lt;&gt;"",DATA!B45,"")</f>
        <v>MSMU8568605</v>
      </c>
      <c r="J46" s="12">
        <v>0</v>
      </c>
      <c r="K46" s="11" t="s">
        <v>53</v>
      </c>
      <c r="L46" s="11" t="str">
        <f t="shared" si="5"/>
        <v>401699</v>
      </c>
      <c r="M46" s="11" t="str">
        <f>IF(I46&lt;&gt;"",DATA!E45,"")</f>
        <v>CABLE PROTECTOR</v>
      </c>
      <c r="N46" s="12">
        <v>0</v>
      </c>
      <c r="O46" s="11">
        <f>IF(I46&lt;&gt;"",DATA!C45,"")</f>
        <v>521.4</v>
      </c>
      <c r="P46" s="2">
        <v>294094</v>
      </c>
      <c r="Q46" s="2" t="s">
        <v>1304</v>
      </c>
      <c r="R46" s="2" t="s">
        <v>1306</v>
      </c>
      <c r="S46" s="2">
        <v>221</v>
      </c>
      <c r="T46" s="2">
        <v>1</v>
      </c>
      <c r="U46" s="2" t="s">
        <v>141</v>
      </c>
      <c r="Y46" s="2">
        <v>1700</v>
      </c>
      <c r="Z46" s="11" t="s">
        <v>54</v>
      </c>
      <c r="AA46" s="11" t="str">
        <f t="shared" si="6"/>
        <v>1700 - TBN</v>
      </c>
      <c r="AC46" s="2" t="s">
        <v>145</v>
      </c>
      <c r="AD46" s="11" t="str">
        <f>IF($I46&lt;&gt;"",VLOOKUP($AC46,GEADRESSEERDE!$A$2:$E$4,2,),"")</f>
        <v>LUITHAGEN HAVEN 2 D</v>
      </c>
      <c r="AE46" s="11">
        <f>IF($I46&lt;&gt;"",VLOOKUP($AC46,GEADRESSEERDE!$A$2:$E$4,3,),"")</f>
        <v>2030</v>
      </c>
      <c r="AF46" s="11" t="str">
        <f>IF($I46&lt;&gt;"",VLOOKUP($AC46,GEADRESSEERDE!$A$2:$E$4,4,),"")</f>
        <v>ANTWERPEN</v>
      </c>
      <c r="AG46" s="11" t="str">
        <f>IF($I46&lt;&gt;"",VLOOKUP($AC46,GEADRESSEERDE!$A$2:$E$4,5,),"")</f>
        <v>BE</v>
      </c>
      <c r="AH46" s="11" t="str">
        <f>IF(I46&lt;&gt;"",VLOOKUP(AP46,KvB!$A$2:$B$3,2,FALSE),"")</f>
        <v>BE101000</v>
      </c>
      <c r="AI46" s="11" t="s">
        <v>55</v>
      </c>
      <c r="AJ46" s="11"/>
      <c r="AK46" s="11"/>
      <c r="AL46" s="11"/>
      <c r="AM46" s="11"/>
      <c r="AN46" s="11"/>
      <c r="AO46" s="11"/>
      <c r="AP46" s="2" t="s">
        <v>70</v>
      </c>
      <c r="AQ46" s="11" t="str">
        <f>IF(I46&lt;&gt;"",DATA!D45,"")</f>
        <v>4016999790</v>
      </c>
    </row>
    <row r="47" spans="1:43" ht="15.75" x14ac:dyDescent="0.25">
      <c r="A47" s="11" t="s">
        <v>57</v>
      </c>
      <c r="B47" s="11" t="s">
        <v>56</v>
      </c>
      <c r="C47" s="22">
        <f t="shared" si="3"/>
        <v>25001620</v>
      </c>
      <c r="D47" s="11" t="str">
        <f t="shared" si="4"/>
        <v>SKIIFM_AT</v>
      </c>
      <c r="E47" s="11" t="str">
        <f>IF(I47&lt;&gt;"",VLOOKUP(F47,OPDRACHTGEVER!$A$2:$B$4,2,FALSE),"")</f>
        <v>SKIIFM_AT</v>
      </c>
      <c r="F47" s="11" t="s">
        <v>58</v>
      </c>
      <c r="I47" s="11" t="str">
        <f>IF(DATA!B46&lt;&gt;"",DATA!B46,"")</f>
        <v>MSMU8568605</v>
      </c>
      <c r="J47" s="12">
        <v>0</v>
      </c>
      <c r="K47" s="11" t="s">
        <v>53</v>
      </c>
      <c r="L47" s="11" t="str">
        <f t="shared" si="5"/>
        <v>741920</v>
      </c>
      <c r="M47" s="11" t="str">
        <f>IF(I47&lt;&gt;"",DATA!E46,"")</f>
        <v>CANOE DISPLAY STAND</v>
      </c>
      <c r="N47" s="12">
        <v>0</v>
      </c>
      <c r="O47" s="11">
        <f>IF(I47&lt;&gt;"",DATA!C46,"")</f>
        <v>22.8</v>
      </c>
      <c r="P47" s="2">
        <v>294094</v>
      </c>
      <c r="Q47" s="2" t="s">
        <v>1304</v>
      </c>
      <c r="R47" s="2" t="s">
        <v>1306</v>
      </c>
      <c r="S47" s="2">
        <v>221</v>
      </c>
      <c r="T47" s="2">
        <v>1</v>
      </c>
      <c r="U47" s="2" t="s">
        <v>141</v>
      </c>
      <c r="Y47" s="2">
        <v>1700</v>
      </c>
      <c r="Z47" s="11" t="s">
        <v>54</v>
      </c>
      <c r="AA47" s="11" t="str">
        <f t="shared" si="6"/>
        <v>1700 - TBN</v>
      </c>
      <c r="AC47" s="2" t="s">
        <v>145</v>
      </c>
      <c r="AD47" s="11" t="str">
        <f>IF($I47&lt;&gt;"",VLOOKUP($AC47,GEADRESSEERDE!$A$2:$E$4,2,),"")</f>
        <v>LUITHAGEN HAVEN 2 D</v>
      </c>
      <c r="AE47" s="11">
        <f>IF($I47&lt;&gt;"",VLOOKUP($AC47,GEADRESSEERDE!$A$2:$E$4,3,),"")</f>
        <v>2030</v>
      </c>
      <c r="AF47" s="11" t="str">
        <f>IF($I47&lt;&gt;"",VLOOKUP($AC47,GEADRESSEERDE!$A$2:$E$4,4,),"")</f>
        <v>ANTWERPEN</v>
      </c>
      <c r="AG47" s="11" t="str">
        <f>IF($I47&lt;&gt;"",VLOOKUP($AC47,GEADRESSEERDE!$A$2:$E$4,5,),"")</f>
        <v>BE</v>
      </c>
      <c r="AH47" s="11" t="str">
        <f>IF(I47&lt;&gt;"",VLOOKUP(AP47,KvB!$A$2:$B$3,2,FALSE),"")</f>
        <v>BE101000</v>
      </c>
      <c r="AI47" s="11" t="s">
        <v>55</v>
      </c>
      <c r="AJ47" s="11"/>
      <c r="AK47" s="11"/>
      <c r="AL47" s="11"/>
      <c r="AM47" s="11"/>
      <c r="AN47" s="11"/>
      <c r="AO47" s="11"/>
      <c r="AP47" s="2" t="s">
        <v>70</v>
      </c>
      <c r="AQ47" s="11" t="str">
        <f>IF(I47&lt;&gt;"",DATA!D46,"")</f>
        <v>7419200090</v>
      </c>
    </row>
    <row r="48" spans="1:43" ht="15.75" x14ac:dyDescent="0.25">
      <c r="A48" s="11" t="s">
        <v>57</v>
      </c>
      <c r="B48" s="11" t="s">
        <v>56</v>
      </c>
      <c r="C48" s="22">
        <f t="shared" si="3"/>
        <v>25001620</v>
      </c>
      <c r="D48" s="11" t="str">
        <f t="shared" si="4"/>
        <v>SKIIFM_AT</v>
      </c>
      <c r="E48" s="11" t="str">
        <f>IF(I48&lt;&gt;"",VLOOKUP(F48,OPDRACHTGEVER!$A$2:$B$4,2,FALSE),"")</f>
        <v>SKIIFM_AT</v>
      </c>
      <c r="F48" s="11" t="s">
        <v>58</v>
      </c>
      <c r="I48" s="11" t="str">
        <f>IF(DATA!B47&lt;&gt;"",DATA!B47,"")</f>
        <v>MSMU8568605</v>
      </c>
      <c r="J48" s="12">
        <v>0</v>
      </c>
      <c r="K48" s="11" t="s">
        <v>53</v>
      </c>
      <c r="L48" s="11" t="str">
        <f t="shared" si="5"/>
        <v>761090</v>
      </c>
      <c r="M48" s="11" t="str">
        <f>IF(I48&lt;&gt;"",DATA!E47,"")</f>
        <v>CANOPY</v>
      </c>
      <c r="N48" s="12">
        <v>0</v>
      </c>
      <c r="O48" s="11">
        <f>IF(I48&lt;&gt;"",DATA!C47,"")</f>
        <v>158.35</v>
      </c>
      <c r="P48" s="2">
        <v>294094</v>
      </c>
      <c r="Q48" s="2" t="s">
        <v>1304</v>
      </c>
      <c r="R48" s="2" t="s">
        <v>1306</v>
      </c>
      <c r="S48" s="2">
        <v>221</v>
      </c>
      <c r="T48" s="2">
        <v>1</v>
      </c>
      <c r="U48" s="2" t="s">
        <v>141</v>
      </c>
      <c r="Y48" s="2">
        <v>1700</v>
      </c>
      <c r="Z48" s="11" t="s">
        <v>54</v>
      </c>
      <c r="AA48" s="11" t="str">
        <f t="shared" si="6"/>
        <v>1700 - TBN</v>
      </c>
      <c r="AC48" s="2" t="s">
        <v>145</v>
      </c>
      <c r="AD48" s="11" t="str">
        <f>IF($I48&lt;&gt;"",VLOOKUP($AC48,GEADRESSEERDE!$A$2:$E$4,2,),"")</f>
        <v>LUITHAGEN HAVEN 2 D</v>
      </c>
      <c r="AE48" s="11">
        <f>IF($I48&lt;&gt;"",VLOOKUP($AC48,GEADRESSEERDE!$A$2:$E$4,3,),"")</f>
        <v>2030</v>
      </c>
      <c r="AF48" s="11" t="str">
        <f>IF($I48&lt;&gt;"",VLOOKUP($AC48,GEADRESSEERDE!$A$2:$E$4,4,),"")</f>
        <v>ANTWERPEN</v>
      </c>
      <c r="AG48" s="11" t="str">
        <f>IF($I48&lt;&gt;"",VLOOKUP($AC48,GEADRESSEERDE!$A$2:$E$4,5,),"")</f>
        <v>BE</v>
      </c>
      <c r="AH48" s="11" t="str">
        <f>IF(I48&lt;&gt;"",VLOOKUP(AP48,KvB!$A$2:$B$3,2,FALSE),"")</f>
        <v>BE101000</v>
      </c>
      <c r="AI48" s="11" t="s">
        <v>55</v>
      </c>
      <c r="AJ48" s="11"/>
      <c r="AK48" s="11"/>
      <c r="AL48" s="11"/>
      <c r="AM48" s="11"/>
      <c r="AN48" s="11"/>
      <c r="AO48" s="11"/>
      <c r="AP48" s="2" t="s">
        <v>70</v>
      </c>
      <c r="AQ48" s="11" t="str">
        <f>IF(I48&lt;&gt;"",DATA!D47,"")</f>
        <v>7610909095</v>
      </c>
    </row>
    <row r="49" spans="1:43" ht="15.75" x14ac:dyDescent="0.25">
      <c r="A49" s="11" t="s">
        <v>57</v>
      </c>
      <c r="B49" s="11" t="s">
        <v>56</v>
      </c>
      <c r="C49" s="22">
        <f t="shared" si="3"/>
        <v>25001620</v>
      </c>
      <c r="D49" s="11" t="str">
        <f t="shared" si="4"/>
        <v>SKIIFM_AT</v>
      </c>
      <c r="E49" s="11" t="str">
        <f>IF(I49&lt;&gt;"",VLOOKUP(F49,OPDRACHTGEVER!$A$2:$B$4,2,FALSE),"")</f>
        <v>SKIIFM_AT</v>
      </c>
      <c r="F49" s="11" t="s">
        <v>58</v>
      </c>
      <c r="I49" s="11" t="str">
        <f>IF(DATA!B48&lt;&gt;"",DATA!B48,"")</f>
        <v>MSMU8568605</v>
      </c>
      <c r="J49" s="12">
        <v>0</v>
      </c>
      <c r="K49" s="11" t="s">
        <v>53</v>
      </c>
      <c r="L49" s="11" t="str">
        <f t="shared" si="5"/>
        <v>391890</v>
      </c>
      <c r="M49" s="11" t="str">
        <f>IF(I49&lt;&gt;"",DATA!E48,"")</f>
        <v>CARPET</v>
      </c>
      <c r="N49" s="12">
        <v>0</v>
      </c>
      <c r="O49" s="11">
        <f>IF(I49&lt;&gt;"",DATA!C48,"")</f>
        <v>80.599999999999994</v>
      </c>
      <c r="P49" s="2">
        <v>294094</v>
      </c>
      <c r="Q49" s="2" t="s">
        <v>1304</v>
      </c>
      <c r="R49" s="2" t="s">
        <v>1306</v>
      </c>
      <c r="S49" s="2">
        <v>221</v>
      </c>
      <c r="T49" s="2">
        <v>1</v>
      </c>
      <c r="U49" s="2" t="s">
        <v>141</v>
      </c>
      <c r="Y49" s="2">
        <v>1700</v>
      </c>
      <c r="Z49" s="11" t="s">
        <v>54</v>
      </c>
      <c r="AA49" s="11" t="str">
        <f t="shared" si="6"/>
        <v>1700 - TBN</v>
      </c>
      <c r="AC49" s="2" t="s">
        <v>145</v>
      </c>
      <c r="AD49" s="11" t="str">
        <f>IF($I49&lt;&gt;"",VLOOKUP($AC49,GEADRESSEERDE!$A$2:$E$4,2,),"")</f>
        <v>LUITHAGEN HAVEN 2 D</v>
      </c>
      <c r="AE49" s="11">
        <f>IF($I49&lt;&gt;"",VLOOKUP($AC49,GEADRESSEERDE!$A$2:$E$4,3,),"")</f>
        <v>2030</v>
      </c>
      <c r="AF49" s="11" t="str">
        <f>IF($I49&lt;&gt;"",VLOOKUP($AC49,GEADRESSEERDE!$A$2:$E$4,4,),"")</f>
        <v>ANTWERPEN</v>
      </c>
      <c r="AG49" s="11" t="str">
        <f>IF($I49&lt;&gt;"",VLOOKUP($AC49,GEADRESSEERDE!$A$2:$E$4,5,),"")</f>
        <v>BE</v>
      </c>
      <c r="AH49" s="11" t="str">
        <f>IF(I49&lt;&gt;"",VLOOKUP(AP49,KvB!$A$2:$B$3,2,FALSE),"")</f>
        <v>BE101000</v>
      </c>
      <c r="AI49" s="11" t="s">
        <v>55</v>
      </c>
      <c r="AJ49" s="11"/>
      <c r="AK49" s="11"/>
      <c r="AL49" s="11"/>
      <c r="AM49" s="11"/>
      <c r="AN49" s="11"/>
      <c r="AO49" s="11"/>
      <c r="AP49" s="2" t="s">
        <v>70</v>
      </c>
      <c r="AQ49" s="11" t="str">
        <f>IF(I49&lt;&gt;"",DATA!D48,"")</f>
        <v>3918900090</v>
      </c>
    </row>
    <row r="50" spans="1:43" ht="15.75" x14ac:dyDescent="0.25">
      <c r="A50" s="11" t="s">
        <v>57</v>
      </c>
      <c r="B50" s="11" t="s">
        <v>56</v>
      </c>
      <c r="C50" s="22">
        <f t="shared" si="3"/>
        <v>25001620</v>
      </c>
      <c r="D50" s="11" t="str">
        <f t="shared" si="4"/>
        <v>SKIIFM_AT</v>
      </c>
      <c r="E50" s="11" t="str">
        <f>IF(I50&lt;&gt;"",VLOOKUP(F50,OPDRACHTGEVER!$A$2:$B$4,2,FALSE),"")</f>
        <v>SKIIFM_AT</v>
      </c>
      <c r="F50" s="11" t="s">
        <v>58</v>
      </c>
      <c r="I50" s="11" t="str">
        <f>IF(DATA!B49&lt;&gt;"",DATA!B49,"")</f>
        <v>MSMU8568605</v>
      </c>
      <c r="J50" s="12">
        <v>0</v>
      </c>
      <c r="K50" s="11" t="s">
        <v>53</v>
      </c>
      <c r="L50" s="11" t="str">
        <f t="shared" si="5"/>
        <v>841370</v>
      </c>
      <c r="M50" s="11" t="str">
        <f>IF(I50&lt;&gt;"",DATA!E49,"")</f>
        <v>CENTRIFUGAL PUMP</v>
      </c>
      <c r="N50" s="12">
        <v>0</v>
      </c>
      <c r="O50" s="11">
        <f>IF(I50&lt;&gt;"",DATA!C49,"")</f>
        <v>105.3</v>
      </c>
      <c r="P50" s="2">
        <v>294094</v>
      </c>
      <c r="Q50" s="2" t="s">
        <v>1304</v>
      </c>
      <c r="R50" s="2" t="s">
        <v>1306</v>
      </c>
      <c r="S50" s="2">
        <v>221</v>
      </c>
      <c r="T50" s="2">
        <v>1</v>
      </c>
      <c r="U50" s="2" t="s">
        <v>141</v>
      </c>
      <c r="Y50" s="2">
        <v>1700</v>
      </c>
      <c r="Z50" s="11" t="s">
        <v>54</v>
      </c>
      <c r="AA50" s="11" t="str">
        <f t="shared" si="6"/>
        <v>1700 - TBN</v>
      </c>
      <c r="AC50" s="2" t="s">
        <v>145</v>
      </c>
      <c r="AD50" s="11" t="str">
        <f>IF($I50&lt;&gt;"",VLOOKUP($AC50,GEADRESSEERDE!$A$2:$E$4,2,),"")</f>
        <v>LUITHAGEN HAVEN 2 D</v>
      </c>
      <c r="AE50" s="11">
        <f>IF($I50&lt;&gt;"",VLOOKUP($AC50,GEADRESSEERDE!$A$2:$E$4,3,),"")</f>
        <v>2030</v>
      </c>
      <c r="AF50" s="11" t="str">
        <f>IF($I50&lt;&gt;"",VLOOKUP($AC50,GEADRESSEERDE!$A$2:$E$4,4,),"")</f>
        <v>ANTWERPEN</v>
      </c>
      <c r="AG50" s="11" t="str">
        <f>IF($I50&lt;&gt;"",VLOOKUP($AC50,GEADRESSEERDE!$A$2:$E$4,5,),"")</f>
        <v>BE</v>
      </c>
      <c r="AH50" s="11" t="str">
        <f>IF(I50&lt;&gt;"",VLOOKUP(AP50,KvB!$A$2:$B$3,2,FALSE),"")</f>
        <v>BE101000</v>
      </c>
      <c r="AI50" s="11" t="s">
        <v>55</v>
      </c>
      <c r="AJ50" s="11"/>
      <c r="AK50" s="11"/>
      <c r="AL50" s="11"/>
      <c r="AM50" s="11"/>
      <c r="AN50" s="11"/>
      <c r="AO50" s="11"/>
      <c r="AP50" s="2" t="s">
        <v>70</v>
      </c>
      <c r="AQ50" s="11" t="str">
        <f>IF(I50&lt;&gt;"",DATA!D49,"")</f>
        <v>8413708990</v>
      </c>
    </row>
    <row r="51" spans="1:43" ht="15.75" x14ac:dyDescent="0.25">
      <c r="A51" s="11" t="s">
        <v>57</v>
      </c>
      <c r="B51" s="11" t="s">
        <v>56</v>
      </c>
      <c r="C51" s="22">
        <f t="shared" si="3"/>
        <v>25001620</v>
      </c>
      <c r="D51" s="11" t="str">
        <f t="shared" si="4"/>
        <v>SKIIFM_AT</v>
      </c>
      <c r="E51" s="11" t="str">
        <f>IF(I51&lt;&gt;"",VLOOKUP(F51,OPDRACHTGEVER!$A$2:$B$4,2,FALSE),"")</f>
        <v>SKIIFM_AT</v>
      </c>
      <c r="F51" s="11" t="s">
        <v>58</v>
      </c>
      <c r="I51" s="11" t="str">
        <f>IF(DATA!B50&lt;&gt;"",DATA!B50,"")</f>
        <v>MSMU8568605</v>
      </c>
      <c r="J51" s="12">
        <v>0</v>
      </c>
      <c r="K51" s="11" t="s">
        <v>53</v>
      </c>
      <c r="L51" s="11" t="str">
        <f t="shared" si="5"/>
        <v>845959</v>
      </c>
      <c r="M51" s="11" t="str">
        <f>IF(I51&lt;&gt;"",DATA!E50,"")</f>
        <v>CHAIN SAW BRACKET</v>
      </c>
      <c r="N51" s="12">
        <v>0</v>
      </c>
      <c r="O51" s="11">
        <f>IF(I51&lt;&gt;"",DATA!C50,"")</f>
        <v>42.55</v>
      </c>
      <c r="P51" s="2">
        <v>294094</v>
      </c>
      <c r="Q51" s="2" t="s">
        <v>1304</v>
      </c>
      <c r="R51" s="2" t="s">
        <v>1306</v>
      </c>
      <c r="S51" s="2">
        <v>221</v>
      </c>
      <c r="T51" s="2">
        <v>1</v>
      </c>
      <c r="U51" s="2" t="s">
        <v>141</v>
      </c>
      <c r="Y51" s="2">
        <v>1700</v>
      </c>
      <c r="Z51" s="11" t="s">
        <v>54</v>
      </c>
      <c r="AA51" s="11" t="str">
        <f t="shared" si="6"/>
        <v>1700 - TBN</v>
      </c>
      <c r="AC51" s="2" t="s">
        <v>145</v>
      </c>
      <c r="AD51" s="11" t="str">
        <f>IF($I51&lt;&gt;"",VLOOKUP($AC51,GEADRESSEERDE!$A$2:$E$4,2,),"")</f>
        <v>LUITHAGEN HAVEN 2 D</v>
      </c>
      <c r="AE51" s="11">
        <f>IF($I51&lt;&gt;"",VLOOKUP($AC51,GEADRESSEERDE!$A$2:$E$4,3,),"")</f>
        <v>2030</v>
      </c>
      <c r="AF51" s="11" t="str">
        <f>IF($I51&lt;&gt;"",VLOOKUP($AC51,GEADRESSEERDE!$A$2:$E$4,4,),"")</f>
        <v>ANTWERPEN</v>
      </c>
      <c r="AG51" s="11" t="str">
        <f>IF($I51&lt;&gt;"",VLOOKUP($AC51,GEADRESSEERDE!$A$2:$E$4,5,),"")</f>
        <v>BE</v>
      </c>
      <c r="AH51" s="11" t="str">
        <f>IF(I51&lt;&gt;"",VLOOKUP(AP51,KvB!$A$2:$B$3,2,FALSE),"")</f>
        <v>BE101000</v>
      </c>
      <c r="AI51" s="11" t="s">
        <v>55</v>
      </c>
      <c r="AJ51" s="11"/>
      <c r="AK51" s="11"/>
      <c r="AL51" s="11"/>
      <c r="AM51" s="11"/>
      <c r="AN51" s="11"/>
      <c r="AO51" s="11"/>
      <c r="AP51" s="2" t="s">
        <v>70</v>
      </c>
      <c r="AQ51" s="11" t="str">
        <f>IF(I51&lt;&gt;"",DATA!D50,"")</f>
        <v>8459590000</v>
      </c>
    </row>
    <row r="52" spans="1:43" ht="15.75" x14ac:dyDescent="0.25">
      <c r="A52" s="11" t="s">
        <v>57</v>
      </c>
      <c r="B52" s="11" t="s">
        <v>56</v>
      </c>
      <c r="C52" s="22">
        <f t="shared" si="3"/>
        <v>25001620</v>
      </c>
      <c r="D52" s="11" t="str">
        <f t="shared" ref="D52:D115" si="7">E52</f>
        <v>SKIIFM_AT</v>
      </c>
      <c r="E52" s="11" t="str">
        <f>IF(I52&lt;&gt;"",VLOOKUP(F52,OPDRACHTGEVER!$A$2:$B$4,2,FALSE),"")</f>
        <v>SKIIFM_AT</v>
      </c>
      <c r="F52" s="11" t="s">
        <v>58</v>
      </c>
      <c r="I52" s="11" t="str">
        <f>IF(DATA!B51&lt;&gt;"",DATA!B51,"")</f>
        <v>MSMU8568605</v>
      </c>
      <c r="J52" s="12">
        <v>0</v>
      </c>
      <c r="K52" s="11" t="s">
        <v>53</v>
      </c>
      <c r="L52" s="11" t="str">
        <f t="shared" ref="L52:L115" si="8">LEFT(AQ52,6)</f>
        <v>950300</v>
      </c>
      <c r="M52" s="11" t="str">
        <f>IF(I52&lt;&gt;"",DATA!E51,"")</f>
        <v>CHILDREN'S ROCKING HORSE</v>
      </c>
      <c r="N52" s="12">
        <v>0</v>
      </c>
      <c r="O52" s="11">
        <f>IF(I52&lt;&gt;"",DATA!C51,"")</f>
        <v>12.4</v>
      </c>
      <c r="P52" s="2">
        <v>294094</v>
      </c>
      <c r="Q52" s="2" t="s">
        <v>1304</v>
      </c>
      <c r="R52" s="2" t="s">
        <v>1306</v>
      </c>
      <c r="S52" s="2">
        <v>221</v>
      </c>
      <c r="T52" s="2">
        <v>1</v>
      </c>
      <c r="U52" s="2" t="s">
        <v>141</v>
      </c>
      <c r="Y52" s="2">
        <v>1700</v>
      </c>
      <c r="Z52" s="11" t="s">
        <v>54</v>
      </c>
      <c r="AA52" s="11" t="str">
        <f t="shared" ref="AA52:AA115" si="9">IF(I52&lt;&gt;"",Y52&amp;" - "&amp;Z52,"")</f>
        <v>1700 - TBN</v>
      </c>
      <c r="AC52" s="2" t="s">
        <v>145</v>
      </c>
      <c r="AD52" s="11" t="str">
        <f>IF($I52&lt;&gt;"",VLOOKUP($AC52,GEADRESSEERDE!$A$2:$E$4,2,),"")</f>
        <v>LUITHAGEN HAVEN 2 D</v>
      </c>
      <c r="AE52" s="11">
        <f>IF($I52&lt;&gt;"",VLOOKUP($AC52,GEADRESSEERDE!$A$2:$E$4,3,),"")</f>
        <v>2030</v>
      </c>
      <c r="AF52" s="11" t="str">
        <f>IF($I52&lt;&gt;"",VLOOKUP($AC52,GEADRESSEERDE!$A$2:$E$4,4,),"")</f>
        <v>ANTWERPEN</v>
      </c>
      <c r="AG52" s="11" t="str">
        <f>IF($I52&lt;&gt;"",VLOOKUP($AC52,GEADRESSEERDE!$A$2:$E$4,5,),"")</f>
        <v>BE</v>
      </c>
      <c r="AH52" s="11" t="str">
        <f>IF(I52&lt;&gt;"",VLOOKUP(AP52,KvB!$A$2:$B$3,2,FALSE),"")</f>
        <v>BE101000</v>
      </c>
      <c r="AI52" s="11" t="s">
        <v>55</v>
      </c>
      <c r="AJ52" s="11"/>
      <c r="AK52" s="11"/>
      <c r="AL52" s="11"/>
      <c r="AM52" s="11"/>
      <c r="AN52" s="11"/>
      <c r="AO52" s="11"/>
      <c r="AP52" s="2" t="s">
        <v>70</v>
      </c>
      <c r="AQ52" s="11" t="str">
        <f>IF(I52&lt;&gt;"",DATA!D51,"")</f>
        <v>9503008190</v>
      </c>
    </row>
    <row r="53" spans="1:43" ht="15.75" x14ac:dyDescent="0.25">
      <c r="A53" s="11" t="s">
        <v>57</v>
      </c>
      <c r="B53" s="11" t="s">
        <v>56</v>
      </c>
      <c r="C53" s="22">
        <f t="shared" si="3"/>
        <v>25001620</v>
      </c>
      <c r="D53" s="11" t="str">
        <f t="shared" si="7"/>
        <v>SKIIFM_AT</v>
      </c>
      <c r="E53" s="11" t="str">
        <f>IF(I53&lt;&gt;"",VLOOKUP(F53,OPDRACHTGEVER!$A$2:$B$4,2,FALSE),"")</f>
        <v>SKIIFM_AT</v>
      </c>
      <c r="F53" s="11" t="s">
        <v>58</v>
      </c>
      <c r="I53" s="11" t="str">
        <f>IF(DATA!B52&lt;&gt;"",DATA!B52,"")</f>
        <v>MSMU8568605</v>
      </c>
      <c r="J53" s="12">
        <v>0</v>
      </c>
      <c r="K53" s="11" t="s">
        <v>53</v>
      </c>
      <c r="L53" s="11" t="str">
        <f t="shared" si="8"/>
        <v>950490</v>
      </c>
      <c r="M53" s="11" t="str">
        <f>IF(I53&lt;&gt;"",DATA!E52,"")</f>
        <v>CHIP SET</v>
      </c>
      <c r="N53" s="12">
        <v>0</v>
      </c>
      <c r="O53" s="11">
        <f>IF(I53&lt;&gt;"",DATA!C52,"")</f>
        <v>82.8</v>
      </c>
      <c r="P53" s="2">
        <v>294094</v>
      </c>
      <c r="Q53" s="2" t="s">
        <v>1304</v>
      </c>
      <c r="R53" s="2" t="s">
        <v>1306</v>
      </c>
      <c r="S53" s="2">
        <v>221</v>
      </c>
      <c r="T53" s="2">
        <v>1</v>
      </c>
      <c r="U53" s="2" t="s">
        <v>141</v>
      </c>
      <c r="Y53" s="2">
        <v>1700</v>
      </c>
      <c r="Z53" s="11" t="s">
        <v>54</v>
      </c>
      <c r="AA53" s="11" t="str">
        <f t="shared" si="9"/>
        <v>1700 - TBN</v>
      </c>
      <c r="AC53" s="2" t="s">
        <v>145</v>
      </c>
      <c r="AD53" s="11" t="str">
        <f>IF($I53&lt;&gt;"",VLOOKUP($AC53,GEADRESSEERDE!$A$2:$E$4,2,),"")</f>
        <v>LUITHAGEN HAVEN 2 D</v>
      </c>
      <c r="AE53" s="11">
        <f>IF($I53&lt;&gt;"",VLOOKUP($AC53,GEADRESSEERDE!$A$2:$E$4,3,),"")</f>
        <v>2030</v>
      </c>
      <c r="AF53" s="11" t="str">
        <f>IF($I53&lt;&gt;"",VLOOKUP($AC53,GEADRESSEERDE!$A$2:$E$4,4,),"")</f>
        <v>ANTWERPEN</v>
      </c>
      <c r="AG53" s="11" t="str">
        <f>IF($I53&lt;&gt;"",VLOOKUP($AC53,GEADRESSEERDE!$A$2:$E$4,5,),"")</f>
        <v>BE</v>
      </c>
      <c r="AH53" s="11" t="str">
        <f>IF(I53&lt;&gt;"",VLOOKUP(AP53,KvB!$A$2:$B$3,2,FALSE),"")</f>
        <v>BE101000</v>
      </c>
      <c r="AI53" s="11" t="s">
        <v>55</v>
      </c>
      <c r="AJ53" s="11"/>
      <c r="AK53" s="11"/>
      <c r="AL53" s="11"/>
      <c r="AM53" s="11"/>
      <c r="AN53" s="11"/>
      <c r="AO53" s="11"/>
      <c r="AP53" s="2" t="s">
        <v>70</v>
      </c>
      <c r="AQ53" s="11" t="str">
        <f>IF(I53&lt;&gt;"",DATA!D52,"")</f>
        <v>9504908000</v>
      </c>
    </row>
    <row r="54" spans="1:43" ht="15.75" x14ac:dyDescent="0.25">
      <c r="A54" s="11" t="s">
        <v>57</v>
      </c>
      <c r="B54" s="11" t="s">
        <v>56</v>
      </c>
      <c r="C54" s="22">
        <f t="shared" si="3"/>
        <v>25001620</v>
      </c>
      <c r="D54" s="11" t="str">
        <f t="shared" si="7"/>
        <v>SKIIFM_AT</v>
      </c>
      <c r="E54" s="11" t="str">
        <f>IF(I54&lt;&gt;"",VLOOKUP(F54,OPDRACHTGEVER!$A$2:$B$4,2,FALSE),"")</f>
        <v>SKIIFM_AT</v>
      </c>
      <c r="F54" s="11" t="s">
        <v>58</v>
      </c>
      <c r="I54" s="11" t="str">
        <f>IF(DATA!B53&lt;&gt;"",DATA!B53,"")</f>
        <v>MSMU8568605</v>
      </c>
      <c r="J54" s="12">
        <v>0</v>
      </c>
      <c r="K54" s="11" t="s">
        <v>53</v>
      </c>
      <c r="L54" s="11" t="str">
        <f t="shared" si="8"/>
        <v>846693</v>
      </c>
      <c r="M54" s="11" t="str">
        <f>IF(I54&lt;&gt;"",DATA!E53,"")</f>
        <v>CNC ROUTER RAIL</v>
      </c>
      <c r="N54" s="12">
        <v>0</v>
      </c>
      <c r="O54" s="11">
        <f>IF(I54&lt;&gt;"",DATA!C53,"")</f>
        <v>1002.8</v>
      </c>
      <c r="P54" s="2">
        <v>294094</v>
      </c>
      <c r="Q54" s="2" t="s">
        <v>1304</v>
      </c>
      <c r="R54" s="2" t="s">
        <v>1306</v>
      </c>
      <c r="S54" s="2">
        <v>221</v>
      </c>
      <c r="T54" s="2">
        <v>1</v>
      </c>
      <c r="U54" s="2" t="s">
        <v>141</v>
      </c>
      <c r="Y54" s="2">
        <v>1700</v>
      </c>
      <c r="Z54" s="11" t="s">
        <v>54</v>
      </c>
      <c r="AA54" s="11" t="str">
        <f t="shared" si="9"/>
        <v>1700 - TBN</v>
      </c>
      <c r="AC54" s="2" t="s">
        <v>145</v>
      </c>
      <c r="AD54" s="11" t="str">
        <f>IF($I54&lt;&gt;"",VLOOKUP($AC54,GEADRESSEERDE!$A$2:$E$4,2,),"")</f>
        <v>LUITHAGEN HAVEN 2 D</v>
      </c>
      <c r="AE54" s="11">
        <f>IF($I54&lt;&gt;"",VLOOKUP($AC54,GEADRESSEERDE!$A$2:$E$4,3,),"")</f>
        <v>2030</v>
      </c>
      <c r="AF54" s="11" t="str">
        <f>IF($I54&lt;&gt;"",VLOOKUP($AC54,GEADRESSEERDE!$A$2:$E$4,4,),"")</f>
        <v>ANTWERPEN</v>
      </c>
      <c r="AG54" s="11" t="str">
        <f>IF($I54&lt;&gt;"",VLOOKUP($AC54,GEADRESSEERDE!$A$2:$E$4,5,),"")</f>
        <v>BE</v>
      </c>
      <c r="AH54" s="11" t="str">
        <f>IF(I54&lt;&gt;"",VLOOKUP(AP54,KvB!$A$2:$B$3,2,FALSE),"")</f>
        <v>BE101000</v>
      </c>
      <c r="AI54" s="11" t="s">
        <v>55</v>
      </c>
      <c r="AJ54" s="11"/>
      <c r="AK54" s="11"/>
      <c r="AL54" s="11"/>
      <c r="AM54" s="11"/>
      <c r="AN54" s="11"/>
      <c r="AO54" s="11"/>
      <c r="AP54" s="2" t="s">
        <v>70</v>
      </c>
      <c r="AQ54" s="11" t="str">
        <f>IF(I54&lt;&gt;"",DATA!D53,"")</f>
        <v>8466934000</v>
      </c>
    </row>
    <row r="55" spans="1:43" ht="15.75" x14ac:dyDescent="0.25">
      <c r="A55" s="11" t="s">
        <v>57</v>
      </c>
      <c r="B55" s="11" t="s">
        <v>56</v>
      </c>
      <c r="C55" s="22">
        <f t="shared" si="3"/>
        <v>25001620</v>
      </c>
      <c r="D55" s="11" t="str">
        <f t="shared" si="7"/>
        <v>SKIIFM_AT</v>
      </c>
      <c r="E55" s="11" t="str">
        <f>IF(I55&lt;&gt;"",VLOOKUP(F55,OPDRACHTGEVER!$A$2:$B$4,2,FALSE),"")</f>
        <v>SKIIFM_AT</v>
      </c>
      <c r="F55" s="11" t="s">
        <v>58</v>
      </c>
      <c r="I55" s="11" t="str">
        <f>IF(DATA!B54&lt;&gt;"",DATA!B54,"")</f>
        <v>MSMU8568605</v>
      </c>
      <c r="J55" s="12">
        <v>0</v>
      </c>
      <c r="K55" s="11" t="s">
        <v>53</v>
      </c>
      <c r="L55" s="11" t="str">
        <f t="shared" si="8"/>
        <v>401691</v>
      </c>
      <c r="M55" s="11" t="str">
        <f>IF(I55&lt;&gt;"",DATA!E54,"")</f>
        <v>DECELERATION RAMP</v>
      </c>
      <c r="N55" s="12">
        <v>0</v>
      </c>
      <c r="O55" s="11">
        <f>IF(I55&lt;&gt;"",DATA!C54,"")</f>
        <v>26.4</v>
      </c>
      <c r="P55" s="2">
        <v>294094</v>
      </c>
      <c r="Q55" s="2" t="s">
        <v>1304</v>
      </c>
      <c r="R55" s="2" t="s">
        <v>1306</v>
      </c>
      <c r="S55" s="2">
        <v>221</v>
      </c>
      <c r="T55" s="2">
        <v>1</v>
      </c>
      <c r="U55" s="2" t="s">
        <v>141</v>
      </c>
      <c r="Y55" s="2">
        <v>1700</v>
      </c>
      <c r="Z55" s="11" t="s">
        <v>54</v>
      </c>
      <c r="AA55" s="11" t="str">
        <f t="shared" si="9"/>
        <v>1700 - TBN</v>
      </c>
      <c r="AC55" s="2" t="s">
        <v>145</v>
      </c>
      <c r="AD55" s="11" t="str">
        <f>IF($I55&lt;&gt;"",VLOOKUP($AC55,GEADRESSEERDE!$A$2:$E$4,2,),"")</f>
        <v>LUITHAGEN HAVEN 2 D</v>
      </c>
      <c r="AE55" s="11">
        <f>IF($I55&lt;&gt;"",VLOOKUP($AC55,GEADRESSEERDE!$A$2:$E$4,3,),"")</f>
        <v>2030</v>
      </c>
      <c r="AF55" s="11" t="str">
        <f>IF($I55&lt;&gt;"",VLOOKUP($AC55,GEADRESSEERDE!$A$2:$E$4,4,),"")</f>
        <v>ANTWERPEN</v>
      </c>
      <c r="AG55" s="11" t="str">
        <f>IF($I55&lt;&gt;"",VLOOKUP($AC55,GEADRESSEERDE!$A$2:$E$4,5,),"")</f>
        <v>BE</v>
      </c>
      <c r="AH55" s="11" t="str">
        <f>IF(I55&lt;&gt;"",VLOOKUP(AP55,KvB!$A$2:$B$3,2,FALSE),"")</f>
        <v>BE101000</v>
      </c>
      <c r="AI55" s="11" t="s">
        <v>55</v>
      </c>
      <c r="AJ55" s="11"/>
      <c r="AK55" s="11"/>
      <c r="AL55" s="11"/>
      <c r="AM55" s="11"/>
      <c r="AN55" s="11"/>
      <c r="AO55" s="11"/>
      <c r="AP55" s="2" t="s">
        <v>70</v>
      </c>
      <c r="AQ55" s="11" t="str">
        <f>IF(I55&lt;&gt;"",DATA!D54,"")</f>
        <v>4016910000</v>
      </c>
    </row>
    <row r="56" spans="1:43" ht="15.75" x14ac:dyDescent="0.25">
      <c r="A56" s="11" t="s">
        <v>57</v>
      </c>
      <c r="B56" s="11" t="s">
        <v>56</v>
      </c>
      <c r="C56" s="22">
        <f t="shared" si="3"/>
        <v>25001620</v>
      </c>
      <c r="D56" s="11" t="str">
        <f t="shared" si="7"/>
        <v>SKIIFM_AT</v>
      </c>
      <c r="E56" s="11" t="str">
        <f>IF(I56&lt;&gt;"",VLOOKUP(F56,OPDRACHTGEVER!$A$2:$B$4,2,FALSE),"")</f>
        <v>SKIIFM_AT</v>
      </c>
      <c r="F56" s="11" t="s">
        <v>58</v>
      </c>
      <c r="I56" s="11" t="str">
        <f>IF(DATA!B55&lt;&gt;"",DATA!B55,"")</f>
        <v>MSMU8568605</v>
      </c>
      <c r="J56" s="12">
        <v>0</v>
      </c>
      <c r="K56" s="11" t="s">
        <v>53</v>
      </c>
      <c r="L56" s="11" t="str">
        <f t="shared" si="8"/>
        <v>846721</v>
      </c>
      <c r="M56" s="11" t="str">
        <f>IF(I56&lt;&gt;"",DATA!E55,"")</f>
        <v>DRILLING MACHINE</v>
      </c>
      <c r="N56" s="12">
        <v>0</v>
      </c>
      <c r="O56" s="11">
        <f>IF(I56&lt;&gt;"",DATA!C55,"")</f>
        <v>84.5</v>
      </c>
      <c r="P56" s="2">
        <v>294094</v>
      </c>
      <c r="Q56" s="2" t="s">
        <v>1304</v>
      </c>
      <c r="R56" s="2" t="s">
        <v>1306</v>
      </c>
      <c r="S56" s="2">
        <v>221</v>
      </c>
      <c r="T56" s="2">
        <v>1</v>
      </c>
      <c r="U56" s="2" t="s">
        <v>141</v>
      </c>
      <c r="Y56" s="2">
        <v>1700</v>
      </c>
      <c r="Z56" s="11" t="s">
        <v>54</v>
      </c>
      <c r="AA56" s="11" t="str">
        <f t="shared" si="9"/>
        <v>1700 - TBN</v>
      </c>
      <c r="AC56" s="2" t="s">
        <v>145</v>
      </c>
      <c r="AD56" s="11" t="str">
        <f>IF($I56&lt;&gt;"",VLOOKUP($AC56,GEADRESSEERDE!$A$2:$E$4,2,),"")</f>
        <v>LUITHAGEN HAVEN 2 D</v>
      </c>
      <c r="AE56" s="11">
        <f>IF($I56&lt;&gt;"",VLOOKUP($AC56,GEADRESSEERDE!$A$2:$E$4,3,),"")</f>
        <v>2030</v>
      </c>
      <c r="AF56" s="11" t="str">
        <f>IF($I56&lt;&gt;"",VLOOKUP($AC56,GEADRESSEERDE!$A$2:$E$4,4,),"")</f>
        <v>ANTWERPEN</v>
      </c>
      <c r="AG56" s="11" t="str">
        <f>IF($I56&lt;&gt;"",VLOOKUP($AC56,GEADRESSEERDE!$A$2:$E$4,5,),"")</f>
        <v>BE</v>
      </c>
      <c r="AH56" s="11" t="str">
        <f>IF(I56&lt;&gt;"",VLOOKUP(AP56,KvB!$A$2:$B$3,2,FALSE),"")</f>
        <v>BE101000</v>
      </c>
      <c r="AI56" s="11" t="s">
        <v>55</v>
      </c>
      <c r="AJ56" s="11"/>
      <c r="AK56" s="11"/>
      <c r="AL56" s="11"/>
      <c r="AM56" s="11"/>
      <c r="AN56" s="11"/>
      <c r="AO56" s="11"/>
      <c r="AP56" s="2" t="s">
        <v>70</v>
      </c>
      <c r="AQ56" s="11" t="str">
        <f>IF(I56&lt;&gt;"",DATA!D55,"")</f>
        <v>8467219900</v>
      </c>
    </row>
    <row r="57" spans="1:43" ht="15.75" x14ac:dyDescent="0.25">
      <c r="A57" s="11" t="s">
        <v>57</v>
      </c>
      <c r="B57" s="11" t="s">
        <v>56</v>
      </c>
      <c r="C57" s="22">
        <f t="shared" si="3"/>
        <v>25001620</v>
      </c>
      <c r="D57" s="11" t="str">
        <f t="shared" si="7"/>
        <v>SKIIFM_AT</v>
      </c>
      <c r="E57" s="11" t="str">
        <f>IF(I57&lt;&gt;"",VLOOKUP(F57,OPDRACHTGEVER!$A$2:$B$4,2,FALSE),"")</f>
        <v>SKIIFM_AT</v>
      </c>
      <c r="F57" s="11" t="s">
        <v>58</v>
      </c>
      <c r="I57" s="11" t="str">
        <f>IF(DATA!B56&lt;&gt;"",DATA!B56,"")</f>
        <v>MSMU8568605</v>
      </c>
      <c r="J57" s="12">
        <v>0</v>
      </c>
      <c r="K57" s="11" t="s">
        <v>53</v>
      </c>
      <c r="L57" s="11" t="str">
        <f t="shared" si="8"/>
        <v>820750</v>
      </c>
      <c r="M57" s="11" t="str">
        <f>IF(I57&lt;&gt;"",DATA!E56,"")</f>
        <v>DRILLING TOOL</v>
      </c>
      <c r="N57" s="12">
        <v>0</v>
      </c>
      <c r="O57" s="11">
        <f>IF(I57&lt;&gt;"",DATA!C56,"")</f>
        <v>55.9</v>
      </c>
      <c r="P57" s="2">
        <v>294094</v>
      </c>
      <c r="Q57" s="2" t="s">
        <v>1304</v>
      </c>
      <c r="R57" s="2" t="s">
        <v>1306</v>
      </c>
      <c r="S57" s="2">
        <v>221</v>
      </c>
      <c r="T57" s="2">
        <v>1</v>
      </c>
      <c r="U57" s="2" t="s">
        <v>141</v>
      </c>
      <c r="Y57" s="2">
        <v>1700</v>
      </c>
      <c r="Z57" s="11" t="s">
        <v>54</v>
      </c>
      <c r="AA57" s="11" t="str">
        <f t="shared" si="9"/>
        <v>1700 - TBN</v>
      </c>
      <c r="AC57" s="2" t="s">
        <v>145</v>
      </c>
      <c r="AD57" s="11" t="str">
        <f>IF($I57&lt;&gt;"",VLOOKUP($AC57,GEADRESSEERDE!$A$2:$E$4,2,),"")</f>
        <v>LUITHAGEN HAVEN 2 D</v>
      </c>
      <c r="AE57" s="11">
        <f>IF($I57&lt;&gt;"",VLOOKUP($AC57,GEADRESSEERDE!$A$2:$E$4,3,),"")</f>
        <v>2030</v>
      </c>
      <c r="AF57" s="11" t="str">
        <f>IF($I57&lt;&gt;"",VLOOKUP($AC57,GEADRESSEERDE!$A$2:$E$4,4,),"")</f>
        <v>ANTWERPEN</v>
      </c>
      <c r="AG57" s="11" t="str">
        <f>IF($I57&lt;&gt;"",VLOOKUP($AC57,GEADRESSEERDE!$A$2:$E$4,5,),"")</f>
        <v>BE</v>
      </c>
      <c r="AH57" s="11" t="str">
        <f>IF(I57&lt;&gt;"",VLOOKUP(AP57,KvB!$A$2:$B$3,2,FALSE),"")</f>
        <v>BE101000</v>
      </c>
      <c r="AI57" s="11" t="s">
        <v>55</v>
      </c>
      <c r="AJ57" s="11"/>
      <c r="AK57" s="11"/>
      <c r="AL57" s="11"/>
      <c r="AM57" s="11"/>
      <c r="AN57" s="11"/>
      <c r="AO57" s="11"/>
      <c r="AP57" s="2" t="s">
        <v>70</v>
      </c>
      <c r="AQ57" s="11" t="str">
        <f>IF(I57&lt;&gt;"",DATA!D56,"")</f>
        <v>8207509000</v>
      </c>
    </row>
    <row r="58" spans="1:43" ht="15.75" x14ac:dyDescent="0.25">
      <c r="A58" s="11" t="s">
        <v>57</v>
      </c>
      <c r="B58" s="11" t="s">
        <v>56</v>
      </c>
      <c r="C58" s="22">
        <f t="shared" si="3"/>
        <v>25001620</v>
      </c>
      <c r="D58" s="11" t="str">
        <f t="shared" si="7"/>
        <v>SKIIFM_AT</v>
      </c>
      <c r="E58" s="11" t="str">
        <f>IF(I58&lt;&gt;"",VLOOKUP(F58,OPDRACHTGEVER!$A$2:$B$4,2,FALSE),"")</f>
        <v>SKIIFM_AT</v>
      </c>
      <c r="F58" s="11" t="s">
        <v>58</v>
      </c>
      <c r="I58" s="11" t="str">
        <f>IF(DATA!B57&lt;&gt;"",DATA!B57,"")</f>
        <v>MSMU8568605</v>
      </c>
      <c r="J58" s="12">
        <v>0</v>
      </c>
      <c r="K58" s="11" t="s">
        <v>53</v>
      </c>
      <c r="L58" s="11" t="str">
        <f t="shared" si="8"/>
        <v>842549</v>
      </c>
      <c r="M58" s="11" t="str">
        <f>IF(I58&lt;&gt;"",DATA!E57,"")</f>
        <v>ELECTRIC JACK</v>
      </c>
      <c r="N58" s="12">
        <v>0</v>
      </c>
      <c r="O58" s="11">
        <f>IF(I58&lt;&gt;"",DATA!C57,"")</f>
        <v>137.55000000000001</v>
      </c>
      <c r="P58" s="2">
        <v>294094</v>
      </c>
      <c r="Q58" s="2" t="s">
        <v>1304</v>
      </c>
      <c r="R58" s="2" t="s">
        <v>1306</v>
      </c>
      <c r="S58" s="2">
        <v>221</v>
      </c>
      <c r="T58" s="2">
        <v>1</v>
      </c>
      <c r="U58" s="2" t="s">
        <v>141</v>
      </c>
      <c r="Y58" s="2">
        <v>1700</v>
      </c>
      <c r="Z58" s="11" t="s">
        <v>54</v>
      </c>
      <c r="AA58" s="11" t="str">
        <f t="shared" si="9"/>
        <v>1700 - TBN</v>
      </c>
      <c r="AC58" s="2" t="s">
        <v>145</v>
      </c>
      <c r="AD58" s="11" t="str">
        <f>IF($I58&lt;&gt;"",VLOOKUP($AC58,GEADRESSEERDE!$A$2:$E$4,2,),"")</f>
        <v>LUITHAGEN HAVEN 2 D</v>
      </c>
      <c r="AE58" s="11">
        <f>IF($I58&lt;&gt;"",VLOOKUP($AC58,GEADRESSEERDE!$A$2:$E$4,3,),"")</f>
        <v>2030</v>
      </c>
      <c r="AF58" s="11" t="str">
        <f>IF($I58&lt;&gt;"",VLOOKUP($AC58,GEADRESSEERDE!$A$2:$E$4,4,),"")</f>
        <v>ANTWERPEN</v>
      </c>
      <c r="AG58" s="11" t="str">
        <f>IF($I58&lt;&gt;"",VLOOKUP($AC58,GEADRESSEERDE!$A$2:$E$4,5,),"")</f>
        <v>BE</v>
      </c>
      <c r="AH58" s="11" t="str">
        <f>IF(I58&lt;&gt;"",VLOOKUP(AP58,KvB!$A$2:$B$3,2,FALSE),"")</f>
        <v>BE101000</v>
      </c>
      <c r="AI58" s="11" t="s">
        <v>55</v>
      </c>
      <c r="AJ58" s="11"/>
      <c r="AK58" s="11"/>
      <c r="AL58" s="11"/>
      <c r="AM58" s="11"/>
      <c r="AN58" s="11"/>
      <c r="AO58" s="11"/>
      <c r="AP58" s="2" t="s">
        <v>70</v>
      </c>
      <c r="AQ58" s="11" t="str">
        <f>IF(I58&lt;&gt;"",DATA!D57,"")</f>
        <v>8425490000</v>
      </c>
    </row>
    <row r="59" spans="1:43" ht="15.75" x14ac:dyDescent="0.25">
      <c r="A59" s="11" t="s">
        <v>57</v>
      </c>
      <c r="B59" s="11" t="s">
        <v>56</v>
      </c>
      <c r="C59" s="22">
        <f t="shared" si="3"/>
        <v>25001620</v>
      </c>
      <c r="D59" s="11" t="str">
        <f t="shared" si="7"/>
        <v>SKIIFM_AT</v>
      </c>
      <c r="E59" s="11" t="str">
        <f>IF(I59&lt;&gt;"",VLOOKUP(F59,OPDRACHTGEVER!$A$2:$B$4,2,FALSE),"")</f>
        <v>SKIIFM_AT</v>
      </c>
      <c r="F59" s="11" t="s">
        <v>58</v>
      </c>
      <c r="I59" s="11" t="str">
        <f>IF(DATA!B58&lt;&gt;"",DATA!B58,"")</f>
        <v>MSMU8568605</v>
      </c>
      <c r="J59" s="12">
        <v>0</v>
      </c>
      <c r="K59" s="11" t="s">
        <v>53</v>
      </c>
      <c r="L59" s="11" t="str">
        <f t="shared" si="8"/>
        <v>847989</v>
      </c>
      <c r="M59" s="11" t="str">
        <f>IF(I59&lt;&gt;"",DATA!E58,"")</f>
        <v>ELECTRIC PUNCHING SHEAR</v>
      </c>
      <c r="N59" s="12">
        <v>0</v>
      </c>
      <c r="O59" s="11">
        <f>IF(I59&lt;&gt;"",DATA!C58,"")</f>
        <v>1047.7</v>
      </c>
      <c r="P59" s="2">
        <v>294094</v>
      </c>
      <c r="Q59" s="2" t="s">
        <v>1304</v>
      </c>
      <c r="R59" s="2" t="s">
        <v>1306</v>
      </c>
      <c r="S59" s="2">
        <v>221</v>
      </c>
      <c r="T59" s="2">
        <v>1</v>
      </c>
      <c r="U59" s="2" t="s">
        <v>141</v>
      </c>
      <c r="Y59" s="2">
        <v>1700</v>
      </c>
      <c r="Z59" s="11" t="s">
        <v>54</v>
      </c>
      <c r="AA59" s="11" t="str">
        <f t="shared" si="9"/>
        <v>1700 - TBN</v>
      </c>
      <c r="AC59" s="2" t="s">
        <v>145</v>
      </c>
      <c r="AD59" s="11" t="str">
        <f>IF($I59&lt;&gt;"",VLOOKUP($AC59,GEADRESSEERDE!$A$2:$E$4,2,),"")</f>
        <v>LUITHAGEN HAVEN 2 D</v>
      </c>
      <c r="AE59" s="11">
        <f>IF($I59&lt;&gt;"",VLOOKUP($AC59,GEADRESSEERDE!$A$2:$E$4,3,),"")</f>
        <v>2030</v>
      </c>
      <c r="AF59" s="11" t="str">
        <f>IF($I59&lt;&gt;"",VLOOKUP($AC59,GEADRESSEERDE!$A$2:$E$4,4,),"")</f>
        <v>ANTWERPEN</v>
      </c>
      <c r="AG59" s="11" t="str">
        <f>IF($I59&lt;&gt;"",VLOOKUP($AC59,GEADRESSEERDE!$A$2:$E$4,5,),"")</f>
        <v>BE</v>
      </c>
      <c r="AH59" s="11" t="str">
        <f>IF(I59&lt;&gt;"",VLOOKUP(AP59,KvB!$A$2:$B$3,2,FALSE),"")</f>
        <v>BE101000</v>
      </c>
      <c r="AI59" s="11" t="s">
        <v>55</v>
      </c>
      <c r="AJ59" s="11"/>
      <c r="AK59" s="11"/>
      <c r="AL59" s="11"/>
      <c r="AM59" s="11"/>
      <c r="AN59" s="11"/>
      <c r="AO59" s="11"/>
      <c r="AP59" s="2" t="s">
        <v>70</v>
      </c>
      <c r="AQ59" s="11" t="str">
        <f>IF(I59&lt;&gt;"",DATA!D58,"")</f>
        <v>8479899790</v>
      </c>
    </row>
    <row r="60" spans="1:43" ht="15.75" x14ac:dyDescent="0.25">
      <c r="A60" s="11" t="s">
        <v>57</v>
      </c>
      <c r="B60" s="11" t="s">
        <v>56</v>
      </c>
      <c r="C60" s="22">
        <f t="shared" si="3"/>
        <v>25001620</v>
      </c>
      <c r="D60" s="11" t="str">
        <f t="shared" si="7"/>
        <v>SKIIFM_AT</v>
      </c>
      <c r="E60" s="11" t="str">
        <f>IF(I60&lt;&gt;"",VLOOKUP(F60,OPDRACHTGEVER!$A$2:$B$4,2,FALSE),"")</f>
        <v>SKIIFM_AT</v>
      </c>
      <c r="F60" s="11" t="s">
        <v>58</v>
      </c>
      <c r="I60" s="11" t="str">
        <f>IF(DATA!B59&lt;&gt;"",DATA!B59,"")</f>
        <v>MSMU8568605</v>
      </c>
      <c r="J60" s="12">
        <v>0</v>
      </c>
      <c r="K60" s="11" t="s">
        <v>53</v>
      </c>
      <c r="L60" s="11" t="str">
        <f t="shared" si="8"/>
        <v>761699</v>
      </c>
      <c r="M60" s="11" t="str">
        <f>IF(I60&lt;&gt;"",DATA!E59,"")</f>
        <v>EXHIBITION STAND</v>
      </c>
      <c r="N60" s="12">
        <v>0</v>
      </c>
      <c r="O60" s="11">
        <f>IF(I60&lt;&gt;"",DATA!C59,"")</f>
        <v>57.75</v>
      </c>
      <c r="P60" s="2">
        <v>294094</v>
      </c>
      <c r="Q60" s="2" t="s">
        <v>1304</v>
      </c>
      <c r="R60" s="2" t="s">
        <v>1306</v>
      </c>
      <c r="S60" s="2">
        <v>221</v>
      </c>
      <c r="T60" s="2">
        <v>1</v>
      </c>
      <c r="U60" s="2" t="s">
        <v>141</v>
      </c>
      <c r="Y60" s="2">
        <v>1700</v>
      </c>
      <c r="Z60" s="11" t="s">
        <v>54</v>
      </c>
      <c r="AA60" s="11" t="str">
        <f t="shared" si="9"/>
        <v>1700 - TBN</v>
      </c>
      <c r="AC60" s="2" t="s">
        <v>145</v>
      </c>
      <c r="AD60" s="11" t="str">
        <f>IF($I60&lt;&gt;"",VLOOKUP($AC60,GEADRESSEERDE!$A$2:$E$4,2,),"")</f>
        <v>LUITHAGEN HAVEN 2 D</v>
      </c>
      <c r="AE60" s="11">
        <f>IF($I60&lt;&gt;"",VLOOKUP($AC60,GEADRESSEERDE!$A$2:$E$4,3,),"")</f>
        <v>2030</v>
      </c>
      <c r="AF60" s="11" t="str">
        <f>IF($I60&lt;&gt;"",VLOOKUP($AC60,GEADRESSEERDE!$A$2:$E$4,4,),"")</f>
        <v>ANTWERPEN</v>
      </c>
      <c r="AG60" s="11" t="str">
        <f>IF($I60&lt;&gt;"",VLOOKUP($AC60,GEADRESSEERDE!$A$2:$E$4,5,),"")</f>
        <v>BE</v>
      </c>
      <c r="AH60" s="11" t="str">
        <f>IF(I60&lt;&gt;"",VLOOKUP(AP60,KvB!$A$2:$B$3,2,FALSE),"")</f>
        <v>BE101000</v>
      </c>
      <c r="AI60" s="11" t="s">
        <v>55</v>
      </c>
      <c r="AJ60" s="11"/>
      <c r="AK60" s="11"/>
      <c r="AL60" s="11"/>
      <c r="AM60" s="11"/>
      <c r="AN60" s="11"/>
      <c r="AO60" s="11"/>
      <c r="AP60" s="2" t="s">
        <v>70</v>
      </c>
      <c r="AQ60" s="11" t="str">
        <f>IF(I60&lt;&gt;"",DATA!D59,"")</f>
        <v>7616999099</v>
      </c>
    </row>
    <row r="61" spans="1:43" ht="15.75" x14ac:dyDescent="0.25">
      <c r="A61" s="11" t="s">
        <v>57</v>
      </c>
      <c r="B61" s="11" t="s">
        <v>56</v>
      </c>
      <c r="C61" s="22">
        <f t="shared" si="3"/>
        <v>25001620</v>
      </c>
      <c r="D61" s="11" t="str">
        <f t="shared" si="7"/>
        <v>SKIIFM_AT</v>
      </c>
      <c r="E61" s="11" t="str">
        <f>IF(I61&lt;&gt;"",VLOOKUP(F61,OPDRACHTGEVER!$A$2:$B$4,2,FALSE),"")</f>
        <v>SKIIFM_AT</v>
      </c>
      <c r="F61" s="11" t="s">
        <v>58</v>
      </c>
      <c r="I61" s="11" t="str">
        <f>IF(DATA!B60&lt;&gt;"",DATA!B60,"")</f>
        <v>MSMU8568605</v>
      </c>
      <c r="J61" s="12">
        <v>0</v>
      </c>
      <c r="K61" s="11" t="s">
        <v>53</v>
      </c>
      <c r="L61" s="11" t="str">
        <f t="shared" si="8"/>
        <v>841320</v>
      </c>
      <c r="M61" s="11" t="str">
        <f>IF(I61&lt;&gt;"",DATA!E60,"")</f>
        <v>FILLING MACHINE</v>
      </c>
      <c r="N61" s="12">
        <v>0</v>
      </c>
      <c r="O61" s="11">
        <f>IF(I61&lt;&gt;"",DATA!C60,"")</f>
        <v>50.28</v>
      </c>
      <c r="P61" s="2">
        <v>294094</v>
      </c>
      <c r="Q61" s="2" t="s">
        <v>1304</v>
      </c>
      <c r="R61" s="2" t="s">
        <v>1306</v>
      </c>
      <c r="S61" s="2">
        <v>221</v>
      </c>
      <c r="T61" s="2">
        <v>1</v>
      </c>
      <c r="U61" s="2" t="s">
        <v>141</v>
      </c>
      <c r="Y61" s="2">
        <v>1700</v>
      </c>
      <c r="Z61" s="11" t="s">
        <v>54</v>
      </c>
      <c r="AA61" s="11" t="str">
        <f t="shared" si="9"/>
        <v>1700 - TBN</v>
      </c>
      <c r="AC61" s="2" t="s">
        <v>145</v>
      </c>
      <c r="AD61" s="11" t="str">
        <f>IF($I61&lt;&gt;"",VLOOKUP($AC61,GEADRESSEERDE!$A$2:$E$4,2,),"")</f>
        <v>LUITHAGEN HAVEN 2 D</v>
      </c>
      <c r="AE61" s="11">
        <f>IF($I61&lt;&gt;"",VLOOKUP($AC61,GEADRESSEERDE!$A$2:$E$4,3,),"")</f>
        <v>2030</v>
      </c>
      <c r="AF61" s="11" t="str">
        <f>IF($I61&lt;&gt;"",VLOOKUP($AC61,GEADRESSEERDE!$A$2:$E$4,4,),"")</f>
        <v>ANTWERPEN</v>
      </c>
      <c r="AG61" s="11" t="str">
        <f>IF($I61&lt;&gt;"",VLOOKUP($AC61,GEADRESSEERDE!$A$2:$E$4,5,),"")</f>
        <v>BE</v>
      </c>
      <c r="AH61" s="11" t="str">
        <f>IF(I61&lt;&gt;"",VLOOKUP(AP61,KvB!$A$2:$B$3,2,FALSE),"")</f>
        <v>BE101000</v>
      </c>
      <c r="AI61" s="11" t="s">
        <v>55</v>
      </c>
      <c r="AJ61" s="11"/>
      <c r="AK61" s="11"/>
      <c r="AL61" s="11"/>
      <c r="AM61" s="11"/>
      <c r="AN61" s="11"/>
      <c r="AO61" s="11"/>
      <c r="AP61" s="2" t="s">
        <v>70</v>
      </c>
      <c r="AQ61" s="11" t="str">
        <f>IF(I61&lt;&gt;"",DATA!D60,"")</f>
        <v>8413200090</v>
      </c>
    </row>
    <row r="62" spans="1:43" ht="15.75" x14ac:dyDescent="0.25">
      <c r="A62" s="11" t="s">
        <v>57</v>
      </c>
      <c r="B62" s="11" t="s">
        <v>56</v>
      </c>
      <c r="C62" s="22">
        <f t="shared" si="3"/>
        <v>25001620</v>
      </c>
      <c r="D62" s="11" t="str">
        <f t="shared" si="7"/>
        <v>SKIIFM_AT</v>
      </c>
      <c r="E62" s="11" t="str">
        <f>IF(I62&lt;&gt;"",VLOOKUP(F62,OPDRACHTGEVER!$A$2:$B$4,2,FALSE),"")</f>
        <v>SKIIFM_AT</v>
      </c>
      <c r="F62" s="11" t="s">
        <v>58</v>
      </c>
      <c r="I62" s="11" t="str">
        <f>IF(DATA!B61&lt;&gt;"",DATA!B61,"")</f>
        <v>MSMU8568605</v>
      </c>
      <c r="J62" s="12">
        <v>0</v>
      </c>
      <c r="K62" s="11" t="s">
        <v>53</v>
      </c>
      <c r="L62" s="11" t="str">
        <f t="shared" si="8"/>
        <v>761699</v>
      </c>
      <c r="M62" s="11" t="str">
        <f>IF(I62&lt;&gt;"",DATA!E61,"")</f>
        <v>FLAGPOLE KITS</v>
      </c>
      <c r="N62" s="12">
        <v>0</v>
      </c>
      <c r="O62" s="11">
        <f>IF(I62&lt;&gt;"",DATA!C61,"")</f>
        <v>214.15</v>
      </c>
      <c r="P62" s="2">
        <v>294094</v>
      </c>
      <c r="Q62" s="2" t="s">
        <v>1304</v>
      </c>
      <c r="R62" s="2" t="s">
        <v>1306</v>
      </c>
      <c r="S62" s="2">
        <v>221</v>
      </c>
      <c r="T62" s="2">
        <v>1</v>
      </c>
      <c r="U62" s="2" t="s">
        <v>141</v>
      </c>
      <c r="Y62" s="2">
        <v>1700</v>
      </c>
      <c r="Z62" s="11" t="s">
        <v>54</v>
      </c>
      <c r="AA62" s="11" t="str">
        <f t="shared" si="9"/>
        <v>1700 - TBN</v>
      </c>
      <c r="AC62" s="2" t="s">
        <v>145</v>
      </c>
      <c r="AD62" s="11" t="str">
        <f>IF($I62&lt;&gt;"",VLOOKUP($AC62,GEADRESSEERDE!$A$2:$E$4,2,),"")</f>
        <v>LUITHAGEN HAVEN 2 D</v>
      </c>
      <c r="AE62" s="11">
        <f>IF($I62&lt;&gt;"",VLOOKUP($AC62,GEADRESSEERDE!$A$2:$E$4,3,),"")</f>
        <v>2030</v>
      </c>
      <c r="AF62" s="11" t="str">
        <f>IF($I62&lt;&gt;"",VLOOKUP($AC62,GEADRESSEERDE!$A$2:$E$4,4,),"")</f>
        <v>ANTWERPEN</v>
      </c>
      <c r="AG62" s="11" t="str">
        <f>IF($I62&lt;&gt;"",VLOOKUP($AC62,GEADRESSEERDE!$A$2:$E$4,5,),"")</f>
        <v>BE</v>
      </c>
      <c r="AH62" s="11" t="str">
        <f>IF(I62&lt;&gt;"",VLOOKUP(AP62,KvB!$A$2:$B$3,2,FALSE),"")</f>
        <v>BE101000</v>
      </c>
      <c r="AI62" s="11" t="s">
        <v>55</v>
      </c>
      <c r="AJ62" s="11"/>
      <c r="AK62" s="11"/>
      <c r="AL62" s="11"/>
      <c r="AM62" s="11"/>
      <c r="AN62" s="11"/>
      <c r="AO62" s="11"/>
      <c r="AP62" s="2" t="s">
        <v>70</v>
      </c>
      <c r="AQ62" s="11" t="str">
        <f>IF(I62&lt;&gt;"",DATA!D61,"")</f>
        <v>7616999009</v>
      </c>
    </row>
    <row r="63" spans="1:43" ht="15.75" x14ac:dyDescent="0.25">
      <c r="A63" s="11" t="s">
        <v>57</v>
      </c>
      <c r="B63" s="11" t="s">
        <v>56</v>
      </c>
      <c r="C63" s="22">
        <f t="shared" si="3"/>
        <v>25001620</v>
      </c>
      <c r="D63" s="11" t="str">
        <f t="shared" si="7"/>
        <v>SKIIFM_AT</v>
      </c>
      <c r="E63" s="11" t="str">
        <f>IF(I63&lt;&gt;"",VLOOKUP(F63,OPDRACHTGEVER!$A$2:$B$4,2,FALSE),"")</f>
        <v>SKIIFM_AT</v>
      </c>
      <c r="F63" s="11" t="s">
        <v>58</v>
      </c>
      <c r="I63" s="11" t="str">
        <f>IF(DATA!B62&lt;&gt;"",DATA!B62,"")</f>
        <v>MSMU8568605</v>
      </c>
      <c r="J63" s="12">
        <v>0</v>
      </c>
      <c r="K63" s="11" t="s">
        <v>53</v>
      </c>
      <c r="L63" s="11" t="str">
        <f t="shared" si="8"/>
        <v>853110</v>
      </c>
      <c r="M63" s="11" t="str">
        <f>IF(I63&lt;&gt;"",DATA!E62,"")</f>
        <v>GLASS FIBER</v>
      </c>
      <c r="N63" s="12">
        <v>0</v>
      </c>
      <c r="O63" s="11">
        <f>IF(I63&lt;&gt;"",DATA!C62,"")</f>
        <v>99.75</v>
      </c>
      <c r="P63" s="2">
        <v>294094</v>
      </c>
      <c r="Q63" s="2" t="s">
        <v>1304</v>
      </c>
      <c r="R63" s="2" t="s">
        <v>1306</v>
      </c>
      <c r="S63" s="2">
        <v>221</v>
      </c>
      <c r="T63" s="2">
        <v>1</v>
      </c>
      <c r="U63" s="2" t="s">
        <v>141</v>
      </c>
      <c r="Y63" s="2">
        <v>1700</v>
      </c>
      <c r="Z63" s="11" t="s">
        <v>54</v>
      </c>
      <c r="AA63" s="11" t="str">
        <f t="shared" si="9"/>
        <v>1700 - TBN</v>
      </c>
      <c r="AC63" s="2" t="s">
        <v>145</v>
      </c>
      <c r="AD63" s="11" t="str">
        <f>IF($I63&lt;&gt;"",VLOOKUP($AC63,GEADRESSEERDE!$A$2:$E$4,2,),"")</f>
        <v>LUITHAGEN HAVEN 2 D</v>
      </c>
      <c r="AE63" s="11">
        <f>IF($I63&lt;&gt;"",VLOOKUP($AC63,GEADRESSEERDE!$A$2:$E$4,3,),"")</f>
        <v>2030</v>
      </c>
      <c r="AF63" s="11" t="str">
        <f>IF($I63&lt;&gt;"",VLOOKUP($AC63,GEADRESSEERDE!$A$2:$E$4,4,),"")</f>
        <v>ANTWERPEN</v>
      </c>
      <c r="AG63" s="11" t="str">
        <f>IF($I63&lt;&gt;"",VLOOKUP($AC63,GEADRESSEERDE!$A$2:$E$4,5,),"")</f>
        <v>BE</v>
      </c>
      <c r="AH63" s="11" t="str">
        <f>IF(I63&lt;&gt;"",VLOOKUP(AP63,KvB!$A$2:$B$3,2,FALSE),"")</f>
        <v>BE101000</v>
      </c>
      <c r="AI63" s="11" t="s">
        <v>55</v>
      </c>
      <c r="AJ63" s="11"/>
      <c r="AK63" s="11"/>
      <c r="AL63" s="11"/>
      <c r="AM63" s="11"/>
      <c r="AN63" s="11"/>
      <c r="AO63" s="11"/>
      <c r="AP63" s="2" t="s">
        <v>70</v>
      </c>
      <c r="AQ63" s="11" t="str">
        <f>IF(I63&lt;&gt;"",DATA!D62,"")</f>
        <v>8531109590</v>
      </c>
    </row>
    <row r="64" spans="1:43" ht="15.75" x14ac:dyDescent="0.25">
      <c r="A64" s="11" t="s">
        <v>57</v>
      </c>
      <c r="B64" s="11" t="s">
        <v>56</v>
      </c>
      <c r="C64" s="22">
        <f t="shared" si="3"/>
        <v>25001620</v>
      </c>
      <c r="D64" s="11" t="str">
        <f t="shared" si="7"/>
        <v>SKIIFM_AT</v>
      </c>
      <c r="E64" s="11" t="str">
        <f>IF(I64&lt;&gt;"",VLOOKUP(F64,OPDRACHTGEVER!$A$2:$B$4,2,FALSE),"")</f>
        <v>SKIIFM_AT</v>
      </c>
      <c r="F64" s="11" t="s">
        <v>58</v>
      </c>
      <c r="I64" s="11" t="str">
        <f>IF(DATA!B63&lt;&gt;"",DATA!B63,"")</f>
        <v>MSMU8568605</v>
      </c>
      <c r="J64" s="12">
        <v>0</v>
      </c>
      <c r="K64" s="11" t="s">
        <v>53</v>
      </c>
      <c r="L64" s="11" t="str">
        <f t="shared" si="8"/>
        <v>847982</v>
      </c>
      <c r="M64" s="11" t="str">
        <f>IF(I64&lt;&gt;"",DATA!E63,"")</f>
        <v>GRINDING MACHINE</v>
      </c>
      <c r="N64" s="12">
        <v>0</v>
      </c>
      <c r="O64" s="11">
        <f>IF(I64&lt;&gt;"",DATA!C63,"")</f>
        <v>155</v>
      </c>
      <c r="P64" s="2">
        <v>294094</v>
      </c>
      <c r="Q64" s="2" t="s">
        <v>1304</v>
      </c>
      <c r="R64" s="2" t="s">
        <v>1306</v>
      </c>
      <c r="S64" s="2">
        <v>221</v>
      </c>
      <c r="T64" s="2">
        <v>1</v>
      </c>
      <c r="U64" s="2" t="s">
        <v>141</v>
      </c>
      <c r="Y64" s="2">
        <v>1700</v>
      </c>
      <c r="Z64" s="11" t="s">
        <v>54</v>
      </c>
      <c r="AA64" s="11" t="str">
        <f t="shared" si="9"/>
        <v>1700 - TBN</v>
      </c>
      <c r="AC64" s="2" t="s">
        <v>145</v>
      </c>
      <c r="AD64" s="11" t="str">
        <f>IF($I64&lt;&gt;"",VLOOKUP($AC64,GEADRESSEERDE!$A$2:$E$4,2,),"")</f>
        <v>LUITHAGEN HAVEN 2 D</v>
      </c>
      <c r="AE64" s="11">
        <f>IF($I64&lt;&gt;"",VLOOKUP($AC64,GEADRESSEERDE!$A$2:$E$4,3,),"")</f>
        <v>2030</v>
      </c>
      <c r="AF64" s="11" t="str">
        <f>IF($I64&lt;&gt;"",VLOOKUP($AC64,GEADRESSEERDE!$A$2:$E$4,4,),"")</f>
        <v>ANTWERPEN</v>
      </c>
      <c r="AG64" s="11" t="str">
        <f>IF($I64&lt;&gt;"",VLOOKUP($AC64,GEADRESSEERDE!$A$2:$E$4,5,),"")</f>
        <v>BE</v>
      </c>
      <c r="AH64" s="11" t="str">
        <f>IF(I64&lt;&gt;"",VLOOKUP(AP64,KvB!$A$2:$B$3,2,FALSE),"")</f>
        <v>BE101000</v>
      </c>
      <c r="AI64" s="11" t="s">
        <v>55</v>
      </c>
      <c r="AJ64" s="11"/>
      <c r="AK64" s="11"/>
      <c r="AL64" s="11"/>
      <c r="AM64" s="11"/>
      <c r="AN64" s="11"/>
      <c r="AO64" s="11"/>
      <c r="AP64" s="2" t="s">
        <v>70</v>
      </c>
      <c r="AQ64" s="11" t="str">
        <f>IF(I64&lt;&gt;"",DATA!D63,"")</f>
        <v>8479820000</v>
      </c>
    </row>
    <row r="65" spans="1:43" ht="15.75" x14ac:dyDescent="0.25">
      <c r="A65" s="11" t="s">
        <v>57</v>
      </c>
      <c r="B65" s="11" t="s">
        <v>56</v>
      </c>
      <c r="C65" s="22">
        <f t="shared" si="3"/>
        <v>25001620</v>
      </c>
      <c r="D65" s="11" t="str">
        <f t="shared" si="7"/>
        <v>SKIIFM_AT</v>
      </c>
      <c r="E65" s="11" t="str">
        <f>IF(I65&lt;&gt;"",VLOOKUP(F65,OPDRACHTGEVER!$A$2:$B$4,2,FALSE),"")</f>
        <v>SKIIFM_AT</v>
      </c>
      <c r="F65" s="11" t="s">
        <v>58</v>
      </c>
      <c r="I65" s="11" t="str">
        <f>IF(DATA!B64&lt;&gt;"",DATA!B64,"")</f>
        <v>MSMU8568605</v>
      </c>
      <c r="J65" s="12">
        <v>0</v>
      </c>
      <c r="K65" s="11" t="s">
        <v>53</v>
      </c>
      <c r="L65" s="11" t="str">
        <f t="shared" si="8"/>
        <v>851633</v>
      </c>
      <c r="M65" s="11" t="str">
        <f>IF(I65&lt;&gt;"",DATA!E64,"")</f>
        <v>HAND DRIER</v>
      </c>
      <c r="N65" s="12">
        <v>0</v>
      </c>
      <c r="O65" s="11">
        <f>IF(I65&lt;&gt;"",DATA!C64,"")</f>
        <v>9.3000000000000007</v>
      </c>
      <c r="P65" s="2">
        <v>294094</v>
      </c>
      <c r="Q65" s="2" t="s">
        <v>1304</v>
      </c>
      <c r="R65" s="2" t="s">
        <v>1306</v>
      </c>
      <c r="S65" s="2">
        <v>221</v>
      </c>
      <c r="T65" s="2">
        <v>1</v>
      </c>
      <c r="U65" s="2" t="s">
        <v>141</v>
      </c>
      <c r="Y65" s="2">
        <v>1700</v>
      </c>
      <c r="Z65" s="11" t="s">
        <v>54</v>
      </c>
      <c r="AA65" s="11" t="str">
        <f t="shared" si="9"/>
        <v>1700 - TBN</v>
      </c>
      <c r="AC65" s="2" t="s">
        <v>145</v>
      </c>
      <c r="AD65" s="11" t="str">
        <f>IF($I65&lt;&gt;"",VLOOKUP($AC65,GEADRESSEERDE!$A$2:$E$4,2,),"")</f>
        <v>LUITHAGEN HAVEN 2 D</v>
      </c>
      <c r="AE65" s="11">
        <f>IF($I65&lt;&gt;"",VLOOKUP($AC65,GEADRESSEERDE!$A$2:$E$4,3,),"")</f>
        <v>2030</v>
      </c>
      <c r="AF65" s="11" t="str">
        <f>IF($I65&lt;&gt;"",VLOOKUP($AC65,GEADRESSEERDE!$A$2:$E$4,4,),"")</f>
        <v>ANTWERPEN</v>
      </c>
      <c r="AG65" s="11" t="str">
        <f>IF($I65&lt;&gt;"",VLOOKUP($AC65,GEADRESSEERDE!$A$2:$E$4,5,),"")</f>
        <v>BE</v>
      </c>
      <c r="AH65" s="11" t="str">
        <f>IF(I65&lt;&gt;"",VLOOKUP(AP65,KvB!$A$2:$B$3,2,FALSE),"")</f>
        <v>BE101000</v>
      </c>
      <c r="AI65" s="11" t="s">
        <v>55</v>
      </c>
      <c r="AJ65" s="11"/>
      <c r="AK65" s="11"/>
      <c r="AL65" s="11"/>
      <c r="AM65" s="11"/>
      <c r="AN65" s="11"/>
      <c r="AO65" s="11"/>
      <c r="AP65" s="2" t="s">
        <v>70</v>
      </c>
      <c r="AQ65" s="11" t="str">
        <f>IF(I65&lt;&gt;"",DATA!D64,"")</f>
        <v>8516330000</v>
      </c>
    </row>
    <row r="66" spans="1:43" ht="15.75" x14ac:dyDescent="0.25">
      <c r="A66" s="11" t="s">
        <v>57</v>
      </c>
      <c r="B66" s="11" t="s">
        <v>56</v>
      </c>
      <c r="C66" s="22">
        <f t="shared" si="3"/>
        <v>25001620</v>
      </c>
      <c r="D66" s="11" t="str">
        <f t="shared" si="7"/>
        <v>SKIIFM_AT</v>
      </c>
      <c r="E66" s="11" t="str">
        <f>IF(I66&lt;&gt;"",VLOOKUP(F66,OPDRACHTGEVER!$A$2:$B$4,2,FALSE),"")</f>
        <v>SKIIFM_AT</v>
      </c>
      <c r="F66" s="11" t="s">
        <v>58</v>
      </c>
      <c r="I66" s="11" t="str">
        <f>IF(DATA!B65&lt;&gt;"",DATA!B65,"")</f>
        <v>MSMU8568605</v>
      </c>
      <c r="J66" s="12">
        <v>0</v>
      </c>
      <c r="K66" s="11" t="s">
        <v>53</v>
      </c>
      <c r="L66" s="11" t="str">
        <f t="shared" si="8"/>
        <v>846719</v>
      </c>
      <c r="M66" s="11" t="str">
        <f>IF(I66&lt;&gt;"",DATA!E65,"")</f>
        <v>HEAVY DUTY CONCRETE NAILER</v>
      </c>
      <c r="N66" s="12">
        <v>0</v>
      </c>
      <c r="O66" s="11">
        <f>IF(I66&lt;&gt;"",DATA!C65,"")</f>
        <v>745.5</v>
      </c>
      <c r="P66" s="2">
        <v>294094</v>
      </c>
      <c r="Q66" s="2" t="s">
        <v>1304</v>
      </c>
      <c r="R66" s="2" t="s">
        <v>1306</v>
      </c>
      <c r="S66" s="2">
        <v>221</v>
      </c>
      <c r="T66" s="2">
        <v>1</v>
      </c>
      <c r="U66" s="2" t="s">
        <v>141</v>
      </c>
      <c r="Y66" s="2">
        <v>1700</v>
      </c>
      <c r="Z66" s="11" t="s">
        <v>54</v>
      </c>
      <c r="AA66" s="11" t="str">
        <f t="shared" si="9"/>
        <v>1700 - TBN</v>
      </c>
      <c r="AC66" s="2" t="s">
        <v>145</v>
      </c>
      <c r="AD66" s="11" t="str">
        <f>IF($I66&lt;&gt;"",VLOOKUP($AC66,GEADRESSEERDE!$A$2:$E$4,2,),"")</f>
        <v>LUITHAGEN HAVEN 2 D</v>
      </c>
      <c r="AE66" s="11">
        <f>IF($I66&lt;&gt;"",VLOOKUP($AC66,GEADRESSEERDE!$A$2:$E$4,3,),"")</f>
        <v>2030</v>
      </c>
      <c r="AF66" s="11" t="str">
        <f>IF($I66&lt;&gt;"",VLOOKUP($AC66,GEADRESSEERDE!$A$2:$E$4,4,),"")</f>
        <v>ANTWERPEN</v>
      </c>
      <c r="AG66" s="11" t="str">
        <f>IF($I66&lt;&gt;"",VLOOKUP($AC66,GEADRESSEERDE!$A$2:$E$4,5,),"")</f>
        <v>BE</v>
      </c>
      <c r="AH66" s="11" t="str">
        <f>IF(I66&lt;&gt;"",VLOOKUP(AP66,KvB!$A$2:$B$3,2,FALSE),"")</f>
        <v>BE101000</v>
      </c>
      <c r="AI66" s="11" t="s">
        <v>55</v>
      </c>
      <c r="AJ66" s="11"/>
      <c r="AK66" s="11"/>
      <c r="AL66" s="11"/>
      <c r="AM66" s="11"/>
      <c r="AN66" s="11"/>
      <c r="AO66" s="11"/>
      <c r="AP66" s="2" t="s">
        <v>70</v>
      </c>
      <c r="AQ66" s="11" t="str">
        <f>IF(I66&lt;&gt;"",DATA!D65,"")</f>
        <v>8467190000</v>
      </c>
    </row>
    <row r="67" spans="1:43" ht="15.75" x14ac:dyDescent="0.25">
      <c r="A67" s="11" t="s">
        <v>57</v>
      </c>
      <c r="B67" s="11" t="s">
        <v>56</v>
      </c>
      <c r="C67" s="22">
        <f t="shared" si="3"/>
        <v>25001620</v>
      </c>
      <c r="D67" s="11" t="str">
        <f t="shared" si="7"/>
        <v>SKIIFM_AT</v>
      </c>
      <c r="E67" s="11" t="str">
        <f>IF(I67&lt;&gt;"",VLOOKUP(F67,OPDRACHTGEVER!$A$2:$B$4,2,FALSE),"")</f>
        <v>SKIIFM_AT</v>
      </c>
      <c r="F67" s="11" t="s">
        <v>58</v>
      </c>
      <c r="I67" s="11" t="str">
        <f>IF(DATA!B66&lt;&gt;"",DATA!B66,"")</f>
        <v>MSMU8568605</v>
      </c>
      <c r="J67" s="12">
        <v>0</v>
      </c>
      <c r="K67" s="11" t="s">
        <v>53</v>
      </c>
      <c r="L67" s="11" t="str">
        <f t="shared" si="8"/>
        <v>870899</v>
      </c>
      <c r="M67" s="11" t="str">
        <f>IF(I67&lt;&gt;"",DATA!E66,"")</f>
        <v>HITCH STEPS</v>
      </c>
      <c r="N67" s="12">
        <v>0</v>
      </c>
      <c r="O67" s="11">
        <f>IF(I67&lt;&gt;"",DATA!C66,"")</f>
        <v>15</v>
      </c>
      <c r="P67" s="2">
        <v>294094</v>
      </c>
      <c r="Q67" s="2" t="s">
        <v>1304</v>
      </c>
      <c r="R67" s="2" t="s">
        <v>1306</v>
      </c>
      <c r="S67" s="2">
        <v>221</v>
      </c>
      <c r="T67" s="2">
        <v>1</v>
      </c>
      <c r="U67" s="2" t="s">
        <v>141</v>
      </c>
      <c r="Y67" s="2">
        <v>1700</v>
      </c>
      <c r="Z67" s="11" t="s">
        <v>54</v>
      </c>
      <c r="AA67" s="11" t="str">
        <f t="shared" si="9"/>
        <v>1700 - TBN</v>
      </c>
      <c r="AC67" s="2" t="s">
        <v>145</v>
      </c>
      <c r="AD67" s="11" t="str">
        <f>IF($I67&lt;&gt;"",VLOOKUP($AC67,GEADRESSEERDE!$A$2:$E$4,2,),"")</f>
        <v>LUITHAGEN HAVEN 2 D</v>
      </c>
      <c r="AE67" s="11">
        <f>IF($I67&lt;&gt;"",VLOOKUP($AC67,GEADRESSEERDE!$A$2:$E$4,3,),"")</f>
        <v>2030</v>
      </c>
      <c r="AF67" s="11" t="str">
        <f>IF($I67&lt;&gt;"",VLOOKUP($AC67,GEADRESSEERDE!$A$2:$E$4,4,),"")</f>
        <v>ANTWERPEN</v>
      </c>
      <c r="AG67" s="11" t="str">
        <f>IF($I67&lt;&gt;"",VLOOKUP($AC67,GEADRESSEERDE!$A$2:$E$4,5,),"")</f>
        <v>BE</v>
      </c>
      <c r="AH67" s="11" t="str">
        <f>IF(I67&lt;&gt;"",VLOOKUP(AP67,KvB!$A$2:$B$3,2,FALSE),"")</f>
        <v>BE101000</v>
      </c>
      <c r="AI67" s="11" t="s">
        <v>55</v>
      </c>
      <c r="AJ67" s="11"/>
      <c r="AK67" s="11"/>
      <c r="AL67" s="11"/>
      <c r="AM67" s="11"/>
      <c r="AN67" s="11"/>
      <c r="AO67" s="11"/>
      <c r="AP67" s="2" t="s">
        <v>70</v>
      </c>
      <c r="AQ67" s="11" t="str">
        <f>IF(I67&lt;&gt;"",DATA!D66,"")</f>
        <v>8708999790</v>
      </c>
    </row>
    <row r="68" spans="1:43" ht="15.75" x14ac:dyDescent="0.25">
      <c r="A68" s="11" t="s">
        <v>57</v>
      </c>
      <c r="B68" s="11" t="s">
        <v>56</v>
      </c>
      <c r="C68" s="22">
        <f t="shared" si="3"/>
        <v>25001620</v>
      </c>
      <c r="D68" s="11" t="str">
        <f t="shared" si="7"/>
        <v>SKIIFM_AT</v>
      </c>
      <c r="E68" s="11" t="str">
        <f>IF(I68&lt;&gt;"",VLOOKUP(F68,OPDRACHTGEVER!$A$2:$B$4,2,FALSE),"")</f>
        <v>SKIIFM_AT</v>
      </c>
      <c r="F68" s="11" t="s">
        <v>58</v>
      </c>
      <c r="I68" s="11" t="str">
        <f>IF(DATA!B67&lt;&gt;"",DATA!B67,"")</f>
        <v>MSMU8568605</v>
      </c>
      <c r="J68" s="12">
        <v>0</v>
      </c>
      <c r="K68" s="11" t="s">
        <v>53</v>
      </c>
      <c r="L68" s="11" t="str">
        <f t="shared" si="8"/>
        <v>846789</v>
      </c>
      <c r="M68" s="11" t="str">
        <f>IF(I68&lt;&gt;"",DATA!E67,"")</f>
        <v>HYDRAULIC OPENING DEVICE</v>
      </c>
      <c r="N68" s="12">
        <v>0</v>
      </c>
      <c r="O68" s="11">
        <f>IF(I68&lt;&gt;"",DATA!C67,"")</f>
        <v>303.60000000000002</v>
      </c>
      <c r="P68" s="2">
        <v>294094</v>
      </c>
      <c r="Q68" s="2" t="s">
        <v>1304</v>
      </c>
      <c r="R68" s="2" t="s">
        <v>1306</v>
      </c>
      <c r="S68" s="2">
        <v>221</v>
      </c>
      <c r="T68" s="2">
        <v>1</v>
      </c>
      <c r="U68" s="2" t="s">
        <v>141</v>
      </c>
      <c r="Y68" s="2">
        <v>1700</v>
      </c>
      <c r="Z68" s="11" t="s">
        <v>54</v>
      </c>
      <c r="AA68" s="11" t="str">
        <f t="shared" si="9"/>
        <v>1700 - TBN</v>
      </c>
      <c r="AC68" s="2" t="s">
        <v>145</v>
      </c>
      <c r="AD68" s="11" t="str">
        <f>IF($I68&lt;&gt;"",VLOOKUP($AC68,GEADRESSEERDE!$A$2:$E$4,2,),"")</f>
        <v>LUITHAGEN HAVEN 2 D</v>
      </c>
      <c r="AE68" s="11">
        <f>IF($I68&lt;&gt;"",VLOOKUP($AC68,GEADRESSEERDE!$A$2:$E$4,3,),"")</f>
        <v>2030</v>
      </c>
      <c r="AF68" s="11" t="str">
        <f>IF($I68&lt;&gt;"",VLOOKUP($AC68,GEADRESSEERDE!$A$2:$E$4,4,),"")</f>
        <v>ANTWERPEN</v>
      </c>
      <c r="AG68" s="11" t="str">
        <f>IF($I68&lt;&gt;"",VLOOKUP($AC68,GEADRESSEERDE!$A$2:$E$4,5,),"")</f>
        <v>BE</v>
      </c>
      <c r="AH68" s="11" t="str">
        <f>IF(I68&lt;&gt;"",VLOOKUP(AP68,KvB!$A$2:$B$3,2,FALSE),"")</f>
        <v>BE101000</v>
      </c>
      <c r="AI68" s="11" t="s">
        <v>55</v>
      </c>
      <c r="AJ68" s="11"/>
      <c r="AK68" s="11"/>
      <c r="AL68" s="11"/>
      <c r="AM68" s="11"/>
      <c r="AN68" s="11"/>
      <c r="AO68" s="11"/>
      <c r="AP68" s="2" t="s">
        <v>70</v>
      </c>
      <c r="AQ68" s="11" t="str">
        <f>IF(I68&lt;&gt;"",DATA!D67,"")</f>
        <v>8467890000</v>
      </c>
    </row>
    <row r="69" spans="1:43" ht="15.75" x14ac:dyDescent="0.25">
      <c r="A69" s="11" t="s">
        <v>57</v>
      </c>
      <c r="B69" s="11" t="s">
        <v>56</v>
      </c>
      <c r="C69" s="22">
        <f t="shared" ref="C69:C132" si="10">C68</f>
        <v>25001620</v>
      </c>
      <c r="D69" s="11" t="str">
        <f t="shared" si="7"/>
        <v>SKIIFM_AT</v>
      </c>
      <c r="E69" s="11" t="str">
        <f>IF(I69&lt;&gt;"",VLOOKUP(F69,OPDRACHTGEVER!$A$2:$B$4,2,FALSE),"")</f>
        <v>SKIIFM_AT</v>
      </c>
      <c r="F69" s="11" t="s">
        <v>58</v>
      </c>
      <c r="I69" s="11" t="str">
        <f>IF(DATA!B68&lt;&gt;"",DATA!B68,"")</f>
        <v>MSMU8568605</v>
      </c>
      <c r="J69" s="12">
        <v>0</v>
      </c>
      <c r="K69" s="11" t="s">
        <v>53</v>
      </c>
      <c r="L69" s="11" t="str">
        <f t="shared" si="8"/>
        <v>850980</v>
      </c>
      <c r="M69" s="11" t="str">
        <f>IF(I69&lt;&gt;"",DATA!E68,"")</f>
        <v>ICE CRUSHER</v>
      </c>
      <c r="N69" s="12">
        <v>0</v>
      </c>
      <c r="O69" s="11">
        <f>IF(I69&lt;&gt;"",DATA!C68,"")</f>
        <v>5.9</v>
      </c>
      <c r="P69" s="2">
        <v>294094</v>
      </c>
      <c r="Q69" s="2" t="s">
        <v>1304</v>
      </c>
      <c r="R69" s="2" t="s">
        <v>1306</v>
      </c>
      <c r="S69" s="2">
        <v>221</v>
      </c>
      <c r="T69" s="2">
        <v>1</v>
      </c>
      <c r="U69" s="2" t="s">
        <v>141</v>
      </c>
      <c r="Y69" s="2">
        <v>1700</v>
      </c>
      <c r="Z69" s="11" t="s">
        <v>54</v>
      </c>
      <c r="AA69" s="11" t="str">
        <f t="shared" si="9"/>
        <v>1700 - TBN</v>
      </c>
      <c r="AC69" s="2" t="s">
        <v>145</v>
      </c>
      <c r="AD69" s="11" t="str">
        <f>IF($I69&lt;&gt;"",VLOOKUP($AC69,GEADRESSEERDE!$A$2:$E$4,2,),"")</f>
        <v>LUITHAGEN HAVEN 2 D</v>
      </c>
      <c r="AE69" s="11">
        <f>IF($I69&lt;&gt;"",VLOOKUP($AC69,GEADRESSEERDE!$A$2:$E$4,3,),"")</f>
        <v>2030</v>
      </c>
      <c r="AF69" s="11" t="str">
        <f>IF($I69&lt;&gt;"",VLOOKUP($AC69,GEADRESSEERDE!$A$2:$E$4,4,),"")</f>
        <v>ANTWERPEN</v>
      </c>
      <c r="AG69" s="11" t="str">
        <f>IF($I69&lt;&gt;"",VLOOKUP($AC69,GEADRESSEERDE!$A$2:$E$4,5,),"")</f>
        <v>BE</v>
      </c>
      <c r="AH69" s="11" t="str">
        <f>IF(I69&lt;&gt;"",VLOOKUP(AP69,KvB!$A$2:$B$3,2,FALSE),"")</f>
        <v>BE101000</v>
      </c>
      <c r="AI69" s="11" t="s">
        <v>55</v>
      </c>
      <c r="AJ69" s="11"/>
      <c r="AK69" s="11"/>
      <c r="AL69" s="11"/>
      <c r="AM69" s="11"/>
      <c r="AN69" s="11"/>
      <c r="AO69" s="11"/>
      <c r="AP69" s="2" t="s">
        <v>70</v>
      </c>
      <c r="AQ69" s="11" t="str">
        <f>IF(I69&lt;&gt;"",DATA!D68,"")</f>
        <v>8509800000</v>
      </c>
    </row>
    <row r="70" spans="1:43" ht="15.75" x14ac:dyDescent="0.25">
      <c r="A70" s="11" t="s">
        <v>57</v>
      </c>
      <c r="B70" s="11" t="s">
        <v>56</v>
      </c>
      <c r="C70" s="22">
        <f t="shared" si="10"/>
        <v>25001620</v>
      </c>
      <c r="D70" s="11" t="str">
        <f t="shared" si="7"/>
        <v>SKIIFM_AT</v>
      </c>
      <c r="E70" s="11" t="str">
        <f>IF(I70&lt;&gt;"",VLOOKUP(F70,OPDRACHTGEVER!$A$2:$B$4,2,FALSE),"")</f>
        <v>SKIIFM_AT</v>
      </c>
      <c r="F70" s="11" t="s">
        <v>58</v>
      </c>
      <c r="I70" s="11" t="str">
        <f>IF(DATA!B69&lt;&gt;"",DATA!B69,"")</f>
        <v>MSMU8568605</v>
      </c>
      <c r="J70" s="12">
        <v>0</v>
      </c>
      <c r="K70" s="11" t="s">
        <v>53</v>
      </c>
      <c r="L70" s="11" t="str">
        <f t="shared" si="8"/>
        <v>841869</v>
      </c>
      <c r="M70" s="11" t="str">
        <f>IF(I70&lt;&gt;"",DATA!E69,"")</f>
        <v>ICE MAKER</v>
      </c>
      <c r="N70" s="12">
        <v>0</v>
      </c>
      <c r="O70" s="11">
        <f>IF(I70&lt;&gt;"",DATA!C69,"")</f>
        <v>730.4</v>
      </c>
      <c r="P70" s="2">
        <v>294094</v>
      </c>
      <c r="Q70" s="2" t="s">
        <v>1304</v>
      </c>
      <c r="R70" s="2" t="s">
        <v>1306</v>
      </c>
      <c r="S70" s="2">
        <v>221</v>
      </c>
      <c r="T70" s="2">
        <v>1</v>
      </c>
      <c r="U70" s="2" t="s">
        <v>141</v>
      </c>
      <c r="Y70" s="2">
        <v>1700</v>
      </c>
      <c r="Z70" s="11" t="s">
        <v>54</v>
      </c>
      <c r="AA70" s="11" t="str">
        <f t="shared" si="9"/>
        <v>1700 - TBN</v>
      </c>
      <c r="AC70" s="2" t="s">
        <v>145</v>
      </c>
      <c r="AD70" s="11" t="str">
        <f>IF($I70&lt;&gt;"",VLOOKUP($AC70,GEADRESSEERDE!$A$2:$E$4,2,),"")</f>
        <v>LUITHAGEN HAVEN 2 D</v>
      </c>
      <c r="AE70" s="11">
        <f>IF($I70&lt;&gt;"",VLOOKUP($AC70,GEADRESSEERDE!$A$2:$E$4,3,),"")</f>
        <v>2030</v>
      </c>
      <c r="AF70" s="11" t="str">
        <f>IF($I70&lt;&gt;"",VLOOKUP($AC70,GEADRESSEERDE!$A$2:$E$4,4,),"")</f>
        <v>ANTWERPEN</v>
      </c>
      <c r="AG70" s="11" t="str">
        <f>IF($I70&lt;&gt;"",VLOOKUP($AC70,GEADRESSEERDE!$A$2:$E$4,5,),"")</f>
        <v>BE</v>
      </c>
      <c r="AH70" s="11" t="str">
        <f>IF(I70&lt;&gt;"",VLOOKUP(AP70,KvB!$A$2:$B$3,2,FALSE),"")</f>
        <v>BE101000</v>
      </c>
      <c r="AI70" s="11" t="s">
        <v>55</v>
      </c>
      <c r="AJ70" s="11"/>
      <c r="AK70" s="11"/>
      <c r="AL70" s="11"/>
      <c r="AM70" s="11"/>
      <c r="AN70" s="11"/>
      <c r="AO70" s="11"/>
      <c r="AP70" s="2" t="s">
        <v>70</v>
      </c>
      <c r="AQ70" s="11" t="str">
        <f>IF(I70&lt;&gt;"",DATA!D69,"")</f>
        <v>8418690099</v>
      </c>
    </row>
    <row r="71" spans="1:43" ht="15.75" x14ac:dyDescent="0.25">
      <c r="A71" s="11" t="s">
        <v>57</v>
      </c>
      <c r="B71" s="11" t="s">
        <v>56</v>
      </c>
      <c r="C71" s="22">
        <f t="shared" si="10"/>
        <v>25001620</v>
      </c>
      <c r="D71" s="11" t="str">
        <f t="shared" si="7"/>
        <v>SKIIFM_AT</v>
      </c>
      <c r="E71" s="11" t="str">
        <f>IF(I71&lt;&gt;"",VLOOKUP(F71,OPDRACHTGEVER!$A$2:$B$4,2,FALSE),"")</f>
        <v>SKIIFM_AT</v>
      </c>
      <c r="F71" s="11" t="s">
        <v>58</v>
      </c>
      <c r="I71" s="11" t="str">
        <f>IF(DATA!B70&lt;&gt;"",DATA!B70,"")</f>
        <v>MSMU8568605</v>
      </c>
      <c r="J71" s="12">
        <v>0</v>
      </c>
      <c r="K71" s="11" t="s">
        <v>53</v>
      </c>
      <c r="L71" s="11" t="str">
        <f t="shared" si="8"/>
        <v>850440</v>
      </c>
      <c r="M71" s="11" t="str">
        <f>IF(I71&lt;&gt;"",DATA!E70,"")</f>
        <v>INVERTER</v>
      </c>
      <c r="N71" s="12">
        <v>0</v>
      </c>
      <c r="O71" s="11">
        <f>IF(I71&lt;&gt;"",DATA!C70,"")</f>
        <v>17.850000000000001</v>
      </c>
      <c r="P71" s="2">
        <v>294094</v>
      </c>
      <c r="Q71" s="2" t="s">
        <v>1304</v>
      </c>
      <c r="R71" s="2" t="s">
        <v>1306</v>
      </c>
      <c r="S71" s="2">
        <v>221</v>
      </c>
      <c r="T71" s="2">
        <v>1</v>
      </c>
      <c r="U71" s="2" t="s">
        <v>141</v>
      </c>
      <c r="Y71" s="2">
        <v>1700</v>
      </c>
      <c r="Z71" s="11" t="s">
        <v>54</v>
      </c>
      <c r="AA71" s="11" t="str">
        <f t="shared" si="9"/>
        <v>1700 - TBN</v>
      </c>
      <c r="AC71" s="2" t="s">
        <v>145</v>
      </c>
      <c r="AD71" s="11" t="str">
        <f>IF($I71&lt;&gt;"",VLOOKUP($AC71,GEADRESSEERDE!$A$2:$E$4,2,),"")</f>
        <v>LUITHAGEN HAVEN 2 D</v>
      </c>
      <c r="AE71" s="11">
        <f>IF($I71&lt;&gt;"",VLOOKUP($AC71,GEADRESSEERDE!$A$2:$E$4,3,),"")</f>
        <v>2030</v>
      </c>
      <c r="AF71" s="11" t="str">
        <f>IF($I71&lt;&gt;"",VLOOKUP($AC71,GEADRESSEERDE!$A$2:$E$4,4,),"")</f>
        <v>ANTWERPEN</v>
      </c>
      <c r="AG71" s="11" t="str">
        <f>IF($I71&lt;&gt;"",VLOOKUP($AC71,GEADRESSEERDE!$A$2:$E$4,5,),"")</f>
        <v>BE</v>
      </c>
      <c r="AH71" s="11" t="str">
        <f>IF(I71&lt;&gt;"",VLOOKUP(AP71,KvB!$A$2:$B$3,2,FALSE),"")</f>
        <v>BE101000</v>
      </c>
      <c r="AI71" s="11" t="s">
        <v>55</v>
      </c>
      <c r="AJ71" s="11"/>
      <c r="AK71" s="11"/>
      <c r="AL71" s="11"/>
      <c r="AM71" s="11"/>
      <c r="AN71" s="11"/>
      <c r="AO71" s="11"/>
      <c r="AP71" s="2" t="s">
        <v>70</v>
      </c>
      <c r="AQ71" s="11" t="str">
        <f>IF(I71&lt;&gt;"",DATA!D70,"")</f>
        <v>8504409590</v>
      </c>
    </row>
    <row r="72" spans="1:43" ht="15.75" x14ac:dyDescent="0.25">
      <c r="A72" s="11" t="s">
        <v>57</v>
      </c>
      <c r="B72" s="11" t="s">
        <v>56</v>
      </c>
      <c r="C72" s="22">
        <f t="shared" si="10"/>
        <v>25001620</v>
      </c>
      <c r="D72" s="11" t="str">
        <f t="shared" si="7"/>
        <v>SKIIFM_AT</v>
      </c>
      <c r="E72" s="11" t="str">
        <f>IF(I72&lt;&gt;"",VLOOKUP(F72,OPDRACHTGEVER!$A$2:$B$4,2,FALSE),"")</f>
        <v>SKIIFM_AT</v>
      </c>
      <c r="F72" s="11" t="s">
        <v>58</v>
      </c>
      <c r="I72" s="11" t="str">
        <f>IF(DATA!B71&lt;&gt;"",DATA!B71,"")</f>
        <v>MSMU8568605</v>
      </c>
      <c r="J72" s="12">
        <v>0</v>
      </c>
      <c r="K72" s="11" t="s">
        <v>53</v>
      </c>
      <c r="L72" s="11" t="str">
        <f t="shared" si="8"/>
        <v>830241</v>
      </c>
      <c r="M72" s="11" t="str">
        <f>IF(I72&lt;&gt;"",DATA!E71,"")</f>
        <v>IRON HANGING RAIL</v>
      </c>
      <c r="N72" s="12">
        <v>0</v>
      </c>
      <c r="O72" s="11">
        <f>IF(I72&lt;&gt;"",DATA!C71,"")</f>
        <v>54.6</v>
      </c>
      <c r="P72" s="2">
        <v>294094</v>
      </c>
      <c r="Q72" s="2" t="s">
        <v>1304</v>
      </c>
      <c r="R72" s="2" t="s">
        <v>1306</v>
      </c>
      <c r="S72" s="2">
        <v>221</v>
      </c>
      <c r="T72" s="2">
        <v>1</v>
      </c>
      <c r="U72" s="2" t="s">
        <v>141</v>
      </c>
      <c r="Y72" s="2">
        <v>1700</v>
      </c>
      <c r="Z72" s="11" t="s">
        <v>54</v>
      </c>
      <c r="AA72" s="11" t="str">
        <f t="shared" si="9"/>
        <v>1700 - TBN</v>
      </c>
      <c r="AC72" s="2" t="s">
        <v>145</v>
      </c>
      <c r="AD72" s="11" t="str">
        <f>IF($I72&lt;&gt;"",VLOOKUP($AC72,GEADRESSEERDE!$A$2:$E$4,2,),"")</f>
        <v>LUITHAGEN HAVEN 2 D</v>
      </c>
      <c r="AE72" s="11">
        <f>IF($I72&lt;&gt;"",VLOOKUP($AC72,GEADRESSEERDE!$A$2:$E$4,3,),"")</f>
        <v>2030</v>
      </c>
      <c r="AF72" s="11" t="str">
        <f>IF($I72&lt;&gt;"",VLOOKUP($AC72,GEADRESSEERDE!$A$2:$E$4,4,),"")</f>
        <v>ANTWERPEN</v>
      </c>
      <c r="AG72" s="11" t="str">
        <f>IF($I72&lt;&gt;"",VLOOKUP($AC72,GEADRESSEERDE!$A$2:$E$4,5,),"")</f>
        <v>BE</v>
      </c>
      <c r="AH72" s="11" t="str">
        <f>IF(I72&lt;&gt;"",VLOOKUP(AP72,KvB!$A$2:$B$3,2,FALSE),"")</f>
        <v>BE101000</v>
      </c>
      <c r="AI72" s="11" t="s">
        <v>55</v>
      </c>
      <c r="AJ72" s="11"/>
      <c r="AK72" s="11"/>
      <c r="AL72" s="11"/>
      <c r="AM72" s="11"/>
      <c r="AN72" s="11"/>
      <c r="AO72" s="11"/>
      <c r="AP72" s="2" t="s">
        <v>70</v>
      </c>
      <c r="AQ72" s="11" t="str">
        <f>IF(I72&lt;&gt;"",DATA!D71,"")</f>
        <v>8302411000</v>
      </c>
    </row>
    <row r="73" spans="1:43" ht="15.75" x14ac:dyDescent="0.25">
      <c r="A73" s="11" t="s">
        <v>57</v>
      </c>
      <c r="B73" s="11" t="s">
        <v>56</v>
      </c>
      <c r="C73" s="22">
        <f t="shared" si="10"/>
        <v>25001620</v>
      </c>
      <c r="D73" s="11" t="str">
        <f t="shared" si="7"/>
        <v>SKIIFM_AT</v>
      </c>
      <c r="E73" s="11" t="str">
        <f>IF(I73&lt;&gt;"",VLOOKUP(F73,OPDRACHTGEVER!$A$2:$B$4,2,FALSE),"")</f>
        <v>SKIIFM_AT</v>
      </c>
      <c r="F73" s="11" t="s">
        <v>58</v>
      </c>
      <c r="I73" s="11" t="str">
        <f>IF(DATA!B72&lt;&gt;"",DATA!B72,"")</f>
        <v>MSMU8568605</v>
      </c>
      <c r="J73" s="12">
        <v>0</v>
      </c>
      <c r="K73" s="11" t="s">
        <v>53</v>
      </c>
      <c r="L73" s="11" t="str">
        <f t="shared" si="8"/>
        <v>940320</v>
      </c>
      <c r="M73" s="11" t="str">
        <f>IF(I73&lt;&gt;"",DATA!E72,"")</f>
        <v>KEY CABINET</v>
      </c>
      <c r="N73" s="12">
        <v>0</v>
      </c>
      <c r="O73" s="11">
        <f>IF(I73&lt;&gt;"",DATA!C72,"")</f>
        <v>278.3</v>
      </c>
      <c r="P73" s="2">
        <v>294094</v>
      </c>
      <c r="Q73" s="2" t="s">
        <v>1304</v>
      </c>
      <c r="R73" s="2" t="s">
        <v>1306</v>
      </c>
      <c r="S73" s="2">
        <v>221</v>
      </c>
      <c r="T73" s="2">
        <v>1</v>
      </c>
      <c r="U73" s="2" t="s">
        <v>141</v>
      </c>
      <c r="Y73" s="2">
        <v>1700</v>
      </c>
      <c r="Z73" s="11" t="s">
        <v>54</v>
      </c>
      <c r="AA73" s="11" t="str">
        <f t="shared" si="9"/>
        <v>1700 - TBN</v>
      </c>
      <c r="AC73" s="2" t="s">
        <v>145</v>
      </c>
      <c r="AD73" s="11" t="str">
        <f>IF($I73&lt;&gt;"",VLOOKUP($AC73,GEADRESSEERDE!$A$2:$E$4,2,),"")</f>
        <v>LUITHAGEN HAVEN 2 D</v>
      </c>
      <c r="AE73" s="11">
        <f>IF($I73&lt;&gt;"",VLOOKUP($AC73,GEADRESSEERDE!$A$2:$E$4,3,),"")</f>
        <v>2030</v>
      </c>
      <c r="AF73" s="11" t="str">
        <f>IF($I73&lt;&gt;"",VLOOKUP($AC73,GEADRESSEERDE!$A$2:$E$4,4,),"")</f>
        <v>ANTWERPEN</v>
      </c>
      <c r="AG73" s="11" t="str">
        <f>IF($I73&lt;&gt;"",VLOOKUP($AC73,GEADRESSEERDE!$A$2:$E$4,5,),"")</f>
        <v>BE</v>
      </c>
      <c r="AH73" s="11" t="str">
        <f>IF(I73&lt;&gt;"",VLOOKUP(AP73,KvB!$A$2:$B$3,2,FALSE),"")</f>
        <v>BE101000</v>
      </c>
      <c r="AI73" s="11" t="s">
        <v>55</v>
      </c>
      <c r="AJ73" s="11"/>
      <c r="AK73" s="11"/>
      <c r="AL73" s="11"/>
      <c r="AM73" s="11"/>
      <c r="AN73" s="11"/>
      <c r="AO73" s="11"/>
      <c r="AP73" s="2" t="s">
        <v>70</v>
      </c>
      <c r="AQ73" s="11" t="str">
        <f>IF(I73&lt;&gt;"",DATA!D72,"")</f>
        <v>9403208000</v>
      </c>
    </row>
    <row r="74" spans="1:43" ht="15.75" x14ac:dyDescent="0.25">
      <c r="A74" s="11" t="s">
        <v>57</v>
      </c>
      <c r="B74" s="11" t="s">
        <v>56</v>
      </c>
      <c r="C74" s="22">
        <f t="shared" si="10"/>
        <v>25001620</v>
      </c>
      <c r="D74" s="11" t="str">
        <f t="shared" si="7"/>
        <v>SKIIFM_AT</v>
      </c>
      <c r="E74" s="11" t="str">
        <f>IF(I74&lt;&gt;"",VLOOKUP(F74,OPDRACHTGEVER!$A$2:$B$4,2,FALSE),"")</f>
        <v>SKIIFM_AT</v>
      </c>
      <c r="F74" s="11" t="s">
        <v>58</v>
      </c>
      <c r="I74" s="11" t="str">
        <f>IF(DATA!B73&lt;&gt;"",DATA!B73,"")</f>
        <v>MSMU8568605</v>
      </c>
      <c r="J74" s="12">
        <v>0</v>
      </c>
      <c r="K74" s="11" t="s">
        <v>53</v>
      </c>
      <c r="L74" s="11" t="str">
        <f t="shared" si="8"/>
        <v>853890</v>
      </c>
      <c r="M74" s="11" t="str">
        <f>IF(I74&lt;&gt;"",DATA!E73,"")</f>
        <v>KIT-ISOLATOR HARNESS</v>
      </c>
      <c r="N74" s="12">
        <v>0</v>
      </c>
      <c r="O74" s="11">
        <f>IF(I74&lt;&gt;"",DATA!C73,"")</f>
        <v>34.049999999999997</v>
      </c>
      <c r="P74" s="2">
        <v>294094</v>
      </c>
      <c r="Q74" s="2" t="s">
        <v>1304</v>
      </c>
      <c r="R74" s="2" t="s">
        <v>1306</v>
      </c>
      <c r="S74" s="2">
        <v>221</v>
      </c>
      <c r="T74" s="2">
        <v>1</v>
      </c>
      <c r="U74" s="2" t="s">
        <v>141</v>
      </c>
      <c r="Y74" s="2">
        <v>1700</v>
      </c>
      <c r="Z74" s="11" t="s">
        <v>54</v>
      </c>
      <c r="AA74" s="11" t="str">
        <f t="shared" si="9"/>
        <v>1700 - TBN</v>
      </c>
      <c r="AC74" s="2" t="s">
        <v>145</v>
      </c>
      <c r="AD74" s="11" t="str">
        <f>IF($I74&lt;&gt;"",VLOOKUP($AC74,GEADRESSEERDE!$A$2:$E$4,2,),"")</f>
        <v>LUITHAGEN HAVEN 2 D</v>
      </c>
      <c r="AE74" s="11">
        <f>IF($I74&lt;&gt;"",VLOOKUP($AC74,GEADRESSEERDE!$A$2:$E$4,3,),"")</f>
        <v>2030</v>
      </c>
      <c r="AF74" s="11" t="str">
        <f>IF($I74&lt;&gt;"",VLOOKUP($AC74,GEADRESSEERDE!$A$2:$E$4,4,),"")</f>
        <v>ANTWERPEN</v>
      </c>
      <c r="AG74" s="11" t="str">
        <f>IF($I74&lt;&gt;"",VLOOKUP($AC74,GEADRESSEERDE!$A$2:$E$4,5,),"")</f>
        <v>BE</v>
      </c>
      <c r="AH74" s="11" t="str">
        <f>IF(I74&lt;&gt;"",VLOOKUP(AP74,KvB!$A$2:$B$3,2,FALSE),"")</f>
        <v>BE101000</v>
      </c>
      <c r="AI74" s="11" t="s">
        <v>55</v>
      </c>
      <c r="AJ74" s="11"/>
      <c r="AK74" s="11"/>
      <c r="AL74" s="11"/>
      <c r="AM74" s="11"/>
      <c r="AN74" s="11"/>
      <c r="AO74" s="11"/>
      <c r="AP74" s="2" t="s">
        <v>70</v>
      </c>
      <c r="AQ74" s="11" t="str">
        <f>IF(I74&lt;&gt;"",DATA!D73,"")</f>
        <v>8538909189</v>
      </c>
    </row>
    <row r="75" spans="1:43" ht="15.75" x14ac:dyDescent="0.25">
      <c r="A75" s="11" t="s">
        <v>57</v>
      </c>
      <c r="B75" s="11" t="s">
        <v>56</v>
      </c>
      <c r="C75" s="22">
        <f t="shared" si="10"/>
        <v>25001620</v>
      </c>
      <c r="D75" s="11" t="str">
        <f t="shared" si="7"/>
        <v>SKIIFM_AT</v>
      </c>
      <c r="E75" s="11" t="str">
        <f>IF(I75&lt;&gt;"",VLOOKUP(F75,OPDRACHTGEVER!$A$2:$B$4,2,FALSE),"")</f>
        <v>SKIIFM_AT</v>
      </c>
      <c r="F75" s="11" t="s">
        <v>58</v>
      </c>
      <c r="I75" s="11" t="str">
        <f>IF(DATA!B74&lt;&gt;"",DATA!B74,"")</f>
        <v>MSMU8568605</v>
      </c>
      <c r="J75" s="12">
        <v>0</v>
      </c>
      <c r="K75" s="11" t="s">
        <v>53</v>
      </c>
      <c r="L75" s="11" t="str">
        <f t="shared" si="8"/>
        <v>842240</v>
      </c>
      <c r="M75" s="11" t="str">
        <f>IF(I75&lt;&gt;"",DATA!E74,"")</f>
        <v>LABELLER</v>
      </c>
      <c r="N75" s="12">
        <v>0</v>
      </c>
      <c r="O75" s="11">
        <f>IF(I75&lt;&gt;"",DATA!C74,"")</f>
        <v>44.55</v>
      </c>
      <c r="P75" s="2">
        <v>294094</v>
      </c>
      <c r="Q75" s="2" t="s">
        <v>1304</v>
      </c>
      <c r="R75" s="2" t="s">
        <v>1306</v>
      </c>
      <c r="S75" s="2">
        <v>221</v>
      </c>
      <c r="T75" s="2">
        <v>1</v>
      </c>
      <c r="U75" s="2" t="s">
        <v>141</v>
      </c>
      <c r="Y75" s="2">
        <v>1700</v>
      </c>
      <c r="Z75" s="11" t="s">
        <v>54</v>
      </c>
      <c r="AA75" s="11" t="str">
        <f t="shared" si="9"/>
        <v>1700 - TBN</v>
      </c>
      <c r="AC75" s="2" t="s">
        <v>145</v>
      </c>
      <c r="AD75" s="11" t="str">
        <f>IF($I75&lt;&gt;"",VLOOKUP($AC75,GEADRESSEERDE!$A$2:$E$4,2,),"")</f>
        <v>LUITHAGEN HAVEN 2 D</v>
      </c>
      <c r="AE75" s="11">
        <f>IF($I75&lt;&gt;"",VLOOKUP($AC75,GEADRESSEERDE!$A$2:$E$4,3,),"")</f>
        <v>2030</v>
      </c>
      <c r="AF75" s="11" t="str">
        <f>IF($I75&lt;&gt;"",VLOOKUP($AC75,GEADRESSEERDE!$A$2:$E$4,4,),"")</f>
        <v>ANTWERPEN</v>
      </c>
      <c r="AG75" s="11" t="str">
        <f>IF($I75&lt;&gt;"",VLOOKUP($AC75,GEADRESSEERDE!$A$2:$E$4,5,),"")</f>
        <v>BE</v>
      </c>
      <c r="AH75" s="11" t="str">
        <f>IF(I75&lt;&gt;"",VLOOKUP(AP75,KvB!$A$2:$B$3,2,FALSE),"")</f>
        <v>BE101000</v>
      </c>
      <c r="AI75" s="11" t="s">
        <v>55</v>
      </c>
      <c r="AJ75" s="11"/>
      <c r="AK75" s="11"/>
      <c r="AL75" s="11"/>
      <c r="AM75" s="11"/>
      <c r="AN75" s="11"/>
      <c r="AO75" s="11"/>
      <c r="AP75" s="2" t="s">
        <v>70</v>
      </c>
      <c r="AQ75" s="11" t="str">
        <f>IF(I75&lt;&gt;"",DATA!D74,"")</f>
        <v>8422400000</v>
      </c>
    </row>
    <row r="76" spans="1:43" ht="15.75" x14ac:dyDescent="0.25">
      <c r="A76" s="11" t="s">
        <v>57</v>
      </c>
      <c r="B76" s="11" t="s">
        <v>56</v>
      </c>
      <c r="C76" s="22">
        <f t="shared" si="10"/>
        <v>25001620</v>
      </c>
      <c r="D76" s="11" t="str">
        <f t="shared" si="7"/>
        <v>SKIIFM_AT</v>
      </c>
      <c r="E76" s="11" t="str">
        <f>IF(I76&lt;&gt;"",VLOOKUP(F76,OPDRACHTGEVER!$A$2:$B$4,2,FALSE),"")</f>
        <v>SKIIFM_AT</v>
      </c>
      <c r="F76" s="11" t="s">
        <v>58</v>
      </c>
      <c r="I76" s="11" t="str">
        <f>IF(DATA!B75&lt;&gt;"",DATA!B75,"")</f>
        <v>MSMU8568605</v>
      </c>
      <c r="J76" s="12">
        <v>0</v>
      </c>
      <c r="K76" s="11" t="s">
        <v>53</v>
      </c>
      <c r="L76" s="11" t="str">
        <f t="shared" si="8"/>
        <v>851529</v>
      </c>
      <c r="M76" s="11" t="str">
        <f>IF(I76&lt;&gt;"",DATA!E75,"")</f>
        <v>MANUAL TILE CUTTER</v>
      </c>
      <c r="N76" s="12">
        <v>0</v>
      </c>
      <c r="O76" s="11">
        <f>IF(I76&lt;&gt;"",DATA!C75,"")</f>
        <v>367.85</v>
      </c>
      <c r="P76" s="2">
        <v>294094</v>
      </c>
      <c r="Q76" s="2" t="s">
        <v>1304</v>
      </c>
      <c r="R76" s="2" t="s">
        <v>1306</v>
      </c>
      <c r="S76" s="2">
        <v>221</v>
      </c>
      <c r="T76" s="2">
        <v>1</v>
      </c>
      <c r="U76" s="2" t="s">
        <v>141</v>
      </c>
      <c r="Y76" s="2">
        <v>1700</v>
      </c>
      <c r="Z76" s="11" t="s">
        <v>54</v>
      </c>
      <c r="AA76" s="11" t="str">
        <f t="shared" si="9"/>
        <v>1700 - TBN</v>
      </c>
      <c r="AC76" s="2" t="s">
        <v>145</v>
      </c>
      <c r="AD76" s="11" t="str">
        <f>IF($I76&lt;&gt;"",VLOOKUP($AC76,GEADRESSEERDE!$A$2:$E$4,2,),"")</f>
        <v>LUITHAGEN HAVEN 2 D</v>
      </c>
      <c r="AE76" s="11">
        <f>IF($I76&lt;&gt;"",VLOOKUP($AC76,GEADRESSEERDE!$A$2:$E$4,3,),"")</f>
        <v>2030</v>
      </c>
      <c r="AF76" s="11" t="str">
        <f>IF($I76&lt;&gt;"",VLOOKUP($AC76,GEADRESSEERDE!$A$2:$E$4,4,),"")</f>
        <v>ANTWERPEN</v>
      </c>
      <c r="AG76" s="11" t="str">
        <f>IF($I76&lt;&gt;"",VLOOKUP($AC76,GEADRESSEERDE!$A$2:$E$4,5,),"")</f>
        <v>BE</v>
      </c>
      <c r="AH76" s="11" t="str">
        <f>IF(I76&lt;&gt;"",VLOOKUP(AP76,KvB!$A$2:$B$3,2,FALSE),"")</f>
        <v>BE101000</v>
      </c>
      <c r="AI76" s="11" t="s">
        <v>55</v>
      </c>
      <c r="AJ76" s="11"/>
      <c r="AK76" s="11"/>
      <c r="AL76" s="11"/>
      <c r="AM76" s="11"/>
      <c r="AN76" s="11"/>
      <c r="AO76" s="11"/>
      <c r="AP76" s="2" t="s">
        <v>70</v>
      </c>
      <c r="AQ76" s="11" t="str">
        <f>IF(I76&lt;&gt;"",DATA!D75,"")</f>
        <v>8515290000</v>
      </c>
    </row>
    <row r="77" spans="1:43" ht="15.75" x14ac:dyDescent="0.25">
      <c r="A77" s="11" t="s">
        <v>57</v>
      </c>
      <c r="B77" s="11" t="s">
        <v>56</v>
      </c>
      <c r="C77" s="22">
        <f t="shared" si="10"/>
        <v>25001620</v>
      </c>
      <c r="D77" s="11" t="str">
        <f t="shared" si="7"/>
        <v>SKIIFM_AT</v>
      </c>
      <c r="E77" s="11" t="str">
        <f>IF(I77&lt;&gt;"",VLOOKUP(F77,OPDRACHTGEVER!$A$2:$B$4,2,FALSE),"")</f>
        <v>SKIIFM_AT</v>
      </c>
      <c r="F77" s="11" t="s">
        <v>58</v>
      </c>
      <c r="I77" s="11" t="str">
        <f>IF(DATA!B76&lt;&gt;"",DATA!B76,"")</f>
        <v>MSMU8568605</v>
      </c>
      <c r="J77" s="12">
        <v>0</v>
      </c>
      <c r="K77" s="11" t="s">
        <v>53</v>
      </c>
      <c r="L77" s="11" t="str">
        <f t="shared" si="8"/>
        <v>902720</v>
      </c>
      <c r="M77" s="11" t="str">
        <f>IF(I77&lt;&gt;"",DATA!E76,"")</f>
        <v>MEASURING WHEEL</v>
      </c>
      <c r="N77" s="12">
        <v>0</v>
      </c>
      <c r="O77" s="11">
        <f>IF(I77&lt;&gt;"",DATA!C76,"")</f>
        <v>49.3</v>
      </c>
      <c r="P77" s="2">
        <v>294094</v>
      </c>
      <c r="Q77" s="2" t="s">
        <v>1304</v>
      </c>
      <c r="R77" s="2" t="s">
        <v>1306</v>
      </c>
      <c r="S77" s="2">
        <v>221</v>
      </c>
      <c r="T77" s="2">
        <v>1</v>
      </c>
      <c r="U77" s="2" t="s">
        <v>141</v>
      </c>
      <c r="Y77" s="2">
        <v>1700</v>
      </c>
      <c r="Z77" s="11" t="s">
        <v>54</v>
      </c>
      <c r="AA77" s="11" t="str">
        <f t="shared" si="9"/>
        <v>1700 - TBN</v>
      </c>
      <c r="AC77" s="2" t="s">
        <v>145</v>
      </c>
      <c r="AD77" s="11" t="str">
        <f>IF($I77&lt;&gt;"",VLOOKUP($AC77,GEADRESSEERDE!$A$2:$E$4,2,),"")</f>
        <v>LUITHAGEN HAVEN 2 D</v>
      </c>
      <c r="AE77" s="11">
        <f>IF($I77&lt;&gt;"",VLOOKUP($AC77,GEADRESSEERDE!$A$2:$E$4,3,),"")</f>
        <v>2030</v>
      </c>
      <c r="AF77" s="11" t="str">
        <f>IF($I77&lt;&gt;"",VLOOKUP($AC77,GEADRESSEERDE!$A$2:$E$4,4,),"")</f>
        <v>ANTWERPEN</v>
      </c>
      <c r="AG77" s="11" t="str">
        <f>IF($I77&lt;&gt;"",VLOOKUP($AC77,GEADRESSEERDE!$A$2:$E$4,5,),"")</f>
        <v>BE</v>
      </c>
      <c r="AH77" s="11" t="str">
        <f>IF(I77&lt;&gt;"",VLOOKUP(AP77,KvB!$A$2:$B$3,2,FALSE),"")</f>
        <v>BE101000</v>
      </c>
      <c r="AI77" s="11" t="s">
        <v>55</v>
      </c>
      <c r="AJ77" s="11"/>
      <c r="AK77" s="11"/>
      <c r="AL77" s="11"/>
      <c r="AM77" s="11"/>
      <c r="AN77" s="11"/>
      <c r="AO77" s="11"/>
      <c r="AP77" s="2" t="s">
        <v>70</v>
      </c>
      <c r="AQ77" s="11" t="str">
        <f>IF(I77&lt;&gt;"",DATA!D76,"")</f>
        <v>9027200000</v>
      </c>
    </row>
    <row r="78" spans="1:43" ht="15.75" x14ac:dyDescent="0.25">
      <c r="A78" s="11" t="s">
        <v>57</v>
      </c>
      <c r="B78" s="11" t="s">
        <v>56</v>
      </c>
      <c r="C78" s="22">
        <f t="shared" si="10"/>
        <v>25001620</v>
      </c>
      <c r="D78" s="11" t="str">
        <f t="shared" si="7"/>
        <v>SKIIFM_AT</v>
      </c>
      <c r="E78" s="11" t="str">
        <f>IF(I78&lt;&gt;"",VLOOKUP(F78,OPDRACHTGEVER!$A$2:$B$4,2,FALSE),"")</f>
        <v>SKIIFM_AT</v>
      </c>
      <c r="F78" s="11" t="s">
        <v>58</v>
      </c>
      <c r="I78" s="11" t="str">
        <f>IF(DATA!B77&lt;&gt;"",DATA!B77,"")</f>
        <v>MSMU8568605</v>
      </c>
      <c r="J78" s="12">
        <v>0</v>
      </c>
      <c r="K78" s="11" t="s">
        <v>53</v>
      </c>
      <c r="L78" s="11" t="str">
        <f t="shared" si="8"/>
        <v>854370</v>
      </c>
      <c r="M78" s="11" t="str">
        <f>IF(I78&lt;&gt;"",DATA!E77,"")</f>
        <v>METAL DETECTOR</v>
      </c>
      <c r="N78" s="12">
        <v>0</v>
      </c>
      <c r="O78" s="11">
        <f>IF(I78&lt;&gt;"",DATA!C77,"")</f>
        <v>89.9</v>
      </c>
      <c r="P78" s="2">
        <v>294094</v>
      </c>
      <c r="Q78" s="2" t="s">
        <v>1304</v>
      </c>
      <c r="R78" s="2" t="s">
        <v>1306</v>
      </c>
      <c r="S78" s="2">
        <v>221</v>
      </c>
      <c r="T78" s="2">
        <v>1</v>
      </c>
      <c r="U78" s="2" t="s">
        <v>141</v>
      </c>
      <c r="Y78" s="2">
        <v>1700</v>
      </c>
      <c r="Z78" s="11" t="s">
        <v>54</v>
      </c>
      <c r="AA78" s="11" t="str">
        <f t="shared" si="9"/>
        <v>1700 - TBN</v>
      </c>
      <c r="AC78" s="2" t="s">
        <v>145</v>
      </c>
      <c r="AD78" s="11" t="str">
        <f>IF($I78&lt;&gt;"",VLOOKUP($AC78,GEADRESSEERDE!$A$2:$E$4,2,),"")</f>
        <v>LUITHAGEN HAVEN 2 D</v>
      </c>
      <c r="AE78" s="11">
        <f>IF($I78&lt;&gt;"",VLOOKUP($AC78,GEADRESSEERDE!$A$2:$E$4,3,),"")</f>
        <v>2030</v>
      </c>
      <c r="AF78" s="11" t="str">
        <f>IF($I78&lt;&gt;"",VLOOKUP($AC78,GEADRESSEERDE!$A$2:$E$4,4,),"")</f>
        <v>ANTWERPEN</v>
      </c>
      <c r="AG78" s="11" t="str">
        <f>IF($I78&lt;&gt;"",VLOOKUP($AC78,GEADRESSEERDE!$A$2:$E$4,5,),"")</f>
        <v>BE</v>
      </c>
      <c r="AH78" s="11" t="str">
        <f>IF(I78&lt;&gt;"",VLOOKUP(AP78,KvB!$A$2:$B$3,2,FALSE),"")</f>
        <v>BE101000</v>
      </c>
      <c r="AI78" s="11" t="s">
        <v>55</v>
      </c>
      <c r="AJ78" s="11"/>
      <c r="AK78" s="11"/>
      <c r="AL78" s="11"/>
      <c r="AM78" s="11"/>
      <c r="AN78" s="11"/>
      <c r="AO78" s="11"/>
      <c r="AP78" s="2" t="s">
        <v>70</v>
      </c>
      <c r="AQ78" s="11" t="str">
        <f>IF(I78&lt;&gt;"",DATA!D77,"")</f>
        <v>8543709099</v>
      </c>
    </row>
    <row r="79" spans="1:43" ht="15.75" x14ac:dyDescent="0.25">
      <c r="A79" s="11" t="s">
        <v>57</v>
      </c>
      <c r="B79" s="11" t="s">
        <v>56</v>
      </c>
      <c r="C79" s="22">
        <f t="shared" si="10"/>
        <v>25001620</v>
      </c>
      <c r="D79" s="11" t="str">
        <f t="shared" si="7"/>
        <v>SKIIFM_AT</v>
      </c>
      <c r="E79" s="11" t="str">
        <f>IF(I79&lt;&gt;"",VLOOKUP(F79,OPDRACHTGEVER!$A$2:$B$4,2,FALSE),"")</f>
        <v>SKIIFM_AT</v>
      </c>
      <c r="F79" s="11" t="s">
        <v>58</v>
      </c>
      <c r="I79" s="11" t="str">
        <f>IF(DATA!B78&lt;&gt;"",DATA!B78,"")</f>
        <v>MSMU8568605</v>
      </c>
      <c r="J79" s="12">
        <v>0</v>
      </c>
      <c r="K79" s="11" t="s">
        <v>53</v>
      </c>
      <c r="L79" s="11" t="str">
        <f t="shared" si="8"/>
        <v>871410</v>
      </c>
      <c r="M79" s="11" t="str">
        <f>IF(I79&lt;&gt;"",DATA!E78,"")</f>
        <v>MOTORCYCLE TRUNK</v>
      </c>
      <c r="N79" s="12">
        <v>0</v>
      </c>
      <c r="O79" s="11">
        <f>IF(I79&lt;&gt;"",DATA!C78,"")</f>
        <v>9.15</v>
      </c>
      <c r="P79" s="2">
        <v>294094</v>
      </c>
      <c r="Q79" s="2" t="s">
        <v>1304</v>
      </c>
      <c r="R79" s="2" t="s">
        <v>1306</v>
      </c>
      <c r="S79" s="2">
        <v>221</v>
      </c>
      <c r="T79" s="2">
        <v>1</v>
      </c>
      <c r="U79" s="2" t="s">
        <v>141</v>
      </c>
      <c r="Y79" s="2">
        <v>1700</v>
      </c>
      <c r="Z79" s="11" t="s">
        <v>54</v>
      </c>
      <c r="AA79" s="11" t="str">
        <f t="shared" si="9"/>
        <v>1700 - TBN</v>
      </c>
      <c r="AC79" s="2" t="s">
        <v>145</v>
      </c>
      <c r="AD79" s="11" t="str">
        <f>IF($I79&lt;&gt;"",VLOOKUP($AC79,GEADRESSEERDE!$A$2:$E$4,2,),"")</f>
        <v>LUITHAGEN HAVEN 2 D</v>
      </c>
      <c r="AE79" s="11">
        <f>IF($I79&lt;&gt;"",VLOOKUP($AC79,GEADRESSEERDE!$A$2:$E$4,3,),"")</f>
        <v>2030</v>
      </c>
      <c r="AF79" s="11" t="str">
        <f>IF($I79&lt;&gt;"",VLOOKUP($AC79,GEADRESSEERDE!$A$2:$E$4,4,),"")</f>
        <v>ANTWERPEN</v>
      </c>
      <c r="AG79" s="11" t="str">
        <f>IF($I79&lt;&gt;"",VLOOKUP($AC79,GEADRESSEERDE!$A$2:$E$4,5,),"")</f>
        <v>BE</v>
      </c>
      <c r="AH79" s="11" t="str">
        <f>IF(I79&lt;&gt;"",VLOOKUP(AP79,KvB!$A$2:$B$3,2,FALSE),"")</f>
        <v>BE101000</v>
      </c>
      <c r="AI79" s="11" t="s">
        <v>55</v>
      </c>
      <c r="AJ79" s="11"/>
      <c r="AK79" s="11"/>
      <c r="AL79" s="11"/>
      <c r="AM79" s="11"/>
      <c r="AN79" s="11"/>
      <c r="AO79" s="11"/>
      <c r="AP79" s="2" t="s">
        <v>70</v>
      </c>
      <c r="AQ79" s="11" t="str">
        <f>IF(I79&lt;&gt;"",DATA!D78,"")</f>
        <v>8714109090</v>
      </c>
    </row>
    <row r="80" spans="1:43" ht="15.75" x14ac:dyDescent="0.25">
      <c r="A80" s="11" t="s">
        <v>57</v>
      </c>
      <c r="B80" s="11" t="s">
        <v>56</v>
      </c>
      <c r="C80" s="22">
        <f t="shared" si="10"/>
        <v>25001620</v>
      </c>
      <c r="D80" s="11" t="str">
        <f t="shared" si="7"/>
        <v>SKIIFM_AT</v>
      </c>
      <c r="E80" s="11" t="str">
        <f>IF(I80&lt;&gt;"",VLOOKUP(F80,OPDRACHTGEVER!$A$2:$B$4,2,FALSE),"")</f>
        <v>SKIIFM_AT</v>
      </c>
      <c r="F80" s="11" t="s">
        <v>58</v>
      </c>
      <c r="I80" s="11" t="str">
        <f>IF(DATA!B79&lt;&gt;"",DATA!B79,"")</f>
        <v>MSMU8568605</v>
      </c>
      <c r="J80" s="12">
        <v>0</v>
      </c>
      <c r="K80" s="11" t="s">
        <v>53</v>
      </c>
      <c r="L80" s="11" t="str">
        <f t="shared" si="8"/>
        <v>940542</v>
      </c>
      <c r="M80" s="11" t="str">
        <f>IF(I80&lt;&gt;"",DATA!E79,"")</f>
        <v>PHOTOGRAPHY SOFTBOX</v>
      </c>
      <c r="N80" s="12">
        <v>0</v>
      </c>
      <c r="O80" s="11">
        <f>IF(I80&lt;&gt;"",DATA!C79,"")</f>
        <v>4.1500000000000004</v>
      </c>
      <c r="P80" s="2">
        <v>294094</v>
      </c>
      <c r="Q80" s="2" t="s">
        <v>1304</v>
      </c>
      <c r="R80" s="2" t="s">
        <v>1306</v>
      </c>
      <c r="S80" s="2">
        <v>221</v>
      </c>
      <c r="T80" s="2">
        <v>1</v>
      </c>
      <c r="U80" s="2" t="s">
        <v>141</v>
      </c>
      <c r="Y80" s="2">
        <v>1700</v>
      </c>
      <c r="Z80" s="11" t="s">
        <v>54</v>
      </c>
      <c r="AA80" s="11" t="str">
        <f t="shared" si="9"/>
        <v>1700 - TBN</v>
      </c>
      <c r="AC80" s="2" t="s">
        <v>145</v>
      </c>
      <c r="AD80" s="11" t="str">
        <f>IF($I80&lt;&gt;"",VLOOKUP($AC80,GEADRESSEERDE!$A$2:$E$4,2,),"")</f>
        <v>LUITHAGEN HAVEN 2 D</v>
      </c>
      <c r="AE80" s="11">
        <f>IF($I80&lt;&gt;"",VLOOKUP($AC80,GEADRESSEERDE!$A$2:$E$4,3,),"")</f>
        <v>2030</v>
      </c>
      <c r="AF80" s="11" t="str">
        <f>IF($I80&lt;&gt;"",VLOOKUP($AC80,GEADRESSEERDE!$A$2:$E$4,4,),"")</f>
        <v>ANTWERPEN</v>
      </c>
      <c r="AG80" s="11" t="str">
        <f>IF($I80&lt;&gt;"",VLOOKUP($AC80,GEADRESSEERDE!$A$2:$E$4,5,),"")</f>
        <v>BE</v>
      </c>
      <c r="AH80" s="11" t="str">
        <f>IF(I80&lt;&gt;"",VLOOKUP(AP80,KvB!$A$2:$B$3,2,FALSE),"")</f>
        <v>BE101000</v>
      </c>
      <c r="AI80" s="11" t="s">
        <v>55</v>
      </c>
      <c r="AJ80" s="11"/>
      <c r="AK80" s="11"/>
      <c r="AL80" s="11"/>
      <c r="AM80" s="11"/>
      <c r="AN80" s="11"/>
      <c r="AO80" s="11"/>
      <c r="AP80" s="2" t="s">
        <v>70</v>
      </c>
      <c r="AQ80" s="11" t="str">
        <f>IF(I80&lt;&gt;"",DATA!D79,"")</f>
        <v>9405423990</v>
      </c>
    </row>
    <row r="81" spans="1:43" ht="15.75" x14ac:dyDescent="0.25">
      <c r="A81" s="11" t="s">
        <v>57</v>
      </c>
      <c r="B81" s="11" t="s">
        <v>56</v>
      </c>
      <c r="C81" s="22">
        <f t="shared" si="10"/>
        <v>25001620</v>
      </c>
      <c r="D81" s="11" t="str">
        <f t="shared" si="7"/>
        <v>SKIIFM_AT</v>
      </c>
      <c r="E81" s="11" t="str">
        <f>IF(I81&lt;&gt;"",VLOOKUP(F81,OPDRACHTGEVER!$A$2:$B$4,2,FALSE),"")</f>
        <v>SKIIFM_AT</v>
      </c>
      <c r="F81" s="11" t="s">
        <v>58</v>
      </c>
      <c r="I81" s="11" t="str">
        <f>IF(DATA!B80&lt;&gt;"",DATA!B80,"")</f>
        <v>MSMU8568605</v>
      </c>
      <c r="J81" s="12">
        <v>0</v>
      </c>
      <c r="K81" s="11" t="s">
        <v>53</v>
      </c>
      <c r="L81" s="11" t="str">
        <f t="shared" si="8"/>
        <v>392590</v>
      </c>
      <c r="M81" s="11" t="str">
        <f>IF(I81&lt;&gt;"",DATA!E80,"")</f>
        <v>PLASTIC ESCALATOR</v>
      </c>
      <c r="N81" s="12">
        <v>0</v>
      </c>
      <c r="O81" s="11">
        <f>IF(I81&lt;&gt;"",DATA!C80,"")</f>
        <v>10.85</v>
      </c>
      <c r="P81" s="2">
        <v>294094</v>
      </c>
      <c r="Q81" s="2" t="s">
        <v>1304</v>
      </c>
      <c r="R81" s="2" t="s">
        <v>1306</v>
      </c>
      <c r="S81" s="2">
        <v>221</v>
      </c>
      <c r="T81" s="2">
        <v>1</v>
      </c>
      <c r="U81" s="2" t="s">
        <v>141</v>
      </c>
      <c r="Y81" s="2">
        <v>1700</v>
      </c>
      <c r="Z81" s="11" t="s">
        <v>54</v>
      </c>
      <c r="AA81" s="11" t="str">
        <f t="shared" si="9"/>
        <v>1700 - TBN</v>
      </c>
      <c r="AC81" s="2" t="s">
        <v>145</v>
      </c>
      <c r="AD81" s="11" t="str">
        <f>IF($I81&lt;&gt;"",VLOOKUP($AC81,GEADRESSEERDE!$A$2:$E$4,2,),"")</f>
        <v>LUITHAGEN HAVEN 2 D</v>
      </c>
      <c r="AE81" s="11">
        <f>IF($I81&lt;&gt;"",VLOOKUP($AC81,GEADRESSEERDE!$A$2:$E$4,3,),"")</f>
        <v>2030</v>
      </c>
      <c r="AF81" s="11" t="str">
        <f>IF($I81&lt;&gt;"",VLOOKUP($AC81,GEADRESSEERDE!$A$2:$E$4,4,),"")</f>
        <v>ANTWERPEN</v>
      </c>
      <c r="AG81" s="11" t="str">
        <f>IF($I81&lt;&gt;"",VLOOKUP($AC81,GEADRESSEERDE!$A$2:$E$4,5,),"")</f>
        <v>BE</v>
      </c>
      <c r="AH81" s="11" t="str">
        <f>IF(I81&lt;&gt;"",VLOOKUP(AP81,KvB!$A$2:$B$3,2,FALSE),"")</f>
        <v>BE101000</v>
      </c>
      <c r="AI81" s="11" t="s">
        <v>55</v>
      </c>
      <c r="AJ81" s="11"/>
      <c r="AK81" s="11"/>
      <c r="AL81" s="11"/>
      <c r="AM81" s="11"/>
      <c r="AN81" s="11"/>
      <c r="AO81" s="11"/>
      <c r="AP81" s="2" t="s">
        <v>70</v>
      </c>
      <c r="AQ81" s="11" t="str">
        <f>IF(I81&lt;&gt;"",DATA!D80,"")</f>
        <v>3925908000</v>
      </c>
    </row>
    <row r="82" spans="1:43" ht="15.75" x14ac:dyDescent="0.25">
      <c r="A82" s="11" t="s">
        <v>57</v>
      </c>
      <c r="B82" s="11" t="s">
        <v>56</v>
      </c>
      <c r="C82" s="22">
        <f t="shared" si="10"/>
        <v>25001620</v>
      </c>
      <c r="D82" s="11" t="str">
        <f t="shared" si="7"/>
        <v>SKIIFM_AT</v>
      </c>
      <c r="E82" s="11" t="str">
        <f>IF(I82&lt;&gt;"",VLOOKUP(F82,OPDRACHTGEVER!$A$2:$B$4,2,FALSE),"")</f>
        <v>SKIIFM_AT</v>
      </c>
      <c r="F82" s="11" t="s">
        <v>58</v>
      </c>
      <c r="I82" s="11" t="str">
        <f>IF(DATA!B81&lt;&gt;"",DATA!B81,"")</f>
        <v>MSMU8568605</v>
      </c>
      <c r="J82" s="12">
        <v>0</v>
      </c>
      <c r="K82" s="11" t="s">
        <v>53</v>
      </c>
      <c r="L82" s="11" t="str">
        <f t="shared" si="8"/>
        <v>820420</v>
      </c>
      <c r="M82" s="11" t="str">
        <f>IF(I82&lt;&gt;"",DATA!E81,"")</f>
        <v>PNEUMATIC WRENCH</v>
      </c>
      <c r="N82" s="12">
        <v>0</v>
      </c>
      <c r="O82" s="11">
        <f>IF(I82&lt;&gt;"",DATA!C81,"")</f>
        <v>180.2</v>
      </c>
      <c r="P82" s="2">
        <v>294094</v>
      </c>
      <c r="Q82" s="2" t="s">
        <v>1304</v>
      </c>
      <c r="R82" s="2" t="s">
        <v>1306</v>
      </c>
      <c r="S82" s="2">
        <v>221</v>
      </c>
      <c r="T82" s="2">
        <v>1</v>
      </c>
      <c r="U82" s="2" t="s">
        <v>141</v>
      </c>
      <c r="Y82" s="2">
        <v>1700</v>
      </c>
      <c r="Z82" s="11" t="s">
        <v>54</v>
      </c>
      <c r="AA82" s="11" t="str">
        <f t="shared" si="9"/>
        <v>1700 - TBN</v>
      </c>
      <c r="AC82" s="2" t="s">
        <v>145</v>
      </c>
      <c r="AD82" s="11" t="str">
        <f>IF($I82&lt;&gt;"",VLOOKUP($AC82,GEADRESSEERDE!$A$2:$E$4,2,),"")</f>
        <v>LUITHAGEN HAVEN 2 D</v>
      </c>
      <c r="AE82" s="11">
        <f>IF($I82&lt;&gt;"",VLOOKUP($AC82,GEADRESSEERDE!$A$2:$E$4,3,),"")</f>
        <v>2030</v>
      </c>
      <c r="AF82" s="11" t="str">
        <f>IF($I82&lt;&gt;"",VLOOKUP($AC82,GEADRESSEERDE!$A$2:$E$4,4,),"")</f>
        <v>ANTWERPEN</v>
      </c>
      <c r="AG82" s="11" t="str">
        <f>IF($I82&lt;&gt;"",VLOOKUP($AC82,GEADRESSEERDE!$A$2:$E$4,5,),"")</f>
        <v>BE</v>
      </c>
      <c r="AH82" s="11" t="str">
        <f>IF(I82&lt;&gt;"",VLOOKUP(AP82,KvB!$A$2:$B$3,2,FALSE),"")</f>
        <v>BE101000</v>
      </c>
      <c r="AI82" s="11" t="s">
        <v>55</v>
      </c>
      <c r="AJ82" s="11"/>
      <c r="AK82" s="11"/>
      <c r="AL82" s="11"/>
      <c r="AM82" s="11"/>
      <c r="AN82" s="11"/>
      <c r="AO82" s="11"/>
      <c r="AP82" s="2" t="s">
        <v>70</v>
      </c>
      <c r="AQ82" s="11" t="str">
        <f>IF(I82&lt;&gt;"",DATA!D81,"")</f>
        <v>8204200000</v>
      </c>
    </row>
    <row r="83" spans="1:43" ht="15.75" x14ac:dyDescent="0.25">
      <c r="A83" s="11" t="s">
        <v>57</v>
      </c>
      <c r="B83" s="11" t="s">
        <v>56</v>
      </c>
      <c r="C83" s="22">
        <f t="shared" si="10"/>
        <v>25001620</v>
      </c>
      <c r="D83" s="11" t="str">
        <f t="shared" si="7"/>
        <v>SKIIFM_AT</v>
      </c>
      <c r="E83" s="11" t="str">
        <f>IF(I83&lt;&gt;"",VLOOKUP(F83,OPDRACHTGEVER!$A$2:$B$4,2,FALSE),"")</f>
        <v>SKIIFM_AT</v>
      </c>
      <c r="F83" s="11" t="s">
        <v>58</v>
      </c>
      <c r="I83" s="11" t="str">
        <f>IF(DATA!B82&lt;&gt;"",DATA!B82,"")</f>
        <v>MSMU8568605</v>
      </c>
      <c r="J83" s="12">
        <v>0</v>
      </c>
      <c r="K83" s="11" t="s">
        <v>53</v>
      </c>
      <c r="L83" s="11" t="str">
        <f t="shared" si="8"/>
        <v>846729</v>
      </c>
      <c r="M83" s="11" t="str">
        <f>IF(I83&lt;&gt;"",DATA!E82,"")</f>
        <v>POLISHING MACHINE</v>
      </c>
      <c r="N83" s="12">
        <v>0</v>
      </c>
      <c r="O83" s="11">
        <f>IF(I83&lt;&gt;"",DATA!C82,"")</f>
        <v>15.7</v>
      </c>
      <c r="P83" s="2">
        <v>294094</v>
      </c>
      <c r="Q83" s="2" t="s">
        <v>1304</v>
      </c>
      <c r="R83" s="2" t="s">
        <v>1306</v>
      </c>
      <c r="S83" s="2">
        <v>221</v>
      </c>
      <c r="T83" s="2">
        <v>1</v>
      </c>
      <c r="U83" s="2" t="s">
        <v>141</v>
      </c>
      <c r="Y83" s="2">
        <v>1700</v>
      </c>
      <c r="Z83" s="11" t="s">
        <v>54</v>
      </c>
      <c r="AA83" s="11" t="str">
        <f t="shared" si="9"/>
        <v>1700 - TBN</v>
      </c>
      <c r="AC83" s="2" t="s">
        <v>145</v>
      </c>
      <c r="AD83" s="11" t="str">
        <f>IF($I83&lt;&gt;"",VLOOKUP($AC83,GEADRESSEERDE!$A$2:$E$4,2,),"")</f>
        <v>LUITHAGEN HAVEN 2 D</v>
      </c>
      <c r="AE83" s="11">
        <f>IF($I83&lt;&gt;"",VLOOKUP($AC83,GEADRESSEERDE!$A$2:$E$4,3,),"")</f>
        <v>2030</v>
      </c>
      <c r="AF83" s="11" t="str">
        <f>IF($I83&lt;&gt;"",VLOOKUP($AC83,GEADRESSEERDE!$A$2:$E$4,4,),"")</f>
        <v>ANTWERPEN</v>
      </c>
      <c r="AG83" s="11" t="str">
        <f>IF($I83&lt;&gt;"",VLOOKUP($AC83,GEADRESSEERDE!$A$2:$E$4,5,),"")</f>
        <v>BE</v>
      </c>
      <c r="AH83" s="11" t="str">
        <f>IF(I83&lt;&gt;"",VLOOKUP(AP83,KvB!$A$2:$B$3,2,FALSE),"")</f>
        <v>BE101000</v>
      </c>
      <c r="AI83" s="11" t="s">
        <v>55</v>
      </c>
      <c r="AJ83" s="11"/>
      <c r="AK83" s="11"/>
      <c r="AL83" s="11"/>
      <c r="AM83" s="11"/>
      <c r="AN83" s="11"/>
      <c r="AO83" s="11"/>
      <c r="AP83" s="2" t="s">
        <v>70</v>
      </c>
      <c r="AQ83" s="11" t="str">
        <f>IF(I83&lt;&gt;"",DATA!D82,"")</f>
        <v>8467295100</v>
      </c>
    </row>
    <row r="84" spans="1:43" ht="15.75" x14ac:dyDescent="0.25">
      <c r="A84" s="11" t="s">
        <v>57</v>
      </c>
      <c r="B84" s="11" t="s">
        <v>56</v>
      </c>
      <c r="C84" s="22">
        <f t="shared" si="10"/>
        <v>25001620</v>
      </c>
      <c r="D84" s="11" t="str">
        <f t="shared" si="7"/>
        <v>SKIIFM_AT</v>
      </c>
      <c r="E84" s="11" t="str">
        <f>IF(I84&lt;&gt;"",VLOOKUP(F84,OPDRACHTGEVER!$A$2:$B$4,2,FALSE),"")</f>
        <v>SKIIFM_AT</v>
      </c>
      <c r="F84" s="11" t="s">
        <v>58</v>
      </c>
      <c r="I84" s="11" t="str">
        <f>IF(DATA!B83&lt;&gt;"",DATA!B83,"")</f>
        <v>MSMU8568605</v>
      </c>
      <c r="J84" s="12">
        <v>0</v>
      </c>
      <c r="K84" s="11" t="s">
        <v>53</v>
      </c>
      <c r="L84" s="11" t="str">
        <f t="shared" si="8"/>
        <v>841360</v>
      </c>
      <c r="M84" s="11" t="str">
        <f>IF(I84&lt;&gt;"",DATA!E83,"")</f>
        <v>POOL PUMP</v>
      </c>
      <c r="N84" s="12">
        <v>0</v>
      </c>
      <c r="O84" s="11">
        <f>IF(I84&lt;&gt;"",DATA!C83,"")</f>
        <v>50.75</v>
      </c>
      <c r="P84" s="2">
        <v>294094</v>
      </c>
      <c r="Q84" s="2" t="s">
        <v>1304</v>
      </c>
      <c r="R84" s="2" t="s">
        <v>1306</v>
      </c>
      <c r="S84" s="2">
        <v>221</v>
      </c>
      <c r="T84" s="2">
        <v>1</v>
      </c>
      <c r="U84" s="2" t="s">
        <v>141</v>
      </c>
      <c r="Y84" s="2">
        <v>1700</v>
      </c>
      <c r="Z84" s="11" t="s">
        <v>54</v>
      </c>
      <c r="AA84" s="11" t="str">
        <f t="shared" si="9"/>
        <v>1700 - TBN</v>
      </c>
      <c r="AC84" s="2" t="s">
        <v>145</v>
      </c>
      <c r="AD84" s="11" t="str">
        <f>IF($I84&lt;&gt;"",VLOOKUP($AC84,GEADRESSEERDE!$A$2:$E$4,2,),"")</f>
        <v>LUITHAGEN HAVEN 2 D</v>
      </c>
      <c r="AE84" s="11">
        <f>IF($I84&lt;&gt;"",VLOOKUP($AC84,GEADRESSEERDE!$A$2:$E$4,3,),"")</f>
        <v>2030</v>
      </c>
      <c r="AF84" s="11" t="str">
        <f>IF($I84&lt;&gt;"",VLOOKUP($AC84,GEADRESSEERDE!$A$2:$E$4,4,),"")</f>
        <v>ANTWERPEN</v>
      </c>
      <c r="AG84" s="11" t="str">
        <f>IF($I84&lt;&gt;"",VLOOKUP($AC84,GEADRESSEERDE!$A$2:$E$4,5,),"")</f>
        <v>BE</v>
      </c>
      <c r="AH84" s="11" t="str">
        <f>IF(I84&lt;&gt;"",VLOOKUP(AP84,KvB!$A$2:$B$3,2,FALSE),"")</f>
        <v>BE101000</v>
      </c>
      <c r="AI84" s="11" t="s">
        <v>55</v>
      </c>
      <c r="AJ84" s="11"/>
      <c r="AK84" s="11"/>
      <c r="AL84" s="11"/>
      <c r="AM84" s="11"/>
      <c r="AN84" s="11"/>
      <c r="AO84" s="11"/>
      <c r="AP84" s="2" t="s">
        <v>70</v>
      </c>
      <c r="AQ84" s="11" t="str">
        <f>IF(I84&lt;&gt;"",DATA!D83,"")</f>
        <v>8413608090</v>
      </c>
    </row>
    <row r="85" spans="1:43" ht="15.75" x14ac:dyDescent="0.25">
      <c r="A85" s="11" t="s">
        <v>57</v>
      </c>
      <c r="B85" s="11" t="s">
        <v>56</v>
      </c>
      <c r="C85" s="22">
        <f t="shared" si="10"/>
        <v>25001620</v>
      </c>
      <c r="D85" s="11" t="str">
        <f t="shared" si="7"/>
        <v>SKIIFM_AT</v>
      </c>
      <c r="E85" s="11" t="str">
        <f>IF(I85&lt;&gt;"",VLOOKUP(F85,OPDRACHTGEVER!$A$2:$B$4,2,FALSE),"")</f>
        <v>SKIIFM_AT</v>
      </c>
      <c r="F85" s="11" t="s">
        <v>58</v>
      </c>
      <c r="I85" s="11" t="str">
        <f>IF(DATA!B84&lt;&gt;"",DATA!B84,"")</f>
        <v>MSMU8568605</v>
      </c>
      <c r="J85" s="12">
        <v>0</v>
      </c>
      <c r="K85" s="11" t="s">
        <v>53</v>
      </c>
      <c r="L85" s="11" t="str">
        <f t="shared" si="8"/>
        <v>843810</v>
      </c>
      <c r="M85" s="11" t="str">
        <f>IF(I85&lt;&gt;"",DATA!E84,"")</f>
        <v>POPCORN MACHINE</v>
      </c>
      <c r="N85" s="12">
        <v>0</v>
      </c>
      <c r="O85" s="11">
        <f>IF(I85&lt;&gt;"",DATA!C84,"")</f>
        <v>568.5</v>
      </c>
      <c r="P85" s="2">
        <v>294094</v>
      </c>
      <c r="Q85" s="2" t="s">
        <v>1304</v>
      </c>
      <c r="R85" s="2" t="s">
        <v>1306</v>
      </c>
      <c r="S85" s="2">
        <v>221</v>
      </c>
      <c r="T85" s="2">
        <v>1</v>
      </c>
      <c r="U85" s="2" t="s">
        <v>141</v>
      </c>
      <c r="Y85" s="2">
        <v>1700</v>
      </c>
      <c r="Z85" s="11" t="s">
        <v>54</v>
      </c>
      <c r="AA85" s="11" t="str">
        <f t="shared" si="9"/>
        <v>1700 - TBN</v>
      </c>
      <c r="AC85" s="2" t="s">
        <v>145</v>
      </c>
      <c r="AD85" s="11" t="str">
        <f>IF($I85&lt;&gt;"",VLOOKUP($AC85,GEADRESSEERDE!$A$2:$E$4,2,),"")</f>
        <v>LUITHAGEN HAVEN 2 D</v>
      </c>
      <c r="AE85" s="11">
        <f>IF($I85&lt;&gt;"",VLOOKUP($AC85,GEADRESSEERDE!$A$2:$E$4,3,),"")</f>
        <v>2030</v>
      </c>
      <c r="AF85" s="11" t="str">
        <f>IF($I85&lt;&gt;"",VLOOKUP($AC85,GEADRESSEERDE!$A$2:$E$4,4,),"")</f>
        <v>ANTWERPEN</v>
      </c>
      <c r="AG85" s="11" t="str">
        <f>IF($I85&lt;&gt;"",VLOOKUP($AC85,GEADRESSEERDE!$A$2:$E$4,5,),"")</f>
        <v>BE</v>
      </c>
      <c r="AH85" s="11" t="str">
        <f>IF(I85&lt;&gt;"",VLOOKUP(AP85,KvB!$A$2:$B$3,2,FALSE),"")</f>
        <v>BE101000</v>
      </c>
      <c r="AI85" s="11" t="s">
        <v>55</v>
      </c>
      <c r="AJ85" s="11"/>
      <c r="AK85" s="11"/>
      <c r="AL85" s="11"/>
      <c r="AM85" s="11"/>
      <c r="AN85" s="11"/>
      <c r="AO85" s="11"/>
      <c r="AP85" s="2" t="s">
        <v>70</v>
      </c>
      <c r="AQ85" s="11" t="str">
        <f>IF(I85&lt;&gt;"",DATA!D84,"")</f>
        <v>8438101000</v>
      </c>
    </row>
    <row r="86" spans="1:43" ht="15.75" x14ac:dyDescent="0.25">
      <c r="A86" s="11" t="s">
        <v>57</v>
      </c>
      <c r="B86" s="11" t="s">
        <v>56</v>
      </c>
      <c r="C86" s="22">
        <f t="shared" si="10"/>
        <v>25001620</v>
      </c>
      <c r="D86" s="11" t="str">
        <f t="shared" si="7"/>
        <v>SKIIFM_AT</v>
      </c>
      <c r="E86" s="11" t="str">
        <f>IF(I86&lt;&gt;"",VLOOKUP(F86,OPDRACHTGEVER!$A$2:$B$4,2,FALSE),"")</f>
        <v>SKIIFM_AT</v>
      </c>
      <c r="F86" s="11" t="s">
        <v>58</v>
      </c>
      <c r="I86" s="11" t="str">
        <f>IF(DATA!B85&lt;&gt;"",DATA!B85,"")</f>
        <v>MSMU8568605</v>
      </c>
      <c r="J86" s="12">
        <v>0</v>
      </c>
      <c r="K86" s="11" t="s">
        <v>53</v>
      </c>
      <c r="L86" s="11" t="str">
        <f t="shared" si="8"/>
        <v>392390</v>
      </c>
      <c r="M86" s="11" t="str">
        <f>IF(I86&lt;&gt;"",DATA!E85,"")</f>
        <v>PORTABLE FUEL TANK</v>
      </c>
      <c r="N86" s="12">
        <v>0</v>
      </c>
      <c r="O86" s="11">
        <f>IF(I86&lt;&gt;"",DATA!C85,"")</f>
        <v>11.4</v>
      </c>
      <c r="P86" s="2">
        <v>294094</v>
      </c>
      <c r="Q86" s="2" t="s">
        <v>1304</v>
      </c>
      <c r="R86" s="2" t="s">
        <v>1306</v>
      </c>
      <c r="S86" s="2">
        <v>221</v>
      </c>
      <c r="T86" s="2">
        <v>1</v>
      </c>
      <c r="U86" s="2" t="s">
        <v>141</v>
      </c>
      <c r="Y86" s="2">
        <v>1700</v>
      </c>
      <c r="Z86" s="11" t="s">
        <v>54</v>
      </c>
      <c r="AA86" s="11" t="str">
        <f t="shared" si="9"/>
        <v>1700 - TBN</v>
      </c>
      <c r="AC86" s="2" t="s">
        <v>145</v>
      </c>
      <c r="AD86" s="11" t="str">
        <f>IF($I86&lt;&gt;"",VLOOKUP($AC86,GEADRESSEERDE!$A$2:$E$4,2,),"")</f>
        <v>LUITHAGEN HAVEN 2 D</v>
      </c>
      <c r="AE86" s="11">
        <f>IF($I86&lt;&gt;"",VLOOKUP($AC86,GEADRESSEERDE!$A$2:$E$4,3,),"")</f>
        <v>2030</v>
      </c>
      <c r="AF86" s="11" t="str">
        <f>IF($I86&lt;&gt;"",VLOOKUP($AC86,GEADRESSEERDE!$A$2:$E$4,4,),"")</f>
        <v>ANTWERPEN</v>
      </c>
      <c r="AG86" s="11" t="str">
        <f>IF($I86&lt;&gt;"",VLOOKUP($AC86,GEADRESSEERDE!$A$2:$E$4,5,),"")</f>
        <v>BE</v>
      </c>
      <c r="AH86" s="11" t="str">
        <f>IF(I86&lt;&gt;"",VLOOKUP(AP86,KvB!$A$2:$B$3,2,FALSE),"")</f>
        <v>BE101000</v>
      </c>
      <c r="AI86" s="11" t="s">
        <v>55</v>
      </c>
      <c r="AJ86" s="11"/>
      <c r="AK86" s="11"/>
      <c r="AL86" s="11"/>
      <c r="AM86" s="11"/>
      <c r="AN86" s="11"/>
      <c r="AO86" s="11"/>
      <c r="AP86" s="2" t="s">
        <v>70</v>
      </c>
      <c r="AQ86" s="11" t="str">
        <f>IF(I86&lt;&gt;"",DATA!D85,"")</f>
        <v>3923900000</v>
      </c>
    </row>
    <row r="87" spans="1:43" ht="15.75" x14ac:dyDescent="0.25">
      <c r="A87" s="11" t="s">
        <v>57</v>
      </c>
      <c r="B87" s="11" t="s">
        <v>56</v>
      </c>
      <c r="C87" s="22">
        <f t="shared" si="10"/>
        <v>25001620</v>
      </c>
      <c r="D87" s="11" t="str">
        <f t="shared" si="7"/>
        <v>SKIIFM_AT</v>
      </c>
      <c r="E87" s="11" t="str">
        <f>IF(I87&lt;&gt;"",VLOOKUP(F87,OPDRACHTGEVER!$A$2:$B$4,2,FALSE),"")</f>
        <v>SKIIFM_AT</v>
      </c>
      <c r="F87" s="11" t="s">
        <v>58</v>
      </c>
      <c r="I87" s="11" t="str">
        <f>IF(DATA!B86&lt;&gt;"",DATA!B86,"")</f>
        <v>MSMU8568605</v>
      </c>
      <c r="J87" s="12">
        <v>0</v>
      </c>
      <c r="K87" s="11" t="s">
        <v>53</v>
      </c>
      <c r="L87" s="11" t="str">
        <f t="shared" si="8"/>
        <v>902620</v>
      </c>
      <c r="M87" s="11" t="str">
        <f>IF(I87&lt;&gt;"",DATA!E86,"")</f>
        <v>PRESSURE GAUGE</v>
      </c>
      <c r="N87" s="12">
        <v>0</v>
      </c>
      <c r="O87" s="11">
        <f>IF(I87&lt;&gt;"",DATA!C86,"")</f>
        <v>40.799999999999997</v>
      </c>
      <c r="P87" s="2">
        <v>294094</v>
      </c>
      <c r="Q87" s="2" t="s">
        <v>1304</v>
      </c>
      <c r="R87" s="2" t="s">
        <v>1306</v>
      </c>
      <c r="S87" s="2">
        <v>221</v>
      </c>
      <c r="T87" s="2">
        <v>1</v>
      </c>
      <c r="U87" s="2" t="s">
        <v>141</v>
      </c>
      <c r="Y87" s="2">
        <v>1700</v>
      </c>
      <c r="Z87" s="11" t="s">
        <v>54</v>
      </c>
      <c r="AA87" s="11" t="str">
        <f t="shared" si="9"/>
        <v>1700 - TBN</v>
      </c>
      <c r="AC87" s="2" t="s">
        <v>145</v>
      </c>
      <c r="AD87" s="11" t="str">
        <f>IF($I87&lt;&gt;"",VLOOKUP($AC87,GEADRESSEERDE!$A$2:$E$4,2,),"")</f>
        <v>LUITHAGEN HAVEN 2 D</v>
      </c>
      <c r="AE87" s="11">
        <f>IF($I87&lt;&gt;"",VLOOKUP($AC87,GEADRESSEERDE!$A$2:$E$4,3,),"")</f>
        <v>2030</v>
      </c>
      <c r="AF87" s="11" t="str">
        <f>IF($I87&lt;&gt;"",VLOOKUP($AC87,GEADRESSEERDE!$A$2:$E$4,4,),"")</f>
        <v>ANTWERPEN</v>
      </c>
      <c r="AG87" s="11" t="str">
        <f>IF($I87&lt;&gt;"",VLOOKUP($AC87,GEADRESSEERDE!$A$2:$E$4,5,),"")</f>
        <v>BE</v>
      </c>
      <c r="AH87" s="11" t="str">
        <f>IF(I87&lt;&gt;"",VLOOKUP(AP87,KvB!$A$2:$B$3,2,FALSE),"")</f>
        <v>BE101000</v>
      </c>
      <c r="AI87" s="11" t="s">
        <v>55</v>
      </c>
      <c r="AJ87" s="11"/>
      <c r="AK87" s="11"/>
      <c r="AL87" s="11"/>
      <c r="AM87" s="11"/>
      <c r="AN87" s="11"/>
      <c r="AO87" s="11"/>
      <c r="AP87" s="2" t="s">
        <v>70</v>
      </c>
      <c r="AQ87" s="11" t="str">
        <f>IF(I87&lt;&gt;"",DATA!D86,"")</f>
        <v>9026202000</v>
      </c>
    </row>
    <row r="88" spans="1:43" ht="15.75" x14ac:dyDescent="0.25">
      <c r="A88" s="11" t="s">
        <v>57</v>
      </c>
      <c r="B88" s="11" t="s">
        <v>56</v>
      </c>
      <c r="C88" s="22">
        <f t="shared" si="10"/>
        <v>25001620</v>
      </c>
      <c r="D88" s="11" t="str">
        <f t="shared" si="7"/>
        <v>SKIIFM_AT</v>
      </c>
      <c r="E88" s="11" t="str">
        <f>IF(I88&lt;&gt;"",VLOOKUP(F88,OPDRACHTGEVER!$A$2:$B$4,2,FALSE),"")</f>
        <v>SKIIFM_AT</v>
      </c>
      <c r="F88" s="11" t="s">
        <v>58</v>
      </c>
      <c r="I88" s="11" t="str">
        <f>IF(DATA!B87&lt;&gt;"",DATA!B87,"")</f>
        <v>MSMU8568605</v>
      </c>
      <c r="J88" s="12">
        <v>0</v>
      </c>
      <c r="K88" s="11" t="s">
        <v>53</v>
      </c>
      <c r="L88" s="11" t="str">
        <f t="shared" si="8"/>
        <v>560900</v>
      </c>
      <c r="M88" s="11" t="str">
        <f>IF(I88&lt;&gt;"",DATA!E87,"")</f>
        <v>RATCHET BELT</v>
      </c>
      <c r="N88" s="12">
        <v>0</v>
      </c>
      <c r="O88" s="11">
        <f>IF(I88&lt;&gt;"",DATA!C87,"")</f>
        <v>47.6</v>
      </c>
      <c r="P88" s="2">
        <v>294094</v>
      </c>
      <c r="Q88" s="2" t="s">
        <v>1304</v>
      </c>
      <c r="R88" s="2" t="s">
        <v>1306</v>
      </c>
      <c r="S88" s="2">
        <v>221</v>
      </c>
      <c r="T88" s="2">
        <v>1</v>
      </c>
      <c r="U88" s="2" t="s">
        <v>141</v>
      </c>
      <c r="Y88" s="2">
        <v>1700</v>
      </c>
      <c r="Z88" s="11" t="s">
        <v>54</v>
      </c>
      <c r="AA88" s="11" t="str">
        <f t="shared" si="9"/>
        <v>1700 - TBN</v>
      </c>
      <c r="AC88" s="2" t="s">
        <v>145</v>
      </c>
      <c r="AD88" s="11" t="str">
        <f>IF($I88&lt;&gt;"",VLOOKUP($AC88,GEADRESSEERDE!$A$2:$E$4,2,),"")</f>
        <v>LUITHAGEN HAVEN 2 D</v>
      </c>
      <c r="AE88" s="11">
        <f>IF($I88&lt;&gt;"",VLOOKUP($AC88,GEADRESSEERDE!$A$2:$E$4,3,),"")</f>
        <v>2030</v>
      </c>
      <c r="AF88" s="11" t="str">
        <f>IF($I88&lt;&gt;"",VLOOKUP($AC88,GEADRESSEERDE!$A$2:$E$4,4,),"")</f>
        <v>ANTWERPEN</v>
      </c>
      <c r="AG88" s="11" t="str">
        <f>IF($I88&lt;&gt;"",VLOOKUP($AC88,GEADRESSEERDE!$A$2:$E$4,5,),"")</f>
        <v>BE</v>
      </c>
      <c r="AH88" s="11" t="str">
        <f>IF(I88&lt;&gt;"",VLOOKUP(AP88,KvB!$A$2:$B$3,2,FALSE),"")</f>
        <v>BE101000</v>
      </c>
      <c r="AI88" s="11" t="s">
        <v>55</v>
      </c>
      <c r="AJ88" s="11"/>
      <c r="AK88" s="11"/>
      <c r="AL88" s="11"/>
      <c r="AM88" s="11"/>
      <c r="AN88" s="11"/>
      <c r="AO88" s="11"/>
      <c r="AP88" s="2" t="s">
        <v>70</v>
      </c>
      <c r="AQ88" s="11" t="str">
        <f>IF(I88&lt;&gt;"",DATA!D87,"")</f>
        <v>5609000000</v>
      </c>
    </row>
    <row r="89" spans="1:43" ht="15.75" x14ac:dyDescent="0.25">
      <c r="A89" s="11" t="s">
        <v>57</v>
      </c>
      <c r="B89" s="11" t="s">
        <v>56</v>
      </c>
      <c r="C89" s="22">
        <f t="shared" si="10"/>
        <v>25001620</v>
      </c>
      <c r="D89" s="11" t="str">
        <f t="shared" si="7"/>
        <v>SKIIFM_AT</v>
      </c>
      <c r="E89" s="11" t="str">
        <f>IF(I89&lt;&gt;"",VLOOKUP(F89,OPDRACHTGEVER!$A$2:$B$4,2,FALSE),"")</f>
        <v>SKIIFM_AT</v>
      </c>
      <c r="F89" s="11" t="s">
        <v>58</v>
      </c>
      <c r="I89" s="11" t="str">
        <f>IF(DATA!B88&lt;&gt;"",DATA!B88,"")</f>
        <v>MSMU8568605</v>
      </c>
      <c r="J89" s="12">
        <v>0</v>
      </c>
      <c r="K89" s="11" t="s">
        <v>53</v>
      </c>
      <c r="L89" s="11" t="str">
        <f t="shared" si="8"/>
        <v>940171</v>
      </c>
      <c r="M89" s="11" t="str">
        <f>IF(I89&lt;&gt;"",DATA!E88,"")</f>
        <v>REPAIR STOOL</v>
      </c>
      <c r="N89" s="12">
        <v>0</v>
      </c>
      <c r="O89" s="11">
        <f>IF(I89&lt;&gt;"",DATA!C88,"")</f>
        <v>19.600000000000001</v>
      </c>
      <c r="P89" s="2">
        <v>294094</v>
      </c>
      <c r="Q89" s="2" t="s">
        <v>1304</v>
      </c>
      <c r="R89" s="2" t="s">
        <v>1306</v>
      </c>
      <c r="S89" s="2">
        <v>221</v>
      </c>
      <c r="T89" s="2">
        <v>1</v>
      </c>
      <c r="U89" s="2" t="s">
        <v>141</v>
      </c>
      <c r="Y89" s="2">
        <v>1700</v>
      </c>
      <c r="Z89" s="11" t="s">
        <v>54</v>
      </c>
      <c r="AA89" s="11" t="str">
        <f t="shared" si="9"/>
        <v>1700 - TBN</v>
      </c>
      <c r="AC89" s="2" t="s">
        <v>145</v>
      </c>
      <c r="AD89" s="11" t="str">
        <f>IF($I89&lt;&gt;"",VLOOKUP($AC89,GEADRESSEERDE!$A$2:$E$4,2,),"")</f>
        <v>LUITHAGEN HAVEN 2 D</v>
      </c>
      <c r="AE89" s="11">
        <f>IF($I89&lt;&gt;"",VLOOKUP($AC89,GEADRESSEERDE!$A$2:$E$4,3,),"")</f>
        <v>2030</v>
      </c>
      <c r="AF89" s="11" t="str">
        <f>IF($I89&lt;&gt;"",VLOOKUP($AC89,GEADRESSEERDE!$A$2:$E$4,4,),"")</f>
        <v>ANTWERPEN</v>
      </c>
      <c r="AG89" s="11" t="str">
        <f>IF($I89&lt;&gt;"",VLOOKUP($AC89,GEADRESSEERDE!$A$2:$E$4,5,),"")</f>
        <v>BE</v>
      </c>
      <c r="AH89" s="11" t="str">
        <f>IF(I89&lt;&gt;"",VLOOKUP(AP89,KvB!$A$2:$B$3,2,FALSE),"")</f>
        <v>BE101000</v>
      </c>
      <c r="AI89" s="11" t="s">
        <v>55</v>
      </c>
      <c r="AJ89" s="11"/>
      <c r="AK89" s="11"/>
      <c r="AL89" s="11"/>
      <c r="AM89" s="11"/>
      <c r="AN89" s="11"/>
      <c r="AO89" s="11"/>
      <c r="AP89" s="2" t="s">
        <v>70</v>
      </c>
      <c r="AQ89" s="11" t="str">
        <f>IF(I89&lt;&gt;"",DATA!D88,"")</f>
        <v>9401710000</v>
      </c>
    </row>
    <row r="90" spans="1:43" ht="15.75" x14ac:dyDescent="0.25">
      <c r="A90" s="11" t="s">
        <v>57</v>
      </c>
      <c r="B90" s="11" t="s">
        <v>56</v>
      </c>
      <c r="C90" s="22">
        <f t="shared" si="10"/>
        <v>25001620</v>
      </c>
      <c r="D90" s="11" t="str">
        <f t="shared" si="7"/>
        <v>SKIIFM_AT</v>
      </c>
      <c r="E90" s="11" t="str">
        <f>IF(I90&lt;&gt;"",VLOOKUP(F90,OPDRACHTGEVER!$A$2:$B$4,2,FALSE),"")</f>
        <v>SKIIFM_AT</v>
      </c>
      <c r="F90" s="11" t="s">
        <v>58</v>
      </c>
      <c r="I90" s="11" t="str">
        <f>IF(DATA!B89&lt;&gt;"",DATA!B89,"")</f>
        <v>MSMU8568605</v>
      </c>
      <c r="J90" s="12">
        <v>0</v>
      </c>
      <c r="K90" s="11" t="s">
        <v>53</v>
      </c>
      <c r="L90" s="11" t="str">
        <f t="shared" si="8"/>
        <v>392410</v>
      </c>
      <c r="M90" s="11" t="str">
        <f>IF(I90&lt;&gt;"",DATA!E89,"")</f>
        <v>RICE BIN</v>
      </c>
      <c r="N90" s="12">
        <v>0</v>
      </c>
      <c r="O90" s="11">
        <f>IF(I90&lt;&gt;"",DATA!C89,"")</f>
        <v>5.81</v>
      </c>
      <c r="P90" s="2">
        <v>294094</v>
      </c>
      <c r="Q90" s="2" t="s">
        <v>1304</v>
      </c>
      <c r="R90" s="2" t="s">
        <v>1306</v>
      </c>
      <c r="S90" s="2">
        <v>221</v>
      </c>
      <c r="T90" s="2">
        <v>1</v>
      </c>
      <c r="U90" s="2" t="s">
        <v>141</v>
      </c>
      <c r="Y90" s="2">
        <v>1700</v>
      </c>
      <c r="Z90" s="11" t="s">
        <v>54</v>
      </c>
      <c r="AA90" s="11" t="str">
        <f t="shared" si="9"/>
        <v>1700 - TBN</v>
      </c>
      <c r="AC90" s="2" t="s">
        <v>145</v>
      </c>
      <c r="AD90" s="11" t="str">
        <f>IF($I90&lt;&gt;"",VLOOKUP($AC90,GEADRESSEERDE!$A$2:$E$4,2,),"")</f>
        <v>LUITHAGEN HAVEN 2 D</v>
      </c>
      <c r="AE90" s="11">
        <f>IF($I90&lt;&gt;"",VLOOKUP($AC90,GEADRESSEERDE!$A$2:$E$4,3,),"")</f>
        <v>2030</v>
      </c>
      <c r="AF90" s="11" t="str">
        <f>IF($I90&lt;&gt;"",VLOOKUP($AC90,GEADRESSEERDE!$A$2:$E$4,4,),"")</f>
        <v>ANTWERPEN</v>
      </c>
      <c r="AG90" s="11" t="str">
        <f>IF($I90&lt;&gt;"",VLOOKUP($AC90,GEADRESSEERDE!$A$2:$E$4,5,),"")</f>
        <v>BE</v>
      </c>
      <c r="AH90" s="11" t="str">
        <f>IF(I90&lt;&gt;"",VLOOKUP(AP90,KvB!$A$2:$B$3,2,FALSE),"")</f>
        <v>BE101000</v>
      </c>
      <c r="AI90" s="11" t="s">
        <v>55</v>
      </c>
      <c r="AJ90" s="11"/>
      <c r="AK90" s="11"/>
      <c r="AL90" s="11"/>
      <c r="AM90" s="11"/>
      <c r="AN90" s="11"/>
      <c r="AO90" s="11"/>
      <c r="AP90" s="2" t="s">
        <v>70</v>
      </c>
      <c r="AQ90" s="11" t="str">
        <f>IF(I90&lt;&gt;"",DATA!D89,"")</f>
        <v>3924100090</v>
      </c>
    </row>
    <row r="91" spans="1:43" ht="15.75" x14ac:dyDescent="0.25">
      <c r="A91" s="11" t="s">
        <v>57</v>
      </c>
      <c r="B91" s="11" t="s">
        <v>56</v>
      </c>
      <c r="C91" s="22">
        <f t="shared" si="10"/>
        <v>25001620</v>
      </c>
      <c r="D91" s="11" t="str">
        <f t="shared" si="7"/>
        <v>SKIIFM_AT</v>
      </c>
      <c r="E91" s="11" t="str">
        <f>IF(I91&lt;&gt;"",VLOOKUP(F91,OPDRACHTGEVER!$A$2:$B$4,2,FALSE),"")</f>
        <v>SKIIFM_AT</v>
      </c>
      <c r="F91" s="11" t="s">
        <v>58</v>
      </c>
      <c r="I91" s="11" t="str">
        <f>IF(DATA!B90&lt;&gt;"",DATA!B90,"")</f>
        <v>MSMU8568605</v>
      </c>
      <c r="J91" s="12">
        <v>0</v>
      </c>
      <c r="K91" s="11" t="s">
        <v>53</v>
      </c>
      <c r="L91" s="11" t="str">
        <f t="shared" si="8"/>
        <v>830300</v>
      </c>
      <c r="M91" s="11" t="str">
        <f>IF(I91&lt;&gt;"",DATA!E90,"")</f>
        <v>SAFE DEPOSIT BOX</v>
      </c>
      <c r="N91" s="12">
        <v>0</v>
      </c>
      <c r="O91" s="11">
        <f>IF(I91&lt;&gt;"",DATA!C90,"")</f>
        <v>12.9</v>
      </c>
      <c r="P91" s="2">
        <v>294094</v>
      </c>
      <c r="Q91" s="2" t="s">
        <v>1304</v>
      </c>
      <c r="R91" s="2" t="s">
        <v>1306</v>
      </c>
      <c r="S91" s="2">
        <v>221</v>
      </c>
      <c r="T91" s="2">
        <v>1</v>
      </c>
      <c r="U91" s="2" t="s">
        <v>141</v>
      </c>
      <c r="Y91" s="2">
        <v>1700</v>
      </c>
      <c r="Z91" s="11" t="s">
        <v>54</v>
      </c>
      <c r="AA91" s="11" t="str">
        <f t="shared" si="9"/>
        <v>1700 - TBN</v>
      </c>
      <c r="AC91" s="2" t="s">
        <v>145</v>
      </c>
      <c r="AD91" s="11" t="str">
        <f>IF($I91&lt;&gt;"",VLOOKUP($AC91,GEADRESSEERDE!$A$2:$E$4,2,),"")</f>
        <v>LUITHAGEN HAVEN 2 D</v>
      </c>
      <c r="AE91" s="11">
        <f>IF($I91&lt;&gt;"",VLOOKUP($AC91,GEADRESSEERDE!$A$2:$E$4,3,),"")</f>
        <v>2030</v>
      </c>
      <c r="AF91" s="11" t="str">
        <f>IF($I91&lt;&gt;"",VLOOKUP($AC91,GEADRESSEERDE!$A$2:$E$4,4,),"")</f>
        <v>ANTWERPEN</v>
      </c>
      <c r="AG91" s="11" t="str">
        <f>IF($I91&lt;&gt;"",VLOOKUP($AC91,GEADRESSEERDE!$A$2:$E$4,5,),"")</f>
        <v>BE</v>
      </c>
      <c r="AH91" s="11" t="str">
        <f>IF(I91&lt;&gt;"",VLOOKUP(AP91,KvB!$A$2:$B$3,2,FALSE),"")</f>
        <v>BE101000</v>
      </c>
      <c r="AI91" s="11" t="s">
        <v>55</v>
      </c>
      <c r="AJ91" s="11"/>
      <c r="AK91" s="11"/>
      <c r="AL91" s="11"/>
      <c r="AM91" s="11"/>
      <c r="AN91" s="11"/>
      <c r="AO91" s="11"/>
      <c r="AP91" s="2" t="s">
        <v>70</v>
      </c>
      <c r="AQ91" s="11" t="str">
        <f>IF(I91&lt;&gt;"",DATA!D90,"")</f>
        <v>8303009000</v>
      </c>
    </row>
    <row r="92" spans="1:43" ht="15.75" x14ac:dyDescent="0.25">
      <c r="A92" s="11" t="s">
        <v>57</v>
      </c>
      <c r="B92" s="11" t="s">
        <v>56</v>
      </c>
      <c r="C92" s="22">
        <f t="shared" si="10"/>
        <v>25001620</v>
      </c>
      <c r="D92" s="11" t="str">
        <f t="shared" si="7"/>
        <v>SKIIFM_AT</v>
      </c>
      <c r="E92" s="11" t="str">
        <f>IF(I92&lt;&gt;"",VLOOKUP(F92,OPDRACHTGEVER!$A$2:$B$4,2,FALSE),"")</f>
        <v>SKIIFM_AT</v>
      </c>
      <c r="F92" s="11" t="s">
        <v>58</v>
      </c>
      <c r="I92" s="11" t="str">
        <f>IF(DATA!B91&lt;&gt;"",DATA!B91,"")</f>
        <v>MSMU8568605</v>
      </c>
      <c r="J92" s="12">
        <v>0</v>
      </c>
      <c r="K92" s="11" t="s">
        <v>53</v>
      </c>
      <c r="L92" s="11" t="str">
        <f t="shared" si="8"/>
        <v>843850</v>
      </c>
      <c r="M92" s="11" t="str">
        <f>IF(I92&lt;&gt;"",DATA!E91,"")</f>
        <v>SAWING MACHINE</v>
      </c>
      <c r="N92" s="12">
        <v>0</v>
      </c>
      <c r="O92" s="11">
        <f>IF(I92&lt;&gt;"",DATA!C91,"")</f>
        <v>1197.5999999999999</v>
      </c>
      <c r="P92" s="2">
        <v>294094</v>
      </c>
      <c r="Q92" s="2" t="s">
        <v>1304</v>
      </c>
      <c r="R92" s="2" t="s">
        <v>1306</v>
      </c>
      <c r="S92" s="2">
        <v>221</v>
      </c>
      <c r="T92" s="2">
        <v>1</v>
      </c>
      <c r="U92" s="2" t="s">
        <v>141</v>
      </c>
      <c r="Y92" s="2">
        <v>1700</v>
      </c>
      <c r="Z92" s="11" t="s">
        <v>54</v>
      </c>
      <c r="AA92" s="11" t="str">
        <f t="shared" si="9"/>
        <v>1700 - TBN</v>
      </c>
      <c r="AC92" s="2" t="s">
        <v>145</v>
      </c>
      <c r="AD92" s="11" t="str">
        <f>IF($I92&lt;&gt;"",VLOOKUP($AC92,GEADRESSEERDE!$A$2:$E$4,2,),"")</f>
        <v>LUITHAGEN HAVEN 2 D</v>
      </c>
      <c r="AE92" s="11">
        <f>IF($I92&lt;&gt;"",VLOOKUP($AC92,GEADRESSEERDE!$A$2:$E$4,3,),"")</f>
        <v>2030</v>
      </c>
      <c r="AF92" s="11" t="str">
        <f>IF($I92&lt;&gt;"",VLOOKUP($AC92,GEADRESSEERDE!$A$2:$E$4,4,),"")</f>
        <v>ANTWERPEN</v>
      </c>
      <c r="AG92" s="11" t="str">
        <f>IF($I92&lt;&gt;"",VLOOKUP($AC92,GEADRESSEERDE!$A$2:$E$4,5,),"")</f>
        <v>BE</v>
      </c>
      <c r="AH92" s="11" t="str">
        <f>IF(I92&lt;&gt;"",VLOOKUP(AP92,KvB!$A$2:$B$3,2,FALSE),"")</f>
        <v>BE101000</v>
      </c>
      <c r="AI92" s="11" t="s">
        <v>55</v>
      </c>
      <c r="AJ92" s="11"/>
      <c r="AK92" s="11"/>
      <c r="AL92" s="11"/>
      <c r="AM92" s="11"/>
      <c r="AN92" s="11"/>
      <c r="AO92" s="11"/>
      <c r="AP92" s="2" t="s">
        <v>70</v>
      </c>
      <c r="AQ92" s="11" t="str">
        <f>IF(I92&lt;&gt;"",DATA!D91,"")</f>
        <v>8438500000</v>
      </c>
    </row>
    <row r="93" spans="1:43" ht="15.75" x14ac:dyDescent="0.25">
      <c r="A93" s="11" t="s">
        <v>57</v>
      </c>
      <c r="B93" s="11" t="s">
        <v>56</v>
      </c>
      <c r="C93" s="22">
        <f t="shared" si="10"/>
        <v>25001620</v>
      </c>
      <c r="D93" s="11" t="str">
        <f t="shared" si="7"/>
        <v>SKIIFM_AT</v>
      </c>
      <c r="E93" s="11" t="str">
        <f>IF(I93&lt;&gt;"",VLOOKUP(F93,OPDRACHTGEVER!$A$2:$B$4,2,FALSE),"")</f>
        <v>SKIIFM_AT</v>
      </c>
      <c r="F93" s="11" t="s">
        <v>58</v>
      </c>
      <c r="I93" s="11" t="str">
        <f>IF(DATA!B92&lt;&gt;"",DATA!B92,"")</f>
        <v>MSMU8568605</v>
      </c>
      <c r="J93" s="12">
        <v>0</v>
      </c>
      <c r="K93" s="11" t="s">
        <v>53</v>
      </c>
      <c r="L93" s="11" t="str">
        <f t="shared" si="8"/>
        <v>842890</v>
      </c>
      <c r="M93" s="11" t="str">
        <f>IF(I93&lt;&gt;"",DATA!E92,"")</f>
        <v>SCISSOR LIFT</v>
      </c>
      <c r="N93" s="12">
        <v>0</v>
      </c>
      <c r="O93" s="11">
        <f>IF(I93&lt;&gt;"",DATA!C92,"")</f>
        <v>1298</v>
      </c>
      <c r="P93" s="2">
        <v>294094</v>
      </c>
      <c r="Q93" s="2" t="s">
        <v>1304</v>
      </c>
      <c r="R93" s="2" t="s">
        <v>1306</v>
      </c>
      <c r="S93" s="2">
        <v>221</v>
      </c>
      <c r="T93" s="2">
        <v>1</v>
      </c>
      <c r="U93" s="2" t="s">
        <v>141</v>
      </c>
      <c r="Y93" s="2">
        <v>1700</v>
      </c>
      <c r="Z93" s="11" t="s">
        <v>54</v>
      </c>
      <c r="AA93" s="11" t="str">
        <f t="shared" si="9"/>
        <v>1700 - TBN</v>
      </c>
      <c r="AC93" s="2" t="s">
        <v>145</v>
      </c>
      <c r="AD93" s="11" t="str">
        <f>IF($I93&lt;&gt;"",VLOOKUP($AC93,GEADRESSEERDE!$A$2:$E$4,2,),"")</f>
        <v>LUITHAGEN HAVEN 2 D</v>
      </c>
      <c r="AE93" s="11">
        <f>IF($I93&lt;&gt;"",VLOOKUP($AC93,GEADRESSEERDE!$A$2:$E$4,3,),"")</f>
        <v>2030</v>
      </c>
      <c r="AF93" s="11" t="str">
        <f>IF($I93&lt;&gt;"",VLOOKUP($AC93,GEADRESSEERDE!$A$2:$E$4,4,),"")</f>
        <v>ANTWERPEN</v>
      </c>
      <c r="AG93" s="11" t="str">
        <f>IF($I93&lt;&gt;"",VLOOKUP($AC93,GEADRESSEERDE!$A$2:$E$4,5,),"")</f>
        <v>BE</v>
      </c>
      <c r="AH93" s="11" t="str">
        <f>IF(I93&lt;&gt;"",VLOOKUP(AP93,KvB!$A$2:$B$3,2,FALSE),"")</f>
        <v>BE101000</v>
      </c>
      <c r="AI93" s="11" t="s">
        <v>55</v>
      </c>
      <c r="AJ93" s="11"/>
      <c r="AK93" s="11"/>
      <c r="AL93" s="11"/>
      <c r="AM93" s="11"/>
      <c r="AN93" s="11"/>
      <c r="AO93" s="11"/>
      <c r="AP93" s="2" t="s">
        <v>70</v>
      </c>
      <c r="AQ93" s="11" t="str">
        <f>IF(I93&lt;&gt;"",DATA!D92,"")</f>
        <v>8428909080</v>
      </c>
    </row>
    <row r="94" spans="1:43" ht="15.75" x14ac:dyDescent="0.25">
      <c r="A94" s="11" t="s">
        <v>57</v>
      </c>
      <c r="B94" s="11" t="s">
        <v>56</v>
      </c>
      <c r="C94" s="22">
        <f t="shared" si="10"/>
        <v>25001620</v>
      </c>
      <c r="D94" s="11" t="str">
        <f t="shared" si="7"/>
        <v>SKIIFM_AT</v>
      </c>
      <c r="E94" s="11" t="str">
        <f>IF(I94&lt;&gt;"",VLOOKUP(F94,OPDRACHTGEVER!$A$2:$B$4,2,FALSE),"")</f>
        <v>SKIIFM_AT</v>
      </c>
      <c r="F94" s="11" t="s">
        <v>58</v>
      </c>
      <c r="I94" s="11" t="str">
        <f>IF(DATA!B93&lt;&gt;"",DATA!B93,"")</f>
        <v>MSMU8568605</v>
      </c>
      <c r="J94" s="12">
        <v>0</v>
      </c>
      <c r="K94" s="11" t="s">
        <v>53</v>
      </c>
      <c r="L94" s="11" t="str">
        <f t="shared" si="8"/>
        <v>940180</v>
      </c>
      <c r="M94" s="11" t="str">
        <f>IF(I94&lt;&gt;"",DATA!E93,"")</f>
        <v>SHOWER SEATS</v>
      </c>
      <c r="N94" s="12">
        <v>0</v>
      </c>
      <c r="O94" s="11">
        <f>IF(I94&lt;&gt;"",DATA!C93,"")</f>
        <v>47.8</v>
      </c>
      <c r="P94" s="2">
        <v>294094</v>
      </c>
      <c r="Q94" s="2" t="s">
        <v>1304</v>
      </c>
      <c r="R94" s="2" t="s">
        <v>1306</v>
      </c>
      <c r="S94" s="2">
        <v>221</v>
      </c>
      <c r="T94" s="2">
        <v>1</v>
      </c>
      <c r="U94" s="2" t="s">
        <v>141</v>
      </c>
      <c r="Y94" s="2">
        <v>1700</v>
      </c>
      <c r="Z94" s="11" t="s">
        <v>54</v>
      </c>
      <c r="AA94" s="11" t="str">
        <f t="shared" si="9"/>
        <v>1700 - TBN</v>
      </c>
      <c r="AC94" s="2" t="s">
        <v>145</v>
      </c>
      <c r="AD94" s="11" t="str">
        <f>IF($I94&lt;&gt;"",VLOOKUP($AC94,GEADRESSEERDE!$A$2:$E$4,2,),"")</f>
        <v>LUITHAGEN HAVEN 2 D</v>
      </c>
      <c r="AE94" s="11">
        <f>IF($I94&lt;&gt;"",VLOOKUP($AC94,GEADRESSEERDE!$A$2:$E$4,3,),"")</f>
        <v>2030</v>
      </c>
      <c r="AF94" s="11" t="str">
        <f>IF($I94&lt;&gt;"",VLOOKUP($AC94,GEADRESSEERDE!$A$2:$E$4,4,),"")</f>
        <v>ANTWERPEN</v>
      </c>
      <c r="AG94" s="11" t="str">
        <f>IF($I94&lt;&gt;"",VLOOKUP($AC94,GEADRESSEERDE!$A$2:$E$4,5,),"")</f>
        <v>BE</v>
      </c>
      <c r="AH94" s="11" t="str">
        <f>IF(I94&lt;&gt;"",VLOOKUP(AP94,KvB!$A$2:$B$3,2,FALSE),"")</f>
        <v>BE101000</v>
      </c>
      <c r="AI94" s="11" t="s">
        <v>55</v>
      </c>
      <c r="AJ94" s="11"/>
      <c r="AK94" s="11"/>
      <c r="AL94" s="11"/>
      <c r="AM94" s="11"/>
      <c r="AN94" s="11"/>
      <c r="AO94" s="11"/>
      <c r="AP94" s="2" t="s">
        <v>70</v>
      </c>
      <c r="AQ94" s="11" t="str">
        <f>IF(I94&lt;&gt;"",DATA!D93,"")</f>
        <v>9401800000</v>
      </c>
    </row>
    <row r="95" spans="1:43" ht="15.75" x14ac:dyDescent="0.25">
      <c r="A95" s="11" t="s">
        <v>57</v>
      </c>
      <c r="B95" s="11" t="s">
        <v>56</v>
      </c>
      <c r="C95" s="22">
        <f t="shared" si="10"/>
        <v>25001620</v>
      </c>
      <c r="D95" s="11" t="str">
        <f t="shared" si="7"/>
        <v>SKIIFM_AT</v>
      </c>
      <c r="E95" s="11" t="str">
        <f>IF(I95&lt;&gt;"",VLOOKUP(F95,OPDRACHTGEVER!$A$2:$B$4,2,FALSE),"")</f>
        <v>SKIIFM_AT</v>
      </c>
      <c r="F95" s="11" t="s">
        <v>58</v>
      </c>
      <c r="I95" s="11" t="str">
        <f>IF(DATA!B94&lt;&gt;"",DATA!B94,"")</f>
        <v>MSMU8568605</v>
      </c>
      <c r="J95" s="12">
        <v>0</v>
      </c>
      <c r="K95" s="11" t="s">
        <v>53</v>
      </c>
      <c r="L95" s="11" t="str">
        <f t="shared" si="8"/>
        <v>940179</v>
      </c>
      <c r="M95" s="11" t="str">
        <f>IF(I95&lt;&gt;"",DATA!E94,"")</f>
        <v>SHOWER STOOL</v>
      </c>
      <c r="N95" s="12">
        <v>0</v>
      </c>
      <c r="O95" s="11">
        <f>IF(I95&lt;&gt;"",DATA!C94,"")</f>
        <v>129</v>
      </c>
      <c r="P95" s="2">
        <v>294094</v>
      </c>
      <c r="Q95" s="2" t="s">
        <v>1304</v>
      </c>
      <c r="R95" s="2" t="s">
        <v>1306</v>
      </c>
      <c r="S95" s="2">
        <v>221</v>
      </c>
      <c r="T95" s="2">
        <v>1</v>
      </c>
      <c r="U95" s="2" t="s">
        <v>141</v>
      </c>
      <c r="Y95" s="2">
        <v>1700</v>
      </c>
      <c r="Z95" s="11" t="s">
        <v>54</v>
      </c>
      <c r="AA95" s="11" t="str">
        <f t="shared" si="9"/>
        <v>1700 - TBN</v>
      </c>
      <c r="AC95" s="2" t="s">
        <v>145</v>
      </c>
      <c r="AD95" s="11" t="str">
        <f>IF($I95&lt;&gt;"",VLOOKUP($AC95,GEADRESSEERDE!$A$2:$E$4,2,),"")</f>
        <v>LUITHAGEN HAVEN 2 D</v>
      </c>
      <c r="AE95" s="11">
        <f>IF($I95&lt;&gt;"",VLOOKUP($AC95,GEADRESSEERDE!$A$2:$E$4,3,),"")</f>
        <v>2030</v>
      </c>
      <c r="AF95" s="11" t="str">
        <f>IF($I95&lt;&gt;"",VLOOKUP($AC95,GEADRESSEERDE!$A$2:$E$4,4,),"")</f>
        <v>ANTWERPEN</v>
      </c>
      <c r="AG95" s="11" t="str">
        <f>IF($I95&lt;&gt;"",VLOOKUP($AC95,GEADRESSEERDE!$A$2:$E$4,5,),"")</f>
        <v>BE</v>
      </c>
      <c r="AH95" s="11" t="str">
        <f>IF(I95&lt;&gt;"",VLOOKUP(AP95,KvB!$A$2:$B$3,2,FALSE),"")</f>
        <v>BE101000</v>
      </c>
      <c r="AI95" s="11" t="s">
        <v>55</v>
      </c>
      <c r="AJ95" s="11"/>
      <c r="AK95" s="11"/>
      <c r="AL95" s="11"/>
      <c r="AM95" s="11"/>
      <c r="AN95" s="11"/>
      <c r="AO95" s="11"/>
      <c r="AP95" s="2" t="s">
        <v>70</v>
      </c>
      <c r="AQ95" s="11" t="str">
        <f>IF(I95&lt;&gt;"",DATA!D94,"")</f>
        <v>9401790000</v>
      </c>
    </row>
    <row r="96" spans="1:43" ht="15.75" x14ac:dyDescent="0.25">
      <c r="A96" s="11" t="s">
        <v>57</v>
      </c>
      <c r="B96" s="11" t="s">
        <v>56</v>
      </c>
      <c r="C96" s="22">
        <f t="shared" si="10"/>
        <v>25001620</v>
      </c>
      <c r="D96" s="11" t="str">
        <f t="shared" si="7"/>
        <v>SKIIFM_AT</v>
      </c>
      <c r="E96" s="11" t="str">
        <f>IF(I96&lt;&gt;"",VLOOKUP(F96,OPDRACHTGEVER!$A$2:$B$4,2,FALSE),"")</f>
        <v>SKIIFM_AT</v>
      </c>
      <c r="F96" s="11" t="s">
        <v>58</v>
      </c>
      <c r="I96" s="11" t="str">
        <f>IF(DATA!B95&lt;&gt;"",DATA!B95,"")</f>
        <v>MSMU8568605</v>
      </c>
      <c r="J96" s="12">
        <v>0</v>
      </c>
      <c r="K96" s="11" t="s">
        <v>53</v>
      </c>
      <c r="L96" s="11" t="str">
        <f t="shared" si="8"/>
        <v>842430</v>
      </c>
      <c r="M96" s="11" t="str">
        <f>IF(I96&lt;&gt;"",DATA!E95,"")</f>
        <v>SPRAY MACHINE</v>
      </c>
      <c r="N96" s="12">
        <v>0</v>
      </c>
      <c r="O96" s="11">
        <f>IF(I96&lt;&gt;"",DATA!C95,"")</f>
        <v>28.7</v>
      </c>
      <c r="P96" s="2">
        <v>294094</v>
      </c>
      <c r="Q96" s="2" t="s">
        <v>1304</v>
      </c>
      <c r="R96" s="2" t="s">
        <v>1306</v>
      </c>
      <c r="S96" s="2">
        <v>221</v>
      </c>
      <c r="T96" s="2">
        <v>1</v>
      </c>
      <c r="U96" s="2" t="s">
        <v>141</v>
      </c>
      <c r="Y96" s="2">
        <v>1700</v>
      </c>
      <c r="Z96" s="11" t="s">
        <v>54</v>
      </c>
      <c r="AA96" s="11" t="str">
        <f t="shared" si="9"/>
        <v>1700 - TBN</v>
      </c>
      <c r="AC96" s="2" t="s">
        <v>145</v>
      </c>
      <c r="AD96" s="11" t="str">
        <f>IF($I96&lt;&gt;"",VLOOKUP($AC96,GEADRESSEERDE!$A$2:$E$4,2,),"")</f>
        <v>LUITHAGEN HAVEN 2 D</v>
      </c>
      <c r="AE96" s="11">
        <f>IF($I96&lt;&gt;"",VLOOKUP($AC96,GEADRESSEERDE!$A$2:$E$4,3,),"")</f>
        <v>2030</v>
      </c>
      <c r="AF96" s="11" t="str">
        <f>IF($I96&lt;&gt;"",VLOOKUP($AC96,GEADRESSEERDE!$A$2:$E$4,4,),"")</f>
        <v>ANTWERPEN</v>
      </c>
      <c r="AG96" s="11" t="str">
        <f>IF($I96&lt;&gt;"",VLOOKUP($AC96,GEADRESSEERDE!$A$2:$E$4,5,),"")</f>
        <v>BE</v>
      </c>
      <c r="AH96" s="11" t="str">
        <f>IF(I96&lt;&gt;"",VLOOKUP(AP96,KvB!$A$2:$B$3,2,FALSE),"")</f>
        <v>BE101000</v>
      </c>
      <c r="AI96" s="11" t="s">
        <v>55</v>
      </c>
      <c r="AJ96" s="11"/>
      <c r="AK96" s="11"/>
      <c r="AL96" s="11"/>
      <c r="AM96" s="11"/>
      <c r="AN96" s="11"/>
      <c r="AO96" s="11"/>
      <c r="AP96" s="2" t="s">
        <v>70</v>
      </c>
      <c r="AQ96" s="11" t="str">
        <f>IF(I96&lt;&gt;"",DATA!D95,"")</f>
        <v>8424301000</v>
      </c>
    </row>
    <row r="97" spans="1:43" ht="15.75" x14ac:dyDescent="0.25">
      <c r="A97" s="11" t="s">
        <v>57</v>
      </c>
      <c r="B97" s="11" t="s">
        <v>56</v>
      </c>
      <c r="C97" s="22">
        <f t="shared" si="10"/>
        <v>25001620</v>
      </c>
      <c r="D97" s="11" t="str">
        <f t="shared" si="7"/>
        <v>SKIIFM_AT</v>
      </c>
      <c r="E97" s="11" t="str">
        <f>IF(I97&lt;&gt;"",VLOOKUP(F97,OPDRACHTGEVER!$A$2:$B$4,2,FALSE),"")</f>
        <v>SKIIFM_AT</v>
      </c>
      <c r="F97" s="11" t="s">
        <v>58</v>
      </c>
      <c r="I97" s="11" t="str">
        <f>IF(DATA!B96&lt;&gt;"",DATA!B96,"")</f>
        <v>MSMU8568605</v>
      </c>
      <c r="J97" s="12">
        <v>0</v>
      </c>
      <c r="K97" s="11" t="s">
        <v>53</v>
      </c>
      <c r="L97" s="11" t="str">
        <f t="shared" si="8"/>
        <v>842441</v>
      </c>
      <c r="M97" s="11" t="str">
        <f>IF(I97&lt;&gt;"",DATA!E96,"")</f>
        <v>SPRAYER</v>
      </c>
      <c r="N97" s="12">
        <v>0</v>
      </c>
      <c r="O97" s="11">
        <f>IF(I97&lt;&gt;"",DATA!C96,"")</f>
        <v>95.2</v>
      </c>
      <c r="P97" s="2">
        <v>294094</v>
      </c>
      <c r="Q97" s="2" t="s">
        <v>1304</v>
      </c>
      <c r="R97" s="2" t="s">
        <v>1306</v>
      </c>
      <c r="S97" s="2">
        <v>221</v>
      </c>
      <c r="T97" s="2">
        <v>1</v>
      </c>
      <c r="U97" s="2" t="s">
        <v>141</v>
      </c>
      <c r="Y97" s="2">
        <v>1700</v>
      </c>
      <c r="Z97" s="11" t="s">
        <v>54</v>
      </c>
      <c r="AA97" s="11" t="str">
        <f t="shared" si="9"/>
        <v>1700 - TBN</v>
      </c>
      <c r="AC97" s="2" t="s">
        <v>145</v>
      </c>
      <c r="AD97" s="11" t="str">
        <f>IF($I97&lt;&gt;"",VLOOKUP($AC97,GEADRESSEERDE!$A$2:$E$4,2,),"")</f>
        <v>LUITHAGEN HAVEN 2 D</v>
      </c>
      <c r="AE97" s="11">
        <f>IF($I97&lt;&gt;"",VLOOKUP($AC97,GEADRESSEERDE!$A$2:$E$4,3,),"")</f>
        <v>2030</v>
      </c>
      <c r="AF97" s="11" t="str">
        <f>IF($I97&lt;&gt;"",VLOOKUP($AC97,GEADRESSEERDE!$A$2:$E$4,4,),"")</f>
        <v>ANTWERPEN</v>
      </c>
      <c r="AG97" s="11" t="str">
        <f>IF($I97&lt;&gt;"",VLOOKUP($AC97,GEADRESSEERDE!$A$2:$E$4,5,),"")</f>
        <v>BE</v>
      </c>
      <c r="AH97" s="11" t="str">
        <f>IF(I97&lt;&gt;"",VLOOKUP(AP97,KvB!$A$2:$B$3,2,FALSE),"")</f>
        <v>BE101000</v>
      </c>
      <c r="AI97" s="11" t="s">
        <v>55</v>
      </c>
      <c r="AJ97" s="11"/>
      <c r="AK97" s="11"/>
      <c r="AL97" s="11"/>
      <c r="AM97" s="11"/>
      <c r="AN97" s="11"/>
      <c r="AO97" s="11"/>
      <c r="AP97" s="2" t="s">
        <v>70</v>
      </c>
      <c r="AQ97" s="11" t="str">
        <f>IF(I97&lt;&gt;"",DATA!D96,"")</f>
        <v>8424410000</v>
      </c>
    </row>
    <row r="98" spans="1:43" ht="15.75" x14ac:dyDescent="0.25">
      <c r="A98" s="11" t="s">
        <v>57</v>
      </c>
      <c r="B98" s="11" t="s">
        <v>56</v>
      </c>
      <c r="C98" s="22">
        <f t="shared" si="10"/>
        <v>25001620</v>
      </c>
      <c r="D98" s="11" t="str">
        <f t="shared" si="7"/>
        <v>SKIIFM_AT</v>
      </c>
      <c r="E98" s="11" t="str">
        <f>IF(I98&lt;&gt;"",VLOOKUP(F98,OPDRACHTGEVER!$A$2:$B$4,2,FALSE),"")</f>
        <v>SKIIFM_AT</v>
      </c>
      <c r="F98" s="11" t="s">
        <v>58</v>
      </c>
      <c r="I98" s="11" t="str">
        <f>IF(DATA!B97&lt;&gt;"",DATA!B97,"")</f>
        <v>MSMU8568605</v>
      </c>
      <c r="J98" s="12">
        <v>0</v>
      </c>
      <c r="K98" s="11" t="s">
        <v>53</v>
      </c>
      <c r="L98" s="11" t="str">
        <f t="shared" si="8"/>
        <v>420292</v>
      </c>
      <c r="M98" s="11" t="str">
        <f>IF(I98&lt;&gt;"",DATA!E97,"")</f>
        <v>STORAGE CASE</v>
      </c>
      <c r="N98" s="12">
        <v>0</v>
      </c>
      <c r="O98" s="11">
        <f>IF(I98&lt;&gt;"",DATA!C97,"")</f>
        <v>50.5</v>
      </c>
      <c r="P98" s="2">
        <v>294094</v>
      </c>
      <c r="Q98" s="2" t="s">
        <v>1304</v>
      </c>
      <c r="R98" s="2" t="s">
        <v>1306</v>
      </c>
      <c r="S98" s="2">
        <v>221</v>
      </c>
      <c r="T98" s="2">
        <v>1</v>
      </c>
      <c r="U98" s="2" t="s">
        <v>141</v>
      </c>
      <c r="Y98" s="2">
        <v>1700</v>
      </c>
      <c r="Z98" s="11" t="s">
        <v>54</v>
      </c>
      <c r="AA98" s="11" t="str">
        <f t="shared" si="9"/>
        <v>1700 - TBN</v>
      </c>
      <c r="AC98" s="2" t="s">
        <v>145</v>
      </c>
      <c r="AD98" s="11" t="str">
        <f>IF($I98&lt;&gt;"",VLOOKUP($AC98,GEADRESSEERDE!$A$2:$E$4,2,),"")</f>
        <v>LUITHAGEN HAVEN 2 D</v>
      </c>
      <c r="AE98" s="11">
        <f>IF($I98&lt;&gt;"",VLOOKUP($AC98,GEADRESSEERDE!$A$2:$E$4,3,),"")</f>
        <v>2030</v>
      </c>
      <c r="AF98" s="11" t="str">
        <f>IF($I98&lt;&gt;"",VLOOKUP($AC98,GEADRESSEERDE!$A$2:$E$4,4,),"")</f>
        <v>ANTWERPEN</v>
      </c>
      <c r="AG98" s="11" t="str">
        <f>IF($I98&lt;&gt;"",VLOOKUP($AC98,GEADRESSEERDE!$A$2:$E$4,5,),"")</f>
        <v>BE</v>
      </c>
      <c r="AH98" s="11" t="str">
        <f>IF(I98&lt;&gt;"",VLOOKUP(AP98,KvB!$A$2:$B$3,2,FALSE),"")</f>
        <v>BE101000</v>
      </c>
      <c r="AI98" s="11" t="s">
        <v>55</v>
      </c>
      <c r="AJ98" s="11"/>
      <c r="AK98" s="11"/>
      <c r="AL98" s="11"/>
      <c r="AM98" s="11"/>
      <c r="AN98" s="11"/>
      <c r="AO98" s="11"/>
      <c r="AP98" s="2" t="s">
        <v>70</v>
      </c>
      <c r="AQ98" s="11" t="str">
        <f>IF(I98&lt;&gt;"",DATA!D97,"")</f>
        <v>4202929890</v>
      </c>
    </row>
    <row r="99" spans="1:43" ht="15.75" x14ac:dyDescent="0.25">
      <c r="A99" s="11" t="s">
        <v>57</v>
      </c>
      <c r="B99" s="11" t="s">
        <v>56</v>
      </c>
      <c r="C99" s="22">
        <f t="shared" si="10"/>
        <v>25001620</v>
      </c>
      <c r="D99" s="11" t="str">
        <f t="shared" si="7"/>
        <v>SKIIFM_AT</v>
      </c>
      <c r="E99" s="11" t="str">
        <f>IF(I99&lt;&gt;"",VLOOKUP(F99,OPDRACHTGEVER!$A$2:$B$4,2,FALSE),"")</f>
        <v>SKIIFM_AT</v>
      </c>
      <c r="F99" s="11" t="s">
        <v>58</v>
      </c>
      <c r="I99" s="11" t="str">
        <f>IF(DATA!B98&lt;&gt;"",DATA!B98,"")</f>
        <v>MSMU8568605</v>
      </c>
      <c r="J99" s="12">
        <v>0</v>
      </c>
      <c r="K99" s="11" t="s">
        <v>53</v>
      </c>
      <c r="L99" s="11" t="str">
        <f t="shared" si="8"/>
        <v>830220</v>
      </c>
      <c r="M99" s="11" t="str">
        <f>IF(I99&lt;&gt;"",DATA!E98,"")</f>
        <v>SWIVEL CASTERS WHEEL</v>
      </c>
      <c r="N99" s="12">
        <v>0</v>
      </c>
      <c r="O99" s="11">
        <f>IF(I99&lt;&gt;"",DATA!C98,"")</f>
        <v>135.9</v>
      </c>
      <c r="P99" s="2">
        <v>294094</v>
      </c>
      <c r="Q99" s="2" t="s">
        <v>1304</v>
      </c>
      <c r="R99" s="2" t="s">
        <v>1306</v>
      </c>
      <c r="S99" s="2">
        <v>221</v>
      </c>
      <c r="T99" s="2">
        <v>1</v>
      </c>
      <c r="U99" s="2" t="s">
        <v>141</v>
      </c>
      <c r="Y99" s="2">
        <v>1700</v>
      </c>
      <c r="Z99" s="11" t="s">
        <v>54</v>
      </c>
      <c r="AA99" s="11" t="str">
        <f t="shared" si="9"/>
        <v>1700 - TBN</v>
      </c>
      <c r="AC99" s="2" t="s">
        <v>145</v>
      </c>
      <c r="AD99" s="11" t="str">
        <f>IF($I99&lt;&gt;"",VLOOKUP($AC99,GEADRESSEERDE!$A$2:$E$4,2,),"")</f>
        <v>LUITHAGEN HAVEN 2 D</v>
      </c>
      <c r="AE99" s="11">
        <f>IF($I99&lt;&gt;"",VLOOKUP($AC99,GEADRESSEERDE!$A$2:$E$4,3,),"")</f>
        <v>2030</v>
      </c>
      <c r="AF99" s="11" t="str">
        <f>IF($I99&lt;&gt;"",VLOOKUP($AC99,GEADRESSEERDE!$A$2:$E$4,4,),"")</f>
        <v>ANTWERPEN</v>
      </c>
      <c r="AG99" s="11" t="str">
        <f>IF($I99&lt;&gt;"",VLOOKUP($AC99,GEADRESSEERDE!$A$2:$E$4,5,),"")</f>
        <v>BE</v>
      </c>
      <c r="AH99" s="11" t="str">
        <f>IF(I99&lt;&gt;"",VLOOKUP(AP99,KvB!$A$2:$B$3,2,FALSE),"")</f>
        <v>BE101000</v>
      </c>
      <c r="AI99" s="11" t="s">
        <v>55</v>
      </c>
      <c r="AJ99" s="11"/>
      <c r="AK99" s="11"/>
      <c r="AL99" s="11"/>
      <c r="AM99" s="11"/>
      <c r="AN99" s="11"/>
      <c r="AO99" s="11"/>
      <c r="AP99" s="2" t="s">
        <v>70</v>
      </c>
      <c r="AQ99" s="11" t="str">
        <f>IF(I99&lt;&gt;"",DATA!D98,"")</f>
        <v>8302200090</v>
      </c>
    </row>
    <row r="100" spans="1:43" ht="15.75" x14ac:dyDescent="0.25">
      <c r="A100" s="11" t="s">
        <v>57</v>
      </c>
      <c r="B100" s="11" t="s">
        <v>56</v>
      </c>
      <c r="C100" s="22">
        <f t="shared" si="10"/>
        <v>25001620</v>
      </c>
      <c r="D100" s="11" t="str">
        <f t="shared" si="7"/>
        <v>SKIIFM_AT</v>
      </c>
      <c r="E100" s="11" t="str">
        <f>IF(I100&lt;&gt;"",VLOOKUP(F100,OPDRACHTGEVER!$A$2:$B$4,2,FALSE),"")</f>
        <v>SKIIFM_AT</v>
      </c>
      <c r="F100" s="11" t="s">
        <v>58</v>
      </c>
      <c r="I100" s="11" t="str">
        <f>IF(DATA!B99&lt;&gt;"",DATA!B99,"")</f>
        <v>MSMU8568605</v>
      </c>
      <c r="J100" s="12">
        <v>0</v>
      </c>
      <c r="K100" s="11" t="s">
        <v>53</v>
      </c>
      <c r="L100" s="11" t="str">
        <f t="shared" si="8"/>
        <v>741920</v>
      </c>
      <c r="M100" s="11" t="str">
        <f>IF(I100&lt;&gt;"",DATA!E99,"")</f>
        <v>TELESCOPIC ALUMINUM LADDER</v>
      </c>
      <c r="N100" s="12">
        <v>0</v>
      </c>
      <c r="O100" s="11">
        <f>IF(I100&lt;&gt;"",DATA!C99,"")</f>
        <v>120.9</v>
      </c>
      <c r="P100" s="2">
        <v>294094</v>
      </c>
      <c r="Q100" s="2" t="s">
        <v>1304</v>
      </c>
      <c r="R100" s="2" t="s">
        <v>1306</v>
      </c>
      <c r="S100" s="2">
        <v>221</v>
      </c>
      <c r="T100" s="2">
        <v>1</v>
      </c>
      <c r="U100" s="2" t="s">
        <v>141</v>
      </c>
      <c r="Y100" s="2">
        <v>1700</v>
      </c>
      <c r="Z100" s="11" t="s">
        <v>54</v>
      </c>
      <c r="AA100" s="11" t="str">
        <f t="shared" si="9"/>
        <v>1700 - TBN</v>
      </c>
      <c r="AC100" s="2" t="s">
        <v>145</v>
      </c>
      <c r="AD100" s="11" t="str">
        <f>IF($I100&lt;&gt;"",VLOOKUP($AC100,GEADRESSEERDE!$A$2:$E$4,2,),"")</f>
        <v>LUITHAGEN HAVEN 2 D</v>
      </c>
      <c r="AE100" s="11">
        <f>IF($I100&lt;&gt;"",VLOOKUP($AC100,GEADRESSEERDE!$A$2:$E$4,3,),"")</f>
        <v>2030</v>
      </c>
      <c r="AF100" s="11" t="str">
        <f>IF($I100&lt;&gt;"",VLOOKUP($AC100,GEADRESSEERDE!$A$2:$E$4,4,),"")</f>
        <v>ANTWERPEN</v>
      </c>
      <c r="AG100" s="11" t="str">
        <f>IF($I100&lt;&gt;"",VLOOKUP($AC100,GEADRESSEERDE!$A$2:$E$4,5,),"")</f>
        <v>BE</v>
      </c>
      <c r="AH100" s="11" t="str">
        <f>IF(I100&lt;&gt;"",VLOOKUP(AP100,KvB!$A$2:$B$3,2,FALSE),"")</f>
        <v>BE101000</v>
      </c>
      <c r="AI100" s="11" t="s">
        <v>55</v>
      </c>
      <c r="AJ100" s="11"/>
      <c r="AK100" s="11"/>
      <c r="AL100" s="11"/>
      <c r="AM100" s="11"/>
      <c r="AN100" s="11"/>
      <c r="AO100" s="11"/>
      <c r="AP100" s="2" t="s">
        <v>70</v>
      </c>
      <c r="AQ100" s="11" t="str">
        <f>IF(I100&lt;&gt;"",DATA!D99,"")</f>
        <v>7419200090</v>
      </c>
    </row>
    <row r="101" spans="1:43" ht="15.75" x14ac:dyDescent="0.25">
      <c r="A101" s="11" t="s">
        <v>57</v>
      </c>
      <c r="B101" s="11" t="s">
        <v>56</v>
      </c>
      <c r="C101" s="22">
        <f t="shared" si="10"/>
        <v>25001620</v>
      </c>
      <c r="D101" s="11" t="str">
        <f t="shared" si="7"/>
        <v>SKIIFM_AT</v>
      </c>
      <c r="E101" s="11" t="str">
        <f>IF(I101&lt;&gt;"",VLOOKUP(F101,OPDRACHTGEVER!$A$2:$B$4,2,FALSE),"")</f>
        <v>SKIIFM_AT</v>
      </c>
      <c r="F101" s="11" t="s">
        <v>58</v>
      </c>
      <c r="I101" s="11" t="str">
        <f>IF(DATA!B100&lt;&gt;"",DATA!B100,"")</f>
        <v>MSMU8568605</v>
      </c>
      <c r="J101" s="12">
        <v>0</v>
      </c>
      <c r="K101" s="11" t="s">
        <v>53</v>
      </c>
      <c r="L101" s="11" t="str">
        <f t="shared" si="8"/>
        <v>741920</v>
      </c>
      <c r="M101" s="11" t="str">
        <f>IF(I101&lt;&gt;"",DATA!E100,"")</f>
        <v>TELESCOPIC LADDER</v>
      </c>
      <c r="N101" s="12">
        <v>0</v>
      </c>
      <c r="O101" s="11">
        <f>IF(I101&lt;&gt;"",DATA!C100,"")</f>
        <v>328.5</v>
      </c>
      <c r="P101" s="2">
        <v>294094</v>
      </c>
      <c r="Q101" s="2" t="s">
        <v>1304</v>
      </c>
      <c r="R101" s="2" t="s">
        <v>1306</v>
      </c>
      <c r="S101" s="2">
        <v>221</v>
      </c>
      <c r="T101" s="2">
        <v>1</v>
      </c>
      <c r="U101" s="2" t="s">
        <v>141</v>
      </c>
      <c r="Y101" s="2">
        <v>1700</v>
      </c>
      <c r="Z101" s="11" t="s">
        <v>54</v>
      </c>
      <c r="AA101" s="11" t="str">
        <f t="shared" si="9"/>
        <v>1700 - TBN</v>
      </c>
      <c r="AC101" s="2" t="s">
        <v>145</v>
      </c>
      <c r="AD101" s="11" t="str">
        <f>IF($I101&lt;&gt;"",VLOOKUP($AC101,GEADRESSEERDE!$A$2:$E$4,2,),"")</f>
        <v>LUITHAGEN HAVEN 2 D</v>
      </c>
      <c r="AE101" s="11">
        <f>IF($I101&lt;&gt;"",VLOOKUP($AC101,GEADRESSEERDE!$A$2:$E$4,3,),"")</f>
        <v>2030</v>
      </c>
      <c r="AF101" s="11" t="str">
        <f>IF($I101&lt;&gt;"",VLOOKUP($AC101,GEADRESSEERDE!$A$2:$E$4,4,),"")</f>
        <v>ANTWERPEN</v>
      </c>
      <c r="AG101" s="11" t="str">
        <f>IF($I101&lt;&gt;"",VLOOKUP($AC101,GEADRESSEERDE!$A$2:$E$4,5,),"")</f>
        <v>BE</v>
      </c>
      <c r="AH101" s="11" t="str">
        <f>IF(I101&lt;&gt;"",VLOOKUP(AP101,KvB!$A$2:$B$3,2,FALSE),"")</f>
        <v>BE101000</v>
      </c>
      <c r="AI101" s="11" t="s">
        <v>55</v>
      </c>
      <c r="AJ101" s="11"/>
      <c r="AK101" s="11"/>
      <c r="AL101" s="11"/>
      <c r="AM101" s="11"/>
      <c r="AN101" s="11"/>
      <c r="AO101" s="11"/>
      <c r="AP101" s="2" t="s">
        <v>70</v>
      </c>
      <c r="AQ101" s="11" t="str">
        <f>IF(I101&lt;&gt;"",DATA!D100,"")</f>
        <v>7419200090</v>
      </c>
    </row>
    <row r="102" spans="1:43" ht="15.75" x14ac:dyDescent="0.25">
      <c r="A102" s="11" t="s">
        <v>57</v>
      </c>
      <c r="B102" s="11" t="s">
        <v>56</v>
      </c>
      <c r="C102" s="22">
        <f t="shared" si="10"/>
        <v>25001620</v>
      </c>
      <c r="D102" s="11" t="str">
        <f t="shared" si="7"/>
        <v>SKIIFM_AT</v>
      </c>
      <c r="E102" s="11" t="str">
        <f>IF(I102&lt;&gt;"",VLOOKUP(F102,OPDRACHTGEVER!$A$2:$B$4,2,FALSE),"")</f>
        <v>SKIIFM_AT</v>
      </c>
      <c r="F102" s="11" t="s">
        <v>58</v>
      </c>
      <c r="I102" s="11" t="str">
        <f>IF(DATA!B101&lt;&gt;"",DATA!B101,"")</f>
        <v>MSMU8568605</v>
      </c>
      <c r="J102" s="12">
        <v>0</v>
      </c>
      <c r="K102" s="11" t="s">
        <v>53</v>
      </c>
      <c r="L102" s="11" t="str">
        <f t="shared" si="8"/>
        <v>902620</v>
      </c>
      <c r="M102" s="11" t="str">
        <f>IF(I102&lt;&gt;"",DATA!E101,"")</f>
        <v>TEST PRESSURE GAUGE SET</v>
      </c>
      <c r="N102" s="12">
        <v>0</v>
      </c>
      <c r="O102" s="11">
        <f>IF(I102&lt;&gt;"",DATA!C101,"")</f>
        <v>100.8</v>
      </c>
      <c r="P102" s="2">
        <v>294094</v>
      </c>
      <c r="Q102" s="2" t="s">
        <v>1304</v>
      </c>
      <c r="R102" s="2" t="s">
        <v>1306</v>
      </c>
      <c r="S102" s="2">
        <v>221</v>
      </c>
      <c r="T102" s="2">
        <v>1</v>
      </c>
      <c r="U102" s="2" t="s">
        <v>141</v>
      </c>
      <c r="Y102" s="2">
        <v>1700</v>
      </c>
      <c r="Z102" s="11" t="s">
        <v>54</v>
      </c>
      <c r="AA102" s="11" t="str">
        <f t="shared" si="9"/>
        <v>1700 - TBN</v>
      </c>
      <c r="AC102" s="2" t="s">
        <v>145</v>
      </c>
      <c r="AD102" s="11" t="str">
        <f>IF($I102&lt;&gt;"",VLOOKUP($AC102,GEADRESSEERDE!$A$2:$E$4,2,),"")</f>
        <v>LUITHAGEN HAVEN 2 D</v>
      </c>
      <c r="AE102" s="11">
        <f>IF($I102&lt;&gt;"",VLOOKUP($AC102,GEADRESSEERDE!$A$2:$E$4,3,),"")</f>
        <v>2030</v>
      </c>
      <c r="AF102" s="11" t="str">
        <f>IF($I102&lt;&gt;"",VLOOKUP($AC102,GEADRESSEERDE!$A$2:$E$4,4,),"")</f>
        <v>ANTWERPEN</v>
      </c>
      <c r="AG102" s="11" t="str">
        <f>IF($I102&lt;&gt;"",VLOOKUP($AC102,GEADRESSEERDE!$A$2:$E$4,5,),"")</f>
        <v>BE</v>
      </c>
      <c r="AH102" s="11" t="str">
        <f>IF(I102&lt;&gt;"",VLOOKUP(AP102,KvB!$A$2:$B$3,2,FALSE),"")</f>
        <v>BE101000</v>
      </c>
      <c r="AI102" s="11" t="s">
        <v>55</v>
      </c>
      <c r="AJ102" s="11"/>
      <c r="AK102" s="11"/>
      <c r="AL102" s="11"/>
      <c r="AM102" s="11"/>
      <c r="AN102" s="11"/>
      <c r="AO102" s="11"/>
      <c r="AP102" s="2" t="s">
        <v>70</v>
      </c>
      <c r="AQ102" s="11" t="str">
        <f>IF(I102&lt;&gt;"",DATA!D101,"")</f>
        <v>9026208000</v>
      </c>
    </row>
    <row r="103" spans="1:43" ht="15.75" x14ac:dyDescent="0.25">
      <c r="A103" s="11" t="s">
        <v>57</v>
      </c>
      <c r="B103" s="11" t="s">
        <v>56</v>
      </c>
      <c r="C103" s="22">
        <f t="shared" si="10"/>
        <v>25001620</v>
      </c>
      <c r="D103" s="11" t="str">
        <f t="shared" si="7"/>
        <v>SKIIFM_AT</v>
      </c>
      <c r="E103" s="11" t="str">
        <f>IF(I103&lt;&gt;"",VLOOKUP(F103,OPDRACHTGEVER!$A$2:$B$4,2,FALSE),"")</f>
        <v>SKIIFM_AT</v>
      </c>
      <c r="F103" s="11" t="s">
        <v>58</v>
      </c>
      <c r="I103" s="11" t="str">
        <f>IF(DATA!B102&lt;&gt;"",DATA!B102,"")</f>
        <v>MSMU8568605</v>
      </c>
      <c r="J103" s="12">
        <v>0</v>
      </c>
      <c r="K103" s="11" t="s">
        <v>53</v>
      </c>
      <c r="L103" s="11" t="str">
        <f t="shared" si="8"/>
        <v>871680</v>
      </c>
      <c r="M103" s="11" t="str">
        <f>IF(I103&lt;&gt;"",DATA!E102,"")</f>
        <v>TROLLEY</v>
      </c>
      <c r="N103" s="12">
        <v>0</v>
      </c>
      <c r="O103" s="11">
        <f>IF(I103&lt;&gt;"",DATA!C102,"")</f>
        <v>411.5</v>
      </c>
      <c r="P103" s="2">
        <v>294094</v>
      </c>
      <c r="Q103" s="2" t="s">
        <v>1304</v>
      </c>
      <c r="R103" s="2" t="s">
        <v>1306</v>
      </c>
      <c r="S103" s="2">
        <v>221</v>
      </c>
      <c r="T103" s="2">
        <v>1</v>
      </c>
      <c r="U103" s="2" t="s">
        <v>141</v>
      </c>
      <c r="Y103" s="2">
        <v>1700</v>
      </c>
      <c r="Z103" s="11" t="s">
        <v>54</v>
      </c>
      <c r="AA103" s="11" t="str">
        <f t="shared" si="9"/>
        <v>1700 - TBN</v>
      </c>
      <c r="AC103" s="2" t="s">
        <v>145</v>
      </c>
      <c r="AD103" s="11" t="str">
        <f>IF($I103&lt;&gt;"",VLOOKUP($AC103,GEADRESSEERDE!$A$2:$E$4,2,),"")</f>
        <v>LUITHAGEN HAVEN 2 D</v>
      </c>
      <c r="AE103" s="11">
        <f>IF($I103&lt;&gt;"",VLOOKUP($AC103,GEADRESSEERDE!$A$2:$E$4,3,),"")</f>
        <v>2030</v>
      </c>
      <c r="AF103" s="11" t="str">
        <f>IF($I103&lt;&gt;"",VLOOKUP($AC103,GEADRESSEERDE!$A$2:$E$4,4,),"")</f>
        <v>ANTWERPEN</v>
      </c>
      <c r="AG103" s="11" t="str">
        <f>IF($I103&lt;&gt;"",VLOOKUP($AC103,GEADRESSEERDE!$A$2:$E$4,5,),"")</f>
        <v>BE</v>
      </c>
      <c r="AH103" s="11" t="str">
        <f>IF(I103&lt;&gt;"",VLOOKUP(AP103,KvB!$A$2:$B$3,2,FALSE),"")</f>
        <v>BE101000</v>
      </c>
      <c r="AI103" s="11" t="s">
        <v>55</v>
      </c>
      <c r="AJ103" s="11"/>
      <c r="AK103" s="11"/>
      <c r="AL103" s="11"/>
      <c r="AM103" s="11"/>
      <c r="AN103" s="11"/>
      <c r="AO103" s="11"/>
      <c r="AP103" s="2" t="s">
        <v>70</v>
      </c>
      <c r="AQ103" s="11" t="str">
        <f>IF(I103&lt;&gt;"",DATA!D102,"")</f>
        <v>8716800000</v>
      </c>
    </row>
    <row r="104" spans="1:43" ht="15.75" x14ac:dyDescent="0.25">
      <c r="A104" s="11" t="s">
        <v>57</v>
      </c>
      <c r="B104" s="11" t="s">
        <v>56</v>
      </c>
      <c r="C104" s="22">
        <f t="shared" si="10"/>
        <v>25001620</v>
      </c>
      <c r="D104" s="11" t="str">
        <f t="shared" si="7"/>
        <v>SKIIFM_AT</v>
      </c>
      <c r="E104" s="11" t="str">
        <f>IF(I104&lt;&gt;"",VLOOKUP(F104,OPDRACHTGEVER!$A$2:$B$4,2,FALSE),"")</f>
        <v>SKIIFM_AT</v>
      </c>
      <c r="F104" s="11" t="s">
        <v>58</v>
      </c>
      <c r="I104" s="11" t="str">
        <f>IF(DATA!B103&lt;&gt;"",DATA!B103,"")</f>
        <v>MSMU8568605</v>
      </c>
      <c r="J104" s="12">
        <v>0</v>
      </c>
      <c r="K104" s="11" t="s">
        <v>53</v>
      </c>
      <c r="L104" s="11" t="str">
        <f t="shared" si="8"/>
        <v>392690</v>
      </c>
      <c r="M104" s="11" t="str">
        <f>IF(I104&lt;&gt;"",DATA!E103,"")</f>
        <v>TURNTABLE</v>
      </c>
      <c r="N104" s="12">
        <v>0</v>
      </c>
      <c r="O104" s="11">
        <f>IF(I104&lt;&gt;"",DATA!C103,"")</f>
        <v>56.3</v>
      </c>
      <c r="P104" s="2">
        <v>294094</v>
      </c>
      <c r="Q104" s="2" t="s">
        <v>1304</v>
      </c>
      <c r="R104" s="2" t="s">
        <v>1306</v>
      </c>
      <c r="S104" s="2">
        <v>221</v>
      </c>
      <c r="T104" s="2">
        <v>1</v>
      </c>
      <c r="U104" s="2" t="s">
        <v>141</v>
      </c>
      <c r="Y104" s="2">
        <v>1700</v>
      </c>
      <c r="Z104" s="11" t="s">
        <v>54</v>
      </c>
      <c r="AA104" s="11" t="str">
        <f t="shared" si="9"/>
        <v>1700 - TBN</v>
      </c>
      <c r="AC104" s="2" t="s">
        <v>145</v>
      </c>
      <c r="AD104" s="11" t="str">
        <f>IF($I104&lt;&gt;"",VLOOKUP($AC104,GEADRESSEERDE!$A$2:$E$4,2,),"")</f>
        <v>LUITHAGEN HAVEN 2 D</v>
      </c>
      <c r="AE104" s="11">
        <f>IF($I104&lt;&gt;"",VLOOKUP($AC104,GEADRESSEERDE!$A$2:$E$4,3,),"")</f>
        <v>2030</v>
      </c>
      <c r="AF104" s="11" t="str">
        <f>IF($I104&lt;&gt;"",VLOOKUP($AC104,GEADRESSEERDE!$A$2:$E$4,4,),"")</f>
        <v>ANTWERPEN</v>
      </c>
      <c r="AG104" s="11" t="str">
        <f>IF($I104&lt;&gt;"",VLOOKUP($AC104,GEADRESSEERDE!$A$2:$E$4,5,),"")</f>
        <v>BE</v>
      </c>
      <c r="AH104" s="11" t="str">
        <f>IF(I104&lt;&gt;"",VLOOKUP(AP104,KvB!$A$2:$B$3,2,FALSE),"")</f>
        <v>BE101000</v>
      </c>
      <c r="AI104" s="11" t="s">
        <v>55</v>
      </c>
      <c r="AJ104" s="11"/>
      <c r="AK104" s="11"/>
      <c r="AL104" s="11"/>
      <c r="AM104" s="11"/>
      <c r="AN104" s="11"/>
      <c r="AO104" s="11"/>
      <c r="AP104" s="2" t="s">
        <v>70</v>
      </c>
      <c r="AQ104" s="11" t="str">
        <f>IF(I104&lt;&gt;"",DATA!D103,"")</f>
        <v>3926909790</v>
      </c>
    </row>
    <row r="105" spans="1:43" ht="15.75" x14ac:dyDescent="0.25">
      <c r="A105" s="11" t="s">
        <v>57</v>
      </c>
      <c r="B105" s="11" t="s">
        <v>56</v>
      </c>
      <c r="C105" s="22">
        <f t="shared" si="10"/>
        <v>25001620</v>
      </c>
      <c r="D105" s="11" t="str">
        <f t="shared" si="7"/>
        <v>SKIIFM_AT</v>
      </c>
      <c r="E105" s="11" t="str">
        <f>IF(I105&lt;&gt;"",VLOOKUP(F105,OPDRACHTGEVER!$A$2:$B$4,2,FALSE),"")</f>
        <v>SKIIFM_AT</v>
      </c>
      <c r="F105" s="11" t="s">
        <v>58</v>
      </c>
      <c r="I105" s="11" t="str">
        <f>IF(DATA!B104&lt;&gt;"",DATA!B104,"")</f>
        <v>MSMU8568605</v>
      </c>
      <c r="J105" s="12">
        <v>0</v>
      </c>
      <c r="K105" s="11" t="s">
        <v>53</v>
      </c>
      <c r="L105" s="11" t="str">
        <f t="shared" si="8"/>
        <v>870829</v>
      </c>
      <c r="M105" s="11" t="str">
        <f>IF(I105&lt;&gt;"",DATA!E104,"")</f>
        <v>UNIVERSAL SPOILIER WING</v>
      </c>
      <c r="N105" s="12">
        <v>0</v>
      </c>
      <c r="O105" s="11">
        <f>IF(I105&lt;&gt;"",DATA!C104,"")</f>
        <v>11.8</v>
      </c>
      <c r="P105" s="2">
        <v>294094</v>
      </c>
      <c r="Q105" s="2" t="s">
        <v>1304</v>
      </c>
      <c r="R105" s="2" t="s">
        <v>1306</v>
      </c>
      <c r="S105" s="2">
        <v>221</v>
      </c>
      <c r="T105" s="2">
        <v>1</v>
      </c>
      <c r="U105" s="2" t="s">
        <v>141</v>
      </c>
      <c r="Y105" s="2">
        <v>1700</v>
      </c>
      <c r="Z105" s="11" t="s">
        <v>54</v>
      </c>
      <c r="AA105" s="11" t="str">
        <f t="shared" si="9"/>
        <v>1700 - TBN</v>
      </c>
      <c r="AC105" s="2" t="s">
        <v>145</v>
      </c>
      <c r="AD105" s="11" t="str">
        <f>IF($I105&lt;&gt;"",VLOOKUP($AC105,GEADRESSEERDE!$A$2:$E$4,2,),"")</f>
        <v>LUITHAGEN HAVEN 2 D</v>
      </c>
      <c r="AE105" s="11">
        <f>IF($I105&lt;&gt;"",VLOOKUP($AC105,GEADRESSEERDE!$A$2:$E$4,3,),"")</f>
        <v>2030</v>
      </c>
      <c r="AF105" s="11" t="str">
        <f>IF($I105&lt;&gt;"",VLOOKUP($AC105,GEADRESSEERDE!$A$2:$E$4,4,),"")</f>
        <v>ANTWERPEN</v>
      </c>
      <c r="AG105" s="11" t="str">
        <f>IF($I105&lt;&gt;"",VLOOKUP($AC105,GEADRESSEERDE!$A$2:$E$4,5,),"")</f>
        <v>BE</v>
      </c>
      <c r="AH105" s="11" t="str">
        <f>IF(I105&lt;&gt;"",VLOOKUP(AP105,KvB!$A$2:$B$3,2,FALSE),"")</f>
        <v>BE101000</v>
      </c>
      <c r="AI105" s="11" t="s">
        <v>55</v>
      </c>
      <c r="AJ105" s="11"/>
      <c r="AK105" s="11"/>
      <c r="AL105" s="11"/>
      <c r="AM105" s="11"/>
      <c r="AN105" s="11"/>
      <c r="AO105" s="11"/>
      <c r="AP105" s="2" t="s">
        <v>70</v>
      </c>
      <c r="AQ105" s="11" t="str">
        <f>IF(I105&lt;&gt;"",DATA!D104,"")</f>
        <v>8708299000</v>
      </c>
    </row>
    <row r="106" spans="1:43" ht="15.75" x14ac:dyDescent="0.25">
      <c r="A106" s="11" t="s">
        <v>57</v>
      </c>
      <c r="B106" s="11" t="s">
        <v>56</v>
      </c>
      <c r="C106" s="22">
        <f t="shared" si="10"/>
        <v>25001620</v>
      </c>
      <c r="D106" s="11" t="str">
        <f t="shared" si="7"/>
        <v>SKIIFM_AT</v>
      </c>
      <c r="E106" s="11" t="str">
        <f>IF(I106&lt;&gt;"",VLOOKUP(F106,OPDRACHTGEVER!$A$2:$B$4,2,FALSE),"")</f>
        <v>SKIIFM_AT</v>
      </c>
      <c r="F106" s="11" t="s">
        <v>58</v>
      </c>
      <c r="I106" s="11" t="str">
        <f>IF(DATA!B105&lt;&gt;"",DATA!B105,"")</f>
        <v>MSMU8568605</v>
      </c>
      <c r="J106" s="12">
        <v>0</v>
      </c>
      <c r="K106" s="11" t="s">
        <v>53</v>
      </c>
      <c r="L106" s="11" t="str">
        <f t="shared" si="8"/>
        <v>961700</v>
      </c>
      <c r="M106" s="11" t="str">
        <f>IF(I106&lt;&gt;"",DATA!E105,"")</f>
        <v>VACUUM BUCKET</v>
      </c>
      <c r="N106" s="12">
        <v>0</v>
      </c>
      <c r="O106" s="11">
        <f>IF(I106&lt;&gt;"",DATA!C105,"")</f>
        <v>90.9</v>
      </c>
      <c r="P106" s="2">
        <v>294094</v>
      </c>
      <c r="Q106" s="2" t="s">
        <v>1304</v>
      </c>
      <c r="R106" s="2" t="s">
        <v>1306</v>
      </c>
      <c r="S106" s="2">
        <v>221</v>
      </c>
      <c r="T106" s="2">
        <v>1</v>
      </c>
      <c r="U106" s="2" t="s">
        <v>141</v>
      </c>
      <c r="Y106" s="2">
        <v>1700</v>
      </c>
      <c r="Z106" s="11" t="s">
        <v>54</v>
      </c>
      <c r="AA106" s="11" t="str">
        <f t="shared" si="9"/>
        <v>1700 - TBN</v>
      </c>
      <c r="AC106" s="2" t="s">
        <v>145</v>
      </c>
      <c r="AD106" s="11" t="str">
        <f>IF($I106&lt;&gt;"",VLOOKUP($AC106,GEADRESSEERDE!$A$2:$E$4,2,),"")</f>
        <v>LUITHAGEN HAVEN 2 D</v>
      </c>
      <c r="AE106" s="11">
        <f>IF($I106&lt;&gt;"",VLOOKUP($AC106,GEADRESSEERDE!$A$2:$E$4,3,),"")</f>
        <v>2030</v>
      </c>
      <c r="AF106" s="11" t="str">
        <f>IF($I106&lt;&gt;"",VLOOKUP($AC106,GEADRESSEERDE!$A$2:$E$4,4,),"")</f>
        <v>ANTWERPEN</v>
      </c>
      <c r="AG106" s="11" t="str">
        <f>IF($I106&lt;&gt;"",VLOOKUP($AC106,GEADRESSEERDE!$A$2:$E$4,5,),"")</f>
        <v>BE</v>
      </c>
      <c r="AH106" s="11" t="str">
        <f>IF(I106&lt;&gt;"",VLOOKUP(AP106,KvB!$A$2:$B$3,2,FALSE),"")</f>
        <v>BE101000</v>
      </c>
      <c r="AI106" s="11" t="s">
        <v>55</v>
      </c>
      <c r="AJ106" s="11"/>
      <c r="AK106" s="11"/>
      <c r="AL106" s="11"/>
      <c r="AM106" s="11"/>
      <c r="AN106" s="11"/>
      <c r="AO106" s="11"/>
      <c r="AP106" s="2" t="s">
        <v>70</v>
      </c>
      <c r="AQ106" s="11" t="str">
        <f>IF(I106&lt;&gt;"",DATA!D105,"")</f>
        <v>9617000000</v>
      </c>
    </row>
    <row r="107" spans="1:43" ht="15.75" x14ac:dyDescent="0.25">
      <c r="A107" s="11" t="s">
        <v>57</v>
      </c>
      <c r="B107" s="11" t="s">
        <v>56</v>
      </c>
      <c r="C107" s="22">
        <f t="shared" si="10"/>
        <v>25001620</v>
      </c>
      <c r="D107" s="11" t="str">
        <f t="shared" si="7"/>
        <v>SKIIFM_AT</v>
      </c>
      <c r="E107" s="11" t="str">
        <f>IF(I107&lt;&gt;"",VLOOKUP(F107,OPDRACHTGEVER!$A$2:$B$4,2,FALSE),"")</f>
        <v>SKIIFM_AT</v>
      </c>
      <c r="F107" s="11" t="s">
        <v>58</v>
      </c>
      <c r="I107" s="11" t="str">
        <f>IF(DATA!B106&lt;&gt;"",DATA!B106,"")</f>
        <v>MSMU8568605</v>
      </c>
      <c r="J107" s="12">
        <v>0</v>
      </c>
      <c r="K107" s="11" t="s">
        <v>53</v>
      </c>
      <c r="L107" s="11" t="str">
        <f t="shared" si="8"/>
        <v>850819</v>
      </c>
      <c r="M107" s="11" t="str">
        <f>IF(I107&lt;&gt;"",DATA!E106,"")</f>
        <v>VACUUM CLEANER</v>
      </c>
      <c r="N107" s="12">
        <v>0</v>
      </c>
      <c r="O107" s="11">
        <f>IF(I107&lt;&gt;"",DATA!C106,"")</f>
        <v>27.75</v>
      </c>
      <c r="P107" s="2">
        <v>294094</v>
      </c>
      <c r="Q107" s="2" t="s">
        <v>1304</v>
      </c>
      <c r="R107" s="2" t="s">
        <v>1306</v>
      </c>
      <c r="S107" s="2">
        <v>221</v>
      </c>
      <c r="T107" s="2">
        <v>1</v>
      </c>
      <c r="U107" s="2" t="s">
        <v>141</v>
      </c>
      <c r="Y107" s="2">
        <v>1700</v>
      </c>
      <c r="Z107" s="11" t="s">
        <v>54</v>
      </c>
      <c r="AA107" s="11" t="str">
        <f t="shared" si="9"/>
        <v>1700 - TBN</v>
      </c>
      <c r="AC107" s="2" t="s">
        <v>145</v>
      </c>
      <c r="AD107" s="11" t="str">
        <f>IF($I107&lt;&gt;"",VLOOKUP($AC107,GEADRESSEERDE!$A$2:$E$4,2,),"")</f>
        <v>LUITHAGEN HAVEN 2 D</v>
      </c>
      <c r="AE107" s="11">
        <f>IF($I107&lt;&gt;"",VLOOKUP($AC107,GEADRESSEERDE!$A$2:$E$4,3,),"")</f>
        <v>2030</v>
      </c>
      <c r="AF107" s="11" t="str">
        <f>IF($I107&lt;&gt;"",VLOOKUP($AC107,GEADRESSEERDE!$A$2:$E$4,4,),"")</f>
        <v>ANTWERPEN</v>
      </c>
      <c r="AG107" s="11" t="str">
        <f>IF($I107&lt;&gt;"",VLOOKUP($AC107,GEADRESSEERDE!$A$2:$E$4,5,),"")</f>
        <v>BE</v>
      </c>
      <c r="AH107" s="11" t="str">
        <f>IF(I107&lt;&gt;"",VLOOKUP(AP107,KvB!$A$2:$B$3,2,FALSE),"")</f>
        <v>BE101000</v>
      </c>
      <c r="AI107" s="11" t="s">
        <v>55</v>
      </c>
      <c r="AJ107" s="11"/>
      <c r="AK107" s="11"/>
      <c r="AL107" s="11"/>
      <c r="AM107" s="11"/>
      <c r="AN107" s="11"/>
      <c r="AO107" s="11"/>
      <c r="AP107" s="2" t="s">
        <v>70</v>
      </c>
      <c r="AQ107" s="11" t="str">
        <f>IF(I107&lt;&gt;"",DATA!D106,"")</f>
        <v>8508190000</v>
      </c>
    </row>
    <row r="108" spans="1:43" ht="15.75" x14ac:dyDescent="0.25">
      <c r="A108" s="11" t="s">
        <v>57</v>
      </c>
      <c r="B108" s="11" t="s">
        <v>56</v>
      </c>
      <c r="C108" s="22">
        <f t="shared" si="10"/>
        <v>25001620</v>
      </c>
      <c r="D108" s="11" t="str">
        <f t="shared" si="7"/>
        <v>SKIIFM_AT</v>
      </c>
      <c r="E108" s="11" t="str">
        <f>IF(I108&lt;&gt;"",VLOOKUP(F108,OPDRACHTGEVER!$A$2:$B$4,2,FALSE),"")</f>
        <v>SKIIFM_AT</v>
      </c>
      <c r="F108" s="11" t="s">
        <v>58</v>
      </c>
      <c r="I108" s="11" t="str">
        <f>IF(DATA!B107&lt;&gt;"",DATA!B107,"")</f>
        <v>MSMU8568605</v>
      </c>
      <c r="J108" s="12">
        <v>0</v>
      </c>
      <c r="K108" s="11" t="s">
        <v>53</v>
      </c>
      <c r="L108" s="11" t="str">
        <f t="shared" si="8"/>
        <v>841410</v>
      </c>
      <c r="M108" s="11" t="str">
        <f>IF(I108&lt;&gt;"",DATA!E107,"")</f>
        <v>VACUUM PUMP GAUGE SET</v>
      </c>
      <c r="N108" s="12">
        <v>0</v>
      </c>
      <c r="O108" s="11">
        <f>IF(I108&lt;&gt;"",DATA!C107,"")</f>
        <v>270.75</v>
      </c>
      <c r="P108" s="2">
        <v>294094</v>
      </c>
      <c r="Q108" s="2" t="s">
        <v>1304</v>
      </c>
      <c r="R108" s="2" t="s">
        <v>1306</v>
      </c>
      <c r="S108" s="2">
        <v>221</v>
      </c>
      <c r="T108" s="2">
        <v>1</v>
      </c>
      <c r="U108" s="2" t="s">
        <v>141</v>
      </c>
      <c r="Y108" s="2">
        <v>1700</v>
      </c>
      <c r="Z108" s="11" t="s">
        <v>54</v>
      </c>
      <c r="AA108" s="11" t="str">
        <f t="shared" si="9"/>
        <v>1700 - TBN</v>
      </c>
      <c r="AC108" s="2" t="s">
        <v>145</v>
      </c>
      <c r="AD108" s="11" t="str">
        <f>IF($I108&lt;&gt;"",VLOOKUP($AC108,GEADRESSEERDE!$A$2:$E$4,2,),"")</f>
        <v>LUITHAGEN HAVEN 2 D</v>
      </c>
      <c r="AE108" s="11">
        <f>IF($I108&lt;&gt;"",VLOOKUP($AC108,GEADRESSEERDE!$A$2:$E$4,3,),"")</f>
        <v>2030</v>
      </c>
      <c r="AF108" s="11" t="str">
        <f>IF($I108&lt;&gt;"",VLOOKUP($AC108,GEADRESSEERDE!$A$2:$E$4,4,),"")</f>
        <v>ANTWERPEN</v>
      </c>
      <c r="AG108" s="11" t="str">
        <f>IF($I108&lt;&gt;"",VLOOKUP($AC108,GEADRESSEERDE!$A$2:$E$4,5,),"")</f>
        <v>BE</v>
      </c>
      <c r="AH108" s="11" t="str">
        <f>IF(I108&lt;&gt;"",VLOOKUP(AP108,KvB!$A$2:$B$3,2,FALSE),"")</f>
        <v>BE101000</v>
      </c>
      <c r="AI108" s="11" t="s">
        <v>55</v>
      </c>
      <c r="AJ108" s="11"/>
      <c r="AK108" s="11"/>
      <c r="AL108" s="11"/>
      <c r="AM108" s="11"/>
      <c r="AN108" s="11"/>
      <c r="AO108" s="11"/>
      <c r="AP108" s="2" t="s">
        <v>70</v>
      </c>
      <c r="AQ108" s="11" t="str">
        <f>IF(I108&lt;&gt;"",DATA!D107,"")</f>
        <v>8414108990</v>
      </c>
    </row>
    <row r="109" spans="1:43" ht="15.75" x14ac:dyDescent="0.25">
      <c r="A109" s="11" t="s">
        <v>57</v>
      </c>
      <c r="B109" s="11" t="s">
        <v>56</v>
      </c>
      <c r="C109" s="22">
        <f t="shared" si="10"/>
        <v>25001620</v>
      </c>
      <c r="D109" s="11" t="str">
        <f t="shared" si="7"/>
        <v>SKIIFM_AT</v>
      </c>
      <c r="E109" s="11" t="str">
        <f>IF(I109&lt;&gt;"",VLOOKUP(F109,OPDRACHTGEVER!$A$2:$B$4,2,FALSE),"")</f>
        <v>SKIIFM_AT</v>
      </c>
      <c r="F109" s="11" t="s">
        <v>58</v>
      </c>
      <c r="I109" s="11" t="str">
        <f>IF(DATA!B108&lt;&gt;"",DATA!B108,"")</f>
        <v>MSMU8568605</v>
      </c>
      <c r="J109" s="12">
        <v>0</v>
      </c>
      <c r="K109" s="11" t="s">
        <v>53</v>
      </c>
      <c r="L109" s="11" t="str">
        <f t="shared" si="8"/>
        <v>842230</v>
      </c>
      <c r="M109" s="11" t="str">
        <f>IF(I109&lt;&gt;"",DATA!E108,"")</f>
        <v>VACUUM SEALING MACHINE</v>
      </c>
      <c r="N109" s="12">
        <v>0</v>
      </c>
      <c r="O109" s="11">
        <f>IF(I109&lt;&gt;"",DATA!C108,"")</f>
        <v>257.45</v>
      </c>
      <c r="P109" s="2">
        <v>294094</v>
      </c>
      <c r="Q109" s="2" t="s">
        <v>1304</v>
      </c>
      <c r="R109" s="2" t="s">
        <v>1306</v>
      </c>
      <c r="S109" s="2">
        <v>221</v>
      </c>
      <c r="T109" s="2">
        <v>1</v>
      </c>
      <c r="U109" s="2" t="s">
        <v>141</v>
      </c>
      <c r="Y109" s="2">
        <v>1700</v>
      </c>
      <c r="Z109" s="11" t="s">
        <v>54</v>
      </c>
      <c r="AA109" s="11" t="str">
        <f t="shared" si="9"/>
        <v>1700 - TBN</v>
      </c>
      <c r="AC109" s="2" t="s">
        <v>145</v>
      </c>
      <c r="AD109" s="11" t="str">
        <f>IF($I109&lt;&gt;"",VLOOKUP($AC109,GEADRESSEERDE!$A$2:$E$4,2,),"")</f>
        <v>LUITHAGEN HAVEN 2 D</v>
      </c>
      <c r="AE109" s="11">
        <f>IF($I109&lt;&gt;"",VLOOKUP($AC109,GEADRESSEERDE!$A$2:$E$4,3,),"")</f>
        <v>2030</v>
      </c>
      <c r="AF109" s="11" t="str">
        <f>IF($I109&lt;&gt;"",VLOOKUP($AC109,GEADRESSEERDE!$A$2:$E$4,4,),"")</f>
        <v>ANTWERPEN</v>
      </c>
      <c r="AG109" s="11" t="str">
        <f>IF($I109&lt;&gt;"",VLOOKUP($AC109,GEADRESSEERDE!$A$2:$E$4,5,),"")</f>
        <v>BE</v>
      </c>
      <c r="AH109" s="11" t="str">
        <f>IF(I109&lt;&gt;"",VLOOKUP(AP109,KvB!$A$2:$B$3,2,FALSE),"")</f>
        <v>BE101000</v>
      </c>
      <c r="AI109" s="11" t="s">
        <v>55</v>
      </c>
      <c r="AJ109" s="11"/>
      <c r="AK109" s="11"/>
      <c r="AL109" s="11"/>
      <c r="AM109" s="11"/>
      <c r="AN109" s="11"/>
      <c r="AO109" s="11"/>
      <c r="AP109" s="2" t="s">
        <v>70</v>
      </c>
      <c r="AQ109" s="11" t="str">
        <f>IF(I109&lt;&gt;"",DATA!D108,"")</f>
        <v>8422300000</v>
      </c>
    </row>
    <row r="110" spans="1:43" ht="15.75" x14ac:dyDescent="0.25">
      <c r="A110" s="11" t="s">
        <v>57</v>
      </c>
      <c r="B110" s="11" t="s">
        <v>56</v>
      </c>
      <c r="C110" s="22">
        <f t="shared" si="10"/>
        <v>25001620</v>
      </c>
      <c r="D110" s="11" t="str">
        <f t="shared" si="7"/>
        <v>SKIIFM_AT</v>
      </c>
      <c r="E110" s="11" t="str">
        <f>IF(I110&lt;&gt;"",VLOOKUP(F110,OPDRACHTGEVER!$A$2:$B$4,2,FALSE),"")</f>
        <v>SKIIFM_AT</v>
      </c>
      <c r="F110" s="11" t="s">
        <v>58</v>
      </c>
      <c r="I110" s="11" t="str">
        <f>IF(DATA!B109&lt;&gt;"",DATA!B109,"")</f>
        <v>MSMU8568605</v>
      </c>
      <c r="J110" s="12">
        <v>0</v>
      </c>
      <c r="K110" s="11" t="s">
        <v>53</v>
      </c>
      <c r="L110" s="11" t="str">
        <f t="shared" si="8"/>
        <v>442090</v>
      </c>
      <c r="M110" s="11" t="str">
        <f>IF(I110&lt;&gt;"",DATA!E109,"")</f>
        <v>WATCH WINDER</v>
      </c>
      <c r="N110" s="12">
        <v>0</v>
      </c>
      <c r="O110" s="11">
        <f>IF(I110&lt;&gt;"",DATA!C109,"")</f>
        <v>14.5</v>
      </c>
      <c r="P110" s="2">
        <v>294094</v>
      </c>
      <c r="Q110" s="2" t="s">
        <v>1304</v>
      </c>
      <c r="R110" s="2" t="s">
        <v>1306</v>
      </c>
      <c r="S110" s="2">
        <v>221</v>
      </c>
      <c r="T110" s="2">
        <v>1</v>
      </c>
      <c r="U110" s="2" t="s">
        <v>141</v>
      </c>
      <c r="Y110" s="2">
        <v>1700</v>
      </c>
      <c r="Z110" s="11" t="s">
        <v>54</v>
      </c>
      <c r="AA110" s="11" t="str">
        <f t="shared" si="9"/>
        <v>1700 - TBN</v>
      </c>
      <c r="AC110" s="2" t="s">
        <v>145</v>
      </c>
      <c r="AD110" s="11" t="str">
        <f>IF($I110&lt;&gt;"",VLOOKUP($AC110,GEADRESSEERDE!$A$2:$E$4,2,),"")</f>
        <v>LUITHAGEN HAVEN 2 D</v>
      </c>
      <c r="AE110" s="11">
        <f>IF($I110&lt;&gt;"",VLOOKUP($AC110,GEADRESSEERDE!$A$2:$E$4,3,),"")</f>
        <v>2030</v>
      </c>
      <c r="AF110" s="11" t="str">
        <f>IF($I110&lt;&gt;"",VLOOKUP($AC110,GEADRESSEERDE!$A$2:$E$4,4,),"")</f>
        <v>ANTWERPEN</v>
      </c>
      <c r="AG110" s="11" t="str">
        <f>IF($I110&lt;&gt;"",VLOOKUP($AC110,GEADRESSEERDE!$A$2:$E$4,5,),"")</f>
        <v>BE</v>
      </c>
      <c r="AH110" s="11" t="str">
        <f>IF(I110&lt;&gt;"",VLOOKUP(AP110,KvB!$A$2:$B$3,2,FALSE),"")</f>
        <v>BE101000</v>
      </c>
      <c r="AI110" s="11" t="s">
        <v>55</v>
      </c>
      <c r="AJ110" s="11"/>
      <c r="AK110" s="11"/>
      <c r="AL110" s="11"/>
      <c r="AM110" s="11"/>
      <c r="AN110" s="11"/>
      <c r="AO110" s="11"/>
      <c r="AP110" s="2" t="s">
        <v>70</v>
      </c>
      <c r="AQ110" s="11" t="str">
        <f>IF(I110&lt;&gt;"",DATA!D109,"")</f>
        <v>4420909990</v>
      </c>
    </row>
    <row r="111" spans="1:43" ht="15.75" x14ac:dyDescent="0.25">
      <c r="A111" s="11" t="s">
        <v>57</v>
      </c>
      <c r="B111" s="11" t="s">
        <v>56</v>
      </c>
      <c r="C111" s="22">
        <f t="shared" si="10"/>
        <v>25001620</v>
      </c>
      <c r="D111" s="11" t="str">
        <f t="shared" si="7"/>
        <v>SKIIFM_AT</v>
      </c>
      <c r="E111" s="11" t="str">
        <f>IF(I111&lt;&gt;"",VLOOKUP(F111,OPDRACHTGEVER!$A$2:$B$4,2,FALSE),"")</f>
        <v>SKIIFM_AT</v>
      </c>
      <c r="F111" s="11" t="s">
        <v>58</v>
      </c>
      <c r="I111" s="11" t="str">
        <f>IF(DATA!B110&lt;&gt;"",DATA!B110,"")</f>
        <v>MSMU8568605</v>
      </c>
      <c r="J111" s="12">
        <v>0</v>
      </c>
      <c r="K111" s="11" t="s">
        <v>53</v>
      </c>
      <c r="L111" s="11" t="str">
        <f t="shared" si="8"/>
        <v>841350</v>
      </c>
      <c r="M111" s="11" t="str">
        <f>IF(I111&lt;&gt;"",DATA!E110,"")</f>
        <v>WATER PUMP</v>
      </c>
      <c r="N111" s="12">
        <v>0</v>
      </c>
      <c r="O111" s="11">
        <f>IF(I111&lt;&gt;"",DATA!C110,"")</f>
        <v>1817.1</v>
      </c>
      <c r="P111" s="2">
        <v>294094</v>
      </c>
      <c r="Q111" s="2" t="s">
        <v>1304</v>
      </c>
      <c r="R111" s="2" t="s">
        <v>1306</v>
      </c>
      <c r="S111" s="2">
        <v>221</v>
      </c>
      <c r="T111" s="2">
        <v>1</v>
      </c>
      <c r="U111" s="2" t="s">
        <v>141</v>
      </c>
      <c r="Y111" s="2">
        <v>1700</v>
      </c>
      <c r="Z111" s="11" t="s">
        <v>54</v>
      </c>
      <c r="AA111" s="11" t="str">
        <f t="shared" si="9"/>
        <v>1700 - TBN</v>
      </c>
      <c r="AC111" s="2" t="s">
        <v>145</v>
      </c>
      <c r="AD111" s="11" t="str">
        <f>IF($I111&lt;&gt;"",VLOOKUP($AC111,GEADRESSEERDE!$A$2:$E$4,2,),"")</f>
        <v>LUITHAGEN HAVEN 2 D</v>
      </c>
      <c r="AE111" s="11">
        <f>IF($I111&lt;&gt;"",VLOOKUP($AC111,GEADRESSEERDE!$A$2:$E$4,3,),"")</f>
        <v>2030</v>
      </c>
      <c r="AF111" s="11" t="str">
        <f>IF($I111&lt;&gt;"",VLOOKUP($AC111,GEADRESSEERDE!$A$2:$E$4,4,),"")</f>
        <v>ANTWERPEN</v>
      </c>
      <c r="AG111" s="11" t="str">
        <f>IF($I111&lt;&gt;"",VLOOKUP($AC111,GEADRESSEERDE!$A$2:$E$4,5,),"")</f>
        <v>BE</v>
      </c>
      <c r="AH111" s="11" t="str">
        <f>IF(I111&lt;&gt;"",VLOOKUP(AP111,KvB!$A$2:$B$3,2,FALSE),"")</f>
        <v>BE101000</v>
      </c>
      <c r="AI111" s="11" t="s">
        <v>55</v>
      </c>
      <c r="AJ111" s="11"/>
      <c r="AK111" s="11"/>
      <c r="AL111" s="11"/>
      <c r="AM111" s="11"/>
      <c r="AN111" s="11"/>
      <c r="AO111" s="11"/>
      <c r="AP111" s="2" t="s">
        <v>70</v>
      </c>
      <c r="AQ111" s="11" t="str">
        <f>IF(I111&lt;&gt;"",DATA!D110,"")</f>
        <v>8413502090</v>
      </c>
    </row>
    <row r="112" spans="1:43" ht="15.75" x14ac:dyDescent="0.25">
      <c r="A112" s="11" t="s">
        <v>57</v>
      </c>
      <c r="B112" s="11" t="s">
        <v>56</v>
      </c>
      <c r="C112" s="22">
        <f t="shared" si="10"/>
        <v>25001620</v>
      </c>
      <c r="D112" s="11" t="str">
        <f t="shared" si="7"/>
        <v>SKIIFM_AT</v>
      </c>
      <c r="E112" s="11" t="str">
        <f>IF(I112&lt;&gt;"",VLOOKUP(F112,OPDRACHTGEVER!$A$2:$B$4,2,FALSE),"")</f>
        <v>SKIIFM_AT</v>
      </c>
      <c r="F112" s="11" t="s">
        <v>58</v>
      </c>
      <c r="I112" s="11" t="str">
        <f>IF(DATA!B111&lt;&gt;"",DATA!B111,"")</f>
        <v>MSMU8568605</v>
      </c>
      <c r="J112" s="12">
        <v>0</v>
      </c>
      <c r="K112" s="11" t="s">
        <v>53</v>
      </c>
      <c r="L112" s="11" t="str">
        <f t="shared" si="8"/>
        <v>950691</v>
      </c>
      <c r="M112" s="11" t="str">
        <f>IF(I112&lt;&gt;"",DATA!E111,"")</f>
        <v>WORKOUT BENCH</v>
      </c>
      <c r="N112" s="12">
        <v>0</v>
      </c>
      <c r="O112" s="11">
        <f>IF(I112&lt;&gt;"",DATA!C111,"")</f>
        <v>10.8</v>
      </c>
      <c r="P112" s="2">
        <v>294094</v>
      </c>
      <c r="Q112" s="2" t="s">
        <v>1304</v>
      </c>
      <c r="R112" s="2" t="s">
        <v>1306</v>
      </c>
      <c r="S112" s="2">
        <v>221</v>
      </c>
      <c r="T112" s="2">
        <v>1</v>
      </c>
      <c r="U112" s="2" t="s">
        <v>141</v>
      </c>
      <c r="Y112" s="2">
        <v>1700</v>
      </c>
      <c r="Z112" s="11" t="s">
        <v>54</v>
      </c>
      <c r="AA112" s="11" t="str">
        <f t="shared" si="9"/>
        <v>1700 - TBN</v>
      </c>
      <c r="AC112" s="2" t="s">
        <v>145</v>
      </c>
      <c r="AD112" s="11" t="str">
        <f>IF($I112&lt;&gt;"",VLOOKUP($AC112,GEADRESSEERDE!$A$2:$E$4,2,),"")</f>
        <v>LUITHAGEN HAVEN 2 D</v>
      </c>
      <c r="AE112" s="11">
        <f>IF($I112&lt;&gt;"",VLOOKUP($AC112,GEADRESSEERDE!$A$2:$E$4,3,),"")</f>
        <v>2030</v>
      </c>
      <c r="AF112" s="11" t="str">
        <f>IF($I112&lt;&gt;"",VLOOKUP($AC112,GEADRESSEERDE!$A$2:$E$4,4,),"")</f>
        <v>ANTWERPEN</v>
      </c>
      <c r="AG112" s="11" t="str">
        <f>IF($I112&lt;&gt;"",VLOOKUP($AC112,GEADRESSEERDE!$A$2:$E$4,5,),"")</f>
        <v>BE</v>
      </c>
      <c r="AH112" s="11" t="str">
        <f>IF(I112&lt;&gt;"",VLOOKUP(AP112,KvB!$A$2:$B$3,2,FALSE),"")</f>
        <v>BE101000</v>
      </c>
      <c r="AI112" s="11" t="s">
        <v>55</v>
      </c>
      <c r="AJ112" s="11"/>
      <c r="AK112" s="11"/>
      <c r="AL112" s="11"/>
      <c r="AM112" s="11"/>
      <c r="AN112" s="11"/>
      <c r="AO112" s="11"/>
      <c r="AP112" s="2" t="s">
        <v>70</v>
      </c>
      <c r="AQ112" s="11" t="str">
        <f>IF(I112&lt;&gt;"",DATA!D111,"")</f>
        <v>9506911000</v>
      </c>
    </row>
    <row r="113" spans="1:43" ht="15.75" x14ac:dyDescent="0.25">
      <c r="A113" s="11" t="s">
        <v>57</v>
      </c>
      <c r="B113" s="11" t="s">
        <v>56</v>
      </c>
      <c r="C113" s="22">
        <f t="shared" si="10"/>
        <v>25001620</v>
      </c>
      <c r="D113" s="11" t="str">
        <f t="shared" si="7"/>
        <v>SKIIFM_AT</v>
      </c>
      <c r="E113" s="11" t="str">
        <f>IF(I113&lt;&gt;"",VLOOKUP(F113,OPDRACHTGEVER!$A$2:$B$4,2,FALSE),"")</f>
        <v>SKIIFM_AT</v>
      </c>
      <c r="F113" s="11" t="s">
        <v>58</v>
      </c>
      <c r="I113" s="11" t="str">
        <f>IF(DATA!B112&lt;&gt;"",DATA!B112,"")</f>
        <v>MSMU8704276</v>
      </c>
      <c r="J113" s="12">
        <v>1626</v>
      </c>
      <c r="K113" s="11" t="s">
        <v>53</v>
      </c>
      <c r="L113" s="11" t="str">
        <f t="shared" si="8"/>
        <v>761090</v>
      </c>
      <c r="M113" s="11" t="str">
        <f>IF(I113&lt;&gt;"",DATA!E112,"")</f>
        <v>ALUMINUM STAIR RAILING</v>
      </c>
      <c r="N113" s="12">
        <v>18274</v>
      </c>
      <c r="O113" s="11">
        <f>IF(I113&lt;&gt;"",DATA!C112,"")</f>
        <v>183.95</v>
      </c>
      <c r="P113" s="2">
        <v>294094</v>
      </c>
      <c r="Q113" s="2" t="s">
        <v>1304</v>
      </c>
      <c r="R113" s="2" t="s">
        <v>1307</v>
      </c>
      <c r="S113" s="2">
        <v>342</v>
      </c>
      <c r="T113" s="2">
        <v>1</v>
      </c>
      <c r="U113" s="2" t="s">
        <v>141</v>
      </c>
      <c r="Y113" s="2">
        <v>1700</v>
      </c>
      <c r="Z113" s="11" t="s">
        <v>54</v>
      </c>
      <c r="AA113" s="11" t="str">
        <f t="shared" si="9"/>
        <v>1700 - TBN</v>
      </c>
      <c r="AC113" s="2" t="s">
        <v>145</v>
      </c>
      <c r="AD113" s="11" t="str">
        <f>IF($I113&lt;&gt;"",VLOOKUP($AC113,GEADRESSEERDE!$A$2:$E$4,2,),"")</f>
        <v>LUITHAGEN HAVEN 2 D</v>
      </c>
      <c r="AE113" s="11">
        <f>IF($I113&lt;&gt;"",VLOOKUP($AC113,GEADRESSEERDE!$A$2:$E$4,3,),"")</f>
        <v>2030</v>
      </c>
      <c r="AF113" s="11" t="str">
        <f>IF($I113&lt;&gt;"",VLOOKUP($AC113,GEADRESSEERDE!$A$2:$E$4,4,),"")</f>
        <v>ANTWERPEN</v>
      </c>
      <c r="AG113" s="11" t="str">
        <f>IF($I113&lt;&gt;"",VLOOKUP($AC113,GEADRESSEERDE!$A$2:$E$4,5,),"")</f>
        <v>BE</v>
      </c>
      <c r="AH113" s="11" t="str">
        <f>IF(I113&lt;&gt;"",VLOOKUP(AP113,KvB!$A$2:$B$3,2,FALSE),"")</f>
        <v>BE101000</v>
      </c>
      <c r="AI113" s="11" t="s">
        <v>55</v>
      </c>
      <c r="AJ113" s="11"/>
      <c r="AK113" s="11"/>
      <c r="AL113" s="11"/>
      <c r="AM113" s="11"/>
      <c r="AN113" s="11"/>
      <c r="AO113" s="11"/>
      <c r="AP113" s="2" t="s">
        <v>70</v>
      </c>
      <c r="AQ113" s="11" t="str">
        <f>IF(I113&lt;&gt;"",DATA!D112,"")</f>
        <v>7610909095</v>
      </c>
    </row>
    <row r="114" spans="1:43" ht="15.75" x14ac:dyDescent="0.25">
      <c r="A114" s="11" t="s">
        <v>57</v>
      </c>
      <c r="B114" s="11" t="s">
        <v>56</v>
      </c>
      <c r="C114" s="22">
        <f t="shared" si="10"/>
        <v>25001620</v>
      </c>
      <c r="D114" s="11" t="str">
        <f t="shared" si="7"/>
        <v>SKIIFM_AT</v>
      </c>
      <c r="E114" s="11" t="str">
        <f>IF(I114&lt;&gt;"",VLOOKUP(F114,OPDRACHTGEVER!$A$2:$B$4,2,FALSE),"")</f>
        <v>SKIIFM_AT</v>
      </c>
      <c r="F114" s="11" t="s">
        <v>58</v>
      </c>
      <c r="I114" s="11" t="str">
        <f>IF(DATA!B113&lt;&gt;"",DATA!B113,"")</f>
        <v>MSMU8704276</v>
      </c>
      <c r="J114" s="12">
        <v>0</v>
      </c>
      <c r="K114" s="11" t="s">
        <v>53</v>
      </c>
      <c r="L114" s="11" t="str">
        <f t="shared" si="8"/>
        <v>830250</v>
      </c>
      <c r="M114" s="11" t="str">
        <f>IF(I114&lt;&gt;"",DATA!E113,"")</f>
        <v>BAR HANGER</v>
      </c>
      <c r="N114" s="12">
        <v>0</v>
      </c>
      <c r="O114" s="11">
        <f>IF(I114&lt;&gt;"",DATA!C113,"")</f>
        <v>360</v>
      </c>
      <c r="P114" s="2">
        <v>294094</v>
      </c>
      <c r="Q114" s="2" t="s">
        <v>1304</v>
      </c>
      <c r="R114" s="2" t="s">
        <v>1307</v>
      </c>
      <c r="S114" s="2">
        <v>342</v>
      </c>
      <c r="T114" s="2">
        <v>1</v>
      </c>
      <c r="U114" s="2" t="s">
        <v>141</v>
      </c>
      <c r="Y114" s="2">
        <v>1700</v>
      </c>
      <c r="Z114" s="11" t="s">
        <v>54</v>
      </c>
      <c r="AA114" s="11" t="str">
        <f t="shared" si="9"/>
        <v>1700 - TBN</v>
      </c>
      <c r="AC114" s="2" t="s">
        <v>145</v>
      </c>
      <c r="AD114" s="11" t="str">
        <f>IF($I114&lt;&gt;"",VLOOKUP($AC114,GEADRESSEERDE!$A$2:$E$4,2,),"")</f>
        <v>LUITHAGEN HAVEN 2 D</v>
      </c>
      <c r="AE114" s="11">
        <f>IF($I114&lt;&gt;"",VLOOKUP($AC114,GEADRESSEERDE!$A$2:$E$4,3,),"")</f>
        <v>2030</v>
      </c>
      <c r="AF114" s="11" t="str">
        <f>IF($I114&lt;&gt;"",VLOOKUP($AC114,GEADRESSEERDE!$A$2:$E$4,4,),"")</f>
        <v>ANTWERPEN</v>
      </c>
      <c r="AG114" s="11" t="str">
        <f>IF($I114&lt;&gt;"",VLOOKUP($AC114,GEADRESSEERDE!$A$2:$E$4,5,),"")</f>
        <v>BE</v>
      </c>
      <c r="AH114" s="11" t="str">
        <f>IF(I114&lt;&gt;"",VLOOKUP(AP114,KvB!$A$2:$B$3,2,FALSE),"")</f>
        <v>BE101000</v>
      </c>
      <c r="AI114" s="11" t="s">
        <v>55</v>
      </c>
      <c r="AJ114" s="11"/>
      <c r="AK114" s="11"/>
      <c r="AL114" s="11"/>
      <c r="AM114" s="11"/>
      <c r="AN114" s="11"/>
      <c r="AO114" s="11"/>
      <c r="AP114" s="2" t="s">
        <v>70</v>
      </c>
      <c r="AQ114" s="11" t="str">
        <f>IF(I114&lt;&gt;"",DATA!D113,"")</f>
        <v>8302500000</v>
      </c>
    </row>
    <row r="115" spans="1:43" ht="15.75" x14ac:dyDescent="0.25">
      <c r="A115" s="11" t="s">
        <v>57</v>
      </c>
      <c r="B115" s="11" t="s">
        <v>56</v>
      </c>
      <c r="C115" s="22">
        <f t="shared" si="10"/>
        <v>25001620</v>
      </c>
      <c r="D115" s="11" t="str">
        <f t="shared" si="7"/>
        <v>SKIIFM_AT</v>
      </c>
      <c r="E115" s="11" t="str">
        <f>IF(I115&lt;&gt;"",VLOOKUP(F115,OPDRACHTGEVER!$A$2:$B$4,2,FALSE),"")</f>
        <v>SKIIFM_AT</v>
      </c>
      <c r="F115" s="11" t="s">
        <v>58</v>
      </c>
      <c r="I115" s="11" t="str">
        <f>IF(DATA!B114&lt;&gt;"",DATA!B114,"")</f>
        <v>MSMU8704276</v>
      </c>
      <c r="J115" s="12">
        <v>0</v>
      </c>
      <c r="K115" s="11" t="s">
        <v>53</v>
      </c>
      <c r="L115" s="11" t="str">
        <f t="shared" si="8"/>
        <v>701090</v>
      </c>
      <c r="M115" s="11" t="str">
        <f>IF(I115&lt;&gt;"",DATA!E114,"")</f>
        <v>BEVERAGE DISPENSER</v>
      </c>
      <c r="N115" s="12">
        <v>0</v>
      </c>
      <c r="O115" s="11">
        <f>IF(I115&lt;&gt;"",DATA!C114,"")</f>
        <v>269.5</v>
      </c>
      <c r="P115" s="2">
        <v>294094</v>
      </c>
      <c r="Q115" s="2" t="s">
        <v>1304</v>
      </c>
      <c r="R115" s="2" t="s">
        <v>1307</v>
      </c>
      <c r="S115" s="2">
        <v>342</v>
      </c>
      <c r="T115" s="2">
        <v>1</v>
      </c>
      <c r="U115" s="2" t="s">
        <v>141</v>
      </c>
      <c r="Y115" s="2">
        <v>1700</v>
      </c>
      <c r="Z115" s="11" t="s">
        <v>54</v>
      </c>
      <c r="AA115" s="11" t="str">
        <f t="shared" si="9"/>
        <v>1700 - TBN</v>
      </c>
      <c r="AC115" s="2" t="s">
        <v>145</v>
      </c>
      <c r="AD115" s="11" t="str">
        <f>IF($I115&lt;&gt;"",VLOOKUP($AC115,GEADRESSEERDE!$A$2:$E$4,2,),"")</f>
        <v>LUITHAGEN HAVEN 2 D</v>
      </c>
      <c r="AE115" s="11">
        <f>IF($I115&lt;&gt;"",VLOOKUP($AC115,GEADRESSEERDE!$A$2:$E$4,3,),"")</f>
        <v>2030</v>
      </c>
      <c r="AF115" s="11" t="str">
        <f>IF($I115&lt;&gt;"",VLOOKUP($AC115,GEADRESSEERDE!$A$2:$E$4,4,),"")</f>
        <v>ANTWERPEN</v>
      </c>
      <c r="AG115" s="11" t="str">
        <f>IF($I115&lt;&gt;"",VLOOKUP($AC115,GEADRESSEERDE!$A$2:$E$4,5,),"")</f>
        <v>BE</v>
      </c>
      <c r="AH115" s="11" t="str">
        <f>IF(I115&lt;&gt;"",VLOOKUP(AP115,KvB!$A$2:$B$3,2,FALSE),"")</f>
        <v>BE101000</v>
      </c>
      <c r="AI115" s="11" t="s">
        <v>55</v>
      </c>
      <c r="AJ115" s="11"/>
      <c r="AK115" s="11"/>
      <c r="AL115" s="11"/>
      <c r="AM115" s="11"/>
      <c r="AN115" s="11"/>
      <c r="AO115" s="11"/>
      <c r="AP115" s="2" t="s">
        <v>70</v>
      </c>
      <c r="AQ115" s="11" t="str">
        <f>IF(I115&lt;&gt;"",DATA!D114,"")</f>
        <v>7010902100</v>
      </c>
    </row>
    <row r="116" spans="1:43" ht="15.75" x14ac:dyDescent="0.25">
      <c r="A116" s="11" t="s">
        <v>57</v>
      </c>
      <c r="B116" s="11" t="s">
        <v>56</v>
      </c>
      <c r="C116" s="22">
        <f t="shared" si="10"/>
        <v>25001620</v>
      </c>
      <c r="D116" s="11" t="str">
        <f t="shared" ref="D116:D179" si="11">E116</f>
        <v>SKIIFM_AT</v>
      </c>
      <c r="E116" s="11" t="str">
        <f>IF(I116&lt;&gt;"",VLOOKUP(F116,OPDRACHTGEVER!$A$2:$B$4,2,FALSE),"")</f>
        <v>SKIIFM_AT</v>
      </c>
      <c r="F116" s="11" t="s">
        <v>58</v>
      </c>
      <c r="I116" s="11" t="str">
        <f>IF(DATA!B115&lt;&gt;"",DATA!B115,"")</f>
        <v>MSMU8704276</v>
      </c>
      <c r="J116" s="12">
        <v>0</v>
      </c>
      <c r="K116" s="11" t="s">
        <v>53</v>
      </c>
      <c r="L116" s="11" t="str">
        <f t="shared" ref="L116:L179" si="12">LEFT(AQ116,6)</f>
        <v>741920</v>
      </c>
      <c r="M116" s="11" t="str">
        <f>IF(I116&lt;&gt;"",DATA!E115,"")</f>
        <v>CHAIN WITH HOOK</v>
      </c>
      <c r="N116" s="12">
        <v>0</v>
      </c>
      <c r="O116" s="11">
        <f>IF(I116&lt;&gt;"",DATA!C115,"")</f>
        <v>102.5</v>
      </c>
      <c r="P116" s="2">
        <v>294094</v>
      </c>
      <c r="Q116" s="2" t="s">
        <v>1304</v>
      </c>
      <c r="R116" s="2" t="s">
        <v>1307</v>
      </c>
      <c r="S116" s="2">
        <v>342</v>
      </c>
      <c r="T116" s="2">
        <v>1</v>
      </c>
      <c r="U116" s="2" t="s">
        <v>141</v>
      </c>
      <c r="Y116" s="2">
        <v>1700</v>
      </c>
      <c r="Z116" s="11" t="s">
        <v>54</v>
      </c>
      <c r="AA116" s="11" t="str">
        <f t="shared" ref="AA116:AA179" si="13">IF(I116&lt;&gt;"",Y116&amp;" - "&amp;Z116,"")</f>
        <v>1700 - TBN</v>
      </c>
      <c r="AC116" s="2" t="s">
        <v>145</v>
      </c>
      <c r="AD116" s="11" t="str">
        <f>IF($I116&lt;&gt;"",VLOOKUP($AC116,GEADRESSEERDE!$A$2:$E$4,2,),"")</f>
        <v>LUITHAGEN HAVEN 2 D</v>
      </c>
      <c r="AE116" s="11">
        <f>IF($I116&lt;&gt;"",VLOOKUP($AC116,GEADRESSEERDE!$A$2:$E$4,3,),"")</f>
        <v>2030</v>
      </c>
      <c r="AF116" s="11" t="str">
        <f>IF($I116&lt;&gt;"",VLOOKUP($AC116,GEADRESSEERDE!$A$2:$E$4,4,),"")</f>
        <v>ANTWERPEN</v>
      </c>
      <c r="AG116" s="11" t="str">
        <f>IF($I116&lt;&gt;"",VLOOKUP($AC116,GEADRESSEERDE!$A$2:$E$4,5,),"")</f>
        <v>BE</v>
      </c>
      <c r="AH116" s="11" t="str">
        <f>IF(I116&lt;&gt;"",VLOOKUP(AP116,KvB!$A$2:$B$3,2,FALSE),"")</f>
        <v>BE101000</v>
      </c>
      <c r="AI116" s="11" t="s">
        <v>55</v>
      </c>
      <c r="AJ116" s="11"/>
      <c r="AK116" s="11"/>
      <c r="AL116" s="11"/>
      <c r="AM116" s="11"/>
      <c r="AN116" s="11"/>
      <c r="AO116" s="11"/>
      <c r="AP116" s="2" t="s">
        <v>70</v>
      </c>
      <c r="AQ116" s="11" t="str">
        <f>IF(I116&lt;&gt;"",DATA!D115,"")</f>
        <v>7419200090</v>
      </c>
    </row>
    <row r="117" spans="1:43" ht="15.75" x14ac:dyDescent="0.25">
      <c r="A117" s="11" t="s">
        <v>57</v>
      </c>
      <c r="B117" s="11" t="s">
        <v>56</v>
      </c>
      <c r="C117" s="22">
        <f t="shared" si="10"/>
        <v>25001620</v>
      </c>
      <c r="D117" s="11" t="str">
        <f t="shared" si="11"/>
        <v>SKIIFM_AT</v>
      </c>
      <c r="E117" s="11" t="str">
        <f>IF(I117&lt;&gt;"",VLOOKUP(F117,OPDRACHTGEVER!$A$2:$B$4,2,FALSE),"")</f>
        <v>SKIIFM_AT</v>
      </c>
      <c r="F117" s="11" t="s">
        <v>58</v>
      </c>
      <c r="I117" s="11" t="str">
        <f>IF(DATA!B116&lt;&gt;"",DATA!B116,"")</f>
        <v>MSMU8704276</v>
      </c>
      <c r="J117" s="12">
        <v>0</v>
      </c>
      <c r="K117" s="11" t="s">
        <v>53</v>
      </c>
      <c r="L117" s="11" t="str">
        <f t="shared" si="12"/>
        <v>848071</v>
      </c>
      <c r="M117" s="11" t="str">
        <f>IF(I117&lt;&gt;"",DATA!E116,"")</f>
        <v>CONCRETE STAMP</v>
      </c>
      <c r="N117" s="12">
        <v>0</v>
      </c>
      <c r="O117" s="11">
        <f>IF(I117&lt;&gt;"",DATA!C116,"")</f>
        <v>2.9</v>
      </c>
      <c r="P117" s="2">
        <v>294094</v>
      </c>
      <c r="Q117" s="2" t="s">
        <v>1304</v>
      </c>
      <c r="R117" s="2" t="s">
        <v>1307</v>
      </c>
      <c r="S117" s="2">
        <v>342</v>
      </c>
      <c r="T117" s="2">
        <v>1</v>
      </c>
      <c r="U117" s="2" t="s">
        <v>141</v>
      </c>
      <c r="Y117" s="2">
        <v>1700</v>
      </c>
      <c r="Z117" s="11" t="s">
        <v>54</v>
      </c>
      <c r="AA117" s="11" t="str">
        <f t="shared" si="13"/>
        <v>1700 - TBN</v>
      </c>
      <c r="AC117" s="2" t="s">
        <v>145</v>
      </c>
      <c r="AD117" s="11" t="str">
        <f>IF($I117&lt;&gt;"",VLOOKUP($AC117,GEADRESSEERDE!$A$2:$E$4,2,),"")</f>
        <v>LUITHAGEN HAVEN 2 D</v>
      </c>
      <c r="AE117" s="11">
        <f>IF($I117&lt;&gt;"",VLOOKUP($AC117,GEADRESSEERDE!$A$2:$E$4,3,),"")</f>
        <v>2030</v>
      </c>
      <c r="AF117" s="11" t="str">
        <f>IF($I117&lt;&gt;"",VLOOKUP($AC117,GEADRESSEERDE!$A$2:$E$4,4,),"")</f>
        <v>ANTWERPEN</v>
      </c>
      <c r="AG117" s="11" t="str">
        <f>IF($I117&lt;&gt;"",VLOOKUP($AC117,GEADRESSEERDE!$A$2:$E$4,5,),"")</f>
        <v>BE</v>
      </c>
      <c r="AH117" s="11" t="str">
        <f>IF(I117&lt;&gt;"",VLOOKUP(AP117,KvB!$A$2:$B$3,2,FALSE),"")</f>
        <v>BE101000</v>
      </c>
      <c r="AI117" s="11" t="s">
        <v>55</v>
      </c>
      <c r="AJ117" s="11"/>
      <c r="AK117" s="11"/>
      <c r="AL117" s="11"/>
      <c r="AM117" s="11"/>
      <c r="AN117" s="11"/>
      <c r="AO117" s="11"/>
      <c r="AP117" s="2" t="s">
        <v>70</v>
      </c>
      <c r="AQ117" s="11" t="str">
        <f>IF(I117&lt;&gt;"",DATA!D116,"")</f>
        <v>8480710000</v>
      </c>
    </row>
    <row r="118" spans="1:43" ht="15.75" x14ac:dyDescent="0.25">
      <c r="A118" s="11" t="s">
        <v>57</v>
      </c>
      <c r="B118" s="11" t="s">
        <v>56</v>
      </c>
      <c r="C118" s="22">
        <f t="shared" si="10"/>
        <v>25001620</v>
      </c>
      <c r="D118" s="11" t="str">
        <f t="shared" si="11"/>
        <v>SKIIFM_AT</v>
      </c>
      <c r="E118" s="11" t="str">
        <f>IF(I118&lt;&gt;"",VLOOKUP(F118,OPDRACHTGEVER!$A$2:$B$4,2,FALSE),"")</f>
        <v>SKIIFM_AT</v>
      </c>
      <c r="F118" s="11" t="s">
        <v>58</v>
      </c>
      <c r="I118" s="11" t="str">
        <f>IF(DATA!B117&lt;&gt;"",DATA!B117,"")</f>
        <v>MSMU8704276</v>
      </c>
      <c r="J118" s="12">
        <v>0</v>
      </c>
      <c r="K118" s="11" t="s">
        <v>53</v>
      </c>
      <c r="L118" s="11" t="str">
        <f t="shared" si="12"/>
        <v>841940</v>
      </c>
      <c r="M118" s="11" t="str">
        <f>IF(I118&lt;&gt;"",DATA!E117,"")</f>
        <v>DISTILLER</v>
      </c>
      <c r="N118" s="12">
        <v>0</v>
      </c>
      <c r="O118" s="11">
        <f>IF(I118&lt;&gt;"",DATA!C117,"")</f>
        <v>601</v>
      </c>
      <c r="P118" s="2">
        <v>294094</v>
      </c>
      <c r="Q118" s="2" t="s">
        <v>1304</v>
      </c>
      <c r="R118" s="2" t="s">
        <v>1307</v>
      </c>
      <c r="S118" s="2">
        <v>342</v>
      </c>
      <c r="T118" s="2">
        <v>1</v>
      </c>
      <c r="U118" s="2" t="s">
        <v>141</v>
      </c>
      <c r="Y118" s="2">
        <v>1700</v>
      </c>
      <c r="Z118" s="11" t="s">
        <v>54</v>
      </c>
      <c r="AA118" s="11" t="str">
        <f t="shared" si="13"/>
        <v>1700 - TBN</v>
      </c>
      <c r="AC118" s="2" t="s">
        <v>145</v>
      </c>
      <c r="AD118" s="11" t="str">
        <f>IF($I118&lt;&gt;"",VLOOKUP($AC118,GEADRESSEERDE!$A$2:$E$4,2,),"")</f>
        <v>LUITHAGEN HAVEN 2 D</v>
      </c>
      <c r="AE118" s="11">
        <f>IF($I118&lt;&gt;"",VLOOKUP($AC118,GEADRESSEERDE!$A$2:$E$4,3,),"")</f>
        <v>2030</v>
      </c>
      <c r="AF118" s="11" t="str">
        <f>IF($I118&lt;&gt;"",VLOOKUP($AC118,GEADRESSEERDE!$A$2:$E$4,4,),"")</f>
        <v>ANTWERPEN</v>
      </c>
      <c r="AG118" s="11" t="str">
        <f>IF($I118&lt;&gt;"",VLOOKUP($AC118,GEADRESSEERDE!$A$2:$E$4,5,),"")</f>
        <v>BE</v>
      </c>
      <c r="AH118" s="11" t="str">
        <f>IF(I118&lt;&gt;"",VLOOKUP(AP118,KvB!$A$2:$B$3,2,FALSE),"")</f>
        <v>BE101000</v>
      </c>
      <c r="AI118" s="11" t="s">
        <v>55</v>
      </c>
      <c r="AJ118" s="11"/>
      <c r="AK118" s="11"/>
      <c r="AL118" s="11"/>
      <c r="AM118" s="11"/>
      <c r="AN118" s="11"/>
      <c r="AO118" s="11"/>
      <c r="AP118" s="2" t="s">
        <v>70</v>
      </c>
      <c r="AQ118" s="11" t="str">
        <f>IF(I118&lt;&gt;"",DATA!D117,"")</f>
        <v>8419400090</v>
      </c>
    </row>
    <row r="119" spans="1:43" ht="15.75" x14ac:dyDescent="0.25">
      <c r="A119" s="11" t="s">
        <v>57</v>
      </c>
      <c r="B119" s="11" t="s">
        <v>56</v>
      </c>
      <c r="C119" s="22">
        <f t="shared" si="10"/>
        <v>25001620</v>
      </c>
      <c r="D119" s="11" t="str">
        <f t="shared" si="11"/>
        <v>SKIIFM_AT</v>
      </c>
      <c r="E119" s="11" t="str">
        <f>IF(I119&lt;&gt;"",VLOOKUP(F119,OPDRACHTGEVER!$A$2:$B$4,2,FALSE),"")</f>
        <v>SKIIFM_AT</v>
      </c>
      <c r="F119" s="11" t="s">
        <v>58</v>
      </c>
      <c r="I119" s="11" t="str">
        <f>IF(DATA!B118&lt;&gt;"",DATA!B118,"")</f>
        <v>MSMU8704276</v>
      </c>
      <c r="J119" s="12">
        <v>0</v>
      </c>
      <c r="K119" s="11" t="s">
        <v>53</v>
      </c>
      <c r="L119" s="11" t="str">
        <f t="shared" si="12"/>
        <v>761699</v>
      </c>
      <c r="M119" s="11" t="str">
        <f>IF(I119&lt;&gt;"",DATA!E118,"")</f>
        <v>DUNNAGE RACK</v>
      </c>
      <c r="N119" s="12">
        <v>0</v>
      </c>
      <c r="O119" s="11">
        <f>IF(I119&lt;&gt;"",DATA!C118,"")</f>
        <v>2.75</v>
      </c>
      <c r="P119" s="2">
        <v>294094</v>
      </c>
      <c r="Q119" s="2" t="s">
        <v>1304</v>
      </c>
      <c r="R119" s="2" t="s">
        <v>1307</v>
      </c>
      <c r="S119" s="2">
        <v>342</v>
      </c>
      <c r="T119" s="2">
        <v>1</v>
      </c>
      <c r="U119" s="2" t="s">
        <v>141</v>
      </c>
      <c r="Y119" s="2">
        <v>1700</v>
      </c>
      <c r="Z119" s="11" t="s">
        <v>54</v>
      </c>
      <c r="AA119" s="11" t="str">
        <f t="shared" si="13"/>
        <v>1700 - TBN</v>
      </c>
      <c r="AC119" s="2" t="s">
        <v>145</v>
      </c>
      <c r="AD119" s="11" t="str">
        <f>IF($I119&lt;&gt;"",VLOOKUP($AC119,GEADRESSEERDE!$A$2:$E$4,2,),"")</f>
        <v>LUITHAGEN HAVEN 2 D</v>
      </c>
      <c r="AE119" s="11">
        <f>IF($I119&lt;&gt;"",VLOOKUP($AC119,GEADRESSEERDE!$A$2:$E$4,3,),"")</f>
        <v>2030</v>
      </c>
      <c r="AF119" s="11" t="str">
        <f>IF($I119&lt;&gt;"",VLOOKUP($AC119,GEADRESSEERDE!$A$2:$E$4,4,),"")</f>
        <v>ANTWERPEN</v>
      </c>
      <c r="AG119" s="11" t="str">
        <f>IF($I119&lt;&gt;"",VLOOKUP($AC119,GEADRESSEERDE!$A$2:$E$4,5,),"")</f>
        <v>BE</v>
      </c>
      <c r="AH119" s="11" t="str">
        <f>IF(I119&lt;&gt;"",VLOOKUP(AP119,KvB!$A$2:$B$3,2,FALSE),"")</f>
        <v>BE101000</v>
      </c>
      <c r="AI119" s="11" t="s">
        <v>55</v>
      </c>
      <c r="AJ119" s="11"/>
      <c r="AK119" s="11"/>
      <c r="AL119" s="11"/>
      <c r="AM119" s="11"/>
      <c r="AN119" s="11"/>
      <c r="AO119" s="11"/>
      <c r="AP119" s="2" t="s">
        <v>70</v>
      </c>
      <c r="AQ119" s="11" t="str">
        <f>IF(I119&lt;&gt;"",DATA!D118,"")</f>
        <v>7616999099</v>
      </c>
    </row>
    <row r="120" spans="1:43" ht="15.75" x14ac:dyDescent="0.25">
      <c r="A120" s="11" t="s">
        <v>57</v>
      </c>
      <c r="B120" s="11" t="s">
        <v>56</v>
      </c>
      <c r="C120" s="22">
        <f t="shared" si="10"/>
        <v>25001620</v>
      </c>
      <c r="D120" s="11" t="str">
        <f t="shared" si="11"/>
        <v>SKIIFM_AT</v>
      </c>
      <c r="E120" s="11" t="str">
        <f>IF(I120&lt;&gt;"",VLOOKUP(F120,OPDRACHTGEVER!$A$2:$B$4,2,FALSE),"")</f>
        <v>SKIIFM_AT</v>
      </c>
      <c r="F120" s="11" t="s">
        <v>58</v>
      </c>
      <c r="I120" s="11" t="str">
        <f>IF(DATA!B119&lt;&gt;"",DATA!B119,"")</f>
        <v>MSMU8704276</v>
      </c>
      <c r="J120" s="12">
        <v>0</v>
      </c>
      <c r="K120" s="11" t="s">
        <v>53</v>
      </c>
      <c r="L120" s="11" t="str">
        <f t="shared" si="12"/>
        <v>843850</v>
      </c>
      <c r="M120" s="11" t="str">
        <f>IF(I120&lt;&gt;"",DATA!E119,"")</f>
        <v>ELECTRIC MEAT SLICER</v>
      </c>
      <c r="N120" s="12">
        <v>0</v>
      </c>
      <c r="O120" s="11">
        <f>IF(I120&lt;&gt;"",DATA!C119,"")</f>
        <v>1207.95</v>
      </c>
      <c r="P120" s="2">
        <v>294094</v>
      </c>
      <c r="Q120" s="2" t="s">
        <v>1304</v>
      </c>
      <c r="R120" s="2" t="s">
        <v>1307</v>
      </c>
      <c r="S120" s="2">
        <v>342</v>
      </c>
      <c r="T120" s="2">
        <v>1</v>
      </c>
      <c r="U120" s="2" t="s">
        <v>141</v>
      </c>
      <c r="Y120" s="2">
        <v>1700</v>
      </c>
      <c r="Z120" s="11" t="s">
        <v>54</v>
      </c>
      <c r="AA120" s="11" t="str">
        <f t="shared" si="13"/>
        <v>1700 - TBN</v>
      </c>
      <c r="AC120" s="2" t="s">
        <v>145</v>
      </c>
      <c r="AD120" s="11" t="str">
        <f>IF($I120&lt;&gt;"",VLOOKUP($AC120,GEADRESSEERDE!$A$2:$E$4,2,),"")</f>
        <v>LUITHAGEN HAVEN 2 D</v>
      </c>
      <c r="AE120" s="11">
        <f>IF($I120&lt;&gt;"",VLOOKUP($AC120,GEADRESSEERDE!$A$2:$E$4,3,),"")</f>
        <v>2030</v>
      </c>
      <c r="AF120" s="11" t="str">
        <f>IF($I120&lt;&gt;"",VLOOKUP($AC120,GEADRESSEERDE!$A$2:$E$4,4,),"")</f>
        <v>ANTWERPEN</v>
      </c>
      <c r="AG120" s="11" t="str">
        <f>IF($I120&lt;&gt;"",VLOOKUP($AC120,GEADRESSEERDE!$A$2:$E$4,5,),"")</f>
        <v>BE</v>
      </c>
      <c r="AH120" s="11" t="str">
        <f>IF(I120&lt;&gt;"",VLOOKUP(AP120,KvB!$A$2:$B$3,2,FALSE),"")</f>
        <v>BE101000</v>
      </c>
      <c r="AI120" s="11" t="s">
        <v>55</v>
      </c>
      <c r="AJ120" s="11"/>
      <c r="AK120" s="11"/>
      <c r="AL120" s="11"/>
      <c r="AM120" s="11"/>
      <c r="AN120" s="11"/>
      <c r="AO120" s="11"/>
      <c r="AP120" s="2" t="s">
        <v>70</v>
      </c>
      <c r="AQ120" s="11" t="str">
        <f>IF(I120&lt;&gt;"",DATA!D119,"")</f>
        <v>8438500000</v>
      </c>
    </row>
    <row r="121" spans="1:43" ht="15.75" x14ac:dyDescent="0.25">
      <c r="A121" s="11" t="s">
        <v>57</v>
      </c>
      <c r="B121" s="11" t="s">
        <v>56</v>
      </c>
      <c r="C121" s="22">
        <f t="shared" si="10"/>
        <v>25001620</v>
      </c>
      <c r="D121" s="11" t="str">
        <f t="shared" si="11"/>
        <v>SKIIFM_AT</v>
      </c>
      <c r="E121" s="11" t="str">
        <f>IF(I121&lt;&gt;"",VLOOKUP(F121,OPDRACHTGEVER!$A$2:$B$4,2,FALSE),"")</f>
        <v>SKIIFM_AT</v>
      </c>
      <c r="F121" s="11" t="s">
        <v>58</v>
      </c>
      <c r="I121" s="11" t="str">
        <f>IF(DATA!B120&lt;&gt;"",DATA!B120,"")</f>
        <v>MSMU8704276</v>
      </c>
      <c r="J121" s="12">
        <v>0</v>
      </c>
      <c r="K121" s="11" t="s">
        <v>53</v>
      </c>
      <c r="L121" s="11" t="str">
        <f t="shared" si="12"/>
        <v>846599</v>
      </c>
      <c r="M121" s="11" t="str">
        <f>IF(I121&lt;&gt;"",DATA!E120,"")</f>
        <v>ENGRAVING DRILLING MILLING MACHINE</v>
      </c>
      <c r="N121" s="12">
        <v>0</v>
      </c>
      <c r="O121" s="11">
        <f>IF(I121&lt;&gt;"",DATA!C120,"")</f>
        <v>180.9</v>
      </c>
      <c r="P121" s="2">
        <v>294094</v>
      </c>
      <c r="Q121" s="2" t="s">
        <v>1304</v>
      </c>
      <c r="R121" s="2" t="s">
        <v>1307</v>
      </c>
      <c r="S121" s="2">
        <v>342</v>
      </c>
      <c r="T121" s="2">
        <v>1</v>
      </c>
      <c r="U121" s="2" t="s">
        <v>141</v>
      </c>
      <c r="Y121" s="2">
        <v>1700</v>
      </c>
      <c r="Z121" s="11" t="s">
        <v>54</v>
      </c>
      <c r="AA121" s="11" t="str">
        <f t="shared" si="13"/>
        <v>1700 - TBN</v>
      </c>
      <c r="AC121" s="2" t="s">
        <v>145</v>
      </c>
      <c r="AD121" s="11" t="str">
        <f>IF($I121&lt;&gt;"",VLOOKUP($AC121,GEADRESSEERDE!$A$2:$E$4,2,),"")</f>
        <v>LUITHAGEN HAVEN 2 D</v>
      </c>
      <c r="AE121" s="11">
        <f>IF($I121&lt;&gt;"",VLOOKUP($AC121,GEADRESSEERDE!$A$2:$E$4,3,),"")</f>
        <v>2030</v>
      </c>
      <c r="AF121" s="11" t="str">
        <f>IF($I121&lt;&gt;"",VLOOKUP($AC121,GEADRESSEERDE!$A$2:$E$4,4,),"")</f>
        <v>ANTWERPEN</v>
      </c>
      <c r="AG121" s="11" t="str">
        <f>IF($I121&lt;&gt;"",VLOOKUP($AC121,GEADRESSEERDE!$A$2:$E$4,5,),"")</f>
        <v>BE</v>
      </c>
      <c r="AH121" s="11" t="str">
        <f>IF(I121&lt;&gt;"",VLOOKUP(AP121,KvB!$A$2:$B$3,2,FALSE),"")</f>
        <v>BE101000</v>
      </c>
      <c r="AI121" s="11" t="s">
        <v>55</v>
      </c>
      <c r="AJ121" s="11"/>
      <c r="AK121" s="11"/>
      <c r="AL121" s="11"/>
      <c r="AM121" s="11"/>
      <c r="AN121" s="11"/>
      <c r="AO121" s="11"/>
      <c r="AP121" s="2" t="s">
        <v>70</v>
      </c>
      <c r="AQ121" s="11" t="str">
        <f>IF(I121&lt;&gt;"",DATA!D120,"")</f>
        <v>8465990000</v>
      </c>
    </row>
    <row r="122" spans="1:43" ht="15.75" x14ac:dyDescent="0.25">
      <c r="A122" s="11" t="s">
        <v>57</v>
      </c>
      <c r="B122" s="11" t="s">
        <v>56</v>
      </c>
      <c r="C122" s="22">
        <f t="shared" si="10"/>
        <v>25001620</v>
      </c>
      <c r="D122" s="11" t="str">
        <f t="shared" si="11"/>
        <v>SKIIFM_AT</v>
      </c>
      <c r="E122" s="11" t="str">
        <f>IF(I122&lt;&gt;"",VLOOKUP(F122,OPDRACHTGEVER!$A$2:$B$4,2,FALSE),"")</f>
        <v>SKIIFM_AT</v>
      </c>
      <c r="F122" s="11" t="s">
        <v>58</v>
      </c>
      <c r="I122" s="11" t="str">
        <f>IF(DATA!B121&lt;&gt;"",DATA!B121,"")</f>
        <v>MSMU8704276</v>
      </c>
      <c r="J122" s="12">
        <v>0</v>
      </c>
      <c r="K122" s="11" t="s">
        <v>53</v>
      </c>
      <c r="L122" s="11" t="str">
        <f t="shared" si="12"/>
        <v>940389</v>
      </c>
      <c r="M122" s="11" t="str">
        <f>IF(I122&lt;&gt;"",DATA!E121,"")</f>
        <v>FABRIC ROOM DIVIDER</v>
      </c>
      <c r="N122" s="12">
        <v>0</v>
      </c>
      <c r="O122" s="11">
        <f>IF(I122&lt;&gt;"",DATA!C121,"")</f>
        <v>7.9</v>
      </c>
      <c r="P122" s="2">
        <v>294094</v>
      </c>
      <c r="Q122" s="2" t="s">
        <v>1304</v>
      </c>
      <c r="R122" s="2" t="s">
        <v>1307</v>
      </c>
      <c r="S122" s="2">
        <v>342</v>
      </c>
      <c r="T122" s="2">
        <v>1</v>
      </c>
      <c r="U122" s="2" t="s">
        <v>141</v>
      </c>
      <c r="Y122" s="2">
        <v>1700</v>
      </c>
      <c r="Z122" s="11" t="s">
        <v>54</v>
      </c>
      <c r="AA122" s="11" t="str">
        <f t="shared" si="13"/>
        <v>1700 - TBN</v>
      </c>
      <c r="AC122" s="2" t="s">
        <v>145</v>
      </c>
      <c r="AD122" s="11" t="str">
        <f>IF($I122&lt;&gt;"",VLOOKUP($AC122,GEADRESSEERDE!$A$2:$E$4,2,),"")</f>
        <v>LUITHAGEN HAVEN 2 D</v>
      </c>
      <c r="AE122" s="11">
        <f>IF($I122&lt;&gt;"",VLOOKUP($AC122,GEADRESSEERDE!$A$2:$E$4,3,),"")</f>
        <v>2030</v>
      </c>
      <c r="AF122" s="11" t="str">
        <f>IF($I122&lt;&gt;"",VLOOKUP($AC122,GEADRESSEERDE!$A$2:$E$4,4,),"")</f>
        <v>ANTWERPEN</v>
      </c>
      <c r="AG122" s="11" t="str">
        <f>IF($I122&lt;&gt;"",VLOOKUP($AC122,GEADRESSEERDE!$A$2:$E$4,5,),"")</f>
        <v>BE</v>
      </c>
      <c r="AH122" s="11" t="str">
        <f>IF(I122&lt;&gt;"",VLOOKUP(AP122,KvB!$A$2:$B$3,2,FALSE),"")</f>
        <v>BE101000</v>
      </c>
      <c r="AI122" s="11" t="s">
        <v>55</v>
      </c>
      <c r="AJ122" s="11"/>
      <c r="AK122" s="11"/>
      <c r="AL122" s="11"/>
      <c r="AM122" s="11"/>
      <c r="AN122" s="11"/>
      <c r="AO122" s="11"/>
      <c r="AP122" s="2" t="s">
        <v>70</v>
      </c>
      <c r="AQ122" s="11" t="str">
        <f>IF(I122&lt;&gt;"",DATA!D121,"")</f>
        <v>9403890090</v>
      </c>
    </row>
    <row r="123" spans="1:43" ht="15.75" x14ac:dyDescent="0.25">
      <c r="A123" s="11" t="s">
        <v>57</v>
      </c>
      <c r="B123" s="11" t="s">
        <v>56</v>
      </c>
      <c r="C123" s="22">
        <f t="shared" si="10"/>
        <v>25001620</v>
      </c>
      <c r="D123" s="11" t="str">
        <f t="shared" si="11"/>
        <v>SKIIFM_AT</v>
      </c>
      <c r="E123" s="11" t="str">
        <f>IF(I123&lt;&gt;"",VLOOKUP(F123,OPDRACHTGEVER!$A$2:$B$4,2,FALSE),"")</f>
        <v>SKIIFM_AT</v>
      </c>
      <c r="F123" s="11" t="s">
        <v>58</v>
      </c>
      <c r="I123" s="11" t="str">
        <f>IF(DATA!B122&lt;&gt;"",DATA!B122,"")</f>
        <v>MSMU8704276</v>
      </c>
      <c r="J123" s="12">
        <v>0</v>
      </c>
      <c r="K123" s="11" t="s">
        <v>53</v>
      </c>
      <c r="L123" s="11" t="str">
        <f t="shared" si="12"/>
        <v>842199</v>
      </c>
      <c r="M123" s="11" t="str">
        <f>IF(I123&lt;&gt;"",DATA!E122,"")</f>
        <v>FIBER FILTER BALL</v>
      </c>
      <c r="N123" s="12">
        <v>0</v>
      </c>
      <c r="O123" s="11">
        <f>IF(I123&lt;&gt;"",DATA!C122,"")</f>
        <v>2.4</v>
      </c>
      <c r="P123" s="2">
        <v>294094</v>
      </c>
      <c r="Q123" s="2" t="s">
        <v>1304</v>
      </c>
      <c r="R123" s="2" t="s">
        <v>1307</v>
      </c>
      <c r="S123" s="2">
        <v>342</v>
      </c>
      <c r="T123" s="2">
        <v>1</v>
      </c>
      <c r="U123" s="2" t="s">
        <v>141</v>
      </c>
      <c r="Y123" s="2">
        <v>1700</v>
      </c>
      <c r="Z123" s="11" t="s">
        <v>54</v>
      </c>
      <c r="AA123" s="11" t="str">
        <f t="shared" si="13"/>
        <v>1700 - TBN</v>
      </c>
      <c r="AC123" s="2" t="s">
        <v>145</v>
      </c>
      <c r="AD123" s="11" t="str">
        <f>IF($I123&lt;&gt;"",VLOOKUP($AC123,GEADRESSEERDE!$A$2:$E$4,2,),"")</f>
        <v>LUITHAGEN HAVEN 2 D</v>
      </c>
      <c r="AE123" s="11">
        <f>IF($I123&lt;&gt;"",VLOOKUP($AC123,GEADRESSEERDE!$A$2:$E$4,3,),"")</f>
        <v>2030</v>
      </c>
      <c r="AF123" s="11" t="str">
        <f>IF($I123&lt;&gt;"",VLOOKUP($AC123,GEADRESSEERDE!$A$2:$E$4,4,),"")</f>
        <v>ANTWERPEN</v>
      </c>
      <c r="AG123" s="11" t="str">
        <f>IF($I123&lt;&gt;"",VLOOKUP($AC123,GEADRESSEERDE!$A$2:$E$4,5,),"")</f>
        <v>BE</v>
      </c>
      <c r="AH123" s="11" t="str">
        <f>IF(I123&lt;&gt;"",VLOOKUP(AP123,KvB!$A$2:$B$3,2,FALSE),"")</f>
        <v>BE101000</v>
      </c>
      <c r="AI123" s="11" t="s">
        <v>55</v>
      </c>
      <c r="AJ123" s="11"/>
      <c r="AK123" s="11"/>
      <c r="AL123" s="11"/>
      <c r="AM123" s="11"/>
      <c r="AN123" s="11"/>
      <c r="AO123" s="11"/>
      <c r="AP123" s="2" t="s">
        <v>70</v>
      </c>
      <c r="AQ123" s="11" t="str">
        <f>IF(I123&lt;&gt;"",DATA!D122,"")</f>
        <v>8421999099</v>
      </c>
    </row>
    <row r="124" spans="1:43" ht="15.75" x14ac:dyDescent="0.25">
      <c r="A124" s="11" t="s">
        <v>57</v>
      </c>
      <c r="B124" s="11" t="s">
        <v>56</v>
      </c>
      <c r="C124" s="22">
        <f t="shared" si="10"/>
        <v>25001620</v>
      </c>
      <c r="D124" s="11" t="str">
        <f t="shared" si="11"/>
        <v>SKIIFM_AT</v>
      </c>
      <c r="E124" s="11" t="str">
        <f>IF(I124&lt;&gt;"",VLOOKUP(F124,OPDRACHTGEVER!$A$2:$B$4,2,FALSE),"")</f>
        <v>SKIIFM_AT</v>
      </c>
      <c r="F124" s="11" t="s">
        <v>58</v>
      </c>
      <c r="I124" s="11" t="str">
        <f>IF(DATA!B123&lt;&gt;"",DATA!B123,"")</f>
        <v>MSMU8704276</v>
      </c>
      <c r="J124" s="12">
        <v>0</v>
      </c>
      <c r="K124" s="11" t="s">
        <v>53</v>
      </c>
      <c r="L124" s="11" t="str">
        <f t="shared" si="12"/>
        <v>940120</v>
      </c>
      <c r="M124" s="11" t="str">
        <f>IF(I124&lt;&gt;"",DATA!E123,"")</f>
        <v>FORKLIFT SEAT</v>
      </c>
      <c r="N124" s="12">
        <v>0</v>
      </c>
      <c r="O124" s="11">
        <f>IF(I124&lt;&gt;"",DATA!C123,"")</f>
        <v>533.6</v>
      </c>
      <c r="P124" s="2">
        <v>294094</v>
      </c>
      <c r="Q124" s="2" t="s">
        <v>1304</v>
      </c>
      <c r="R124" s="2" t="s">
        <v>1307</v>
      </c>
      <c r="S124" s="2">
        <v>342</v>
      </c>
      <c r="T124" s="2">
        <v>1</v>
      </c>
      <c r="U124" s="2" t="s">
        <v>141</v>
      </c>
      <c r="Y124" s="2">
        <v>1700</v>
      </c>
      <c r="Z124" s="11" t="s">
        <v>54</v>
      </c>
      <c r="AA124" s="11" t="str">
        <f t="shared" si="13"/>
        <v>1700 - TBN</v>
      </c>
      <c r="AC124" s="2" t="s">
        <v>145</v>
      </c>
      <c r="AD124" s="11" t="str">
        <f>IF($I124&lt;&gt;"",VLOOKUP($AC124,GEADRESSEERDE!$A$2:$E$4,2,),"")</f>
        <v>LUITHAGEN HAVEN 2 D</v>
      </c>
      <c r="AE124" s="11">
        <f>IF($I124&lt;&gt;"",VLOOKUP($AC124,GEADRESSEERDE!$A$2:$E$4,3,),"")</f>
        <v>2030</v>
      </c>
      <c r="AF124" s="11" t="str">
        <f>IF($I124&lt;&gt;"",VLOOKUP($AC124,GEADRESSEERDE!$A$2:$E$4,4,),"")</f>
        <v>ANTWERPEN</v>
      </c>
      <c r="AG124" s="11" t="str">
        <f>IF($I124&lt;&gt;"",VLOOKUP($AC124,GEADRESSEERDE!$A$2:$E$4,5,),"")</f>
        <v>BE</v>
      </c>
      <c r="AH124" s="11" t="str">
        <f>IF(I124&lt;&gt;"",VLOOKUP(AP124,KvB!$A$2:$B$3,2,FALSE),"")</f>
        <v>BE101000</v>
      </c>
      <c r="AI124" s="11" t="s">
        <v>55</v>
      </c>
      <c r="AJ124" s="11"/>
      <c r="AK124" s="11"/>
      <c r="AL124" s="11"/>
      <c r="AM124" s="11"/>
      <c r="AN124" s="11"/>
      <c r="AO124" s="11"/>
      <c r="AP124" s="2" t="s">
        <v>70</v>
      </c>
      <c r="AQ124" s="11" t="str">
        <f>IF(I124&lt;&gt;"",DATA!D123,"")</f>
        <v>9401200000</v>
      </c>
    </row>
    <row r="125" spans="1:43" ht="15.75" x14ac:dyDescent="0.25">
      <c r="A125" s="11" t="s">
        <v>57</v>
      </c>
      <c r="B125" s="11" t="s">
        <v>56</v>
      </c>
      <c r="C125" s="22">
        <f t="shared" si="10"/>
        <v>25001620</v>
      </c>
      <c r="D125" s="11" t="str">
        <f t="shared" si="11"/>
        <v>SKIIFM_AT</v>
      </c>
      <c r="E125" s="11" t="str">
        <f>IF(I125&lt;&gt;"",VLOOKUP(F125,OPDRACHTGEVER!$A$2:$B$4,2,FALSE),"")</f>
        <v>SKIIFM_AT</v>
      </c>
      <c r="F125" s="11" t="s">
        <v>58</v>
      </c>
      <c r="I125" s="11" t="str">
        <f>IF(DATA!B124&lt;&gt;"",DATA!B124,"")</f>
        <v>MSMU8704276</v>
      </c>
      <c r="J125" s="12">
        <v>0</v>
      </c>
      <c r="K125" s="11" t="s">
        <v>53</v>
      </c>
      <c r="L125" s="11" t="str">
        <f t="shared" si="12"/>
        <v>741920</v>
      </c>
      <c r="M125" s="11" t="str">
        <f>IF(I125&lt;&gt;"",DATA!E124,"")</f>
        <v>FORKLIFT WORKING PLATFORM</v>
      </c>
      <c r="N125" s="12">
        <v>0</v>
      </c>
      <c r="O125" s="11">
        <f>IF(I125&lt;&gt;"",DATA!C124,"")</f>
        <v>358.5</v>
      </c>
      <c r="P125" s="2">
        <v>294094</v>
      </c>
      <c r="Q125" s="2" t="s">
        <v>1304</v>
      </c>
      <c r="R125" s="2" t="s">
        <v>1307</v>
      </c>
      <c r="S125" s="2">
        <v>342</v>
      </c>
      <c r="T125" s="2">
        <v>1</v>
      </c>
      <c r="U125" s="2" t="s">
        <v>141</v>
      </c>
      <c r="Y125" s="2">
        <v>1700</v>
      </c>
      <c r="Z125" s="11" t="s">
        <v>54</v>
      </c>
      <c r="AA125" s="11" t="str">
        <f t="shared" si="13"/>
        <v>1700 - TBN</v>
      </c>
      <c r="AC125" s="2" t="s">
        <v>145</v>
      </c>
      <c r="AD125" s="11" t="str">
        <f>IF($I125&lt;&gt;"",VLOOKUP($AC125,GEADRESSEERDE!$A$2:$E$4,2,),"")</f>
        <v>LUITHAGEN HAVEN 2 D</v>
      </c>
      <c r="AE125" s="11">
        <f>IF($I125&lt;&gt;"",VLOOKUP($AC125,GEADRESSEERDE!$A$2:$E$4,3,),"")</f>
        <v>2030</v>
      </c>
      <c r="AF125" s="11" t="str">
        <f>IF($I125&lt;&gt;"",VLOOKUP($AC125,GEADRESSEERDE!$A$2:$E$4,4,),"")</f>
        <v>ANTWERPEN</v>
      </c>
      <c r="AG125" s="11" t="str">
        <f>IF($I125&lt;&gt;"",VLOOKUP($AC125,GEADRESSEERDE!$A$2:$E$4,5,),"")</f>
        <v>BE</v>
      </c>
      <c r="AH125" s="11" t="str">
        <f>IF(I125&lt;&gt;"",VLOOKUP(AP125,KvB!$A$2:$B$3,2,FALSE),"")</f>
        <v>BE101000</v>
      </c>
      <c r="AI125" s="11" t="s">
        <v>55</v>
      </c>
      <c r="AJ125" s="11"/>
      <c r="AK125" s="11"/>
      <c r="AL125" s="11"/>
      <c r="AM125" s="11"/>
      <c r="AN125" s="11"/>
      <c r="AO125" s="11"/>
      <c r="AP125" s="2" t="s">
        <v>70</v>
      </c>
      <c r="AQ125" s="11" t="str">
        <f>IF(I125&lt;&gt;"",DATA!D124,"")</f>
        <v>7419200090</v>
      </c>
    </row>
    <row r="126" spans="1:43" ht="15.75" x14ac:dyDescent="0.25">
      <c r="A126" s="11" t="s">
        <v>57</v>
      </c>
      <c r="B126" s="11" t="s">
        <v>56</v>
      </c>
      <c r="C126" s="22">
        <f t="shared" si="10"/>
        <v>25001620</v>
      </c>
      <c r="D126" s="11" t="str">
        <f t="shared" si="11"/>
        <v>SKIIFM_AT</v>
      </c>
      <c r="E126" s="11" t="str">
        <f>IF(I126&lt;&gt;"",VLOOKUP(F126,OPDRACHTGEVER!$A$2:$B$4,2,FALSE),"")</f>
        <v>SKIIFM_AT</v>
      </c>
      <c r="F126" s="11" t="s">
        <v>58</v>
      </c>
      <c r="I126" s="11" t="str">
        <f>IF(DATA!B125&lt;&gt;"",DATA!B125,"")</f>
        <v>MSMU8704276</v>
      </c>
      <c r="J126" s="12">
        <v>0</v>
      </c>
      <c r="K126" s="11" t="s">
        <v>53</v>
      </c>
      <c r="L126" s="11" t="str">
        <f t="shared" si="12"/>
        <v>741920</v>
      </c>
      <c r="M126" s="11" t="str">
        <f>IF(I126&lt;&gt;"",DATA!E125,"")</f>
        <v>FOUNTAIN</v>
      </c>
      <c r="N126" s="12">
        <v>0</v>
      </c>
      <c r="O126" s="11">
        <f>IF(I126&lt;&gt;"",DATA!C125,"")</f>
        <v>67.5</v>
      </c>
      <c r="P126" s="2">
        <v>294094</v>
      </c>
      <c r="Q126" s="2" t="s">
        <v>1304</v>
      </c>
      <c r="R126" s="2" t="s">
        <v>1307</v>
      </c>
      <c r="S126" s="2">
        <v>342</v>
      </c>
      <c r="T126" s="2">
        <v>1</v>
      </c>
      <c r="U126" s="2" t="s">
        <v>141</v>
      </c>
      <c r="Y126" s="2">
        <v>1700</v>
      </c>
      <c r="Z126" s="11" t="s">
        <v>54</v>
      </c>
      <c r="AA126" s="11" t="str">
        <f t="shared" si="13"/>
        <v>1700 - TBN</v>
      </c>
      <c r="AC126" s="2" t="s">
        <v>145</v>
      </c>
      <c r="AD126" s="11" t="str">
        <f>IF($I126&lt;&gt;"",VLOOKUP($AC126,GEADRESSEERDE!$A$2:$E$4,2,),"")</f>
        <v>LUITHAGEN HAVEN 2 D</v>
      </c>
      <c r="AE126" s="11">
        <f>IF($I126&lt;&gt;"",VLOOKUP($AC126,GEADRESSEERDE!$A$2:$E$4,3,),"")</f>
        <v>2030</v>
      </c>
      <c r="AF126" s="11" t="str">
        <f>IF($I126&lt;&gt;"",VLOOKUP($AC126,GEADRESSEERDE!$A$2:$E$4,4,),"")</f>
        <v>ANTWERPEN</v>
      </c>
      <c r="AG126" s="11" t="str">
        <f>IF($I126&lt;&gt;"",VLOOKUP($AC126,GEADRESSEERDE!$A$2:$E$4,5,),"")</f>
        <v>BE</v>
      </c>
      <c r="AH126" s="11" t="str">
        <f>IF(I126&lt;&gt;"",VLOOKUP(AP126,KvB!$A$2:$B$3,2,FALSE),"")</f>
        <v>BE101000</v>
      </c>
      <c r="AI126" s="11" t="s">
        <v>55</v>
      </c>
      <c r="AJ126" s="11"/>
      <c r="AK126" s="11"/>
      <c r="AL126" s="11"/>
      <c r="AM126" s="11"/>
      <c r="AN126" s="11"/>
      <c r="AO126" s="11"/>
      <c r="AP126" s="2" t="s">
        <v>70</v>
      </c>
      <c r="AQ126" s="11" t="str">
        <f>IF(I126&lt;&gt;"",DATA!D125,"")</f>
        <v>7419200090</v>
      </c>
    </row>
    <row r="127" spans="1:43" ht="15.75" x14ac:dyDescent="0.25">
      <c r="A127" s="11" t="s">
        <v>57</v>
      </c>
      <c r="B127" s="11" t="s">
        <v>56</v>
      </c>
      <c r="C127" s="22">
        <f t="shared" si="10"/>
        <v>25001620</v>
      </c>
      <c r="D127" s="11" t="str">
        <f t="shared" si="11"/>
        <v>SKIIFM_AT</v>
      </c>
      <c r="E127" s="11" t="str">
        <f>IF(I127&lt;&gt;"",VLOOKUP(F127,OPDRACHTGEVER!$A$2:$B$4,2,FALSE),"")</f>
        <v>SKIIFM_AT</v>
      </c>
      <c r="F127" s="11" t="s">
        <v>58</v>
      </c>
      <c r="I127" s="11" t="str">
        <f>IF(DATA!B126&lt;&gt;"",DATA!B126,"")</f>
        <v>MSMU8704276</v>
      </c>
      <c r="J127" s="12">
        <v>0</v>
      </c>
      <c r="K127" s="11" t="s">
        <v>53</v>
      </c>
      <c r="L127" s="11" t="str">
        <f t="shared" si="12"/>
        <v>850440</v>
      </c>
      <c r="M127" s="11" t="str">
        <f>IF(I127&lt;&gt;"",DATA!E126,"")</f>
        <v>FREQUENCY CONVERTER</v>
      </c>
      <c r="N127" s="12">
        <v>0</v>
      </c>
      <c r="O127" s="11">
        <f>IF(I127&lt;&gt;"",DATA!C126,"")</f>
        <v>8.6</v>
      </c>
      <c r="P127" s="2">
        <v>294094</v>
      </c>
      <c r="Q127" s="2" t="s">
        <v>1304</v>
      </c>
      <c r="R127" s="2" t="s">
        <v>1307</v>
      </c>
      <c r="S127" s="2">
        <v>342</v>
      </c>
      <c r="T127" s="2">
        <v>1</v>
      </c>
      <c r="U127" s="2" t="s">
        <v>141</v>
      </c>
      <c r="Y127" s="2">
        <v>1700</v>
      </c>
      <c r="Z127" s="11" t="s">
        <v>54</v>
      </c>
      <c r="AA127" s="11" t="str">
        <f t="shared" si="13"/>
        <v>1700 - TBN</v>
      </c>
      <c r="AC127" s="2" t="s">
        <v>145</v>
      </c>
      <c r="AD127" s="11" t="str">
        <f>IF($I127&lt;&gt;"",VLOOKUP($AC127,GEADRESSEERDE!$A$2:$E$4,2,),"")</f>
        <v>LUITHAGEN HAVEN 2 D</v>
      </c>
      <c r="AE127" s="11">
        <f>IF($I127&lt;&gt;"",VLOOKUP($AC127,GEADRESSEERDE!$A$2:$E$4,3,),"")</f>
        <v>2030</v>
      </c>
      <c r="AF127" s="11" t="str">
        <f>IF($I127&lt;&gt;"",VLOOKUP($AC127,GEADRESSEERDE!$A$2:$E$4,4,),"")</f>
        <v>ANTWERPEN</v>
      </c>
      <c r="AG127" s="11" t="str">
        <f>IF($I127&lt;&gt;"",VLOOKUP($AC127,GEADRESSEERDE!$A$2:$E$4,5,),"")</f>
        <v>BE</v>
      </c>
      <c r="AH127" s="11" t="str">
        <f>IF(I127&lt;&gt;"",VLOOKUP(AP127,KvB!$A$2:$B$3,2,FALSE),"")</f>
        <v>BE101000</v>
      </c>
      <c r="AI127" s="11" t="s">
        <v>55</v>
      </c>
      <c r="AJ127" s="11"/>
      <c r="AK127" s="11"/>
      <c r="AL127" s="11"/>
      <c r="AM127" s="11"/>
      <c r="AN127" s="11"/>
      <c r="AO127" s="11"/>
      <c r="AP127" s="2" t="s">
        <v>70</v>
      </c>
      <c r="AQ127" s="11" t="str">
        <f>IF(I127&lt;&gt;"",DATA!D126,"")</f>
        <v>8504406090</v>
      </c>
    </row>
    <row r="128" spans="1:43" ht="15.75" x14ac:dyDescent="0.25">
      <c r="A128" s="11" t="s">
        <v>57</v>
      </c>
      <c r="B128" s="11" t="s">
        <v>56</v>
      </c>
      <c r="C128" s="22">
        <f t="shared" si="10"/>
        <v>25001620</v>
      </c>
      <c r="D128" s="11" t="str">
        <f t="shared" si="11"/>
        <v>SKIIFM_AT</v>
      </c>
      <c r="E128" s="11" t="str">
        <f>IF(I128&lt;&gt;"",VLOOKUP(F128,OPDRACHTGEVER!$A$2:$B$4,2,FALSE),"")</f>
        <v>SKIIFM_AT</v>
      </c>
      <c r="F128" s="11" t="s">
        <v>58</v>
      </c>
      <c r="I128" s="11" t="str">
        <f>IF(DATA!B127&lt;&gt;"",DATA!B127,"")</f>
        <v>MSMU8704276</v>
      </c>
      <c r="J128" s="12">
        <v>0</v>
      </c>
      <c r="K128" s="11" t="s">
        <v>53</v>
      </c>
      <c r="L128" s="11" t="str">
        <f t="shared" si="12"/>
        <v>741920</v>
      </c>
      <c r="M128" s="11" t="str">
        <f>IF(I128&lt;&gt;"",DATA!E127,"")</f>
        <v>HANDRAIL</v>
      </c>
      <c r="N128" s="12">
        <v>0</v>
      </c>
      <c r="O128" s="11">
        <f>IF(I128&lt;&gt;"",DATA!C127,"")</f>
        <v>610.35</v>
      </c>
      <c r="P128" s="2">
        <v>294094</v>
      </c>
      <c r="Q128" s="2" t="s">
        <v>1304</v>
      </c>
      <c r="R128" s="2" t="s">
        <v>1307</v>
      </c>
      <c r="S128" s="2">
        <v>342</v>
      </c>
      <c r="T128" s="2">
        <v>1</v>
      </c>
      <c r="U128" s="2" t="s">
        <v>141</v>
      </c>
      <c r="Y128" s="2">
        <v>1700</v>
      </c>
      <c r="Z128" s="11" t="s">
        <v>54</v>
      </c>
      <c r="AA128" s="11" t="str">
        <f t="shared" si="13"/>
        <v>1700 - TBN</v>
      </c>
      <c r="AC128" s="2" t="s">
        <v>145</v>
      </c>
      <c r="AD128" s="11" t="str">
        <f>IF($I128&lt;&gt;"",VLOOKUP($AC128,GEADRESSEERDE!$A$2:$E$4,2,),"")</f>
        <v>LUITHAGEN HAVEN 2 D</v>
      </c>
      <c r="AE128" s="11">
        <f>IF($I128&lt;&gt;"",VLOOKUP($AC128,GEADRESSEERDE!$A$2:$E$4,3,),"")</f>
        <v>2030</v>
      </c>
      <c r="AF128" s="11" t="str">
        <f>IF($I128&lt;&gt;"",VLOOKUP($AC128,GEADRESSEERDE!$A$2:$E$4,4,),"")</f>
        <v>ANTWERPEN</v>
      </c>
      <c r="AG128" s="11" t="str">
        <f>IF($I128&lt;&gt;"",VLOOKUP($AC128,GEADRESSEERDE!$A$2:$E$4,5,),"")</f>
        <v>BE</v>
      </c>
      <c r="AH128" s="11" t="str">
        <f>IF(I128&lt;&gt;"",VLOOKUP(AP128,KvB!$A$2:$B$3,2,FALSE),"")</f>
        <v>BE101000</v>
      </c>
      <c r="AI128" s="11" t="s">
        <v>55</v>
      </c>
      <c r="AJ128" s="11"/>
      <c r="AK128" s="11"/>
      <c r="AL128" s="11"/>
      <c r="AM128" s="11"/>
      <c r="AN128" s="11"/>
      <c r="AO128" s="11"/>
      <c r="AP128" s="2" t="s">
        <v>70</v>
      </c>
      <c r="AQ128" s="11" t="str">
        <f>IF(I128&lt;&gt;"",DATA!D127,"")</f>
        <v>7419200090</v>
      </c>
    </row>
    <row r="129" spans="1:43" ht="15.75" x14ac:dyDescent="0.25">
      <c r="A129" s="11" t="s">
        <v>57</v>
      </c>
      <c r="B129" s="11" t="s">
        <v>56</v>
      </c>
      <c r="C129" s="22">
        <f t="shared" si="10"/>
        <v>25001620</v>
      </c>
      <c r="D129" s="11" t="str">
        <f t="shared" si="11"/>
        <v>SKIIFM_AT</v>
      </c>
      <c r="E129" s="11" t="str">
        <f>IF(I129&lt;&gt;"",VLOOKUP(F129,OPDRACHTGEVER!$A$2:$B$4,2,FALSE),"")</f>
        <v>SKIIFM_AT</v>
      </c>
      <c r="F129" s="11" t="s">
        <v>58</v>
      </c>
      <c r="I129" s="11" t="str">
        <f>IF(DATA!B128&lt;&gt;"",DATA!B128,"")</f>
        <v>MSMU8704276</v>
      </c>
      <c r="J129" s="12">
        <v>0</v>
      </c>
      <c r="K129" s="11" t="s">
        <v>53</v>
      </c>
      <c r="L129" s="11" t="str">
        <f t="shared" si="12"/>
        <v>842310</v>
      </c>
      <c r="M129" s="11" t="str">
        <f>IF(I129&lt;&gt;"",DATA!E128,"")</f>
        <v>HANGING SCALE</v>
      </c>
      <c r="N129" s="12">
        <v>0</v>
      </c>
      <c r="O129" s="11">
        <f>IF(I129&lt;&gt;"",DATA!C128,"")</f>
        <v>6</v>
      </c>
      <c r="P129" s="2">
        <v>294094</v>
      </c>
      <c r="Q129" s="2" t="s">
        <v>1304</v>
      </c>
      <c r="R129" s="2" t="s">
        <v>1307</v>
      </c>
      <c r="S129" s="2">
        <v>342</v>
      </c>
      <c r="T129" s="2">
        <v>1</v>
      </c>
      <c r="U129" s="2" t="s">
        <v>141</v>
      </c>
      <c r="Y129" s="2">
        <v>1700</v>
      </c>
      <c r="Z129" s="11" t="s">
        <v>54</v>
      </c>
      <c r="AA129" s="11" t="str">
        <f t="shared" si="13"/>
        <v>1700 - TBN</v>
      </c>
      <c r="AC129" s="2" t="s">
        <v>145</v>
      </c>
      <c r="AD129" s="11" t="str">
        <f>IF($I129&lt;&gt;"",VLOOKUP($AC129,GEADRESSEERDE!$A$2:$E$4,2,),"")</f>
        <v>LUITHAGEN HAVEN 2 D</v>
      </c>
      <c r="AE129" s="11">
        <f>IF($I129&lt;&gt;"",VLOOKUP($AC129,GEADRESSEERDE!$A$2:$E$4,3,),"")</f>
        <v>2030</v>
      </c>
      <c r="AF129" s="11" t="str">
        <f>IF($I129&lt;&gt;"",VLOOKUP($AC129,GEADRESSEERDE!$A$2:$E$4,4,),"")</f>
        <v>ANTWERPEN</v>
      </c>
      <c r="AG129" s="11" t="str">
        <f>IF($I129&lt;&gt;"",VLOOKUP($AC129,GEADRESSEERDE!$A$2:$E$4,5,),"")</f>
        <v>BE</v>
      </c>
      <c r="AH129" s="11" t="str">
        <f>IF(I129&lt;&gt;"",VLOOKUP(AP129,KvB!$A$2:$B$3,2,FALSE),"")</f>
        <v>BE101000</v>
      </c>
      <c r="AI129" s="11" t="s">
        <v>55</v>
      </c>
      <c r="AJ129" s="11"/>
      <c r="AK129" s="11"/>
      <c r="AL129" s="11"/>
      <c r="AM129" s="11"/>
      <c r="AN129" s="11"/>
      <c r="AO129" s="11"/>
      <c r="AP129" s="2" t="s">
        <v>70</v>
      </c>
      <c r="AQ129" s="11" t="str">
        <f>IF(I129&lt;&gt;"",DATA!D128,"")</f>
        <v>8423109000</v>
      </c>
    </row>
    <row r="130" spans="1:43" ht="15.75" x14ac:dyDescent="0.25">
      <c r="A130" s="11" t="s">
        <v>57</v>
      </c>
      <c r="B130" s="11" t="s">
        <v>56</v>
      </c>
      <c r="C130" s="22">
        <f t="shared" si="10"/>
        <v>25001620</v>
      </c>
      <c r="D130" s="11" t="str">
        <f t="shared" si="11"/>
        <v>SKIIFM_AT</v>
      </c>
      <c r="E130" s="11" t="str">
        <f>IF(I130&lt;&gt;"",VLOOKUP(F130,OPDRACHTGEVER!$A$2:$B$4,2,FALSE),"")</f>
        <v>SKIIFM_AT</v>
      </c>
      <c r="F130" s="11" t="s">
        <v>58</v>
      </c>
      <c r="I130" s="11" t="str">
        <f>IF(DATA!B129&lt;&gt;"",DATA!B129,"")</f>
        <v>MSMU8704276</v>
      </c>
      <c r="J130" s="12">
        <v>0</v>
      </c>
      <c r="K130" s="11" t="s">
        <v>53</v>
      </c>
      <c r="L130" s="11" t="str">
        <f t="shared" si="12"/>
        <v>392310</v>
      </c>
      <c r="M130" s="11" t="str">
        <f>IF(I130&lt;&gt;"",DATA!E129,"")</f>
        <v>HEAT INSULATION BOX</v>
      </c>
      <c r="N130" s="12">
        <v>0</v>
      </c>
      <c r="O130" s="11">
        <f>IF(I130&lt;&gt;"",DATA!C129,"")</f>
        <v>368.6</v>
      </c>
      <c r="P130" s="2">
        <v>294094</v>
      </c>
      <c r="Q130" s="2" t="s">
        <v>1304</v>
      </c>
      <c r="R130" s="2" t="s">
        <v>1307</v>
      </c>
      <c r="S130" s="2">
        <v>342</v>
      </c>
      <c r="T130" s="2">
        <v>1</v>
      </c>
      <c r="U130" s="2" t="s">
        <v>141</v>
      </c>
      <c r="Y130" s="2">
        <v>1700</v>
      </c>
      <c r="Z130" s="11" t="s">
        <v>54</v>
      </c>
      <c r="AA130" s="11" t="str">
        <f t="shared" si="13"/>
        <v>1700 - TBN</v>
      </c>
      <c r="AC130" s="2" t="s">
        <v>145</v>
      </c>
      <c r="AD130" s="11" t="str">
        <f>IF($I130&lt;&gt;"",VLOOKUP($AC130,GEADRESSEERDE!$A$2:$E$4,2,),"")</f>
        <v>LUITHAGEN HAVEN 2 D</v>
      </c>
      <c r="AE130" s="11">
        <f>IF($I130&lt;&gt;"",VLOOKUP($AC130,GEADRESSEERDE!$A$2:$E$4,3,),"")</f>
        <v>2030</v>
      </c>
      <c r="AF130" s="11" t="str">
        <f>IF($I130&lt;&gt;"",VLOOKUP($AC130,GEADRESSEERDE!$A$2:$E$4,4,),"")</f>
        <v>ANTWERPEN</v>
      </c>
      <c r="AG130" s="11" t="str">
        <f>IF($I130&lt;&gt;"",VLOOKUP($AC130,GEADRESSEERDE!$A$2:$E$4,5,),"")</f>
        <v>BE</v>
      </c>
      <c r="AH130" s="11" t="str">
        <f>IF(I130&lt;&gt;"",VLOOKUP(AP130,KvB!$A$2:$B$3,2,FALSE),"")</f>
        <v>BE101000</v>
      </c>
      <c r="AI130" s="11" t="s">
        <v>55</v>
      </c>
      <c r="AJ130" s="11"/>
      <c r="AK130" s="11"/>
      <c r="AL130" s="11"/>
      <c r="AM130" s="11"/>
      <c r="AN130" s="11"/>
      <c r="AO130" s="11"/>
      <c r="AP130" s="2" t="s">
        <v>70</v>
      </c>
      <c r="AQ130" s="11" t="str">
        <f>IF(I130&lt;&gt;"",DATA!D129,"")</f>
        <v>3923109090</v>
      </c>
    </row>
    <row r="131" spans="1:43" ht="15.75" x14ac:dyDescent="0.25">
      <c r="A131" s="11" t="s">
        <v>57</v>
      </c>
      <c r="B131" s="11" t="s">
        <v>56</v>
      </c>
      <c r="C131" s="22">
        <f t="shared" si="10"/>
        <v>25001620</v>
      </c>
      <c r="D131" s="11" t="str">
        <f t="shared" si="11"/>
        <v>SKIIFM_AT</v>
      </c>
      <c r="E131" s="11" t="str">
        <f>IF(I131&lt;&gt;"",VLOOKUP(F131,OPDRACHTGEVER!$A$2:$B$4,2,FALSE),"")</f>
        <v>SKIIFM_AT</v>
      </c>
      <c r="F131" s="11" t="s">
        <v>58</v>
      </c>
      <c r="I131" s="11" t="str">
        <f>IF(DATA!B130&lt;&gt;"",DATA!B130,"")</f>
        <v>MSMU8704276</v>
      </c>
      <c r="J131" s="12">
        <v>0</v>
      </c>
      <c r="K131" s="11" t="s">
        <v>53</v>
      </c>
      <c r="L131" s="11" t="str">
        <f t="shared" si="12"/>
        <v>848120</v>
      </c>
      <c r="M131" s="11" t="str">
        <f>IF(I131&lt;&gt;"",DATA!E130,"")</f>
        <v>HYDRAULIC CONTROL VALVE</v>
      </c>
      <c r="N131" s="12">
        <v>0</v>
      </c>
      <c r="O131" s="11">
        <f>IF(I131&lt;&gt;"",DATA!C130,"")</f>
        <v>12</v>
      </c>
      <c r="P131" s="2">
        <v>294094</v>
      </c>
      <c r="Q131" s="2" t="s">
        <v>1304</v>
      </c>
      <c r="R131" s="2" t="s">
        <v>1307</v>
      </c>
      <c r="S131" s="2">
        <v>342</v>
      </c>
      <c r="T131" s="2">
        <v>1</v>
      </c>
      <c r="U131" s="2" t="s">
        <v>141</v>
      </c>
      <c r="Y131" s="2">
        <v>1700</v>
      </c>
      <c r="Z131" s="11" t="s">
        <v>54</v>
      </c>
      <c r="AA131" s="11" t="str">
        <f t="shared" si="13"/>
        <v>1700 - TBN</v>
      </c>
      <c r="AC131" s="2" t="s">
        <v>145</v>
      </c>
      <c r="AD131" s="11" t="str">
        <f>IF($I131&lt;&gt;"",VLOOKUP($AC131,GEADRESSEERDE!$A$2:$E$4,2,),"")</f>
        <v>LUITHAGEN HAVEN 2 D</v>
      </c>
      <c r="AE131" s="11">
        <f>IF($I131&lt;&gt;"",VLOOKUP($AC131,GEADRESSEERDE!$A$2:$E$4,3,),"")</f>
        <v>2030</v>
      </c>
      <c r="AF131" s="11" t="str">
        <f>IF($I131&lt;&gt;"",VLOOKUP($AC131,GEADRESSEERDE!$A$2:$E$4,4,),"")</f>
        <v>ANTWERPEN</v>
      </c>
      <c r="AG131" s="11" t="str">
        <f>IF($I131&lt;&gt;"",VLOOKUP($AC131,GEADRESSEERDE!$A$2:$E$4,5,),"")</f>
        <v>BE</v>
      </c>
      <c r="AH131" s="11" t="str">
        <f>IF(I131&lt;&gt;"",VLOOKUP(AP131,KvB!$A$2:$B$3,2,FALSE),"")</f>
        <v>BE101000</v>
      </c>
      <c r="AI131" s="11" t="s">
        <v>55</v>
      </c>
      <c r="AJ131" s="11"/>
      <c r="AK131" s="11"/>
      <c r="AL131" s="11"/>
      <c r="AM131" s="11"/>
      <c r="AN131" s="11"/>
      <c r="AO131" s="11"/>
      <c r="AP131" s="2" t="s">
        <v>70</v>
      </c>
      <c r="AQ131" s="11" t="str">
        <f>IF(I131&lt;&gt;"",DATA!D130,"")</f>
        <v>8481201090</v>
      </c>
    </row>
    <row r="132" spans="1:43" ht="15.75" x14ac:dyDescent="0.25">
      <c r="A132" s="11" t="s">
        <v>57</v>
      </c>
      <c r="B132" s="11" t="s">
        <v>56</v>
      </c>
      <c r="C132" s="22">
        <f t="shared" si="10"/>
        <v>25001620</v>
      </c>
      <c r="D132" s="11" t="str">
        <f t="shared" si="11"/>
        <v>SKIIFM_AT</v>
      </c>
      <c r="E132" s="11" t="str">
        <f>IF(I132&lt;&gt;"",VLOOKUP(F132,OPDRACHTGEVER!$A$2:$B$4,2,FALSE),"")</f>
        <v>SKIIFM_AT</v>
      </c>
      <c r="F132" s="11" t="s">
        <v>58</v>
      </c>
      <c r="I132" s="11" t="str">
        <f>IF(DATA!B131&lt;&gt;"",DATA!B131,"")</f>
        <v>MSMU8704276</v>
      </c>
      <c r="J132" s="12">
        <v>0</v>
      </c>
      <c r="K132" s="11" t="s">
        <v>53</v>
      </c>
      <c r="L132" s="11" t="str">
        <f t="shared" si="12"/>
        <v>841420</v>
      </c>
      <c r="M132" s="11" t="str">
        <f>IF(I132&lt;&gt;"",DATA!E131,"")</f>
        <v>HYDRAULIC FOOT PUMP</v>
      </c>
      <c r="N132" s="12">
        <v>0</v>
      </c>
      <c r="O132" s="11">
        <f>IF(I132&lt;&gt;"",DATA!C131,"")</f>
        <v>409.15</v>
      </c>
      <c r="P132" s="2">
        <v>294094</v>
      </c>
      <c r="Q132" s="2" t="s">
        <v>1304</v>
      </c>
      <c r="R132" s="2" t="s">
        <v>1307</v>
      </c>
      <c r="S132" s="2">
        <v>342</v>
      </c>
      <c r="T132" s="2">
        <v>1</v>
      </c>
      <c r="U132" s="2" t="s">
        <v>141</v>
      </c>
      <c r="Y132" s="2">
        <v>1700</v>
      </c>
      <c r="Z132" s="11" t="s">
        <v>54</v>
      </c>
      <c r="AA132" s="11" t="str">
        <f t="shared" si="13"/>
        <v>1700 - TBN</v>
      </c>
      <c r="AC132" s="2" t="s">
        <v>145</v>
      </c>
      <c r="AD132" s="11" t="str">
        <f>IF($I132&lt;&gt;"",VLOOKUP($AC132,GEADRESSEERDE!$A$2:$E$4,2,),"")</f>
        <v>LUITHAGEN HAVEN 2 D</v>
      </c>
      <c r="AE132" s="11">
        <f>IF($I132&lt;&gt;"",VLOOKUP($AC132,GEADRESSEERDE!$A$2:$E$4,3,),"")</f>
        <v>2030</v>
      </c>
      <c r="AF132" s="11" t="str">
        <f>IF($I132&lt;&gt;"",VLOOKUP($AC132,GEADRESSEERDE!$A$2:$E$4,4,),"")</f>
        <v>ANTWERPEN</v>
      </c>
      <c r="AG132" s="11" t="str">
        <f>IF($I132&lt;&gt;"",VLOOKUP($AC132,GEADRESSEERDE!$A$2:$E$4,5,),"")</f>
        <v>BE</v>
      </c>
      <c r="AH132" s="11" t="str">
        <f>IF(I132&lt;&gt;"",VLOOKUP(AP132,KvB!$A$2:$B$3,2,FALSE),"")</f>
        <v>BE101000</v>
      </c>
      <c r="AI132" s="11" t="s">
        <v>55</v>
      </c>
      <c r="AJ132" s="11"/>
      <c r="AK132" s="11"/>
      <c r="AL132" s="11"/>
      <c r="AM132" s="11"/>
      <c r="AN132" s="11"/>
      <c r="AO132" s="11"/>
      <c r="AP132" s="2" t="s">
        <v>70</v>
      </c>
      <c r="AQ132" s="11" t="str">
        <f>IF(I132&lt;&gt;"",DATA!D131,"")</f>
        <v>8414208090</v>
      </c>
    </row>
    <row r="133" spans="1:43" ht="15.75" x14ac:dyDescent="0.25">
      <c r="A133" s="11" t="s">
        <v>57</v>
      </c>
      <c r="B133" s="11" t="s">
        <v>56</v>
      </c>
      <c r="C133" s="22">
        <f t="shared" ref="C133:C196" si="14">C132</f>
        <v>25001620</v>
      </c>
      <c r="D133" s="11" t="str">
        <f t="shared" si="11"/>
        <v>SKIIFM_AT</v>
      </c>
      <c r="E133" s="11" t="str">
        <f>IF(I133&lt;&gt;"",VLOOKUP(F133,OPDRACHTGEVER!$A$2:$B$4,2,FALSE),"")</f>
        <v>SKIIFM_AT</v>
      </c>
      <c r="F133" s="11" t="s">
        <v>58</v>
      </c>
      <c r="I133" s="11" t="str">
        <f>IF(DATA!B132&lt;&gt;"",DATA!B132,"")</f>
        <v>MSMU8704276</v>
      </c>
      <c r="J133" s="12">
        <v>0</v>
      </c>
      <c r="K133" s="11" t="s">
        <v>53</v>
      </c>
      <c r="L133" s="11" t="str">
        <f t="shared" si="12"/>
        <v>841869</v>
      </c>
      <c r="M133" s="11" t="str">
        <f>IF(I133&lt;&gt;"",DATA!E132,"")</f>
        <v>ICE CREAM MACHINERY</v>
      </c>
      <c r="N133" s="12">
        <v>0</v>
      </c>
      <c r="O133" s="11">
        <f>IF(I133&lt;&gt;"",DATA!C132,"")</f>
        <v>216</v>
      </c>
      <c r="P133" s="2">
        <v>294094</v>
      </c>
      <c r="Q133" s="2" t="s">
        <v>1304</v>
      </c>
      <c r="R133" s="2" t="s">
        <v>1307</v>
      </c>
      <c r="S133" s="2">
        <v>342</v>
      </c>
      <c r="T133" s="2">
        <v>1</v>
      </c>
      <c r="U133" s="2" t="s">
        <v>141</v>
      </c>
      <c r="Y133" s="2">
        <v>1700</v>
      </c>
      <c r="Z133" s="11" t="s">
        <v>54</v>
      </c>
      <c r="AA133" s="11" t="str">
        <f t="shared" si="13"/>
        <v>1700 - TBN</v>
      </c>
      <c r="AC133" s="2" t="s">
        <v>145</v>
      </c>
      <c r="AD133" s="11" t="str">
        <f>IF($I133&lt;&gt;"",VLOOKUP($AC133,GEADRESSEERDE!$A$2:$E$4,2,),"")</f>
        <v>LUITHAGEN HAVEN 2 D</v>
      </c>
      <c r="AE133" s="11">
        <f>IF($I133&lt;&gt;"",VLOOKUP($AC133,GEADRESSEERDE!$A$2:$E$4,3,),"")</f>
        <v>2030</v>
      </c>
      <c r="AF133" s="11" t="str">
        <f>IF($I133&lt;&gt;"",VLOOKUP($AC133,GEADRESSEERDE!$A$2:$E$4,4,),"")</f>
        <v>ANTWERPEN</v>
      </c>
      <c r="AG133" s="11" t="str">
        <f>IF($I133&lt;&gt;"",VLOOKUP($AC133,GEADRESSEERDE!$A$2:$E$4,5,),"")</f>
        <v>BE</v>
      </c>
      <c r="AH133" s="11" t="str">
        <f>IF(I133&lt;&gt;"",VLOOKUP(AP133,KvB!$A$2:$B$3,2,FALSE),"")</f>
        <v>BE101000</v>
      </c>
      <c r="AI133" s="11" t="s">
        <v>55</v>
      </c>
      <c r="AJ133" s="11"/>
      <c r="AK133" s="11"/>
      <c r="AL133" s="11"/>
      <c r="AM133" s="11"/>
      <c r="AN133" s="11"/>
      <c r="AO133" s="11"/>
      <c r="AP133" s="2" t="s">
        <v>70</v>
      </c>
      <c r="AQ133" s="11" t="str">
        <f>IF(I133&lt;&gt;"",DATA!D132,"")</f>
        <v>8418690099</v>
      </c>
    </row>
    <row r="134" spans="1:43" ht="15.75" x14ac:dyDescent="0.25">
      <c r="A134" s="11" t="s">
        <v>57</v>
      </c>
      <c r="B134" s="11" t="s">
        <v>56</v>
      </c>
      <c r="C134" s="22">
        <f t="shared" si="14"/>
        <v>25001620</v>
      </c>
      <c r="D134" s="11" t="str">
        <f t="shared" si="11"/>
        <v>SKIIFM_AT</v>
      </c>
      <c r="E134" s="11" t="str">
        <f>IF(I134&lt;&gt;"",VLOOKUP(F134,OPDRACHTGEVER!$A$2:$B$4,2,FALSE),"")</f>
        <v>SKIIFM_AT</v>
      </c>
      <c r="F134" s="11" t="s">
        <v>58</v>
      </c>
      <c r="I134" s="11" t="str">
        <f>IF(DATA!B133&lt;&gt;"",DATA!B133,"")</f>
        <v>MSMU8704276</v>
      </c>
      <c r="J134" s="12">
        <v>0</v>
      </c>
      <c r="K134" s="11" t="s">
        <v>53</v>
      </c>
      <c r="L134" s="11" t="str">
        <f t="shared" si="12"/>
        <v>901730</v>
      </c>
      <c r="M134" s="11" t="str">
        <f>IF(I134&lt;&gt;"",DATA!E133,"")</f>
        <v>IMPERIAL GRADE ROD</v>
      </c>
      <c r="N134" s="12">
        <v>0</v>
      </c>
      <c r="O134" s="11">
        <f>IF(I134&lt;&gt;"",DATA!C133,"")</f>
        <v>9.15</v>
      </c>
      <c r="P134" s="2">
        <v>294094</v>
      </c>
      <c r="Q134" s="2" t="s">
        <v>1304</v>
      </c>
      <c r="R134" s="2" t="s">
        <v>1307</v>
      </c>
      <c r="S134" s="2">
        <v>342</v>
      </c>
      <c r="T134" s="2">
        <v>1</v>
      </c>
      <c r="U134" s="2" t="s">
        <v>141</v>
      </c>
      <c r="Y134" s="2">
        <v>1700</v>
      </c>
      <c r="Z134" s="11" t="s">
        <v>54</v>
      </c>
      <c r="AA134" s="11" t="str">
        <f t="shared" si="13"/>
        <v>1700 - TBN</v>
      </c>
      <c r="AC134" s="2" t="s">
        <v>145</v>
      </c>
      <c r="AD134" s="11" t="str">
        <f>IF($I134&lt;&gt;"",VLOOKUP($AC134,GEADRESSEERDE!$A$2:$E$4,2,),"")</f>
        <v>LUITHAGEN HAVEN 2 D</v>
      </c>
      <c r="AE134" s="11">
        <f>IF($I134&lt;&gt;"",VLOOKUP($AC134,GEADRESSEERDE!$A$2:$E$4,3,),"")</f>
        <v>2030</v>
      </c>
      <c r="AF134" s="11" t="str">
        <f>IF($I134&lt;&gt;"",VLOOKUP($AC134,GEADRESSEERDE!$A$2:$E$4,4,),"")</f>
        <v>ANTWERPEN</v>
      </c>
      <c r="AG134" s="11" t="str">
        <f>IF($I134&lt;&gt;"",VLOOKUP($AC134,GEADRESSEERDE!$A$2:$E$4,5,),"")</f>
        <v>BE</v>
      </c>
      <c r="AH134" s="11" t="str">
        <f>IF(I134&lt;&gt;"",VLOOKUP(AP134,KvB!$A$2:$B$3,2,FALSE),"")</f>
        <v>BE101000</v>
      </c>
      <c r="AI134" s="11" t="s">
        <v>55</v>
      </c>
      <c r="AJ134" s="11"/>
      <c r="AK134" s="11"/>
      <c r="AL134" s="11"/>
      <c r="AM134" s="11"/>
      <c r="AN134" s="11"/>
      <c r="AO134" s="11"/>
      <c r="AP134" s="2" t="s">
        <v>70</v>
      </c>
      <c r="AQ134" s="11" t="str">
        <f>IF(I134&lt;&gt;"",DATA!D133,"")</f>
        <v>9017300000</v>
      </c>
    </row>
    <row r="135" spans="1:43" ht="15.75" x14ac:dyDescent="0.25">
      <c r="A135" s="11" t="s">
        <v>57</v>
      </c>
      <c r="B135" s="11" t="s">
        <v>56</v>
      </c>
      <c r="C135" s="22">
        <f t="shared" si="14"/>
        <v>25001620</v>
      </c>
      <c r="D135" s="11" t="str">
        <f t="shared" si="11"/>
        <v>SKIIFM_AT</v>
      </c>
      <c r="E135" s="11" t="str">
        <f>IF(I135&lt;&gt;"",VLOOKUP(F135,OPDRACHTGEVER!$A$2:$B$4,2,FALSE),"")</f>
        <v>SKIIFM_AT</v>
      </c>
      <c r="F135" s="11" t="s">
        <v>58</v>
      </c>
      <c r="I135" s="11" t="str">
        <f>IF(DATA!B134&lt;&gt;"",DATA!B134,"")</f>
        <v>MSMU8704276</v>
      </c>
      <c r="J135" s="12">
        <v>0</v>
      </c>
      <c r="K135" s="11" t="s">
        <v>53</v>
      </c>
      <c r="L135" s="11" t="str">
        <f t="shared" si="12"/>
        <v>392590</v>
      </c>
      <c r="M135" s="11" t="str">
        <f>IF(I135&lt;&gt;"",DATA!E134,"")</f>
        <v>INTERLOCKING EVENT FLOORING</v>
      </c>
      <c r="N135" s="12">
        <v>0</v>
      </c>
      <c r="O135" s="11">
        <f>IF(I135&lt;&gt;"",DATA!C134,"")</f>
        <v>411.45</v>
      </c>
      <c r="P135" s="2">
        <v>294094</v>
      </c>
      <c r="Q135" s="2" t="s">
        <v>1304</v>
      </c>
      <c r="R135" s="2" t="s">
        <v>1307</v>
      </c>
      <c r="S135" s="2">
        <v>342</v>
      </c>
      <c r="T135" s="2">
        <v>1</v>
      </c>
      <c r="U135" s="2" t="s">
        <v>141</v>
      </c>
      <c r="Y135" s="2">
        <v>1700</v>
      </c>
      <c r="Z135" s="11" t="s">
        <v>54</v>
      </c>
      <c r="AA135" s="11" t="str">
        <f t="shared" si="13"/>
        <v>1700 - TBN</v>
      </c>
      <c r="AC135" s="2" t="s">
        <v>145</v>
      </c>
      <c r="AD135" s="11" t="str">
        <f>IF($I135&lt;&gt;"",VLOOKUP($AC135,GEADRESSEERDE!$A$2:$E$4,2,),"")</f>
        <v>LUITHAGEN HAVEN 2 D</v>
      </c>
      <c r="AE135" s="11">
        <f>IF($I135&lt;&gt;"",VLOOKUP($AC135,GEADRESSEERDE!$A$2:$E$4,3,),"")</f>
        <v>2030</v>
      </c>
      <c r="AF135" s="11" t="str">
        <f>IF($I135&lt;&gt;"",VLOOKUP($AC135,GEADRESSEERDE!$A$2:$E$4,4,),"")</f>
        <v>ANTWERPEN</v>
      </c>
      <c r="AG135" s="11" t="str">
        <f>IF($I135&lt;&gt;"",VLOOKUP($AC135,GEADRESSEERDE!$A$2:$E$4,5,),"")</f>
        <v>BE</v>
      </c>
      <c r="AH135" s="11" t="str">
        <f>IF(I135&lt;&gt;"",VLOOKUP(AP135,KvB!$A$2:$B$3,2,FALSE),"")</f>
        <v>BE101000</v>
      </c>
      <c r="AI135" s="11" t="s">
        <v>55</v>
      </c>
      <c r="AJ135" s="11"/>
      <c r="AK135" s="11"/>
      <c r="AL135" s="11"/>
      <c r="AM135" s="11"/>
      <c r="AN135" s="11"/>
      <c r="AO135" s="11"/>
      <c r="AP135" s="2" t="s">
        <v>70</v>
      </c>
      <c r="AQ135" s="11" t="str">
        <f>IF(I135&lt;&gt;"",DATA!D134,"")</f>
        <v>3925908000</v>
      </c>
    </row>
    <row r="136" spans="1:43" ht="15.75" x14ac:dyDescent="0.25">
      <c r="A136" s="11" t="s">
        <v>57</v>
      </c>
      <c r="B136" s="11" t="s">
        <v>56</v>
      </c>
      <c r="C136" s="22">
        <f t="shared" si="14"/>
        <v>25001620</v>
      </c>
      <c r="D136" s="11" t="str">
        <f t="shared" si="11"/>
        <v>SKIIFM_AT</v>
      </c>
      <c r="E136" s="11" t="str">
        <f>IF(I136&lt;&gt;"",VLOOKUP(F136,OPDRACHTGEVER!$A$2:$B$4,2,FALSE),"")</f>
        <v>SKIIFM_AT</v>
      </c>
      <c r="F136" s="11" t="s">
        <v>58</v>
      </c>
      <c r="I136" s="11" t="str">
        <f>IF(DATA!B135&lt;&gt;"",DATA!B135,"")</f>
        <v>MSMU8704276</v>
      </c>
      <c r="J136" s="12">
        <v>0</v>
      </c>
      <c r="K136" s="11" t="s">
        <v>53</v>
      </c>
      <c r="L136" s="11" t="str">
        <f t="shared" si="12"/>
        <v>392690</v>
      </c>
      <c r="M136" s="11" t="str">
        <f>IF(I136&lt;&gt;"",DATA!E135,"")</f>
        <v>IVY FENCE</v>
      </c>
      <c r="N136" s="12">
        <v>0</v>
      </c>
      <c r="O136" s="11">
        <f>IF(I136&lt;&gt;"",DATA!C135,"")</f>
        <v>1.4</v>
      </c>
      <c r="P136" s="2">
        <v>294094</v>
      </c>
      <c r="Q136" s="2" t="s">
        <v>1304</v>
      </c>
      <c r="R136" s="2" t="s">
        <v>1307</v>
      </c>
      <c r="S136" s="2">
        <v>342</v>
      </c>
      <c r="T136" s="2">
        <v>1</v>
      </c>
      <c r="U136" s="2" t="s">
        <v>141</v>
      </c>
      <c r="Y136" s="2">
        <v>1700</v>
      </c>
      <c r="Z136" s="11" t="s">
        <v>54</v>
      </c>
      <c r="AA136" s="11" t="str">
        <f t="shared" si="13"/>
        <v>1700 - TBN</v>
      </c>
      <c r="AC136" s="2" t="s">
        <v>145</v>
      </c>
      <c r="AD136" s="11" t="str">
        <f>IF($I136&lt;&gt;"",VLOOKUP($AC136,GEADRESSEERDE!$A$2:$E$4,2,),"")</f>
        <v>LUITHAGEN HAVEN 2 D</v>
      </c>
      <c r="AE136" s="11">
        <f>IF($I136&lt;&gt;"",VLOOKUP($AC136,GEADRESSEERDE!$A$2:$E$4,3,),"")</f>
        <v>2030</v>
      </c>
      <c r="AF136" s="11" t="str">
        <f>IF($I136&lt;&gt;"",VLOOKUP($AC136,GEADRESSEERDE!$A$2:$E$4,4,),"")</f>
        <v>ANTWERPEN</v>
      </c>
      <c r="AG136" s="11" t="str">
        <f>IF($I136&lt;&gt;"",VLOOKUP($AC136,GEADRESSEERDE!$A$2:$E$4,5,),"")</f>
        <v>BE</v>
      </c>
      <c r="AH136" s="11" t="str">
        <f>IF(I136&lt;&gt;"",VLOOKUP(AP136,KvB!$A$2:$B$3,2,FALSE),"")</f>
        <v>BE101000</v>
      </c>
      <c r="AI136" s="11" t="s">
        <v>55</v>
      </c>
      <c r="AJ136" s="11"/>
      <c r="AK136" s="11"/>
      <c r="AL136" s="11"/>
      <c r="AM136" s="11"/>
      <c r="AN136" s="11"/>
      <c r="AO136" s="11"/>
      <c r="AP136" s="2" t="s">
        <v>70</v>
      </c>
      <c r="AQ136" s="11" t="str">
        <f>IF(I136&lt;&gt;"",DATA!D135,"")</f>
        <v>3926909790</v>
      </c>
    </row>
    <row r="137" spans="1:43" ht="15.75" x14ac:dyDescent="0.25">
      <c r="A137" s="11" t="s">
        <v>57</v>
      </c>
      <c r="B137" s="11" t="s">
        <v>56</v>
      </c>
      <c r="C137" s="22">
        <f t="shared" si="14"/>
        <v>25001620</v>
      </c>
      <c r="D137" s="11" t="str">
        <f t="shared" si="11"/>
        <v>SKIIFM_AT</v>
      </c>
      <c r="E137" s="11" t="str">
        <f>IF(I137&lt;&gt;"",VLOOKUP(F137,OPDRACHTGEVER!$A$2:$B$4,2,FALSE),"")</f>
        <v>SKIIFM_AT</v>
      </c>
      <c r="F137" s="11" t="s">
        <v>58</v>
      </c>
      <c r="I137" s="11" t="str">
        <f>IF(DATA!B136&lt;&gt;"",DATA!B136,"")</f>
        <v>MSMU8704276</v>
      </c>
      <c r="J137" s="12">
        <v>0</v>
      </c>
      <c r="K137" s="11" t="s">
        <v>53</v>
      </c>
      <c r="L137" s="11" t="str">
        <f t="shared" si="12"/>
        <v>850131</v>
      </c>
      <c r="M137" s="11" t="str">
        <f>IF(I137&lt;&gt;"",DATA!E136,"")</f>
        <v>LINEAR ACTUATOR</v>
      </c>
      <c r="N137" s="12">
        <v>0</v>
      </c>
      <c r="O137" s="11">
        <f>IF(I137&lt;&gt;"",DATA!C136,"")</f>
        <v>6.8</v>
      </c>
      <c r="P137" s="2">
        <v>294094</v>
      </c>
      <c r="Q137" s="2" t="s">
        <v>1304</v>
      </c>
      <c r="R137" s="2" t="s">
        <v>1307</v>
      </c>
      <c r="S137" s="2">
        <v>342</v>
      </c>
      <c r="T137" s="2">
        <v>1</v>
      </c>
      <c r="U137" s="2" t="s">
        <v>141</v>
      </c>
      <c r="Y137" s="2">
        <v>1700</v>
      </c>
      <c r="Z137" s="11" t="s">
        <v>54</v>
      </c>
      <c r="AA137" s="11" t="str">
        <f t="shared" si="13"/>
        <v>1700 - TBN</v>
      </c>
      <c r="AC137" s="2" t="s">
        <v>145</v>
      </c>
      <c r="AD137" s="11" t="str">
        <f>IF($I137&lt;&gt;"",VLOOKUP($AC137,GEADRESSEERDE!$A$2:$E$4,2,),"")</f>
        <v>LUITHAGEN HAVEN 2 D</v>
      </c>
      <c r="AE137" s="11">
        <f>IF($I137&lt;&gt;"",VLOOKUP($AC137,GEADRESSEERDE!$A$2:$E$4,3,),"")</f>
        <v>2030</v>
      </c>
      <c r="AF137" s="11" t="str">
        <f>IF($I137&lt;&gt;"",VLOOKUP($AC137,GEADRESSEERDE!$A$2:$E$4,4,),"")</f>
        <v>ANTWERPEN</v>
      </c>
      <c r="AG137" s="11" t="str">
        <f>IF($I137&lt;&gt;"",VLOOKUP($AC137,GEADRESSEERDE!$A$2:$E$4,5,),"")</f>
        <v>BE</v>
      </c>
      <c r="AH137" s="11" t="str">
        <f>IF(I137&lt;&gt;"",VLOOKUP(AP137,KvB!$A$2:$B$3,2,FALSE),"")</f>
        <v>BE101000</v>
      </c>
      <c r="AI137" s="11" t="s">
        <v>55</v>
      </c>
      <c r="AJ137" s="11"/>
      <c r="AK137" s="11"/>
      <c r="AL137" s="11"/>
      <c r="AM137" s="11"/>
      <c r="AN137" s="11"/>
      <c r="AO137" s="11"/>
      <c r="AP137" s="2" t="s">
        <v>70</v>
      </c>
      <c r="AQ137" s="11" t="str">
        <f>IF(I137&lt;&gt;"",DATA!D136,"")</f>
        <v>8501310099</v>
      </c>
    </row>
    <row r="138" spans="1:43" ht="15.75" x14ac:dyDescent="0.25">
      <c r="A138" s="11" t="s">
        <v>57</v>
      </c>
      <c r="B138" s="11" t="s">
        <v>56</v>
      </c>
      <c r="C138" s="22">
        <f t="shared" si="14"/>
        <v>25001620</v>
      </c>
      <c r="D138" s="11" t="str">
        <f t="shared" si="11"/>
        <v>SKIIFM_AT</v>
      </c>
      <c r="E138" s="11" t="str">
        <f>IF(I138&lt;&gt;"",VLOOKUP(F138,OPDRACHTGEVER!$A$2:$B$4,2,FALSE),"")</f>
        <v>SKIIFM_AT</v>
      </c>
      <c r="F138" s="11" t="s">
        <v>58</v>
      </c>
      <c r="I138" s="11" t="str">
        <f>IF(DATA!B137&lt;&gt;"",DATA!B137,"")</f>
        <v>MSMU8704276</v>
      </c>
      <c r="J138" s="12">
        <v>0</v>
      </c>
      <c r="K138" s="11" t="s">
        <v>53</v>
      </c>
      <c r="L138" s="11" t="str">
        <f t="shared" si="12"/>
        <v>850980</v>
      </c>
      <c r="M138" s="11" t="str">
        <f>IF(I138&lt;&gt;"",DATA!E137,"")</f>
        <v>MAGNETIC CLEANER</v>
      </c>
      <c r="N138" s="12">
        <v>0</v>
      </c>
      <c r="O138" s="11">
        <f>IF(I138&lt;&gt;"",DATA!C137,"")</f>
        <v>7.2</v>
      </c>
      <c r="P138" s="2">
        <v>294094</v>
      </c>
      <c r="Q138" s="2" t="s">
        <v>1304</v>
      </c>
      <c r="R138" s="2" t="s">
        <v>1307</v>
      </c>
      <c r="S138" s="2">
        <v>342</v>
      </c>
      <c r="T138" s="2">
        <v>1</v>
      </c>
      <c r="U138" s="2" t="s">
        <v>141</v>
      </c>
      <c r="Y138" s="2">
        <v>1700</v>
      </c>
      <c r="Z138" s="11" t="s">
        <v>54</v>
      </c>
      <c r="AA138" s="11" t="str">
        <f t="shared" si="13"/>
        <v>1700 - TBN</v>
      </c>
      <c r="AC138" s="2" t="s">
        <v>145</v>
      </c>
      <c r="AD138" s="11" t="str">
        <f>IF($I138&lt;&gt;"",VLOOKUP($AC138,GEADRESSEERDE!$A$2:$E$4,2,),"")</f>
        <v>LUITHAGEN HAVEN 2 D</v>
      </c>
      <c r="AE138" s="11">
        <f>IF($I138&lt;&gt;"",VLOOKUP($AC138,GEADRESSEERDE!$A$2:$E$4,3,),"")</f>
        <v>2030</v>
      </c>
      <c r="AF138" s="11" t="str">
        <f>IF($I138&lt;&gt;"",VLOOKUP($AC138,GEADRESSEERDE!$A$2:$E$4,4,),"")</f>
        <v>ANTWERPEN</v>
      </c>
      <c r="AG138" s="11" t="str">
        <f>IF($I138&lt;&gt;"",VLOOKUP($AC138,GEADRESSEERDE!$A$2:$E$4,5,),"")</f>
        <v>BE</v>
      </c>
      <c r="AH138" s="11" t="str">
        <f>IF(I138&lt;&gt;"",VLOOKUP(AP138,KvB!$A$2:$B$3,2,FALSE),"")</f>
        <v>BE101000</v>
      </c>
      <c r="AI138" s="11" t="s">
        <v>55</v>
      </c>
      <c r="AJ138" s="11"/>
      <c r="AK138" s="11"/>
      <c r="AL138" s="11"/>
      <c r="AM138" s="11"/>
      <c r="AN138" s="11"/>
      <c r="AO138" s="11"/>
      <c r="AP138" s="2" t="s">
        <v>70</v>
      </c>
      <c r="AQ138" s="11" t="str">
        <f>IF(I138&lt;&gt;"",DATA!D137,"")</f>
        <v>8509800000</v>
      </c>
    </row>
    <row r="139" spans="1:43" ht="15.75" x14ac:dyDescent="0.25">
      <c r="A139" s="11" t="s">
        <v>57</v>
      </c>
      <c r="B139" s="11" t="s">
        <v>56</v>
      </c>
      <c r="C139" s="22">
        <f t="shared" si="14"/>
        <v>25001620</v>
      </c>
      <c r="D139" s="11" t="str">
        <f t="shared" si="11"/>
        <v>SKIIFM_AT</v>
      </c>
      <c r="E139" s="11" t="str">
        <f>IF(I139&lt;&gt;"",VLOOKUP(F139,OPDRACHTGEVER!$A$2:$B$4,2,FALSE),"")</f>
        <v>SKIIFM_AT</v>
      </c>
      <c r="F139" s="11" t="s">
        <v>58</v>
      </c>
      <c r="I139" s="11" t="str">
        <f>IF(DATA!B138&lt;&gt;"",DATA!B138,"")</f>
        <v>MSMU8704276</v>
      </c>
      <c r="J139" s="12">
        <v>0</v>
      </c>
      <c r="K139" s="11" t="s">
        <v>53</v>
      </c>
      <c r="L139" s="11" t="str">
        <f t="shared" si="12"/>
        <v>844319</v>
      </c>
      <c r="M139" s="11" t="str">
        <f>IF(I139&lt;&gt;"",DATA!E138,"")</f>
        <v>MANUAL ETCHER</v>
      </c>
      <c r="N139" s="12">
        <v>0</v>
      </c>
      <c r="O139" s="11">
        <f>IF(I139&lt;&gt;"",DATA!C138,"")</f>
        <v>41.6</v>
      </c>
      <c r="P139" s="2">
        <v>294094</v>
      </c>
      <c r="Q139" s="2" t="s">
        <v>1304</v>
      </c>
      <c r="R139" s="2" t="s">
        <v>1307</v>
      </c>
      <c r="S139" s="2">
        <v>342</v>
      </c>
      <c r="T139" s="2">
        <v>1</v>
      </c>
      <c r="U139" s="2" t="s">
        <v>141</v>
      </c>
      <c r="Y139" s="2">
        <v>1700</v>
      </c>
      <c r="Z139" s="11" t="s">
        <v>54</v>
      </c>
      <c r="AA139" s="11" t="str">
        <f t="shared" si="13"/>
        <v>1700 - TBN</v>
      </c>
      <c r="AC139" s="2" t="s">
        <v>145</v>
      </c>
      <c r="AD139" s="11" t="str">
        <f>IF($I139&lt;&gt;"",VLOOKUP($AC139,GEADRESSEERDE!$A$2:$E$4,2,),"")</f>
        <v>LUITHAGEN HAVEN 2 D</v>
      </c>
      <c r="AE139" s="11">
        <f>IF($I139&lt;&gt;"",VLOOKUP($AC139,GEADRESSEERDE!$A$2:$E$4,3,),"")</f>
        <v>2030</v>
      </c>
      <c r="AF139" s="11" t="str">
        <f>IF($I139&lt;&gt;"",VLOOKUP($AC139,GEADRESSEERDE!$A$2:$E$4,4,),"")</f>
        <v>ANTWERPEN</v>
      </c>
      <c r="AG139" s="11" t="str">
        <f>IF($I139&lt;&gt;"",VLOOKUP($AC139,GEADRESSEERDE!$A$2:$E$4,5,),"")</f>
        <v>BE</v>
      </c>
      <c r="AH139" s="11" t="str">
        <f>IF(I139&lt;&gt;"",VLOOKUP(AP139,KvB!$A$2:$B$3,2,FALSE),"")</f>
        <v>BE101000</v>
      </c>
      <c r="AI139" s="11" t="s">
        <v>55</v>
      </c>
      <c r="AJ139" s="11"/>
      <c r="AK139" s="11"/>
      <c r="AL139" s="11"/>
      <c r="AM139" s="11"/>
      <c r="AN139" s="11"/>
      <c r="AO139" s="11"/>
      <c r="AP139" s="2" t="s">
        <v>70</v>
      </c>
      <c r="AQ139" s="11" t="str">
        <f>IF(I139&lt;&gt;"",DATA!D138,"")</f>
        <v>8443197000</v>
      </c>
    </row>
    <row r="140" spans="1:43" ht="15.75" x14ac:dyDescent="0.25">
      <c r="A140" s="11" t="s">
        <v>57</v>
      </c>
      <c r="B140" s="11" t="s">
        <v>56</v>
      </c>
      <c r="C140" s="22">
        <f t="shared" si="14"/>
        <v>25001620</v>
      </c>
      <c r="D140" s="11" t="str">
        <f t="shared" si="11"/>
        <v>SKIIFM_AT</v>
      </c>
      <c r="E140" s="11" t="str">
        <f>IF(I140&lt;&gt;"",VLOOKUP(F140,OPDRACHTGEVER!$A$2:$B$4,2,FALSE),"")</f>
        <v>SKIIFM_AT</v>
      </c>
      <c r="F140" s="11" t="s">
        <v>58</v>
      </c>
      <c r="I140" s="11" t="str">
        <f>IF(DATA!B139&lt;&gt;"",DATA!B139,"")</f>
        <v>MSMU8704276</v>
      </c>
      <c r="J140" s="12">
        <v>0</v>
      </c>
      <c r="K140" s="11" t="s">
        <v>53</v>
      </c>
      <c r="L140" s="11" t="str">
        <f t="shared" si="12"/>
        <v>841319</v>
      </c>
      <c r="M140" s="11" t="str">
        <f>IF(I140&lt;&gt;"",DATA!E139,"")</f>
        <v>MANUAL PRESSURE TEST PUMP</v>
      </c>
      <c r="N140" s="12">
        <v>0</v>
      </c>
      <c r="O140" s="11">
        <f>IF(I140&lt;&gt;"",DATA!C139,"")</f>
        <v>284.39999999999998</v>
      </c>
      <c r="P140" s="2">
        <v>294094</v>
      </c>
      <c r="Q140" s="2" t="s">
        <v>1304</v>
      </c>
      <c r="R140" s="2" t="s">
        <v>1307</v>
      </c>
      <c r="S140" s="2">
        <v>342</v>
      </c>
      <c r="T140" s="2">
        <v>1</v>
      </c>
      <c r="U140" s="2" t="s">
        <v>141</v>
      </c>
      <c r="Y140" s="2">
        <v>1700</v>
      </c>
      <c r="Z140" s="11" t="s">
        <v>54</v>
      </c>
      <c r="AA140" s="11" t="str">
        <f t="shared" si="13"/>
        <v>1700 - TBN</v>
      </c>
      <c r="AC140" s="2" t="s">
        <v>145</v>
      </c>
      <c r="AD140" s="11" t="str">
        <f>IF($I140&lt;&gt;"",VLOOKUP($AC140,GEADRESSEERDE!$A$2:$E$4,2,),"")</f>
        <v>LUITHAGEN HAVEN 2 D</v>
      </c>
      <c r="AE140" s="11">
        <f>IF($I140&lt;&gt;"",VLOOKUP($AC140,GEADRESSEERDE!$A$2:$E$4,3,),"")</f>
        <v>2030</v>
      </c>
      <c r="AF140" s="11" t="str">
        <f>IF($I140&lt;&gt;"",VLOOKUP($AC140,GEADRESSEERDE!$A$2:$E$4,4,),"")</f>
        <v>ANTWERPEN</v>
      </c>
      <c r="AG140" s="11" t="str">
        <f>IF($I140&lt;&gt;"",VLOOKUP($AC140,GEADRESSEERDE!$A$2:$E$4,5,),"")</f>
        <v>BE</v>
      </c>
      <c r="AH140" s="11" t="str">
        <f>IF(I140&lt;&gt;"",VLOOKUP(AP140,KvB!$A$2:$B$3,2,FALSE),"")</f>
        <v>BE101000</v>
      </c>
      <c r="AI140" s="11" t="s">
        <v>55</v>
      </c>
      <c r="AJ140" s="11"/>
      <c r="AK140" s="11"/>
      <c r="AL140" s="11"/>
      <c r="AM140" s="11"/>
      <c r="AN140" s="11"/>
      <c r="AO140" s="11"/>
      <c r="AP140" s="2" t="s">
        <v>70</v>
      </c>
      <c r="AQ140" s="11" t="str">
        <f>IF(I140&lt;&gt;"",DATA!D139,"")</f>
        <v>8413190090</v>
      </c>
    </row>
    <row r="141" spans="1:43" ht="15.75" x14ac:dyDescent="0.25">
      <c r="A141" s="11" t="s">
        <v>57</v>
      </c>
      <c r="B141" s="11" t="s">
        <v>56</v>
      </c>
      <c r="C141" s="22">
        <f t="shared" si="14"/>
        <v>25001620</v>
      </c>
      <c r="D141" s="11" t="str">
        <f t="shared" si="11"/>
        <v>SKIIFM_AT</v>
      </c>
      <c r="E141" s="11" t="str">
        <f>IF(I141&lt;&gt;"",VLOOKUP(F141,OPDRACHTGEVER!$A$2:$B$4,2,FALSE),"")</f>
        <v>SKIIFM_AT</v>
      </c>
      <c r="F141" s="11" t="s">
        <v>58</v>
      </c>
      <c r="I141" s="11" t="str">
        <f>IF(DATA!B140&lt;&gt;"",DATA!B140,"")</f>
        <v>MSMU8704276</v>
      </c>
      <c r="J141" s="12">
        <v>0</v>
      </c>
      <c r="K141" s="11" t="s">
        <v>53</v>
      </c>
      <c r="L141" s="11" t="str">
        <f t="shared" si="12"/>
        <v>850132</v>
      </c>
      <c r="M141" s="11" t="str">
        <f>IF(I141&lt;&gt;"",DATA!E140,"")</f>
        <v>MOTOR</v>
      </c>
      <c r="N141" s="12">
        <v>0</v>
      </c>
      <c r="O141" s="11">
        <f>IF(I141&lt;&gt;"",DATA!C140,"")</f>
        <v>20.6</v>
      </c>
      <c r="P141" s="2">
        <v>294094</v>
      </c>
      <c r="Q141" s="2" t="s">
        <v>1304</v>
      </c>
      <c r="R141" s="2" t="s">
        <v>1307</v>
      </c>
      <c r="S141" s="2">
        <v>342</v>
      </c>
      <c r="T141" s="2">
        <v>1</v>
      </c>
      <c r="U141" s="2" t="s">
        <v>141</v>
      </c>
      <c r="Y141" s="2">
        <v>1700</v>
      </c>
      <c r="Z141" s="11" t="s">
        <v>54</v>
      </c>
      <c r="AA141" s="11" t="str">
        <f t="shared" si="13"/>
        <v>1700 - TBN</v>
      </c>
      <c r="AC141" s="2" t="s">
        <v>145</v>
      </c>
      <c r="AD141" s="11" t="str">
        <f>IF($I141&lt;&gt;"",VLOOKUP($AC141,GEADRESSEERDE!$A$2:$E$4,2,),"")</f>
        <v>LUITHAGEN HAVEN 2 D</v>
      </c>
      <c r="AE141" s="11">
        <f>IF($I141&lt;&gt;"",VLOOKUP($AC141,GEADRESSEERDE!$A$2:$E$4,3,),"")</f>
        <v>2030</v>
      </c>
      <c r="AF141" s="11" t="str">
        <f>IF($I141&lt;&gt;"",VLOOKUP($AC141,GEADRESSEERDE!$A$2:$E$4,4,),"")</f>
        <v>ANTWERPEN</v>
      </c>
      <c r="AG141" s="11" t="str">
        <f>IF($I141&lt;&gt;"",VLOOKUP($AC141,GEADRESSEERDE!$A$2:$E$4,5,),"")</f>
        <v>BE</v>
      </c>
      <c r="AH141" s="11" t="str">
        <f>IF(I141&lt;&gt;"",VLOOKUP(AP141,KvB!$A$2:$B$3,2,FALSE),"")</f>
        <v>BE101000</v>
      </c>
      <c r="AI141" s="11" t="s">
        <v>55</v>
      </c>
      <c r="AJ141" s="11"/>
      <c r="AK141" s="11"/>
      <c r="AL141" s="11"/>
      <c r="AM141" s="11"/>
      <c r="AN141" s="11"/>
      <c r="AO141" s="11"/>
      <c r="AP141" s="2" t="s">
        <v>70</v>
      </c>
      <c r="AQ141" s="11" t="str">
        <f>IF(I141&lt;&gt;"",DATA!D140,"")</f>
        <v>8501320099</v>
      </c>
    </row>
    <row r="142" spans="1:43" ht="15.75" x14ac:dyDescent="0.25">
      <c r="A142" s="11" t="s">
        <v>57</v>
      </c>
      <c r="B142" s="11" t="s">
        <v>56</v>
      </c>
      <c r="C142" s="22">
        <f t="shared" si="14"/>
        <v>25001620</v>
      </c>
      <c r="D142" s="11" t="str">
        <f t="shared" si="11"/>
        <v>SKIIFM_AT</v>
      </c>
      <c r="E142" s="11" t="str">
        <f>IF(I142&lt;&gt;"",VLOOKUP(F142,OPDRACHTGEVER!$A$2:$B$4,2,FALSE),"")</f>
        <v>SKIIFM_AT</v>
      </c>
      <c r="F142" s="11" t="s">
        <v>58</v>
      </c>
      <c r="I142" s="11" t="str">
        <f>IF(DATA!B141&lt;&gt;"",DATA!B141,"")</f>
        <v>MSMU8704276</v>
      </c>
      <c r="J142" s="12">
        <v>0</v>
      </c>
      <c r="K142" s="11" t="s">
        <v>53</v>
      </c>
      <c r="L142" s="11" t="str">
        <f t="shared" si="12"/>
        <v>842820</v>
      </c>
      <c r="M142" s="11" t="str">
        <f>IF(I142&lt;&gt;"",DATA!E141,"")</f>
        <v>MOTORCYCLE LIFT STAND</v>
      </c>
      <c r="N142" s="12">
        <v>0</v>
      </c>
      <c r="O142" s="11">
        <f>IF(I142&lt;&gt;"",DATA!C141,"")</f>
        <v>8329.35</v>
      </c>
      <c r="P142" s="2">
        <v>294094</v>
      </c>
      <c r="Q142" s="2" t="s">
        <v>1304</v>
      </c>
      <c r="R142" s="2" t="s">
        <v>1307</v>
      </c>
      <c r="S142" s="2">
        <v>342</v>
      </c>
      <c r="T142" s="2">
        <v>1</v>
      </c>
      <c r="U142" s="2" t="s">
        <v>141</v>
      </c>
      <c r="Y142" s="2">
        <v>1700</v>
      </c>
      <c r="Z142" s="11" t="s">
        <v>54</v>
      </c>
      <c r="AA142" s="11" t="str">
        <f t="shared" si="13"/>
        <v>1700 - TBN</v>
      </c>
      <c r="AC142" s="2" t="s">
        <v>145</v>
      </c>
      <c r="AD142" s="11" t="str">
        <f>IF($I142&lt;&gt;"",VLOOKUP($AC142,GEADRESSEERDE!$A$2:$E$4,2,),"")</f>
        <v>LUITHAGEN HAVEN 2 D</v>
      </c>
      <c r="AE142" s="11">
        <f>IF($I142&lt;&gt;"",VLOOKUP($AC142,GEADRESSEERDE!$A$2:$E$4,3,),"")</f>
        <v>2030</v>
      </c>
      <c r="AF142" s="11" t="str">
        <f>IF($I142&lt;&gt;"",VLOOKUP($AC142,GEADRESSEERDE!$A$2:$E$4,4,),"")</f>
        <v>ANTWERPEN</v>
      </c>
      <c r="AG142" s="11" t="str">
        <f>IF($I142&lt;&gt;"",VLOOKUP($AC142,GEADRESSEERDE!$A$2:$E$4,5,),"")</f>
        <v>BE</v>
      </c>
      <c r="AH142" s="11" t="str">
        <f>IF(I142&lt;&gt;"",VLOOKUP(AP142,KvB!$A$2:$B$3,2,FALSE),"")</f>
        <v>BE101000</v>
      </c>
      <c r="AI142" s="11" t="s">
        <v>55</v>
      </c>
      <c r="AJ142" s="11"/>
      <c r="AK142" s="11"/>
      <c r="AL142" s="11"/>
      <c r="AM142" s="11"/>
      <c r="AN142" s="11"/>
      <c r="AO142" s="11"/>
      <c r="AP142" s="2" t="s">
        <v>70</v>
      </c>
      <c r="AQ142" s="11" t="str">
        <f>IF(I142&lt;&gt;"",DATA!D141,"")</f>
        <v>8428208000</v>
      </c>
    </row>
    <row r="143" spans="1:43" ht="15.75" x14ac:dyDescent="0.25">
      <c r="A143" s="11" t="s">
        <v>57</v>
      </c>
      <c r="B143" s="11" t="s">
        <v>56</v>
      </c>
      <c r="C143" s="22">
        <f t="shared" si="14"/>
        <v>25001620</v>
      </c>
      <c r="D143" s="11" t="str">
        <f t="shared" si="11"/>
        <v>SKIIFM_AT</v>
      </c>
      <c r="E143" s="11" t="str">
        <f>IF(I143&lt;&gt;"",VLOOKUP(F143,OPDRACHTGEVER!$A$2:$B$4,2,FALSE),"")</f>
        <v>SKIIFM_AT</v>
      </c>
      <c r="F143" s="11" t="s">
        <v>58</v>
      </c>
      <c r="I143" s="11" t="str">
        <f>IF(DATA!B142&lt;&gt;"",DATA!B142,"")</f>
        <v>MSMU8704276</v>
      </c>
      <c r="J143" s="12">
        <v>0</v>
      </c>
      <c r="K143" s="11" t="s">
        <v>53</v>
      </c>
      <c r="L143" s="11" t="str">
        <f t="shared" si="12"/>
        <v>940179</v>
      </c>
      <c r="M143" s="11" t="str">
        <f>IF(I143&lt;&gt;"",DATA!E142,"")</f>
        <v>OUTDOOR FOLDING CHAIR</v>
      </c>
      <c r="N143" s="12">
        <v>0</v>
      </c>
      <c r="O143" s="11">
        <f>IF(I143&lt;&gt;"",DATA!C142,"")</f>
        <v>561.6</v>
      </c>
      <c r="P143" s="2">
        <v>294094</v>
      </c>
      <c r="Q143" s="2" t="s">
        <v>1304</v>
      </c>
      <c r="R143" s="2" t="s">
        <v>1307</v>
      </c>
      <c r="S143" s="2">
        <v>342</v>
      </c>
      <c r="T143" s="2">
        <v>1</v>
      </c>
      <c r="U143" s="2" t="s">
        <v>141</v>
      </c>
      <c r="Y143" s="2">
        <v>1700</v>
      </c>
      <c r="Z143" s="11" t="s">
        <v>54</v>
      </c>
      <c r="AA143" s="11" t="str">
        <f t="shared" si="13"/>
        <v>1700 - TBN</v>
      </c>
      <c r="AC143" s="2" t="s">
        <v>145</v>
      </c>
      <c r="AD143" s="11" t="str">
        <f>IF($I143&lt;&gt;"",VLOOKUP($AC143,GEADRESSEERDE!$A$2:$E$4,2,),"")</f>
        <v>LUITHAGEN HAVEN 2 D</v>
      </c>
      <c r="AE143" s="11">
        <f>IF($I143&lt;&gt;"",VLOOKUP($AC143,GEADRESSEERDE!$A$2:$E$4,3,),"")</f>
        <v>2030</v>
      </c>
      <c r="AF143" s="11" t="str">
        <f>IF($I143&lt;&gt;"",VLOOKUP($AC143,GEADRESSEERDE!$A$2:$E$4,4,),"")</f>
        <v>ANTWERPEN</v>
      </c>
      <c r="AG143" s="11" t="str">
        <f>IF($I143&lt;&gt;"",VLOOKUP($AC143,GEADRESSEERDE!$A$2:$E$4,5,),"")</f>
        <v>BE</v>
      </c>
      <c r="AH143" s="11" t="str">
        <f>IF(I143&lt;&gt;"",VLOOKUP(AP143,KvB!$A$2:$B$3,2,FALSE),"")</f>
        <v>BE101000</v>
      </c>
      <c r="AI143" s="11" t="s">
        <v>55</v>
      </c>
      <c r="AJ143" s="11"/>
      <c r="AK143" s="11"/>
      <c r="AL143" s="11"/>
      <c r="AM143" s="11"/>
      <c r="AN143" s="11"/>
      <c r="AO143" s="11"/>
      <c r="AP143" s="2" t="s">
        <v>70</v>
      </c>
      <c r="AQ143" s="11" t="str">
        <f>IF(I143&lt;&gt;"",DATA!D142,"")</f>
        <v>9401790000</v>
      </c>
    </row>
    <row r="144" spans="1:43" ht="15.75" x14ac:dyDescent="0.25">
      <c r="A144" s="11" t="s">
        <v>57</v>
      </c>
      <c r="B144" s="11" t="s">
        <v>56</v>
      </c>
      <c r="C144" s="22">
        <f t="shared" si="14"/>
        <v>25001620</v>
      </c>
      <c r="D144" s="11" t="str">
        <f t="shared" si="11"/>
        <v>SKIIFM_AT</v>
      </c>
      <c r="E144" s="11" t="str">
        <f>IF(I144&lt;&gt;"",VLOOKUP(F144,OPDRACHTGEVER!$A$2:$B$4,2,FALSE),"")</f>
        <v>SKIIFM_AT</v>
      </c>
      <c r="F144" s="11" t="s">
        <v>58</v>
      </c>
      <c r="I144" s="11" t="str">
        <f>IF(DATA!B143&lt;&gt;"",DATA!B143,"")</f>
        <v>MSMU8704276</v>
      </c>
      <c r="J144" s="12">
        <v>0</v>
      </c>
      <c r="K144" s="11" t="s">
        <v>53</v>
      </c>
      <c r="L144" s="11" t="str">
        <f t="shared" si="12"/>
        <v>950691</v>
      </c>
      <c r="M144" s="11" t="str">
        <f>IF(I144&lt;&gt;"",DATA!E143,"")</f>
        <v>PARALLEL BARS</v>
      </c>
      <c r="N144" s="12">
        <v>0</v>
      </c>
      <c r="O144" s="11">
        <f>IF(I144&lt;&gt;"",DATA!C143,"")</f>
        <v>4.8499999999999996</v>
      </c>
      <c r="P144" s="2">
        <v>294094</v>
      </c>
      <c r="Q144" s="2" t="s">
        <v>1304</v>
      </c>
      <c r="R144" s="2" t="s">
        <v>1307</v>
      </c>
      <c r="S144" s="2">
        <v>342</v>
      </c>
      <c r="T144" s="2">
        <v>1</v>
      </c>
      <c r="U144" s="2" t="s">
        <v>141</v>
      </c>
      <c r="Y144" s="2">
        <v>1700</v>
      </c>
      <c r="Z144" s="11" t="s">
        <v>54</v>
      </c>
      <c r="AA144" s="11" t="str">
        <f t="shared" si="13"/>
        <v>1700 - TBN</v>
      </c>
      <c r="AC144" s="2" t="s">
        <v>145</v>
      </c>
      <c r="AD144" s="11" t="str">
        <f>IF($I144&lt;&gt;"",VLOOKUP($AC144,GEADRESSEERDE!$A$2:$E$4,2,),"")</f>
        <v>LUITHAGEN HAVEN 2 D</v>
      </c>
      <c r="AE144" s="11">
        <f>IF($I144&lt;&gt;"",VLOOKUP($AC144,GEADRESSEERDE!$A$2:$E$4,3,),"")</f>
        <v>2030</v>
      </c>
      <c r="AF144" s="11" t="str">
        <f>IF($I144&lt;&gt;"",VLOOKUP($AC144,GEADRESSEERDE!$A$2:$E$4,4,),"")</f>
        <v>ANTWERPEN</v>
      </c>
      <c r="AG144" s="11" t="str">
        <f>IF($I144&lt;&gt;"",VLOOKUP($AC144,GEADRESSEERDE!$A$2:$E$4,5,),"")</f>
        <v>BE</v>
      </c>
      <c r="AH144" s="11" t="str">
        <f>IF(I144&lt;&gt;"",VLOOKUP(AP144,KvB!$A$2:$B$3,2,FALSE),"")</f>
        <v>BE101000</v>
      </c>
      <c r="AI144" s="11" t="s">
        <v>55</v>
      </c>
      <c r="AJ144" s="11"/>
      <c r="AK144" s="11"/>
      <c r="AL144" s="11"/>
      <c r="AM144" s="11"/>
      <c r="AN144" s="11"/>
      <c r="AO144" s="11"/>
      <c r="AP144" s="2" t="s">
        <v>70</v>
      </c>
      <c r="AQ144" s="11" t="str">
        <f>IF(I144&lt;&gt;"",DATA!D143,"")</f>
        <v>9506919000</v>
      </c>
    </row>
    <row r="145" spans="1:43" ht="15.75" x14ac:dyDescent="0.25">
      <c r="A145" s="11" t="s">
        <v>57</v>
      </c>
      <c r="B145" s="11" t="s">
        <v>56</v>
      </c>
      <c r="C145" s="22">
        <f t="shared" si="14"/>
        <v>25001620</v>
      </c>
      <c r="D145" s="11" t="str">
        <f t="shared" si="11"/>
        <v>SKIIFM_AT</v>
      </c>
      <c r="E145" s="11" t="str">
        <f>IF(I145&lt;&gt;"",VLOOKUP(F145,OPDRACHTGEVER!$A$2:$B$4,2,FALSE),"")</f>
        <v>SKIIFM_AT</v>
      </c>
      <c r="F145" s="11" t="s">
        <v>58</v>
      </c>
      <c r="I145" s="11" t="str">
        <f>IF(DATA!B144&lt;&gt;"",DATA!B144,"")</f>
        <v>MSMU8704276</v>
      </c>
      <c r="J145" s="12">
        <v>0</v>
      </c>
      <c r="K145" s="11" t="s">
        <v>53</v>
      </c>
      <c r="L145" s="11" t="str">
        <f t="shared" si="12"/>
        <v>901060</v>
      </c>
      <c r="M145" s="11" t="str">
        <f>IF(I145&lt;&gt;"",DATA!E144,"")</f>
        <v>PROJECTOR SCREEN</v>
      </c>
      <c r="N145" s="12">
        <v>0</v>
      </c>
      <c r="O145" s="11">
        <f>IF(I145&lt;&gt;"",DATA!C144,"")</f>
        <v>2.1</v>
      </c>
      <c r="P145" s="2">
        <v>294094</v>
      </c>
      <c r="Q145" s="2" t="s">
        <v>1304</v>
      </c>
      <c r="R145" s="2" t="s">
        <v>1307</v>
      </c>
      <c r="S145" s="2">
        <v>342</v>
      </c>
      <c r="T145" s="2">
        <v>1</v>
      </c>
      <c r="U145" s="2" t="s">
        <v>141</v>
      </c>
      <c r="Y145" s="2">
        <v>1700</v>
      </c>
      <c r="Z145" s="11" t="s">
        <v>54</v>
      </c>
      <c r="AA145" s="11" t="str">
        <f t="shared" si="13"/>
        <v>1700 - TBN</v>
      </c>
      <c r="AC145" s="2" t="s">
        <v>145</v>
      </c>
      <c r="AD145" s="11" t="str">
        <f>IF($I145&lt;&gt;"",VLOOKUP($AC145,GEADRESSEERDE!$A$2:$E$4,2,),"")</f>
        <v>LUITHAGEN HAVEN 2 D</v>
      </c>
      <c r="AE145" s="11">
        <f>IF($I145&lt;&gt;"",VLOOKUP($AC145,GEADRESSEERDE!$A$2:$E$4,3,),"")</f>
        <v>2030</v>
      </c>
      <c r="AF145" s="11" t="str">
        <f>IF($I145&lt;&gt;"",VLOOKUP($AC145,GEADRESSEERDE!$A$2:$E$4,4,),"")</f>
        <v>ANTWERPEN</v>
      </c>
      <c r="AG145" s="11" t="str">
        <f>IF($I145&lt;&gt;"",VLOOKUP($AC145,GEADRESSEERDE!$A$2:$E$4,5,),"")</f>
        <v>BE</v>
      </c>
      <c r="AH145" s="11" t="str">
        <f>IF(I145&lt;&gt;"",VLOOKUP(AP145,KvB!$A$2:$B$3,2,FALSE),"")</f>
        <v>BE101000</v>
      </c>
      <c r="AI145" s="11" t="s">
        <v>55</v>
      </c>
      <c r="AJ145" s="11"/>
      <c r="AK145" s="11"/>
      <c r="AL145" s="11"/>
      <c r="AM145" s="11"/>
      <c r="AN145" s="11"/>
      <c r="AO145" s="11"/>
      <c r="AP145" s="2" t="s">
        <v>70</v>
      </c>
      <c r="AQ145" s="11" t="str">
        <f>IF(I145&lt;&gt;"",DATA!D144,"")</f>
        <v>9010600000</v>
      </c>
    </row>
    <row r="146" spans="1:43" ht="15.75" x14ac:dyDescent="0.25">
      <c r="A146" s="11" t="s">
        <v>57</v>
      </c>
      <c r="B146" s="11" t="s">
        <v>56</v>
      </c>
      <c r="C146" s="22">
        <f t="shared" si="14"/>
        <v>25001620</v>
      </c>
      <c r="D146" s="11" t="str">
        <f t="shared" si="11"/>
        <v>SKIIFM_AT</v>
      </c>
      <c r="E146" s="11" t="str">
        <f>IF(I146&lt;&gt;"",VLOOKUP(F146,OPDRACHTGEVER!$A$2:$B$4,2,FALSE),"")</f>
        <v>SKIIFM_AT</v>
      </c>
      <c r="F146" s="11" t="s">
        <v>58</v>
      </c>
      <c r="I146" s="11" t="str">
        <f>IF(DATA!B145&lt;&gt;"",DATA!B145,"")</f>
        <v>MSMU8704276</v>
      </c>
      <c r="J146" s="12">
        <v>0</v>
      </c>
      <c r="K146" s="11" t="s">
        <v>53</v>
      </c>
      <c r="L146" s="11" t="str">
        <f t="shared" si="12"/>
        <v>841451</v>
      </c>
      <c r="M146" s="11" t="str">
        <f>IF(I146&lt;&gt;"",DATA!E145,"")</f>
        <v>RV VENT FAN</v>
      </c>
      <c r="N146" s="12">
        <v>0</v>
      </c>
      <c r="O146" s="11">
        <f>IF(I146&lt;&gt;"",DATA!C145,"")</f>
        <v>171.35</v>
      </c>
      <c r="P146" s="2">
        <v>294094</v>
      </c>
      <c r="Q146" s="2" t="s">
        <v>1304</v>
      </c>
      <c r="R146" s="2" t="s">
        <v>1307</v>
      </c>
      <c r="S146" s="2">
        <v>342</v>
      </c>
      <c r="T146" s="2">
        <v>1</v>
      </c>
      <c r="U146" s="2" t="s">
        <v>141</v>
      </c>
      <c r="Y146" s="2">
        <v>1700</v>
      </c>
      <c r="Z146" s="11" t="s">
        <v>54</v>
      </c>
      <c r="AA146" s="11" t="str">
        <f t="shared" si="13"/>
        <v>1700 - TBN</v>
      </c>
      <c r="AC146" s="2" t="s">
        <v>145</v>
      </c>
      <c r="AD146" s="11" t="str">
        <f>IF($I146&lt;&gt;"",VLOOKUP($AC146,GEADRESSEERDE!$A$2:$E$4,2,),"")</f>
        <v>LUITHAGEN HAVEN 2 D</v>
      </c>
      <c r="AE146" s="11">
        <f>IF($I146&lt;&gt;"",VLOOKUP($AC146,GEADRESSEERDE!$A$2:$E$4,3,),"")</f>
        <v>2030</v>
      </c>
      <c r="AF146" s="11" t="str">
        <f>IF($I146&lt;&gt;"",VLOOKUP($AC146,GEADRESSEERDE!$A$2:$E$4,4,),"")</f>
        <v>ANTWERPEN</v>
      </c>
      <c r="AG146" s="11" t="str">
        <f>IF($I146&lt;&gt;"",VLOOKUP($AC146,GEADRESSEERDE!$A$2:$E$4,5,),"")</f>
        <v>BE</v>
      </c>
      <c r="AH146" s="11" t="str">
        <f>IF(I146&lt;&gt;"",VLOOKUP(AP146,KvB!$A$2:$B$3,2,FALSE),"")</f>
        <v>BE101000</v>
      </c>
      <c r="AI146" s="11" t="s">
        <v>55</v>
      </c>
      <c r="AJ146" s="11"/>
      <c r="AK146" s="11"/>
      <c r="AL146" s="11"/>
      <c r="AM146" s="11"/>
      <c r="AN146" s="11"/>
      <c r="AO146" s="11"/>
      <c r="AP146" s="2" t="s">
        <v>70</v>
      </c>
      <c r="AQ146" s="11" t="str">
        <f>IF(I146&lt;&gt;"",DATA!D145,"")</f>
        <v>8414510090</v>
      </c>
    </row>
    <row r="147" spans="1:43" ht="15.75" x14ac:dyDescent="0.25">
      <c r="A147" s="11" t="s">
        <v>57</v>
      </c>
      <c r="B147" s="11" t="s">
        <v>56</v>
      </c>
      <c r="C147" s="22">
        <f t="shared" si="14"/>
        <v>25001620</v>
      </c>
      <c r="D147" s="11" t="str">
        <f t="shared" si="11"/>
        <v>SKIIFM_AT</v>
      </c>
      <c r="E147" s="11" t="str">
        <f>IF(I147&lt;&gt;"",VLOOKUP(F147,OPDRACHTGEVER!$A$2:$B$4,2,FALSE),"")</f>
        <v>SKIIFM_AT</v>
      </c>
      <c r="F147" s="11" t="s">
        <v>58</v>
      </c>
      <c r="I147" s="11" t="str">
        <f>IF(DATA!B146&lt;&gt;"",DATA!B146,"")</f>
        <v>MSMU8704276</v>
      </c>
      <c r="J147" s="12">
        <v>0</v>
      </c>
      <c r="K147" s="11" t="s">
        <v>53</v>
      </c>
      <c r="L147" s="11" t="str">
        <f t="shared" si="12"/>
        <v>392690</v>
      </c>
      <c r="M147" s="11" t="str">
        <f>IF(I147&lt;&gt;"",DATA!E146,"")</f>
        <v>SAFETY TRAFFIC PVC CONES</v>
      </c>
      <c r="N147" s="12">
        <v>0</v>
      </c>
      <c r="O147" s="11">
        <f>IF(I147&lt;&gt;"",DATA!C146,"")</f>
        <v>1.7</v>
      </c>
      <c r="P147" s="2">
        <v>294094</v>
      </c>
      <c r="Q147" s="2" t="s">
        <v>1304</v>
      </c>
      <c r="R147" s="2" t="s">
        <v>1307</v>
      </c>
      <c r="S147" s="2">
        <v>342</v>
      </c>
      <c r="T147" s="2">
        <v>1</v>
      </c>
      <c r="U147" s="2" t="s">
        <v>141</v>
      </c>
      <c r="Y147" s="2">
        <v>1700</v>
      </c>
      <c r="Z147" s="11" t="s">
        <v>54</v>
      </c>
      <c r="AA147" s="11" t="str">
        <f t="shared" si="13"/>
        <v>1700 - TBN</v>
      </c>
      <c r="AC147" s="2" t="s">
        <v>145</v>
      </c>
      <c r="AD147" s="11" t="str">
        <f>IF($I147&lt;&gt;"",VLOOKUP($AC147,GEADRESSEERDE!$A$2:$E$4,2,),"")</f>
        <v>LUITHAGEN HAVEN 2 D</v>
      </c>
      <c r="AE147" s="11">
        <f>IF($I147&lt;&gt;"",VLOOKUP($AC147,GEADRESSEERDE!$A$2:$E$4,3,),"")</f>
        <v>2030</v>
      </c>
      <c r="AF147" s="11" t="str">
        <f>IF($I147&lt;&gt;"",VLOOKUP($AC147,GEADRESSEERDE!$A$2:$E$4,4,),"")</f>
        <v>ANTWERPEN</v>
      </c>
      <c r="AG147" s="11" t="str">
        <f>IF($I147&lt;&gt;"",VLOOKUP($AC147,GEADRESSEERDE!$A$2:$E$4,5,),"")</f>
        <v>BE</v>
      </c>
      <c r="AH147" s="11" t="str">
        <f>IF(I147&lt;&gt;"",VLOOKUP(AP147,KvB!$A$2:$B$3,2,FALSE),"")</f>
        <v>BE101000</v>
      </c>
      <c r="AI147" s="11" t="s">
        <v>55</v>
      </c>
      <c r="AJ147" s="11"/>
      <c r="AK147" s="11"/>
      <c r="AL147" s="11"/>
      <c r="AM147" s="11"/>
      <c r="AN147" s="11"/>
      <c r="AO147" s="11"/>
      <c r="AP147" s="2" t="s">
        <v>70</v>
      </c>
      <c r="AQ147" s="11" t="str">
        <f>IF(I147&lt;&gt;"",DATA!D146,"")</f>
        <v>3926909790</v>
      </c>
    </row>
    <row r="148" spans="1:43" ht="15.75" x14ac:dyDescent="0.25">
      <c r="A148" s="11" t="s">
        <v>57</v>
      </c>
      <c r="B148" s="11" t="s">
        <v>56</v>
      </c>
      <c r="C148" s="22">
        <f t="shared" si="14"/>
        <v>25001620</v>
      </c>
      <c r="D148" s="11" t="str">
        <f t="shared" si="11"/>
        <v>SKIIFM_AT</v>
      </c>
      <c r="E148" s="11" t="str">
        <f>IF(I148&lt;&gt;"",VLOOKUP(F148,OPDRACHTGEVER!$A$2:$B$4,2,FALSE),"")</f>
        <v>SKIIFM_AT</v>
      </c>
      <c r="F148" s="11" t="s">
        <v>58</v>
      </c>
      <c r="I148" s="11" t="str">
        <f>IF(DATA!B147&lt;&gt;"",DATA!B147,"")</f>
        <v>MSMU8704276</v>
      </c>
      <c r="J148" s="12">
        <v>0</v>
      </c>
      <c r="K148" s="11" t="s">
        <v>53</v>
      </c>
      <c r="L148" s="11" t="str">
        <f t="shared" si="12"/>
        <v>761691</v>
      </c>
      <c r="M148" s="11" t="str">
        <f>IF(I148&lt;&gt;"",DATA!E147,"")</f>
        <v>SCREEN PRINTING</v>
      </c>
      <c r="N148" s="12">
        <v>0</v>
      </c>
      <c r="O148" s="11">
        <f>IF(I148&lt;&gt;"",DATA!C147,"")</f>
        <v>1.2</v>
      </c>
      <c r="P148" s="2">
        <v>294094</v>
      </c>
      <c r="Q148" s="2" t="s">
        <v>1304</v>
      </c>
      <c r="R148" s="2" t="s">
        <v>1307</v>
      </c>
      <c r="S148" s="2">
        <v>342</v>
      </c>
      <c r="T148" s="2">
        <v>1</v>
      </c>
      <c r="U148" s="2" t="s">
        <v>141</v>
      </c>
      <c r="Y148" s="2">
        <v>1700</v>
      </c>
      <c r="Z148" s="11" t="s">
        <v>54</v>
      </c>
      <c r="AA148" s="11" t="str">
        <f t="shared" si="13"/>
        <v>1700 - TBN</v>
      </c>
      <c r="AC148" s="2" t="s">
        <v>145</v>
      </c>
      <c r="AD148" s="11" t="str">
        <f>IF($I148&lt;&gt;"",VLOOKUP($AC148,GEADRESSEERDE!$A$2:$E$4,2,),"")</f>
        <v>LUITHAGEN HAVEN 2 D</v>
      </c>
      <c r="AE148" s="11">
        <f>IF($I148&lt;&gt;"",VLOOKUP($AC148,GEADRESSEERDE!$A$2:$E$4,3,),"")</f>
        <v>2030</v>
      </c>
      <c r="AF148" s="11" t="str">
        <f>IF($I148&lt;&gt;"",VLOOKUP($AC148,GEADRESSEERDE!$A$2:$E$4,4,),"")</f>
        <v>ANTWERPEN</v>
      </c>
      <c r="AG148" s="11" t="str">
        <f>IF($I148&lt;&gt;"",VLOOKUP($AC148,GEADRESSEERDE!$A$2:$E$4,5,),"")</f>
        <v>BE</v>
      </c>
      <c r="AH148" s="11" t="str">
        <f>IF(I148&lt;&gt;"",VLOOKUP(AP148,KvB!$A$2:$B$3,2,FALSE),"")</f>
        <v>BE101000</v>
      </c>
      <c r="AI148" s="11" t="s">
        <v>55</v>
      </c>
      <c r="AJ148" s="11"/>
      <c r="AK148" s="11"/>
      <c r="AL148" s="11"/>
      <c r="AM148" s="11"/>
      <c r="AN148" s="11"/>
      <c r="AO148" s="11"/>
      <c r="AP148" s="2" t="s">
        <v>70</v>
      </c>
      <c r="AQ148" s="11" t="str">
        <f>IF(I148&lt;&gt;"",DATA!D147,"")</f>
        <v>7616910000</v>
      </c>
    </row>
    <row r="149" spans="1:43" ht="15.75" x14ac:dyDescent="0.25">
      <c r="A149" s="11" t="s">
        <v>57</v>
      </c>
      <c r="B149" s="11" t="s">
        <v>56</v>
      </c>
      <c r="C149" s="22">
        <f t="shared" si="14"/>
        <v>25001620</v>
      </c>
      <c r="D149" s="11" t="str">
        <f t="shared" si="11"/>
        <v>SKIIFM_AT</v>
      </c>
      <c r="E149" s="11" t="str">
        <f>IF(I149&lt;&gt;"",VLOOKUP(F149,OPDRACHTGEVER!$A$2:$B$4,2,FALSE),"")</f>
        <v>SKIIFM_AT</v>
      </c>
      <c r="F149" s="11" t="s">
        <v>58</v>
      </c>
      <c r="I149" s="11" t="str">
        <f>IF(DATA!B148&lt;&gt;"",DATA!B148,"")</f>
        <v>MSMU8704276</v>
      </c>
      <c r="J149" s="12">
        <v>0</v>
      </c>
      <c r="K149" s="11" t="s">
        <v>53</v>
      </c>
      <c r="L149" s="11" t="str">
        <f t="shared" si="12"/>
        <v>392620</v>
      </c>
      <c r="M149" s="11" t="str">
        <f>IF(I149&lt;&gt;"",DATA!E148,"")</f>
        <v>SILICONE CLOTHING</v>
      </c>
      <c r="N149" s="12">
        <v>0</v>
      </c>
      <c r="O149" s="11">
        <f>IF(I149&lt;&gt;"",DATA!C148,"")</f>
        <v>2.95</v>
      </c>
      <c r="P149" s="2">
        <v>294094</v>
      </c>
      <c r="Q149" s="2" t="s">
        <v>1304</v>
      </c>
      <c r="R149" s="2" t="s">
        <v>1307</v>
      </c>
      <c r="S149" s="2">
        <v>342</v>
      </c>
      <c r="T149" s="2">
        <v>1</v>
      </c>
      <c r="U149" s="2" t="s">
        <v>141</v>
      </c>
      <c r="Y149" s="2">
        <v>1700</v>
      </c>
      <c r="Z149" s="11" t="s">
        <v>54</v>
      </c>
      <c r="AA149" s="11" t="str">
        <f t="shared" si="13"/>
        <v>1700 - TBN</v>
      </c>
      <c r="AC149" s="2" t="s">
        <v>145</v>
      </c>
      <c r="AD149" s="11" t="str">
        <f>IF($I149&lt;&gt;"",VLOOKUP($AC149,GEADRESSEERDE!$A$2:$E$4,2,),"")</f>
        <v>LUITHAGEN HAVEN 2 D</v>
      </c>
      <c r="AE149" s="11">
        <f>IF($I149&lt;&gt;"",VLOOKUP($AC149,GEADRESSEERDE!$A$2:$E$4,3,),"")</f>
        <v>2030</v>
      </c>
      <c r="AF149" s="11" t="str">
        <f>IF($I149&lt;&gt;"",VLOOKUP($AC149,GEADRESSEERDE!$A$2:$E$4,4,),"")</f>
        <v>ANTWERPEN</v>
      </c>
      <c r="AG149" s="11" t="str">
        <f>IF($I149&lt;&gt;"",VLOOKUP($AC149,GEADRESSEERDE!$A$2:$E$4,5,),"")</f>
        <v>BE</v>
      </c>
      <c r="AH149" s="11" t="str">
        <f>IF(I149&lt;&gt;"",VLOOKUP(AP149,KvB!$A$2:$B$3,2,FALSE),"")</f>
        <v>BE101000</v>
      </c>
      <c r="AI149" s="11" t="s">
        <v>55</v>
      </c>
      <c r="AJ149" s="11"/>
      <c r="AK149" s="11"/>
      <c r="AL149" s="11"/>
      <c r="AM149" s="11"/>
      <c r="AN149" s="11"/>
      <c r="AO149" s="11"/>
      <c r="AP149" s="2" t="s">
        <v>70</v>
      </c>
      <c r="AQ149" s="11" t="str">
        <f>IF(I149&lt;&gt;"",DATA!D148,"")</f>
        <v>3926200000</v>
      </c>
    </row>
    <row r="150" spans="1:43" ht="15.75" x14ac:dyDescent="0.25">
      <c r="A150" s="11" t="s">
        <v>57</v>
      </c>
      <c r="B150" s="11" t="s">
        <v>56</v>
      </c>
      <c r="C150" s="22">
        <f t="shared" si="14"/>
        <v>25001620</v>
      </c>
      <c r="D150" s="11" t="str">
        <f t="shared" si="11"/>
        <v>SKIIFM_AT</v>
      </c>
      <c r="E150" s="11" t="str">
        <f>IF(I150&lt;&gt;"",VLOOKUP(F150,OPDRACHTGEVER!$A$2:$B$4,2,FALSE),"")</f>
        <v>SKIIFM_AT</v>
      </c>
      <c r="F150" s="11" t="s">
        <v>58</v>
      </c>
      <c r="I150" s="11" t="str">
        <f>IF(DATA!B149&lt;&gt;"",DATA!B149,"")</f>
        <v>MSMU8704276</v>
      </c>
      <c r="J150" s="12">
        <v>0</v>
      </c>
      <c r="K150" s="11" t="s">
        <v>53</v>
      </c>
      <c r="L150" s="11" t="str">
        <f t="shared" si="12"/>
        <v>391739</v>
      </c>
      <c r="M150" s="11" t="str">
        <f>IF(I150&lt;&gt;"",DATA!E149,"")</f>
        <v>SMOOTH HEATING WATER PIPE</v>
      </c>
      <c r="N150" s="12">
        <v>0</v>
      </c>
      <c r="O150" s="11">
        <f>IF(I150&lt;&gt;"",DATA!C149,"")</f>
        <v>2.35</v>
      </c>
      <c r="P150" s="2">
        <v>294094</v>
      </c>
      <c r="Q150" s="2" t="s">
        <v>1304</v>
      </c>
      <c r="R150" s="2" t="s">
        <v>1307</v>
      </c>
      <c r="S150" s="2">
        <v>342</v>
      </c>
      <c r="T150" s="2">
        <v>1</v>
      </c>
      <c r="U150" s="2" t="s">
        <v>141</v>
      </c>
      <c r="Y150" s="2">
        <v>1700</v>
      </c>
      <c r="Z150" s="11" t="s">
        <v>54</v>
      </c>
      <c r="AA150" s="11" t="str">
        <f t="shared" si="13"/>
        <v>1700 - TBN</v>
      </c>
      <c r="AC150" s="2" t="s">
        <v>145</v>
      </c>
      <c r="AD150" s="11" t="str">
        <f>IF($I150&lt;&gt;"",VLOOKUP($AC150,GEADRESSEERDE!$A$2:$E$4,2,),"")</f>
        <v>LUITHAGEN HAVEN 2 D</v>
      </c>
      <c r="AE150" s="11">
        <f>IF($I150&lt;&gt;"",VLOOKUP($AC150,GEADRESSEERDE!$A$2:$E$4,3,),"")</f>
        <v>2030</v>
      </c>
      <c r="AF150" s="11" t="str">
        <f>IF($I150&lt;&gt;"",VLOOKUP($AC150,GEADRESSEERDE!$A$2:$E$4,4,),"")</f>
        <v>ANTWERPEN</v>
      </c>
      <c r="AG150" s="11" t="str">
        <f>IF($I150&lt;&gt;"",VLOOKUP($AC150,GEADRESSEERDE!$A$2:$E$4,5,),"")</f>
        <v>BE</v>
      </c>
      <c r="AH150" s="11" t="str">
        <f>IF(I150&lt;&gt;"",VLOOKUP(AP150,KvB!$A$2:$B$3,2,FALSE),"")</f>
        <v>BE101000</v>
      </c>
      <c r="AI150" s="11" t="s">
        <v>55</v>
      </c>
      <c r="AJ150" s="11"/>
      <c r="AK150" s="11"/>
      <c r="AL150" s="11"/>
      <c r="AM150" s="11"/>
      <c r="AN150" s="11"/>
      <c r="AO150" s="11"/>
      <c r="AP150" s="2" t="s">
        <v>70</v>
      </c>
      <c r="AQ150" s="11" t="str">
        <f>IF(I150&lt;&gt;"",DATA!D149,"")</f>
        <v>3917390099</v>
      </c>
    </row>
    <row r="151" spans="1:43" ht="15.75" x14ac:dyDescent="0.25">
      <c r="A151" s="11" t="s">
        <v>57</v>
      </c>
      <c r="B151" s="11" t="s">
        <v>56</v>
      </c>
      <c r="C151" s="22">
        <f t="shared" si="14"/>
        <v>25001620</v>
      </c>
      <c r="D151" s="11" t="str">
        <f t="shared" si="11"/>
        <v>SKIIFM_AT</v>
      </c>
      <c r="E151" s="11" t="str">
        <f>IF(I151&lt;&gt;"",VLOOKUP(F151,OPDRACHTGEVER!$A$2:$B$4,2,FALSE),"")</f>
        <v>SKIIFM_AT</v>
      </c>
      <c r="F151" s="11" t="s">
        <v>58</v>
      </c>
      <c r="I151" s="11" t="str">
        <f>IF(DATA!B150&lt;&gt;"",DATA!B150,"")</f>
        <v>MSMU8704276</v>
      </c>
      <c r="J151" s="12">
        <v>0</v>
      </c>
      <c r="K151" s="11" t="s">
        <v>53</v>
      </c>
      <c r="L151" s="11" t="str">
        <f t="shared" si="12"/>
        <v>741920</v>
      </c>
      <c r="M151" s="11" t="str">
        <f>IF(I151&lt;&gt;"",DATA!E150,"")</f>
        <v>RAILING</v>
      </c>
      <c r="N151" s="12">
        <v>0</v>
      </c>
      <c r="O151" s="11">
        <f>IF(I151&lt;&gt;"",DATA!C150,"")</f>
        <v>1305</v>
      </c>
      <c r="P151" s="2">
        <v>294094</v>
      </c>
      <c r="Q151" s="2" t="s">
        <v>1304</v>
      </c>
      <c r="R151" s="2" t="s">
        <v>1307</v>
      </c>
      <c r="S151" s="2">
        <v>342</v>
      </c>
      <c r="T151" s="2">
        <v>1</v>
      </c>
      <c r="U151" s="2" t="s">
        <v>141</v>
      </c>
      <c r="Y151" s="2">
        <v>1700</v>
      </c>
      <c r="Z151" s="11" t="s">
        <v>54</v>
      </c>
      <c r="AA151" s="11" t="str">
        <f t="shared" si="13"/>
        <v>1700 - TBN</v>
      </c>
      <c r="AC151" s="2" t="s">
        <v>145</v>
      </c>
      <c r="AD151" s="11" t="str">
        <f>IF($I151&lt;&gt;"",VLOOKUP($AC151,GEADRESSEERDE!$A$2:$E$4,2,),"")</f>
        <v>LUITHAGEN HAVEN 2 D</v>
      </c>
      <c r="AE151" s="11">
        <f>IF($I151&lt;&gt;"",VLOOKUP($AC151,GEADRESSEERDE!$A$2:$E$4,3,),"")</f>
        <v>2030</v>
      </c>
      <c r="AF151" s="11" t="str">
        <f>IF($I151&lt;&gt;"",VLOOKUP($AC151,GEADRESSEERDE!$A$2:$E$4,4,),"")</f>
        <v>ANTWERPEN</v>
      </c>
      <c r="AG151" s="11" t="str">
        <f>IF($I151&lt;&gt;"",VLOOKUP($AC151,GEADRESSEERDE!$A$2:$E$4,5,),"")</f>
        <v>BE</v>
      </c>
      <c r="AH151" s="11" t="str">
        <f>IF(I151&lt;&gt;"",VLOOKUP(AP151,KvB!$A$2:$B$3,2,FALSE),"")</f>
        <v>BE101000</v>
      </c>
      <c r="AI151" s="11" t="s">
        <v>55</v>
      </c>
      <c r="AJ151" s="11"/>
      <c r="AK151" s="11"/>
      <c r="AL151" s="11"/>
      <c r="AM151" s="11"/>
      <c r="AN151" s="11"/>
      <c r="AO151" s="11"/>
      <c r="AP151" s="2" t="s">
        <v>70</v>
      </c>
      <c r="AQ151" s="11" t="str">
        <f>IF(I151&lt;&gt;"",DATA!D150,"")</f>
        <v>7419200090</v>
      </c>
    </row>
    <row r="152" spans="1:43" ht="15.75" x14ac:dyDescent="0.25">
      <c r="A152" s="11" t="s">
        <v>57</v>
      </c>
      <c r="B152" s="11" t="s">
        <v>56</v>
      </c>
      <c r="C152" s="22">
        <f t="shared" si="14"/>
        <v>25001620</v>
      </c>
      <c r="D152" s="11" t="str">
        <f t="shared" si="11"/>
        <v>SKIIFM_AT</v>
      </c>
      <c r="E152" s="11" t="str">
        <f>IF(I152&lt;&gt;"",VLOOKUP(F152,OPDRACHTGEVER!$A$2:$B$4,2,FALSE),"")</f>
        <v>SKIIFM_AT</v>
      </c>
      <c r="F152" s="11" t="s">
        <v>58</v>
      </c>
      <c r="I152" s="11" t="str">
        <f>IF(DATA!B151&lt;&gt;"",DATA!B151,"")</f>
        <v>MSMU8704276</v>
      </c>
      <c r="J152" s="12">
        <v>0</v>
      </c>
      <c r="K152" s="11" t="s">
        <v>53</v>
      </c>
      <c r="L152" s="11" t="str">
        <f t="shared" si="12"/>
        <v>741920</v>
      </c>
      <c r="M152" s="11" t="str">
        <f>IF(I152&lt;&gt;"",DATA!E151,"")</f>
        <v>SWIMMING POOL HANDRAILS</v>
      </c>
      <c r="N152" s="12">
        <v>0</v>
      </c>
      <c r="O152" s="11">
        <f>IF(I152&lt;&gt;"",DATA!C151,"")</f>
        <v>193.6</v>
      </c>
      <c r="P152" s="2">
        <v>294094</v>
      </c>
      <c r="Q152" s="2" t="s">
        <v>1304</v>
      </c>
      <c r="R152" s="2" t="s">
        <v>1307</v>
      </c>
      <c r="S152" s="2">
        <v>342</v>
      </c>
      <c r="T152" s="2">
        <v>1</v>
      </c>
      <c r="U152" s="2" t="s">
        <v>141</v>
      </c>
      <c r="Y152" s="2">
        <v>1700</v>
      </c>
      <c r="Z152" s="11" t="s">
        <v>54</v>
      </c>
      <c r="AA152" s="11" t="str">
        <f t="shared" si="13"/>
        <v>1700 - TBN</v>
      </c>
      <c r="AC152" s="2" t="s">
        <v>145</v>
      </c>
      <c r="AD152" s="11" t="str">
        <f>IF($I152&lt;&gt;"",VLOOKUP($AC152,GEADRESSEERDE!$A$2:$E$4,2,),"")</f>
        <v>LUITHAGEN HAVEN 2 D</v>
      </c>
      <c r="AE152" s="11">
        <f>IF($I152&lt;&gt;"",VLOOKUP($AC152,GEADRESSEERDE!$A$2:$E$4,3,),"")</f>
        <v>2030</v>
      </c>
      <c r="AF152" s="11" t="str">
        <f>IF($I152&lt;&gt;"",VLOOKUP($AC152,GEADRESSEERDE!$A$2:$E$4,4,),"")</f>
        <v>ANTWERPEN</v>
      </c>
      <c r="AG152" s="11" t="str">
        <f>IF($I152&lt;&gt;"",VLOOKUP($AC152,GEADRESSEERDE!$A$2:$E$4,5,),"")</f>
        <v>BE</v>
      </c>
      <c r="AH152" s="11" t="str">
        <f>IF(I152&lt;&gt;"",VLOOKUP(AP152,KvB!$A$2:$B$3,2,FALSE),"")</f>
        <v>BE101000</v>
      </c>
      <c r="AI152" s="11" t="s">
        <v>55</v>
      </c>
      <c r="AJ152" s="11"/>
      <c r="AK152" s="11"/>
      <c r="AL152" s="11"/>
      <c r="AM152" s="11"/>
      <c r="AN152" s="11"/>
      <c r="AO152" s="11"/>
      <c r="AP152" s="2" t="s">
        <v>70</v>
      </c>
      <c r="AQ152" s="11" t="str">
        <f>IF(I152&lt;&gt;"",DATA!D151,"")</f>
        <v>7419200090</v>
      </c>
    </row>
    <row r="153" spans="1:43" ht="15.75" x14ac:dyDescent="0.25">
      <c r="A153" s="11" t="s">
        <v>57</v>
      </c>
      <c r="B153" s="11" t="s">
        <v>56</v>
      </c>
      <c r="C153" s="22">
        <f t="shared" si="14"/>
        <v>25001620</v>
      </c>
      <c r="D153" s="11" t="str">
        <f t="shared" si="11"/>
        <v>SKIIFM_AT</v>
      </c>
      <c r="E153" s="11" t="str">
        <f>IF(I153&lt;&gt;"",VLOOKUP(F153,OPDRACHTGEVER!$A$2:$B$4,2,FALSE),"")</f>
        <v>SKIIFM_AT</v>
      </c>
      <c r="F153" s="11" t="s">
        <v>58</v>
      </c>
      <c r="I153" s="11" t="str">
        <f>IF(DATA!B152&lt;&gt;"",DATA!B152,"")</f>
        <v>MSMU8704276</v>
      </c>
      <c r="J153" s="12">
        <v>0</v>
      </c>
      <c r="K153" s="11" t="s">
        <v>53</v>
      </c>
      <c r="L153" s="11" t="str">
        <f t="shared" si="12"/>
        <v>940391</v>
      </c>
      <c r="M153" s="11" t="str">
        <f>IF(I153&lt;&gt;"",DATA!E152,"")</f>
        <v>TABLE LEGS</v>
      </c>
      <c r="N153" s="12">
        <v>0</v>
      </c>
      <c r="O153" s="11">
        <f>IF(I153&lt;&gt;"",DATA!C152,"")</f>
        <v>308</v>
      </c>
      <c r="P153" s="2">
        <v>294094</v>
      </c>
      <c r="Q153" s="2" t="s">
        <v>1304</v>
      </c>
      <c r="R153" s="2" t="s">
        <v>1307</v>
      </c>
      <c r="S153" s="2">
        <v>342</v>
      </c>
      <c r="T153" s="2">
        <v>1</v>
      </c>
      <c r="U153" s="2" t="s">
        <v>141</v>
      </c>
      <c r="Y153" s="2">
        <v>1700</v>
      </c>
      <c r="Z153" s="11" t="s">
        <v>54</v>
      </c>
      <c r="AA153" s="11" t="str">
        <f t="shared" si="13"/>
        <v>1700 - TBN</v>
      </c>
      <c r="AC153" s="2" t="s">
        <v>145</v>
      </c>
      <c r="AD153" s="11" t="str">
        <f>IF($I153&lt;&gt;"",VLOOKUP($AC153,GEADRESSEERDE!$A$2:$E$4,2,),"")</f>
        <v>LUITHAGEN HAVEN 2 D</v>
      </c>
      <c r="AE153" s="11">
        <f>IF($I153&lt;&gt;"",VLOOKUP($AC153,GEADRESSEERDE!$A$2:$E$4,3,),"")</f>
        <v>2030</v>
      </c>
      <c r="AF153" s="11" t="str">
        <f>IF($I153&lt;&gt;"",VLOOKUP($AC153,GEADRESSEERDE!$A$2:$E$4,4,),"")</f>
        <v>ANTWERPEN</v>
      </c>
      <c r="AG153" s="11" t="str">
        <f>IF($I153&lt;&gt;"",VLOOKUP($AC153,GEADRESSEERDE!$A$2:$E$4,5,),"")</f>
        <v>BE</v>
      </c>
      <c r="AH153" s="11" t="str">
        <f>IF(I153&lt;&gt;"",VLOOKUP(AP153,KvB!$A$2:$B$3,2,FALSE),"")</f>
        <v>BE101000</v>
      </c>
      <c r="AI153" s="11" t="s">
        <v>55</v>
      </c>
      <c r="AJ153" s="11"/>
      <c r="AK153" s="11"/>
      <c r="AL153" s="11"/>
      <c r="AM153" s="11"/>
      <c r="AN153" s="11"/>
      <c r="AO153" s="11"/>
      <c r="AP153" s="2" t="s">
        <v>70</v>
      </c>
      <c r="AQ153" s="11" t="str">
        <f>IF(I153&lt;&gt;"",DATA!D152,"")</f>
        <v>9403910090</v>
      </c>
    </row>
    <row r="154" spans="1:43" ht="15.75" x14ac:dyDescent="0.25">
      <c r="A154" s="11" t="s">
        <v>57</v>
      </c>
      <c r="B154" s="11" t="s">
        <v>56</v>
      </c>
      <c r="C154" s="22">
        <f t="shared" si="14"/>
        <v>25001620</v>
      </c>
      <c r="D154" s="11" t="str">
        <f t="shared" si="11"/>
        <v>SKIIFM_AT</v>
      </c>
      <c r="E154" s="11" t="str">
        <f>IF(I154&lt;&gt;"",VLOOKUP(F154,OPDRACHTGEVER!$A$2:$B$4,2,FALSE),"")</f>
        <v>SKIIFM_AT</v>
      </c>
      <c r="F154" s="11" t="s">
        <v>58</v>
      </c>
      <c r="I154" s="11" t="str">
        <f>IF(DATA!B153&lt;&gt;"",DATA!B153,"")</f>
        <v>MSMU8704276</v>
      </c>
      <c r="J154" s="12">
        <v>0</v>
      </c>
      <c r="K154" s="11" t="s">
        <v>53</v>
      </c>
      <c r="L154" s="11" t="str">
        <f t="shared" si="12"/>
        <v>820740</v>
      </c>
      <c r="M154" s="11" t="str">
        <f>IF(I154&lt;&gt;"",DATA!E153,"")</f>
        <v>TAP AND MOLD GROUP</v>
      </c>
      <c r="N154" s="12">
        <v>0</v>
      </c>
      <c r="O154" s="11">
        <f>IF(I154&lt;&gt;"",DATA!C153,"")</f>
        <v>6.1</v>
      </c>
      <c r="P154" s="2">
        <v>294094</v>
      </c>
      <c r="Q154" s="2" t="s">
        <v>1304</v>
      </c>
      <c r="R154" s="2" t="s">
        <v>1307</v>
      </c>
      <c r="S154" s="2">
        <v>342</v>
      </c>
      <c r="T154" s="2">
        <v>1</v>
      </c>
      <c r="U154" s="2" t="s">
        <v>141</v>
      </c>
      <c r="Y154" s="2">
        <v>1700</v>
      </c>
      <c r="Z154" s="11" t="s">
        <v>54</v>
      </c>
      <c r="AA154" s="11" t="str">
        <f t="shared" si="13"/>
        <v>1700 - TBN</v>
      </c>
      <c r="AC154" s="2" t="s">
        <v>145</v>
      </c>
      <c r="AD154" s="11" t="str">
        <f>IF($I154&lt;&gt;"",VLOOKUP($AC154,GEADRESSEERDE!$A$2:$E$4,2,),"")</f>
        <v>LUITHAGEN HAVEN 2 D</v>
      </c>
      <c r="AE154" s="11">
        <f>IF($I154&lt;&gt;"",VLOOKUP($AC154,GEADRESSEERDE!$A$2:$E$4,3,),"")</f>
        <v>2030</v>
      </c>
      <c r="AF154" s="11" t="str">
        <f>IF($I154&lt;&gt;"",VLOOKUP($AC154,GEADRESSEERDE!$A$2:$E$4,4,),"")</f>
        <v>ANTWERPEN</v>
      </c>
      <c r="AG154" s="11" t="str">
        <f>IF($I154&lt;&gt;"",VLOOKUP($AC154,GEADRESSEERDE!$A$2:$E$4,5,),"")</f>
        <v>BE</v>
      </c>
      <c r="AH154" s="11" t="str">
        <f>IF(I154&lt;&gt;"",VLOOKUP(AP154,KvB!$A$2:$B$3,2,FALSE),"")</f>
        <v>BE101000</v>
      </c>
      <c r="AI154" s="11" t="s">
        <v>55</v>
      </c>
      <c r="AJ154" s="11"/>
      <c r="AK154" s="11"/>
      <c r="AL154" s="11"/>
      <c r="AM154" s="11"/>
      <c r="AN154" s="11"/>
      <c r="AO154" s="11"/>
      <c r="AP154" s="2" t="s">
        <v>70</v>
      </c>
      <c r="AQ154" s="11" t="str">
        <f>IF(I154&lt;&gt;"",DATA!D153,"")</f>
        <v>8207409000</v>
      </c>
    </row>
    <row r="155" spans="1:43" ht="15.75" x14ac:dyDescent="0.25">
      <c r="A155" s="11" t="s">
        <v>57</v>
      </c>
      <c r="B155" s="11" t="s">
        <v>56</v>
      </c>
      <c r="C155" s="22">
        <f t="shared" si="14"/>
        <v>25001620</v>
      </c>
      <c r="D155" s="11" t="str">
        <f t="shared" si="11"/>
        <v>SKIIFM_AT</v>
      </c>
      <c r="E155" s="11" t="str">
        <f>IF(I155&lt;&gt;"",VLOOKUP(F155,OPDRACHTGEVER!$A$2:$B$4,2,FALSE),"")</f>
        <v>SKIIFM_AT</v>
      </c>
      <c r="F155" s="11" t="s">
        <v>58</v>
      </c>
      <c r="I155" s="11" t="str">
        <f>IF(DATA!B154&lt;&gt;"",DATA!B154,"")</f>
        <v>MSMU8704276</v>
      </c>
      <c r="J155" s="12">
        <v>0</v>
      </c>
      <c r="K155" s="11" t="s">
        <v>53</v>
      </c>
      <c r="L155" s="11" t="str">
        <f t="shared" si="12"/>
        <v>761699</v>
      </c>
      <c r="M155" s="11" t="str">
        <f>IF(I155&lt;&gt;"",DATA!E154,"")</f>
        <v>TERMINAL ALUMINUM LADDER</v>
      </c>
      <c r="N155" s="12">
        <v>0</v>
      </c>
      <c r="O155" s="11">
        <f>IF(I155&lt;&gt;"",DATA!C154,"")</f>
        <v>662.4</v>
      </c>
      <c r="P155" s="2">
        <v>294094</v>
      </c>
      <c r="Q155" s="2" t="s">
        <v>1304</v>
      </c>
      <c r="R155" s="2" t="s">
        <v>1307</v>
      </c>
      <c r="S155" s="2">
        <v>342</v>
      </c>
      <c r="T155" s="2">
        <v>1</v>
      </c>
      <c r="U155" s="2" t="s">
        <v>141</v>
      </c>
      <c r="Y155" s="2">
        <v>1700</v>
      </c>
      <c r="Z155" s="11" t="s">
        <v>54</v>
      </c>
      <c r="AA155" s="11" t="str">
        <f t="shared" si="13"/>
        <v>1700 - TBN</v>
      </c>
      <c r="AC155" s="2" t="s">
        <v>145</v>
      </c>
      <c r="AD155" s="11" t="str">
        <f>IF($I155&lt;&gt;"",VLOOKUP($AC155,GEADRESSEERDE!$A$2:$E$4,2,),"")</f>
        <v>LUITHAGEN HAVEN 2 D</v>
      </c>
      <c r="AE155" s="11">
        <f>IF($I155&lt;&gt;"",VLOOKUP($AC155,GEADRESSEERDE!$A$2:$E$4,3,),"")</f>
        <v>2030</v>
      </c>
      <c r="AF155" s="11" t="str">
        <f>IF($I155&lt;&gt;"",VLOOKUP($AC155,GEADRESSEERDE!$A$2:$E$4,4,),"")</f>
        <v>ANTWERPEN</v>
      </c>
      <c r="AG155" s="11" t="str">
        <f>IF($I155&lt;&gt;"",VLOOKUP($AC155,GEADRESSEERDE!$A$2:$E$4,5,),"")</f>
        <v>BE</v>
      </c>
      <c r="AH155" s="11" t="str">
        <f>IF(I155&lt;&gt;"",VLOOKUP(AP155,KvB!$A$2:$B$3,2,FALSE),"")</f>
        <v>BE101000</v>
      </c>
      <c r="AI155" s="11" t="s">
        <v>55</v>
      </c>
      <c r="AJ155" s="11"/>
      <c r="AK155" s="11"/>
      <c r="AL155" s="11"/>
      <c r="AM155" s="11"/>
      <c r="AN155" s="11"/>
      <c r="AO155" s="11"/>
      <c r="AP155" s="2" t="s">
        <v>70</v>
      </c>
      <c r="AQ155" s="11" t="str">
        <f>IF(I155&lt;&gt;"",DATA!D154,"")</f>
        <v>7616999009</v>
      </c>
    </row>
    <row r="156" spans="1:43" ht="15.75" x14ac:dyDescent="0.25">
      <c r="A156" s="11" t="s">
        <v>57</v>
      </c>
      <c r="B156" s="11" t="s">
        <v>56</v>
      </c>
      <c r="C156" s="22">
        <f t="shared" si="14"/>
        <v>25001620</v>
      </c>
      <c r="D156" s="11" t="str">
        <f t="shared" si="11"/>
        <v>SKIIFM_AT</v>
      </c>
      <c r="E156" s="11" t="str">
        <f>IF(I156&lt;&gt;"",VLOOKUP(F156,OPDRACHTGEVER!$A$2:$B$4,2,FALSE),"")</f>
        <v>SKIIFM_AT</v>
      </c>
      <c r="F156" s="11" t="s">
        <v>58</v>
      </c>
      <c r="I156" s="11" t="str">
        <f>IF(DATA!B155&lt;&gt;"",DATA!B155,"")</f>
        <v>MSMU8704276</v>
      </c>
      <c r="J156" s="12">
        <v>0</v>
      </c>
      <c r="K156" s="11" t="s">
        <v>53</v>
      </c>
      <c r="L156" s="11" t="str">
        <f t="shared" si="12"/>
        <v>820559</v>
      </c>
      <c r="M156" s="11" t="str">
        <f>IF(I156&lt;&gt;"",DATA!E155,"")</f>
        <v>TIRE RETRACTOR</v>
      </c>
      <c r="N156" s="12">
        <v>0</v>
      </c>
      <c r="O156" s="11">
        <f>IF(I156&lt;&gt;"",DATA!C155,"")</f>
        <v>26.3</v>
      </c>
      <c r="P156" s="2">
        <v>294094</v>
      </c>
      <c r="Q156" s="2" t="s">
        <v>1304</v>
      </c>
      <c r="R156" s="2" t="s">
        <v>1307</v>
      </c>
      <c r="S156" s="2">
        <v>342</v>
      </c>
      <c r="T156" s="2">
        <v>1</v>
      </c>
      <c r="U156" s="2" t="s">
        <v>141</v>
      </c>
      <c r="Y156" s="2">
        <v>1700</v>
      </c>
      <c r="Z156" s="11" t="s">
        <v>54</v>
      </c>
      <c r="AA156" s="11" t="str">
        <f t="shared" si="13"/>
        <v>1700 - TBN</v>
      </c>
      <c r="AC156" s="2" t="s">
        <v>145</v>
      </c>
      <c r="AD156" s="11" t="str">
        <f>IF($I156&lt;&gt;"",VLOOKUP($AC156,GEADRESSEERDE!$A$2:$E$4,2,),"")</f>
        <v>LUITHAGEN HAVEN 2 D</v>
      </c>
      <c r="AE156" s="11">
        <f>IF($I156&lt;&gt;"",VLOOKUP($AC156,GEADRESSEERDE!$A$2:$E$4,3,),"")</f>
        <v>2030</v>
      </c>
      <c r="AF156" s="11" t="str">
        <f>IF($I156&lt;&gt;"",VLOOKUP($AC156,GEADRESSEERDE!$A$2:$E$4,4,),"")</f>
        <v>ANTWERPEN</v>
      </c>
      <c r="AG156" s="11" t="str">
        <f>IF($I156&lt;&gt;"",VLOOKUP($AC156,GEADRESSEERDE!$A$2:$E$4,5,),"")</f>
        <v>BE</v>
      </c>
      <c r="AH156" s="11" t="str">
        <f>IF(I156&lt;&gt;"",VLOOKUP(AP156,KvB!$A$2:$B$3,2,FALSE),"")</f>
        <v>BE101000</v>
      </c>
      <c r="AI156" s="11" t="s">
        <v>55</v>
      </c>
      <c r="AJ156" s="11"/>
      <c r="AK156" s="11"/>
      <c r="AL156" s="11"/>
      <c r="AM156" s="11"/>
      <c r="AN156" s="11"/>
      <c r="AO156" s="11"/>
      <c r="AP156" s="2" t="s">
        <v>70</v>
      </c>
      <c r="AQ156" s="11" t="str">
        <f>IF(I156&lt;&gt;"",DATA!D155,"")</f>
        <v>8205598000</v>
      </c>
    </row>
    <row r="157" spans="1:43" ht="15.75" x14ac:dyDescent="0.25">
      <c r="A157" s="11" t="s">
        <v>57</v>
      </c>
      <c r="B157" s="11" t="s">
        <v>56</v>
      </c>
      <c r="C157" s="22">
        <f t="shared" si="14"/>
        <v>25001620</v>
      </c>
      <c r="D157" s="11" t="str">
        <f t="shared" si="11"/>
        <v>SKIIFM_AT</v>
      </c>
      <c r="E157" s="11" t="str">
        <f>IF(I157&lt;&gt;"",VLOOKUP(F157,OPDRACHTGEVER!$A$2:$B$4,2,FALSE),"")</f>
        <v>SKIIFM_AT</v>
      </c>
      <c r="F157" s="11" t="s">
        <v>58</v>
      </c>
      <c r="I157" s="11" t="str">
        <f>IF(DATA!B156&lt;&gt;"",DATA!B156,"")</f>
        <v>MSMU8704276</v>
      </c>
      <c r="J157" s="12">
        <v>0</v>
      </c>
      <c r="K157" s="11" t="s">
        <v>53</v>
      </c>
      <c r="L157" s="11" t="str">
        <f t="shared" si="12"/>
        <v>820411</v>
      </c>
      <c r="M157" s="11" t="str">
        <f>IF(I157&lt;&gt;"",DATA!E156,"")</f>
        <v>TORQUE WRENCH</v>
      </c>
      <c r="N157" s="12">
        <v>0</v>
      </c>
      <c r="O157" s="11">
        <f>IF(I157&lt;&gt;"",DATA!C156,"")</f>
        <v>4.5</v>
      </c>
      <c r="P157" s="2">
        <v>294094</v>
      </c>
      <c r="Q157" s="2" t="s">
        <v>1304</v>
      </c>
      <c r="R157" s="2" t="s">
        <v>1307</v>
      </c>
      <c r="S157" s="2">
        <v>342</v>
      </c>
      <c r="T157" s="2">
        <v>1</v>
      </c>
      <c r="U157" s="2" t="s">
        <v>141</v>
      </c>
      <c r="Y157" s="2">
        <v>1700</v>
      </c>
      <c r="Z157" s="11" t="s">
        <v>54</v>
      </c>
      <c r="AA157" s="11" t="str">
        <f t="shared" si="13"/>
        <v>1700 - TBN</v>
      </c>
      <c r="AC157" s="2" t="s">
        <v>145</v>
      </c>
      <c r="AD157" s="11" t="str">
        <f>IF($I157&lt;&gt;"",VLOOKUP($AC157,GEADRESSEERDE!$A$2:$E$4,2,),"")</f>
        <v>LUITHAGEN HAVEN 2 D</v>
      </c>
      <c r="AE157" s="11">
        <f>IF($I157&lt;&gt;"",VLOOKUP($AC157,GEADRESSEERDE!$A$2:$E$4,3,),"")</f>
        <v>2030</v>
      </c>
      <c r="AF157" s="11" t="str">
        <f>IF($I157&lt;&gt;"",VLOOKUP($AC157,GEADRESSEERDE!$A$2:$E$4,4,),"")</f>
        <v>ANTWERPEN</v>
      </c>
      <c r="AG157" s="11" t="str">
        <f>IF($I157&lt;&gt;"",VLOOKUP($AC157,GEADRESSEERDE!$A$2:$E$4,5,),"")</f>
        <v>BE</v>
      </c>
      <c r="AH157" s="11" t="str">
        <f>IF(I157&lt;&gt;"",VLOOKUP(AP157,KvB!$A$2:$B$3,2,FALSE),"")</f>
        <v>BE101000</v>
      </c>
      <c r="AI157" s="11" t="s">
        <v>55</v>
      </c>
      <c r="AJ157" s="11"/>
      <c r="AK157" s="11"/>
      <c r="AL157" s="11"/>
      <c r="AM157" s="11"/>
      <c r="AN157" s="11"/>
      <c r="AO157" s="11"/>
      <c r="AP157" s="2" t="s">
        <v>70</v>
      </c>
      <c r="AQ157" s="11" t="str">
        <f>IF(I157&lt;&gt;"",DATA!D156,"")</f>
        <v>8204110000</v>
      </c>
    </row>
    <row r="158" spans="1:43" ht="15.75" x14ac:dyDescent="0.25">
      <c r="A158" s="11" t="s">
        <v>57</v>
      </c>
      <c r="B158" s="11" t="s">
        <v>56</v>
      </c>
      <c r="C158" s="22">
        <f t="shared" si="14"/>
        <v>25001620</v>
      </c>
      <c r="D158" s="11" t="str">
        <f t="shared" si="11"/>
        <v>SKIIFM_AT</v>
      </c>
      <c r="E158" s="11" t="str">
        <f>IF(I158&lt;&gt;"",VLOOKUP(F158,OPDRACHTGEVER!$A$2:$B$4,2,FALSE),"")</f>
        <v>SKIIFM_AT</v>
      </c>
      <c r="F158" s="11" t="s">
        <v>58</v>
      </c>
      <c r="I158" s="11" t="str">
        <f>IF(DATA!B157&lt;&gt;"",DATA!B157,"")</f>
        <v>MSMU8704276</v>
      </c>
      <c r="J158" s="12">
        <v>0</v>
      </c>
      <c r="K158" s="11" t="s">
        <v>53</v>
      </c>
      <c r="L158" s="11" t="str">
        <f t="shared" si="12"/>
        <v>871680</v>
      </c>
      <c r="M158" s="11" t="str">
        <f>IF(I158&lt;&gt;"",DATA!E157,"")</f>
        <v>TRACTOR</v>
      </c>
      <c r="N158" s="12">
        <v>0</v>
      </c>
      <c r="O158" s="11">
        <f>IF(I158&lt;&gt;"",DATA!C157,"")</f>
        <v>164.76</v>
      </c>
      <c r="P158" s="2">
        <v>294094</v>
      </c>
      <c r="Q158" s="2" t="s">
        <v>1304</v>
      </c>
      <c r="R158" s="2" t="s">
        <v>1307</v>
      </c>
      <c r="S158" s="2">
        <v>342</v>
      </c>
      <c r="T158" s="2">
        <v>1</v>
      </c>
      <c r="U158" s="2" t="s">
        <v>141</v>
      </c>
      <c r="Y158" s="2">
        <v>1700</v>
      </c>
      <c r="Z158" s="11" t="s">
        <v>54</v>
      </c>
      <c r="AA158" s="11" t="str">
        <f t="shared" si="13"/>
        <v>1700 - TBN</v>
      </c>
      <c r="AC158" s="2" t="s">
        <v>145</v>
      </c>
      <c r="AD158" s="11" t="str">
        <f>IF($I158&lt;&gt;"",VLOOKUP($AC158,GEADRESSEERDE!$A$2:$E$4,2,),"")</f>
        <v>LUITHAGEN HAVEN 2 D</v>
      </c>
      <c r="AE158" s="11">
        <f>IF($I158&lt;&gt;"",VLOOKUP($AC158,GEADRESSEERDE!$A$2:$E$4,3,),"")</f>
        <v>2030</v>
      </c>
      <c r="AF158" s="11" t="str">
        <f>IF($I158&lt;&gt;"",VLOOKUP($AC158,GEADRESSEERDE!$A$2:$E$4,4,),"")</f>
        <v>ANTWERPEN</v>
      </c>
      <c r="AG158" s="11" t="str">
        <f>IF($I158&lt;&gt;"",VLOOKUP($AC158,GEADRESSEERDE!$A$2:$E$4,5,),"")</f>
        <v>BE</v>
      </c>
      <c r="AH158" s="11" t="str">
        <f>IF(I158&lt;&gt;"",VLOOKUP(AP158,KvB!$A$2:$B$3,2,FALSE),"")</f>
        <v>BE101000</v>
      </c>
      <c r="AI158" s="11" t="s">
        <v>55</v>
      </c>
      <c r="AJ158" s="11"/>
      <c r="AK158" s="11"/>
      <c r="AL158" s="11"/>
      <c r="AM158" s="11"/>
      <c r="AN158" s="11"/>
      <c r="AO158" s="11"/>
      <c r="AP158" s="2" t="s">
        <v>70</v>
      </c>
      <c r="AQ158" s="11" t="str">
        <f>IF(I158&lt;&gt;"",DATA!D157,"")</f>
        <v>8716800000</v>
      </c>
    </row>
    <row r="159" spans="1:43" ht="15.75" x14ac:dyDescent="0.25">
      <c r="A159" s="11" t="s">
        <v>57</v>
      </c>
      <c r="B159" s="11" t="s">
        <v>56</v>
      </c>
      <c r="C159" s="22">
        <f t="shared" si="14"/>
        <v>25001620</v>
      </c>
      <c r="D159" s="11" t="str">
        <f t="shared" si="11"/>
        <v>SKIIFM_AT</v>
      </c>
      <c r="E159" s="11" t="str">
        <f>IF(I159&lt;&gt;"",VLOOKUP(F159,OPDRACHTGEVER!$A$2:$B$4,2,FALSE),"")</f>
        <v>SKIIFM_AT</v>
      </c>
      <c r="F159" s="11" t="s">
        <v>58</v>
      </c>
      <c r="I159" s="11" t="str">
        <f>IF(DATA!B158&lt;&gt;"",DATA!B158,"")</f>
        <v>MSMU8704276</v>
      </c>
      <c r="J159" s="12">
        <v>0</v>
      </c>
      <c r="K159" s="11" t="s">
        <v>53</v>
      </c>
      <c r="L159" s="11" t="str">
        <f t="shared" si="12"/>
        <v>847989</v>
      </c>
      <c r="M159" s="11" t="str">
        <f>IF(I159&lt;&gt;"",DATA!E158,"")</f>
        <v>ULTRASONIC JEWELRY CLEANER</v>
      </c>
      <c r="N159" s="12">
        <v>0</v>
      </c>
      <c r="O159" s="11">
        <f>IF(I159&lt;&gt;"",DATA!C158,"")</f>
        <v>96.9</v>
      </c>
      <c r="P159" s="2">
        <v>294094</v>
      </c>
      <c r="Q159" s="2" t="s">
        <v>1304</v>
      </c>
      <c r="R159" s="2" t="s">
        <v>1307</v>
      </c>
      <c r="S159" s="2">
        <v>342</v>
      </c>
      <c r="T159" s="2">
        <v>1</v>
      </c>
      <c r="U159" s="2" t="s">
        <v>141</v>
      </c>
      <c r="Y159" s="2">
        <v>1700</v>
      </c>
      <c r="Z159" s="11" t="s">
        <v>54</v>
      </c>
      <c r="AA159" s="11" t="str">
        <f t="shared" si="13"/>
        <v>1700 - TBN</v>
      </c>
      <c r="AC159" s="2" t="s">
        <v>145</v>
      </c>
      <c r="AD159" s="11" t="str">
        <f>IF($I159&lt;&gt;"",VLOOKUP($AC159,GEADRESSEERDE!$A$2:$E$4,2,),"")</f>
        <v>LUITHAGEN HAVEN 2 D</v>
      </c>
      <c r="AE159" s="11">
        <f>IF($I159&lt;&gt;"",VLOOKUP($AC159,GEADRESSEERDE!$A$2:$E$4,3,),"")</f>
        <v>2030</v>
      </c>
      <c r="AF159" s="11" t="str">
        <f>IF($I159&lt;&gt;"",VLOOKUP($AC159,GEADRESSEERDE!$A$2:$E$4,4,),"")</f>
        <v>ANTWERPEN</v>
      </c>
      <c r="AG159" s="11" t="str">
        <f>IF($I159&lt;&gt;"",VLOOKUP($AC159,GEADRESSEERDE!$A$2:$E$4,5,),"")</f>
        <v>BE</v>
      </c>
      <c r="AH159" s="11" t="str">
        <f>IF(I159&lt;&gt;"",VLOOKUP(AP159,KvB!$A$2:$B$3,2,FALSE),"")</f>
        <v>BE101000</v>
      </c>
      <c r="AI159" s="11" t="s">
        <v>55</v>
      </c>
      <c r="AJ159" s="11"/>
      <c r="AK159" s="11"/>
      <c r="AL159" s="11"/>
      <c r="AM159" s="11"/>
      <c r="AN159" s="11"/>
      <c r="AO159" s="11"/>
      <c r="AP159" s="2" t="s">
        <v>70</v>
      </c>
      <c r="AQ159" s="11" t="str">
        <f>IF(I159&lt;&gt;"",DATA!D158,"")</f>
        <v>8479899790</v>
      </c>
    </row>
    <row r="160" spans="1:43" ht="15.75" x14ac:dyDescent="0.25">
      <c r="A160" s="11" t="s">
        <v>57</v>
      </c>
      <c r="B160" s="11" t="s">
        <v>56</v>
      </c>
      <c r="C160" s="22">
        <f t="shared" si="14"/>
        <v>25001620</v>
      </c>
      <c r="D160" s="11" t="str">
        <f t="shared" si="11"/>
        <v>SKIIFM_AT</v>
      </c>
      <c r="E160" s="11" t="str">
        <f>IF(I160&lt;&gt;"",VLOOKUP(F160,OPDRACHTGEVER!$A$2:$B$4,2,FALSE),"")</f>
        <v>SKIIFM_AT</v>
      </c>
      <c r="F160" s="11" t="s">
        <v>58</v>
      </c>
      <c r="I160" s="11" t="str">
        <f>IF(DATA!B159&lt;&gt;"",DATA!B159,"")</f>
        <v>MSMU8704276</v>
      </c>
      <c r="J160" s="12">
        <v>0</v>
      </c>
      <c r="K160" s="11" t="s">
        <v>53</v>
      </c>
      <c r="L160" s="11" t="str">
        <f t="shared" si="12"/>
        <v>902789</v>
      </c>
      <c r="M160" s="11" t="str">
        <f>IF(I160&lt;&gt;"",DATA!E159,"")</f>
        <v>WATER TANK TESTER</v>
      </c>
      <c r="N160" s="12">
        <v>0</v>
      </c>
      <c r="O160" s="11">
        <f>IF(I160&lt;&gt;"",DATA!C159,"")</f>
        <v>118.8</v>
      </c>
      <c r="P160" s="2">
        <v>294094</v>
      </c>
      <c r="Q160" s="2" t="s">
        <v>1304</v>
      </c>
      <c r="R160" s="2" t="s">
        <v>1307</v>
      </c>
      <c r="S160" s="2">
        <v>342</v>
      </c>
      <c r="T160" s="2">
        <v>1</v>
      </c>
      <c r="U160" s="2" t="s">
        <v>141</v>
      </c>
      <c r="Y160" s="2">
        <v>1700</v>
      </c>
      <c r="Z160" s="11" t="s">
        <v>54</v>
      </c>
      <c r="AA160" s="11" t="str">
        <f t="shared" si="13"/>
        <v>1700 - TBN</v>
      </c>
      <c r="AC160" s="2" t="s">
        <v>145</v>
      </c>
      <c r="AD160" s="11" t="str">
        <f>IF($I160&lt;&gt;"",VLOOKUP($AC160,GEADRESSEERDE!$A$2:$E$4,2,),"")</f>
        <v>LUITHAGEN HAVEN 2 D</v>
      </c>
      <c r="AE160" s="11">
        <f>IF($I160&lt;&gt;"",VLOOKUP($AC160,GEADRESSEERDE!$A$2:$E$4,3,),"")</f>
        <v>2030</v>
      </c>
      <c r="AF160" s="11" t="str">
        <f>IF($I160&lt;&gt;"",VLOOKUP($AC160,GEADRESSEERDE!$A$2:$E$4,4,),"")</f>
        <v>ANTWERPEN</v>
      </c>
      <c r="AG160" s="11" t="str">
        <f>IF($I160&lt;&gt;"",VLOOKUP($AC160,GEADRESSEERDE!$A$2:$E$4,5,),"")</f>
        <v>BE</v>
      </c>
      <c r="AH160" s="11" t="str">
        <f>IF(I160&lt;&gt;"",VLOOKUP(AP160,KvB!$A$2:$B$3,2,FALSE),"")</f>
        <v>BE101000</v>
      </c>
      <c r="AI160" s="11" t="s">
        <v>55</v>
      </c>
      <c r="AJ160" s="11"/>
      <c r="AK160" s="11"/>
      <c r="AL160" s="11"/>
      <c r="AM160" s="11"/>
      <c r="AN160" s="11"/>
      <c r="AO160" s="11"/>
      <c r="AP160" s="2" t="s">
        <v>70</v>
      </c>
      <c r="AQ160" s="11" t="str">
        <f>IF(I160&lt;&gt;"",DATA!D159,"")</f>
        <v>9027899000</v>
      </c>
    </row>
    <row r="161" spans="1:43" ht="15.75" x14ac:dyDescent="0.25">
      <c r="A161" s="11" t="s">
        <v>57</v>
      </c>
      <c r="B161" s="11" t="s">
        <v>56</v>
      </c>
      <c r="C161" s="22">
        <f t="shared" si="14"/>
        <v>25001620</v>
      </c>
      <c r="D161" s="11" t="str">
        <f t="shared" si="11"/>
        <v>SKIIFM_AT</v>
      </c>
      <c r="E161" s="11" t="str">
        <f>IF(I161&lt;&gt;"",VLOOKUP(F161,OPDRACHTGEVER!$A$2:$B$4,2,FALSE),"")</f>
        <v>SKIIFM_AT</v>
      </c>
      <c r="F161" s="11" t="s">
        <v>58</v>
      </c>
      <c r="I161" s="11" t="str">
        <f>IF(DATA!B160&lt;&gt;"",DATA!B160,"")</f>
        <v>MSMU8704276</v>
      </c>
      <c r="J161" s="12">
        <v>0</v>
      </c>
      <c r="K161" s="11" t="s">
        <v>53</v>
      </c>
      <c r="L161" s="11" t="str">
        <f t="shared" si="12"/>
        <v>560790</v>
      </c>
      <c r="M161" s="11" t="str">
        <f>IF(I161&lt;&gt;"",DATA!E160,"")</f>
        <v>WINCH LINE</v>
      </c>
      <c r="N161" s="12">
        <v>0</v>
      </c>
      <c r="O161" s="11">
        <f>IF(I161&lt;&gt;"",DATA!C160,"")</f>
        <v>12.85</v>
      </c>
      <c r="P161" s="2">
        <v>294094</v>
      </c>
      <c r="Q161" s="2" t="s">
        <v>1304</v>
      </c>
      <c r="R161" s="2" t="s">
        <v>1307</v>
      </c>
      <c r="S161" s="2">
        <v>342</v>
      </c>
      <c r="T161" s="2">
        <v>1</v>
      </c>
      <c r="U161" s="2" t="s">
        <v>141</v>
      </c>
      <c r="Y161" s="2">
        <v>1700</v>
      </c>
      <c r="Z161" s="11" t="s">
        <v>54</v>
      </c>
      <c r="AA161" s="11" t="str">
        <f t="shared" si="13"/>
        <v>1700 - TBN</v>
      </c>
      <c r="AC161" s="2" t="s">
        <v>145</v>
      </c>
      <c r="AD161" s="11" t="str">
        <f>IF($I161&lt;&gt;"",VLOOKUP($AC161,GEADRESSEERDE!$A$2:$E$4,2,),"")</f>
        <v>LUITHAGEN HAVEN 2 D</v>
      </c>
      <c r="AE161" s="11">
        <f>IF($I161&lt;&gt;"",VLOOKUP($AC161,GEADRESSEERDE!$A$2:$E$4,3,),"")</f>
        <v>2030</v>
      </c>
      <c r="AF161" s="11" t="str">
        <f>IF($I161&lt;&gt;"",VLOOKUP($AC161,GEADRESSEERDE!$A$2:$E$4,4,),"")</f>
        <v>ANTWERPEN</v>
      </c>
      <c r="AG161" s="11" t="str">
        <f>IF($I161&lt;&gt;"",VLOOKUP($AC161,GEADRESSEERDE!$A$2:$E$4,5,),"")</f>
        <v>BE</v>
      </c>
      <c r="AH161" s="11" t="str">
        <f>IF(I161&lt;&gt;"",VLOOKUP(AP161,KvB!$A$2:$B$3,2,FALSE),"")</f>
        <v>BE101000</v>
      </c>
      <c r="AI161" s="11" t="s">
        <v>55</v>
      </c>
      <c r="AJ161" s="11"/>
      <c r="AK161" s="11"/>
      <c r="AL161" s="11"/>
      <c r="AM161" s="11"/>
      <c r="AN161" s="11"/>
      <c r="AO161" s="11"/>
      <c r="AP161" s="2" t="s">
        <v>70</v>
      </c>
      <c r="AQ161" s="11" t="str">
        <f>IF(I161&lt;&gt;"",DATA!D160,"")</f>
        <v>5607909090</v>
      </c>
    </row>
    <row r="162" spans="1:43" ht="15.75" x14ac:dyDescent="0.25">
      <c r="A162" s="11" t="s">
        <v>57</v>
      </c>
      <c r="B162" s="11" t="s">
        <v>56</v>
      </c>
      <c r="C162" s="22">
        <f t="shared" si="14"/>
        <v>25001620</v>
      </c>
      <c r="D162" s="11" t="str">
        <f t="shared" si="11"/>
        <v>SKIIFM_AT</v>
      </c>
      <c r="E162" s="11" t="str">
        <f>IF(I162&lt;&gt;"",VLOOKUP(F162,OPDRACHTGEVER!$A$2:$B$4,2,FALSE),"")</f>
        <v>SKIIFM_AT</v>
      </c>
      <c r="F162" s="11" t="s">
        <v>58</v>
      </c>
      <c r="I162" s="11" t="str">
        <f>IF(DATA!B161&lt;&gt;"",DATA!B161,"")</f>
        <v>MSMU8704276</v>
      </c>
      <c r="J162" s="12">
        <v>0</v>
      </c>
      <c r="K162" s="11" t="s">
        <v>53</v>
      </c>
      <c r="L162" s="11" t="str">
        <f t="shared" si="12"/>
        <v>560749</v>
      </c>
      <c r="M162" s="11" t="str">
        <f>IF(I162&lt;&gt;"",DATA!E161,"")</f>
        <v>WINCH ROPE</v>
      </c>
      <c r="N162" s="12">
        <v>0</v>
      </c>
      <c r="O162" s="11">
        <f>IF(I162&lt;&gt;"",DATA!C161,"")</f>
        <v>2.4</v>
      </c>
      <c r="P162" s="2">
        <v>294094</v>
      </c>
      <c r="Q162" s="2" t="s">
        <v>1304</v>
      </c>
      <c r="R162" s="2" t="s">
        <v>1307</v>
      </c>
      <c r="S162" s="2">
        <v>342</v>
      </c>
      <c r="T162" s="2">
        <v>1</v>
      </c>
      <c r="U162" s="2" t="s">
        <v>141</v>
      </c>
      <c r="Y162" s="2">
        <v>1700</v>
      </c>
      <c r="Z162" s="11" t="s">
        <v>54</v>
      </c>
      <c r="AA162" s="11" t="str">
        <f t="shared" si="13"/>
        <v>1700 - TBN</v>
      </c>
      <c r="AC162" s="2" t="s">
        <v>145</v>
      </c>
      <c r="AD162" s="11" t="str">
        <f>IF($I162&lt;&gt;"",VLOOKUP($AC162,GEADRESSEERDE!$A$2:$E$4,2,),"")</f>
        <v>LUITHAGEN HAVEN 2 D</v>
      </c>
      <c r="AE162" s="11">
        <f>IF($I162&lt;&gt;"",VLOOKUP($AC162,GEADRESSEERDE!$A$2:$E$4,3,),"")</f>
        <v>2030</v>
      </c>
      <c r="AF162" s="11" t="str">
        <f>IF($I162&lt;&gt;"",VLOOKUP($AC162,GEADRESSEERDE!$A$2:$E$4,4,),"")</f>
        <v>ANTWERPEN</v>
      </c>
      <c r="AG162" s="11" t="str">
        <f>IF($I162&lt;&gt;"",VLOOKUP($AC162,GEADRESSEERDE!$A$2:$E$4,5,),"")</f>
        <v>BE</v>
      </c>
      <c r="AH162" s="11" t="str">
        <f>IF(I162&lt;&gt;"",VLOOKUP(AP162,KvB!$A$2:$B$3,2,FALSE),"")</f>
        <v>BE101000</v>
      </c>
      <c r="AI162" s="11" t="s">
        <v>55</v>
      </c>
      <c r="AJ162" s="11"/>
      <c r="AK162" s="11"/>
      <c r="AL162" s="11"/>
      <c r="AM162" s="11"/>
      <c r="AN162" s="11"/>
      <c r="AO162" s="11"/>
      <c r="AP162" s="2" t="s">
        <v>70</v>
      </c>
      <c r="AQ162" s="11" t="str">
        <f>IF(I162&lt;&gt;"",DATA!D161,"")</f>
        <v>5607491900</v>
      </c>
    </row>
    <row r="163" spans="1:43" ht="15.75" x14ac:dyDescent="0.25">
      <c r="A163" s="11" t="s">
        <v>57</v>
      </c>
      <c r="B163" s="11" t="s">
        <v>56</v>
      </c>
      <c r="C163" s="22">
        <f t="shared" si="14"/>
        <v>25001620</v>
      </c>
      <c r="D163" s="11" t="str">
        <f t="shared" si="11"/>
        <v>SKIIFM_AT</v>
      </c>
      <c r="E163" s="11" t="str">
        <f>IF(I163&lt;&gt;"",VLOOKUP(F163,OPDRACHTGEVER!$A$2:$B$4,2,FALSE),"")</f>
        <v>SKIIFM_AT</v>
      </c>
      <c r="F163" s="11" t="s">
        <v>58</v>
      </c>
      <c r="I163" s="11" t="str">
        <f>IF(DATA!B162&lt;&gt;"",DATA!B162,"")</f>
        <v>TCNU1351860</v>
      </c>
      <c r="J163" s="12">
        <v>706</v>
      </c>
      <c r="K163" s="11" t="s">
        <v>53</v>
      </c>
      <c r="L163" s="11" t="str">
        <f t="shared" si="12"/>
        <v>392690</v>
      </c>
      <c r="M163" s="11" t="str">
        <f>IF(I163&lt;&gt;"",DATA!E162,"")</f>
        <v>AIR COLUMN BAG</v>
      </c>
      <c r="N163" s="12">
        <v>12825</v>
      </c>
      <c r="O163" s="11">
        <f>IF(I163&lt;&gt;"",DATA!C162,"")</f>
        <v>54</v>
      </c>
      <c r="P163" s="2">
        <v>294094</v>
      </c>
      <c r="Q163" s="2" t="s">
        <v>1304</v>
      </c>
      <c r="R163" s="2" t="s">
        <v>1308</v>
      </c>
      <c r="S163" s="2">
        <v>567</v>
      </c>
      <c r="T163" s="2">
        <v>1</v>
      </c>
      <c r="U163" s="2" t="s">
        <v>141</v>
      </c>
      <c r="Y163" s="2">
        <v>1700</v>
      </c>
      <c r="Z163" s="11" t="s">
        <v>54</v>
      </c>
      <c r="AA163" s="11" t="str">
        <f t="shared" si="13"/>
        <v>1700 - TBN</v>
      </c>
      <c r="AC163" s="2" t="s">
        <v>145</v>
      </c>
      <c r="AD163" s="11" t="str">
        <f>IF($I163&lt;&gt;"",VLOOKUP($AC163,GEADRESSEERDE!$A$2:$E$4,2,),"")</f>
        <v>LUITHAGEN HAVEN 2 D</v>
      </c>
      <c r="AE163" s="11">
        <f>IF($I163&lt;&gt;"",VLOOKUP($AC163,GEADRESSEERDE!$A$2:$E$4,3,),"")</f>
        <v>2030</v>
      </c>
      <c r="AF163" s="11" t="str">
        <f>IF($I163&lt;&gt;"",VLOOKUP($AC163,GEADRESSEERDE!$A$2:$E$4,4,),"")</f>
        <v>ANTWERPEN</v>
      </c>
      <c r="AG163" s="11" t="str">
        <f>IF($I163&lt;&gt;"",VLOOKUP($AC163,GEADRESSEERDE!$A$2:$E$4,5,),"")</f>
        <v>BE</v>
      </c>
      <c r="AH163" s="11" t="str">
        <f>IF(I163&lt;&gt;"",VLOOKUP(AP163,KvB!$A$2:$B$3,2,FALSE),"")</f>
        <v>BE101000</v>
      </c>
      <c r="AI163" s="11" t="s">
        <v>55</v>
      </c>
      <c r="AJ163" s="11"/>
      <c r="AK163" s="11"/>
      <c r="AL163" s="11"/>
      <c r="AM163" s="11"/>
      <c r="AN163" s="11"/>
      <c r="AO163" s="11"/>
      <c r="AP163" s="2" t="s">
        <v>70</v>
      </c>
      <c r="AQ163" s="11" t="str">
        <f>IF(I163&lt;&gt;"",DATA!D162,"")</f>
        <v>3926909790</v>
      </c>
    </row>
    <row r="164" spans="1:43" ht="15.75" x14ac:dyDescent="0.25">
      <c r="A164" s="11" t="s">
        <v>57</v>
      </c>
      <c r="B164" s="11" t="s">
        <v>56</v>
      </c>
      <c r="C164" s="22">
        <f t="shared" si="14"/>
        <v>25001620</v>
      </c>
      <c r="D164" s="11" t="str">
        <f t="shared" si="11"/>
        <v>SKIIFM_AT</v>
      </c>
      <c r="E164" s="11" t="str">
        <f>IF(I164&lt;&gt;"",VLOOKUP(F164,OPDRACHTGEVER!$A$2:$B$4,2,FALSE),"")</f>
        <v>SKIIFM_AT</v>
      </c>
      <c r="F164" s="11" t="s">
        <v>58</v>
      </c>
      <c r="I164" s="11" t="str">
        <f>IF(DATA!B163&lt;&gt;"",DATA!B163,"")</f>
        <v>TCNU1351860</v>
      </c>
      <c r="J164" s="12">
        <v>0</v>
      </c>
      <c r="K164" s="11" t="s">
        <v>53</v>
      </c>
      <c r="L164" s="11" t="str">
        <f t="shared" si="12"/>
        <v>950490</v>
      </c>
      <c r="M164" s="11" t="str">
        <f>IF(I164&lt;&gt;"",DATA!E163,"")</f>
        <v>AIR HOCKEY TABLE</v>
      </c>
      <c r="N164" s="12">
        <v>0</v>
      </c>
      <c r="O164" s="11">
        <f>IF(I164&lt;&gt;"",DATA!C163,"")</f>
        <v>3532</v>
      </c>
      <c r="P164" s="2">
        <v>294094</v>
      </c>
      <c r="Q164" s="2" t="s">
        <v>1304</v>
      </c>
      <c r="R164" s="2" t="s">
        <v>1308</v>
      </c>
      <c r="S164" s="2">
        <v>567</v>
      </c>
      <c r="T164" s="2">
        <v>1</v>
      </c>
      <c r="U164" s="2" t="s">
        <v>141</v>
      </c>
      <c r="Y164" s="2">
        <v>1700</v>
      </c>
      <c r="Z164" s="11" t="s">
        <v>54</v>
      </c>
      <c r="AA164" s="11" t="str">
        <f t="shared" si="13"/>
        <v>1700 - TBN</v>
      </c>
      <c r="AC164" s="2" t="s">
        <v>145</v>
      </c>
      <c r="AD164" s="11" t="str">
        <f>IF($I164&lt;&gt;"",VLOOKUP($AC164,GEADRESSEERDE!$A$2:$E$4,2,),"")</f>
        <v>LUITHAGEN HAVEN 2 D</v>
      </c>
      <c r="AE164" s="11">
        <f>IF($I164&lt;&gt;"",VLOOKUP($AC164,GEADRESSEERDE!$A$2:$E$4,3,),"")</f>
        <v>2030</v>
      </c>
      <c r="AF164" s="11" t="str">
        <f>IF($I164&lt;&gt;"",VLOOKUP($AC164,GEADRESSEERDE!$A$2:$E$4,4,),"")</f>
        <v>ANTWERPEN</v>
      </c>
      <c r="AG164" s="11" t="str">
        <f>IF($I164&lt;&gt;"",VLOOKUP($AC164,GEADRESSEERDE!$A$2:$E$4,5,),"")</f>
        <v>BE</v>
      </c>
      <c r="AH164" s="11" t="str">
        <f>IF(I164&lt;&gt;"",VLOOKUP(AP164,KvB!$A$2:$B$3,2,FALSE),"")</f>
        <v>BE101000</v>
      </c>
      <c r="AI164" s="11" t="s">
        <v>55</v>
      </c>
      <c r="AJ164" s="11"/>
      <c r="AK164" s="11"/>
      <c r="AL164" s="11"/>
      <c r="AM164" s="11"/>
      <c r="AN164" s="11"/>
      <c r="AO164" s="11"/>
      <c r="AP164" s="2" t="s">
        <v>70</v>
      </c>
      <c r="AQ164" s="11" t="str">
        <f>IF(I164&lt;&gt;"",DATA!D163,"")</f>
        <v>9504908000</v>
      </c>
    </row>
    <row r="165" spans="1:43" ht="15.75" x14ac:dyDescent="0.25">
      <c r="A165" s="11" t="s">
        <v>57</v>
      </c>
      <c r="B165" s="11" t="s">
        <v>56</v>
      </c>
      <c r="C165" s="22">
        <f t="shared" si="14"/>
        <v>25001620</v>
      </c>
      <c r="D165" s="11" t="str">
        <f t="shared" si="11"/>
        <v>SKIIFM_AT</v>
      </c>
      <c r="E165" s="11" t="str">
        <f>IF(I165&lt;&gt;"",VLOOKUP(F165,OPDRACHTGEVER!$A$2:$B$4,2,FALSE),"")</f>
        <v>SKIIFM_AT</v>
      </c>
      <c r="F165" s="11" t="s">
        <v>58</v>
      </c>
      <c r="I165" s="11" t="str">
        <f>IF(DATA!B164&lt;&gt;"",DATA!B164,"")</f>
        <v>TCNU1351860</v>
      </c>
      <c r="J165" s="12">
        <v>0</v>
      </c>
      <c r="K165" s="11" t="s">
        <v>53</v>
      </c>
      <c r="L165" s="11" t="str">
        <f t="shared" si="12"/>
        <v>843880</v>
      </c>
      <c r="M165" s="11" t="str">
        <f>IF(I165&lt;&gt;"",DATA!E164,"")</f>
        <v>COIL</v>
      </c>
      <c r="N165" s="12">
        <v>0</v>
      </c>
      <c r="O165" s="11">
        <f>IF(I165&lt;&gt;"",DATA!C164,"")</f>
        <v>11.2</v>
      </c>
      <c r="P165" s="2">
        <v>294094</v>
      </c>
      <c r="Q165" s="2" t="s">
        <v>1304</v>
      </c>
      <c r="R165" s="2" t="s">
        <v>1308</v>
      </c>
      <c r="S165" s="2">
        <v>567</v>
      </c>
      <c r="T165" s="2">
        <v>1</v>
      </c>
      <c r="U165" s="2" t="s">
        <v>141</v>
      </c>
      <c r="Y165" s="2">
        <v>1700</v>
      </c>
      <c r="Z165" s="11" t="s">
        <v>54</v>
      </c>
      <c r="AA165" s="11" t="str">
        <f t="shared" si="13"/>
        <v>1700 - TBN</v>
      </c>
      <c r="AC165" s="2" t="s">
        <v>145</v>
      </c>
      <c r="AD165" s="11" t="str">
        <f>IF($I165&lt;&gt;"",VLOOKUP($AC165,GEADRESSEERDE!$A$2:$E$4,2,),"")</f>
        <v>LUITHAGEN HAVEN 2 D</v>
      </c>
      <c r="AE165" s="11">
        <f>IF($I165&lt;&gt;"",VLOOKUP($AC165,GEADRESSEERDE!$A$2:$E$4,3,),"")</f>
        <v>2030</v>
      </c>
      <c r="AF165" s="11" t="str">
        <f>IF($I165&lt;&gt;"",VLOOKUP($AC165,GEADRESSEERDE!$A$2:$E$4,4,),"")</f>
        <v>ANTWERPEN</v>
      </c>
      <c r="AG165" s="11" t="str">
        <f>IF($I165&lt;&gt;"",VLOOKUP($AC165,GEADRESSEERDE!$A$2:$E$4,5,),"")</f>
        <v>BE</v>
      </c>
      <c r="AH165" s="11" t="str">
        <f>IF(I165&lt;&gt;"",VLOOKUP(AP165,KvB!$A$2:$B$3,2,FALSE),"")</f>
        <v>BE101000</v>
      </c>
      <c r="AI165" s="11" t="s">
        <v>55</v>
      </c>
      <c r="AJ165" s="11"/>
      <c r="AK165" s="11"/>
      <c r="AL165" s="11"/>
      <c r="AM165" s="11"/>
      <c r="AN165" s="11"/>
      <c r="AO165" s="11"/>
      <c r="AP165" s="2" t="s">
        <v>70</v>
      </c>
      <c r="AQ165" s="11" t="str">
        <f>IF(I165&lt;&gt;"",DATA!D164,"")</f>
        <v>8438809900</v>
      </c>
    </row>
    <row r="166" spans="1:43" ht="15.75" x14ac:dyDescent="0.25">
      <c r="A166" s="11" t="s">
        <v>57</v>
      </c>
      <c r="B166" s="11" t="s">
        <v>56</v>
      </c>
      <c r="C166" s="22">
        <f t="shared" si="14"/>
        <v>25001620</v>
      </c>
      <c r="D166" s="11" t="str">
        <f t="shared" si="11"/>
        <v>SKIIFM_AT</v>
      </c>
      <c r="E166" s="11" t="str">
        <f>IF(I166&lt;&gt;"",VLOOKUP(F166,OPDRACHTGEVER!$A$2:$B$4,2,FALSE),"")</f>
        <v>SKIIFM_AT</v>
      </c>
      <c r="F166" s="11" t="s">
        <v>58</v>
      </c>
      <c r="I166" s="11" t="str">
        <f>IF(DATA!B165&lt;&gt;"",DATA!B165,"")</f>
        <v>TCNU1351860</v>
      </c>
      <c r="J166" s="12">
        <v>0</v>
      </c>
      <c r="K166" s="11" t="s">
        <v>53</v>
      </c>
      <c r="L166" s="11" t="str">
        <f t="shared" si="12"/>
        <v>820559</v>
      </c>
      <c r="M166" s="11" t="str">
        <f>IF(I166&lt;&gt;"",DATA!E165,"")</f>
        <v>DENT REPAIR KIT</v>
      </c>
      <c r="N166" s="12">
        <v>0</v>
      </c>
      <c r="O166" s="11">
        <f>IF(I166&lt;&gt;"",DATA!C165,"")</f>
        <v>66.5</v>
      </c>
      <c r="P166" s="2">
        <v>294094</v>
      </c>
      <c r="Q166" s="2" t="s">
        <v>1304</v>
      </c>
      <c r="R166" s="2" t="s">
        <v>1308</v>
      </c>
      <c r="S166" s="2">
        <v>567</v>
      </c>
      <c r="T166" s="2">
        <v>1</v>
      </c>
      <c r="U166" s="2" t="s">
        <v>141</v>
      </c>
      <c r="Y166" s="2">
        <v>1700</v>
      </c>
      <c r="Z166" s="11" t="s">
        <v>54</v>
      </c>
      <c r="AA166" s="11" t="str">
        <f t="shared" si="13"/>
        <v>1700 - TBN</v>
      </c>
      <c r="AC166" s="2" t="s">
        <v>145</v>
      </c>
      <c r="AD166" s="11" t="str">
        <f>IF($I166&lt;&gt;"",VLOOKUP($AC166,GEADRESSEERDE!$A$2:$E$4,2,),"")</f>
        <v>LUITHAGEN HAVEN 2 D</v>
      </c>
      <c r="AE166" s="11">
        <f>IF($I166&lt;&gt;"",VLOOKUP($AC166,GEADRESSEERDE!$A$2:$E$4,3,),"")</f>
        <v>2030</v>
      </c>
      <c r="AF166" s="11" t="str">
        <f>IF($I166&lt;&gt;"",VLOOKUP($AC166,GEADRESSEERDE!$A$2:$E$4,4,),"")</f>
        <v>ANTWERPEN</v>
      </c>
      <c r="AG166" s="11" t="str">
        <f>IF($I166&lt;&gt;"",VLOOKUP($AC166,GEADRESSEERDE!$A$2:$E$4,5,),"")</f>
        <v>BE</v>
      </c>
      <c r="AH166" s="11" t="str">
        <f>IF(I166&lt;&gt;"",VLOOKUP(AP166,KvB!$A$2:$B$3,2,FALSE),"")</f>
        <v>BE101000</v>
      </c>
      <c r="AI166" s="11" t="s">
        <v>55</v>
      </c>
      <c r="AJ166" s="11"/>
      <c r="AK166" s="11"/>
      <c r="AL166" s="11"/>
      <c r="AM166" s="11"/>
      <c r="AN166" s="11"/>
      <c r="AO166" s="11"/>
      <c r="AP166" s="2" t="s">
        <v>70</v>
      </c>
      <c r="AQ166" s="11" t="str">
        <f>IF(I166&lt;&gt;"",DATA!D165,"")</f>
        <v>8205598000</v>
      </c>
    </row>
    <row r="167" spans="1:43" ht="15.75" x14ac:dyDescent="0.25">
      <c r="A167" s="11" t="s">
        <v>57</v>
      </c>
      <c r="B167" s="11" t="s">
        <v>56</v>
      </c>
      <c r="C167" s="22">
        <f t="shared" si="14"/>
        <v>25001620</v>
      </c>
      <c r="D167" s="11" t="str">
        <f t="shared" si="11"/>
        <v>SKIIFM_AT</v>
      </c>
      <c r="E167" s="11" t="str">
        <f>IF(I167&lt;&gt;"",VLOOKUP(F167,OPDRACHTGEVER!$A$2:$B$4,2,FALSE),"")</f>
        <v>SKIIFM_AT</v>
      </c>
      <c r="F167" s="11" t="s">
        <v>58</v>
      </c>
      <c r="I167" s="11" t="str">
        <f>IF(DATA!B166&lt;&gt;"",DATA!B166,"")</f>
        <v>TCNU1351860</v>
      </c>
      <c r="J167" s="12">
        <v>0</v>
      </c>
      <c r="K167" s="11" t="s">
        <v>53</v>
      </c>
      <c r="L167" s="11" t="str">
        <f t="shared" si="12"/>
        <v>741920</v>
      </c>
      <c r="M167" s="11" t="str">
        <f>IF(I167&lt;&gt;"",DATA!E166,"")</f>
        <v>DINING STOVE</v>
      </c>
      <c r="N167" s="12">
        <v>0</v>
      </c>
      <c r="O167" s="11">
        <f>IF(I167&lt;&gt;"",DATA!C166,"")</f>
        <v>698.1</v>
      </c>
      <c r="P167" s="2">
        <v>294094</v>
      </c>
      <c r="Q167" s="2" t="s">
        <v>1304</v>
      </c>
      <c r="R167" s="2" t="s">
        <v>1308</v>
      </c>
      <c r="S167" s="2">
        <v>567</v>
      </c>
      <c r="T167" s="2">
        <v>1</v>
      </c>
      <c r="U167" s="2" t="s">
        <v>141</v>
      </c>
      <c r="Y167" s="2">
        <v>1700</v>
      </c>
      <c r="Z167" s="11" t="s">
        <v>54</v>
      </c>
      <c r="AA167" s="11" t="str">
        <f t="shared" si="13"/>
        <v>1700 - TBN</v>
      </c>
      <c r="AC167" s="2" t="s">
        <v>145</v>
      </c>
      <c r="AD167" s="11" t="str">
        <f>IF($I167&lt;&gt;"",VLOOKUP($AC167,GEADRESSEERDE!$A$2:$E$4,2,),"")</f>
        <v>LUITHAGEN HAVEN 2 D</v>
      </c>
      <c r="AE167" s="11">
        <f>IF($I167&lt;&gt;"",VLOOKUP($AC167,GEADRESSEERDE!$A$2:$E$4,3,),"")</f>
        <v>2030</v>
      </c>
      <c r="AF167" s="11" t="str">
        <f>IF($I167&lt;&gt;"",VLOOKUP($AC167,GEADRESSEERDE!$A$2:$E$4,4,),"")</f>
        <v>ANTWERPEN</v>
      </c>
      <c r="AG167" s="11" t="str">
        <f>IF($I167&lt;&gt;"",VLOOKUP($AC167,GEADRESSEERDE!$A$2:$E$4,5,),"")</f>
        <v>BE</v>
      </c>
      <c r="AH167" s="11" t="str">
        <f>IF(I167&lt;&gt;"",VLOOKUP(AP167,KvB!$A$2:$B$3,2,FALSE),"")</f>
        <v>BE101000</v>
      </c>
      <c r="AI167" s="11" t="s">
        <v>55</v>
      </c>
      <c r="AJ167" s="11"/>
      <c r="AK167" s="11"/>
      <c r="AL167" s="11"/>
      <c r="AM167" s="11"/>
      <c r="AN167" s="11"/>
      <c r="AO167" s="11"/>
      <c r="AP167" s="2" t="s">
        <v>70</v>
      </c>
      <c r="AQ167" s="11" t="str">
        <f>IF(I167&lt;&gt;"",DATA!D166,"")</f>
        <v>7419200090</v>
      </c>
    </row>
    <row r="168" spans="1:43" ht="15.75" x14ac:dyDescent="0.25">
      <c r="A168" s="11" t="s">
        <v>57</v>
      </c>
      <c r="B168" s="11" t="s">
        <v>56</v>
      </c>
      <c r="C168" s="22">
        <f t="shared" si="14"/>
        <v>25001620</v>
      </c>
      <c r="D168" s="11" t="str">
        <f t="shared" si="11"/>
        <v>SKIIFM_AT</v>
      </c>
      <c r="E168" s="11" t="str">
        <f>IF(I168&lt;&gt;"",VLOOKUP(F168,OPDRACHTGEVER!$A$2:$B$4,2,FALSE),"")</f>
        <v>SKIIFM_AT</v>
      </c>
      <c r="F168" s="11" t="s">
        <v>58</v>
      </c>
      <c r="I168" s="11" t="str">
        <f>IF(DATA!B167&lt;&gt;"",DATA!B167,"")</f>
        <v>TCNU1351860</v>
      </c>
      <c r="J168" s="12">
        <v>0</v>
      </c>
      <c r="K168" s="11" t="s">
        <v>53</v>
      </c>
      <c r="L168" s="11" t="str">
        <f t="shared" si="12"/>
        <v>940179</v>
      </c>
      <c r="M168" s="11" t="str">
        <f>IF(I168&lt;&gt;"",DATA!E167,"")</f>
        <v>FIXED TUB TRANSFER BENCH</v>
      </c>
      <c r="N168" s="12">
        <v>0</v>
      </c>
      <c r="O168" s="11">
        <f>IF(I168&lt;&gt;"",DATA!C167,"")</f>
        <v>212.85</v>
      </c>
      <c r="P168" s="2">
        <v>294094</v>
      </c>
      <c r="Q168" s="2" t="s">
        <v>1304</v>
      </c>
      <c r="R168" s="2" t="s">
        <v>1308</v>
      </c>
      <c r="S168" s="2">
        <v>567</v>
      </c>
      <c r="T168" s="2">
        <v>1</v>
      </c>
      <c r="U168" s="2" t="s">
        <v>141</v>
      </c>
      <c r="Y168" s="2">
        <v>1700</v>
      </c>
      <c r="Z168" s="11" t="s">
        <v>54</v>
      </c>
      <c r="AA168" s="11" t="str">
        <f t="shared" si="13"/>
        <v>1700 - TBN</v>
      </c>
      <c r="AC168" s="2" t="s">
        <v>145</v>
      </c>
      <c r="AD168" s="11" t="str">
        <f>IF($I168&lt;&gt;"",VLOOKUP($AC168,GEADRESSEERDE!$A$2:$E$4,2,),"")</f>
        <v>LUITHAGEN HAVEN 2 D</v>
      </c>
      <c r="AE168" s="11">
        <f>IF($I168&lt;&gt;"",VLOOKUP($AC168,GEADRESSEERDE!$A$2:$E$4,3,),"")</f>
        <v>2030</v>
      </c>
      <c r="AF168" s="11" t="str">
        <f>IF($I168&lt;&gt;"",VLOOKUP($AC168,GEADRESSEERDE!$A$2:$E$4,4,),"")</f>
        <v>ANTWERPEN</v>
      </c>
      <c r="AG168" s="11" t="str">
        <f>IF($I168&lt;&gt;"",VLOOKUP($AC168,GEADRESSEERDE!$A$2:$E$4,5,),"")</f>
        <v>BE</v>
      </c>
      <c r="AH168" s="11" t="str">
        <f>IF(I168&lt;&gt;"",VLOOKUP(AP168,KvB!$A$2:$B$3,2,FALSE),"")</f>
        <v>BE101000</v>
      </c>
      <c r="AI168" s="11" t="s">
        <v>55</v>
      </c>
      <c r="AJ168" s="11"/>
      <c r="AK168" s="11"/>
      <c r="AL168" s="11"/>
      <c r="AM168" s="11"/>
      <c r="AN168" s="11"/>
      <c r="AO168" s="11"/>
      <c r="AP168" s="2" t="s">
        <v>70</v>
      </c>
      <c r="AQ168" s="11" t="str">
        <f>IF(I168&lt;&gt;"",DATA!D167,"")</f>
        <v>9401790000</v>
      </c>
    </row>
    <row r="169" spans="1:43" ht="15.75" x14ac:dyDescent="0.25">
      <c r="A169" s="11" t="s">
        <v>57</v>
      </c>
      <c r="B169" s="11" t="s">
        <v>56</v>
      </c>
      <c r="C169" s="22">
        <f t="shared" si="14"/>
        <v>25001620</v>
      </c>
      <c r="D169" s="11" t="str">
        <f t="shared" si="11"/>
        <v>SKIIFM_AT</v>
      </c>
      <c r="E169" s="11" t="str">
        <f>IF(I169&lt;&gt;"",VLOOKUP(F169,OPDRACHTGEVER!$A$2:$B$4,2,FALSE),"")</f>
        <v>SKIIFM_AT</v>
      </c>
      <c r="F169" s="11" t="s">
        <v>58</v>
      </c>
      <c r="I169" s="11" t="str">
        <f>IF(DATA!B168&lt;&gt;"",DATA!B168,"")</f>
        <v>TCNU1351860</v>
      </c>
      <c r="J169" s="12">
        <v>0</v>
      </c>
      <c r="K169" s="11" t="s">
        <v>53</v>
      </c>
      <c r="L169" s="11" t="str">
        <f t="shared" si="12"/>
        <v>950300</v>
      </c>
      <c r="M169" s="11" t="str">
        <f>IF(I169&lt;&gt;"",DATA!E168,"")</f>
        <v>FORT BUILDING KIT（BEAD）</v>
      </c>
      <c r="N169" s="12">
        <v>0</v>
      </c>
      <c r="O169" s="11">
        <f>IF(I169&lt;&gt;"",DATA!C168,"")</f>
        <v>111</v>
      </c>
      <c r="P169" s="2">
        <v>294094</v>
      </c>
      <c r="Q169" s="2" t="s">
        <v>1304</v>
      </c>
      <c r="R169" s="2" t="s">
        <v>1308</v>
      </c>
      <c r="S169" s="2">
        <v>567</v>
      </c>
      <c r="T169" s="2">
        <v>1</v>
      </c>
      <c r="U169" s="2" t="s">
        <v>141</v>
      </c>
      <c r="Y169" s="2">
        <v>1700</v>
      </c>
      <c r="Z169" s="11" t="s">
        <v>54</v>
      </c>
      <c r="AA169" s="11" t="str">
        <f t="shared" si="13"/>
        <v>1700 - TBN</v>
      </c>
      <c r="AC169" s="2" t="s">
        <v>145</v>
      </c>
      <c r="AD169" s="11" t="str">
        <f>IF($I169&lt;&gt;"",VLOOKUP($AC169,GEADRESSEERDE!$A$2:$E$4,2,),"")</f>
        <v>LUITHAGEN HAVEN 2 D</v>
      </c>
      <c r="AE169" s="11">
        <f>IF($I169&lt;&gt;"",VLOOKUP($AC169,GEADRESSEERDE!$A$2:$E$4,3,),"")</f>
        <v>2030</v>
      </c>
      <c r="AF169" s="11" t="str">
        <f>IF($I169&lt;&gt;"",VLOOKUP($AC169,GEADRESSEERDE!$A$2:$E$4,4,),"")</f>
        <v>ANTWERPEN</v>
      </c>
      <c r="AG169" s="11" t="str">
        <f>IF($I169&lt;&gt;"",VLOOKUP($AC169,GEADRESSEERDE!$A$2:$E$4,5,),"")</f>
        <v>BE</v>
      </c>
      <c r="AH169" s="11" t="str">
        <f>IF(I169&lt;&gt;"",VLOOKUP(AP169,KvB!$A$2:$B$3,2,FALSE),"")</f>
        <v>BE101000</v>
      </c>
      <c r="AI169" s="11" t="s">
        <v>55</v>
      </c>
      <c r="AJ169" s="11"/>
      <c r="AK169" s="11"/>
      <c r="AL169" s="11"/>
      <c r="AM169" s="11"/>
      <c r="AN169" s="11"/>
      <c r="AO169" s="11"/>
      <c r="AP169" s="2" t="s">
        <v>70</v>
      </c>
      <c r="AQ169" s="11" t="str">
        <f>IF(I169&lt;&gt;"",DATA!D168,"")</f>
        <v>9503008190</v>
      </c>
    </row>
    <row r="170" spans="1:43" ht="15.75" x14ac:dyDescent="0.25">
      <c r="A170" s="11" t="s">
        <v>57</v>
      </c>
      <c r="B170" s="11" t="s">
        <v>56</v>
      </c>
      <c r="C170" s="22">
        <f t="shared" si="14"/>
        <v>25001620</v>
      </c>
      <c r="D170" s="11" t="str">
        <f t="shared" si="11"/>
        <v>SKIIFM_AT</v>
      </c>
      <c r="E170" s="11" t="str">
        <f>IF(I170&lt;&gt;"",VLOOKUP(F170,OPDRACHTGEVER!$A$2:$B$4,2,FALSE),"")</f>
        <v>SKIIFM_AT</v>
      </c>
      <c r="F170" s="11" t="s">
        <v>58</v>
      </c>
      <c r="I170" s="11" t="str">
        <f>IF(DATA!B169&lt;&gt;"",DATA!B169,"")</f>
        <v>TCNU1351860</v>
      </c>
      <c r="J170" s="12">
        <v>0</v>
      </c>
      <c r="K170" s="11" t="s">
        <v>53</v>
      </c>
      <c r="L170" s="11" t="str">
        <f t="shared" si="12"/>
        <v>940320</v>
      </c>
      <c r="M170" s="11" t="str">
        <f>IF(I170&lt;&gt;"",DATA!E169,"")</f>
        <v>GARAGE TOOL CABINET</v>
      </c>
      <c r="N170" s="12">
        <v>0</v>
      </c>
      <c r="O170" s="11">
        <f>IF(I170&lt;&gt;"",DATA!C169,"")</f>
        <v>329.7</v>
      </c>
      <c r="P170" s="2">
        <v>294094</v>
      </c>
      <c r="Q170" s="2" t="s">
        <v>1304</v>
      </c>
      <c r="R170" s="2" t="s">
        <v>1308</v>
      </c>
      <c r="S170" s="2">
        <v>567</v>
      </c>
      <c r="T170" s="2">
        <v>1</v>
      </c>
      <c r="U170" s="2" t="s">
        <v>141</v>
      </c>
      <c r="Y170" s="2">
        <v>1700</v>
      </c>
      <c r="Z170" s="11" t="s">
        <v>54</v>
      </c>
      <c r="AA170" s="11" t="str">
        <f t="shared" si="13"/>
        <v>1700 - TBN</v>
      </c>
      <c r="AC170" s="2" t="s">
        <v>145</v>
      </c>
      <c r="AD170" s="11" t="str">
        <f>IF($I170&lt;&gt;"",VLOOKUP($AC170,GEADRESSEERDE!$A$2:$E$4,2,),"")</f>
        <v>LUITHAGEN HAVEN 2 D</v>
      </c>
      <c r="AE170" s="11">
        <f>IF($I170&lt;&gt;"",VLOOKUP($AC170,GEADRESSEERDE!$A$2:$E$4,3,),"")</f>
        <v>2030</v>
      </c>
      <c r="AF170" s="11" t="str">
        <f>IF($I170&lt;&gt;"",VLOOKUP($AC170,GEADRESSEERDE!$A$2:$E$4,4,),"")</f>
        <v>ANTWERPEN</v>
      </c>
      <c r="AG170" s="11" t="str">
        <f>IF($I170&lt;&gt;"",VLOOKUP($AC170,GEADRESSEERDE!$A$2:$E$4,5,),"")</f>
        <v>BE</v>
      </c>
      <c r="AH170" s="11" t="str">
        <f>IF(I170&lt;&gt;"",VLOOKUP(AP170,KvB!$A$2:$B$3,2,FALSE),"")</f>
        <v>BE101000</v>
      </c>
      <c r="AI170" s="11" t="s">
        <v>55</v>
      </c>
      <c r="AJ170" s="11"/>
      <c r="AK170" s="11"/>
      <c r="AL170" s="11"/>
      <c r="AM170" s="11"/>
      <c r="AN170" s="11"/>
      <c r="AO170" s="11"/>
      <c r="AP170" s="2" t="s">
        <v>70</v>
      </c>
      <c r="AQ170" s="11" t="str">
        <f>IF(I170&lt;&gt;"",DATA!D169,"")</f>
        <v>9403208000</v>
      </c>
    </row>
    <row r="171" spans="1:43" ht="15.75" x14ac:dyDescent="0.25">
      <c r="A171" s="11" t="s">
        <v>57</v>
      </c>
      <c r="B171" s="11" t="s">
        <v>56</v>
      </c>
      <c r="C171" s="22">
        <f t="shared" si="14"/>
        <v>25001620</v>
      </c>
      <c r="D171" s="11" t="str">
        <f t="shared" si="11"/>
        <v>SKIIFM_AT</v>
      </c>
      <c r="E171" s="11" t="str">
        <f>IF(I171&lt;&gt;"",VLOOKUP(F171,OPDRACHTGEVER!$A$2:$B$4,2,FALSE),"")</f>
        <v>SKIIFM_AT</v>
      </c>
      <c r="F171" s="11" t="s">
        <v>58</v>
      </c>
      <c r="I171" s="11" t="str">
        <f>IF(DATA!B170&lt;&gt;"",DATA!B170,"")</f>
        <v>TCNU1351860</v>
      </c>
      <c r="J171" s="12">
        <v>0</v>
      </c>
      <c r="K171" s="11" t="s">
        <v>53</v>
      </c>
      <c r="L171" s="11" t="str">
        <f t="shared" si="12"/>
        <v>420292</v>
      </c>
      <c r="M171" s="11" t="str">
        <f>IF(I171&lt;&gt;"",DATA!E170,"")</f>
        <v>GRADED CARD STORAGE BOX</v>
      </c>
      <c r="N171" s="12">
        <v>0</v>
      </c>
      <c r="O171" s="11">
        <f>IF(I171&lt;&gt;"",DATA!C170,"")</f>
        <v>42.75</v>
      </c>
      <c r="P171" s="2">
        <v>294094</v>
      </c>
      <c r="Q171" s="2" t="s">
        <v>1304</v>
      </c>
      <c r="R171" s="2" t="s">
        <v>1308</v>
      </c>
      <c r="S171" s="2">
        <v>567</v>
      </c>
      <c r="T171" s="2">
        <v>1</v>
      </c>
      <c r="U171" s="2" t="s">
        <v>141</v>
      </c>
      <c r="Y171" s="2">
        <v>1700</v>
      </c>
      <c r="Z171" s="11" t="s">
        <v>54</v>
      </c>
      <c r="AA171" s="11" t="str">
        <f t="shared" si="13"/>
        <v>1700 - TBN</v>
      </c>
      <c r="AC171" s="2" t="s">
        <v>145</v>
      </c>
      <c r="AD171" s="11" t="str">
        <f>IF($I171&lt;&gt;"",VLOOKUP($AC171,GEADRESSEERDE!$A$2:$E$4,2,),"")</f>
        <v>LUITHAGEN HAVEN 2 D</v>
      </c>
      <c r="AE171" s="11">
        <f>IF($I171&lt;&gt;"",VLOOKUP($AC171,GEADRESSEERDE!$A$2:$E$4,3,),"")</f>
        <v>2030</v>
      </c>
      <c r="AF171" s="11" t="str">
        <f>IF($I171&lt;&gt;"",VLOOKUP($AC171,GEADRESSEERDE!$A$2:$E$4,4,),"")</f>
        <v>ANTWERPEN</v>
      </c>
      <c r="AG171" s="11" t="str">
        <f>IF($I171&lt;&gt;"",VLOOKUP($AC171,GEADRESSEERDE!$A$2:$E$4,5,),"")</f>
        <v>BE</v>
      </c>
      <c r="AH171" s="11" t="str">
        <f>IF(I171&lt;&gt;"",VLOOKUP(AP171,KvB!$A$2:$B$3,2,FALSE),"")</f>
        <v>BE101000</v>
      </c>
      <c r="AI171" s="11" t="s">
        <v>55</v>
      </c>
      <c r="AJ171" s="11"/>
      <c r="AK171" s="11"/>
      <c r="AL171" s="11"/>
      <c r="AM171" s="11"/>
      <c r="AN171" s="11"/>
      <c r="AO171" s="11"/>
      <c r="AP171" s="2" t="s">
        <v>70</v>
      </c>
      <c r="AQ171" s="11" t="str">
        <f>IF(I171&lt;&gt;"",DATA!D170,"")</f>
        <v>4202929890</v>
      </c>
    </row>
    <row r="172" spans="1:43" ht="15.75" x14ac:dyDescent="0.25">
      <c r="A172" s="11" t="s">
        <v>57</v>
      </c>
      <c r="B172" s="11" t="s">
        <v>56</v>
      </c>
      <c r="C172" s="22">
        <f t="shared" si="14"/>
        <v>25001620</v>
      </c>
      <c r="D172" s="11" t="str">
        <f t="shared" si="11"/>
        <v>SKIIFM_AT</v>
      </c>
      <c r="E172" s="11" t="str">
        <f>IF(I172&lt;&gt;"",VLOOKUP(F172,OPDRACHTGEVER!$A$2:$B$4,2,FALSE),"")</f>
        <v>SKIIFM_AT</v>
      </c>
      <c r="F172" s="11" t="s">
        <v>58</v>
      </c>
      <c r="I172" s="11" t="str">
        <f>IF(DATA!B171&lt;&gt;"",DATA!B171,"")</f>
        <v>TCNU1351860</v>
      </c>
      <c r="J172" s="12">
        <v>0</v>
      </c>
      <c r="K172" s="11" t="s">
        <v>53</v>
      </c>
      <c r="L172" s="11" t="str">
        <f t="shared" si="12"/>
        <v>940370</v>
      </c>
      <c r="M172" s="11" t="str">
        <f>IF(I172&lt;&gt;"",DATA!E171,"")</f>
        <v>GUARD BAND</v>
      </c>
      <c r="N172" s="12">
        <v>0</v>
      </c>
      <c r="O172" s="11">
        <f>IF(I172&lt;&gt;"",DATA!C171,"")</f>
        <v>97.5</v>
      </c>
      <c r="P172" s="2">
        <v>294094</v>
      </c>
      <c r="Q172" s="2" t="s">
        <v>1304</v>
      </c>
      <c r="R172" s="2" t="s">
        <v>1308</v>
      </c>
      <c r="S172" s="2">
        <v>567</v>
      </c>
      <c r="T172" s="2">
        <v>1</v>
      </c>
      <c r="U172" s="2" t="s">
        <v>141</v>
      </c>
      <c r="Y172" s="2">
        <v>1700</v>
      </c>
      <c r="Z172" s="11" t="s">
        <v>54</v>
      </c>
      <c r="AA172" s="11" t="str">
        <f t="shared" si="13"/>
        <v>1700 - TBN</v>
      </c>
      <c r="AC172" s="2" t="s">
        <v>145</v>
      </c>
      <c r="AD172" s="11" t="str">
        <f>IF($I172&lt;&gt;"",VLOOKUP($AC172,GEADRESSEERDE!$A$2:$E$4,2,),"")</f>
        <v>LUITHAGEN HAVEN 2 D</v>
      </c>
      <c r="AE172" s="11">
        <f>IF($I172&lt;&gt;"",VLOOKUP($AC172,GEADRESSEERDE!$A$2:$E$4,3,),"")</f>
        <v>2030</v>
      </c>
      <c r="AF172" s="11" t="str">
        <f>IF($I172&lt;&gt;"",VLOOKUP($AC172,GEADRESSEERDE!$A$2:$E$4,4,),"")</f>
        <v>ANTWERPEN</v>
      </c>
      <c r="AG172" s="11" t="str">
        <f>IF($I172&lt;&gt;"",VLOOKUP($AC172,GEADRESSEERDE!$A$2:$E$4,5,),"")</f>
        <v>BE</v>
      </c>
      <c r="AH172" s="11" t="str">
        <f>IF(I172&lt;&gt;"",VLOOKUP(AP172,KvB!$A$2:$B$3,2,FALSE),"")</f>
        <v>BE101000</v>
      </c>
      <c r="AI172" s="11" t="s">
        <v>55</v>
      </c>
      <c r="AJ172" s="11"/>
      <c r="AK172" s="11"/>
      <c r="AL172" s="11"/>
      <c r="AM172" s="11"/>
      <c r="AN172" s="11"/>
      <c r="AO172" s="11"/>
      <c r="AP172" s="2" t="s">
        <v>70</v>
      </c>
      <c r="AQ172" s="11" t="str">
        <f>IF(I172&lt;&gt;"",DATA!D171,"")</f>
        <v>9403700000</v>
      </c>
    </row>
    <row r="173" spans="1:43" ht="15.75" x14ac:dyDescent="0.25">
      <c r="A173" s="11" t="s">
        <v>57</v>
      </c>
      <c r="B173" s="11" t="s">
        <v>56</v>
      </c>
      <c r="C173" s="22">
        <f t="shared" si="14"/>
        <v>25001620</v>
      </c>
      <c r="D173" s="11" t="str">
        <f t="shared" si="11"/>
        <v>SKIIFM_AT</v>
      </c>
      <c r="E173" s="11" t="str">
        <f>IF(I173&lt;&gt;"",VLOOKUP(F173,OPDRACHTGEVER!$A$2:$B$4,2,FALSE),"")</f>
        <v>SKIIFM_AT</v>
      </c>
      <c r="F173" s="11" t="s">
        <v>58</v>
      </c>
      <c r="I173" s="11" t="str">
        <f>IF(DATA!B172&lt;&gt;"",DATA!B172,"")</f>
        <v>TCNU1351860</v>
      </c>
      <c r="J173" s="12">
        <v>0</v>
      </c>
      <c r="K173" s="11" t="s">
        <v>53</v>
      </c>
      <c r="L173" s="11" t="str">
        <f t="shared" si="12"/>
        <v>841480</v>
      </c>
      <c r="M173" s="11" t="str">
        <f>IF(I173&lt;&gt;"",DATA!E172,"")</f>
        <v>HORN COMPRESSOR</v>
      </c>
      <c r="N173" s="12">
        <v>0</v>
      </c>
      <c r="O173" s="11">
        <f>IF(I173&lt;&gt;"",DATA!C172,"")</f>
        <v>132.30000000000001</v>
      </c>
      <c r="P173" s="2">
        <v>294094</v>
      </c>
      <c r="Q173" s="2" t="s">
        <v>1304</v>
      </c>
      <c r="R173" s="2" t="s">
        <v>1308</v>
      </c>
      <c r="S173" s="2">
        <v>567</v>
      </c>
      <c r="T173" s="2">
        <v>1</v>
      </c>
      <c r="U173" s="2" t="s">
        <v>141</v>
      </c>
      <c r="Y173" s="2">
        <v>1700</v>
      </c>
      <c r="Z173" s="11" t="s">
        <v>54</v>
      </c>
      <c r="AA173" s="11" t="str">
        <f t="shared" si="13"/>
        <v>1700 - TBN</v>
      </c>
      <c r="AC173" s="2" t="s">
        <v>145</v>
      </c>
      <c r="AD173" s="11" t="str">
        <f>IF($I173&lt;&gt;"",VLOOKUP($AC173,GEADRESSEERDE!$A$2:$E$4,2,),"")</f>
        <v>LUITHAGEN HAVEN 2 D</v>
      </c>
      <c r="AE173" s="11">
        <f>IF($I173&lt;&gt;"",VLOOKUP($AC173,GEADRESSEERDE!$A$2:$E$4,3,),"")</f>
        <v>2030</v>
      </c>
      <c r="AF173" s="11" t="str">
        <f>IF($I173&lt;&gt;"",VLOOKUP($AC173,GEADRESSEERDE!$A$2:$E$4,4,),"")</f>
        <v>ANTWERPEN</v>
      </c>
      <c r="AG173" s="11" t="str">
        <f>IF($I173&lt;&gt;"",VLOOKUP($AC173,GEADRESSEERDE!$A$2:$E$4,5,),"")</f>
        <v>BE</v>
      </c>
      <c r="AH173" s="11" t="str">
        <f>IF(I173&lt;&gt;"",VLOOKUP(AP173,KvB!$A$2:$B$3,2,FALSE),"")</f>
        <v>BE101000</v>
      </c>
      <c r="AI173" s="11" t="s">
        <v>55</v>
      </c>
      <c r="AJ173" s="11"/>
      <c r="AK173" s="11"/>
      <c r="AL173" s="11"/>
      <c r="AM173" s="11"/>
      <c r="AN173" s="11"/>
      <c r="AO173" s="11"/>
      <c r="AP173" s="2" t="s">
        <v>70</v>
      </c>
      <c r="AQ173" s="11" t="str">
        <f>IF(I173&lt;&gt;"",DATA!D172,"")</f>
        <v>8414808090</v>
      </c>
    </row>
    <row r="174" spans="1:43" ht="15.75" x14ac:dyDescent="0.25">
      <c r="A174" s="11" t="s">
        <v>57</v>
      </c>
      <c r="B174" s="11" t="s">
        <v>56</v>
      </c>
      <c r="C174" s="22">
        <f t="shared" si="14"/>
        <v>25001620</v>
      </c>
      <c r="D174" s="11" t="str">
        <f t="shared" si="11"/>
        <v>SKIIFM_AT</v>
      </c>
      <c r="E174" s="11" t="str">
        <f>IF(I174&lt;&gt;"",VLOOKUP(F174,OPDRACHTGEVER!$A$2:$B$4,2,FALSE),"")</f>
        <v>SKIIFM_AT</v>
      </c>
      <c r="F174" s="11" t="s">
        <v>58</v>
      </c>
      <c r="I174" s="11" t="str">
        <f>IF(DATA!B173&lt;&gt;"",DATA!B173,"")</f>
        <v>TCNU1351860</v>
      </c>
      <c r="J174" s="12">
        <v>0</v>
      </c>
      <c r="K174" s="11" t="s">
        <v>53</v>
      </c>
      <c r="L174" s="11" t="str">
        <f t="shared" si="12"/>
        <v>841869</v>
      </c>
      <c r="M174" s="11" t="str">
        <f>IF(I174&lt;&gt;"",DATA!E173,"")</f>
        <v>ICE CREAM MACHINERY</v>
      </c>
      <c r="N174" s="12">
        <v>0</v>
      </c>
      <c r="O174" s="11">
        <f>IF(I174&lt;&gt;"",DATA!C173,"")</f>
        <v>3690.8</v>
      </c>
      <c r="P174" s="2">
        <v>294094</v>
      </c>
      <c r="Q174" s="2" t="s">
        <v>1304</v>
      </c>
      <c r="R174" s="2" t="s">
        <v>1308</v>
      </c>
      <c r="S174" s="2">
        <v>567</v>
      </c>
      <c r="T174" s="2">
        <v>1</v>
      </c>
      <c r="U174" s="2" t="s">
        <v>141</v>
      </c>
      <c r="Y174" s="2">
        <v>1700</v>
      </c>
      <c r="Z174" s="11" t="s">
        <v>54</v>
      </c>
      <c r="AA174" s="11" t="str">
        <f t="shared" si="13"/>
        <v>1700 - TBN</v>
      </c>
      <c r="AC174" s="2" t="s">
        <v>145</v>
      </c>
      <c r="AD174" s="11" t="str">
        <f>IF($I174&lt;&gt;"",VLOOKUP($AC174,GEADRESSEERDE!$A$2:$E$4,2,),"")</f>
        <v>LUITHAGEN HAVEN 2 D</v>
      </c>
      <c r="AE174" s="11">
        <f>IF($I174&lt;&gt;"",VLOOKUP($AC174,GEADRESSEERDE!$A$2:$E$4,3,),"")</f>
        <v>2030</v>
      </c>
      <c r="AF174" s="11" t="str">
        <f>IF($I174&lt;&gt;"",VLOOKUP($AC174,GEADRESSEERDE!$A$2:$E$4,4,),"")</f>
        <v>ANTWERPEN</v>
      </c>
      <c r="AG174" s="11" t="str">
        <f>IF($I174&lt;&gt;"",VLOOKUP($AC174,GEADRESSEERDE!$A$2:$E$4,5,),"")</f>
        <v>BE</v>
      </c>
      <c r="AH174" s="11" t="str">
        <f>IF(I174&lt;&gt;"",VLOOKUP(AP174,KvB!$A$2:$B$3,2,FALSE),"")</f>
        <v>BE101000</v>
      </c>
      <c r="AI174" s="11" t="s">
        <v>55</v>
      </c>
      <c r="AJ174" s="11"/>
      <c r="AK174" s="11"/>
      <c r="AL174" s="11"/>
      <c r="AM174" s="11"/>
      <c r="AN174" s="11"/>
      <c r="AO174" s="11"/>
      <c r="AP174" s="2" t="s">
        <v>70</v>
      </c>
      <c r="AQ174" s="11" t="str">
        <f>IF(I174&lt;&gt;"",DATA!D173,"")</f>
        <v>8418690099</v>
      </c>
    </row>
    <row r="175" spans="1:43" ht="15.75" x14ac:dyDescent="0.25">
      <c r="A175" s="11" t="s">
        <v>57</v>
      </c>
      <c r="B175" s="11" t="s">
        <v>56</v>
      </c>
      <c r="C175" s="22">
        <f t="shared" si="14"/>
        <v>25001620</v>
      </c>
      <c r="D175" s="11" t="str">
        <f t="shared" si="11"/>
        <v>SKIIFM_AT</v>
      </c>
      <c r="E175" s="11" t="str">
        <f>IF(I175&lt;&gt;"",VLOOKUP(F175,OPDRACHTGEVER!$A$2:$B$4,2,FALSE),"")</f>
        <v>SKIIFM_AT</v>
      </c>
      <c r="F175" s="11" t="s">
        <v>58</v>
      </c>
      <c r="I175" s="11" t="str">
        <f>IF(DATA!B174&lt;&gt;"",DATA!B174,"")</f>
        <v>TCNU1351860</v>
      </c>
      <c r="J175" s="12">
        <v>0</v>
      </c>
      <c r="K175" s="11" t="s">
        <v>53</v>
      </c>
      <c r="L175" s="11" t="str">
        <f t="shared" si="12"/>
        <v>950662</v>
      </c>
      <c r="M175" s="11" t="str">
        <f>IF(I175&lt;&gt;"",DATA!E174,"")</f>
        <v>INFLATABLE BUMPER BALL</v>
      </c>
      <c r="N175" s="12">
        <v>0</v>
      </c>
      <c r="O175" s="11">
        <f>IF(I175&lt;&gt;"",DATA!C174,"")</f>
        <v>72</v>
      </c>
      <c r="P175" s="2">
        <v>294094</v>
      </c>
      <c r="Q175" s="2" t="s">
        <v>1304</v>
      </c>
      <c r="R175" s="2" t="s">
        <v>1308</v>
      </c>
      <c r="S175" s="2">
        <v>567</v>
      </c>
      <c r="T175" s="2">
        <v>1</v>
      </c>
      <c r="U175" s="2" t="s">
        <v>141</v>
      </c>
      <c r="Y175" s="2">
        <v>1700</v>
      </c>
      <c r="Z175" s="11" t="s">
        <v>54</v>
      </c>
      <c r="AA175" s="11" t="str">
        <f t="shared" si="13"/>
        <v>1700 - TBN</v>
      </c>
      <c r="AC175" s="2" t="s">
        <v>145</v>
      </c>
      <c r="AD175" s="11" t="str">
        <f>IF($I175&lt;&gt;"",VLOOKUP($AC175,GEADRESSEERDE!$A$2:$E$4,2,),"")</f>
        <v>LUITHAGEN HAVEN 2 D</v>
      </c>
      <c r="AE175" s="11">
        <f>IF($I175&lt;&gt;"",VLOOKUP($AC175,GEADRESSEERDE!$A$2:$E$4,3,),"")</f>
        <v>2030</v>
      </c>
      <c r="AF175" s="11" t="str">
        <f>IF($I175&lt;&gt;"",VLOOKUP($AC175,GEADRESSEERDE!$A$2:$E$4,4,),"")</f>
        <v>ANTWERPEN</v>
      </c>
      <c r="AG175" s="11" t="str">
        <f>IF($I175&lt;&gt;"",VLOOKUP($AC175,GEADRESSEERDE!$A$2:$E$4,5,),"")</f>
        <v>BE</v>
      </c>
      <c r="AH175" s="11" t="str">
        <f>IF(I175&lt;&gt;"",VLOOKUP(AP175,KvB!$A$2:$B$3,2,FALSE),"")</f>
        <v>BE101000</v>
      </c>
      <c r="AI175" s="11" t="s">
        <v>55</v>
      </c>
      <c r="AJ175" s="11"/>
      <c r="AK175" s="11"/>
      <c r="AL175" s="11"/>
      <c r="AM175" s="11"/>
      <c r="AN175" s="11"/>
      <c r="AO175" s="11"/>
      <c r="AP175" s="2" t="s">
        <v>70</v>
      </c>
      <c r="AQ175" s="11" t="str">
        <f>IF(I175&lt;&gt;"",DATA!D174,"")</f>
        <v>9506620000</v>
      </c>
    </row>
    <row r="176" spans="1:43" ht="15.75" x14ac:dyDescent="0.25">
      <c r="A176" s="11" t="s">
        <v>57</v>
      </c>
      <c r="B176" s="11" t="s">
        <v>56</v>
      </c>
      <c r="C176" s="22">
        <f t="shared" si="14"/>
        <v>25001620</v>
      </c>
      <c r="D176" s="11" t="str">
        <f t="shared" si="11"/>
        <v>SKIIFM_AT</v>
      </c>
      <c r="E176" s="11" t="str">
        <f>IF(I176&lt;&gt;"",VLOOKUP(F176,OPDRACHTGEVER!$A$2:$B$4,2,FALSE),"")</f>
        <v>SKIIFM_AT</v>
      </c>
      <c r="F176" s="11" t="s">
        <v>58</v>
      </c>
      <c r="I176" s="11" t="str">
        <f>IF(DATA!B175&lt;&gt;"",DATA!B175,"")</f>
        <v>TCNU1351860</v>
      </c>
      <c r="J176" s="12">
        <v>0</v>
      </c>
      <c r="K176" s="11" t="s">
        <v>53</v>
      </c>
      <c r="L176" s="11" t="str">
        <f t="shared" si="12"/>
        <v>902300</v>
      </c>
      <c r="M176" s="11" t="str">
        <f>IF(I176&lt;&gt;"",DATA!E175,"")</f>
        <v>INTUBATION MANIKIN STUDY TEACHING MODEL</v>
      </c>
      <c r="N176" s="12">
        <v>0</v>
      </c>
      <c r="O176" s="11">
        <f>IF(I176&lt;&gt;"",DATA!C175,"")</f>
        <v>28</v>
      </c>
      <c r="P176" s="2">
        <v>294094</v>
      </c>
      <c r="Q176" s="2" t="s">
        <v>1304</v>
      </c>
      <c r="R176" s="2" t="s">
        <v>1308</v>
      </c>
      <c r="S176" s="2">
        <v>567</v>
      </c>
      <c r="T176" s="2">
        <v>1</v>
      </c>
      <c r="U176" s="2" t="s">
        <v>141</v>
      </c>
      <c r="Y176" s="2">
        <v>1700</v>
      </c>
      <c r="Z176" s="11" t="s">
        <v>54</v>
      </c>
      <c r="AA176" s="11" t="str">
        <f t="shared" si="13"/>
        <v>1700 - TBN</v>
      </c>
      <c r="AC176" s="2" t="s">
        <v>145</v>
      </c>
      <c r="AD176" s="11" t="str">
        <f>IF($I176&lt;&gt;"",VLOOKUP($AC176,GEADRESSEERDE!$A$2:$E$4,2,),"")</f>
        <v>LUITHAGEN HAVEN 2 D</v>
      </c>
      <c r="AE176" s="11">
        <f>IF($I176&lt;&gt;"",VLOOKUP($AC176,GEADRESSEERDE!$A$2:$E$4,3,),"")</f>
        <v>2030</v>
      </c>
      <c r="AF176" s="11" t="str">
        <f>IF($I176&lt;&gt;"",VLOOKUP($AC176,GEADRESSEERDE!$A$2:$E$4,4,),"")</f>
        <v>ANTWERPEN</v>
      </c>
      <c r="AG176" s="11" t="str">
        <f>IF($I176&lt;&gt;"",VLOOKUP($AC176,GEADRESSEERDE!$A$2:$E$4,5,),"")</f>
        <v>BE</v>
      </c>
      <c r="AH176" s="11" t="str">
        <f>IF(I176&lt;&gt;"",VLOOKUP(AP176,KvB!$A$2:$B$3,2,FALSE),"")</f>
        <v>BE101000</v>
      </c>
      <c r="AI176" s="11" t="s">
        <v>55</v>
      </c>
      <c r="AJ176" s="11"/>
      <c r="AK176" s="11"/>
      <c r="AL176" s="11"/>
      <c r="AM176" s="11"/>
      <c r="AN176" s="11"/>
      <c r="AO176" s="11"/>
      <c r="AP176" s="2" t="s">
        <v>70</v>
      </c>
      <c r="AQ176" s="11" t="str">
        <f>IF(I176&lt;&gt;"",DATA!D175,"")</f>
        <v>9023008000</v>
      </c>
    </row>
    <row r="177" spans="1:43" ht="15.75" x14ac:dyDescent="0.25">
      <c r="A177" s="11" t="s">
        <v>57</v>
      </c>
      <c r="B177" s="11" t="s">
        <v>56</v>
      </c>
      <c r="C177" s="22">
        <f t="shared" si="14"/>
        <v>25001620</v>
      </c>
      <c r="D177" s="11" t="str">
        <f t="shared" si="11"/>
        <v>SKIIFM_AT</v>
      </c>
      <c r="E177" s="11" t="str">
        <f>IF(I177&lt;&gt;"",VLOOKUP(F177,OPDRACHTGEVER!$A$2:$B$4,2,FALSE),"")</f>
        <v>SKIIFM_AT</v>
      </c>
      <c r="F177" s="11" t="s">
        <v>58</v>
      </c>
      <c r="I177" s="11" t="str">
        <f>IF(DATA!B176&lt;&gt;"",DATA!B176,"")</f>
        <v>TCNU1351860</v>
      </c>
      <c r="J177" s="12">
        <v>0</v>
      </c>
      <c r="K177" s="11" t="s">
        <v>53</v>
      </c>
      <c r="L177" s="11" t="str">
        <f t="shared" si="12"/>
        <v>761699</v>
      </c>
      <c r="M177" s="11" t="str">
        <f>IF(I177&lt;&gt;"",DATA!E176,"")</f>
        <v>LOCKING ON BOTH SIDES RAISED TOILET SEAT</v>
      </c>
      <c r="N177" s="12">
        <v>0</v>
      </c>
      <c r="O177" s="11">
        <f>IF(I177&lt;&gt;"",DATA!C176,"")</f>
        <v>54</v>
      </c>
      <c r="P177" s="2">
        <v>294094</v>
      </c>
      <c r="Q177" s="2" t="s">
        <v>1304</v>
      </c>
      <c r="R177" s="2" t="s">
        <v>1308</v>
      </c>
      <c r="S177" s="2">
        <v>567</v>
      </c>
      <c r="T177" s="2">
        <v>1</v>
      </c>
      <c r="U177" s="2" t="s">
        <v>141</v>
      </c>
      <c r="Y177" s="2">
        <v>1700</v>
      </c>
      <c r="Z177" s="11" t="s">
        <v>54</v>
      </c>
      <c r="AA177" s="11" t="str">
        <f t="shared" si="13"/>
        <v>1700 - TBN</v>
      </c>
      <c r="AC177" s="2" t="s">
        <v>145</v>
      </c>
      <c r="AD177" s="11" t="str">
        <f>IF($I177&lt;&gt;"",VLOOKUP($AC177,GEADRESSEERDE!$A$2:$E$4,2,),"")</f>
        <v>LUITHAGEN HAVEN 2 D</v>
      </c>
      <c r="AE177" s="11">
        <f>IF($I177&lt;&gt;"",VLOOKUP($AC177,GEADRESSEERDE!$A$2:$E$4,3,),"")</f>
        <v>2030</v>
      </c>
      <c r="AF177" s="11" t="str">
        <f>IF($I177&lt;&gt;"",VLOOKUP($AC177,GEADRESSEERDE!$A$2:$E$4,4,),"")</f>
        <v>ANTWERPEN</v>
      </c>
      <c r="AG177" s="11" t="str">
        <f>IF($I177&lt;&gt;"",VLOOKUP($AC177,GEADRESSEERDE!$A$2:$E$4,5,),"")</f>
        <v>BE</v>
      </c>
      <c r="AH177" s="11" t="str">
        <f>IF(I177&lt;&gt;"",VLOOKUP(AP177,KvB!$A$2:$B$3,2,FALSE),"")</f>
        <v>BE101000</v>
      </c>
      <c r="AI177" s="11" t="s">
        <v>55</v>
      </c>
      <c r="AJ177" s="11"/>
      <c r="AK177" s="11"/>
      <c r="AL177" s="11"/>
      <c r="AM177" s="11"/>
      <c r="AN177" s="11"/>
      <c r="AO177" s="11"/>
      <c r="AP177" s="2" t="s">
        <v>70</v>
      </c>
      <c r="AQ177" s="11" t="str">
        <f>IF(I177&lt;&gt;"",DATA!D176,"")</f>
        <v>7616999009</v>
      </c>
    </row>
    <row r="178" spans="1:43" ht="15.75" x14ac:dyDescent="0.25">
      <c r="A178" s="11" t="s">
        <v>57</v>
      </c>
      <c r="B178" s="11" t="s">
        <v>56</v>
      </c>
      <c r="C178" s="22">
        <f t="shared" si="14"/>
        <v>25001620</v>
      </c>
      <c r="D178" s="11" t="str">
        <f t="shared" si="11"/>
        <v>SKIIFM_AT</v>
      </c>
      <c r="E178" s="11" t="str">
        <f>IF(I178&lt;&gt;"",VLOOKUP(F178,OPDRACHTGEVER!$A$2:$B$4,2,FALSE),"")</f>
        <v>SKIIFM_AT</v>
      </c>
      <c r="F178" s="11" t="s">
        <v>58</v>
      </c>
      <c r="I178" s="11" t="str">
        <f>IF(DATA!B177&lt;&gt;"",DATA!B177,"")</f>
        <v>TCNU1351860</v>
      </c>
      <c r="J178" s="12">
        <v>0</v>
      </c>
      <c r="K178" s="11" t="s">
        <v>53</v>
      </c>
      <c r="L178" s="11" t="str">
        <f t="shared" si="12"/>
        <v>741920</v>
      </c>
      <c r="M178" s="11" t="str">
        <f>IF(I178&lt;&gt;"",DATA!E177,"")</f>
        <v>METAL FENCE</v>
      </c>
      <c r="N178" s="12">
        <v>0</v>
      </c>
      <c r="O178" s="11">
        <f>IF(I178&lt;&gt;"",DATA!C177,"")</f>
        <v>88.8</v>
      </c>
      <c r="P178" s="2">
        <v>294094</v>
      </c>
      <c r="Q178" s="2" t="s">
        <v>1304</v>
      </c>
      <c r="R178" s="2" t="s">
        <v>1308</v>
      </c>
      <c r="S178" s="2">
        <v>567</v>
      </c>
      <c r="T178" s="2">
        <v>1</v>
      </c>
      <c r="U178" s="2" t="s">
        <v>141</v>
      </c>
      <c r="Y178" s="2">
        <v>1700</v>
      </c>
      <c r="Z178" s="11" t="s">
        <v>54</v>
      </c>
      <c r="AA178" s="11" t="str">
        <f t="shared" si="13"/>
        <v>1700 - TBN</v>
      </c>
      <c r="AC178" s="2" t="s">
        <v>145</v>
      </c>
      <c r="AD178" s="11" t="str">
        <f>IF($I178&lt;&gt;"",VLOOKUP($AC178,GEADRESSEERDE!$A$2:$E$4,2,),"")</f>
        <v>LUITHAGEN HAVEN 2 D</v>
      </c>
      <c r="AE178" s="11">
        <f>IF($I178&lt;&gt;"",VLOOKUP($AC178,GEADRESSEERDE!$A$2:$E$4,3,),"")</f>
        <v>2030</v>
      </c>
      <c r="AF178" s="11" t="str">
        <f>IF($I178&lt;&gt;"",VLOOKUP($AC178,GEADRESSEERDE!$A$2:$E$4,4,),"")</f>
        <v>ANTWERPEN</v>
      </c>
      <c r="AG178" s="11" t="str">
        <f>IF($I178&lt;&gt;"",VLOOKUP($AC178,GEADRESSEERDE!$A$2:$E$4,5,),"")</f>
        <v>BE</v>
      </c>
      <c r="AH178" s="11" t="str">
        <f>IF(I178&lt;&gt;"",VLOOKUP(AP178,KvB!$A$2:$B$3,2,FALSE),"")</f>
        <v>BE101000</v>
      </c>
      <c r="AI178" s="11" t="s">
        <v>55</v>
      </c>
      <c r="AJ178" s="11"/>
      <c r="AK178" s="11"/>
      <c r="AL178" s="11"/>
      <c r="AM178" s="11"/>
      <c r="AN178" s="11"/>
      <c r="AO178" s="11"/>
      <c r="AP178" s="2" t="s">
        <v>70</v>
      </c>
      <c r="AQ178" s="11" t="str">
        <f>IF(I178&lt;&gt;"",DATA!D177,"")</f>
        <v>7419200090</v>
      </c>
    </row>
    <row r="179" spans="1:43" ht="15.75" x14ac:dyDescent="0.25">
      <c r="A179" s="11" t="s">
        <v>57</v>
      </c>
      <c r="B179" s="11" t="s">
        <v>56</v>
      </c>
      <c r="C179" s="22">
        <f t="shared" si="14"/>
        <v>25001620</v>
      </c>
      <c r="D179" s="11" t="str">
        <f t="shared" si="11"/>
        <v>SKIIFM_AT</v>
      </c>
      <c r="E179" s="11" t="str">
        <f>IF(I179&lt;&gt;"",VLOOKUP(F179,OPDRACHTGEVER!$A$2:$B$4,2,FALSE),"")</f>
        <v>SKIIFM_AT</v>
      </c>
      <c r="F179" s="11" t="s">
        <v>58</v>
      </c>
      <c r="I179" s="11" t="str">
        <f>IF(DATA!B178&lt;&gt;"",DATA!B178,"")</f>
        <v>TCNU1351860</v>
      </c>
      <c r="J179" s="12">
        <v>0</v>
      </c>
      <c r="K179" s="11" t="s">
        <v>53</v>
      </c>
      <c r="L179" s="11" t="str">
        <f t="shared" si="12"/>
        <v>846729</v>
      </c>
      <c r="M179" s="11" t="str">
        <f>IF(I179&lt;&gt;"",DATA!E178,"")</f>
        <v>POLISHER MACHINE</v>
      </c>
      <c r="N179" s="12">
        <v>0</v>
      </c>
      <c r="O179" s="11">
        <f>IF(I179&lt;&gt;"",DATA!C178,"")</f>
        <v>61.6</v>
      </c>
      <c r="P179" s="2">
        <v>294094</v>
      </c>
      <c r="Q179" s="2" t="s">
        <v>1304</v>
      </c>
      <c r="R179" s="2" t="s">
        <v>1308</v>
      </c>
      <c r="S179" s="2">
        <v>567</v>
      </c>
      <c r="T179" s="2">
        <v>1</v>
      </c>
      <c r="U179" s="2" t="s">
        <v>141</v>
      </c>
      <c r="Y179" s="2">
        <v>1700</v>
      </c>
      <c r="Z179" s="11" t="s">
        <v>54</v>
      </c>
      <c r="AA179" s="11" t="str">
        <f t="shared" si="13"/>
        <v>1700 - TBN</v>
      </c>
      <c r="AC179" s="2" t="s">
        <v>145</v>
      </c>
      <c r="AD179" s="11" t="str">
        <f>IF($I179&lt;&gt;"",VLOOKUP($AC179,GEADRESSEERDE!$A$2:$E$4,2,),"")</f>
        <v>LUITHAGEN HAVEN 2 D</v>
      </c>
      <c r="AE179" s="11">
        <f>IF($I179&lt;&gt;"",VLOOKUP($AC179,GEADRESSEERDE!$A$2:$E$4,3,),"")</f>
        <v>2030</v>
      </c>
      <c r="AF179" s="11" t="str">
        <f>IF($I179&lt;&gt;"",VLOOKUP($AC179,GEADRESSEERDE!$A$2:$E$4,4,),"")</f>
        <v>ANTWERPEN</v>
      </c>
      <c r="AG179" s="11" t="str">
        <f>IF($I179&lt;&gt;"",VLOOKUP($AC179,GEADRESSEERDE!$A$2:$E$4,5,),"")</f>
        <v>BE</v>
      </c>
      <c r="AH179" s="11" t="str">
        <f>IF(I179&lt;&gt;"",VLOOKUP(AP179,KvB!$A$2:$B$3,2,FALSE),"")</f>
        <v>BE101000</v>
      </c>
      <c r="AI179" s="11" t="s">
        <v>55</v>
      </c>
      <c r="AJ179" s="11"/>
      <c r="AK179" s="11"/>
      <c r="AL179" s="11"/>
      <c r="AM179" s="11"/>
      <c r="AN179" s="11"/>
      <c r="AO179" s="11"/>
      <c r="AP179" s="2" t="s">
        <v>70</v>
      </c>
      <c r="AQ179" s="11" t="str">
        <f>IF(I179&lt;&gt;"",DATA!D178,"")</f>
        <v>8467295900</v>
      </c>
    </row>
    <row r="180" spans="1:43" ht="15.75" x14ac:dyDescent="0.25">
      <c r="A180" s="11" t="s">
        <v>57</v>
      </c>
      <c r="B180" s="11" t="s">
        <v>56</v>
      </c>
      <c r="C180" s="22">
        <f t="shared" si="14"/>
        <v>25001620</v>
      </c>
      <c r="D180" s="11" t="str">
        <f t="shared" ref="D180:D243" si="15">E180</f>
        <v>SKIIFM_AT</v>
      </c>
      <c r="E180" s="11" t="str">
        <f>IF(I180&lt;&gt;"",VLOOKUP(F180,OPDRACHTGEVER!$A$2:$B$4,2,FALSE),"")</f>
        <v>SKIIFM_AT</v>
      </c>
      <c r="F180" s="11" t="s">
        <v>58</v>
      </c>
      <c r="I180" s="11" t="str">
        <f>IF(DATA!B179&lt;&gt;"",DATA!B179,"")</f>
        <v>TCNU1351860</v>
      </c>
      <c r="J180" s="12">
        <v>0</v>
      </c>
      <c r="K180" s="11" t="s">
        <v>53</v>
      </c>
      <c r="L180" s="11" t="str">
        <f t="shared" ref="L180:L243" si="16">LEFT(AQ180,6)</f>
        <v>843810</v>
      </c>
      <c r="M180" s="11" t="str">
        <f>IF(I180&lt;&gt;"",DATA!E179,"")</f>
        <v>POPCORN MACHINE</v>
      </c>
      <c r="N180" s="12">
        <v>0</v>
      </c>
      <c r="O180" s="11">
        <f>IF(I180&lt;&gt;"",DATA!C179,"")</f>
        <v>337.6</v>
      </c>
      <c r="P180" s="2">
        <v>294094</v>
      </c>
      <c r="Q180" s="2" t="s">
        <v>1304</v>
      </c>
      <c r="R180" s="2" t="s">
        <v>1308</v>
      </c>
      <c r="S180" s="2">
        <v>567</v>
      </c>
      <c r="T180" s="2">
        <v>1</v>
      </c>
      <c r="U180" s="2" t="s">
        <v>141</v>
      </c>
      <c r="Y180" s="2">
        <v>1700</v>
      </c>
      <c r="Z180" s="11" t="s">
        <v>54</v>
      </c>
      <c r="AA180" s="11" t="str">
        <f t="shared" ref="AA180:AA243" si="17">IF(I180&lt;&gt;"",Y180&amp;" - "&amp;Z180,"")</f>
        <v>1700 - TBN</v>
      </c>
      <c r="AC180" s="2" t="s">
        <v>145</v>
      </c>
      <c r="AD180" s="11" t="str">
        <f>IF($I180&lt;&gt;"",VLOOKUP($AC180,GEADRESSEERDE!$A$2:$E$4,2,),"")</f>
        <v>LUITHAGEN HAVEN 2 D</v>
      </c>
      <c r="AE180" s="11">
        <f>IF($I180&lt;&gt;"",VLOOKUP($AC180,GEADRESSEERDE!$A$2:$E$4,3,),"")</f>
        <v>2030</v>
      </c>
      <c r="AF180" s="11" t="str">
        <f>IF($I180&lt;&gt;"",VLOOKUP($AC180,GEADRESSEERDE!$A$2:$E$4,4,),"")</f>
        <v>ANTWERPEN</v>
      </c>
      <c r="AG180" s="11" t="str">
        <f>IF($I180&lt;&gt;"",VLOOKUP($AC180,GEADRESSEERDE!$A$2:$E$4,5,),"")</f>
        <v>BE</v>
      </c>
      <c r="AH180" s="11" t="str">
        <f>IF(I180&lt;&gt;"",VLOOKUP(AP180,KvB!$A$2:$B$3,2,FALSE),"")</f>
        <v>BE101000</v>
      </c>
      <c r="AI180" s="11" t="s">
        <v>55</v>
      </c>
      <c r="AJ180" s="11"/>
      <c r="AK180" s="11"/>
      <c r="AL180" s="11"/>
      <c r="AM180" s="11"/>
      <c r="AN180" s="11"/>
      <c r="AO180" s="11"/>
      <c r="AP180" s="2" t="s">
        <v>70</v>
      </c>
      <c r="AQ180" s="11" t="str">
        <f>IF(I180&lt;&gt;"",DATA!D179,"")</f>
        <v>8438101000</v>
      </c>
    </row>
    <row r="181" spans="1:43" ht="15.75" x14ac:dyDescent="0.25">
      <c r="A181" s="11" t="s">
        <v>57</v>
      </c>
      <c r="B181" s="11" t="s">
        <v>56</v>
      </c>
      <c r="C181" s="22">
        <f t="shared" si="14"/>
        <v>25001620</v>
      </c>
      <c r="D181" s="11" t="str">
        <f t="shared" si="15"/>
        <v>SKIIFM_AT</v>
      </c>
      <c r="E181" s="11" t="str">
        <f>IF(I181&lt;&gt;"",VLOOKUP(F181,OPDRACHTGEVER!$A$2:$B$4,2,FALSE),"")</f>
        <v>SKIIFM_AT</v>
      </c>
      <c r="F181" s="11" t="s">
        <v>58</v>
      </c>
      <c r="I181" s="11" t="str">
        <f>IF(DATA!B180&lt;&gt;"",DATA!B180,"")</f>
        <v>TCNU1351860</v>
      </c>
      <c r="J181" s="12">
        <v>0</v>
      </c>
      <c r="K181" s="11" t="s">
        <v>53</v>
      </c>
      <c r="L181" s="11" t="str">
        <f t="shared" si="16"/>
        <v>741920</v>
      </c>
      <c r="M181" s="11" t="str">
        <f>IF(I181&lt;&gt;"",DATA!E180,"")</f>
        <v>QUEUE LINE PROTECT</v>
      </c>
      <c r="N181" s="12">
        <v>0</v>
      </c>
      <c r="O181" s="11">
        <f>IF(I181&lt;&gt;"",DATA!C180,"")</f>
        <v>414.4</v>
      </c>
      <c r="P181" s="2">
        <v>294094</v>
      </c>
      <c r="Q181" s="2" t="s">
        <v>1304</v>
      </c>
      <c r="R181" s="2" t="s">
        <v>1308</v>
      </c>
      <c r="S181" s="2">
        <v>567</v>
      </c>
      <c r="T181" s="2">
        <v>1</v>
      </c>
      <c r="U181" s="2" t="s">
        <v>141</v>
      </c>
      <c r="Y181" s="2">
        <v>1700</v>
      </c>
      <c r="Z181" s="11" t="s">
        <v>54</v>
      </c>
      <c r="AA181" s="11" t="str">
        <f t="shared" si="17"/>
        <v>1700 - TBN</v>
      </c>
      <c r="AC181" s="2" t="s">
        <v>145</v>
      </c>
      <c r="AD181" s="11" t="str">
        <f>IF($I181&lt;&gt;"",VLOOKUP($AC181,GEADRESSEERDE!$A$2:$E$4,2,),"")</f>
        <v>LUITHAGEN HAVEN 2 D</v>
      </c>
      <c r="AE181" s="11">
        <f>IF($I181&lt;&gt;"",VLOOKUP($AC181,GEADRESSEERDE!$A$2:$E$4,3,),"")</f>
        <v>2030</v>
      </c>
      <c r="AF181" s="11" t="str">
        <f>IF($I181&lt;&gt;"",VLOOKUP($AC181,GEADRESSEERDE!$A$2:$E$4,4,),"")</f>
        <v>ANTWERPEN</v>
      </c>
      <c r="AG181" s="11" t="str">
        <f>IF($I181&lt;&gt;"",VLOOKUP($AC181,GEADRESSEERDE!$A$2:$E$4,5,),"")</f>
        <v>BE</v>
      </c>
      <c r="AH181" s="11" t="str">
        <f>IF(I181&lt;&gt;"",VLOOKUP(AP181,KvB!$A$2:$B$3,2,FALSE),"")</f>
        <v>BE101000</v>
      </c>
      <c r="AI181" s="11" t="s">
        <v>55</v>
      </c>
      <c r="AJ181" s="11"/>
      <c r="AK181" s="11"/>
      <c r="AL181" s="11"/>
      <c r="AM181" s="11"/>
      <c r="AN181" s="11"/>
      <c r="AO181" s="11"/>
      <c r="AP181" s="2" t="s">
        <v>70</v>
      </c>
      <c r="AQ181" s="11" t="str">
        <f>IF(I181&lt;&gt;"",DATA!D180,"")</f>
        <v>7419200090</v>
      </c>
    </row>
    <row r="182" spans="1:43" ht="15.75" x14ac:dyDescent="0.25">
      <c r="A182" s="11" t="s">
        <v>57</v>
      </c>
      <c r="B182" s="11" t="s">
        <v>56</v>
      </c>
      <c r="C182" s="22">
        <f t="shared" si="14"/>
        <v>25001620</v>
      </c>
      <c r="D182" s="11" t="str">
        <f t="shared" si="15"/>
        <v>SKIIFM_AT</v>
      </c>
      <c r="E182" s="11" t="str">
        <f>IF(I182&lt;&gt;"",VLOOKUP(F182,OPDRACHTGEVER!$A$2:$B$4,2,FALSE),"")</f>
        <v>SKIIFM_AT</v>
      </c>
      <c r="F182" s="11" t="s">
        <v>58</v>
      </c>
      <c r="I182" s="11" t="str">
        <f>IF(DATA!B181&lt;&gt;"",DATA!B181,"")</f>
        <v>TCNU1351860</v>
      </c>
      <c r="J182" s="12">
        <v>0</v>
      </c>
      <c r="K182" s="11" t="s">
        <v>53</v>
      </c>
      <c r="L182" s="11" t="str">
        <f t="shared" si="16"/>
        <v>870829</v>
      </c>
      <c r="M182" s="11" t="str">
        <f>IF(I182&lt;&gt;"",DATA!E181,"")</f>
        <v>ROOF RACK</v>
      </c>
      <c r="N182" s="12">
        <v>0</v>
      </c>
      <c r="O182" s="11">
        <f>IF(I182&lt;&gt;"",DATA!C181,"")</f>
        <v>44.1</v>
      </c>
      <c r="P182" s="2">
        <v>294094</v>
      </c>
      <c r="Q182" s="2" t="s">
        <v>1304</v>
      </c>
      <c r="R182" s="2" t="s">
        <v>1308</v>
      </c>
      <c r="S182" s="2">
        <v>567</v>
      </c>
      <c r="T182" s="2">
        <v>1</v>
      </c>
      <c r="U182" s="2" t="s">
        <v>141</v>
      </c>
      <c r="Y182" s="2">
        <v>1700</v>
      </c>
      <c r="Z182" s="11" t="s">
        <v>54</v>
      </c>
      <c r="AA182" s="11" t="str">
        <f t="shared" si="17"/>
        <v>1700 - TBN</v>
      </c>
      <c r="AC182" s="2" t="s">
        <v>145</v>
      </c>
      <c r="AD182" s="11" t="str">
        <f>IF($I182&lt;&gt;"",VLOOKUP($AC182,GEADRESSEERDE!$A$2:$E$4,2,),"")</f>
        <v>LUITHAGEN HAVEN 2 D</v>
      </c>
      <c r="AE182" s="11">
        <f>IF($I182&lt;&gt;"",VLOOKUP($AC182,GEADRESSEERDE!$A$2:$E$4,3,),"")</f>
        <v>2030</v>
      </c>
      <c r="AF182" s="11" t="str">
        <f>IF($I182&lt;&gt;"",VLOOKUP($AC182,GEADRESSEERDE!$A$2:$E$4,4,),"")</f>
        <v>ANTWERPEN</v>
      </c>
      <c r="AG182" s="11" t="str">
        <f>IF($I182&lt;&gt;"",VLOOKUP($AC182,GEADRESSEERDE!$A$2:$E$4,5,),"")</f>
        <v>BE</v>
      </c>
      <c r="AH182" s="11" t="str">
        <f>IF(I182&lt;&gt;"",VLOOKUP(AP182,KvB!$A$2:$B$3,2,FALSE),"")</f>
        <v>BE101000</v>
      </c>
      <c r="AI182" s="11" t="s">
        <v>55</v>
      </c>
      <c r="AJ182" s="11"/>
      <c r="AK182" s="11"/>
      <c r="AL182" s="11"/>
      <c r="AM182" s="11"/>
      <c r="AN182" s="11"/>
      <c r="AO182" s="11"/>
      <c r="AP182" s="2" t="s">
        <v>70</v>
      </c>
      <c r="AQ182" s="11" t="str">
        <f>IF(I182&lt;&gt;"",DATA!D181,"")</f>
        <v>8708299000</v>
      </c>
    </row>
    <row r="183" spans="1:43" ht="15.75" x14ac:dyDescent="0.25">
      <c r="A183" s="11" t="s">
        <v>57</v>
      </c>
      <c r="B183" s="11" t="s">
        <v>56</v>
      </c>
      <c r="C183" s="22">
        <f t="shared" si="14"/>
        <v>25001620</v>
      </c>
      <c r="D183" s="11" t="str">
        <f t="shared" si="15"/>
        <v>SKIIFM_AT</v>
      </c>
      <c r="E183" s="11" t="str">
        <f>IF(I183&lt;&gt;"",VLOOKUP(F183,OPDRACHTGEVER!$A$2:$B$4,2,FALSE),"")</f>
        <v>SKIIFM_AT</v>
      </c>
      <c r="F183" s="11" t="s">
        <v>58</v>
      </c>
      <c r="I183" s="11" t="str">
        <f>IF(DATA!B182&lt;&gt;"",DATA!B182,"")</f>
        <v>TCNU1351860</v>
      </c>
      <c r="J183" s="12">
        <v>0</v>
      </c>
      <c r="K183" s="11" t="s">
        <v>53</v>
      </c>
      <c r="L183" s="11" t="str">
        <f t="shared" si="16"/>
        <v>741920</v>
      </c>
      <c r="M183" s="11" t="str">
        <f>IF(I183&lt;&gt;"",DATA!E182,"")</f>
        <v>SAFETY HANDRAIL</v>
      </c>
      <c r="N183" s="12">
        <v>0</v>
      </c>
      <c r="O183" s="11">
        <f>IF(I183&lt;&gt;"",DATA!C182,"")</f>
        <v>405.9</v>
      </c>
      <c r="P183" s="2">
        <v>294094</v>
      </c>
      <c r="Q183" s="2" t="s">
        <v>1304</v>
      </c>
      <c r="R183" s="2" t="s">
        <v>1308</v>
      </c>
      <c r="S183" s="2">
        <v>567</v>
      </c>
      <c r="T183" s="2">
        <v>1</v>
      </c>
      <c r="U183" s="2" t="s">
        <v>141</v>
      </c>
      <c r="Y183" s="2">
        <v>1700</v>
      </c>
      <c r="Z183" s="11" t="s">
        <v>54</v>
      </c>
      <c r="AA183" s="11" t="str">
        <f t="shared" si="17"/>
        <v>1700 - TBN</v>
      </c>
      <c r="AC183" s="2" t="s">
        <v>145</v>
      </c>
      <c r="AD183" s="11" t="str">
        <f>IF($I183&lt;&gt;"",VLOOKUP($AC183,GEADRESSEERDE!$A$2:$E$4,2,),"")</f>
        <v>LUITHAGEN HAVEN 2 D</v>
      </c>
      <c r="AE183" s="11">
        <f>IF($I183&lt;&gt;"",VLOOKUP($AC183,GEADRESSEERDE!$A$2:$E$4,3,),"")</f>
        <v>2030</v>
      </c>
      <c r="AF183" s="11" t="str">
        <f>IF($I183&lt;&gt;"",VLOOKUP($AC183,GEADRESSEERDE!$A$2:$E$4,4,),"")</f>
        <v>ANTWERPEN</v>
      </c>
      <c r="AG183" s="11" t="str">
        <f>IF($I183&lt;&gt;"",VLOOKUP($AC183,GEADRESSEERDE!$A$2:$E$4,5,),"")</f>
        <v>BE</v>
      </c>
      <c r="AH183" s="11" t="str">
        <f>IF(I183&lt;&gt;"",VLOOKUP(AP183,KvB!$A$2:$B$3,2,FALSE),"")</f>
        <v>BE101000</v>
      </c>
      <c r="AI183" s="11" t="s">
        <v>55</v>
      </c>
      <c r="AJ183" s="11"/>
      <c r="AK183" s="11"/>
      <c r="AL183" s="11"/>
      <c r="AM183" s="11"/>
      <c r="AN183" s="11"/>
      <c r="AO183" s="11"/>
      <c r="AP183" s="2" t="s">
        <v>70</v>
      </c>
      <c r="AQ183" s="11" t="str">
        <f>IF(I183&lt;&gt;"",DATA!D182,"")</f>
        <v>7419200090</v>
      </c>
    </row>
    <row r="184" spans="1:43" ht="15.75" x14ac:dyDescent="0.25">
      <c r="A184" s="11" t="s">
        <v>57</v>
      </c>
      <c r="B184" s="11" t="s">
        <v>56</v>
      </c>
      <c r="C184" s="22">
        <f t="shared" si="14"/>
        <v>25001620</v>
      </c>
      <c r="D184" s="11" t="str">
        <f t="shared" si="15"/>
        <v>SKIIFM_AT</v>
      </c>
      <c r="E184" s="11" t="str">
        <f>IF(I184&lt;&gt;"",VLOOKUP(F184,OPDRACHTGEVER!$A$2:$B$4,2,FALSE),"")</f>
        <v>SKIIFM_AT</v>
      </c>
      <c r="F184" s="11" t="s">
        <v>58</v>
      </c>
      <c r="I184" s="11" t="str">
        <f>IF(DATA!B183&lt;&gt;"",DATA!B183,"")</f>
        <v>TCNU1351860</v>
      </c>
      <c r="J184" s="12">
        <v>0</v>
      </c>
      <c r="K184" s="11" t="s">
        <v>53</v>
      </c>
      <c r="L184" s="11" t="str">
        <f t="shared" si="16"/>
        <v>940180</v>
      </c>
      <c r="M184" s="11" t="str">
        <f>IF(I184&lt;&gt;"",DATA!E183,"")</f>
        <v>STEP STOOL</v>
      </c>
      <c r="N184" s="12">
        <v>0</v>
      </c>
      <c r="O184" s="11">
        <f>IF(I184&lt;&gt;"",DATA!C183,"")</f>
        <v>58.5</v>
      </c>
      <c r="P184" s="2">
        <v>294094</v>
      </c>
      <c r="Q184" s="2" t="s">
        <v>1304</v>
      </c>
      <c r="R184" s="2" t="s">
        <v>1308</v>
      </c>
      <c r="S184" s="2">
        <v>567</v>
      </c>
      <c r="T184" s="2">
        <v>1</v>
      </c>
      <c r="U184" s="2" t="s">
        <v>141</v>
      </c>
      <c r="Y184" s="2">
        <v>1700</v>
      </c>
      <c r="Z184" s="11" t="s">
        <v>54</v>
      </c>
      <c r="AA184" s="11" t="str">
        <f t="shared" si="17"/>
        <v>1700 - TBN</v>
      </c>
      <c r="AC184" s="2" t="s">
        <v>145</v>
      </c>
      <c r="AD184" s="11" t="str">
        <f>IF($I184&lt;&gt;"",VLOOKUP($AC184,GEADRESSEERDE!$A$2:$E$4,2,),"")</f>
        <v>LUITHAGEN HAVEN 2 D</v>
      </c>
      <c r="AE184" s="11">
        <f>IF($I184&lt;&gt;"",VLOOKUP($AC184,GEADRESSEERDE!$A$2:$E$4,3,),"")</f>
        <v>2030</v>
      </c>
      <c r="AF184" s="11" t="str">
        <f>IF($I184&lt;&gt;"",VLOOKUP($AC184,GEADRESSEERDE!$A$2:$E$4,4,),"")</f>
        <v>ANTWERPEN</v>
      </c>
      <c r="AG184" s="11" t="str">
        <f>IF($I184&lt;&gt;"",VLOOKUP($AC184,GEADRESSEERDE!$A$2:$E$4,5,),"")</f>
        <v>BE</v>
      </c>
      <c r="AH184" s="11" t="str">
        <f>IF(I184&lt;&gt;"",VLOOKUP(AP184,KvB!$A$2:$B$3,2,FALSE),"")</f>
        <v>BE101000</v>
      </c>
      <c r="AI184" s="11" t="s">
        <v>55</v>
      </c>
      <c r="AJ184" s="11"/>
      <c r="AK184" s="11"/>
      <c r="AL184" s="11"/>
      <c r="AM184" s="11"/>
      <c r="AN184" s="11"/>
      <c r="AO184" s="11"/>
      <c r="AP184" s="2" t="s">
        <v>70</v>
      </c>
      <c r="AQ184" s="11" t="str">
        <f>IF(I184&lt;&gt;"",DATA!D183,"")</f>
        <v>9401800000</v>
      </c>
    </row>
    <row r="185" spans="1:43" ht="15.75" x14ac:dyDescent="0.25">
      <c r="A185" s="11" t="s">
        <v>57</v>
      </c>
      <c r="B185" s="11" t="s">
        <v>56</v>
      </c>
      <c r="C185" s="22">
        <f t="shared" si="14"/>
        <v>25001620</v>
      </c>
      <c r="D185" s="11" t="str">
        <f t="shared" si="15"/>
        <v>SKIIFM_AT</v>
      </c>
      <c r="E185" s="11" t="str">
        <f>IF(I185&lt;&gt;"",VLOOKUP(F185,OPDRACHTGEVER!$A$2:$B$4,2,FALSE),"")</f>
        <v>SKIIFM_AT</v>
      </c>
      <c r="F185" s="11" t="s">
        <v>58</v>
      </c>
      <c r="I185" s="11" t="str">
        <f>IF(DATA!B184&lt;&gt;"",DATA!B184,"")</f>
        <v>TCNU1351860</v>
      </c>
      <c r="J185" s="12">
        <v>0</v>
      </c>
      <c r="K185" s="11" t="s">
        <v>53</v>
      </c>
      <c r="L185" s="11" t="str">
        <f t="shared" si="16"/>
        <v>940320</v>
      </c>
      <c r="M185" s="11" t="str">
        <f>IF(I185&lt;&gt;"",DATA!E184,"")</f>
        <v>TV BRACKET</v>
      </c>
      <c r="N185" s="12">
        <v>0</v>
      </c>
      <c r="O185" s="11">
        <f>IF(I185&lt;&gt;"",DATA!C184,"")</f>
        <v>296.2</v>
      </c>
      <c r="P185" s="2">
        <v>294094</v>
      </c>
      <c r="Q185" s="2" t="s">
        <v>1304</v>
      </c>
      <c r="R185" s="2" t="s">
        <v>1308</v>
      </c>
      <c r="S185" s="2">
        <v>567</v>
      </c>
      <c r="T185" s="2">
        <v>1</v>
      </c>
      <c r="U185" s="2" t="s">
        <v>141</v>
      </c>
      <c r="Y185" s="2">
        <v>1700</v>
      </c>
      <c r="Z185" s="11" t="s">
        <v>54</v>
      </c>
      <c r="AA185" s="11" t="str">
        <f t="shared" si="17"/>
        <v>1700 - TBN</v>
      </c>
      <c r="AC185" s="2" t="s">
        <v>145</v>
      </c>
      <c r="AD185" s="11" t="str">
        <f>IF($I185&lt;&gt;"",VLOOKUP($AC185,GEADRESSEERDE!$A$2:$E$4,2,),"")</f>
        <v>LUITHAGEN HAVEN 2 D</v>
      </c>
      <c r="AE185" s="11">
        <f>IF($I185&lt;&gt;"",VLOOKUP($AC185,GEADRESSEERDE!$A$2:$E$4,3,),"")</f>
        <v>2030</v>
      </c>
      <c r="AF185" s="11" t="str">
        <f>IF($I185&lt;&gt;"",VLOOKUP($AC185,GEADRESSEERDE!$A$2:$E$4,4,),"")</f>
        <v>ANTWERPEN</v>
      </c>
      <c r="AG185" s="11" t="str">
        <f>IF($I185&lt;&gt;"",VLOOKUP($AC185,GEADRESSEERDE!$A$2:$E$4,5,),"")</f>
        <v>BE</v>
      </c>
      <c r="AH185" s="11" t="str">
        <f>IF(I185&lt;&gt;"",VLOOKUP(AP185,KvB!$A$2:$B$3,2,FALSE),"")</f>
        <v>BE101000</v>
      </c>
      <c r="AI185" s="11" t="s">
        <v>55</v>
      </c>
      <c r="AJ185" s="11"/>
      <c r="AK185" s="11"/>
      <c r="AL185" s="11"/>
      <c r="AM185" s="11"/>
      <c r="AN185" s="11"/>
      <c r="AO185" s="11"/>
      <c r="AP185" s="2" t="s">
        <v>70</v>
      </c>
      <c r="AQ185" s="11" t="str">
        <f>IF(I185&lt;&gt;"",DATA!D184,"")</f>
        <v>9403208000</v>
      </c>
    </row>
    <row r="186" spans="1:43" ht="15.75" x14ac:dyDescent="0.25">
      <c r="A186" s="11" t="s">
        <v>57</v>
      </c>
      <c r="B186" s="11" t="s">
        <v>56</v>
      </c>
      <c r="C186" s="22">
        <f t="shared" si="14"/>
        <v>25001620</v>
      </c>
      <c r="D186" s="11" t="str">
        <f t="shared" si="15"/>
        <v>SKIIFM_AT</v>
      </c>
      <c r="E186" s="11" t="str">
        <f>IF(I186&lt;&gt;"",VLOOKUP(F186,OPDRACHTGEVER!$A$2:$B$4,2,FALSE),"")</f>
        <v>SKIIFM_AT</v>
      </c>
      <c r="F186" s="11" t="s">
        <v>58</v>
      </c>
      <c r="I186" s="11" t="str">
        <f>IF(DATA!B185&lt;&gt;"",DATA!B185,"")</f>
        <v>TCNU1351860</v>
      </c>
      <c r="J186" s="12">
        <v>0</v>
      </c>
      <c r="K186" s="11" t="s">
        <v>53</v>
      </c>
      <c r="L186" s="11" t="str">
        <f t="shared" si="16"/>
        <v>660200</v>
      </c>
      <c r="M186" s="11" t="str">
        <f>IF(I186&lt;&gt;"",DATA!E185,"")</f>
        <v>UNDERARM CRUTCHES</v>
      </c>
      <c r="N186" s="12">
        <v>0</v>
      </c>
      <c r="O186" s="11">
        <f>IF(I186&lt;&gt;"",DATA!C185,"")</f>
        <v>40</v>
      </c>
      <c r="P186" s="2">
        <v>294094</v>
      </c>
      <c r="Q186" s="2" t="s">
        <v>1304</v>
      </c>
      <c r="R186" s="2" t="s">
        <v>1308</v>
      </c>
      <c r="S186" s="2">
        <v>567</v>
      </c>
      <c r="T186" s="2">
        <v>1</v>
      </c>
      <c r="U186" s="2" t="s">
        <v>141</v>
      </c>
      <c r="Y186" s="2">
        <v>1700</v>
      </c>
      <c r="Z186" s="11" t="s">
        <v>54</v>
      </c>
      <c r="AA186" s="11" t="str">
        <f t="shared" si="17"/>
        <v>1700 - TBN</v>
      </c>
      <c r="AC186" s="2" t="s">
        <v>145</v>
      </c>
      <c r="AD186" s="11" t="str">
        <f>IF($I186&lt;&gt;"",VLOOKUP($AC186,GEADRESSEERDE!$A$2:$E$4,2,),"")</f>
        <v>LUITHAGEN HAVEN 2 D</v>
      </c>
      <c r="AE186" s="11">
        <f>IF($I186&lt;&gt;"",VLOOKUP($AC186,GEADRESSEERDE!$A$2:$E$4,3,),"")</f>
        <v>2030</v>
      </c>
      <c r="AF186" s="11" t="str">
        <f>IF($I186&lt;&gt;"",VLOOKUP($AC186,GEADRESSEERDE!$A$2:$E$4,4,),"")</f>
        <v>ANTWERPEN</v>
      </c>
      <c r="AG186" s="11" t="str">
        <f>IF($I186&lt;&gt;"",VLOOKUP($AC186,GEADRESSEERDE!$A$2:$E$4,5,),"")</f>
        <v>BE</v>
      </c>
      <c r="AH186" s="11" t="str">
        <f>IF(I186&lt;&gt;"",VLOOKUP(AP186,KvB!$A$2:$B$3,2,FALSE),"")</f>
        <v>BE101000</v>
      </c>
      <c r="AI186" s="11" t="s">
        <v>55</v>
      </c>
      <c r="AJ186" s="11"/>
      <c r="AK186" s="11"/>
      <c r="AL186" s="11"/>
      <c r="AM186" s="11"/>
      <c r="AN186" s="11"/>
      <c r="AO186" s="11"/>
      <c r="AP186" s="2" t="s">
        <v>70</v>
      </c>
      <c r="AQ186" s="11" t="str">
        <f>IF(I186&lt;&gt;"",DATA!D185,"")</f>
        <v>6602000090</v>
      </c>
    </row>
    <row r="187" spans="1:43" ht="15.75" x14ac:dyDescent="0.25">
      <c r="A187" s="11" t="s">
        <v>57</v>
      </c>
      <c r="B187" s="11" t="s">
        <v>56</v>
      </c>
      <c r="C187" s="22">
        <f t="shared" si="14"/>
        <v>25001620</v>
      </c>
      <c r="D187" s="11" t="str">
        <f t="shared" si="15"/>
        <v>SKIIFM_AT</v>
      </c>
      <c r="E187" s="11" t="str">
        <f>IF(I187&lt;&gt;"",VLOOKUP(F187,OPDRACHTGEVER!$A$2:$B$4,2,FALSE),"")</f>
        <v>SKIIFM_AT</v>
      </c>
      <c r="F187" s="11" t="s">
        <v>58</v>
      </c>
      <c r="I187" s="11" t="str">
        <f>IF(DATA!B186&lt;&gt;"",DATA!B186,"")</f>
        <v>TCNU1351860</v>
      </c>
      <c r="J187" s="12">
        <v>0</v>
      </c>
      <c r="K187" s="11" t="s">
        <v>53</v>
      </c>
      <c r="L187" s="11" t="str">
        <f t="shared" si="16"/>
        <v>841830</v>
      </c>
      <c r="M187" s="11" t="str">
        <f>IF(I187&lt;&gt;"",DATA!E186,"")</f>
        <v>VEHICLE REFRIGERATOR</v>
      </c>
      <c r="N187" s="12">
        <v>0</v>
      </c>
      <c r="O187" s="11">
        <f>IF(I187&lt;&gt;"",DATA!C186,"")</f>
        <v>1820.1</v>
      </c>
      <c r="P187" s="2">
        <v>294094</v>
      </c>
      <c r="Q187" s="2" t="s">
        <v>1304</v>
      </c>
      <c r="R187" s="2" t="s">
        <v>1308</v>
      </c>
      <c r="S187" s="2">
        <v>567</v>
      </c>
      <c r="T187" s="2">
        <v>1</v>
      </c>
      <c r="U187" s="2" t="s">
        <v>141</v>
      </c>
      <c r="Y187" s="2">
        <v>1700</v>
      </c>
      <c r="Z187" s="11" t="s">
        <v>54</v>
      </c>
      <c r="AA187" s="11" t="str">
        <f t="shared" si="17"/>
        <v>1700 - TBN</v>
      </c>
      <c r="AC187" s="2" t="s">
        <v>145</v>
      </c>
      <c r="AD187" s="11" t="str">
        <f>IF($I187&lt;&gt;"",VLOOKUP($AC187,GEADRESSEERDE!$A$2:$E$4,2,),"")</f>
        <v>LUITHAGEN HAVEN 2 D</v>
      </c>
      <c r="AE187" s="11">
        <f>IF($I187&lt;&gt;"",VLOOKUP($AC187,GEADRESSEERDE!$A$2:$E$4,3,),"")</f>
        <v>2030</v>
      </c>
      <c r="AF187" s="11" t="str">
        <f>IF($I187&lt;&gt;"",VLOOKUP($AC187,GEADRESSEERDE!$A$2:$E$4,4,),"")</f>
        <v>ANTWERPEN</v>
      </c>
      <c r="AG187" s="11" t="str">
        <f>IF($I187&lt;&gt;"",VLOOKUP($AC187,GEADRESSEERDE!$A$2:$E$4,5,),"")</f>
        <v>BE</v>
      </c>
      <c r="AH187" s="11" t="str">
        <f>IF(I187&lt;&gt;"",VLOOKUP(AP187,KvB!$A$2:$B$3,2,FALSE),"")</f>
        <v>BE101000</v>
      </c>
      <c r="AI187" s="11" t="s">
        <v>55</v>
      </c>
      <c r="AJ187" s="11"/>
      <c r="AK187" s="11"/>
      <c r="AL187" s="11"/>
      <c r="AM187" s="11"/>
      <c r="AN187" s="11"/>
      <c r="AO187" s="11"/>
      <c r="AP187" s="2" t="s">
        <v>70</v>
      </c>
      <c r="AQ187" s="11" t="str">
        <f>IF(I187&lt;&gt;"",DATA!D186,"")</f>
        <v>8418302099</v>
      </c>
    </row>
    <row r="188" spans="1:43" ht="15.75" x14ac:dyDescent="0.25">
      <c r="A188" s="11" t="s">
        <v>57</v>
      </c>
      <c r="B188" s="11" t="s">
        <v>56</v>
      </c>
      <c r="C188" s="22">
        <f t="shared" si="14"/>
        <v>25001620</v>
      </c>
      <c r="D188" s="11" t="str">
        <f t="shared" si="15"/>
        <v>SKIIFM_AT</v>
      </c>
      <c r="E188" s="11" t="str">
        <f>IF(I188&lt;&gt;"",VLOOKUP(F188,OPDRACHTGEVER!$A$2:$B$4,2,FALSE),"")</f>
        <v>SKIIFM_AT</v>
      </c>
      <c r="F188" s="11" t="s">
        <v>58</v>
      </c>
      <c r="I188" s="11" t="str">
        <f>IF(DATA!B187&lt;&gt;"",DATA!B187,"")</f>
        <v>TCNU1351860</v>
      </c>
      <c r="J188" s="12">
        <v>0</v>
      </c>
      <c r="K188" s="11" t="s">
        <v>53</v>
      </c>
      <c r="L188" s="11" t="str">
        <f t="shared" si="16"/>
        <v>841350</v>
      </c>
      <c r="M188" s="11" t="str">
        <f>IF(I188&lt;&gt;"",DATA!E187,"")</f>
        <v>WATER PUMP</v>
      </c>
      <c r="N188" s="12">
        <v>0</v>
      </c>
      <c r="O188" s="11">
        <f>IF(I188&lt;&gt;"",DATA!C187,"")</f>
        <v>103</v>
      </c>
      <c r="P188" s="2">
        <v>294094</v>
      </c>
      <c r="Q188" s="2" t="s">
        <v>1304</v>
      </c>
      <c r="R188" s="2" t="s">
        <v>1308</v>
      </c>
      <c r="S188" s="2">
        <v>567</v>
      </c>
      <c r="T188" s="2">
        <v>1</v>
      </c>
      <c r="U188" s="2" t="s">
        <v>141</v>
      </c>
      <c r="Y188" s="2">
        <v>1700</v>
      </c>
      <c r="Z188" s="11" t="s">
        <v>54</v>
      </c>
      <c r="AA188" s="11" t="str">
        <f t="shared" si="17"/>
        <v>1700 - TBN</v>
      </c>
      <c r="AC188" s="2" t="s">
        <v>145</v>
      </c>
      <c r="AD188" s="11" t="str">
        <f>IF($I188&lt;&gt;"",VLOOKUP($AC188,GEADRESSEERDE!$A$2:$E$4,2,),"")</f>
        <v>LUITHAGEN HAVEN 2 D</v>
      </c>
      <c r="AE188" s="11">
        <f>IF($I188&lt;&gt;"",VLOOKUP($AC188,GEADRESSEERDE!$A$2:$E$4,3,),"")</f>
        <v>2030</v>
      </c>
      <c r="AF188" s="11" t="str">
        <f>IF($I188&lt;&gt;"",VLOOKUP($AC188,GEADRESSEERDE!$A$2:$E$4,4,),"")</f>
        <v>ANTWERPEN</v>
      </c>
      <c r="AG188" s="11" t="str">
        <f>IF($I188&lt;&gt;"",VLOOKUP($AC188,GEADRESSEERDE!$A$2:$E$4,5,),"")</f>
        <v>BE</v>
      </c>
      <c r="AH188" s="11" t="str">
        <f>IF(I188&lt;&gt;"",VLOOKUP(AP188,KvB!$A$2:$B$3,2,FALSE),"")</f>
        <v>BE101000</v>
      </c>
      <c r="AI188" s="11" t="s">
        <v>55</v>
      </c>
      <c r="AJ188" s="11"/>
      <c r="AK188" s="11"/>
      <c r="AL188" s="11"/>
      <c r="AM188" s="11"/>
      <c r="AN188" s="11"/>
      <c r="AO188" s="11"/>
      <c r="AP188" s="2" t="s">
        <v>70</v>
      </c>
      <c r="AQ188" s="11" t="str">
        <f>IF(I188&lt;&gt;"",DATA!D187,"")</f>
        <v>8413502090</v>
      </c>
    </row>
    <row r="189" spans="1:43" ht="15.75" x14ac:dyDescent="0.25">
      <c r="A189" s="11" t="s">
        <v>57</v>
      </c>
      <c r="B189" s="11" t="s">
        <v>56</v>
      </c>
      <c r="C189" s="22">
        <f t="shared" si="14"/>
        <v>25001620</v>
      </c>
      <c r="D189" s="11" t="str">
        <f t="shared" si="15"/>
        <v>SKIIFM_AT</v>
      </c>
      <c r="E189" s="11" t="str">
        <f>IF(I189&lt;&gt;"",VLOOKUP(F189,OPDRACHTGEVER!$A$2:$B$4,2,FALSE),"")</f>
        <v>SKIIFM_AT</v>
      </c>
      <c r="F189" s="11" t="s">
        <v>58</v>
      </c>
      <c r="I189" s="11" t="str">
        <f>IF(DATA!B188&lt;&gt;"",DATA!B188,"")</f>
        <v>TCNU1351860</v>
      </c>
      <c r="J189" s="12">
        <v>0</v>
      </c>
      <c r="K189" s="11" t="s">
        <v>53</v>
      </c>
      <c r="L189" s="11" t="str">
        <f t="shared" si="16"/>
        <v>420212</v>
      </c>
      <c r="M189" s="11" t="str">
        <f>IF(I189&lt;&gt;"",DATA!E188,"")</f>
        <v>WEATHERPROOF TROLLEY BOX</v>
      </c>
      <c r="N189" s="12">
        <v>0</v>
      </c>
      <c r="O189" s="11">
        <f>IF(I189&lt;&gt;"",DATA!C188,"")</f>
        <v>22</v>
      </c>
      <c r="P189" s="2">
        <v>294094</v>
      </c>
      <c r="Q189" s="2" t="s">
        <v>1304</v>
      </c>
      <c r="R189" s="2" t="s">
        <v>1308</v>
      </c>
      <c r="S189" s="2">
        <v>567</v>
      </c>
      <c r="T189" s="2">
        <v>1</v>
      </c>
      <c r="U189" s="2" t="s">
        <v>141</v>
      </c>
      <c r="Y189" s="2">
        <v>1700</v>
      </c>
      <c r="Z189" s="11" t="s">
        <v>54</v>
      </c>
      <c r="AA189" s="11" t="str">
        <f t="shared" si="17"/>
        <v>1700 - TBN</v>
      </c>
      <c r="AC189" s="2" t="s">
        <v>145</v>
      </c>
      <c r="AD189" s="11" t="str">
        <f>IF($I189&lt;&gt;"",VLOOKUP($AC189,GEADRESSEERDE!$A$2:$E$4,2,),"")</f>
        <v>LUITHAGEN HAVEN 2 D</v>
      </c>
      <c r="AE189" s="11">
        <f>IF($I189&lt;&gt;"",VLOOKUP($AC189,GEADRESSEERDE!$A$2:$E$4,3,),"")</f>
        <v>2030</v>
      </c>
      <c r="AF189" s="11" t="str">
        <f>IF($I189&lt;&gt;"",VLOOKUP($AC189,GEADRESSEERDE!$A$2:$E$4,4,),"")</f>
        <v>ANTWERPEN</v>
      </c>
      <c r="AG189" s="11" t="str">
        <f>IF($I189&lt;&gt;"",VLOOKUP($AC189,GEADRESSEERDE!$A$2:$E$4,5,),"")</f>
        <v>BE</v>
      </c>
      <c r="AH189" s="11" t="str">
        <f>IF(I189&lt;&gt;"",VLOOKUP(AP189,KvB!$A$2:$B$3,2,FALSE),"")</f>
        <v>BE101000</v>
      </c>
      <c r="AI189" s="11" t="s">
        <v>55</v>
      </c>
      <c r="AJ189" s="11"/>
      <c r="AK189" s="11"/>
      <c r="AL189" s="11"/>
      <c r="AM189" s="11"/>
      <c r="AN189" s="11"/>
      <c r="AO189" s="11"/>
      <c r="AP189" s="2" t="s">
        <v>70</v>
      </c>
      <c r="AQ189" s="11" t="str">
        <f>IF(I189&lt;&gt;"",DATA!D188,"")</f>
        <v>4202129990</v>
      </c>
    </row>
    <row r="190" spans="1:43" ht="15.75" x14ac:dyDescent="0.25">
      <c r="A190" s="11" t="s">
        <v>57</v>
      </c>
      <c r="B190" s="11" t="s">
        <v>56</v>
      </c>
      <c r="C190" s="22">
        <f t="shared" si="14"/>
        <v>25001620</v>
      </c>
      <c r="D190" s="11" t="str">
        <f t="shared" si="15"/>
        <v>SKIIFM_AT</v>
      </c>
      <c r="E190" s="11" t="str">
        <f>IF(I190&lt;&gt;"",VLOOKUP(F190,OPDRACHTGEVER!$A$2:$B$4,2,FALSE),"")</f>
        <v>SKIIFM_AT</v>
      </c>
      <c r="F190" s="11" t="s">
        <v>58</v>
      </c>
      <c r="I190" s="11" t="str">
        <f>IF(DATA!B189&lt;&gt;"",DATA!B189,"")</f>
        <v>TCNU1428597</v>
      </c>
      <c r="J190" s="12">
        <v>1060</v>
      </c>
      <c r="K190" s="11" t="s">
        <v>53</v>
      </c>
      <c r="L190" s="11" t="str">
        <f t="shared" si="16"/>
        <v>950490</v>
      </c>
      <c r="M190" s="11" t="str">
        <f>IF(I190&lt;&gt;"",DATA!E189,"")</f>
        <v>AIR HOCKEY TABLE</v>
      </c>
      <c r="N190" s="12">
        <v>15311</v>
      </c>
      <c r="O190" s="11">
        <f>IF(I190&lt;&gt;"",DATA!C189,"")</f>
        <v>3688.8</v>
      </c>
      <c r="P190" s="2">
        <v>294094</v>
      </c>
      <c r="Q190" s="2" t="s">
        <v>1304</v>
      </c>
      <c r="R190" s="2" t="s">
        <v>1309</v>
      </c>
      <c r="S190" s="2">
        <v>571</v>
      </c>
      <c r="T190" s="2">
        <v>1</v>
      </c>
      <c r="U190" s="2" t="s">
        <v>141</v>
      </c>
      <c r="Y190" s="2">
        <v>1700</v>
      </c>
      <c r="Z190" s="11" t="s">
        <v>54</v>
      </c>
      <c r="AA190" s="11" t="str">
        <f t="shared" si="17"/>
        <v>1700 - TBN</v>
      </c>
      <c r="AC190" s="2" t="s">
        <v>145</v>
      </c>
      <c r="AD190" s="11" t="str">
        <f>IF($I190&lt;&gt;"",VLOOKUP($AC190,GEADRESSEERDE!$A$2:$E$4,2,),"")</f>
        <v>LUITHAGEN HAVEN 2 D</v>
      </c>
      <c r="AE190" s="11">
        <f>IF($I190&lt;&gt;"",VLOOKUP($AC190,GEADRESSEERDE!$A$2:$E$4,3,),"")</f>
        <v>2030</v>
      </c>
      <c r="AF190" s="11" t="str">
        <f>IF($I190&lt;&gt;"",VLOOKUP($AC190,GEADRESSEERDE!$A$2:$E$4,4,),"")</f>
        <v>ANTWERPEN</v>
      </c>
      <c r="AG190" s="11" t="str">
        <f>IF($I190&lt;&gt;"",VLOOKUP($AC190,GEADRESSEERDE!$A$2:$E$4,5,),"")</f>
        <v>BE</v>
      </c>
      <c r="AH190" s="11" t="str">
        <f>IF(I190&lt;&gt;"",VLOOKUP(AP190,KvB!$A$2:$B$3,2,FALSE),"")</f>
        <v>BE101000</v>
      </c>
      <c r="AI190" s="11" t="s">
        <v>55</v>
      </c>
      <c r="AJ190" s="11"/>
      <c r="AK190" s="11"/>
      <c r="AL190" s="11"/>
      <c r="AM190" s="11"/>
      <c r="AN190" s="11"/>
      <c r="AO190" s="11"/>
      <c r="AP190" s="2" t="s">
        <v>70</v>
      </c>
      <c r="AQ190" s="11" t="str">
        <f>IF(I190&lt;&gt;"",DATA!D189,"")</f>
        <v>9504908000</v>
      </c>
    </row>
    <row r="191" spans="1:43" ht="15.75" x14ac:dyDescent="0.25">
      <c r="A191" s="11" t="s">
        <v>57</v>
      </c>
      <c r="B191" s="11" t="s">
        <v>56</v>
      </c>
      <c r="C191" s="22">
        <f t="shared" si="14"/>
        <v>25001620</v>
      </c>
      <c r="D191" s="11" t="str">
        <f t="shared" si="15"/>
        <v>SKIIFM_AT</v>
      </c>
      <c r="E191" s="11" t="str">
        <f>IF(I191&lt;&gt;"",VLOOKUP(F191,OPDRACHTGEVER!$A$2:$B$4,2,FALSE),"")</f>
        <v>SKIIFM_AT</v>
      </c>
      <c r="F191" s="11" t="s">
        <v>58</v>
      </c>
      <c r="I191" s="11" t="str">
        <f>IF(DATA!B190&lt;&gt;"",DATA!B190,"")</f>
        <v>TCNU1428597</v>
      </c>
      <c r="J191" s="12">
        <v>0</v>
      </c>
      <c r="K191" s="11" t="s">
        <v>53</v>
      </c>
      <c r="L191" s="11" t="str">
        <f t="shared" si="16"/>
        <v>903180</v>
      </c>
      <c r="M191" s="11" t="str">
        <f>IF(I191&lt;&gt;"",DATA!E190,"")</f>
        <v>AUTOMOTIVE SMOKE MACHINE LEAK DETECTOR</v>
      </c>
      <c r="N191" s="12">
        <v>0</v>
      </c>
      <c r="O191" s="11">
        <f>IF(I191&lt;&gt;"",DATA!C190,"")</f>
        <v>126</v>
      </c>
      <c r="P191" s="2">
        <v>294094</v>
      </c>
      <c r="Q191" s="2" t="s">
        <v>1304</v>
      </c>
      <c r="R191" s="2" t="s">
        <v>1309</v>
      </c>
      <c r="S191" s="2">
        <v>571</v>
      </c>
      <c r="T191" s="2">
        <v>1</v>
      </c>
      <c r="U191" s="2" t="s">
        <v>141</v>
      </c>
      <c r="Y191" s="2">
        <v>1700</v>
      </c>
      <c r="Z191" s="11" t="s">
        <v>54</v>
      </c>
      <c r="AA191" s="11" t="str">
        <f t="shared" si="17"/>
        <v>1700 - TBN</v>
      </c>
      <c r="AC191" s="2" t="s">
        <v>145</v>
      </c>
      <c r="AD191" s="11" t="str">
        <f>IF($I191&lt;&gt;"",VLOOKUP($AC191,GEADRESSEERDE!$A$2:$E$4,2,),"")</f>
        <v>LUITHAGEN HAVEN 2 D</v>
      </c>
      <c r="AE191" s="11">
        <f>IF($I191&lt;&gt;"",VLOOKUP($AC191,GEADRESSEERDE!$A$2:$E$4,3,),"")</f>
        <v>2030</v>
      </c>
      <c r="AF191" s="11" t="str">
        <f>IF($I191&lt;&gt;"",VLOOKUP($AC191,GEADRESSEERDE!$A$2:$E$4,4,),"")</f>
        <v>ANTWERPEN</v>
      </c>
      <c r="AG191" s="11" t="str">
        <f>IF($I191&lt;&gt;"",VLOOKUP($AC191,GEADRESSEERDE!$A$2:$E$4,5,),"")</f>
        <v>BE</v>
      </c>
      <c r="AH191" s="11" t="str">
        <f>IF(I191&lt;&gt;"",VLOOKUP(AP191,KvB!$A$2:$B$3,2,FALSE),"")</f>
        <v>BE101000</v>
      </c>
      <c r="AI191" s="11" t="s">
        <v>55</v>
      </c>
      <c r="AJ191" s="11"/>
      <c r="AK191" s="11"/>
      <c r="AL191" s="11"/>
      <c r="AM191" s="11"/>
      <c r="AN191" s="11"/>
      <c r="AO191" s="11"/>
      <c r="AP191" s="2" t="s">
        <v>70</v>
      </c>
      <c r="AQ191" s="11" t="str">
        <f>IF(I191&lt;&gt;"",DATA!D190,"")</f>
        <v>9031808000</v>
      </c>
    </row>
    <row r="192" spans="1:43" ht="15.75" x14ac:dyDescent="0.25">
      <c r="A192" s="11" t="s">
        <v>57</v>
      </c>
      <c r="B192" s="11" t="s">
        <v>56</v>
      </c>
      <c r="C192" s="22">
        <f t="shared" si="14"/>
        <v>25001620</v>
      </c>
      <c r="D192" s="11" t="str">
        <f t="shared" si="15"/>
        <v>SKIIFM_AT</v>
      </c>
      <c r="E192" s="11" t="str">
        <f>IF(I192&lt;&gt;"",VLOOKUP(F192,OPDRACHTGEVER!$A$2:$B$4,2,FALSE),"")</f>
        <v>SKIIFM_AT</v>
      </c>
      <c r="F192" s="11" t="s">
        <v>58</v>
      </c>
      <c r="I192" s="11" t="str">
        <f>IF(DATA!B191&lt;&gt;"",DATA!B191,"")</f>
        <v>TCNU1428597</v>
      </c>
      <c r="J192" s="12">
        <v>0</v>
      </c>
      <c r="K192" s="11" t="s">
        <v>53</v>
      </c>
      <c r="L192" s="11" t="str">
        <f t="shared" si="16"/>
        <v>830220</v>
      </c>
      <c r="M192" s="11" t="str">
        <f>IF(I192&lt;&gt;"",DATA!E191,"")</f>
        <v>CASTERS</v>
      </c>
      <c r="N192" s="12">
        <v>0</v>
      </c>
      <c r="O192" s="11">
        <f>IF(I192&lt;&gt;"",DATA!C191,"")</f>
        <v>42.65</v>
      </c>
      <c r="P192" s="2">
        <v>294094</v>
      </c>
      <c r="Q192" s="2" t="s">
        <v>1304</v>
      </c>
      <c r="R192" s="2" t="s">
        <v>1309</v>
      </c>
      <c r="S192" s="2">
        <v>571</v>
      </c>
      <c r="T192" s="2">
        <v>1</v>
      </c>
      <c r="U192" s="2" t="s">
        <v>141</v>
      </c>
      <c r="Y192" s="2">
        <v>1700</v>
      </c>
      <c r="Z192" s="11" t="s">
        <v>54</v>
      </c>
      <c r="AA192" s="11" t="str">
        <f t="shared" si="17"/>
        <v>1700 - TBN</v>
      </c>
      <c r="AC192" s="2" t="s">
        <v>145</v>
      </c>
      <c r="AD192" s="11" t="str">
        <f>IF($I192&lt;&gt;"",VLOOKUP($AC192,GEADRESSEERDE!$A$2:$E$4,2,),"")</f>
        <v>LUITHAGEN HAVEN 2 D</v>
      </c>
      <c r="AE192" s="11">
        <f>IF($I192&lt;&gt;"",VLOOKUP($AC192,GEADRESSEERDE!$A$2:$E$4,3,),"")</f>
        <v>2030</v>
      </c>
      <c r="AF192" s="11" t="str">
        <f>IF($I192&lt;&gt;"",VLOOKUP($AC192,GEADRESSEERDE!$A$2:$E$4,4,),"")</f>
        <v>ANTWERPEN</v>
      </c>
      <c r="AG192" s="11" t="str">
        <f>IF($I192&lt;&gt;"",VLOOKUP($AC192,GEADRESSEERDE!$A$2:$E$4,5,),"")</f>
        <v>BE</v>
      </c>
      <c r="AH192" s="11" t="str">
        <f>IF(I192&lt;&gt;"",VLOOKUP(AP192,KvB!$A$2:$B$3,2,FALSE),"")</f>
        <v>BE101000</v>
      </c>
      <c r="AI192" s="11" t="s">
        <v>55</v>
      </c>
      <c r="AJ192" s="11"/>
      <c r="AK192" s="11"/>
      <c r="AL192" s="11"/>
      <c r="AM192" s="11"/>
      <c r="AN192" s="11"/>
      <c r="AO192" s="11"/>
      <c r="AP192" s="2" t="s">
        <v>70</v>
      </c>
      <c r="AQ192" s="11" t="str">
        <f>IF(I192&lt;&gt;"",DATA!D191,"")</f>
        <v>8302200090</v>
      </c>
    </row>
    <row r="193" spans="1:43" ht="15.75" x14ac:dyDescent="0.25">
      <c r="A193" s="11" t="s">
        <v>57</v>
      </c>
      <c r="B193" s="11" t="s">
        <v>56</v>
      </c>
      <c r="C193" s="22">
        <f t="shared" si="14"/>
        <v>25001620</v>
      </c>
      <c r="D193" s="11" t="str">
        <f t="shared" si="15"/>
        <v>SKIIFM_AT</v>
      </c>
      <c r="E193" s="11" t="str">
        <f>IF(I193&lt;&gt;"",VLOOKUP(F193,OPDRACHTGEVER!$A$2:$B$4,2,FALSE),"")</f>
        <v>SKIIFM_AT</v>
      </c>
      <c r="F193" s="11" t="s">
        <v>58</v>
      </c>
      <c r="I193" s="11" t="str">
        <f>IF(DATA!B192&lt;&gt;"",DATA!B192,"")</f>
        <v>TCNU1428597</v>
      </c>
      <c r="J193" s="12">
        <v>0</v>
      </c>
      <c r="K193" s="11" t="s">
        <v>53</v>
      </c>
      <c r="L193" s="11" t="str">
        <f t="shared" si="16"/>
        <v>420212</v>
      </c>
      <c r="M193" s="11" t="str">
        <f>IF(I193&lt;&gt;"",DATA!E192,"")</f>
        <v>COSMETIC BAG</v>
      </c>
      <c r="N193" s="12">
        <v>0</v>
      </c>
      <c r="O193" s="11">
        <f>IF(I193&lt;&gt;"",DATA!C192,"")</f>
        <v>188.5</v>
      </c>
      <c r="P193" s="2">
        <v>294094</v>
      </c>
      <c r="Q193" s="2" t="s">
        <v>1304</v>
      </c>
      <c r="R193" s="2" t="s">
        <v>1309</v>
      </c>
      <c r="S193" s="2">
        <v>571</v>
      </c>
      <c r="T193" s="2">
        <v>1</v>
      </c>
      <c r="U193" s="2" t="s">
        <v>141</v>
      </c>
      <c r="Y193" s="2">
        <v>1700</v>
      </c>
      <c r="Z193" s="11" t="s">
        <v>54</v>
      </c>
      <c r="AA193" s="11" t="str">
        <f t="shared" si="17"/>
        <v>1700 - TBN</v>
      </c>
      <c r="AC193" s="2" t="s">
        <v>145</v>
      </c>
      <c r="AD193" s="11" t="str">
        <f>IF($I193&lt;&gt;"",VLOOKUP($AC193,GEADRESSEERDE!$A$2:$E$4,2,),"")</f>
        <v>LUITHAGEN HAVEN 2 D</v>
      </c>
      <c r="AE193" s="11">
        <f>IF($I193&lt;&gt;"",VLOOKUP($AC193,GEADRESSEERDE!$A$2:$E$4,3,),"")</f>
        <v>2030</v>
      </c>
      <c r="AF193" s="11" t="str">
        <f>IF($I193&lt;&gt;"",VLOOKUP($AC193,GEADRESSEERDE!$A$2:$E$4,4,),"")</f>
        <v>ANTWERPEN</v>
      </c>
      <c r="AG193" s="11" t="str">
        <f>IF($I193&lt;&gt;"",VLOOKUP($AC193,GEADRESSEERDE!$A$2:$E$4,5,),"")</f>
        <v>BE</v>
      </c>
      <c r="AH193" s="11" t="str">
        <f>IF(I193&lt;&gt;"",VLOOKUP(AP193,KvB!$A$2:$B$3,2,FALSE),"")</f>
        <v>BE101000</v>
      </c>
      <c r="AI193" s="11" t="s">
        <v>55</v>
      </c>
      <c r="AJ193" s="11"/>
      <c r="AK193" s="11"/>
      <c r="AL193" s="11"/>
      <c r="AM193" s="11"/>
      <c r="AN193" s="11"/>
      <c r="AO193" s="11"/>
      <c r="AP193" s="2" t="s">
        <v>70</v>
      </c>
      <c r="AQ193" s="11" t="str">
        <f>IF(I193&lt;&gt;"",DATA!D192,"")</f>
        <v>4202129990</v>
      </c>
    </row>
    <row r="194" spans="1:43" ht="15.75" x14ac:dyDescent="0.25">
      <c r="A194" s="11" t="s">
        <v>57</v>
      </c>
      <c r="B194" s="11" t="s">
        <v>56</v>
      </c>
      <c r="C194" s="22">
        <f t="shared" si="14"/>
        <v>25001620</v>
      </c>
      <c r="D194" s="11" t="str">
        <f t="shared" si="15"/>
        <v>SKIIFM_AT</v>
      </c>
      <c r="E194" s="11" t="str">
        <f>IF(I194&lt;&gt;"",VLOOKUP(F194,OPDRACHTGEVER!$A$2:$B$4,2,FALSE),"")</f>
        <v>SKIIFM_AT</v>
      </c>
      <c r="F194" s="11" t="s">
        <v>58</v>
      </c>
      <c r="I194" s="11" t="str">
        <f>IF(DATA!B193&lt;&gt;"",DATA!B193,"")</f>
        <v>TCNU1428597</v>
      </c>
      <c r="J194" s="12">
        <v>0</v>
      </c>
      <c r="K194" s="11" t="s">
        <v>53</v>
      </c>
      <c r="L194" s="11" t="str">
        <f t="shared" si="16"/>
        <v>741920</v>
      </c>
      <c r="M194" s="11" t="str">
        <f>IF(I194&lt;&gt;"",DATA!E193,"")</f>
        <v>DINING STOVE</v>
      </c>
      <c r="N194" s="12">
        <v>0</v>
      </c>
      <c r="O194" s="11">
        <f>IF(I194&lt;&gt;"",DATA!C193,"")</f>
        <v>2157.8000000000002</v>
      </c>
      <c r="P194" s="2">
        <v>294094</v>
      </c>
      <c r="Q194" s="2" t="s">
        <v>1304</v>
      </c>
      <c r="R194" s="2" t="s">
        <v>1309</v>
      </c>
      <c r="S194" s="2">
        <v>571</v>
      </c>
      <c r="T194" s="2">
        <v>1</v>
      </c>
      <c r="U194" s="2" t="s">
        <v>141</v>
      </c>
      <c r="Y194" s="2">
        <v>1700</v>
      </c>
      <c r="Z194" s="11" t="s">
        <v>54</v>
      </c>
      <c r="AA194" s="11" t="str">
        <f t="shared" si="17"/>
        <v>1700 - TBN</v>
      </c>
      <c r="AC194" s="2" t="s">
        <v>145</v>
      </c>
      <c r="AD194" s="11" t="str">
        <f>IF($I194&lt;&gt;"",VLOOKUP($AC194,GEADRESSEERDE!$A$2:$E$4,2,),"")</f>
        <v>LUITHAGEN HAVEN 2 D</v>
      </c>
      <c r="AE194" s="11">
        <f>IF($I194&lt;&gt;"",VLOOKUP($AC194,GEADRESSEERDE!$A$2:$E$4,3,),"")</f>
        <v>2030</v>
      </c>
      <c r="AF194" s="11" t="str">
        <f>IF($I194&lt;&gt;"",VLOOKUP($AC194,GEADRESSEERDE!$A$2:$E$4,4,),"")</f>
        <v>ANTWERPEN</v>
      </c>
      <c r="AG194" s="11" t="str">
        <f>IF($I194&lt;&gt;"",VLOOKUP($AC194,GEADRESSEERDE!$A$2:$E$4,5,),"")</f>
        <v>BE</v>
      </c>
      <c r="AH194" s="11" t="str">
        <f>IF(I194&lt;&gt;"",VLOOKUP(AP194,KvB!$A$2:$B$3,2,FALSE),"")</f>
        <v>BE101000</v>
      </c>
      <c r="AI194" s="11" t="s">
        <v>55</v>
      </c>
      <c r="AJ194" s="11"/>
      <c r="AK194" s="11"/>
      <c r="AL194" s="11"/>
      <c r="AM194" s="11"/>
      <c r="AN194" s="11"/>
      <c r="AO194" s="11"/>
      <c r="AP194" s="2" t="s">
        <v>70</v>
      </c>
      <c r="AQ194" s="11" t="str">
        <f>IF(I194&lt;&gt;"",DATA!D193,"")</f>
        <v>7419200090</v>
      </c>
    </row>
    <row r="195" spans="1:43" ht="15.75" x14ac:dyDescent="0.25">
      <c r="A195" s="11" t="s">
        <v>57</v>
      </c>
      <c r="B195" s="11" t="s">
        <v>56</v>
      </c>
      <c r="C195" s="22">
        <f t="shared" si="14"/>
        <v>25001620</v>
      </c>
      <c r="D195" s="11" t="str">
        <f t="shared" si="15"/>
        <v>SKIIFM_AT</v>
      </c>
      <c r="E195" s="11" t="str">
        <f>IF(I195&lt;&gt;"",VLOOKUP(F195,OPDRACHTGEVER!$A$2:$B$4,2,FALSE),"")</f>
        <v>SKIIFM_AT</v>
      </c>
      <c r="F195" s="11" t="s">
        <v>58</v>
      </c>
      <c r="I195" s="11" t="str">
        <f>IF(DATA!B194&lt;&gt;"",DATA!B194,"")</f>
        <v>TCNU1428597</v>
      </c>
      <c r="J195" s="12">
        <v>0</v>
      </c>
      <c r="K195" s="11" t="s">
        <v>53</v>
      </c>
      <c r="L195" s="11" t="str">
        <f t="shared" si="16"/>
        <v>841940</v>
      </c>
      <c r="M195" s="11" t="str">
        <f>IF(I195&lt;&gt;"",DATA!E194,"")</f>
        <v>DISTILLER</v>
      </c>
      <c r="N195" s="12">
        <v>0</v>
      </c>
      <c r="O195" s="11">
        <f>IF(I195&lt;&gt;"",DATA!C194,"")</f>
        <v>108</v>
      </c>
      <c r="P195" s="2">
        <v>294094</v>
      </c>
      <c r="Q195" s="2" t="s">
        <v>1304</v>
      </c>
      <c r="R195" s="2" t="s">
        <v>1309</v>
      </c>
      <c r="S195" s="2">
        <v>571</v>
      </c>
      <c r="T195" s="2">
        <v>1</v>
      </c>
      <c r="U195" s="2" t="s">
        <v>141</v>
      </c>
      <c r="Y195" s="2">
        <v>1700</v>
      </c>
      <c r="Z195" s="11" t="s">
        <v>54</v>
      </c>
      <c r="AA195" s="11" t="str">
        <f t="shared" si="17"/>
        <v>1700 - TBN</v>
      </c>
      <c r="AC195" s="2" t="s">
        <v>145</v>
      </c>
      <c r="AD195" s="11" t="str">
        <f>IF($I195&lt;&gt;"",VLOOKUP($AC195,GEADRESSEERDE!$A$2:$E$4,2,),"")</f>
        <v>LUITHAGEN HAVEN 2 D</v>
      </c>
      <c r="AE195" s="11">
        <f>IF($I195&lt;&gt;"",VLOOKUP($AC195,GEADRESSEERDE!$A$2:$E$4,3,),"")</f>
        <v>2030</v>
      </c>
      <c r="AF195" s="11" t="str">
        <f>IF($I195&lt;&gt;"",VLOOKUP($AC195,GEADRESSEERDE!$A$2:$E$4,4,),"")</f>
        <v>ANTWERPEN</v>
      </c>
      <c r="AG195" s="11" t="str">
        <f>IF($I195&lt;&gt;"",VLOOKUP($AC195,GEADRESSEERDE!$A$2:$E$4,5,),"")</f>
        <v>BE</v>
      </c>
      <c r="AH195" s="11" t="str">
        <f>IF(I195&lt;&gt;"",VLOOKUP(AP195,KvB!$A$2:$B$3,2,FALSE),"")</f>
        <v>BE101000</v>
      </c>
      <c r="AI195" s="11" t="s">
        <v>55</v>
      </c>
      <c r="AJ195" s="11"/>
      <c r="AK195" s="11"/>
      <c r="AL195" s="11"/>
      <c r="AM195" s="11"/>
      <c r="AN195" s="11"/>
      <c r="AO195" s="11"/>
      <c r="AP195" s="2" t="s">
        <v>70</v>
      </c>
      <c r="AQ195" s="11" t="str">
        <f>IF(I195&lt;&gt;"",DATA!D194,"")</f>
        <v>8419400090</v>
      </c>
    </row>
    <row r="196" spans="1:43" ht="15.75" x14ac:dyDescent="0.25">
      <c r="A196" s="11" t="s">
        <v>57</v>
      </c>
      <c r="B196" s="11" t="s">
        <v>56</v>
      </c>
      <c r="C196" s="22">
        <f t="shared" si="14"/>
        <v>25001620</v>
      </c>
      <c r="D196" s="11" t="str">
        <f t="shared" si="15"/>
        <v>SKIIFM_AT</v>
      </c>
      <c r="E196" s="11" t="str">
        <f>IF(I196&lt;&gt;"",VLOOKUP(F196,OPDRACHTGEVER!$A$2:$B$4,2,FALSE),"")</f>
        <v>SKIIFM_AT</v>
      </c>
      <c r="F196" s="11" t="s">
        <v>58</v>
      </c>
      <c r="I196" s="11" t="str">
        <f>IF(DATA!B195&lt;&gt;"",DATA!B195,"")</f>
        <v>TCNU1428597</v>
      </c>
      <c r="J196" s="12">
        <v>0</v>
      </c>
      <c r="K196" s="11" t="s">
        <v>53</v>
      </c>
      <c r="L196" s="11" t="str">
        <f t="shared" si="16"/>
        <v>830242</v>
      </c>
      <c r="M196" s="11" t="str">
        <f>IF(I196&lt;&gt;"",DATA!E195,"")</f>
        <v>DRAWER SLIDES</v>
      </c>
      <c r="N196" s="12">
        <v>0</v>
      </c>
      <c r="O196" s="11">
        <f>IF(I196&lt;&gt;"",DATA!C195,"")</f>
        <v>40.33</v>
      </c>
      <c r="P196" s="2">
        <v>294094</v>
      </c>
      <c r="Q196" s="2" t="s">
        <v>1304</v>
      </c>
      <c r="R196" s="2" t="s">
        <v>1309</v>
      </c>
      <c r="S196" s="2">
        <v>571</v>
      </c>
      <c r="T196" s="2">
        <v>1</v>
      </c>
      <c r="U196" s="2" t="s">
        <v>141</v>
      </c>
      <c r="Y196" s="2">
        <v>1700</v>
      </c>
      <c r="Z196" s="11" t="s">
        <v>54</v>
      </c>
      <c r="AA196" s="11" t="str">
        <f t="shared" si="17"/>
        <v>1700 - TBN</v>
      </c>
      <c r="AC196" s="2" t="s">
        <v>145</v>
      </c>
      <c r="AD196" s="11" t="str">
        <f>IF($I196&lt;&gt;"",VLOOKUP($AC196,GEADRESSEERDE!$A$2:$E$4,2,),"")</f>
        <v>LUITHAGEN HAVEN 2 D</v>
      </c>
      <c r="AE196" s="11">
        <f>IF($I196&lt;&gt;"",VLOOKUP($AC196,GEADRESSEERDE!$A$2:$E$4,3,),"")</f>
        <v>2030</v>
      </c>
      <c r="AF196" s="11" t="str">
        <f>IF($I196&lt;&gt;"",VLOOKUP($AC196,GEADRESSEERDE!$A$2:$E$4,4,),"")</f>
        <v>ANTWERPEN</v>
      </c>
      <c r="AG196" s="11" t="str">
        <f>IF($I196&lt;&gt;"",VLOOKUP($AC196,GEADRESSEERDE!$A$2:$E$4,5,),"")</f>
        <v>BE</v>
      </c>
      <c r="AH196" s="11" t="str">
        <f>IF(I196&lt;&gt;"",VLOOKUP(AP196,KvB!$A$2:$B$3,2,FALSE),"")</f>
        <v>BE101000</v>
      </c>
      <c r="AI196" s="11" t="s">
        <v>55</v>
      </c>
      <c r="AJ196" s="11"/>
      <c r="AK196" s="11"/>
      <c r="AL196" s="11"/>
      <c r="AM196" s="11"/>
      <c r="AN196" s="11"/>
      <c r="AO196" s="11"/>
      <c r="AP196" s="2" t="s">
        <v>70</v>
      </c>
      <c r="AQ196" s="11" t="str">
        <f>IF(I196&lt;&gt;"",DATA!D195,"")</f>
        <v>8302420090</v>
      </c>
    </row>
    <row r="197" spans="1:43" ht="15.75" x14ac:dyDescent="0.25">
      <c r="A197" s="11" t="s">
        <v>57</v>
      </c>
      <c r="B197" s="11" t="s">
        <v>56</v>
      </c>
      <c r="C197" s="22">
        <f t="shared" ref="C197:C260" si="18">C196</f>
        <v>25001620</v>
      </c>
      <c r="D197" s="11" t="str">
        <f t="shared" si="15"/>
        <v>SKIIFM_AT</v>
      </c>
      <c r="E197" s="11" t="str">
        <f>IF(I197&lt;&gt;"",VLOOKUP(F197,OPDRACHTGEVER!$A$2:$B$4,2,FALSE),"")</f>
        <v>SKIIFM_AT</v>
      </c>
      <c r="F197" s="11" t="s">
        <v>58</v>
      </c>
      <c r="I197" s="11" t="str">
        <f>IF(DATA!B196&lt;&gt;"",DATA!B196,"")</f>
        <v>TCNU1428597</v>
      </c>
      <c r="J197" s="12">
        <v>0</v>
      </c>
      <c r="K197" s="11" t="s">
        <v>53</v>
      </c>
      <c r="L197" s="11" t="str">
        <f t="shared" si="16"/>
        <v>854442</v>
      </c>
      <c r="M197" s="11" t="str">
        <f>IF(I197&lt;&gt;"",DATA!E196,"")</f>
        <v>EXTENSION CORD WITH PLUG</v>
      </c>
      <c r="N197" s="12">
        <v>0</v>
      </c>
      <c r="O197" s="11">
        <f>IF(I197&lt;&gt;"",DATA!C196,"")</f>
        <v>11.24</v>
      </c>
      <c r="P197" s="2">
        <v>294094</v>
      </c>
      <c r="Q197" s="2" t="s">
        <v>1304</v>
      </c>
      <c r="R197" s="2" t="s">
        <v>1309</v>
      </c>
      <c r="S197" s="2">
        <v>571</v>
      </c>
      <c r="T197" s="2">
        <v>1</v>
      </c>
      <c r="U197" s="2" t="s">
        <v>141</v>
      </c>
      <c r="Y197" s="2">
        <v>1700</v>
      </c>
      <c r="Z197" s="11" t="s">
        <v>54</v>
      </c>
      <c r="AA197" s="11" t="str">
        <f t="shared" si="17"/>
        <v>1700 - TBN</v>
      </c>
      <c r="AC197" s="2" t="s">
        <v>145</v>
      </c>
      <c r="AD197" s="11" t="str">
        <f>IF($I197&lt;&gt;"",VLOOKUP($AC197,GEADRESSEERDE!$A$2:$E$4,2,),"")</f>
        <v>LUITHAGEN HAVEN 2 D</v>
      </c>
      <c r="AE197" s="11">
        <f>IF($I197&lt;&gt;"",VLOOKUP($AC197,GEADRESSEERDE!$A$2:$E$4,3,),"")</f>
        <v>2030</v>
      </c>
      <c r="AF197" s="11" t="str">
        <f>IF($I197&lt;&gt;"",VLOOKUP($AC197,GEADRESSEERDE!$A$2:$E$4,4,),"")</f>
        <v>ANTWERPEN</v>
      </c>
      <c r="AG197" s="11" t="str">
        <f>IF($I197&lt;&gt;"",VLOOKUP($AC197,GEADRESSEERDE!$A$2:$E$4,5,),"")</f>
        <v>BE</v>
      </c>
      <c r="AH197" s="11" t="str">
        <f>IF(I197&lt;&gt;"",VLOOKUP(AP197,KvB!$A$2:$B$3,2,FALSE),"")</f>
        <v>BE101000</v>
      </c>
      <c r="AI197" s="11" t="s">
        <v>55</v>
      </c>
      <c r="AJ197" s="11"/>
      <c r="AK197" s="11"/>
      <c r="AL197" s="11"/>
      <c r="AM197" s="11"/>
      <c r="AN197" s="11"/>
      <c r="AO197" s="11"/>
      <c r="AP197" s="2" t="s">
        <v>70</v>
      </c>
      <c r="AQ197" s="11" t="str">
        <f>IF(I197&lt;&gt;"",DATA!D196,"")</f>
        <v>8544429090</v>
      </c>
    </row>
    <row r="198" spans="1:43" ht="15.75" x14ac:dyDescent="0.25">
      <c r="A198" s="11" t="s">
        <v>57</v>
      </c>
      <c r="B198" s="11" t="s">
        <v>56</v>
      </c>
      <c r="C198" s="22">
        <f t="shared" si="18"/>
        <v>25001620</v>
      </c>
      <c r="D198" s="11" t="str">
        <f t="shared" si="15"/>
        <v>SKIIFM_AT</v>
      </c>
      <c r="E198" s="11" t="str">
        <f>IF(I198&lt;&gt;"",VLOOKUP(F198,OPDRACHTGEVER!$A$2:$B$4,2,FALSE),"")</f>
        <v>SKIIFM_AT</v>
      </c>
      <c r="F198" s="11" t="s">
        <v>58</v>
      </c>
      <c r="I198" s="11" t="str">
        <f>IF(DATA!B197&lt;&gt;"",DATA!B197,"")</f>
        <v>TCNU1428597</v>
      </c>
      <c r="J198" s="12">
        <v>0</v>
      </c>
      <c r="K198" s="11" t="s">
        <v>53</v>
      </c>
      <c r="L198" s="11" t="str">
        <f t="shared" si="16"/>
        <v>660110</v>
      </c>
      <c r="M198" s="11" t="str">
        <f>IF(I198&lt;&gt;"",DATA!E197,"")</f>
        <v>FOLDING AWNING</v>
      </c>
      <c r="N198" s="12">
        <v>0</v>
      </c>
      <c r="O198" s="11">
        <f>IF(I198&lt;&gt;"",DATA!C197,"")</f>
        <v>1893.5</v>
      </c>
      <c r="P198" s="2">
        <v>294094</v>
      </c>
      <c r="Q198" s="2" t="s">
        <v>1304</v>
      </c>
      <c r="R198" s="2" t="s">
        <v>1309</v>
      </c>
      <c r="S198" s="2">
        <v>571</v>
      </c>
      <c r="T198" s="2">
        <v>1</v>
      </c>
      <c r="U198" s="2" t="s">
        <v>141</v>
      </c>
      <c r="Y198" s="2">
        <v>1700</v>
      </c>
      <c r="Z198" s="11" t="s">
        <v>54</v>
      </c>
      <c r="AA198" s="11" t="str">
        <f t="shared" si="17"/>
        <v>1700 - TBN</v>
      </c>
      <c r="AC198" s="2" t="s">
        <v>145</v>
      </c>
      <c r="AD198" s="11" t="str">
        <f>IF($I198&lt;&gt;"",VLOOKUP($AC198,GEADRESSEERDE!$A$2:$E$4,2,),"")</f>
        <v>LUITHAGEN HAVEN 2 D</v>
      </c>
      <c r="AE198" s="11">
        <f>IF($I198&lt;&gt;"",VLOOKUP($AC198,GEADRESSEERDE!$A$2:$E$4,3,),"")</f>
        <v>2030</v>
      </c>
      <c r="AF198" s="11" t="str">
        <f>IF($I198&lt;&gt;"",VLOOKUP($AC198,GEADRESSEERDE!$A$2:$E$4,4,),"")</f>
        <v>ANTWERPEN</v>
      </c>
      <c r="AG198" s="11" t="str">
        <f>IF($I198&lt;&gt;"",VLOOKUP($AC198,GEADRESSEERDE!$A$2:$E$4,5,),"")</f>
        <v>BE</v>
      </c>
      <c r="AH198" s="11" t="str">
        <f>IF(I198&lt;&gt;"",VLOOKUP(AP198,KvB!$A$2:$B$3,2,FALSE),"")</f>
        <v>BE101000</v>
      </c>
      <c r="AI198" s="11" t="s">
        <v>55</v>
      </c>
      <c r="AJ198" s="11"/>
      <c r="AK198" s="11"/>
      <c r="AL198" s="11"/>
      <c r="AM198" s="11"/>
      <c r="AN198" s="11"/>
      <c r="AO198" s="11"/>
      <c r="AP198" s="2" t="s">
        <v>70</v>
      </c>
      <c r="AQ198" s="11" t="str">
        <f>IF(I198&lt;&gt;"",DATA!D197,"")</f>
        <v>6601100000</v>
      </c>
    </row>
    <row r="199" spans="1:43" ht="15.75" x14ac:dyDescent="0.25">
      <c r="A199" s="11" t="s">
        <v>57</v>
      </c>
      <c r="B199" s="11" t="s">
        <v>56</v>
      </c>
      <c r="C199" s="22">
        <f t="shared" si="18"/>
        <v>25001620</v>
      </c>
      <c r="D199" s="11" t="str">
        <f t="shared" si="15"/>
        <v>SKIIFM_AT</v>
      </c>
      <c r="E199" s="11" t="str">
        <f>IF(I199&lt;&gt;"",VLOOKUP(F199,OPDRACHTGEVER!$A$2:$B$4,2,FALSE),"")</f>
        <v>SKIIFM_AT</v>
      </c>
      <c r="F199" s="11" t="s">
        <v>58</v>
      </c>
      <c r="I199" s="11" t="str">
        <f>IF(DATA!B198&lt;&gt;"",DATA!B198,"")</f>
        <v>TCNU1428597</v>
      </c>
      <c r="J199" s="12">
        <v>0</v>
      </c>
      <c r="K199" s="11" t="s">
        <v>53</v>
      </c>
      <c r="L199" s="11" t="str">
        <f t="shared" si="16"/>
        <v>871680</v>
      </c>
      <c r="M199" s="11" t="str">
        <f>IF(I199&lt;&gt;"",DATA!E198,"")</f>
        <v>GARDEN CART</v>
      </c>
      <c r="N199" s="12">
        <v>0</v>
      </c>
      <c r="O199" s="11">
        <f>IF(I199&lt;&gt;"",DATA!C198,"")</f>
        <v>1119.83</v>
      </c>
      <c r="P199" s="2">
        <v>294094</v>
      </c>
      <c r="Q199" s="2" t="s">
        <v>1304</v>
      </c>
      <c r="R199" s="2" t="s">
        <v>1309</v>
      </c>
      <c r="S199" s="2">
        <v>571</v>
      </c>
      <c r="T199" s="2">
        <v>1</v>
      </c>
      <c r="U199" s="2" t="s">
        <v>141</v>
      </c>
      <c r="Y199" s="2">
        <v>1700</v>
      </c>
      <c r="Z199" s="11" t="s">
        <v>54</v>
      </c>
      <c r="AA199" s="11" t="str">
        <f t="shared" si="17"/>
        <v>1700 - TBN</v>
      </c>
      <c r="AC199" s="2" t="s">
        <v>145</v>
      </c>
      <c r="AD199" s="11" t="str">
        <f>IF($I199&lt;&gt;"",VLOOKUP($AC199,GEADRESSEERDE!$A$2:$E$4,2,),"")</f>
        <v>LUITHAGEN HAVEN 2 D</v>
      </c>
      <c r="AE199" s="11">
        <f>IF($I199&lt;&gt;"",VLOOKUP($AC199,GEADRESSEERDE!$A$2:$E$4,3,),"")</f>
        <v>2030</v>
      </c>
      <c r="AF199" s="11" t="str">
        <f>IF($I199&lt;&gt;"",VLOOKUP($AC199,GEADRESSEERDE!$A$2:$E$4,4,),"")</f>
        <v>ANTWERPEN</v>
      </c>
      <c r="AG199" s="11" t="str">
        <f>IF($I199&lt;&gt;"",VLOOKUP($AC199,GEADRESSEERDE!$A$2:$E$4,5,),"")</f>
        <v>BE</v>
      </c>
      <c r="AH199" s="11" t="str">
        <f>IF(I199&lt;&gt;"",VLOOKUP(AP199,KvB!$A$2:$B$3,2,FALSE),"")</f>
        <v>BE101000</v>
      </c>
      <c r="AI199" s="11" t="s">
        <v>55</v>
      </c>
      <c r="AJ199" s="11"/>
      <c r="AK199" s="11"/>
      <c r="AL199" s="11"/>
      <c r="AM199" s="11"/>
      <c r="AN199" s="11"/>
      <c r="AO199" s="11"/>
      <c r="AP199" s="2" t="s">
        <v>70</v>
      </c>
      <c r="AQ199" s="11" t="str">
        <f>IF(I199&lt;&gt;"",DATA!D198,"")</f>
        <v>8716800000</v>
      </c>
    </row>
    <row r="200" spans="1:43" ht="15.75" x14ac:dyDescent="0.25">
      <c r="A200" s="11" t="s">
        <v>57</v>
      </c>
      <c r="B200" s="11" t="s">
        <v>56</v>
      </c>
      <c r="C200" s="22">
        <f t="shared" si="18"/>
        <v>25001620</v>
      </c>
      <c r="D200" s="11" t="str">
        <f t="shared" si="15"/>
        <v>SKIIFM_AT</v>
      </c>
      <c r="E200" s="11" t="str">
        <f>IF(I200&lt;&gt;"",VLOOKUP(F200,OPDRACHTGEVER!$A$2:$B$4,2,FALSE),"")</f>
        <v>SKIIFM_AT</v>
      </c>
      <c r="F200" s="11" t="s">
        <v>58</v>
      </c>
      <c r="I200" s="11" t="str">
        <f>IF(DATA!B199&lt;&gt;"",DATA!B199,"")</f>
        <v>TCNU1428597</v>
      </c>
      <c r="J200" s="12">
        <v>0</v>
      </c>
      <c r="K200" s="11" t="s">
        <v>53</v>
      </c>
      <c r="L200" s="11" t="str">
        <f t="shared" si="16"/>
        <v>820110</v>
      </c>
      <c r="M200" s="11" t="str">
        <f>IF(I200&lt;&gt;"",DATA!E199,"")</f>
        <v>GARDEN TOOLS</v>
      </c>
      <c r="N200" s="12">
        <v>0</v>
      </c>
      <c r="O200" s="11">
        <f>IF(I200&lt;&gt;"",DATA!C199,"")</f>
        <v>3.6</v>
      </c>
      <c r="P200" s="2">
        <v>294094</v>
      </c>
      <c r="Q200" s="2" t="s">
        <v>1304</v>
      </c>
      <c r="R200" s="2" t="s">
        <v>1309</v>
      </c>
      <c r="S200" s="2">
        <v>571</v>
      </c>
      <c r="T200" s="2">
        <v>1</v>
      </c>
      <c r="U200" s="2" t="s">
        <v>141</v>
      </c>
      <c r="Y200" s="2">
        <v>1700</v>
      </c>
      <c r="Z200" s="11" t="s">
        <v>54</v>
      </c>
      <c r="AA200" s="11" t="str">
        <f t="shared" si="17"/>
        <v>1700 - TBN</v>
      </c>
      <c r="AC200" s="2" t="s">
        <v>145</v>
      </c>
      <c r="AD200" s="11" t="str">
        <f>IF($I200&lt;&gt;"",VLOOKUP($AC200,GEADRESSEERDE!$A$2:$E$4,2,),"")</f>
        <v>LUITHAGEN HAVEN 2 D</v>
      </c>
      <c r="AE200" s="11">
        <f>IF($I200&lt;&gt;"",VLOOKUP($AC200,GEADRESSEERDE!$A$2:$E$4,3,),"")</f>
        <v>2030</v>
      </c>
      <c r="AF200" s="11" t="str">
        <f>IF($I200&lt;&gt;"",VLOOKUP($AC200,GEADRESSEERDE!$A$2:$E$4,4,),"")</f>
        <v>ANTWERPEN</v>
      </c>
      <c r="AG200" s="11" t="str">
        <f>IF($I200&lt;&gt;"",VLOOKUP($AC200,GEADRESSEERDE!$A$2:$E$4,5,),"")</f>
        <v>BE</v>
      </c>
      <c r="AH200" s="11" t="str">
        <f>IF(I200&lt;&gt;"",VLOOKUP(AP200,KvB!$A$2:$B$3,2,FALSE),"")</f>
        <v>BE101000</v>
      </c>
      <c r="AI200" s="11" t="s">
        <v>55</v>
      </c>
      <c r="AJ200" s="11"/>
      <c r="AK200" s="11"/>
      <c r="AL200" s="11"/>
      <c r="AM200" s="11"/>
      <c r="AN200" s="11"/>
      <c r="AO200" s="11"/>
      <c r="AP200" s="2" t="s">
        <v>70</v>
      </c>
      <c r="AQ200" s="11" t="str">
        <f>IF(I200&lt;&gt;"",DATA!D199,"")</f>
        <v>8201100000</v>
      </c>
    </row>
    <row r="201" spans="1:43" ht="15.75" x14ac:dyDescent="0.25">
      <c r="A201" s="11" t="s">
        <v>57</v>
      </c>
      <c r="B201" s="11" t="s">
        <v>56</v>
      </c>
      <c r="C201" s="22">
        <f t="shared" si="18"/>
        <v>25001620</v>
      </c>
      <c r="D201" s="11" t="str">
        <f t="shared" si="15"/>
        <v>SKIIFM_AT</v>
      </c>
      <c r="E201" s="11" t="str">
        <f>IF(I201&lt;&gt;"",VLOOKUP(F201,OPDRACHTGEVER!$A$2:$B$4,2,FALSE),"")</f>
        <v>SKIIFM_AT</v>
      </c>
      <c r="F201" s="11" t="s">
        <v>58</v>
      </c>
      <c r="I201" s="11" t="str">
        <f>IF(DATA!B200&lt;&gt;"",DATA!B200,"")</f>
        <v>TCNU1428597</v>
      </c>
      <c r="J201" s="12">
        <v>0</v>
      </c>
      <c r="K201" s="11" t="s">
        <v>53</v>
      </c>
      <c r="L201" s="11" t="str">
        <f t="shared" si="16"/>
        <v>940370</v>
      </c>
      <c r="M201" s="11" t="str">
        <f>IF(I201&lt;&gt;"",DATA!E200,"")</f>
        <v>GUARD BAND</v>
      </c>
      <c r="N201" s="12">
        <v>0</v>
      </c>
      <c r="O201" s="11">
        <f>IF(I201&lt;&gt;"",DATA!C200,"")</f>
        <v>3.2</v>
      </c>
      <c r="P201" s="2">
        <v>294094</v>
      </c>
      <c r="Q201" s="2" t="s">
        <v>1304</v>
      </c>
      <c r="R201" s="2" t="s">
        <v>1309</v>
      </c>
      <c r="S201" s="2">
        <v>571</v>
      </c>
      <c r="T201" s="2">
        <v>1</v>
      </c>
      <c r="U201" s="2" t="s">
        <v>141</v>
      </c>
      <c r="Y201" s="2">
        <v>1700</v>
      </c>
      <c r="Z201" s="11" t="s">
        <v>54</v>
      </c>
      <c r="AA201" s="11" t="str">
        <f t="shared" si="17"/>
        <v>1700 - TBN</v>
      </c>
      <c r="AC201" s="2" t="s">
        <v>145</v>
      </c>
      <c r="AD201" s="11" t="str">
        <f>IF($I201&lt;&gt;"",VLOOKUP($AC201,GEADRESSEERDE!$A$2:$E$4,2,),"")</f>
        <v>LUITHAGEN HAVEN 2 D</v>
      </c>
      <c r="AE201" s="11">
        <f>IF($I201&lt;&gt;"",VLOOKUP($AC201,GEADRESSEERDE!$A$2:$E$4,3,),"")</f>
        <v>2030</v>
      </c>
      <c r="AF201" s="11" t="str">
        <f>IF($I201&lt;&gt;"",VLOOKUP($AC201,GEADRESSEERDE!$A$2:$E$4,4,),"")</f>
        <v>ANTWERPEN</v>
      </c>
      <c r="AG201" s="11" t="str">
        <f>IF($I201&lt;&gt;"",VLOOKUP($AC201,GEADRESSEERDE!$A$2:$E$4,5,),"")</f>
        <v>BE</v>
      </c>
      <c r="AH201" s="11" t="str">
        <f>IF(I201&lt;&gt;"",VLOOKUP(AP201,KvB!$A$2:$B$3,2,FALSE),"")</f>
        <v>BE101000</v>
      </c>
      <c r="AI201" s="11" t="s">
        <v>55</v>
      </c>
      <c r="AJ201" s="11"/>
      <c r="AK201" s="11"/>
      <c r="AL201" s="11"/>
      <c r="AM201" s="11"/>
      <c r="AN201" s="11"/>
      <c r="AO201" s="11"/>
      <c r="AP201" s="2" t="s">
        <v>70</v>
      </c>
      <c r="AQ201" s="11" t="str">
        <f>IF(I201&lt;&gt;"",DATA!D200,"")</f>
        <v>9403700000</v>
      </c>
    </row>
    <row r="202" spans="1:43" ht="15.75" x14ac:dyDescent="0.25">
      <c r="A202" s="11" t="s">
        <v>57</v>
      </c>
      <c r="B202" s="11" t="s">
        <v>56</v>
      </c>
      <c r="C202" s="22">
        <f t="shared" si="18"/>
        <v>25001620</v>
      </c>
      <c r="D202" s="11" t="str">
        <f t="shared" si="15"/>
        <v>SKIIFM_AT</v>
      </c>
      <c r="E202" s="11" t="str">
        <f>IF(I202&lt;&gt;"",VLOOKUP(F202,OPDRACHTGEVER!$A$2:$B$4,2,FALSE),"")</f>
        <v>SKIIFM_AT</v>
      </c>
      <c r="F202" s="11" t="s">
        <v>58</v>
      </c>
      <c r="I202" s="11" t="str">
        <f>IF(DATA!B201&lt;&gt;"",DATA!B201,"")</f>
        <v>TCNU1428597</v>
      </c>
      <c r="J202" s="12">
        <v>0</v>
      </c>
      <c r="K202" s="11" t="s">
        <v>53</v>
      </c>
      <c r="L202" s="11" t="str">
        <f t="shared" si="16"/>
        <v>846719</v>
      </c>
      <c r="M202" s="11" t="str">
        <f>IF(I202&lt;&gt;"",DATA!E201,"")</f>
        <v>ICE HOCKEY PRESS</v>
      </c>
      <c r="N202" s="12">
        <v>0</v>
      </c>
      <c r="O202" s="11">
        <f>IF(I202&lt;&gt;"",DATA!C201,"")</f>
        <v>3.8</v>
      </c>
      <c r="P202" s="2">
        <v>294094</v>
      </c>
      <c r="Q202" s="2" t="s">
        <v>1304</v>
      </c>
      <c r="R202" s="2" t="s">
        <v>1309</v>
      </c>
      <c r="S202" s="2">
        <v>571</v>
      </c>
      <c r="T202" s="2">
        <v>1</v>
      </c>
      <c r="U202" s="2" t="s">
        <v>141</v>
      </c>
      <c r="Y202" s="2">
        <v>1700</v>
      </c>
      <c r="Z202" s="11" t="s">
        <v>54</v>
      </c>
      <c r="AA202" s="11" t="str">
        <f t="shared" si="17"/>
        <v>1700 - TBN</v>
      </c>
      <c r="AC202" s="2" t="s">
        <v>145</v>
      </c>
      <c r="AD202" s="11" t="str">
        <f>IF($I202&lt;&gt;"",VLOOKUP($AC202,GEADRESSEERDE!$A$2:$E$4,2,),"")</f>
        <v>LUITHAGEN HAVEN 2 D</v>
      </c>
      <c r="AE202" s="11">
        <f>IF($I202&lt;&gt;"",VLOOKUP($AC202,GEADRESSEERDE!$A$2:$E$4,3,),"")</f>
        <v>2030</v>
      </c>
      <c r="AF202" s="11" t="str">
        <f>IF($I202&lt;&gt;"",VLOOKUP($AC202,GEADRESSEERDE!$A$2:$E$4,4,),"")</f>
        <v>ANTWERPEN</v>
      </c>
      <c r="AG202" s="11" t="str">
        <f>IF($I202&lt;&gt;"",VLOOKUP($AC202,GEADRESSEERDE!$A$2:$E$4,5,),"")</f>
        <v>BE</v>
      </c>
      <c r="AH202" s="11" t="str">
        <f>IF(I202&lt;&gt;"",VLOOKUP(AP202,KvB!$A$2:$B$3,2,FALSE),"")</f>
        <v>BE101000</v>
      </c>
      <c r="AI202" s="11" t="s">
        <v>55</v>
      </c>
      <c r="AJ202" s="11"/>
      <c r="AK202" s="11"/>
      <c r="AL202" s="11"/>
      <c r="AM202" s="11"/>
      <c r="AN202" s="11"/>
      <c r="AO202" s="11"/>
      <c r="AP202" s="2" t="s">
        <v>70</v>
      </c>
      <c r="AQ202" s="11" t="str">
        <f>IF(I202&lt;&gt;"",DATA!D201,"")</f>
        <v>8467190000</v>
      </c>
    </row>
    <row r="203" spans="1:43" ht="15.75" x14ac:dyDescent="0.25">
      <c r="A203" s="11" t="s">
        <v>57</v>
      </c>
      <c r="B203" s="11" t="s">
        <v>56</v>
      </c>
      <c r="C203" s="22">
        <f t="shared" si="18"/>
        <v>25001620</v>
      </c>
      <c r="D203" s="11" t="str">
        <f t="shared" si="15"/>
        <v>SKIIFM_AT</v>
      </c>
      <c r="E203" s="11" t="str">
        <f>IF(I203&lt;&gt;"",VLOOKUP(F203,OPDRACHTGEVER!$A$2:$B$4,2,FALSE),"")</f>
        <v>SKIIFM_AT</v>
      </c>
      <c r="F203" s="11" t="s">
        <v>58</v>
      </c>
      <c r="I203" s="11" t="str">
        <f>IF(DATA!B202&lt;&gt;"",DATA!B202,"")</f>
        <v>TCNU1428597</v>
      </c>
      <c r="J203" s="12">
        <v>0</v>
      </c>
      <c r="K203" s="11" t="s">
        <v>53</v>
      </c>
      <c r="L203" s="11" t="str">
        <f t="shared" si="16"/>
        <v>401691</v>
      </c>
      <c r="M203" s="11" t="str">
        <f>IF(I203&lt;&gt;"",DATA!E202,"")</f>
        <v>INSULATING COTTON</v>
      </c>
      <c r="N203" s="12">
        <v>0</v>
      </c>
      <c r="O203" s="11">
        <f>IF(I203&lt;&gt;"",DATA!C202,"")</f>
        <v>12</v>
      </c>
      <c r="P203" s="2">
        <v>294094</v>
      </c>
      <c r="Q203" s="2" t="s">
        <v>1304</v>
      </c>
      <c r="R203" s="2" t="s">
        <v>1309</v>
      </c>
      <c r="S203" s="2">
        <v>571</v>
      </c>
      <c r="T203" s="2">
        <v>1</v>
      </c>
      <c r="U203" s="2" t="s">
        <v>141</v>
      </c>
      <c r="Y203" s="2">
        <v>1700</v>
      </c>
      <c r="Z203" s="11" t="s">
        <v>54</v>
      </c>
      <c r="AA203" s="11" t="str">
        <f t="shared" si="17"/>
        <v>1700 - TBN</v>
      </c>
      <c r="AC203" s="2" t="s">
        <v>145</v>
      </c>
      <c r="AD203" s="11" t="str">
        <f>IF($I203&lt;&gt;"",VLOOKUP($AC203,GEADRESSEERDE!$A$2:$E$4,2,),"")</f>
        <v>LUITHAGEN HAVEN 2 D</v>
      </c>
      <c r="AE203" s="11">
        <f>IF($I203&lt;&gt;"",VLOOKUP($AC203,GEADRESSEERDE!$A$2:$E$4,3,),"")</f>
        <v>2030</v>
      </c>
      <c r="AF203" s="11" t="str">
        <f>IF($I203&lt;&gt;"",VLOOKUP($AC203,GEADRESSEERDE!$A$2:$E$4,4,),"")</f>
        <v>ANTWERPEN</v>
      </c>
      <c r="AG203" s="11" t="str">
        <f>IF($I203&lt;&gt;"",VLOOKUP($AC203,GEADRESSEERDE!$A$2:$E$4,5,),"")</f>
        <v>BE</v>
      </c>
      <c r="AH203" s="11" t="str">
        <f>IF(I203&lt;&gt;"",VLOOKUP(AP203,KvB!$A$2:$B$3,2,FALSE),"")</f>
        <v>BE101000</v>
      </c>
      <c r="AI203" s="11" t="s">
        <v>55</v>
      </c>
      <c r="AJ203" s="11"/>
      <c r="AK203" s="11"/>
      <c r="AL203" s="11"/>
      <c r="AM203" s="11"/>
      <c r="AN203" s="11"/>
      <c r="AO203" s="11"/>
      <c r="AP203" s="2" t="s">
        <v>70</v>
      </c>
      <c r="AQ203" s="11" t="str">
        <f>IF(I203&lt;&gt;"",DATA!D202,"")</f>
        <v>4016910000</v>
      </c>
    </row>
    <row r="204" spans="1:43" ht="15.75" x14ac:dyDescent="0.25">
      <c r="A204" s="11" t="s">
        <v>57</v>
      </c>
      <c r="B204" s="11" t="s">
        <v>56</v>
      </c>
      <c r="C204" s="22">
        <f t="shared" si="18"/>
        <v>25001620</v>
      </c>
      <c r="D204" s="11" t="str">
        <f t="shared" si="15"/>
        <v>SKIIFM_AT</v>
      </c>
      <c r="E204" s="11" t="str">
        <f>IF(I204&lt;&gt;"",VLOOKUP(F204,OPDRACHTGEVER!$A$2:$B$4,2,FALSE),"")</f>
        <v>SKIIFM_AT</v>
      </c>
      <c r="F204" s="11" t="s">
        <v>58</v>
      </c>
      <c r="I204" s="11" t="str">
        <f>IF(DATA!B203&lt;&gt;"",DATA!B203,"")</f>
        <v>TCNU1428597</v>
      </c>
      <c r="J204" s="12">
        <v>0</v>
      </c>
      <c r="K204" s="11" t="s">
        <v>53</v>
      </c>
      <c r="L204" s="11" t="str">
        <f t="shared" si="16"/>
        <v>940542</v>
      </c>
      <c r="M204" s="11" t="str">
        <f>IF(I204&lt;&gt;"",DATA!E203,"")</f>
        <v>LED LAMP</v>
      </c>
      <c r="N204" s="12">
        <v>0</v>
      </c>
      <c r="O204" s="11">
        <f>IF(I204&lt;&gt;"",DATA!C203,"")</f>
        <v>218.4</v>
      </c>
      <c r="P204" s="2">
        <v>294094</v>
      </c>
      <c r="Q204" s="2" t="s">
        <v>1304</v>
      </c>
      <c r="R204" s="2" t="s">
        <v>1309</v>
      </c>
      <c r="S204" s="2">
        <v>571</v>
      </c>
      <c r="T204" s="2">
        <v>1</v>
      </c>
      <c r="U204" s="2" t="s">
        <v>141</v>
      </c>
      <c r="Y204" s="2">
        <v>1700</v>
      </c>
      <c r="Z204" s="11" t="s">
        <v>54</v>
      </c>
      <c r="AA204" s="11" t="str">
        <f t="shared" si="17"/>
        <v>1700 - TBN</v>
      </c>
      <c r="AC204" s="2" t="s">
        <v>145</v>
      </c>
      <c r="AD204" s="11" t="str">
        <f>IF($I204&lt;&gt;"",VLOOKUP($AC204,GEADRESSEERDE!$A$2:$E$4,2,),"")</f>
        <v>LUITHAGEN HAVEN 2 D</v>
      </c>
      <c r="AE204" s="11">
        <f>IF($I204&lt;&gt;"",VLOOKUP($AC204,GEADRESSEERDE!$A$2:$E$4,3,),"")</f>
        <v>2030</v>
      </c>
      <c r="AF204" s="11" t="str">
        <f>IF($I204&lt;&gt;"",VLOOKUP($AC204,GEADRESSEERDE!$A$2:$E$4,4,),"")</f>
        <v>ANTWERPEN</v>
      </c>
      <c r="AG204" s="11" t="str">
        <f>IF($I204&lt;&gt;"",VLOOKUP($AC204,GEADRESSEERDE!$A$2:$E$4,5,),"")</f>
        <v>BE</v>
      </c>
      <c r="AH204" s="11" t="str">
        <f>IF(I204&lt;&gt;"",VLOOKUP(AP204,KvB!$A$2:$B$3,2,FALSE),"")</f>
        <v>BE101000</v>
      </c>
      <c r="AI204" s="11" t="s">
        <v>55</v>
      </c>
      <c r="AJ204" s="11"/>
      <c r="AK204" s="11"/>
      <c r="AL204" s="11"/>
      <c r="AM204" s="11"/>
      <c r="AN204" s="11"/>
      <c r="AO204" s="11"/>
      <c r="AP204" s="2" t="s">
        <v>70</v>
      </c>
      <c r="AQ204" s="11" t="str">
        <f>IF(I204&lt;&gt;"",DATA!D203,"")</f>
        <v>9405423990</v>
      </c>
    </row>
    <row r="205" spans="1:43" ht="15.75" x14ac:dyDescent="0.25">
      <c r="A205" s="11" t="s">
        <v>57</v>
      </c>
      <c r="B205" s="11" t="s">
        <v>56</v>
      </c>
      <c r="C205" s="22">
        <f t="shared" si="18"/>
        <v>25001620</v>
      </c>
      <c r="D205" s="11" t="str">
        <f t="shared" si="15"/>
        <v>SKIIFM_AT</v>
      </c>
      <c r="E205" s="11" t="str">
        <f>IF(I205&lt;&gt;"",VLOOKUP(F205,OPDRACHTGEVER!$A$2:$B$4,2,FALSE),"")</f>
        <v>SKIIFM_AT</v>
      </c>
      <c r="F205" s="11" t="s">
        <v>58</v>
      </c>
      <c r="I205" s="11" t="str">
        <f>IF(DATA!B204&lt;&gt;"",DATA!B204,"")</f>
        <v>TCNU1428597</v>
      </c>
      <c r="J205" s="12">
        <v>0</v>
      </c>
      <c r="K205" s="11" t="s">
        <v>53</v>
      </c>
      <c r="L205" s="11" t="str">
        <f t="shared" si="16"/>
        <v>902720</v>
      </c>
      <c r="M205" s="11" t="str">
        <f>IF(I205&lt;&gt;"",DATA!E204,"")</f>
        <v>METEOROGRAPH</v>
      </c>
      <c r="N205" s="12">
        <v>0</v>
      </c>
      <c r="O205" s="11">
        <f>IF(I205&lt;&gt;"",DATA!C204,"")</f>
        <v>218.4</v>
      </c>
      <c r="P205" s="2">
        <v>294094</v>
      </c>
      <c r="Q205" s="2" t="s">
        <v>1304</v>
      </c>
      <c r="R205" s="2" t="s">
        <v>1309</v>
      </c>
      <c r="S205" s="2">
        <v>571</v>
      </c>
      <c r="T205" s="2">
        <v>1</v>
      </c>
      <c r="U205" s="2" t="s">
        <v>141</v>
      </c>
      <c r="Y205" s="2">
        <v>1700</v>
      </c>
      <c r="Z205" s="11" t="s">
        <v>54</v>
      </c>
      <c r="AA205" s="11" t="str">
        <f t="shared" si="17"/>
        <v>1700 - TBN</v>
      </c>
      <c r="AC205" s="2" t="s">
        <v>145</v>
      </c>
      <c r="AD205" s="11" t="str">
        <f>IF($I205&lt;&gt;"",VLOOKUP($AC205,GEADRESSEERDE!$A$2:$E$4,2,),"")</f>
        <v>LUITHAGEN HAVEN 2 D</v>
      </c>
      <c r="AE205" s="11">
        <f>IF($I205&lt;&gt;"",VLOOKUP($AC205,GEADRESSEERDE!$A$2:$E$4,3,),"")</f>
        <v>2030</v>
      </c>
      <c r="AF205" s="11" t="str">
        <f>IF($I205&lt;&gt;"",VLOOKUP($AC205,GEADRESSEERDE!$A$2:$E$4,4,),"")</f>
        <v>ANTWERPEN</v>
      </c>
      <c r="AG205" s="11" t="str">
        <f>IF($I205&lt;&gt;"",VLOOKUP($AC205,GEADRESSEERDE!$A$2:$E$4,5,),"")</f>
        <v>BE</v>
      </c>
      <c r="AH205" s="11" t="str">
        <f>IF(I205&lt;&gt;"",VLOOKUP(AP205,KvB!$A$2:$B$3,2,FALSE),"")</f>
        <v>BE101000</v>
      </c>
      <c r="AI205" s="11" t="s">
        <v>55</v>
      </c>
      <c r="AJ205" s="11"/>
      <c r="AK205" s="11"/>
      <c r="AL205" s="11"/>
      <c r="AM205" s="11"/>
      <c r="AN205" s="11"/>
      <c r="AO205" s="11"/>
      <c r="AP205" s="2" t="s">
        <v>70</v>
      </c>
      <c r="AQ205" s="11" t="str">
        <f>IF(I205&lt;&gt;"",DATA!D204,"")</f>
        <v>9027200000</v>
      </c>
    </row>
    <row r="206" spans="1:43" ht="15.75" x14ac:dyDescent="0.25">
      <c r="A206" s="11" t="s">
        <v>57</v>
      </c>
      <c r="B206" s="11" t="s">
        <v>56</v>
      </c>
      <c r="C206" s="22">
        <f t="shared" si="18"/>
        <v>25001620</v>
      </c>
      <c r="D206" s="11" t="str">
        <f t="shared" si="15"/>
        <v>SKIIFM_AT</v>
      </c>
      <c r="E206" s="11" t="str">
        <f>IF(I206&lt;&gt;"",VLOOKUP(F206,OPDRACHTGEVER!$A$2:$B$4,2,FALSE),"")</f>
        <v>SKIIFM_AT</v>
      </c>
      <c r="F206" s="11" t="s">
        <v>58</v>
      </c>
      <c r="I206" s="11" t="str">
        <f>IF(DATA!B205&lt;&gt;"",DATA!B205,"")</f>
        <v>TCNU1428597</v>
      </c>
      <c r="J206" s="12">
        <v>0</v>
      </c>
      <c r="K206" s="11" t="s">
        <v>53</v>
      </c>
      <c r="L206" s="11" t="str">
        <f t="shared" si="16"/>
        <v>843860</v>
      </c>
      <c r="M206" s="11" t="str">
        <f>IF(I206&lt;&gt;"",DATA!E205,"")</f>
        <v>MICROTOME</v>
      </c>
      <c r="N206" s="12">
        <v>0</v>
      </c>
      <c r="O206" s="11">
        <f>IF(I206&lt;&gt;"",DATA!C205,"")</f>
        <v>111.6</v>
      </c>
      <c r="P206" s="2">
        <v>294094</v>
      </c>
      <c r="Q206" s="2" t="s">
        <v>1304</v>
      </c>
      <c r="R206" s="2" t="s">
        <v>1309</v>
      </c>
      <c r="S206" s="2">
        <v>571</v>
      </c>
      <c r="T206" s="2">
        <v>1</v>
      </c>
      <c r="U206" s="2" t="s">
        <v>141</v>
      </c>
      <c r="Y206" s="2">
        <v>1700</v>
      </c>
      <c r="Z206" s="11" t="s">
        <v>54</v>
      </c>
      <c r="AA206" s="11" t="str">
        <f t="shared" si="17"/>
        <v>1700 - TBN</v>
      </c>
      <c r="AC206" s="2" t="s">
        <v>145</v>
      </c>
      <c r="AD206" s="11" t="str">
        <f>IF($I206&lt;&gt;"",VLOOKUP($AC206,GEADRESSEERDE!$A$2:$E$4,2,),"")</f>
        <v>LUITHAGEN HAVEN 2 D</v>
      </c>
      <c r="AE206" s="11">
        <f>IF($I206&lt;&gt;"",VLOOKUP($AC206,GEADRESSEERDE!$A$2:$E$4,3,),"")</f>
        <v>2030</v>
      </c>
      <c r="AF206" s="11" t="str">
        <f>IF($I206&lt;&gt;"",VLOOKUP($AC206,GEADRESSEERDE!$A$2:$E$4,4,),"")</f>
        <v>ANTWERPEN</v>
      </c>
      <c r="AG206" s="11" t="str">
        <f>IF($I206&lt;&gt;"",VLOOKUP($AC206,GEADRESSEERDE!$A$2:$E$4,5,),"")</f>
        <v>BE</v>
      </c>
      <c r="AH206" s="11" t="str">
        <f>IF(I206&lt;&gt;"",VLOOKUP(AP206,KvB!$A$2:$B$3,2,FALSE),"")</f>
        <v>BE101000</v>
      </c>
      <c r="AI206" s="11" t="s">
        <v>55</v>
      </c>
      <c r="AJ206" s="11"/>
      <c r="AK206" s="11"/>
      <c r="AL206" s="11"/>
      <c r="AM206" s="11"/>
      <c r="AN206" s="11"/>
      <c r="AO206" s="11"/>
      <c r="AP206" s="2" t="s">
        <v>70</v>
      </c>
      <c r="AQ206" s="11" t="str">
        <f>IF(I206&lt;&gt;"",DATA!D205,"")</f>
        <v>8438600000</v>
      </c>
    </row>
    <row r="207" spans="1:43" ht="15.75" x14ac:dyDescent="0.25">
      <c r="A207" s="11" t="s">
        <v>57</v>
      </c>
      <c r="B207" s="11" t="s">
        <v>56</v>
      </c>
      <c r="C207" s="22">
        <f t="shared" si="18"/>
        <v>25001620</v>
      </c>
      <c r="D207" s="11" t="str">
        <f t="shared" si="15"/>
        <v>SKIIFM_AT</v>
      </c>
      <c r="E207" s="11" t="str">
        <f>IF(I207&lt;&gt;"",VLOOKUP(F207,OPDRACHTGEVER!$A$2:$B$4,2,FALSE),"")</f>
        <v>SKIIFM_AT</v>
      </c>
      <c r="F207" s="11" t="s">
        <v>58</v>
      </c>
      <c r="I207" s="11" t="str">
        <f>IF(DATA!B206&lt;&gt;"",DATA!B206,"")</f>
        <v>TCNU1428597</v>
      </c>
      <c r="J207" s="12">
        <v>0</v>
      </c>
      <c r="K207" s="11" t="s">
        <v>53</v>
      </c>
      <c r="L207" s="11" t="str">
        <f t="shared" si="16"/>
        <v>741920</v>
      </c>
      <c r="M207" s="11" t="str">
        <f>IF(I207&lt;&gt;"",DATA!E206,"")</f>
        <v>PET BEAUTY BATH</v>
      </c>
      <c r="N207" s="12">
        <v>0</v>
      </c>
      <c r="O207" s="11">
        <f>IF(I207&lt;&gt;"",DATA!C206,"")</f>
        <v>192.8</v>
      </c>
      <c r="P207" s="2">
        <v>294094</v>
      </c>
      <c r="Q207" s="2" t="s">
        <v>1304</v>
      </c>
      <c r="R207" s="2" t="s">
        <v>1309</v>
      </c>
      <c r="S207" s="2">
        <v>571</v>
      </c>
      <c r="T207" s="2">
        <v>1</v>
      </c>
      <c r="U207" s="2" t="s">
        <v>141</v>
      </c>
      <c r="Y207" s="2">
        <v>1700</v>
      </c>
      <c r="Z207" s="11" t="s">
        <v>54</v>
      </c>
      <c r="AA207" s="11" t="str">
        <f t="shared" si="17"/>
        <v>1700 - TBN</v>
      </c>
      <c r="AC207" s="2" t="s">
        <v>145</v>
      </c>
      <c r="AD207" s="11" t="str">
        <f>IF($I207&lt;&gt;"",VLOOKUP($AC207,GEADRESSEERDE!$A$2:$E$4,2,),"")</f>
        <v>LUITHAGEN HAVEN 2 D</v>
      </c>
      <c r="AE207" s="11">
        <f>IF($I207&lt;&gt;"",VLOOKUP($AC207,GEADRESSEERDE!$A$2:$E$4,3,),"")</f>
        <v>2030</v>
      </c>
      <c r="AF207" s="11" t="str">
        <f>IF($I207&lt;&gt;"",VLOOKUP($AC207,GEADRESSEERDE!$A$2:$E$4,4,),"")</f>
        <v>ANTWERPEN</v>
      </c>
      <c r="AG207" s="11" t="str">
        <f>IF($I207&lt;&gt;"",VLOOKUP($AC207,GEADRESSEERDE!$A$2:$E$4,5,),"")</f>
        <v>BE</v>
      </c>
      <c r="AH207" s="11" t="str">
        <f>IF(I207&lt;&gt;"",VLOOKUP(AP207,KvB!$A$2:$B$3,2,FALSE),"")</f>
        <v>BE101000</v>
      </c>
      <c r="AI207" s="11" t="s">
        <v>55</v>
      </c>
      <c r="AJ207" s="11"/>
      <c r="AK207" s="11"/>
      <c r="AL207" s="11"/>
      <c r="AM207" s="11"/>
      <c r="AN207" s="11"/>
      <c r="AO207" s="11"/>
      <c r="AP207" s="2" t="s">
        <v>70</v>
      </c>
      <c r="AQ207" s="11" t="str">
        <f>IF(I207&lt;&gt;"",DATA!D206,"")</f>
        <v>7419200090</v>
      </c>
    </row>
    <row r="208" spans="1:43" ht="15.75" x14ac:dyDescent="0.25">
      <c r="A208" s="11" t="s">
        <v>57</v>
      </c>
      <c r="B208" s="11" t="s">
        <v>56</v>
      </c>
      <c r="C208" s="22">
        <f t="shared" si="18"/>
        <v>25001620</v>
      </c>
      <c r="D208" s="11" t="str">
        <f t="shared" si="15"/>
        <v>SKIIFM_AT</v>
      </c>
      <c r="E208" s="11" t="str">
        <f>IF(I208&lt;&gt;"",VLOOKUP(F208,OPDRACHTGEVER!$A$2:$B$4,2,FALSE),"")</f>
        <v>SKIIFM_AT</v>
      </c>
      <c r="F208" s="11" t="s">
        <v>58</v>
      </c>
      <c r="I208" s="11" t="str">
        <f>IF(DATA!B207&lt;&gt;"",DATA!B207,"")</f>
        <v>TCNU1428597</v>
      </c>
      <c r="J208" s="12">
        <v>0</v>
      </c>
      <c r="K208" s="11" t="s">
        <v>53</v>
      </c>
      <c r="L208" s="11" t="str">
        <f t="shared" si="16"/>
        <v>741920</v>
      </c>
      <c r="M208" s="11" t="str">
        <f>IF(I208&lt;&gt;"",DATA!E207,"")</f>
        <v>PLANTING BED</v>
      </c>
      <c r="N208" s="12">
        <v>0</v>
      </c>
      <c r="O208" s="11">
        <f>IF(I208&lt;&gt;"",DATA!C207,"")</f>
        <v>2398</v>
      </c>
      <c r="P208" s="2">
        <v>294094</v>
      </c>
      <c r="Q208" s="2" t="s">
        <v>1304</v>
      </c>
      <c r="R208" s="2" t="s">
        <v>1309</v>
      </c>
      <c r="S208" s="2">
        <v>571</v>
      </c>
      <c r="T208" s="2">
        <v>1</v>
      </c>
      <c r="U208" s="2" t="s">
        <v>141</v>
      </c>
      <c r="Y208" s="2">
        <v>1700</v>
      </c>
      <c r="Z208" s="11" t="s">
        <v>54</v>
      </c>
      <c r="AA208" s="11" t="str">
        <f t="shared" si="17"/>
        <v>1700 - TBN</v>
      </c>
      <c r="AC208" s="2" t="s">
        <v>145</v>
      </c>
      <c r="AD208" s="11" t="str">
        <f>IF($I208&lt;&gt;"",VLOOKUP($AC208,GEADRESSEERDE!$A$2:$E$4,2,),"")</f>
        <v>LUITHAGEN HAVEN 2 D</v>
      </c>
      <c r="AE208" s="11">
        <f>IF($I208&lt;&gt;"",VLOOKUP($AC208,GEADRESSEERDE!$A$2:$E$4,3,),"")</f>
        <v>2030</v>
      </c>
      <c r="AF208" s="11" t="str">
        <f>IF($I208&lt;&gt;"",VLOOKUP($AC208,GEADRESSEERDE!$A$2:$E$4,4,),"")</f>
        <v>ANTWERPEN</v>
      </c>
      <c r="AG208" s="11" t="str">
        <f>IF($I208&lt;&gt;"",VLOOKUP($AC208,GEADRESSEERDE!$A$2:$E$4,5,),"")</f>
        <v>BE</v>
      </c>
      <c r="AH208" s="11" t="str">
        <f>IF(I208&lt;&gt;"",VLOOKUP(AP208,KvB!$A$2:$B$3,2,FALSE),"")</f>
        <v>BE101000</v>
      </c>
      <c r="AI208" s="11" t="s">
        <v>55</v>
      </c>
      <c r="AJ208" s="11"/>
      <c r="AK208" s="11"/>
      <c r="AL208" s="11"/>
      <c r="AM208" s="11"/>
      <c r="AN208" s="11"/>
      <c r="AO208" s="11"/>
      <c r="AP208" s="2" t="s">
        <v>70</v>
      </c>
      <c r="AQ208" s="11" t="str">
        <f>IF(I208&lt;&gt;"",DATA!D207,"")</f>
        <v>7419200090</v>
      </c>
    </row>
    <row r="209" spans="1:43" ht="15.75" x14ac:dyDescent="0.25">
      <c r="A209" s="11" t="s">
        <v>57</v>
      </c>
      <c r="B209" s="11" t="s">
        <v>56</v>
      </c>
      <c r="C209" s="22">
        <f t="shared" si="18"/>
        <v>25001620</v>
      </c>
      <c r="D209" s="11" t="str">
        <f t="shared" si="15"/>
        <v>SKIIFM_AT</v>
      </c>
      <c r="E209" s="11" t="str">
        <f>IF(I209&lt;&gt;"",VLOOKUP(F209,OPDRACHTGEVER!$A$2:$B$4,2,FALSE),"")</f>
        <v>SKIIFM_AT</v>
      </c>
      <c r="F209" s="11" t="s">
        <v>58</v>
      </c>
      <c r="I209" s="11" t="str">
        <f>IF(DATA!B208&lt;&gt;"",DATA!B208,"")</f>
        <v>TCNU1428597</v>
      </c>
      <c r="J209" s="12">
        <v>0</v>
      </c>
      <c r="K209" s="11" t="s">
        <v>53</v>
      </c>
      <c r="L209" s="11" t="str">
        <f t="shared" si="16"/>
        <v>391810</v>
      </c>
      <c r="M209" s="11" t="str">
        <f>IF(I209&lt;&gt;"",DATA!E208,"")</f>
        <v>PVC WALL PANEL</v>
      </c>
      <c r="N209" s="12">
        <v>0</v>
      </c>
      <c r="O209" s="11">
        <f>IF(I209&lt;&gt;"",DATA!C208,"")</f>
        <v>129.5</v>
      </c>
      <c r="P209" s="2">
        <v>294094</v>
      </c>
      <c r="Q209" s="2" t="s">
        <v>1304</v>
      </c>
      <c r="R209" s="2" t="s">
        <v>1309</v>
      </c>
      <c r="S209" s="2">
        <v>571</v>
      </c>
      <c r="T209" s="2">
        <v>1</v>
      </c>
      <c r="U209" s="2" t="s">
        <v>141</v>
      </c>
      <c r="Y209" s="2">
        <v>1700</v>
      </c>
      <c r="Z209" s="11" t="s">
        <v>54</v>
      </c>
      <c r="AA209" s="11" t="str">
        <f t="shared" si="17"/>
        <v>1700 - TBN</v>
      </c>
      <c r="AC209" s="2" t="s">
        <v>145</v>
      </c>
      <c r="AD209" s="11" t="str">
        <f>IF($I209&lt;&gt;"",VLOOKUP($AC209,GEADRESSEERDE!$A$2:$E$4,2,),"")</f>
        <v>LUITHAGEN HAVEN 2 D</v>
      </c>
      <c r="AE209" s="11">
        <f>IF($I209&lt;&gt;"",VLOOKUP($AC209,GEADRESSEERDE!$A$2:$E$4,3,),"")</f>
        <v>2030</v>
      </c>
      <c r="AF209" s="11" t="str">
        <f>IF($I209&lt;&gt;"",VLOOKUP($AC209,GEADRESSEERDE!$A$2:$E$4,4,),"")</f>
        <v>ANTWERPEN</v>
      </c>
      <c r="AG209" s="11" t="str">
        <f>IF($I209&lt;&gt;"",VLOOKUP($AC209,GEADRESSEERDE!$A$2:$E$4,5,),"")</f>
        <v>BE</v>
      </c>
      <c r="AH209" s="11" t="str">
        <f>IF(I209&lt;&gt;"",VLOOKUP(AP209,KvB!$A$2:$B$3,2,FALSE),"")</f>
        <v>BE101000</v>
      </c>
      <c r="AI209" s="11" t="s">
        <v>55</v>
      </c>
      <c r="AJ209" s="11"/>
      <c r="AK209" s="11"/>
      <c r="AL209" s="11"/>
      <c r="AM209" s="11"/>
      <c r="AN209" s="11"/>
      <c r="AO209" s="11"/>
      <c r="AP209" s="2" t="s">
        <v>70</v>
      </c>
      <c r="AQ209" s="11" t="str">
        <f>IF(I209&lt;&gt;"",DATA!D208,"")</f>
        <v>3918101090</v>
      </c>
    </row>
    <row r="210" spans="1:43" ht="15.75" x14ac:dyDescent="0.25">
      <c r="A210" s="11" t="s">
        <v>57</v>
      </c>
      <c r="B210" s="11" t="s">
        <v>56</v>
      </c>
      <c r="C210" s="22">
        <f t="shared" si="18"/>
        <v>25001620</v>
      </c>
      <c r="D210" s="11" t="str">
        <f t="shared" si="15"/>
        <v>SKIIFM_AT</v>
      </c>
      <c r="E210" s="11" t="str">
        <f>IF(I210&lt;&gt;"",VLOOKUP(F210,OPDRACHTGEVER!$A$2:$B$4,2,FALSE),"")</f>
        <v>SKIIFM_AT</v>
      </c>
      <c r="F210" s="11" t="s">
        <v>58</v>
      </c>
      <c r="I210" s="11" t="str">
        <f>IF(DATA!B209&lt;&gt;"",DATA!B209,"")</f>
        <v>TCNU1428597</v>
      </c>
      <c r="J210" s="12">
        <v>0</v>
      </c>
      <c r="K210" s="11" t="s">
        <v>53</v>
      </c>
      <c r="L210" s="11" t="str">
        <f t="shared" si="16"/>
        <v>741920</v>
      </c>
      <c r="M210" s="11" t="str">
        <f>IF(I210&lt;&gt;"",DATA!E209,"")</f>
        <v>QUEUE LINE PROTECT</v>
      </c>
      <c r="N210" s="12">
        <v>0</v>
      </c>
      <c r="O210" s="11">
        <f>IF(I210&lt;&gt;"",DATA!C209,"")</f>
        <v>1193.6099999999999</v>
      </c>
      <c r="P210" s="2">
        <v>294094</v>
      </c>
      <c r="Q210" s="2" t="s">
        <v>1304</v>
      </c>
      <c r="R210" s="2" t="s">
        <v>1309</v>
      </c>
      <c r="S210" s="2">
        <v>571</v>
      </c>
      <c r="T210" s="2">
        <v>1</v>
      </c>
      <c r="U210" s="2" t="s">
        <v>141</v>
      </c>
      <c r="Y210" s="2">
        <v>1700</v>
      </c>
      <c r="Z210" s="11" t="s">
        <v>54</v>
      </c>
      <c r="AA210" s="11" t="str">
        <f t="shared" si="17"/>
        <v>1700 - TBN</v>
      </c>
      <c r="AC210" s="2" t="s">
        <v>145</v>
      </c>
      <c r="AD210" s="11" t="str">
        <f>IF($I210&lt;&gt;"",VLOOKUP($AC210,GEADRESSEERDE!$A$2:$E$4,2,),"")</f>
        <v>LUITHAGEN HAVEN 2 D</v>
      </c>
      <c r="AE210" s="11">
        <f>IF($I210&lt;&gt;"",VLOOKUP($AC210,GEADRESSEERDE!$A$2:$E$4,3,),"")</f>
        <v>2030</v>
      </c>
      <c r="AF210" s="11" t="str">
        <f>IF($I210&lt;&gt;"",VLOOKUP($AC210,GEADRESSEERDE!$A$2:$E$4,4,),"")</f>
        <v>ANTWERPEN</v>
      </c>
      <c r="AG210" s="11" t="str">
        <f>IF($I210&lt;&gt;"",VLOOKUP($AC210,GEADRESSEERDE!$A$2:$E$4,5,),"")</f>
        <v>BE</v>
      </c>
      <c r="AH210" s="11" t="str">
        <f>IF(I210&lt;&gt;"",VLOOKUP(AP210,KvB!$A$2:$B$3,2,FALSE),"")</f>
        <v>BE101000</v>
      </c>
      <c r="AI210" s="11" t="s">
        <v>55</v>
      </c>
      <c r="AJ210" s="11"/>
      <c r="AK210" s="11"/>
      <c r="AL210" s="11"/>
      <c r="AM210" s="11"/>
      <c r="AN210" s="11"/>
      <c r="AO210" s="11"/>
      <c r="AP210" s="2" t="s">
        <v>70</v>
      </c>
      <c r="AQ210" s="11" t="str">
        <f>IF(I210&lt;&gt;"",DATA!D209,"")</f>
        <v>7419200090</v>
      </c>
    </row>
    <row r="211" spans="1:43" ht="15.75" x14ac:dyDescent="0.25">
      <c r="A211" s="11" t="s">
        <v>57</v>
      </c>
      <c r="B211" s="11" t="s">
        <v>56</v>
      </c>
      <c r="C211" s="22">
        <f t="shared" si="18"/>
        <v>25001620</v>
      </c>
      <c r="D211" s="11" t="str">
        <f t="shared" si="15"/>
        <v>SKIIFM_AT</v>
      </c>
      <c r="E211" s="11" t="str">
        <f>IF(I211&lt;&gt;"",VLOOKUP(F211,OPDRACHTGEVER!$A$2:$B$4,2,FALSE),"")</f>
        <v>SKIIFM_AT</v>
      </c>
      <c r="F211" s="11" t="s">
        <v>58</v>
      </c>
      <c r="I211" s="11" t="str">
        <f>IF(DATA!B210&lt;&gt;"",DATA!B210,"")</f>
        <v>TCNU1428597</v>
      </c>
      <c r="J211" s="12">
        <v>0</v>
      </c>
      <c r="K211" s="11" t="s">
        <v>53</v>
      </c>
      <c r="L211" s="11" t="str">
        <f t="shared" si="16"/>
        <v>670210</v>
      </c>
      <c r="M211" s="11" t="str">
        <f>IF(I211&lt;&gt;"",DATA!E210,"")</f>
        <v>SIMULATED PLANT</v>
      </c>
      <c r="N211" s="12">
        <v>0</v>
      </c>
      <c r="O211" s="11">
        <f>IF(I211&lt;&gt;"",DATA!C210,"")</f>
        <v>276</v>
      </c>
      <c r="P211" s="2">
        <v>294094</v>
      </c>
      <c r="Q211" s="2" t="s">
        <v>1304</v>
      </c>
      <c r="R211" s="2" t="s">
        <v>1309</v>
      </c>
      <c r="S211" s="2">
        <v>571</v>
      </c>
      <c r="T211" s="2">
        <v>1</v>
      </c>
      <c r="U211" s="2" t="s">
        <v>141</v>
      </c>
      <c r="Y211" s="2">
        <v>1700</v>
      </c>
      <c r="Z211" s="11" t="s">
        <v>54</v>
      </c>
      <c r="AA211" s="11" t="str">
        <f t="shared" si="17"/>
        <v>1700 - TBN</v>
      </c>
      <c r="AC211" s="2" t="s">
        <v>145</v>
      </c>
      <c r="AD211" s="11" t="str">
        <f>IF($I211&lt;&gt;"",VLOOKUP($AC211,GEADRESSEERDE!$A$2:$E$4,2,),"")</f>
        <v>LUITHAGEN HAVEN 2 D</v>
      </c>
      <c r="AE211" s="11">
        <f>IF($I211&lt;&gt;"",VLOOKUP($AC211,GEADRESSEERDE!$A$2:$E$4,3,),"")</f>
        <v>2030</v>
      </c>
      <c r="AF211" s="11" t="str">
        <f>IF($I211&lt;&gt;"",VLOOKUP($AC211,GEADRESSEERDE!$A$2:$E$4,4,),"")</f>
        <v>ANTWERPEN</v>
      </c>
      <c r="AG211" s="11" t="str">
        <f>IF($I211&lt;&gt;"",VLOOKUP($AC211,GEADRESSEERDE!$A$2:$E$4,5,),"")</f>
        <v>BE</v>
      </c>
      <c r="AH211" s="11" t="str">
        <f>IF(I211&lt;&gt;"",VLOOKUP(AP211,KvB!$A$2:$B$3,2,FALSE),"")</f>
        <v>BE101000</v>
      </c>
      <c r="AI211" s="11" t="s">
        <v>55</v>
      </c>
      <c r="AJ211" s="11"/>
      <c r="AK211" s="11"/>
      <c r="AL211" s="11"/>
      <c r="AM211" s="11"/>
      <c r="AN211" s="11"/>
      <c r="AO211" s="11"/>
      <c r="AP211" s="2" t="s">
        <v>70</v>
      </c>
      <c r="AQ211" s="11" t="str">
        <f>IF(I211&lt;&gt;"",DATA!D210,"")</f>
        <v>6702100000</v>
      </c>
    </row>
    <row r="212" spans="1:43" ht="15.75" x14ac:dyDescent="0.25">
      <c r="A212" s="11" t="s">
        <v>57</v>
      </c>
      <c r="B212" s="11" t="s">
        <v>56</v>
      </c>
      <c r="C212" s="22">
        <f t="shared" si="18"/>
        <v>25001620</v>
      </c>
      <c r="D212" s="11" t="str">
        <f t="shared" si="15"/>
        <v>SKIIFM_AT</v>
      </c>
      <c r="E212" s="11" t="str">
        <f>IF(I212&lt;&gt;"",VLOOKUP(F212,OPDRACHTGEVER!$A$2:$B$4,2,FALSE),"")</f>
        <v>SKIIFM_AT</v>
      </c>
      <c r="F212" s="11" t="s">
        <v>58</v>
      </c>
      <c r="I212" s="11" t="str">
        <f>IF(DATA!B211&lt;&gt;"",DATA!B211,"")</f>
        <v>TCNU1428597</v>
      </c>
      <c r="J212" s="12">
        <v>0</v>
      </c>
      <c r="K212" s="11" t="s">
        <v>53</v>
      </c>
      <c r="L212" s="11" t="str">
        <f t="shared" si="16"/>
        <v>850940</v>
      </c>
      <c r="M212" s="11" t="str">
        <f>IF(I212&lt;&gt;"",DATA!E211,"")</f>
        <v>MIXER</v>
      </c>
      <c r="N212" s="12">
        <v>0</v>
      </c>
      <c r="O212" s="11">
        <f>IF(I212&lt;&gt;"",DATA!C211,"")</f>
        <v>196.1</v>
      </c>
      <c r="P212" s="2">
        <v>294094</v>
      </c>
      <c r="Q212" s="2" t="s">
        <v>1304</v>
      </c>
      <c r="R212" s="2" t="s">
        <v>1309</v>
      </c>
      <c r="S212" s="2">
        <v>571</v>
      </c>
      <c r="T212" s="2">
        <v>1</v>
      </c>
      <c r="U212" s="2" t="s">
        <v>141</v>
      </c>
      <c r="Y212" s="2">
        <v>1700</v>
      </c>
      <c r="Z212" s="11" t="s">
        <v>54</v>
      </c>
      <c r="AA212" s="11" t="str">
        <f t="shared" si="17"/>
        <v>1700 - TBN</v>
      </c>
      <c r="AC212" s="2" t="s">
        <v>145</v>
      </c>
      <c r="AD212" s="11" t="str">
        <f>IF($I212&lt;&gt;"",VLOOKUP($AC212,GEADRESSEERDE!$A$2:$E$4,2,),"")</f>
        <v>LUITHAGEN HAVEN 2 D</v>
      </c>
      <c r="AE212" s="11">
        <f>IF($I212&lt;&gt;"",VLOOKUP($AC212,GEADRESSEERDE!$A$2:$E$4,3,),"")</f>
        <v>2030</v>
      </c>
      <c r="AF212" s="11" t="str">
        <f>IF($I212&lt;&gt;"",VLOOKUP($AC212,GEADRESSEERDE!$A$2:$E$4,4,),"")</f>
        <v>ANTWERPEN</v>
      </c>
      <c r="AG212" s="11" t="str">
        <f>IF($I212&lt;&gt;"",VLOOKUP($AC212,GEADRESSEERDE!$A$2:$E$4,5,),"")</f>
        <v>BE</v>
      </c>
      <c r="AH212" s="11" t="str">
        <f>IF(I212&lt;&gt;"",VLOOKUP(AP212,KvB!$A$2:$B$3,2,FALSE),"")</f>
        <v>BE101000</v>
      </c>
      <c r="AI212" s="11" t="s">
        <v>55</v>
      </c>
      <c r="AJ212" s="11"/>
      <c r="AK212" s="11"/>
      <c r="AL212" s="11"/>
      <c r="AM212" s="11"/>
      <c r="AN212" s="11"/>
      <c r="AO212" s="11"/>
      <c r="AP212" s="2" t="s">
        <v>70</v>
      </c>
      <c r="AQ212" s="11" t="str">
        <f>IF(I212&lt;&gt;"",DATA!D211,"")</f>
        <v>8509400000</v>
      </c>
    </row>
    <row r="213" spans="1:43" ht="15.75" x14ac:dyDescent="0.25">
      <c r="A213" s="11" t="s">
        <v>57</v>
      </c>
      <c r="B213" s="11" t="s">
        <v>56</v>
      </c>
      <c r="C213" s="22">
        <f t="shared" si="18"/>
        <v>25001620</v>
      </c>
      <c r="D213" s="11" t="str">
        <f t="shared" si="15"/>
        <v>SKIIFM_AT</v>
      </c>
      <c r="E213" s="11" t="str">
        <f>IF(I213&lt;&gt;"",VLOOKUP(F213,OPDRACHTGEVER!$A$2:$B$4,2,FALSE),"")</f>
        <v>SKIIFM_AT</v>
      </c>
      <c r="F213" s="11" t="s">
        <v>58</v>
      </c>
      <c r="I213" s="11" t="str">
        <f>IF(DATA!B212&lt;&gt;"",DATA!B212,"")</f>
        <v>TCNU1428597</v>
      </c>
      <c r="J213" s="12">
        <v>0</v>
      </c>
      <c r="K213" s="11" t="s">
        <v>53</v>
      </c>
      <c r="L213" s="11" t="str">
        <f t="shared" si="16"/>
        <v>820551</v>
      </c>
      <c r="M213" s="11" t="str">
        <f>IF(I213&lt;&gt;"",DATA!E212,"")</f>
        <v>SURFACE PRESS</v>
      </c>
      <c r="N213" s="12">
        <v>0</v>
      </c>
      <c r="O213" s="11">
        <f>IF(I213&lt;&gt;"",DATA!C212,"")</f>
        <v>2.7</v>
      </c>
      <c r="P213" s="2">
        <v>294094</v>
      </c>
      <c r="Q213" s="2" t="s">
        <v>1304</v>
      </c>
      <c r="R213" s="2" t="s">
        <v>1309</v>
      </c>
      <c r="S213" s="2">
        <v>571</v>
      </c>
      <c r="T213" s="2">
        <v>1</v>
      </c>
      <c r="U213" s="2" t="s">
        <v>141</v>
      </c>
      <c r="Y213" s="2">
        <v>1700</v>
      </c>
      <c r="Z213" s="11" t="s">
        <v>54</v>
      </c>
      <c r="AA213" s="11" t="str">
        <f t="shared" si="17"/>
        <v>1700 - TBN</v>
      </c>
      <c r="AC213" s="2" t="s">
        <v>145</v>
      </c>
      <c r="AD213" s="11" t="str">
        <f>IF($I213&lt;&gt;"",VLOOKUP($AC213,GEADRESSEERDE!$A$2:$E$4,2,),"")</f>
        <v>LUITHAGEN HAVEN 2 D</v>
      </c>
      <c r="AE213" s="11">
        <f>IF($I213&lt;&gt;"",VLOOKUP($AC213,GEADRESSEERDE!$A$2:$E$4,3,),"")</f>
        <v>2030</v>
      </c>
      <c r="AF213" s="11" t="str">
        <f>IF($I213&lt;&gt;"",VLOOKUP($AC213,GEADRESSEERDE!$A$2:$E$4,4,),"")</f>
        <v>ANTWERPEN</v>
      </c>
      <c r="AG213" s="11" t="str">
        <f>IF($I213&lt;&gt;"",VLOOKUP($AC213,GEADRESSEERDE!$A$2:$E$4,5,),"")</f>
        <v>BE</v>
      </c>
      <c r="AH213" s="11" t="str">
        <f>IF(I213&lt;&gt;"",VLOOKUP(AP213,KvB!$A$2:$B$3,2,FALSE),"")</f>
        <v>BE101000</v>
      </c>
      <c r="AI213" s="11" t="s">
        <v>55</v>
      </c>
      <c r="AJ213" s="11"/>
      <c r="AK213" s="11"/>
      <c r="AL213" s="11"/>
      <c r="AM213" s="11"/>
      <c r="AN213" s="11"/>
      <c r="AO213" s="11"/>
      <c r="AP213" s="2" t="s">
        <v>70</v>
      </c>
      <c r="AQ213" s="11" t="str">
        <f>IF(I213&lt;&gt;"",DATA!D212,"")</f>
        <v>8205510000</v>
      </c>
    </row>
    <row r="214" spans="1:43" ht="15.75" x14ac:dyDescent="0.25">
      <c r="A214" s="11" t="s">
        <v>57</v>
      </c>
      <c r="B214" s="11" t="s">
        <v>56</v>
      </c>
      <c r="C214" s="22">
        <f t="shared" si="18"/>
        <v>25001620</v>
      </c>
      <c r="D214" s="11" t="str">
        <f t="shared" si="15"/>
        <v>SKIIFM_AT</v>
      </c>
      <c r="E214" s="11" t="str">
        <f>IF(I214&lt;&gt;"",VLOOKUP(F214,OPDRACHTGEVER!$A$2:$B$4,2,FALSE),"")</f>
        <v>SKIIFM_AT</v>
      </c>
      <c r="F214" s="11" t="s">
        <v>58</v>
      </c>
      <c r="I214" s="11" t="str">
        <f>IF(DATA!B213&lt;&gt;"",DATA!B213,"")</f>
        <v>TCNU1428597</v>
      </c>
      <c r="J214" s="12">
        <v>0</v>
      </c>
      <c r="K214" s="11" t="s">
        <v>53</v>
      </c>
      <c r="L214" s="11" t="str">
        <f t="shared" si="16"/>
        <v>392490</v>
      </c>
      <c r="M214" s="11" t="str">
        <f>IF(I214&lt;&gt;"",DATA!E213,"")</f>
        <v>TABLE MAT</v>
      </c>
      <c r="N214" s="12">
        <v>0</v>
      </c>
      <c r="O214" s="11">
        <f>IF(I214&lt;&gt;"",DATA!C213,"")</f>
        <v>5</v>
      </c>
      <c r="P214" s="2">
        <v>294094</v>
      </c>
      <c r="Q214" s="2" t="s">
        <v>1304</v>
      </c>
      <c r="R214" s="2" t="s">
        <v>1309</v>
      </c>
      <c r="S214" s="2">
        <v>571</v>
      </c>
      <c r="T214" s="2">
        <v>1</v>
      </c>
      <c r="U214" s="2" t="s">
        <v>141</v>
      </c>
      <c r="Y214" s="2">
        <v>1700</v>
      </c>
      <c r="Z214" s="11" t="s">
        <v>54</v>
      </c>
      <c r="AA214" s="11" t="str">
        <f t="shared" si="17"/>
        <v>1700 - TBN</v>
      </c>
      <c r="AC214" s="2" t="s">
        <v>145</v>
      </c>
      <c r="AD214" s="11" t="str">
        <f>IF($I214&lt;&gt;"",VLOOKUP($AC214,GEADRESSEERDE!$A$2:$E$4,2,),"")</f>
        <v>LUITHAGEN HAVEN 2 D</v>
      </c>
      <c r="AE214" s="11">
        <f>IF($I214&lt;&gt;"",VLOOKUP($AC214,GEADRESSEERDE!$A$2:$E$4,3,),"")</f>
        <v>2030</v>
      </c>
      <c r="AF214" s="11" t="str">
        <f>IF($I214&lt;&gt;"",VLOOKUP($AC214,GEADRESSEERDE!$A$2:$E$4,4,),"")</f>
        <v>ANTWERPEN</v>
      </c>
      <c r="AG214" s="11" t="str">
        <f>IF($I214&lt;&gt;"",VLOOKUP($AC214,GEADRESSEERDE!$A$2:$E$4,5,),"")</f>
        <v>BE</v>
      </c>
      <c r="AH214" s="11" t="str">
        <f>IF(I214&lt;&gt;"",VLOOKUP(AP214,KvB!$A$2:$B$3,2,FALSE),"")</f>
        <v>BE101000</v>
      </c>
      <c r="AI214" s="11" t="s">
        <v>55</v>
      </c>
      <c r="AJ214" s="11"/>
      <c r="AK214" s="11"/>
      <c r="AL214" s="11"/>
      <c r="AM214" s="11"/>
      <c r="AN214" s="11"/>
      <c r="AO214" s="11"/>
      <c r="AP214" s="2" t="s">
        <v>70</v>
      </c>
      <c r="AQ214" s="11" t="str">
        <f>IF(I214&lt;&gt;"",DATA!D213,"")</f>
        <v>3924900090</v>
      </c>
    </row>
    <row r="215" spans="1:43" ht="15.75" x14ac:dyDescent="0.25">
      <c r="A215" s="11" t="s">
        <v>57</v>
      </c>
      <c r="B215" s="11" t="s">
        <v>56</v>
      </c>
      <c r="C215" s="22">
        <f t="shared" si="18"/>
        <v>25001620</v>
      </c>
      <c r="D215" s="11" t="str">
        <f t="shared" si="15"/>
        <v>SKIIFM_AT</v>
      </c>
      <c r="E215" s="11" t="str">
        <f>IF(I215&lt;&gt;"",VLOOKUP(F215,OPDRACHTGEVER!$A$2:$B$4,2,FALSE),"")</f>
        <v>SKIIFM_AT</v>
      </c>
      <c r="F215" s="11" t="s">
        <v>58</v>
      </c>
      <c r="I215" s="11" t="str">
        <f>IF(DATA!B214&lt;&gt;"",DATA!B214,"")</f>
        <v>TCNU1428597</v>
      </c>
      <c r="J215" s="12">
        <v>0</v>
      </c>
      <c r="K215" s="11" t="s">
        <v>53</v>
      </c>
      <c r="L215" s="11" t="str">
        <f t="shared" si="16"/>
        <v>950691</v>
      </c>
      <c r="M215" s="11" t="str">
        <f>IF(I215&lt;&gt;"",DATA!E214,"")</f>
        <v>TRAINING NETWORK</v>
      </c>
      <c r="N215" s="12">
        <v>0</v>
      </c>
      <c r="O215" s="11">
        <f>IF(I215&lt;&gt;"",DATA!C214,"")</f>
        <v>3.5</v>
      </c>
      <c r="P215" s="2">
        <v>294094</v>
      </c>
      <c r="Q215" s="2" t="s">
        <v>1304</v>
      </c>
      <c r="R215" s="2" t="s">
        <v>1309</v>
      </c>
      <c r="S215" s="2">
        <v>571</v>
      </c>
      <c r="T215" s="2">
        <v>1</v>
      </c>
      <c r="U215" s="2" t="s">
        <v>141</v>
      </c>
      <c r="Y215" s="2">
        <v>1700</v>
      </c>
      <c r="Z215" s="11" t="s">
        <v>54</v>
      </c>
      <c r="AA215" s="11" t="str">
        <f t="shared" si="17"/>
        <v>1700 - TBN</v>
      </c>
      <c r="AC215" s="2" t="s">
        <v>145</v>
      </c>
      <c r="AD215" s="11" t="str">
        <f>IF($I215&lt;&gt;"",VLOOKUP($AC215,GEADRESSEERDE!$A$2:$E$4,2,),"")</f>
        <v>LUITHAGEN HAVEN 2 D</v>
      </c>
      <c r="AE215" s="11">
        <f>IF($I215&lt;&gt;"",VLOOKUP($AC215,GEADRESSEERDE!$A$2:$E$4,3,),"")</f>
        <v>2030</v>
      </c>
      <c r="AF215" s="11" t="str">
        <f>IF($I215&lt;&gt;"",VLOOKUP($AC215,GEADRESSEERDE!$A$2:$E$4,4,),"")</f>
        <v>ANTWERPEN</v>
      </c>
      <c r="AG215" s="11" t="str">
        <f>IF($I215&lt;&gt;"",VLOOKUP($AC215,GEADRESSEERDE!$A$2:$E$4,5,),"")</f>
        <v>BE</v>
      </c>
      <c r="AH215" s="11" t="str">
        <f>IF(I215&lt;&gt;"",VLOOKUP(AP215,KvB!$A$2:$B$3,2,FALSE),"")</f>
        <v>BE101000</v>
      </c>
      <c r="AI215" s="11" t="s">
        <v>55</v>
      </c>
      <c r="AJ215" s="11"/>
      <c r="AK215" s="11"/>
      <c r="AL215" s="11"/>
      <c r="AM215" s="11"/>
      <c r="AN215" s="11"/>
      <c r="AO215" s="11"/>
      <c r="AP215" s="2" t="s">
        <v>70</v>
      </c>
      <c r="AQ215" s="11" t="str">
        <f>IF(I215&lt;&gt;"",DATA!D214,"")</f>
        <v>9506919000</v>
      </c>
    </row>
    <row r="216" spans="1:43" ht="15.75" x14ac:dyDescent="0.25">
      <c r="A216" s="11" t="s">
        <v>57</v>
      </c>
      <c r="B216" s="11" t="s">
        <v>56</v>
      </c>
      <c r="C216" s="22">
        <f t="shared" si="18"/>
        <v>25001620</v>
      </c>
      <c r="D216" s="11" t="str">
        <f t="shared" si="15"/>
        <v>SKIIFM_AT</v>
      </c>
      <c r="E216" s="11" t="str">
        <f>IF(I216&lt;&gt;"",VLOOKUP(F216,OPDRACHTGEVER!$A$2:$B$4,2,FALSE),"")</f>
        <v>SKIIFM_AT</v>
      </c>
      <c r="F216" s="11" t="s">
        <v>58</v>
      </c>
      <c r="I216" s="11" t="str">
        <f>IF(DATA!B215&lt;&gt;"",DATA!B215,"")</f>
        <v>TCNU1428597</v>
      </c>
      <c r="J216" s="12">
        <v>0</v>
      </c>
      <c r="K216" s="11" t="s">
        <v>53</v>
      </c>
      <c r="L216" s="11" t="str">
        <f t="shared" si="16"/>
        <v>847989</v>
      </c>
      <c r="M216" s="11" t="str">
        <f>IF(I216&lt;&gt;"",DATA!E215,"")</f>
        <v>ULTRASONIC JEWELRY CLEANER</v>
      </c>
      <c r="N216" s="12">
        <v>0</v>
      </c>
      <c r="O216" s="11">
        <f>IF(I216&lt;&gt;"",DATA!C215,"")</f>
        <v>3.9</v>
      </c>
      <c r="P216" s="2">
        <v>294094</v>
      </c>
      <c r="Q216" s="2" t="s">
        <v>1304</v>
      </c>
      <c r="R216" s="2" t="s">
        <v>1309</v>
      </c>
      <c r="S216" s="2">
        <v>571</v>
      </c>
      <c r="T216" s="2">
        <v>1</v>
      </c>
      <c r="U216" s="2" t="s">
        <v>141</v>
      </c>
      <c r="Y216" s="2">
        <v>1700</v>
      </c>
      <c r="Z216" s="11" t="s">
        <v>54</v>
      </c>
      <c r="AA216" s="11" t="str">
        <f t="shared" si="17"/>
        <v>1700 - TBN</v>
      </c>
      <c r="AC216" s="2" t="s">
        <v>145</v>
      </c>
      <c r="AD216" s="11" t="str">
        <f>IF($I216&lt;&gt;"",VLOOKUP($AC216,GEADRESSEERDE!$A$2:$E$4,2,),"")</f>
        <v>LUITHAGEN HAVEN 2 D</v>
      </c>
      <c r="AE216" s="11">
        <f>IF($I216&lt;&gt;"",VLOOKUP($AC216,GEADRESSEERDE!$A$2:$E$4,3,),"")</f>
        <v>2030</v>
      </c>
      <c r="AF216" s="11" t="str">
        <f>IF($I216&lt;&gt;"",VLOOKUP($AC216,GEADRESSEERDE!$A$2:$E$4,4,),"")</f>
        <v>ANTWERPEN</v>
      </c>
      <c r="AG216" s="11" t="str">
        <f>IF($I216&lt;&gt;"",VLOOKUP($AC216,GEADRESSEERDE!$A$2:$E$4,5,),"")</f>
        <v>BE</v>
      </c>
      <c r="AH216" s="11" t="str">
        <f>IF(I216&lt;&gt;"",VLOOKUP(AP216,KvB!$A$2:$B$3,2,FALSE),"")</f>
        <v>BE101000</v>
      </c>
      <c r="AI216" s="11" t="s">
        <v>55</v>
      </c>
      <c r="AJ216" s="11"/>
      <c r="AK216" s="11"/>
      <c r="AL216" s="11"/>
      <c r="AM216" s="11"/>
      <c r="AN216" s="11"/>
      <c r="AO216" s="11"/>
      <c r="AP216" s="2" t="s">
        <v>70</v>
      </c>
      <c r="AQ216" s="11" t="str">
        <f>IF(I216&lt;&gt;"",DATA!D215,"")</f>
        <v>8479899790</v>
      </c>
    </row>
    <row r="217" spans="1:43" ht="15.75" x14ac:dyDescent="0.25">
      <c r="A217" s="11" t="s">
        <v>57</v>
      </c>
      <c r="B217" s="11" t="s">
        <v>56</v>
      </c>
      <c r="C217" s="22">
        <f t="shared" si="18"/>
        <v>25001620</v>
      </c>
      <c r="D217" s="11" t="str">
        <f t="shared" si="15"/>
        <v>SKIIFM_AT</v>
      </c>
      <c r="E217" s="11" t="str">
        <f>IF(I217&lt;&gt;"",VLOOKUP(F217,OPDRACHTGEVER!$A$2:$B$4,2,FALSE),"")</f>
        <v>SKIIFM_AT</v>
      </c>
      <c r="F217" s="11" t="s">
        <v>58</v>
      </c>
      <c r="I217" s="11" t="str">
        <f>IF(DATA!B216&lt;&gt;"",DATA!B216,"")</f>
        <v>TCNU1428597</v>
      </c>
      <c r="J217" s="12">
        <v>0</v>
      </c>
      <c r="K217" s="11" t="s">
        <v>53</v>
      </c>
      <c r="L217" s="11" t="str">
        <f t="shared" si="16"/>
        <v>841830</v>
      </c>
      <c r="M217" s="11" t="str">
        <f>IF(I217&lt;&gt;"",DATA!E216,"")</f>
        <v>VEHICLE REFRIGERATOR</v>
      </c>
      <c r="N217" s="12">
        <v>0</v>
      </c>
      <c r="O217" s="11">
        <f>IF(I217&lt;&gt;"",DATA!C216,"")</f>
        <v>749.04</v>
      </c>
      <c r="P217" s="2">
        <v>294094</v>
      </c>
      <c r="Q217" s="2" t="s">
        <v>1304</v>
      </c>
      <c r="R217" s="2" t="s">
        <v>1309</v>
      </c>
      <c r="S217" s="2">
        <v>571</v>
      </c>
      <c r="T217" s="2">
        <v>1</v>
      </c>
      <c r="U217" s="2" t="s">
        <v>141</v>
      </c>
      <c r="Y217" s="2">
        <v>1700</v>
      </c>
      <c r="Z217" s="11" t="s">
        <v>54</v>
      </c>
      <c r="AA217" s="11" t="str">
        <f t="shared" si="17"/>
        <v>1700 - TBN</v>
      </c>
      <c r="AC217" s="2" t="s">
        <v>145</v>
      </c>
      <c r="AD217" s="11" t="str">
        <f>IF($I217&lt;&gt;"",VLOOKUP($AC217,GEADRESSEERDE!$A$2:$E$4,2,),"")</f>
        <v>LUITHAGEN HAVEN 2 D</v>
      </c>
      <c r="AE217" s="11">
        <f>IF($I217&lt;&gt;"",VLOOKUP($AC217,GEADRESSEERDE!$A$2:$E$4,3,),"")</f>
        <v>2030</v>
      </c>
      <c r="AF217" s="11" t="str">
        <f>IF($I217&lt;&gt;"",VLOOKUP($AC217,GEADRESSEERDE!$A$2:$E$4,4,),"")</f>
        <v>ANTWERPEN</v>
      </c>
      <c r="AG217" s="11" t="str">
        <f>IF($I217&lt;&gt;"",VLOOKUP($AC217,GEADRESSEERDE!$A$2:$E$4,5,),"")</f>
        <v>BE</v>
      </c>
      <c r="AH217" s="11" t="str">
        <f>IF(I217&lt;&gt;"",VLOOKUP(AP217,KvB!$A$2:$B$3,2,FALSE),"")</f>
        <v>BE101000</v>
      </c>
      <c r="AI217" s="11" t="s">
        <v>55</v>
      </c>
      <c r="AJ217" s="11"/>
      <c r="AK217" s="11"/>
      <c r="AL217" s="11"/>
      <c r="AM217" s="11"/>
      <c r="AN217" s="11"/>
      <c r="AO217" s="11"/>
      <c r="AP217" s="2" t="s">
        <v>70</v>
      </c>
      <c r="AQ217" s="11" t="str">
        <f>IF(I217&lt;&gt;"",DATA!D216,"")</f>
        <v>8418302099</v>
      </c>
    </row>
    <row r="218" spans="1:43" ht="15.75" x14ac:dyDescent="0.25">
      <c r="A218" s="11" t="s">
        <v>57</v>
      </c>
      <c r="B218" s="11" t="s">
        <v>56</v>
      </c>
      <c r="C218" s="22">
        <f t="shared" si="18"/>
        <v>25001620</v>
      </c>
      <c r="D218" s="11" t="str">
        <f t="shared" si="15"/>
        <v>SKIIFM_AT</v>
      </c>
      <c r="E218" s="11" t="str">
        <f>IF(I218&lt;&gt;"",VLOOKUP(F218,OPDRACHTGEVER!$A$2:$B$4,2,FALSE),"")</f>
        <v>SKIIFM_AT</v>
      </c>
      <c r="F218" s="11" t="s">
        <v>58</v>
      </c>
      <c r="I218" s="11" t="str">
        <f>IF(DATA!B217&lt;&gt;"",DATA!B217,"")</f>
        <v>TCNU1428597</v>
      </c>
      <c r="J218" s="12">
        <v>0</v>
      </c>
      <c r="K218" s="11" t="s">
        <v>53</v>
      </c>
      <c r="L218" s="11" t="str">
        <f t="shared" si="16"/>
        <v>841350</v>
      </c>
      <c r="M218" s="11" t="str">
        <f>IF(I218&lt;&gt;"",DATA!E217,"")</f>
        <v>WATER PUMP</v>
      </c>
      <c r="N218" s="12">
        <v>0</v>
      </c>
      <c r="O218" s="11">
        <f>IF(I218&lt;&gt;"",DATA!C217,"")</f>
        <v>67.2</v>
      </c>
      <c r="P218" s="2">
        <v>294094</v>
      </c>
      <c r="Q218" s="2" t="s">
        <v>1304</v>
      </c>
      <c r="R218" s="2" t="s">
        <v>1309</v>
      </c>
      <c r="S218" s="2">
        <v>571</v>
      </c>
      <c r="T218" s="2">
        <v>1</v>
      </c>
      <c r="U218" s="2" t="s">
        <v>141</v>
      </c>
      <c r="Y218" s="2">
        <v>1700</v>
      </c>
      <c r="Z218" s="11" t="s">
        <v>54</v>
      </c>
      <c r="AA218" s="11" t="str">
        <f t="shared" si="17"/>
        <v>1700 - TBN</v>
      </c>
      <c r="AC218" s="2" t="s">
        <v>145</v>
      </c>
      <c r="AD218" s="11" t="str">
        <f>IF($I218&lt;&gt;"",VLOOKUP($AC218,GEADRESSEERDE!$A$2:$E$4,2,),"")</f>
        <v>LUITHAGEN HAVEN 2 D</v>
      </c>
      <c r="AE218" s="11">
        <f>IF($I218&lt;&gt;"",VLOOKUP($AC218,GEADRESSEERDE!$A$2:$E$4,3,),"")</f>
        <v>2030</v>
      </c>
      <c r="AF218" s="11" t="str">
        <f>IF($I218&lt;&gt;"",VLOOKUP($AC218,GEADRESSEERDE!$A$2:$E$4,4,),"")</f>
        <v>ANTWERPEN</v>
      </c>
      <c r="AG218" s="11" t="str">
        <f>IF($I218&lt;&gt;"",VLOOKUP($AC218,GEADRESSEERDE!$A$2:$E$4,5,),"")</f>
        <v>BE</v>
      </c>
      <c r="AH218" s="11" t="str">
        <f>IF(I218&lt;&gt;"",VLOOKUP(AP218,KvB!$A$2:$B$3,2,FALSE),"")</f>
        <v>BE101000</v>
      </c>
      <c r="AI218" s="11" t="s">
        <v>55</v>
      </c>
      <c r="AJ218" s="11"/>
      <c r="AK218" s="11"/>
      <c r="AL218" s="11"/>
      <c r="AM218" s="11"/>
      <c r="AN218" s="11"/>
      <c r="AO218" s="11"/>
      <c r="AP218" s="2" t="s">
        <v>70</v>
      </c>
      <c r="AQ218" s="11" t="str">
        <f>IF(I218&lt;&gt;"",DATA!D217,"")</f>
        <v>8413502090</v>
      </c>
    </row>
    <row r="219" spans="1:43" ht="15.75" x14ac:dyDescent="0.25">
      <c r="A219" s="11" t="s">
        <v>57</v>
      </c>
      <c r="B219" s="11" t="s">
        <v>56</v>
      </c>
      <c r="C219" s="22">
        <f t="shared" si="18"/>
        <v>25001620</v>
      </c>
      <c r="D219" s="11" t="str">
        <f t="shared" si="15"/>
        <v>SKIIFM_AT</v>
      </c>
      <c r="E219" s="11" t="str">
        <f>IF(I219&lt;&gt;"",VLOOKUP(F219,OPDRACHTGEVER!$A$2:$B$4,2,FALSE),"")</f>
        <v>SKIIFM_AT</v>
      </c>
      <c r="F219" s="11" t="s">
        <v>58</v>
      </c>
      <c r="I219" s="11" t="str">
        <f>IF(DATA!B218&lt;&gt;"",DATA!B218,"")</f>
        <v>TCNU1428597</v>
      </c>
      <c r="J219" s="12">
        <v>0</v>
      </c>
      <c r="K219" s="11" t="s">
        <v>53</v>
      </c>
      <c r="L219" s="11" t="str">
        <f t="shared" si="16"/>
        <v>851529</v>
      </c>
      <c r="M219" s="11" t="str">
        <f>IF(I219&lt;&gt;"",DATA!E218,"")</f>
        <v>WELDING MACHINE</v>
      </c>
      <c r="N219" s="12">
        <v>0</v>
      </c>
      <c r="O219" s="11">
        <f>IF(I219&lt;&gt;"",DATA!C218,"")</f>
        <v>145.97999999999999</v>
      </c>
      <c r="P219" s="2">
        <v>294094</v>
      </c>
      <c r="Q219" s="2" t="s">
        <v>1304</v>
      </c>
      <c r="R219" s="2" t="s">
        <v>1309</v>
      </c>
      <c r="S219" s="2">
        <v>571</v>
      </c>
      <c r="T219" s="2">
        <v>1</v>
      </c>
      <c r="U219" s="2" t="s">
        <v>141</v>
      </c>
      <c r="Y219" s="2">
        <v>1700</v>
      </c>
      <c r="Z219" s="11" t="s">
        <v>54</v>
      </c>
      <c r="AA219" s="11" t="str">
        <f t="shared" si="17"/>
        <v>1700 - TBN</v>
      </c>
      <c r="AC219" s="2" t="s">
        <v>145</v>
      </c>
      <c r="AD219" s="11" t="str">
        <f>IF($I219&lt;&gt;"",VLOOKUP($AC219,GEADRESSEERDE!$A$2:$E$4,2,),"")</f>
        <v>LUITHAGEN HAVEN 2 D</v>
      </c>
      <c r="AE219" s="11">
        <f>IF($I219&lt;&gt;"",VLOOKUP($AC219,GEADRESSEERDE!$A$2:$E$4,3,),"")</f>
        <v>2030</v>
      </c>
      <c r="AF219" s="11" t="str">
        <f>IF($I219&lt;&gt;"",VLOOKUP($AC219,GEADRESSEERDE!$A$2:$E$4,4,),"")</f>
        <v>ANTWERPEN</v>
      </c>
      <c r="AG219" s="11" t="str">
        <f>IF($I219&lt;&gt;"",VLOOKUP($AC219,GEADRESSEERDE!$A$2:$E$4,5,),"")</f>
        <v>BE</v>
      </c>
      <c r="AH219" s="11" t="str">
        <f>IF(I219&lt;&gt;"",VLOOKUP(AP219,KvB!$A$2:$B$3,2,FALSE),"")</f>
        <v>BE101000</v>
      </c>
      <c r="AI219" s="11" t="s">
        <v>55</v>
      </c>
      <c r="AJ219" s="11"/>
      <c r="AK219" s="11"/>
      <c r="AL219" s="11"/>
      <c r="AM219" s="11"/>
      <c r="AN219" s="11"/>
      <c r="AO219" s="11"/>
      <c r="AP219" s="2" t="s">
        <v>70</v>
      </c>
      <c r="AQ219" s="11" t="str">
        <f>IF(I219&lt;&gt;"",DATA!D218,"")</f>
        <v>8515290000</v>
      </c>
    </row>
    <row r="220" spans="1:43" ht="15.75" x14ac:dyDescent="0.25">
      <c r="A220" s="11" t="s">
        <v>57</v>
      </c>
      <c r="B220" s="11" t="s">
        <v>56</v>
      </c>
      <c r="C220" s="22">
        <f t="shared" si="18"/>
        <v>25001620</v>
      </c>
      <c r="D220" s="11" t="str">
        <f t="shared" si="15"/>
        <v>SKIIFM_AT</v>
      </c>
      <c r="E220" s="11" t="str">
        <f>IF(I220&lt;&gt;"",VLOOKUP(F220,OPDRACHTGEVER!$A$2:$B$4,2,FALSE),"")</f>
        <v>SKIIFM_AT</v>
      </c>
      <c r="F220" s="11" t="s">
        <v>58</v>
      </c>
      <c r="I220" s="11" t="str">
        <f>IF(DATA!B219&lt;&gt;"",DATA!B219,"")</f>
        <v>TEMU7870878</v>
      </c>
      <c r="J220" s="12">
        <v>1403</v>
      </c>
      <c r="K220" s="11" t="s">
        <v>53</v>
      </c>
      <c r="L220" s="11" t="str">
        <f t="shared" si="16"/>
        <v>761090</v>
      </c>
      <c r="M220" s="11" t="str">
        <f>IF(I220&lt;&gt;"",DATA!E219,"")</f>
        <v>ALUMINUM STAIR RAILING</v>
      </c>
      <c r="N220" s="12">
        <v>17423</v>
      </c>
      <c r="O220" s="11">
        <f>IF(I220&lt;&gt;"",DATA!C219,"")</f>
        <v>196</v>
      </c>
      <c r="P220" s="2">
        <v>294094</v>
      </c>
      <c r="Q220" s="2" t="s">
        <v>1304</v>
      </c>
      <c r="R220" s="2" t="s">
        <v>1310</v>
      </c>
      <c r="S220" s="2">
        <v>347</v>
      </c>
      <c r="T220" s="2">
        <v>1</v>
      </c>
      <c r="U220" s="2" t="s">
        <v>141</v>
      </c>
      <c r="Y220" s="2">
        <v>1700</v>
      </c>
      <c r="Z220" s="11" t="s">
        <v>54</v>
      </c>
      <c r="AA220" s="11" t="str">
        <f t="shared" si="17"/>
        <v>1700 - TBN</v>
      </c>
      <c r="AC220" s="2" t="s">
        <v>145</v>
      </c>
      <c r="AD220" s="11" t="str">
        <f>IF($I220&lt;&gt;"",VLOOKUP($AC220,GEADRESSEERDE!$A$2:$E$4,2,),"")</f>
        <v>LUITHAGEN HAVEN 2 D</v>
      </c>
      <c r="AE220" s="11">
        <f>IF($I220&lt;&gt;"",VLOOKUP($AC220,GEADRESSEERDE!$A$2:$E$4,3,),"")</f>
        <v>2030</v>
      </c>
      <c r="AF220" s="11" t="str">
        <f>IF($I220&lt;&gt;"",VLOOKUP($AC220,GEADRESSEERDE!$A$2:$E$4,4,),"")</f>
        <v>ANTWERPEN</v>
      </c>
      <c r="AG220" s="11" t="str">
        <f>IF($I220&lt;&gt;"",VLOOKUP($AC220,GEADRESSEERDE!$A$2:$E$4,5,),"")</f>
        <v>BE</v>
      </c>
      <c r="AH220" s="11" t="str">
        <f>IF(I220&lt;&gt;"",VLOOKUP(AP220,KvB!$A$2:$B$3,2,FALSE),"")</f>
        <v>BE101000</v>
      </c>
      <c r="AI220" s="11" t="s">
        <v>55</v>
      </c>
      <c r="AJ220" s="11"/>
      <c r="AK220" s="11"/>
      <c r="AL220" s="11"/>
      <c r="AM220" s="11"/>
      <c r="AN220" s="11"/>
      <c r="AO220" s="11"/>
      <c r="AP220" s="2" t="s">
        <v>70</v>
      </c>
      <c r="AQ220" s="11" t="str">
        <f>IF(I220&lt;&gt;"",DATA!D219,"")</f>
        <v>7610909095</v>
      </c>
    </row>
    <row r="221" spans="1:43" ht="15.75" x14ac:dyDescent="0.25">
      <c r="A221" s="11" t="s">
        <v>57</v>
      </c>
      <c r="B221" s="11" t="s">
        <v>56</v>
      </c>
      <c r="C221" s="22">
        <f t="shared" si="18"/>
        <v>25001620</v>
      </c>
      <c r="D221" s="11" t="str">
        <f t="shared" si="15"/>
        <v>SKIIFM_AT</v>
      </c>
      <c r="E221" s="11" t="str">
        <f>IF(I221&lt;&gt;"",VLOOKUP(F221,OPDRACHTGEVER!$A$2:$B$4,2,FALSE),"")</f>
        <v>SKIIFM_AT</v>
      </c>
      <c r="F221" s="11" t="s">
        <v>58</v>
      </c>
      <c r="I221" s="11" t="str">
        <f>IF(DATA!B220&lt;&gt;"",DATA!B220,"")</f>
        <v>TEMU7870878</v>
      </c>
      <c r="J221" s="12">
        <v>0</v>
      </c>
      <c r="K221" s="11" t="s">
        <v>53</v>
      </c>
      <c r="L221" s="11" t="str">
        <f t="shared" si="16"/>
        <v>871500</v>
      </c>
      <c r="M221" s="11" t="str">
        <f>IF(I221&lt;&gt;"",DATA!E220,"")</f>
        <v>BABY STROLLERS</v>
      </c>
      <c r="N221" s="12">
        <v>0</v>
      </c>
      <c r="O221" s="11">
        <f>IF(I221&lt;&gt;"",DATA!C220,"")</f>
        <v>93.2</v>
      </c>
      <c r="P221" s="2">
        <v>294094</v>
      </c>
      <c r="Q221" s="2" t="s">
        <v>1304</v>
      </c>
      <c r="R221" s="2" t="s">
        <v>1310</v>
      </c>
      <c r="S221" s="2">
        <v>347</v>
      </c>
      <c r="T221" s="2">
        <v>1</v>
      </c>
      <c r="U221" s="2" t="s">
        <v>141</v>
      </c>
      <c r="Y221" s="2">
        <v>1700</v>
      </c>
      <c r="Z221" s="11" t="s">
        <v>54</v>
      </c>
      <c r="AA221" s="11" t="str">
        <f t="shared" si="17"/>
        <v>1700 - TBN</v>
      </c>
      <c r="AC221" s="2" t="s">
        <v>145</v>
      </c>
      <c r="AD221" s="11" t="str">
        <f>IF($I221&lt;&gt;"",VLOOKUP($AC221,GEADRESSEERDE!$A$2:$E$4,2,),"")</f>
        <v>LUITHAGEN HAVEN 2 D</v>
      </c>
      <c r="AE221" s="11">
        <f>IF($I221&lt;&gt;"",VLOOKUP($AC221,GEADRESSEERDE!$A$2:$E$4,3,),"")</f>
        <v>2030</v>
      </c>
      <c r="AF221" s="11" t="str">
        <f>IF($I221&lt;&gt;"",VLOOKUP($AC221,GEADRESSEERDE!$A$2:$E$4,4,),"")</f>
        <v>ANTWERPEN</v>
      </c>
      <c r="AG221" s="11" t="str">
        <f>IF($I221&lt;&gt;"",VLOOKUP($AC221,GEADRESSEERDE!$A$2:$E$4,5,),"")</f>
        <v>BE</v>
      </c>
      <c r="AH221" s="11" t="str">
        <f>IF(I221&lt;&gt;"",VLOOKUP(AP221,KvB!$A$2:$B$3,2,FALSE),"")</f>
        <v>BE101000</v>
      </c>
      <c r="AI221" s="11" t="s">
        <v>55</v>
      </c>
      <c r="AJ221" s="11"/>
      <c r="AK221" s="11"/>
      <c r="AL221" s="11"/>
      <c r="AM221" s="11"/>
      <c r="AN221" s="11"/>
      <c r="AO221" s="11"/>
      <c r="AP221" s="2" t="s">
        <v>70</v>
      </c>
      <c r="AQ221" s="11" t="str">
        <f>IF(I221&lt;&gt;"",DATA!D220,"")</f>
        <v>8715001000</v>
      </c>
    </row>
    <row r="222" spans="1:43" ht="15.75" x14ac:dyDescent="0.25">
      <c r="A222" s="11" t="s">
        <v>57</v>
      </c>
      <c r="B222" s="11" t="s">
        <v>56</v>
      </c>
      <c r="C222" s="22">
        <f t="shared" si="18"/>
        <v>25001620</v>
      </c>
      <c r="D222" s="11" t="str">
        <f t="shared" si="15"/>
        <v>SKIIFM_AT</v>
      </c>
      <c r="E222" s="11" t="str">
        <f>IF(I222&lt;&gt;"",VLOOKUP(F222,OPDRACHTGEVER!$A$2:$B$4,2,FALSE),"")</f>
        <v>SKIIFM_AT</v>
      </c>
      <c r="F222" s="11" t="s">
        <v>58</v>
      </c>
      <c r="I222" s="11" t="str">
        <f>IF(DATA!B221&lt;&gt;"",DATA!B221,"")</f>
        <v>TEMU7870878</v>
      </c>
      <c r="J222" s="12">
        <v>0</v>
      </c>
      <c r="K222" s="11" t="s">
        <v>53</v>
      </c>
      <c r="L222" s="11" t="str">
        <f t="shared" si="16"/>
        <v>851660</v>
      </c>
      <c r="M222" s="11" t="str">
        <f>IF(I222&lt;&gt;"",DATA!E221,"")</f>
        <v>BARBECUE ACCESSORIES</v>
      </c>
      <c r="N222" s="12">
        <v>0</v>
      </c>
      <c r="O222" s="11">
        <f>IF(I222&lt;&gt;"",DATA!C221,"")</f>
        <v>5.6</v>
      </c>
      <c r="P222" s="2">
        <v>294094</v>
      </c>
      <c r="Q222" s="2" t="s">
        <v>1304</v>
      </c>
      <c r="R222" s="2" t="s">
        <v>1310</v>
      </c>
      <c r="S222" s="2">
        <v>347</v>
      </c>
      <c r="T222" s="2">
        <v>1</v>
      </c>
      <c r="U222" s="2" t="s">
        <v>141</v>
      </c>
      <c r="Y222" s="2">
        <v>1700</v>
      </c>
      <c r="Z222" s="11" t="s">
        <v>54</v>
      </c>
      <c r="AA222" s="11" t="str">
        <f t="shared" si="17"/>
        <v>1700 - TBN</v>
      </c>
      <c r="AC222" s="2" t="s">
        <v>145</v>
      </c>
      <c r="AD222" s="11" t="str">
        <f>IF($I222&lt;&gt;"",VLOOKUP($AC222,GEADRESSEERDE!$A$2:$E$4,2,),"")</f>
        <v>LUITHAGEN HAVEN 2 D</v>
      </c>
      <c r="AE222" s="11">
        <f>IF($I222&lt;&gt;"",VLOOKUP($AC222,GEADRESSEERDE!$A$2:$E$4,3,),"")</f>
        <v>2030</v>
      </c>
      <c r="AF222" s="11" t="str">
        <f>IF($I222&lt;&gt;"",VLOOKUP($AC222,GEADRESSEERDE!$A$2:$E$4,4,),"")</f>
        <v>ANTWERPEN</v>
      </c>
      <c r="AG222" s="11" t="str">
        <f>IF($I222&lt;&gt;"",VLOOKUP($AC222,GEADRESSEERDE!$A$2:$E$4,5,),"")</f>
        <v>BE</v>
      </c>
      <c r="AH222" s="11" t="str">
        <f>IF(I222&lt;&gt;"",VLOOKUP(AP222,KvB!$A$2:$B$3,2,FALSE),"")</f>
        <v>BE101000</v>
      </c>
      <c r="AI222" s="11" t="s">
        <v>55</v>
      </c>
      <c r="AJ222" s="11"/>
      <c r="AK222" s="11"/>
      <c r="AL222" s="11"/>
      <c r="AM222" s="11"/>
      <c r="AN222" s="11"/>
      <c r="AO222" s="11"/>
      <c r="AP222" s="2" t="s">
        <v>70</v>
      </c>
      <c r="AQ222" s="11" t="str">
        <f>IF(I222&lt;&gt;"",DATA!D221,"")</f>
        <v>8516609000</v>
      </c>
    </row>
    <row r="223" spans="1:43" ht="15.75" x14ac:dyDescent="0.25">
      <c r="A223" s="11" t="s">
        <v>57</v>
      </c>
      <c r="B223" s="11" t="s">
        <v>56</v>
      </c>
      <c r="C223" s="22">
        <f t="shared" si="18"/>
        <v>25001620</v>
      </c>
      <c r="D223" s="11" t="str">
        <f t="shared" si="15"/>
        <v>SKIIFM_AT</v>
      </c>
      <c r="E223" s="11" t="str">
        <f>IF(I223&lt;&gt;"",VLOOKUP(F223,OPDRACHTGEVER!$A$2:$B$4,2,FALSE),"")</f>
        <v>SKIIFM_AT</v>
      </c>
      <c r="F223" s="11" t="s">
        <v>58</v>
      </c>
      <c r="I223" s="11" t="str">
        <f>IF(DATA!B222&lt;&gt;"",DATA!B222,"")</f>
        <v>TEMU7870878</v>
      </c>
      <c r="J223" s="12">
        <v>0</v>
      </c>
      <c r="K223" s="11" t="s">
        <v>53</v>
      </c>
      <c r="L223" s="11" t="str">
        <f t="shared" si="16"/>
        <v>701090</v>
      </c>
      <c r="M223" s="11" t="str">
        <f>IF(I223&lt;&gt;"",DATA!E222,"")</f>
        <v>BEVERAGE DISPENSER</v>
      </c>
      <c r="N223" s="12">
        <v>0</v>
      </c>
      <c r="O223" s="11">
        <f>IF(I223&lt;&gt;"",DATA!C222,"")</f>
        <v>98.9</v>
      </c>
      <c r="P223" s="2">
        <v>294094</v>
      </c>
      <c r="Q223" s="2" t="s">
        <v>1304</v>
      </c>
      <c r="R223" s="2" t="s">
        <v>1310</v>
      </c>
      <c r="S223" s="2">
        <v>347</v>
      </c>
      <c r="T223" s="2">
        <v>1</v>
      </c>
      <c r="U223" s="2" t="s">
        <v>141</v>
      </c>
      <c r="Y223" s="2">
        <v>1700</v>
      </c>
      <c r="Z223" s="11" t="s">
        <v>54</v>
      </c>
      <c r="AA223" s="11" t="str">
        <f t="shared" si="17"/>
        <v>1700 - TBN</v>
      </c>
      <c r="AC223" s="2" t="s">
        <v>145</v>
      </c>
      <c r="AD223" s="11" t="str">
        <f>IF($I223&lt;&gt;"",VLOOKUP($AC223,GEADRESSEERDE!$A$2:$E$4,2,),"")</f>
        <v>LUITHAGEN HAVEN 2 D</v>
      </c>
      <c r="AE223" s="11">
        <f>IF($I223&lt;&gt;"",VLOOKUP($AC223,GEADRESSEERDE!$A$2:$E$4,3,),"")</f>
        <v>2030</v>
      </c>
      <c r="AF223" s="11" t="str">
        <f>IF($I223&lt;&gt;"",VLOOKUP($AC223,GEADRESSEERDE!$A$2:$E$4,4,),"")</f>
        <v>ANTWERPEN</v>
      </c>
      <c r="AG223" s="11" t="str">
        <f>IF($I223&lt;&gt;"",VLOOKUP($AC223,GEADRESSEERDE!$A$2:$E$4,5,),"")</f>
        <v>BE</v>
      </c>
      <c r="AH223" s="11" t="str">
        <f>IF(I223&lt;&gt;"",VLOOKUP(AP223,KvB!$A$2:$B$3,2,FALSE),"")</f>
        <v>BE101000</v>
      </c>
      <c r="AI223" s="11" t="s">
        <v>55</v>
      </c>
      <c r="AJ223" s="11"/>
      <c r="AK223" s="11"/>
      <c r="AL223" s="11"/>
      <c r="AM223" s="11"/>
      <c r="AN223" s="11"/>
      <c r="AO223" s="11"/>
      <c r="AP223" s="2" t="s">
        <v>70</v>
      </c>
      <c r="AQ223" s="11" t="str">
        <f>IF(I223&lt;&gt;"",DATA!D222,"")</f>
        <v>7010902100</v>
      </c>
    </row>
    <row r="224" spans="1:43" ht="15.75" x14ac:dyDescent="0.25">
      <c r="A224" s="11" t="s">
        <v>57</v>
      </c>
      <c r="B224" s="11" t="s">
        <v>56</v>
      </c>
      <c r="C224" s="22">
        <f t="shared" si="18"/>
        <v>25001620</v>
      </c>
      <c r="D224" s="11" t="str">
        <f t="shared" si="15"/>
        <v>SKIIFM_AT</v>
      </c>
      <c r="E224" s="11" t="str">
        <f>IF(I224&lt;&gt;"",VLOOKUP(F224,OPDRACHTGEVER!$A$2:$B$4,2,FALSE),"")</f>
        <v>SKIIFM_AT</v>
      </c>
      <c r="F224" s="11" t="s">
        <v>58</v>
      </c>
      <c r="I224" s="11" t="str">
        <f>IF(DATA!B223&lt;&gt;"",DATA!B223,"")</f>
        <v>TEMU7870878</v>
      </c>
      <c r="J224" s="12">
        <v>0</v>
      </c>
      <c r="K224" s="11" t="s">
        <v>53</v>
      </c>
      <c r="L224" s="11" t="str">
        <f t="shared" si="16"/>
        <v>847050</v>
      </c>
      <c r="M224" s="11" t="str">
        <f>IF(I224&lt;&gt;"",DATA!E223,"")</f>
        <v>BILL COUNTER</v>
      </c>
      <c r="N224" s="12">
        <v>0</v>
      </c>
      <c r="O224" s="11">
        <f>IF(I224&lt;&gt;"",DATA!C223,"")</f>
        <v>217.8</v>
      </c>
      <c r="P224" s="2">
        <v>294094</v>
      </c>
      <c r="Q224" s="2" t="s">
        <v>1304</v>
      </c>
      <c r="R224" s="2" t="s">
        <v>1310</v>
      </c>
      <c r="S224" s="2">
        <v>347</v>
      </c>
      <c r="T224" s="2">
        <v>1</v>
      </c>
      <c r="U224" s="2" t="s">
        <v>141</v>
      </c>
      <c r="Y224" s="2">
        <v>1700</v>
      </c>
      <c r="Z224" s="11" t="s">
        <v>54</v>
      </c>
      <c r="AA224" s="11" t="str">
        <f t="shared" si="17"/>
        <v>1700 - TBN</v>
      </c>
      <c r="AC224" s="2" t="s">
        <v>145</v>
      </c>
      <c r="AD224" s="11" t="str">
        <f>IF($I224&lt;&gt;"",VLOOKUP($AC224,GEADRESSEERDE!$A$2:$E$4,2,),"")</f>
        <v>LUITHAGEN HAVEN 2 D</v>
      </c>
      <c r="AE224" s="11">
        <f>IF($I224&lt;&gt;"",VLOOKUP($AC224,GEADRESSEERDE!$A$2:$E$4,3,),"")</f>
        <v>2030</v>
      </c>
      <c r="AF224" s="11" t="str">
        <f>IF($I224&lt;&gt;"",VLOOKUP($AC224,GEADRESSEERDE!$A$2:$E$4,4,),"")</f>
        <v>ANTWERPEN</v>
      </c>
      <c r="AG224" s="11" t="str">
        <f>IF($I224&lt;&gt;"",VLOOKUP($AC224,GEADRESSEERDE!$A$2:$E$4,5,),"")</f>
        <v>BE</v>
      </c>
      <c r="AH224" s="11" t="str">
        <f>IF(I224&lt;&gt;"",VLOOKUP(AP224,KvB!$A$2:$B$3,2,FALSE),"")</f>
        <v>BE101000</v>
      </c>
      <c r="AI224" s="11" t="s">
        <v>55</v>
      </c>
      <c r="AJ224" s="11"/>
      <c r="AK224" s="11"/>
      <c r="AL224" s="11"/>
      <c r="AM224" s="11"/>
      <c r="AN224" s="11"/>
      <c r="AO224" s="11"/>
      <c r="AP224" s="2" t="s">
        <v>70</v>
      </c>
      <c r="AQ224" s="11" t="str">
        <f>IF(I224&lt;&gt;"",DATA!D223,"")</f>
        <v>8470500000</v>
      </c>
    </row>
    <row r="225" spans="1:43" ht="15.75" x14ac:dyDescent="0.25">
      <c r="A225" s="11" t="s">
        <v>57</v>
      </c>
      <c r="B225" s="11" t="s">
        <v>56</v>
      </c>
      <c r="C225" s="22">
        <f t="shared" si="18"/>
        <v>25001620</v>
      </c>
      <c r="D225" s="11" t="str">
        <f t="shared" si="15"/>
        <v>SKIIFM_AT</v>
      </c>
      <c r="E225" s="11" t="str">
        <f>IF(I225&lt;&gt;"",VLOOKUP(F225,OPDRACHTGEVER!$A$2:$B$4,2,FALSE),"")</f>
        <v>SKIIFM_AT</v>
      </c>
      <c r="F225" s="11" t="s">
        <v>58</v>
      </c>
      <c r="I225" s="11" t="str">
        <f>IF(DATA!B224&lt;&gt;"",DATA!B224,"")</f>
        <v>TEMU7870878</v>
      </c>
      <c r="J225" s="12">
        <v>0</v>
      </c>
      <c r="K225" s="11" t="s">
        <v>53</v>
      </c>
      <c r="L225" s="11" t="str">
        <f t="shared" si="16"/>
        <v>840991</v>
      </c>
      <c r="M225" s="11" t="str">
        <f>IF(I225&lt;&gt;"",DATA!E224,"")</f>
        <v>BOAT STEERING KIT</v>
      </c>
      <c r="N225" s="12">
        <v>0</v>
      </c>
      <c r="O225" s="11">
        <f>IF(I225&lt;&gt;"",DATA!C224,"")</f>
        <v>18.04</v>
      </c>
      <c r="P225" s="2">
        <v>294094</v>
      </c>
      <c r="Q225" s="2" t="s">
        <v>1304</v>
      </c>
      <c r="R225" s="2" t="s">
        <v>1310</v>
      </c>
      <c r="S225" s="2">
        <v>347</v>
      </c>
      <c r="T225" s="2">
        <v>1</v>
      </c>
      <c r="U225" s="2" t="s">
        <v>141</v>
      </c>
      <c r="Y225" s="2">
        <v>1700</v>
      </c>
      <c r="Z225" s="11" t="s">
        <v>54</v>
      </c>
      <c r="AA225" s="11" t="str">
        <f t="shared" si="17"/>
        <v>1700 - TBN</v>
      </c>
      <c r="AC225" s="2" t="s">
        <v>145</v>
      </c>
      <c r="AD225" s="11" t="str">
        <f>IF($I225&lt;&gt;"",VLOOKUP($AC225,GEADRESSEERDE!$A$2:$E$4,2,),"")</f>
        <v>LUITHAGEN HAVEN 2 D</v>
      </c>
      <c r="AE225" s="11">
        <f>IF($I225&lt;&gt;"",VLOOKUP($AC225,GEADRESSEERDE!$A$2:$E$4,3,),"")</f>
        <v>2030</v>
      </c>
      <c r="AF225" s="11" t="str">
        <f>IF($I225&lt;&gt;"",VLOOKUP($AC225,GEADRESSEERDE!$A$2:$E$4,4,),"")</f>
        <v>ANTWERPEN</v>
      </c>
      <c r="AG225" s="11" t="str">
        <f>IF($I225&lt;&gt;"",VLOOKUP($AC225,GEADRESSEERDE!$A$2:$E$4,5,),"")</f>
        <v>BE</v>
      </c>
      <c r="AH225" s="11" t="str">
        <f>IF(I225&lt;&gt;"",VLOOKUP(AP225,KvB!$A$2:$B$3,2,FALSE),"")</f>
        <v>BE101000</v>
      </c>
      <c r="AI225" s="11" t="s">
        <v>55</v>
      </c>
      <c r="AJ225" s="11"/>
      <c r="AK225" s="11"/>
      <c r="AL225" s="11"/>
      <c r="AM225" s="11"/>
      <c r="AN225" s="11"/>
      <c r="AO225" s="11"/>
      <c r="AP225" s="2" t="s">
        <v>70</v>
      </c>
      <c r="AQ225" s="11" t="str">
        <f>IF(I225&lt;&gt;"",DATA!D224,"")</f>
        <v>8409910090</v>
      </c>
    </row>
    <row r="226" spans="1:43" ht="15.75" x14ac:dyDescent="0.25">
      <c r="A226" s="11" t="s">
        <v>57</v>
      </c>
      <c r="B226" s="11" t="s">
        <v>56</v>
      </c>
      <c r="C226" s="22">
        <f t="shared" si="18"/>
        <v>25001620</v>
      </c>
      <c r="D226" s="11" t="str">
        <f t="shared" si="15"/>
        <v>SKIIFM_AT</v>
      </c>
      <c r="E226" s="11" t="str">
        <f>IF(I226&lt;&gt;"",VLOOKUP(F226,OPDRACHTGEVER!$A$2:$B$4,2,FALSE),"")</f>
        <v>SKIIFM_AT</v>
      </c>
      <c r="F226" s="11" t="s">
        <v>58</v>
      </c>
      <c r="I226" s="11" t="str">
        <f>IF(DATA!B225&lt;&gt;"",DATA!B225,"")</f>
        <v>TEMU7870878</v>
      </c>
      <c r="J226" s="12">
        <v>0</v>
      </c>
      <c r="K226" s="11" t="s">
        <v>53</v>
      </c>
      <c r="L226" s="11" t="str">
        <f t="shared" si="16"/>
        <v>871680</v>
      </c>
      <c r="M226" s="11" t="str">
        <f>IF(I226&lt;&gt;"",DATA!E225,"")</f>
        <v>CAR REPAIR FLOOR</v>
      </c>
      <c r="N226" s="12">
        <v>0</v>
      </c>
      <c r="O226" s="11">
        <f>IF(I226&lt;&gt;"",DATA!C225,"")</f>
        <v>6.45</v>
      </c>
      <c r="P226" s="2">
        <v>294094</v>
      </c>
      <c r="Q226" s="2" t="s">
        <v>1304</v>
      </c>
      <c r="R226" s="2" t="s">
        <v>1310</v>
      </c>
      <c r="S226" s="2">
        <v>347</v>
      </c>
      <c r="T226" s="2">
        <v>1</v>
      </c>
      <c r="U226" s="2" t="s">
        <v>141</v>
      </c>
      <c r="Y226" s="2">
        <v>1700</v>
      </c>
      <c r="Z226" s="11" t="s">
        <v>54</v>
      </c>
      <c r="AA226" s="11" t="str">
        <f t="shared" si="17"/>
        <v>1700 - TBN</v>
      </c>
      <c r="AC226" s="2" t="s">
        <v>145</v>
      </c>
      <c r="AD226" s="11" t="str">
        <f>IF($I226&lt;&gt;"",VLOOKUP($AC226,GEADRESSEERDE!$A$2:$E$4,2,),"")</f>
        <v>LUITHAGEN HAVEN 2 D</v>
      </c>
      <c r="AE226" s="11">
        <f>IF($I226&lt;&gt;"",VLOOKUP($AC226,GEADRESSEERDE!$A$2:$E$4,3,),"")</f>
        <v>2030</v>
      </c>
      <c r="AF226" s="11" t="str">
        <f>IF($I226&lt;&gt;"",VLOOKUP($AC226,GEADRESSEERDE!$A$2:$E$4,4,),"")</f>
        <v>ANTWERPEN</v>
      </c>
      <c r="AG226" s="11" t="str">
        <f>IF($I226&lt;&gt;"",VLOOKUP($AC226,GEADRESSEERDE!$A$2:$E$4,5,),"")</f>
        <v>BE</v>
      </c>
      <c r="AH226" s="11" t="str">
        <f>IF(I226&lt;&gt;"",VLOOKUP(AP226,KvB!$A$2:$B$3,2,FALSE),"")</f>
        <v>BE101000</v>
      </c>
      <c r="AI226" s="11" t="s">
        <v>55</v>
      </c>
      <c r="AJ226" s="11"/>
      <c r="AK226" s="11"/>
      <c r="AL226" s="11"/>
      <c r="AM226" s="11"/>
      <c r="AN226" s="11"/>
      <c r="AO226" s="11"/>
      <c r="AP226" s="2" t="s">
        <v>70</v>
      </c>
      <c r="AQ226" s="11" t="str">
        <f>IF(I226&lt;&gt;"",DATA!D225,"")</f>
        <v>8716800000</v>
      </c>
    </row>
    <row r="227" spans="1:43" ht="15.75" x14ac:dyDescent="0.25">
      <c r="A227" s="11" t="s">
        <v>57</v>
      </c>
      <c r="B227" s="11" t="s">
        <v>56</v>
      </c>
      <c r="C227" s="22">
        <f t="shared" si="18"/>
        <v>25001620</v>
      </c>
      <c r="D227" s="11" t="str">
        <f t="shared" si="15"/>
        <v>SKIIFM_AT</v>
      </c>
      <c r="E227" s="11" t="str">
        <f>IF(I227&lt;&gt;"",VLOOKUP(F227,OPDRACHTGEVER!$A$2:$B$4,2,FALSE),"")</f>
        <v>SKIIFM_AT</v>
      </c>
      <c r="F227" s="11" t="s">
        <v>58</v>
      </c>
      <c r="I227" s="11" t="str">
        <f>IF(DATA!B226&lt;&gt;"",DATA!B226,"")</f>
        <v>TEMU7870878</v>
      </c>
      <c r="J227" s="12">
        <v>0</v>
      </c>
      <c r="K227" s="11" t="s">
        <v>53</v>
      </c>
      <c r="L227" s="11" t="str">
        <f t="shared" si="16"/>
        <v>850980</v>
      </c>
      <c r="M227" s="11" t="str">
        <f>IF(I227&lt;&gt;"",DATA!E226,"")</f>
        <v>CARPET MOP</v>
      </c>
      <c r="N227" s="12">
        <v>0</v>
      </c>
      <c r="O227" s="11">
        <f>IF(I227&lt;&gt;"",DATA!C226,"")</f>
        <v>0.9</v>
      </c>
      <c r="P227" s="2">
        <v>294094</v>
      </c>
      <c r="Q227" s="2" t="s">
        <v>1304</v>
      </c>
      <c r="R227" s="2" t="s">
        <v>1310</v>
      </c>
      <c r="S227" s="2">
        <v>347</v>
      </c>
      <c r="T227" s="2">
        <v>1</v>
      </c>
      <c r="U227" s="2" t="s">
        <v>141</v>
      </c>
      <c r="Y227" s="2">
        <v>1700</v>
      </c>
      <c r="Z227" s="11" t="s">
        <v>54</v>
      </c>
      <c r="AA227" s="11" t="str">
        <f t="shared" si="17"/>
        <v>1700 - TBN</v>
      </c>
      <c r="AC227" s="2" t="s">
        <v>145</v>
      </c>
      <c r="AD227" s="11" t="str">
        <f>IF($I227&lt;&gt;"",VLOOKUP($AC227,GEADRESSEERDE!$A$2:$E$4,2,),"")</f>
        <v>LUITHAGEN HAVEN 2 D</v>
      </c>
      <c r="AE227" s="11">
        <f>IF($I227&lt;&gt;"",VLOOKUP($AC227,GEADRESSEERDE!$A$2:$E$4,3,),"")</f>
        <v>2030</v>
      </c>
      <c r="AF227" s="11" t="str">
        <f>IF($I227&lt;&gt;"",VLOOKUP($AC227,GEADRESSEERDE!$A$2:$E$4,4,),"")</f>
        <v>ANTWERPEN</v>
      </c>
      <c r="AG227" s="11" t="str">
        <f>IF($I227&lt;&gt;"",VLOOKUP($AC227,GEADRESSEERDE!$A$2:$E$4,5,),"")</f>
        <v>BE</v>
      </c>
      <c r="AH227" s="11" t="str">
        <f>IF(I227&lt;&gt;"",VLOOKUP(AP227,KvB!$A$2:$B$3,2,FALSE),"")</f>
        <v>BE101000</v>
      </c>
      <c r="AI227" s="11" t="s">
        <v>55</v>
      </c>
      <c r="AJ227" s="11"/>
      <c r="AK227" s="11"/>
      <c r="AL227" s="11"/>
      <c r="AM227" s="11"/>
      <c r="AN227" s="11"/>
      <c r="AO227" s="11"/>
      <c r="AP227" s="2" t="s">
        <v>70</v>
      </c>
      <c r="AQ227" s="11" t="str">
        <f>IF(I227&lt;&gt;"",DATA!D226,"")</f>
        <v>8509800000</v>
      </c>
    </row>
    <row r="228" spans="1:43" ht="15.75" x14ac:dyDescent="0.25">
      <c r="A228" s="11" t="s">
        <v>57</v>
      </c>
      <c r="B228" s="11" t="s">
        <v>56</v>
      </c>
      <c r="C228" s="22">
        <f t="shared" si="18"/>
        <v>25001620</v>
      </c>
      <c r="D228" s="11" t="str">
        <f t="shared" si="15"/>
        <v>SKIIFM_AT</v>
      </c>
      <c r="E228" s="11" t="str">
        <f>IF(I228&lt;&gt;"",VLOOKUP(F228,OPDRACHTGEVER!$A$2:$B$4,2,FALSE),"")</f>
        <v>SKIIFM_AT</v>
      </c>
      <c r="F228" s="11" t="s">
        <v>58</v>
      </c>
      <c r="I228" s="11" t="str">
        <f>IF(DATA!B227&lt;&gt;"",DATA!B227,"")</f>
        <v>TEMU7870878</v>
      </c>
      <c r="J228" s="12">
        <v>0</v>
      </c>
      <c r="K228" s="11" t="s">
        <v>53</v>
      </c>
      <c r="L228" s="11" t="str">
        <f t="shared" si="16"/>
        <v>741920</v>
      </c>
      <c r="M228" s="11" t="str">
        <f>IF(I228&lt;&gt;"",DATA!E227,"")</f>
        <v>CHAIN BLOCK</v>
      </c>
      <c r="N228" s="12">
        <v>0</v>
      </c>
      <c r="O228" s="11">
        <f>IF(I228&lt;&gt;"",DATA!C227,"")</f>
        <v>20.7</v>
      </c>
      <c r="P228" s="2">
        <v>294094</v>
      </c>
      <c r="Q228" s="2" t="s">
        <v>1304</v>
      </c>
      <c r="R228" s="2" t="s">
        <v>1310</v>
      </c>
      <c r="S228" s="2">
        <v>347</v>
      </c>
      <c r="T228" s="2">
        <v>1</v>
      </c>
      <c r="U228" s="2" t="s">
        <v>141</v>
      </c>
      <c r="Y228" s="2">
        <v>1700</v>
      </c>
      <c r="Z228" s="11" t="s">
        <v>54</v>
      </c>
      <c r="AA228" s="11" t="str">
        <f t="shared" si="17"/>
        <v>1700 - TBN</v>
      </c>
      <c r="AC228" s="2" t="s">
        <v>145</v>
      </c>
      <c r="AD228" s="11" t="str">
        <f>IF($I228&lt;&gt;"",VLOOKUP($AC228,GEADRESSEERDE!$A$2:$E$4,2,),"")</f>
        <v>LUITHAGEN HAVEN 2 D</v>
      </c>
      <c r="AE228" s="11">
        <f>IF($I228&lt;&gt;"",VLOOKUP($AC228,GEADRESSEERDE!$A$2:$E$4,3,),"")</f>
        <v>2030</v>
      </c>
      <c r="AF228" s="11" t="str">
        <f>IF($I228&lt;&gt;"",VLOOKUP($AC228,GEADRESSEERDE!$A$2:$E$4,4,),"")</f>
        <v>ANTWERPEN</v>
      </c>
      <c r="AG228" s="11" t="str">
        <f>IF($I228&lt;&gt;"",VLOOKUP($AC228,GEADRESSEERDE!$A$2:$E$4,5,),"")</f>
        <v>BE</v>
      </c>
      <c r="AH228" s="11" t="str">
        <f>IF(I228&lt;&gt;"",VLOOKUP(AP228,KvB!$A$2:$B$3,2,FALSE),"")</f>
        <v>BE101000</v>
      </c>
      <c r="AI228" s="11" t="s">
        <v>55</v>
      </c>
      <c r="AJ228" s="11"/>
      <c r="AK228" s="11"/>
      <c r="AL228" s="11"/>
      <c r="AM228" s="11"/>
      <c r="AN228" s="11"/>
      <c r="AO228" s="11"/>
      <c r="AP228" s="2" t="s">
        <v>70</v>
      </c>
      <c r="AQ228" s="11" t="str">
        <f>IF(I228&lt;&gt;"",DATA!D227,"")</f>
        <v>7419200090</v>
      </c>
    </row>
    <row r="229" spans="1:43" ht="15.75" x14ac:dyDescent="0.25">
      <c r="A229" s="11" t="s">
        <v>57</v>
      </c>
      <c r="B229" s="11" t="s">
        <v>56</v>
      </c>
      <c r="C229" s="22">
        <f t="shared" si="18"/>
        <v>25001620</v>
      </c>
      <c r="D229" s="11" t="str">
        <f t="shared" si="15"/>
        <v>SKIIFM_AT</v>
      </c>
      <c r="E229" s="11" t="str">
        <f>IF(I229&lt;&gt;"",VLOOKUP(F229,OPDRACHTGEVER!$A$2:$B$4,2,FALSE),"")</f>
        <v>SKIIFM_AT</v>
      </c>
      <c r="F229" s="11" t="s">
        <v>58</v>
      </c>
      <c r="I229" s="11" t="str">
        <f>IF(DATA!B228&lt;&gt;"",DATA!B228,"")</f>
        <v>TEMU7870878</v>
      </c>
      <c r="J229" s="12">
        <v>0</v>
      </c>
      <c r="K229" s="11" t="s">
        <v>53</v>
      </c>
      <c r="L229" s="11" t="str">
        <f t="shared" si="16"/>
        <v>741920</v>
      </c>
      <c r="M229" s="11" t="str">
        <f>IF(I229&lt;&gt;"",DATA!E228,"")</f>
        <v>CHAIN WITH HOOK</v>
      </c>
      <c r="N229" s="12">
        <v>0</v>
      </c>
      <c r="O229" s="11">
        <f>IF(I229&lt;&gt;"",DATA!C228,"")</f>
        <v>22.5</v>
      </c>
      <c r="P229" s="2">
        <v>294094</v>
      </c>
      <c r="Q229" s="2" t="s">
        <v>1304</v>
      </c>
      <c r="R229" s="2" t="s">
        <v>1310</v>
      </c>
      <c r="S229" s="2">
        <v>347</v>
      </c>
      <c r="T229" s="2">
        <v>1</v>
      </c>
      <c r="U229" s="2" t="s">
        <v>141</v>
      </c>
      <c r="Y229" s="2">
        <v>1700</v>
      </c>
      <c r="Z229" s="11" t="s">
        <v>54</v>
      </c>
      <c r="AA229" s="11" t="str">
        <f t="shared" si="17"/>
        <v>1700 - TBN</v>
      </c>
      <c r="AC229" s="2" t="s">
        <v>145</v>
      </c>
      <c r="AD229" s="11" t="str">
        <f>IF($I229&lt;&gt;"",VLOOKUP($AC229,GEADRESSEERDE!$A$2:$E$4,2,),"")</f>
        <v>LUITHAGEN HAVEN 2 D</v>
      </c>
      <c r="AE229" s="11">
        <f>IF($I229&lt;&gt;"",VLOOKUP($AC229,GEADRESSEERDE!$A$2:$E$4,3,),"")</f>
        <v>2030</v>
      </c>
      <c r="AF229" s="11" t="str">
        <f>IF($I229&lt;&gt;"",VLOOKUP($AC229,GEADRESSEERDE!$A$2:$E$4,4,),"")</f>
        <v>ANTWERPEN</v>
      </c>
      <c r="AG229" s="11" t="str">
        <f>IF($I229&lt;&gt;"",VLOOKUP($AC229,GEADRESSEERDE!$A$2:$E$4,5,),"")</f>
        <v>BE</v>
      </c>
      <c r="AH229" s="11" t="str">
        <f>IF(I229&lt;&gt;"",VLOOKUP(AP229,KvB!$A$2:$B$3,2,FALSE),"")</f>
        <v>BE101000</v>
      </c>
      <c r="AI229" s="11" t="s">
        <v>55</v>
      </c>
      <c r="AJ229" s="11"/>
      <c r="AK229" s="11"/>
      <c r="AL229" s="11"/>
      <c r="AM229" s="11"/>
      <c r="AN229" s="11"/>
      <c r="AO229" s="11"/>
      <c r="AP229" s="2" t="s">
        <v>70</v>
      </c>
      <c r="AQ229" s="11" t="str">
        <f>IF(I229&lt;&gt;"",DATA!D228,"")</f>
        <v>7419200090</v>
      </c>
    </row>
    <row r="230" spans="1:43" ht="15.75" x14ac:dyDescent="0.25">
      <c r="A230" s="11" t="s">
        <v>57</v>
      </c>
      <c r="B230" s="11" t="s">
        <v>56</v>
      </c>
      <c r="C230" s="22">
        <f t="shared" si="18"/>
        <v>25001620</v>
      </c>
      <c r="D230" s="11" t="str">
        <f t="shared" si="15"/>
        <v>SKIIFM_AT</v>
      </c>
      <c r="E230" s="11" t="str">
        <f>IF(I230&lt;&gt;"",VLOOKUP(F230,OPDRACHTGEVER!$A$2:$B$4,2,FALSE),"")</f>
        <v>SKIIFM_AT</v>
      </c>
      <c r="F230" s="11" t="s">
        <v>58</v>
      </c>
      <c r="I230" s="11" t="str">
        <f>IF(DATA!B229&lt;&gt;"",DATA!B229,"")</f>
        <v>TEMU7870878</v>
      </c>
      <c r="J230" s="12">
        <v>0</v>
      </c>
      <c r="K230" s="11" t="s">
        <v>53</v>
      </c>
      <c r="L230" s="11" t="str">
        <f t="shared" si="16"/>
        <v>820559</v>
      </c>
      <c r="M230" s="11" t="str">
        <f>IF(I230&lt;&gt;"",DATA!E229,"")</f>
        <v>CROWBAR</v>
      </c>
      <c r="N230" s="12">
        <v>0</v>
      </c>
      <c r="O230" s="11">
        <f>IF(I230&lt;&gt;"",DATA!C229,"")</f>
        <v>173.7</v>
      </c>
      <c r="P230" s="2">
        <v>294094</v>
      </c>
      <c r="Q230" s="2" t="s">
        <v>1304</v>
      </c>
      <c r="R230" s="2" t="s">
        <v>1310</v>
      </c>
      <c r="S230" s="2">
        <v>347</v>
      </c>
      <c r="T230" s="2">
        <v>1</v>
      </c>
      <c r="U230" s="2" t="s">
        <v>141</v>
      </c>
      <c r="Y230" s="2">
        <v>1700</v>
      </c>
      <c r="Z230" s="11" t="s">
        <v>54</v>
      </c>
      <c r="AA230" s="11" t="str">
        <f t="shared" si="17"/>
        <v>1700 - TBN</v>
      </c>
      <c r="AC230" s="2" t="s">
        <v>145</v>
      </c>
      <c r="AD230" s="11" t="str">
        <f>IF($I230&lt;&gt;"",VLOOKUP($AC230,GEADRESSEERDE!$A$2:$E$4,2,),"")</f>
        <v>LUITHAGEN HAVEN 2 D</v>
      </c>
      <c r="AE230" s="11">
        <f>IF($I230&lt;&gt;"",VLOOKUP($AC230,GEADRESSEERDE!$A$2:$E$4,3,),"")</f>
        <v>2030</v>
      </c>
      <c r="AF230" s="11" t="str">
        <f>IF($I230&lt;&gt;"",VLOOKUP($AC230,GEADRESSEERDE!$A$2:$E$4,4,),"")</f>
        <v>ANTWERPEN</v>
      </c>
      <c r="AG230" s="11" t="str">
        <f>IF($I230&lt;&gt;"",VLOOKUP($AC230,GEADRESSEERDE!$A$2:$E$4,5,),"")</f>
        <v>BE</v>
      </c>
      <c r="AH230" s="11" t="str">
        <f>IF(I230&lt;&gt;"",VLOOKUP(AP230,KvB!$A$2:$B$3,2,FALSE),"")</f>
        <v>BE101000</v>
      </c>
      <c r="AI230" s="11" t="s">
        <v>55</v>
      </c>
      <c r="AJ230" s="11"/>
      <c r="AK230" s="11"/>
      <c r="AL230" s="11"/>
      <c r="AM230" s="11"/>
      <c r="AN230" s="11"/>
      <c r="AO230" s="11"/>
      <c r="AP230" s="2" t="s">
        <v>70</v>
      </c>
      <c r="AQ230" s="11" t="str">
        <f>IF(I230&lt;&gt;"",DATA!D229,"")</f>
        <v>8205598000</v>
      </c>
    </row>
    <row r="231" spans="1:43" ht="15.75" x14ac:dyDescent="0.25">
      <c r="A231" s="11" t="s">
        <v>57</v>
      </c>
      <c r="B231" s="11" t="s">
        <v>56</v>
      </c>
      <c r="C231" s="22">
        <f t="shared" si="18"/>
        <v>25001620</v>
      </c>
      <c r="D231" s="11" t="str">
        <f t="shared" si="15"/>
        <v>SKIIFM_AT</v>
      </c>
      <c r="E231" s="11" t="str">
        <f>IF(I231&lt;&gt;"",VLOOKUP(F231,OPDRACHTGEVER!$A$2:$B$4,2,FALSE),"")</f>
        <v>SKIIFM_AT</v>
      </c>
      <c r="F231" s="11" t="s">
        <v>58</v>
      </c>
      <c r="I231" s="11" t="str">
        <f>IF(DATA!B230&lt;&gt;"",DATA!B230,"")</f>
        <v>TEMU7870878</v>
      </c>
      <c r="J231" s="12">
        <v>0</v>
      </c>
      <c r="K231" s="11" t="s">
        <v>53</v>
      </c>
      <c r="L231" s="11" t="str">
        <f t="shared" si="16"/>
        <v>841940</v>
      </c>
      <c r="M231" s="11" t="str">
        <f>IF(I231&lt;&gt;"",DATA!E230,"")</f>
        <v>DISTILLER</v>
      </c>
      <c r="N231" s="12">
        <v>0</v>
      </c>
      <c r="O231" s="11">
        <f>IF(I231&lt;&gt;"",DATA!C230,"")</f>
        <v>506.15</v>
      </c>
      <c r="P231" s="2">
        <v>294094</v>
      </c>
      <c r="Q231" s="2" t="s">
        <v>1304</v>
      </c>
      <c r="R231" s="2" t="s">
        <v>1310</v>
      </c>
      <c r="S231" s="2">
        <v>347</v>
      </c>
      <c r="T231" s="2">
        <v>1</v>
      </c>
      <c r="U231" s="2" t="s">
        <v>141</v>
      </c>
      <c r="Y231" s="2">
        <v>1700</v>
      </c>
      <c r="Z231" s="11" t="s">
        <v>54</v>
      </c>
      <c r="AA231" s="11" t="str">
        <f t="shared" si="17"/>
        <v>1700 - TBN</v>
      </c>
      <c r="AC231" s="2" t="s">
        <v>145</v>
      </c>
      <c r="AD231" s="11" t="str">
        <f>IF($I231&lt;&gt;"",VLOOKUP($AC231,GEADRESSEERDE!$A$2:$E$4,2,),"")</f>
        <v>LUITHAGEN HAVEN 2 D</v>
      </c>
      <c r="AE231" s="11">
        <f>IF($I231&lt;&gt;"",VLOOKUP($AC231,GEADRESSEERDE!$A$2:$E$4,3,),"")</f>
        <v>2030</v>
      </c>
      <c r="AF231" s="11" t="str">
        <f>IF($I231&lt;&gt;"",VLOOKUP($AC231,GEADRESSEERDE!$A$2:$E$4,4,),"")</f>
        <v>ANTWERPEN</v>
      </c>
      <c r="AG231" s="11" t="str">
        <f>IF($I231&lt;&gt;"",VLOOKUP($AC231,GEADRESSEERDE!$A$2:$E$4,5,),"")</f>
        <v>BE</v>
      </c>
      <c r="AH231" s="11" t="str">
        <f>IF(I231&lt;&gt;"",VLOOKUP(AP231,KvB!$A$2:$B$3,2,FALSE),"")</f>
        <v>BE101000</v>
      </c>
      <c r="AI231" s="11" t="s">
        <v>55</v>
      </c>
      <c r="AJ231" s="11"/>
      <c r="AK231" s="11"/>
      <c r="AL231" s="11"/>
      <c r="AM231" s="11"/>
      <c r="AN231" s="11"/>
      <c r="AO231" s="11"/>
      <c r="AP231" s="2" t="s">
        <v>70</v>
      </c>
      <c r="AQ231" s="11" t="str">
        <f>IF(I231&lt;&gt;"",DATA!D230,"")</f>
        <v>8419400090</v>
      </c>
    </row>
    <row r="232" spans="1:43" ht="15.75" x14ac:dyDescent="0.25">
      <c r="A232" s="11" t="s">
        <v>57</v>
      </c>
      <c r="B232" s="11" t="s">
        <v>56</v>
      </c>
      <c r="C232" s="22">
        <f t="shared" si="18"/>
        <v>25001620</v>
      </c>
      <c r="D232" s="11" t="str">
        <f t="shared" si="15"/>
        <v>SKIIFM_AT</v>
      </c>
      <c r="E232" s="11" t="str">
        <f>IF(I232&lt;&gt;"",VLOOKUP(F232,OPDRACHTGEVER!$A$2:$B$4,2,FALSE),"")</f>
        <v>SKIIFM_AT</v>
      </c>
      <c r="F232" s="11" t="s">
        <v>58</v>
      </c>
      <c r="I232" s="11" t="str">
        <f>IF(DATA!B231&lt;&gt;"",DATA!B231,"")</f>
        <v>TEMU7870878</v>
      </c>
      <c r="J232" s="12">
        <v>0</v>
      </c>
      <c r="K232" s="11" t="s">
        <v>53</v>
      </c>
      <c r="L232" s="11" t="str">
        <f t="shared" si="16"/>
        <v>843149</v>
      </c>
      <c r="M232" s="11" t="str">
        <f>IF(I232&lt;&gt;"",DATA!E231,"")</f>
        <v>DRILL BITS</v>
      </c>
      <c r="N232" s="12">
        <v>0</v>
      </c>
      <c r="O232" s="11">
        <f>IF(I232&lt;&gt;"",DATA!C231,"")</f>
        <v>2.7</v>
      </c>
      <c r="P232" s="2">
        <v>294094</v>
      </c>
      <c r="Q232" s="2" t="s">
        <v>1304</v>
      </c>
      <c r="R232" s="2" t="s">
        <v>1310</v>
      </c>
      <c r="S232" s="2">
        <v>347</v>
      </c>
      <c r="T232" s="2">
        <v>1</v>
      </c>
      <c r="U232" s="2" t="s">
        <v>141</v>
      </c>
      <c r="Y232" s="2">
        <v>1700</v>
      </c>
      <c r="Z232" s="11" t="s">
        <v>54</v>
      </c>
      <c r="AA232" s="11" t="str">
        <f t="shared" si="17"/>
        <v>1700 - TBN</v>
      </c>
      <c r="AC232" s="2" t="s">
        <v>145</v>
      </c>
      <c r="AD232" s="11" t="str">
        <f>IF($I232&lt;&gt;"",VLOOKUP($AC232,GEADRESSEERDE!$A$2:$E$4,2,),"")</f>
        <v>LUITHAGEN HAVEN 2 D</v>
      </c>
      <c r="AE232" s="11">
        <f>IF($I232&lt;&gt;"",VLOOKUP($AC232,GEADRESSEERDE!$A$2:$E$4,3,),"")</f>
        <v>2030</v>
      </c>
      <c r="AF232" s="11" t="str">
        <f>IF($I232&lt;&gt;"",VLOOKUP($AC232,GEADRESSEERDE!$A$2:$E$4,4,),"")</f>
        <v>ANTWERPEN</v>
      </c>
      <c r="AG232" s="11" t="str">
        <f>IF($I232&lt;&gt;"",VLOOKUP($AC232,GEADRESSEERDE!$A$2:$E$4,5,),"")</f>
        <v>BE</v>
      </c>
      <c r="AH232" s="11" t="str">
        <f>IF(I232&lt;&gt;"",VLOOKUP(AP232,KvB!$A$2:$B$3,2,FALSE),"")</f>
        <v>BE101000</v>
      </c>
      <c r="AI232" s="11" t="s">
        <v>55</v>
      </c>
      <c r="AJ232" s="11"/>
      <c r="AK232" s="11"/>
      <c r="AL232" s="11"/>
      <c r="AM232" s="11"/>
      <c r="AN232" s="11"/>
      <c r="AO232" s="11"/>
      <c r="AP232" s="2" t="s">
        <v>70</v>
      </c>
      <c r="AQ232" s="11" t="str">
        <f>IF(I232&lt;&gt;"",DATA!D231,"")</f>
        <v>8431498090</v>
      </c>
    </row>
    <row r="233" spans="1:43" ht="15.75" x14ac:dyDescent="0.25">
      <c r="A233" s="11" t="s">
        <v>57</v>
      </c>
      <c r="B233" s="11" t="s">
        <v>56</v>
      </c>
      <c r="C233" s="22">
        <f t="shared" si="18"/>
        <v>25001620</v>
      </c>
      <c r="D233" s="11" t="str">
        <f t="shared" si="15"/>
        <v>SKIIFM_AT</v>
      </c>
      <c r="E233" s="11" t="str">
        <f>IF(I233&lt;&gt;"",VLOOKUP(F233,OPDRACHTGEVER!$A$2:$B$4,2,FALSE),"")</f>
        <v>SKIIFM_AT</v>
      </c>
      <c r="F233" s="11" t="s">
        <v>58</v>
      </c>
      <c r="I233" s="11" t="str">
        <f>IF(DATA!B232&lt;&gt;"",DATA!B232,"")</f>
        <v>TEMU7870878</v>
      </c>
      <c r="J233" s="12">
        <v>0</v>
      </c>
      <c r="K233" s="11" t="s">
        <v>53</v>
      </c>
      <c r="L233" s="11" t="str">
        <f t="shared" si="16"/>
        <v>843850</v>
      </c>
      <c r="M233" s="11" t="str">
        <f>IF(I233&lt;&gt;"",DATA!E232,"")</f>
        <v>ELECTRIC MEAT SLICER</v>
      </c>
      <c r="N233" s="12">
        <v>0</v>
      </c>
      <c r="O233" s="11">
        <f>IF(I233&lt;&gt;"",DATA!C232,"")</f>
        <v>664.55</v>
      </c>
      <c r="P233" s="2">
        <v>294094</v>
      </c>
      <c r="Q233" s="2" t="s">
        <v>1304</v>
      </c>
      <c r="R233" s="2" t="s">
        <v>1310</v>
      </c>
      <c r="S233" s="2">
        <v>347</v>
      </c>
      <c r="T233" s="2">
        <v>1</v>
      </c>
      <c r="U233" s="2" t="s">
        <v>141</v>
      </c>
      <c r="Y233" s="2">
        <v>1700</v>
      </c>
      <c r="Z233" s="11" t="s">
        <v>54</v>
      </c>
      <c r="AA233" s="11" t="str">
        <f t="shared" si="17"/>
        <v>1700 - TBN</v>
      </c>
      <c r="AC233" s="2" t="s">
        <v>145</v>
      </c>
      <c r="AD233" s="11" t="str">
        <f>IF($I233&lt;&gt;"",VLOOKUP($AC233,GEADRESSEERDE!$A$2:$E$4,2,),"")</f>
        <v>LUITHAGEN HAVEN 2 D</v>
      </c>
      <c r="AE233" s="11">
        <f>IF($I233&lt;&gt;"",VLOOKUP($AC233,GEADRESSEERDE!$A$2:$E$4,3,),"")</f>
        <v>2030</v>
      </c>
      <c r="AF233" s="11" t="str">
        <f>IF($I233&lt;&gt;"",VLOOKUP($AC233,GEADRESSEERDE!$A$2:$E$4,4,),"")</f>
        <v>ANTWERPEN</v>
      </c>
      <c r="AG233" s="11" t="str">
        <f>IF($I233&lt;&gt;"",VLOOKUP($AC233,GEADRESSEERDE!$A$2:$E$4,5,),"")</f>
        <v>BE</v>
      </c>
      <c r="AH233" s="11" t="str">
        <f>IF(I233&lt;&gt;"",VLOOKUP(AP233,KvB!$A$2:$B$3,2,FALSE),"")</f>
        <v>BE101000</v>
      </c>
      <c r="AI233" s="11" t="s">
        <v>55</v>
      </c>
      <c r="AJ233" s="11"/>
      <c r="AK233" s="11"/>
      <c r="AL233" s="11"/>
      <c r="AM233" s="11"/>
      <c r="AN233" s="11"/>
      <c r="AO233" s="11"/>
      <c r="AP233" s="2" t="s">
        <v>70</v>
      </c>
      <c r="AQ233" s="11" t="str">
        <f>IF(I233&lt;&gt;"",DATA!D232,"")</f>
        <v>8438500000</v>
      </c>
    </row>
    <row r="234" spans="1:43" ht="15.75" x14ac:dyDescent="0.25">
      <c r="A234" s="11" t="s">
        <v>57</v>
      </c>
      <c r="B234" s="11" t="s">
        <v>56</v>
      </c>
      <c r="C234" s="22">
        <f t="shared" si="18"/>
        <v>25001620</v>
      </c>
      <c r="D234" s="11" t="str">
        <f t="shared" si="15"/>
        <v>SKIIFM_AT</v>
      </c>
      <c r="E234" s="11" t="str">
        <f>IF(I234&lt;&gt;"",VLOOKUP(F234,OPDRACHTGEVER!$A$2:$B$4,2,FALSE),"")</f>
        <v>SKIIFM_AT</v>
      </c>
      <c r="F234" s="11" t="s">
        <v>58</v>
      </c>
      <c r="I234" s="11" t="str">
        <f>IF(DATA!B233&lt;&gt;"",DATA!B233,"")</f>
        <v>TEMU7870878</v>
      </c>
      <c r="J234" s="12">
        <v>0</v>
      </c>
      <c r="K234" s="11" t="s">
        <v>53</v>
      </c>
      <c r="L234" s="11" t="str">
        <f t="shared" si="16"/>
        <v>851660</v>
      </c>
      <c r="M234" s="11" t="str">
        <f>IF(I234&lt;&gt;"",DATA!E233,"")</f>
        <v>ELECTRIC ROTISSERIE</v>
      </c>
      <c r="N234" s="12">
        <v>0</v>
      </c>
      <c r="O234" s="11">
        <f>IF(I234&lt;&gt;"",DATA!C233,"")</f>
        <v>436.6</v>
      </c>
      <c r="P234" s="2">
        <v>294094</v>
      </c>
      <c r="Q234" s="2" t="s">
        <v>1304</v>
      </c>
      <c r="R234" s="2" t="s">
        <v>1310</v>
      </c>
      <c r="S234" s="2">
        <v>347</v>
      </c>
      <c r="T234" s="2">
        <v>1</v>
      </c>
      <c r="U234" s="2" t="s">
        <v>141</v>
      </c>
      <c r="Y234" s="2">
        <v>1700</v>
      </c>
      <c r="Z234" s="11" t="s">
        <v>54</v>
      </c>
      <c r="AA234" s="11" t="str">
        <f t="shared" si="17"/>
        <v>1700 - TBN</v>
      </c>
      <c r="AC234" s="2" t="s">
        <v>145</v>
      </c>
      <c r="AD234" s="11" t="str">
        <f>IF($I234&lt;&gt;"",VLOOKUP($AC234,GEADRESSEERDE!$A$2:$E$4,2,),"")</f>
        <v>LUITHAGEN HAVEN 2 D</v>
      </c>
      <c r="AE234" s="11">
        <f>IF($I234&lt;&gt;"",VLOOKUP($AC234,GEADRESSEERDE!$A$2:$E$4,3,),"")</f>
        <v>2030</v>
      </c>
      <c r="AF234" s="11" t="str">
        <f>IF($I234&lt;&gt;"",VLOOKUP($AC234,GEADRESSEERDE!$A$2:$E$4,4,),"")</f>
        <v>ANTWERPEN</v>
      </c>
      <c r="AG234" s="11" t="str">
        <f>IF($I234&lt;&gt;"",VLOOKUP($AC234,GEADRESSEERDE!$A$2:$E$4,5,),"")</f>
        <v>BE</v>
      </c>
      <c r="AH234" s="11" t="str">
        <f>IF(I234&lt;&gt;"",VLOOKUP(AP234,KvB!$A$2:$B$3,2,FALSE),"")</f>
        <v>BE101000</v>
      </c>
      <c r="AI234" s="11" t="s">
        <v>55</v>
      </c>
      <c r="AJ234" s="11"/>
      <c r="AK234" s="11"/>
      <c r="AL234" s="11"/>
      <c r="AM234" s="11"/>
      <c r="AN234" s="11"/>
      <c r="AO234" s="11"/>
      <c r="AP234" s="2" t="s">
        <v>70</v>
      </c>
      <c r="AQ234" s="11" t="str">
        <f>IF(I234&lt;&gt;"",DATA!D233,"")</f>
        <v>8516609000</v>
      </c>
    </row>
    <row r="235" spans="1:43" ht="15.75" x14ac:dyDescent="0.25">
      <c r="A235" s="11" t="s">
        <v>57</v>
      </c>
      <c r="B235" s="11" t="s">
        <v>56</v>
      </c>
      <c r="C235" s="22">
        <f t="shared" si="18"/>
        <v>25001620</v>
      </c>
      <c r="D235" s="11" t="str">
        <f t="shared" si="15"/>
        <v>SKIIFM_AT</v>
      </c>
      <c r="E235" s="11" t="str">
        <f>IF(I235&lt;&gt;"",VLOOKUP(F235,OPDRACHTGEVER!$A$2:$B$4,2,FALSE),"")</f>
        <v>SKIIFM_AT</v>
      </c>
      <c r="F235" s="11" t="s">
        <v>58</v>
      </c>
      <c r="I235" s="11" t="str">
        <f>IF(DATA!B234&lt;&gt;"",DATA!B234,"")</f>
        <v>TEMU7870878</v>
      </c>
      <c r="J235" s="12">
        <v>0</v>
      </c>
      <c r="K235" s="11" t="s">
        <v>53</v>
      </c>
      <c r="L235" s="11" t="str">
        <f t="shared" si="16"/>
        <v>846599</v>
      </c>
      <c r="M235" s="11" t="str">
        <f>IF(I235&lt;&gt;"",DATA!E234,"")</f>
        <v>ENGRAVING DRILLING MILLING MACHINE</v>
      </c>
      <c r="N235" s="12">
        <v>0</v>
      </c>
      <c r="O235" s="11">
        <f>IF(I235&lt;&gt;"",DATA!C234,"")</f>
        <v>334.4</v>
      </c>
      <c r="P235" s="2">
        <v>294094</v>
      </c>
      <c r="Q235" s="2" t="s">
        <v>1304</v>
      </c>
      <c r="R235" s="2" t="s">
        <v>1310</v>
      </c>
      <c r="S235" s="2">
        <v>347</v>
      </c>
      <c r="T235" s="2">
        <v>1</v>
      </c>
      <c r="U235" s="2" t="s">
        <v>141</v>
      </c>
      <c r="Y235" s="2">
        <v>1700</v>
      </c>
      <c r="Z235" s="11" t="s">
        <v>54</v>
      </c>
      <c r="AA235" s="11" t="str">
        <f t="shared" si="17"/>
        <v>1700 - TBN</v>
      </c>
      <c r="AC235" s="2" t="s">
        <v>145</v>
      </c>
      <c r="AD235" s="11" t="str">
        <f>IF($I235&lt;&gt;"",VLOOKUP($AC235,GEADRESSEERDE!$A$2:$E$4,2,),"")</f>
        <v>LUITHAGEN HAVEN 2 D</v>
      </c>
      <c r="AE235" s="11">
        <f>IF($I235&lt;&gt;"",VLOOKUP($AC235,GEADRESSEERDE!$A$2:$E$4,3,),"")</f>
        <v>2030</v>
      </c>
      <c r="AF235" s="11" t="str">
        <f>IF($I235&lt;&gt;"",VLOOKUP($AC235,GEADRESSEERDE!$A$2:$E$4,4,),"")</f>
        <v>ANTWERPEN</v>
      </c>
      <c r="AG235" s="11" t="str">
        <f>IF($I235&lt;&gt;"",VLOOKUP($AC235,GEADRESSEERDE!$A$2:$E$4,5,),"")</f>
        <v>BE</v>
      </c>
      <c r="AH235" s="11" t="str">
        <f>IF(I235&lt;&gt;"",VLOOKUP(AP235,KvB!$A$2:$B$3,2,FALSE),"")</f>
        <v>BE101000</v>
      </c>
      <c r="AI235" s="11" t="s">
        <v>55</v>
      </c>
      <c r="AJ235" s="11"/>
      <c r="AK235" s="11"/>
      <c r="AL235" s="11"/>
      <c r="AM235" s="11"/>
      <c r="AN235" s="11"/>
      <c r="AO235" s="11"/>
      <c r="AP235" s="2" t="s">
        <v>70</v>
      </c>
      <c r="AQ235" s="11" t="str">
        <f>IF(I235&lt;&gt;"",DATA!D234,"")</f>
        <v>8465990000</v>
      </c>
    </row>
    <row r="236" spans="1:43" ht="15.75" x14ac:dyDescent="0.25">
      <c r="A236" s="11" t="s">
        <v>57</v>
      </c>
      <c r="B236" s="11" t="s">
        <v>56</v>
      </c>
      <c r="C236" s="22">
        <f t="shared" si="18"/>
        <v>25001620</v>
      </c>
      <c r="D236" s="11" t="str">
        <f t="shared" si="15"/>
        <v>SKIIFM_AT</v>
      </c>
      <c r="E236" s="11" t="str">
        <f>IF(I236&lt;&gt;"",VLOOKUP(F236,OPDRACHTGEVER!$A$2:$B$4,2,FALSE),"")</f>
        <v>SKIIFM_AT</v>
      </c>
      <c r="F236" s="11" t="s">
        <v>58</v>
      </c>
      <c r="I236" s="11" t="str">
        <f>IF(DATA!B235&lt;&gt;"",DATA!B235,"")</f>
        <v>TEMU7870878</v>
      </c>
      <c r="J236" s="12">
        <v>0</v>
      </c>
      <c r="K236" s="11" t="s">
        <v>53</v>
      </c>
      <c r="L236" s="11" t="str">
        <f t="shared" si="16"/>
        <v>940120</v>
      </c>
      <c r="M236" s="11" t="str">
        <f>IF(I236&lt;&gt;"",DATA!E235,"")</f>
        <v>FORKLIFT SEAT</v>
      </c>
      <c r="N236" s="12">
        <v>0</v>
      </c>
      <c r="O236" s="11">
        <f>IF(I236&lt;&gt;"",DATA!C235,"")</f>
        <v>684.85</v>
      </c>
      <c r="P236" s="2">
        <v>294094</v>
      </c>
      <c r="Q236" s="2" t="s">
        <v>1304</v>
      </c>
      <c r="R236" s="2" t="s">
        <v>1310</v>
      </c>
      <c r="S236" s="2">
        <v>347</v>
      </c>
      <c r="T236" s="2">
        <v>1</v>
      </c>
      <c r="U236" s="2" t="s">
        <v>141</v>
      </c>
      <c r="Y236" s="2">
        <v>1700</v>
      </c>
      <c r="Z236" s="11" t="s">
        <v>54</v>
      </c>
      <c r="AA236" s="11" t="str">
        <f t="shared" si="17"/>
        <v>1700 - TBN</v>
      </c>
      <c r="AC236" s="2" t="s">
        <v>145</v>
      </c>
      <c r="AD236" s="11" t="str">
        <f>IF($I236&lt;&gt;"",VLOOKUP($AC236,GEADRESSEERDE!$A$2:$E$4,2,),"")</f>
        <v>LUITHAGEN HAVEN 2 D</v>
      </c>
      <c r="AE236" s="11">
        <f>IF($I236&lt;&gt;"",VLOOKUP($AC236,GEADRESSEERDE!$A$2:$E$4,3,),"")</f>
        <v>2030</v>
      </c>
      <c r="AF236" s="11" t="str">
        <f>IF($I236&lt;&gt;"",VLOOKUP($AC236,GEADRESSEERDE!$A$2:$E$4,4,),"")</f>
        <v>ANTWERPEN</v>
      </c>
      <c r="AG236" s="11" t="str">
        <f>IF($I236&lt;&gt;"",VLOOKUP($AC236,GEADRESSEERDE!$A$2:$E$4,5,),"")</f>
        <v>BE</v>
      </c>
      <c r="AH236" s="11" t="str">
        <f>IF(I236&lt;&gt;"",VLOOKUP(AP236,KvB!$A$2:$B$3,2,FALSE),"")</f>
        <v>BE101000</v>
      </c>
      <c r="AI236" s="11" t="s">
        <v>55</v>
      </c>
      <c r="AJ236" s="11"/>
      <c r="AK236" s="11"/>
      <c r="AL236" s="11"/>
      <c r="AM236" s="11"/>
      <c r="AN236" s="11"/>
      <c r="AO236" s="11"/>
      <c r="AP236" s="2" t="s">
        <v>70</v>
      </c>
      <c r="AQ236" s="11" t="str">
        <f>IF(I236&lt;&gt;"",DATA!D235,"")</f>
        <v>9401200000</v>
      </c>
    </row>
    <row r="237" spans="1:43" ht="15.75" x14ac:dyDescent="0.25">
      <c r="A237" s="11" t="s">
        <v>57</v>
      </c>
      <c r="B237" s="11" t="s">
        <v>56</v>
      </c>
      <c r="C237" s="22">
        <f t="shared" si="18"/>
        <v>25001620</v>
      </c>
      <c r="D237" s="11" t="str">
        <f t="shared" si="15"/>
        <v>SKIIFM_AT</v>
      </c>
      <c r="E237" s="11" t="str">
        <f>IF(I237&lt;&gt;"",VLOOKUP(F237,OPDRACHTGEVER!$A$2:$B$4,2,FALSE),"")</f>
        <v>SKIIFM_AT</v>
      </c>
      <c r="F237" s="11" t="s">
        <v>58</v>
      </c>
      <c r="I237" s="11" t="str">
        <f>IF(DATA!B236&lt;&gt;"",DATA!B236,"")</f>
        <v>TEMU7870878</v>
      </c>
      <c r="J237" s="12">
        <v>0</v>
      </c>
      <c r="K237" s="11" t="s">
        <v>53</v>
      </c>
      <c r="L237" s="11" t="str">
        <f t="shared" si="16"/>
        <v>741920</v>
      </c>
      <c r="M237" s="11" t="str">
        <f>IF(I237&lt;&gt;"",DATA!E236,"")</f>
        <v>FORKLIFT WORKING PLATFORM</v>
      </c>
      <c r="N237" s="12">
        <v>0</v>
      </c>
      <c r="O237" s="11">
        <f>IF(I237&lt;&gt;"",DATA!C236,"")</f>
        <v>824.55</v>
      </c>
      <c r="P237" s="2">
        <v>294094</v>
      </c>
      <c r="Q237" s="2" t="s">
        <v>1304</v>
      </c>
      <c r="R237" s="2" t="s">
        <v>1310</v>
      </c>
      <c r="S237" s="2">
        <v>347</v>
      </c>
      <c r="T237" s="2">
        <v>1</v>
      </c>
      <c r="U237" s="2" t="s">
        <v>141</v>
      </c>
      <c r="Y237" s="2">
        <v>1700</v>
      </c>
      <c r="Z237" s="11" t="s">
        <v>54</v>
      </c>
      <c r="AA237" s="11" t="str">
        <f t="shared" si="17"/>
        <v>1700 - TBN</v>
      </c>
      <c r="AC237" s="2" t="s">
        <v>145</v>
      </c>
      <c r="AD237" s="11" t="str">
        <f>IF($I237&lt;&gt;"",VLOOKUP($AC237,GEADRESSEERDE!$A$2:$E$4,2,),"")</f>
        <v>LUITHAGEN HAVEN 2 D</v>
      </c>
      <c r="AE237" s="11">
        <f>IF($I237&lt;&gt;"",VLOOKUP($AC237,GEADRESSEERDE!$A$2:$E$4,3,),"")</f>
        <v>2030</v>
      </c>
      <c r="AF237" s="11" t="str">
        <f>IF($I237&lt;&gt;"",VLOOKUP($AC237,GEADRESSEERDE!$A$2:$E$4,4,),"")</f>
        <v>ANTWERPEN</v>
      </c>
      <c r="AG237" s="11" t="str">
        <f>IF($I237&lt;&gt;"",VLOOKUP($AC237,GEADRESSEERDE!$A$2:$E$4,5,),"")</f>
        <v>BE</v>
      </c>
      <c r="AH237" s="11" t="str">
        <f>IF(I237&lt;&gt;"",VLOOKUP(AP237,KvB!$A$2:$B$3,2,FALSE),"")</f>
        <v>BE101000</v>
      </c>
      <c r="AI237" s="11" t="s">
        <v>55</v>
      </c>
      <c r="AJ237" s="11"/>
      <c r="AK237" s="11"/>
      <c r="AL237" s="11"/>
      <c r="AM237" s="11"/>
      <c r="AN237" s="11"/>
      <c r="AO237" s="11"/>
      <c r="AP237" s="2" t="s">
        <v>70</v>
      </c>
      <c r="AQ237" s="11" t="str">
        <f>IF(I237&lt;&gt;"",DATA!D236,"")</f>
        <v>7419200090</v>
      </c>
    </row>
    <row r="238" spans="1:43" ht="15.75" x14ac:dyDescent="0.25">
      <c r="A238" s="11" t="s">
        <v>57</v>
      </c>
      <c r="B238" s="11" t="s">
        <v>56</v>
      </c>
      <c r="C238" s="22">
        <f t="shared" si="18"/>
        <v>25001620</v>
      </c>
      <c r="D238" s="11" t="str">
        <f t="shared" si="15"/>
        <v>SKIIFM_AT</v>
      </c>
      <c r="E238" s="11" t="str">
        <f>IF(I238&lt;&gt;"",VLOOKUP(F238,OPDRACHTGEVER!$A$2:$B$4,2,FALSE),"")</f>
        <v>SKIIFM_AT</v>
      </c>
      <c r="F238" s="11" t="s">
        <v>58</v>
      </c>
      <c r="I238" s="11" t="str">
        <f>IF(DATA!B237&lt;&gt;"",DATA!B237,"")</f>
        <v>TEMU7870878</v>
      </c>
      <c r="J238" s="12">
        <v>0</v>
      </c>
      <c r="K238" s="11" t="s">
        <v>53</v>
      </c>
      <c r="L238" s="11" t="str">
        <f t="shared" si="16"/>
        <v>850440</v>
      </c>
      <c r="M238" s="11" t="str">
        <f>IF(I238&lt;&gt;"",DATA!E237,"")</f>
        <v>FREQUENCY CONVERTER</v>
      </c>
      <c r="N238" s="12">
        <v>0</v>
      </c>
      <c r="O238" s="11">
        <f>IF(I238&lt;&gt;"",DATA!C237,"")</f>
        <v>7</v>
      </c>
      <c r="P238" s="2">
        <v>294094</v>
      </c>
      <c r="Q238" s="2" t="s">
        <v>1304</v>
      </c>
      <c r="R238" s="2" t="s">
        <v>1310</v>
      </c>
      <c r="S238" s="2">
        <v>347</v>
      </c>
      <c r="T238" s="2">
        <v>1</v>
      </c>
      <c r="U238" s="2" t="s">
        <v>141</v>
      </c>
      <c r="Y238" s="2">
        <v>1700</v>
      </c>
      <c r="Z238" s="11" t="s">
        <v>54</v>
      </c>
      <c r="AA238" s="11" t="str">
        <f t="shared" si="17"/>
        <v>1700 - TBN</v>
      </c>
      <c r="AC238" s="2" t="s">
        <v>145</v>
      </c>
      <c r="AD238" s="11" t="str">
        <f>IF($I238&lt;&gt;"",VLOOKUP($AC238,GEADRESSEERDE!$A$2:$E$4,2,),"")</f>
        <v>LUITHAGEN HAVEN 2 D</v>
      </c>
      <c r="AE238" s="11">
        <f>IF($I238&lt;&gt;"",VLOOKUP($AC238,GEADRESSEERDE!$A$2:$E$4,3,),"")</f>
        <v>2030</v>
      </c>
      <c r="AF238" s="11" t="str">
        <f>IF($I238&lt;&gt;"",VLOOKUP($AC238,GEADRESSEERDE!$A$2:$E$4,4,),"")</f>
        <v>ANTWERPEN</v>
      </c>
      <c r="AG238" s="11" t="str">
        <f>IF($I238&lt;&gt;"",VLOOKUP($AC238,GEADRESSEERDE!$A$2:$E$4,5,),"")</f>
        <v>BE</v>
      </c>
      <c r="AH238" s="11" t="str">
        <f>IF(I238&lt;&gt;"",VLOOKUP(AP238,KvB!$A$2:$B$3,2,FALSE),"")</f>
        <v>BE101000</v>
      </c>
      <c r="AI238" s="11" t="s">
        <v>55</v>
      </c>
      <c r="AJ238" s="11"/>
      <c r="AK238" s="11"/>
      <c r="AL238" s="11"/>
      <c r="AM238" s="11"/>
      <c r="AN238" s="11"/>
      <c r="AO238" s="11"/>
      <c r="AP238" s="2" t="s">
        <v>70</v>
      </c>
      <c r="AQ238" s="11" t="str">
        <f>IF(I238&lt;&gt;"",DATA!D237,"")</f>
        <v>8504406090</v>
      </c>
    </row>
    <row r="239" spans="1:43" ht="15.75" x14ac:dyDescent="0.25">
      <c r="A239" s="11" t="s">
        <v>57</v>
      </c>
      <c r="B239" s="11" t="s">
        <v>56</v>
      </c>
      <c r="C239" s="22">
        <f t="shared" si="18"/>
        <v>25001620</v>
      </c>
      <c r="D239" s="11" t="str">
        <f t="shared" si="15"/>
        <v>SKIIFM_AT</v>
      </c>
      <c r="E239" s="11" t="str">
        <f>IF(I239&lt;&gt;"",VLOOKUP(F239,OPDRACHTGEVER!$A$2:$B$4,2,FALSE),"")</f>
        <v>SKIIFM_AT</v>
      </c>
      <c r="F239" s="11" t="s">
        <v>58</v>
      </c>
      <c r="I239" s="11" t="str">
        <f>IF(DATA!B238&lt;&gt;"",DATA!B238,"")</f>
        <v>TEMU7870878</v>
      </c>
      <c r="J239" s="12">
        <v>0</v>
      </c>
      <c r="K239" s="11" t="s">
        <v>53</v>
      </c>
      <c r="L239" s="11" t="str">
        <f t="shared" si="16"/>
        <v>392020</v>
      </c>
      <c r="M239" s="11" t="str">
        <f>IF(I239&lt;&gt;"",DATA!E238,"")</f>
        <v>GARAGE FLOOR MATS</v>
      </c>
      <c r="N239" s="12">
        <v>0</v>
      </c>
      <c r="O239" s="11">
        <f>IF(I239&lt;&gt;"",DATA!C238,"")</f>
        <v>387</v>
      </c>
      <c r="P239" s="2">
        <v>294094</v>
      </c>
      <c r="Q239" s="2" t="s">
        <v>1304</v>
      </c>
      <c r="R239" s="2" t="s">
        <v>1310</v>
      </c>
      <c r="S239" s="2">
        <v>347</v>
      </c>
      <c r="T239" s="2">
        <v>1</v>
      </c>
      <c r="U239" s="2" t="s">
        <v>141</v>
      </c>
      <c r="Y239" s="2">
        <v>1700</v>
      </c>
      <c r="Z239" s="11" t="s">
        <v>54</v>
      </c>
      <c r="AA239" s="11" t="str">
        <f t="shared" si="17"/>
        <v>1700 - TBN</v>
      </c>
      <c r="AC239" s="2" t="s">
        <v>145</v>
      </c>
      <c r="AD239" s="11" t="str">
        <f>IF($I239&lt;&gt;"",VLOOKUP($AC239,GEADRESSEERDE!$A$2:$E$4,2,),"")</f>
        <v>LUITHAGEN HAVEN 2 D</v>
      </c>
      <c r="AE239" s="11">
        <f>IF($I239&lt;&gt;"",VLOOKUP($AC239,GEADRESSEERDE!$A$2:$E$4,3,),"")</f>
        <v>2030</v>
      </c>
      <c r="AF239" s="11" t="str">
        <f>IF($I239&lt;&gt;"",VLOOKUP($AC239,GEADRESSEERDE!$A$2:$E$4,4,),"")</f>
        <v>ANTWERPEN</v>
      </c>
      <c r="AG239" s="11" t="str">
        <f>IF($I239&lt;&gt;"",VLOOKUP($AC239,GEADRESSEERDE!$A$2:$E$4,5,),"")</f>
        <v>BE</v>
      </c>
      <c r="AH239" s="11" t="str">
        <f>IF(I239&lt;&gt;"",VLOOKUP(AP239,KvB!$A$2:$B$3,2,FALSE),"")</f>
        <v>BE101000</v>
      </c>
      <c r="AI239" s="11" t="s">
        <v>55</v>
      </c>
      <c r="AJ239" s="11"/>
      <c r="AK239" s="11"/>
      <c r="AL239" s="11"/>
      <c r="AM239" s="11"/>
      <c r="AN239" s="11"/>
      <c r="AO239" s="11"/>
      <c r="AP239" s="2" t="s">
        <v>70</v>
      </c>
      <c r="AQ239" s="11" t="str">
        <f>IF(I239&lt;&gt;"",DATA!D238,"")</f>
        <v>3920208090</v>
      </c>
    </row>
    <row r="240" spans="1:43" ht="15.75" x14ac:dyDescent="0.25">
      <c r="A240" s="11" t="s">
        <v>57</v>
      </c>
      <c r="B240" s="11" t="s">
        <v>56</v>
      </c>
      <c r="C240" s="22">
        <f t="shared" si="18"/>
        <v>25001620</v>
      </c>
      <c r="D240" s="11" t="str">
        <f t="shared" si="15"/>
        <v>SKIIFM_AT</v>
      </c>
      <c r="E240" s="11" t="str">
        <f>IF(I240&lt;&gt;"",VLOOKUP(F240,OPDRACHTGEVER!$A$2:$B$4,2,FALSE),"")</f>
        <v>SKIIFM_AT</v>
      </c>
      <c r="F240" s="11" t="s">
        <v>58</v>
      </c>
      <c r="I240" s="11" t="str">
        <f>IF(DATA!B239&lt;&gt;"",DATA!B239,"")</f>
        <v>TEMU7870878</v>
      </c>
      <c r="J240" s="12">
        <v>0</v>
      </c>
      <c r="K240" s="11" t="s">
        <v>53</v>
      </c>
      <c r="L240" s="11" t="str">
        <f t="shared" si="16"/>
        <v>741920</v>
      </c>
      <c r="M240" s="11" t="str">
        <f>IF(I240&lt;&gt;"",DATA!E239,"")</f>
        <v>HANDRAIL</v>
      </c>
      <c r="N240" s="12">
        <v>0</v>
      </c>
      <c r="O240" s="11">
        <f>IF(I240&lt;&gt;"",DATA!C239,"")</f>
        <v>514.29999999999995</v>
      </c>
      <c r="P240" s="2">
        <v>294094</v>
      </c>
      <c r="Q240" s="2" t="s">
        <v>1304</v>
      </c>
      <c r="R240" s="2" t="s">
        <v>1310</v>
      </c>
      <c r="S240" s="2">
        <v>347</v>
      </c>
      <c r="T240" s="2">
        <v>1</v>
      </c>
      <c r="U240" s="2" t="s">
        <v>141</v>
      </c>
      <c r="Y240" s="2">
        <v>1700</v>
      </c>
      <c r="Z240" s="11" t="s">
        <v>54</v>
      </c>
      <c r="AA240" s="11" t="str">
        <f t="shared" si="17"/>
        <v>1700 - TBN</v>
      </c>
      <c r="AC240" s="2" t="s">
        <v>145</v>
      </c>
      <c r="AD240" s="11" t="str">
        <f>IF($I240&lt;&gt;"",VLOOKUP($AC240,GEADRESSEERDE!$A$2:$E$4,2,),"")</f>
        <v>LUITHAGEN HAVEN 2 D</v>
      </c>
      <c r="AE240" s="11">
        <f>IF($I240&lt;&gt;"",VLOOKUP($AC240,GEADRESSEERDE!$A$2:$E$4,3,),"")</f>
        <v>2030</v>
      </c>
      <c r="AF240" s="11" t="str">
        <f>IF($I240&lt;&gt;"",VLOOKUP($AC240,GEADRESSEERDE!$A$2:$E$4,4,),"")</f>
        <v>ANTWERPEN</v>
      </c>
      <c r="AG240" s="11" t="str">
        <f>IF($I240&lt;&gt;"",VLOOKUP($AC240,GEADRESSEERDE!$A$2:$E$4,5,),"")</f>
        <v>BE</v>
      </c>
      <c r="AH240" s="11" t="str">
        <f>IF(I240&lt;&gt;"",VLOOKUP(AP240,KvB!$A$2:$B$3,2,FALSE),"")</f>
        <v>BE101000</v>
      </c>
      <c r="AI240" s="11" t="s">
        <v>55</v>
      </c>
      <c r="AJ240" s="11"/>
      <c r="AK240" s="11"/>
      <c r="AL240" s="11"/>
      <c r="AM240" s="11"/>
      <c r="AN240" s="11"/>
      <c r="AO240" s="11"/>
      <c r="AP240" s="2" t="s">
        <v>70</v>
      </c>
      <c r="AQ240" s="11" t="str">
        <f>IF(I240&lt;&gt;"",DATA!D239,"")</f>
        <v>7419200090</v>
      </c>
    </row>
    <row r="241" spans="1:43" ht="15.75" x14ac:dyDescent="0.25">
      <c r="A241" s="11" t="s">
        <v>57</v>
      </c>
      <c r="B241" s="11" t="s">
        <v>56</v>
      </c>
      <c r="C241" s="22">
        <f t="shared" si="18"/>
        <v>25001620</v>
      </c>
      <c r="D241" s="11" t="str">
        <f t="shared" si="15"/>
        <v>SKIIFM_AT</v>
      </c>
      <c r="E241" s="11" t="str">
        <f>IF(I241&lt;&gt;"",VLOOKUP(F241,OPDRACHTGEVER!$A$2:$B$4,2,FALSE),"")</f>
        <v>SKIIFM_AT</v>
      </c>
      <c r="F241" s="11" t="s">
        <v>58</v>
      </c>
      <c r="I241" s="11" t="str">
        <f>IF(DATA!B240&lt;&gt;"",DATA!B240,"")</f>
        <v>TEMU7870878</v>
      </c>
      <c r="J241" s="12">
        <v>0</v>
      </c>
      <c r="K241" s="11" t="s">
        <v>53</v>
      </c>
      <c r="L241" s="11" t="str">
        <f t="shared" si="16"/>
        <v>843290</v>
      </c>
      <c r="M241" s="11" t="str">
        <f>IF(I241&lt;&gt;"",DATA!E240,"")</f>
        <v>HAY BALE SPEAR</v>
      </c>
      <c r="N241" s="12">
        <v>0</v>
      </c>
      <c r="O241" s="11">
        <f>IF(I241&lt;&gt;"",DATA!C240,"")</f>
        <v>9.3000000000000007</v>
      </c>
      <c r="P241" s="2">
        <v>294094</v>
      </c>
      <c r="Q241" s="2" t="s">
        <v>1304</v>
      </c>
      <c r="R241" s="2" t="s">
        <v>1310</v>
      </c>
      <c r="S241" s="2">
        <v>347</v>
      </c>
      <c r="T241" s="2">
        <v>1</v>
      </c>
      <c r="U241" s="2" t="s">
        <v>141</v>
      </c>
      <c r="Y241" s="2">
        <v>1700</v>
      </c>
      <c r="Z241" s="11" t="s">
        <v>54</v>
      </c>
      <c r="AA241" s="11" t="str">
        <f t="shared" si="17"/>
        <v>1700 - TBN</v>
      </c>
      <c r="AC241" s="2" t="s">
        <v>145</v>
      </c>
      <c r="AD241" s="11" t="str">
        <f>IF($I241&lt;&gt;"",VLOOKUP($AC241,GEADRESSEERDE!$A$2:$E$4,2,),"")</f>
        <v>LUITHAGEN HAVEN 2 D</v>
      </c>
      <c r="AE241" s="11">
        <f>IF($I241&lt;&gt;"",VLOOKUP($AC241,GEADRESSEERDE!$A$2:$E$4,3,),"")</f>
        <v>2030</v>
      </c>
      <c r="AF241" s="11" t="str">
        <f>IF($I241&lt;&gt;"",VLOOKUP($AC241,GEADRESSEERDE!$A$2:$E$4,4,),"")</f>
        <v>ANTWERPEN</v>
      </c>
      <c r="AG241" s="11" t="str">
        <f>IF($I241&lt;&gt;"",VLOOKUP($AC241,GEADRESSEERDE!$A$2:$E$4,5,),"")</f>
        <v>BE</v>
      </c>
      <c r="AH241" s="11" t="str">
        <f>IF(I241&lt;&gt;"",VLOOKUP(AP241,KvB!$A$2:$B$3,2,FALSE),"")</f>
        <v>BE101000</v>
      </c>
      <c r="AI241" s="11" t="s">
        <v>55</v>
      </c>
      <c r="AJ241" s="11"/>
      <c r="AK241" s="11"/>
      <c r="AL241" s="11"/>
      <c r="AM241" s="11"/>
      <c r="AN241" s="11"/>
      <c r="AO241" s="11"/>
      <c r="AP241" s="2" t="s">
        <v>70</v>
      </c>
      <c r="AQ241" s="11" t="str">
        <f>IF(I241&lt;&gt;"",DATA!D240,"")</f>
        <v>8432900000</v>
      </c>
    </row>
    <row r="242" spans="1:43" ht="15.75" x14ac:dyDescent="0.25">
      <c r="A242" s="11" t="s">
        <v>57</v>
      </c>
      <c r="B242" s="11" t="s">
        <v>56</v>
      </c>
      <c r="C242" s="22">
        <f t="shared" si="18"/>
        <v>25001620</v>
      </c>
      <c r="D242" s="11" t="str">
        <f t="shared" si="15"/>
        <v>SKIIFM_AT</v>
      </c>
      <c r="E242" s="11" t="str">
        <f>IF(I242&lt;&gt;"",VLOOKUP(F242,OPDRACHTGEVER!$A$2:$B$4,2,FALSE),"")</f>
        <v>SKIIFM_AT</v>
      </c>
      <c r="F242" s="11" t="s">
        <v>58</v>
      </c>
      <c r="I242" s="11" t="str">
        <f>IF(DATA!B241&lt;&gt;"",DATA!B241,"")</f>
        <v>TEMU7870878</v>
      </c>
      <c r="J242" s="12">
        <v>0</v>
      </c>
      <c r="K242" s="11" t="s">
        <v>53</v>
      </c>
      <c r="L242" s="11" t="str">
        <f t="shared" si="16"/>
        <v>392310</v>
      </c>
      <c r="M242" s="11" t="str">
        <f>IF(I242&lt;&gt;"",DATA!E241,"")</f>
        <v>HEAT INSULATION BOX</v>
      </c>
      <c r="N242" s="12">
        <v>0</v>
      </c>
      <c r="O242" s="11">
        <f>IF(I242&lt;&gt;"",DATA!C241,"")</f>
        <v>22</v>
      </c>
      <c r="P242" s="2">
        <v>294094</v>
      </c>
      <c r="Q242" s="2" t="s">
        <v>1304</v>
      </c>
      <c r="R242" s="2" t="s">
        <v>1310</v>
      </c>
      <c r="S242" s="2">
        <v>347</v>
      </c>
      <c r="T242" s="2">
        <v>1</v>
      </c>
      <c r="U242" s="2" t="s">
        <v>141</v>
      </c>
      <c r="Y242" s="2">
        <v>1700</v>
      </c>
      <c r="Z242" s="11" t="s">
        <v>54</v>
      </c>
      <c r="AA242" s="11" t="str">
        <f t="shared" si="17"/>
        <v>1700 - TBN</v>
      </c>
      <c r="AC242" s="2" t="s">
        <v>145</v>
      </c>
      <c r="AD242" s="11" t="str">
        <f>IF($I242&lt;&gt;"",VLOOKUP($AC242,GEADRESSEERDE!$A$2:$E$4,2,),"")</f>
        <v>LUITHAGEN HAVEN 2 D</v>
      </c>
      <c r="AE242" s="11">
        <f>IF($I242&lt;&gt;"",VLOOKUP($AC242,GEADRESSEERDE!$A$2:$E$4,3,),"")</f>
        <v>2030</v>
      </c>
      <c r="AF242" s="11" t="str">
        <f>IF($I242&lt;&gt;"",VLOOKUP($AC242,GEADRESSEERDE!$A$2:$E$4,4,),"")</f>
        <v>ANTWERPEN</v>
      </c>
      <c r="AG242" s="11" t="str">
        <f>IF($I242&lt;&gt;"",VLOOKUP($AC242,GEADRESSEERDE!$A$2:$E$4,5,),"")</f>
        <v>BE</v>
      </c>
      <c r="AH242" s="11" t="str">
        <f>IF(I242&lt;&gt;"",VLOOKUP(AP242,KvB!$A$2:$B$3,2,FALSE),"")</f>
        <v>BE101000</v>
      </c>
      <c r="AI242" s="11" t="s">
        <v>55</v>
      </c>
      <c r="AJ242" s="11"/>
      <c r="AK242" s="11"/>
      <c r="AL242" s="11"/>
      <c r="AM242" s="11"/>
      <c r="AN242" s="11"/>
      <c r="AO242" s="11"/>
      <c r="AP242" s="2" t="s">
        <v>70</v>
      </c>
      <c r="AQ242" s="11" t="str">
        <f>IF(I242&lt;&gt;"",DATA!D241,"")</f>
        <v>3923109090</v>
      </c>
    </row>
    <row r="243" spans="1:43" ht="15.75" x14ac:dyDescent="0.25">
      <c r="A243" s="11" t="s">
        <v>57</v>
      </c>
      <c r="B243" s="11" t="s">
        <v>56</v>
      </c>
      <c r="C243" s="22">
        <f t="shared" si="18"/>
        <v>25001620</v>
      </c>
      <c r="D243" s="11" t="str">
        <f t="shared" si="15"/>
        <v>SKIIFM_AT</v>
      </c>
      <c r="E243" s="11" t="str">
        <f>IF(I243&lt;&gt;"",VLOOKUP(F243,OPDRACHTGEVER!$A$2:$B$4,2,FALSE),"")</f>
        <v>SKIIFM_AT</v>
      </c>
      <c r="F243" s="11" t="s">
        <v>58</v>
      </c>
      <c r="I243" s="11" t="str">
        <f>IF(DATA!B242&lt;&gt;"",DATA!B242,"")</f>
        <v>TEMU7870878</v>
      </c>
      <c r="J243" s="12">
        <v>0</v>
      </c>
      <c r="K243" s="11" t="s">
        <v>53</v>
      </c>
      <c r="L243" s="11" t="str">
        <f t="shared" si="16"/>
        <v>846789</v>
      </c>
      <c r="M243" s="11" t="str">
        <f>IF(I243&lt;&gt;"",DATA!E242,"")</f>
        <v>HYDRAULIC OPENING DEVICE</v>
      </c>
      <c r="N243" s="12">
        <v>0</v>
      </c>
      <c r="O243" s="11">
        <f>IF(I243&lt;&gt;"",DATA!C242,"")</f>
        <v>5.88</v>
      </c>
      <c r="P243" s="2">
        <v>294094</v>
      </c>
      <c r="Q243" s="2" t="s">
        <v>1304</v>
      </c>
      <c r="R243" s="2" t="s">
        <v>1310</v>
      </c>
      <c r="S243" s="2">
        <v>347</v>
      </c>
      <c r="T243" s="2">
        <v>1</v>
      </c>
      <c r="U243" s="2" t="s">
        <v>141</v>
      </c>
      <c r="Y243" s="2">
        <v>1700</v>
      </c>
      <c r="Z243" s="11" t="s">
        <v>54</v>
      </c>
      <c r="AA243" s="11" t="str">
        <f t="shared" si="17"/>
        <v>1700 - TBN</v>
      </c>
      <c r="AC243" s="2" t="s">
        <v>145</v>
      </c>
      <c r="AD243" s="11" t="str">
        <f>IF($I243&lt;&gt;"",VLOOKUP($AC243,GEADRESSEERDE!$A$2:$E$4,2,),"")</f>
        <v>LUITHAGEN HAVEN 2 D</v>
      </c>
      <c r="AE243" s="11">
        <f>IF($I243&lt;&gt;"",VLOOKUP($AC243,GEADRESSEERDE!$A$2:$E$4,3,),"")</f>
        <v>2030</v>
      </c>
      <c r="AF243" s="11" t="str">
        <f>IF($I243&lt;&gt;"",VLOOKUP($AC243,GEADRESSEERDE!$A$2:$E$4,4,),"")</f>
        <v>ANTWERPEN</v>
      </c>
      <c r="AG243" s="11" t="str">
        <f>IF($I243&lt;&gt;"",VLOOKUP($AC243,GEADRESSEERDE!$A$2:$E$4,5,),"")</f>
        <v>BE</v>
      </c>
      <c r="AH243" s="11" t="str">
        <f>IF(I243&lt;&gt;"",VLOOKUP(AP243,KvB!$A$2:$B$3,2,FALSE),"")</f>
        <v>BE101000</v>
      </c>
      <c r="AI243" s="11" t="s">
        <v>55</v>
      </c>
      <c r="AJ243" s="11"/>
      <c r="AK243" s="11"/>
      <c r="AL243" s="11"/>
      <c r="AM243" s="11"/>
      <c r="AN243" s="11"/>
      <c r="AO243" s="11"/>
      <c r="AP243" s="2" t="s">
        <v>70</v>
      </c>
      <c r="AQ243" s="11" t="str">
        <f>IF(I243&lt;&gt;"",DATA!D242,"")</f>
        <v>8467890000</v>
      </c>
    </row>
    <row r="244" spans="1:43" ht="15.75" x14ac:dyDescent="0.25">
      <c r="A244" s="11" t="s">
        <v>57</v>
      </c>
      <c r="B244" s="11" t="s">
        <v>56</v>
      </c>
      <c r="C244" s="22">
        <f t="shared" si="18"/>
        <v>25001620</v>
      </c>
      <c r="D244" s="11" t="str">
        <f t="shared" ref="D244:D307" si="19">E244</f>
        <v>SKIIFM_AT</v>
      </c>
      <c r="E244" s="11" t="str">
        <f>IF(I244&lt;&gt;"",VLOOKUP(F244,OPDRACHTGEVER!$A$2:$B$4,2,FALSE),"")</f>
        <v>SKIIFM_AT</v>
      </c>
      <c r="F244" s="11" t="s">
        <v>58</v>
      </c>
      <c r="I244" s="11" t="str">
        <f>IF(DATA!B243&lt;&gt;"",DATA!B243,"")</f>
        <v>TEMU7870878</v>
      </c>
      <c r="J244" s="12">
        <v>0</v>
      </c>
      <c r="K244" s="11" t="s">
        <v>53</v>
      </c>
      <c r="L244" s="11" t="str">
        <f t="shared" ref="L244:L307" si="20">LEFT(AQ244,6)</f>
        <v>841869</v>
      </c>
      <c r="M244" s="11" t="str">
        <f>IF(I244&lt;&gt;"",DATA!E243,"")</f>
        <v>ICE CREAM MACHINERY</v>
      </c>
      <c r="N244" s="12">
        <v>0</v>
      </c>
      <c r="O244" s="11">
        <f>IF(I244&lt;&gt;"",DATA!C243,"")</f>
        <v>345</v>
      </c>
      <c r="P244" s="2">
        <v>294094</v>
      </c>
      <c r="Q244" s="2" t="s">
        <v>1304</v>
      </c>
      <c r="R244" s="2" t="s">
        <v>1310</v>
      </c>
      <c r="S244" s="2">
        <v>347</v>
      </c>
      <c r="T244" s="2">
        <v>1</v>
      </c>
      <c r="U244" s="2" t="s">
        <v>141</v>
      </c>
      <c r="Y244" s="2">
        <v>1700</v>
      </c>
      <c r="Z244" s="11" t="s">
        <v>54</v>
      </c>
      <c r="AA244" s="11" t="str">
        <f t="shared" ref="AA244:AA307" si="21">IF(I244&lt;&gt;"",Y244&amp;" - "&amp;Z244,"")</f>
        <v>1700 - TBN</v>
      </c>
      <c r="AC244" s="2" t="s">
        <v>145</v>
      </c>
      <c r="AD244" s="11" t="str">
        <f>IF($I244&lt;&gt;"",VLOOKUP($AC244,GEADRESSEERDE!$A$2:$E$4,2,),"")</f>
        <v>LUITHAGEN HAVEN 2 D</v>
      </c>
      <c r="AE244" s="11">
        <f>IF($I244&lt;&gt;"",VLOOKUP($AC244,GEADRESSEERDE!$A$2:$E$4,3,),"")</f>
        <v>2030</v>
      </c>
      <c r="AF244" s="11" t="str">
        <f>IF($I244&lt;&gt;"",VLOOKUP($AC244,GEADRESSEERDE!$A$2:$E$4,4,),"")</f>
        <v>ANTWERPEN</v>
      </c>
      <c r="AG244" s="11" t="str">
        <f>IF($I244&lt;&gt;"",VLOOKUP($AC244,GEADRESSEERDE!$A$2:$E$4,5,),"")</f>
        <v>BE</v>
      </c>
      <c r="AH244" s="11" t="str">
        <f>IF(I244&lt;&gt;"",VLOOKUP(AP244,KvB!$A$2:$B$3,2,FALSE),"")</f>
        <v>BE101000</v>
      </c>
      <c r="AI244" s="11" t="s">
        <v>55</v>
      </c>
      <c r="AJ244" s="11"/>
      <c r="AK244" s="11"/>
      <c r="AL244" s="11"/>
      <c r="AM244" s="11"/>
      <c r="AN244" s="11"/>
      <c r="AO244" s="11"/>
      <c r="AP244" s="2" t="s">
        <v>70</v>
      </c>
      <c r="AQ244" s="11" t="str">
        <f>IF(I244&lt;&gt;"",DATA!D243,"")</f>
        <v>8418690099</v>
      </c>
    </row>
    <row r="245" spans="1:43" ht="15.75" x14ac:dyDescent="0.25">
      <c r="A245" s="11" t="s">
        <v>57</v>
      </c>
      <c r="B245" s="11" t="s">
        <v>56</v>
      </c>
      <c r="C245" s="22">
        <f t="shared" si="18"/>
        <v>25001620</v>
      </c>
      <c r="D245" s="11" t="str">
        <f t="shared" si="19"/>
        <v>SKIIFM_AT</v>
      </c>
      <c r="E245" s="11" t="str">
        <f>IF(I245&lt;&gt;"",VLOOKUP(F245,OPDRACHTGEVER!$A$2:$B$4,2,FALSE),"")</f>
        <v>SKIIFM_AT</v>
      </c>
      <c r="F245" s="11" t="s">
        <v>58</v>
      </c>
      <c r="I245" s="11" t="str">
        <f>IF(DATA!B244&lt;&gt;"",DATA!B244,"")</f>
        <v>TEMU7870878</v>
      </c>
      <c r="J245" s="12">
        <v>0</v>
      </c>
      <c r="K245" s="11" t="s">
        <v>53</v>
      </c>
      <c r="L245" s="11" t="str">
        <f t="shared" si="20"/>
        <v>392590</v>
      </c>
      <c r="M245" s="11" t="str">
        <f>IF(I245&lt;&gt;"",DATA!E244,"")</f>
        <v>INTERLOCKING EVENT FLOORING</v>
      </c>
      <c r="N245" s="12">
        <v>0</v>
      </c>
      <c r="O245" s="11">
        <f>IF(I245&lt;&gt;"",DATA!C244,"")</f>
        <v>102.9</v>
      </c>
      <c r="P245" s="2">
        <v>294094</v>
      </c>
      <c r="Q245" s="2" t="s">
        <v>1304</v>
      </c>
      <c r="R245" s="2" t="s">
        <v>1310</v>
      </c>
      <c r="S245" s="2">
        <v>347</v>
      </c>
      <c r="T245" s="2">
        <v>1</v>
      </c>
      <c r="U245" s="2" t="s">
        <v>141</v>
      </c>
      <c r="Y245" s="2">
        <v>1700</v>
      </c>
      <c r="Z245" s="11" t="s">
        <v>54</v>
      </c>
      <c r="AA245" s="11" t="str">
        <f t="shared" si="21"/>
        <v>1700 - TBN</v>
      </c>
      <c r="AC245" s="2" t="s">
        <v>145</v>
      </c>
      <c r="AD245" s="11" t="str">
        <f>IF($I245&lt;&gt;"",VLOOKUP($AC245,GEADRESSEERDE!$A$2:$E$4,2,),"")</f>
        <v>LUITHAGEN HAVEN 2 D</v>
      </c>
      <c r="AE245" s="11">
        <f>IF($I245&lt;&gt;"",VLOOKUP($AC245,GEADRESSEERDE!$A$2:$E$4,3,),"")</f>
        <v>2030</v>
      </c>
      <c r="AF245" s="11" t="str">
        <f>IF($I245&lt;&gt;"",VLOOKUP($AC245,GEADRESSEERDE!$A$2:$E$4,4,),"")</f>
        <v>ANTWERPEN</v>
      </c>
      <c r="AG245" s="11" t="str">
        <f>IF($I245&lt;&gt;"",VLOOKUP($AC245,GEADRESSEERDE!$A$2:$E$4,5,),"")</f>
        <v>BE</v>
      </c>
      <c r="AH245" s="11" t="str">
        <f>IF(I245&lt;&gt;"",VLOOKUP(AP245,KvB!$A$2:$B$3,2,FALSE),"")</f>
        <v>BE101000</v>
      </c>
      <c r="AI245" s="11" t="s">
        <v>55</v>
      </c>
      <c r="AJ245" s="11"/>
      <c r="AK245" s="11"/>
      <c r="AL245" s="11"/>
      <c r="AM245" s="11"/>
      <c r="AN245" s="11"/>
      <c r="AO245" s="11"/>
      <c r="AP245" s="2" t="s">
        <v>70</v>
      </c>
      <c r="AQ245" s="11" t="str">
        <f>IF(I245&lt;&gt;"",DATA!D244,"")</f>
        <v>3925908000</v>
      </c>
    </row>
    <row r="246" spans="1:43" ht="15.75" x14ac:dyDescent="0.25">
      <c r="A246" s="11" t="s">
        <v>57</v>
      </c>
      <c r="B246" s="11" t="s">
        <v>56</v>
      </c>
      <c r="C246" s="22">
        <f t="shared" si="18"/>
        <v>25001620</v>
      </c>
      <c r="D246" s="11" t="str">
        <f t="shared" si="19"/>
        <v>SKIIFM_AT</v>
      </c>
      <c r="E246" s="11" t="str">
        <f>IF(I246&lt;&gt;"",VLOOKUP(F246,OPDRACHTGEVER!$A$2:$B$4,2,FALSE),"")</f>
        <v>SKIIFM_AT</v>
      </c>
      <c r="F246" s="11" t="s">
        <v>58</v>
      </c>
      <c r="I246" s="11" t="str">
        <f>IF(DATA!B245&lt;&gt;"",DATA!B245,"")</f>
        <v>TEMU7870878</v>
      </c>
      <c r="J246" s="12">
        <v>0</v>
      </c>
      <c r="K246" s="11" t="s">
        <v>53</v>
      </c>
      <c r="L246" s="11" t="str">
        <f t="shared" si="20"/>
        <v>850440</v>
      </c>
      <c r="M246" s="11" t="str">
        <f>IF(I246&lt;&gt;"",DATA!E245,"")</f>
        <v>INVERTER</v>
      </c>
      <c r="N246" s="12">
        <v>0</v>
      </c>
      <c r="O246" s="11">
        <f>IF(I246&lt;&gt;"",DATA!C245,"")</f>
        <v>3</v>
      </c>
      <c r="P246" s="2">
        <v>294094</v>
      </c>
      <c r="Q246" s="2" t="s">
        <v>1304</v>
      </c>
      <c r="R246" s="2" t="s">
        <v>1310</v>
      </c>
      <c r="S246" s="2">
        <v>347</v>
      </c>
      <c r="T246" s="2">
        <v>1</v>
      </c>
      <c r="U246" s="2" t="s">
        <v>141</v>
      </c>
      <c r="Y246" s="2">
        <v>1700</v>
      </c>
      <c r="Z246" s="11" t="s">
        <v>54</v>
      </c>
      <c r="AA246" s="11" t="str">
        <f t="shared" si="21"/>
        <v>1700 - TBN</v>
      </c>
      <c r="AC246" s="2" t="s">
        <v>145</v>
      </c>
      <c r="AD246" s="11" t="str">
        <f>IF($I246&lt;&gt;"",VLOOKUP($AC246,GEADRESSEERDE!$A$2:$E$4,2,),"")</f>
        <v>LUITHAGEN HAVEN 2 D</v>
      </c>
      <c r="AE246" s="11">
        <f>IF($I246&lt;&gt;"",VLOOKUP($AC246,GEADRESSEERDE!$A$2:$E$4,3,),"")</f>
        <v>2030</v>
      </c>
      <c r="AF246" s="11" t="str">
        <f>IF($I246&lt;&gt;"",VLOOKUP($AC246,GEADRESSEERDE!$A$2:$E$4,4,),"")</f>
        <v>ANTWERPEN</v>
      </c>
      <c r="AG246" s="11" t="str">
        <f>IF($I246&lt;&gt;"",VLOOKUP($AC246,GEADRESSEERDE!$A$2:$E$4,5,),"")</f>
        <v>BE</v>
      </c>
      <c r="AH246" s="11" t="str">
        <f>IF(I246&lt;&gt;"",VLOOKUP(AP246,KvB!$A$2:$B$3,2,FALSE),"")</f>
        <v>BE101000</v>
      </c>
      <c r="AI246" s="11" t="s">
        <v>55</v>
      </c>
      <c r="AJ246" s="11"/>
      <c r="AK246" s="11"/>
      <c r="AL246" s="11"/>
      <c r="AM246" s="11"/>
      <c r="AN246" s="11"/>
      <c r="AO246" s="11"/>
      <c r="AP246" s="2" t="s">
        <v>70</v>
      </c>
      <c r="AQ246" s="11" t="str">
        <f>IF(I246&lt;&gt;"",DATA!D245,"")</f>
        <v>8504406090</v>
      </c>
    </row>
    <row r="247" spans="1:43" ht="15.75" x14ac:dyDescent="0.25">
      <c r="A247" s="11" t="s">
        <v>57</v>
      </c>
      <c r="B247" s="11" t="s">
        <v>56</v>
      </c>
      <c r="C247" s="22">
        <f t="shared" si="18"/>
        <v>25001620</v>
      </c>
      <c r="D247" s="11" t="str">
        <f t="shared" si="19"/>
        <v>SKIIFM_AT</v>
      </c>
      <c r="E247" s="11" t="str">
        <f>IF(I247&lt;&gt;"",VLOOKUP(F247,OPDRACHTGEVER!$A$2:$B$4,2,FALSE),"")</f>
        <v>SKIIFM_AT</v>
      </c>
      <c r="F247" s="11" t="s">
        <v>58</v>
      </c>
      <c r="I247" s="11" t="str">
        <f>IF(DATA!B246&lt;&gt;"",DATA!B246,"")</f>
        <v>TEMU7870878</v>
      </c>
      <c r="J247" s="12">
        <v>0</v>
      </c>
      <c r="K247" s="11" t="s">
        <v>53</v>
      </c>
      <c r="L247" s="11" t="str">
        <f t="shared" si="20"/>
        <v>741920</v>
      </c>
      <c r="M247" s="11" t="str">
        <f>IF(I247&lt;&gt;"",DATA!E246,"")</f>
        <v>METAL TABLE LEGS</v>
      </c>
      <c r="N247" s="12">
        <v>0</v>
      </c>
      <c r="O247" s="11">
        <f>IF(I247&lt;&gt;"",DATA!C246,"")</f>
        <v>105.4</v>
      </c>
      <c r="P247" s="2">
        <v>294094</v>
      </c>
      <c r="Q247" s="2" t="s">
        <v>1304</v>
      </c>
      <c r="R247" s="2" t="s">
        <v>1310</v>
      </c>
      <c r="S247" s="2">
        <v>347</v>
      </c>
      <c r="T247" s="2">
        <v>1</v>
      </c>
      <c r="U247" s="2" t="s">
        <v>141</v>
      </c>
      <c r="Y247" s="2">
        <v>1700</v>
      </c>
      <c r="Z247" s="11" t="s">
        <v>54</v>
      </c>
      <c r="AA247" s="11" t="str">
        <f t="shared" si="21"/>
        <v>1700 - TBN</v>
      </c>
      <c r="AC247" s="2" t="s">
        <v>145</v>
      </c>
      <c r="AD247" s="11" t="str">
        <f>IF($I247&lt;&gt;"",VLOOKUP($AC247,GEADRESSEERDE!$A$2:$E$4,2,),"")</f>
        <v>LUITHAGEN HAVEN 2 D</v>
      </c>
      <c r="AE247" s="11">
        <f>IF($I247&lt;&gt;"",VLOOKUP($AC247,GEADRESSEERDE!$A$2:$E$4,3,),"")</f>
        <v>2030</v>
      </c>
      <c r="AF247" s="11" t="str">
        <f>IF($I247&lt;&gt;"",VLOOKUP($AC247,GEADRESSEERDE!$A$2:$E$4,4,),"")</f>
        <v>ANTWERPEN</v>
      </c>
      <c r="AG247" s="11" t="str">
        <f>IF($I247&lt;&gt;"",VLOOKUP($AC247,GEADRESSEERDE!$A$2:$E$4,5,),"")</f>
        <v>BE</v>
      </c>
      <c r="AH247" s="11" t="str">
        <f>IF(I247&lt;&gt;"",VLOOKUP(AP247,KvB!$A$2:$B$3,2,FALSE),"")</f>
        <v>BE101000</v>
      </c>
      <c r="AI247" s="11" t="s">
        <v>55</v>
      </c>
      <c r="AJ247" s="11"/>
      <c r="AK247" s="11"/>
      <c r="AL247" s="11"/>
      <c r="AM247" s="11"/>
      <c r="AN247" s="11"/>
      <c r="AO247" s="11"/>
      <c r="AP247" s="2" t="s">
        <v>70</v>
      </c>
      <c r="AQ247" s="11" t="str">
        <f>IF(I247&lt;&gt;"",DATA!D246,"")</f>
        <v>7419200090</v>
      </c>
    </row>
    <row r="248" spans="1:43" ht="15.75" x14ac:dyDescent="0.25">
      <c r="A248" s="11" t="s">
        <v>57</v>
      </c>
      <c r="B248" s="11" t="s">
        <v>56</v>
      </c>
      <c r="C248" s="22">
        <f t="shared" si="18"/>
        <v>25001620</v>
      </c>
      <c r="D248" s="11" t="str">
        <f t="shared" si="19"/>
        <v>SKIIFM_AT</v>
      </c>
      <c r="E248" s="11" t="str">
        <f>IF(I248&lt;&gt;"",VLOOKUP(F248,OPDRACHTGEVER!$A$2:$B$4,2,FALSE),"")</f>
        <v>SKIIFM_AT</v>
      </c>
      <c r="F248" s="11" t="s">
        <v>58</v>
      </c>
      <c r="I248" s="11" t="str">
        <f>IF(DATA!B247&lt;&gt;"",DATA!B247,"")</f>
        <v>TEMU7870878</v>
      </c>
      <c r="J248" s="12">
        <v>0</v>
      </c>
      <c r="K248" s="11" t="s">
        <v>53</v>
      </c>
      <c r="L248" s="11" t="str">
        <f t="shared" si="20"/>
        <v>901210</v>
      </c>
      <c r="M248" s="11" t="str">
        <f>IF(I248&lt;&gt;"",DATA!E247,"")</f>
        <v>MICROSCOPE</v>
      </c>
      <c r="N248" s="12">
        <v>0</v>
      </c>
      <c r="O248" s="11">
        <f>IF(I248&lt;&gt;"",DATA!C247,"")</f>
        <v>129</v>
      </c>
      <c r="P248" s="2">
        <v>294094</v>
      </c>
      <c r="Q248" s="2" t="s">
        <v>1304</v>
      </c>
      <c r="R248" s="2" t="s">
        <v>1310</v>
      </c>
      <c r="S248" s="2">
        <v>347</v>
      </c>
      <c r="T248" s="2">
        <v>1</v>
      </c>
      <c r="U248" s="2" t="s">
        <v>141</v>
      </c>
      <c r="Y248" s="2">
        <v>1700</v>
      </c>
      <c r="Z248" s="11" t="s">
        <v>54</v>
      </c>
      <c r="AA248" s="11" t="str">
        <f t="shared" si="21"/>
        <v>1700 - TBN</v>
      </c>
      <c r="AC248" s="2" t="s">
        <v>145</v>
      </c>
      <c r="AD248" s="11" t="str">
        <f>IF($I248&lt;&gt;"",VLOOKUP($AC248,GEADRESSEERDE!$A$2:$E$4,2,),"")</f>
        <v>LUITHAGEN HAVEN 2 D</v>
      </c>
      <c r="AE248" s="11">
        <f>IF($I248&lt;&gt;"",VLOOKUP($AC248,GEADRESSEERDE!$A$2:$E$4,3,),"")</f>
        <v>2030</v>
      </c>
      <c r="AF248" s="11" t="str">
        <f>IF($I248&lt;&gt;"",VLOOKUP($AC248,GEADRESSEERDE!$A$2:$E$4,4,),"")</f>
        <v>ANTWERPEN</v>
      </c>
      <c r="AG248" s="11" t="str">
        <f>IF($I248&lt;&gt;"",VLOOKUP($AC248,GEADRESSEERDE!$A$2:$E$4,5,),"")</f>
        <v>BE</v>
      </c>
      <c r="AH248" s="11" t="str">
        <f>IF(I248&lt;&gt;"",VLOOKUP(AP248,KvB!$A$2:$B$3,2,FALSE),"")</f>
        <v>BE101000</v>
      </c>
      <c r="AI248" s="11" t="s">
        <v>55</v>
      </c>
      <c r="AJ248" s="11"/>
      <c r="AK248" s="11"/>
      <c r="AL248" s="11"/>
      <c r="AM248" s="11"/>
      <c r="AN248" s="11"/>
      <c r="AO248" s="11"/>
      <c r="AP248" s="2" t="s">
        <v>70</v>
      </c>
      <c r="AQ248" s="11" t="str">
        <f>IF(I248&lt;&gt;"",DATA!D247,"")</f>
        <v>9012100000</v>
      </c>
    </row>
    <row r="249" spans="1:43" ht="15.75" x14ac:dyDescent="0.25">
      <c r="A249" s="11" t="s">
        <v>57</v>
      </c>
      <c r="B249" s="11" t="s">
        <v>56</v>
      </c>
      <c r="C249" s="22">
        <f t="shared" si="18"/>
        <v>25001620</v>
      </c>
      <c r="D249" s="11" t="str">
        <f t="shared" si="19"/>
        <v>SKIIFM_AT</v>
      </c>
      <c r="E249" s="11" t="str">
        <f>IF(I249&lt;&gt;"",VLOOKUP(F249,OPDRACHTGEVER!$A$2:$B$4,2,FALSE),"")</f>
        <v>SKIIFM_AT</v>
      </c>
      <c r="F249" s="11" t="s">
        <v>58</v>
      </c>
      <c r="I249" s="11" t="str">
        <f>IF(DATA!B248&lt;&gt;"",DATA!B248,"")</f>
        <v>TEMU7870878</v>
      </c>
      <c r="J249" s="12">
        <v>0</v>
      </c>
      <c r="K249" s="11" t="s">
        <v>53</v>
      </c>
      <c r="L249" s="11" t="str">
        <f t="shared" si="20"/>
        <v>842820</v>
      </c>
      <c r="M249" s="11" t="str">
        <f>IF(I249&lt;&gt;"",DATA!E248,"")</f>
        <v>MOTORCYCLE LIFT STAND</v>
      </c>
      <c r="N249" s="12">
        <v>0</v>
      </c>
      <c r="O249" s="11">
        <f>IF(I249&lt;&gt;"",DATA!C248,"")</f>
        <v>6760.7</v>
      </c>
      <c r="P249" s="2">
        <v>294094</v>
      </c>
      <c r="Q249" s="2" t="s">
        <v>1304</v>
      </c>
      <c r="R249" s="2" t="s">
        <v>1310</v>
      </c>
      <c r="S249" s="2">
        <v>347</v>
      </c>
      <c r="T249" s="2">
        <v>1</v>
      </c>
      <c r="U249" s="2" t="s">
        <v>141</v>
      </c>
      <c r="Y249" s="2">
        <v>1700</v>
      </c>
      <c r="Z249" s="11" t="s">
        <v>54</v>
      </c>
      <c r="AA249" s="11" t="str">
        <f t="shared" si="21"/>
        <v>1700 - TBN</v>
      </c>
      <c r="AC249" s="2" t="s">
        <v>145</v>
      </c>
      <c r="AD249" s="11" t="str">
        <f>IF($I249&lt;&gt;"",VLOOKUP($AC249,GEADRESSEERDE!$A$2:$E$4,2,),"")</f>
        <v>LUITHAGEN HAVEN 2 D</v>
      </c>
      <c r="AE249" s="11">
        <f>IF($I249&lt;&gt;"",VLOOKUP($AC249,GEADRESSEERDE!$A$2:$E$4,3,),"")</f>
        <v>2030</v>
      </c>
      <c r="AF249" s="11" t="str">
        <f>IF($I249&lt;&gt;"",VLOOKUP($AC249,GEADRESSEERDE!$A$2:$E$4,4,),"")</f>
        <v>ANTWERPEN</v>
      </c>
      <c r="AG249" s="11" t="str">
        <f>IF($I249&lt;&gt;"",VLOOKUP($AC249,GEADRESSEERDE!$A$2:$E$4,5,),"")</f>
        <v>BE</v>
      </c>
      <c r="AH249" s="11" t="str">
        <f>IF(I249&lt;&gt;"",VLOOKUP(AP249,KvB!$A$2:$B$3,2,FALSE),"")</f>
        <v>BE101000</v>
      </c>
      <c r="AI249" s="11" t="s">
        <v>55</v>
      </c>
      <c r="AJ249" s="11"/>
      <c r="AK249" s="11"/>
      <c r="AL249" s="11"/>
      <c r="AM249" s="11"/>
      <c r="AN249" s="11"/>
      <c r="AO249" s="11"/>
      <c r="AP249" s="2" t="s">
        <v>70</v>
      </c>
      <c r="AQ249" s="11" t="str">
        <f>IF(I249&lt;&gt;"",DATA!D248,"")</f>
        <v>8428208000</v>
      </c>
    </row>
    <row r="250" spans="1:43" ht="15.75" x14ac:dyDescent="0.25">
      <c r="A250" s="11" t="s">
        <v>57</v>
      </c>
      <c r="B250" s="11" t="s">
        <v>56</v>
      </c>
      <c r="C250" s="22">
        <f t="shared" si="18"/>
        <v>25001620</v>
      </c>
      <c r="D250" s="11" t="str">
        <f t="shared" si="19"/>
        <v>SKIIFM_AT</v>
      </c>
      <c r="E250" s="11" t="str">
        <f>IF(I250&lt;&gt;"",VLOOKUP(F250,OPDRACHTGEVER!$A$2:$B$4,2,FALSE),"")</f>
        <v>SKIIFM_AT</v>
      </c>
      <c r="F250" s="11" t="s">
        <v>58</v>
      </c>
      <c r="I250" s="11" t="str">
        <f>IF(DATA!B249&lt;&gt;"",DATA!B249,"")</f>
        <v>TEMU7870878</v>
      </c>
      <c r="J250" s="12">
        <v>0</v>
      </c>
      <c r="K250" s="11" t="s">
        <v>53</v>
      </c>
      <c r="L250" s="11" t="str">
        <f t="shared" si="20"/>
        <v>940179</v>
      </c>
      <c r="M250" s="11" t="str">
        <f>IF(I250&lt;&gt;"",DATA!E249,"")</f>
        <v>OUTDOOR FOLDING CHAIR</v>
      </c>
      <c r="N250" s="12">
        <v>0</v>
      </c>
      <c r="O250" s="11">
        <f>IF(I250&lt;&gt;"",DATA!C249,"")</f>
        <v>329.4</v>
      </c>
      <c r="P250" s="2">
        <v>294094</v>
      </c>
      <c r="Q250" s="2" t="s">
        <v>1304</v>
      </c>
      <c r="R250" s="2" t="s">
        <v>1310</v>
      </c>
      <c r="S250" s="2">
        <v>347</v>
      </c>
      <c r="T250" s="2">
        <v>1</v>
      </c>
      <c r="U250" s="2" t="s">
        <v>141</v>
      </c>
      <c r="Y250" s="2">
        <v>1700</v>
      </c>
      <c r="Z250" s="11" t="s">
        <v>54</v>
      </c>
      <c r="AA250" s="11" t="str">
        <f t="shared" si="21"/>
        <v>1700 - TBN</v>
      </c>
      <c r="AC250" s="2" t="s">
        <v>145</v>
      </c>
      <c r="AD250" s="11" t="str">
        <f>IF($I250&lt;&gt;"",VLOOKUP($AC250,GEADRESSEERDE!$A$2:$E$4,2,),"")</f>
        <v>LUITHAGEN HAVEN 2 D</v>
      </c>
      <c r="AE250" s="11">
        <f>IF($I250&lt;&gt;"",VLOOKUP($AC250,GEADRESSEERDE!$A$2:$E$4,3,),"")</f>
        <v>2030</v>
      </c>
      <c r="AF250" s="11" t="str">
        <f>IF($I250&lt;&gt;"",VLOOKUP($AC250,GEADRESSEERDE!$A$2:$E$4,4,),"")</f>
        <v>ANTWERPEN</v>
      </c>
      <c r="AG250" s="11" t="str">
        <f>IF($I250&lt;&gt;"",VLOOKUP($AC250,GEADRESSEERDE!$A$2:$E$4,5,),"")</f>
        <v>BE</v>
      </c>
      <c r="AH250" s="11" t="str">
        <f>IF(I250&lt;&gt;"",VLOOKUP(AP250,KvB!$A$2:$B$3,2,FALSE),"")</f>
        <v>BE101000</v>
      </c>
      <c r="AI250" s="11" t="s">
        <v>55</v>
      </c>
      <c r="AJ250" s="11"/>
      <c r="AK250" s="11"/>
      <c r="AL250" s="11"/>
      <c r="AM250" s="11"/>
      <c r="AN250" s="11"/>
      <c r="AO250" s="11"/>
      <c r="AP250" s="2" t="s">
        <v>70</v>
      </c>
      <c r="AQ250" s="11" t="str">
        <f>IF(I250&lt;&gt;"",DATA!D249,"")</f>
        <v>9401790000</v>
      </c>
    </row>
    <row r="251" spans="1:43" ht="15.75" x14ac:dyDescent="0.25">
      <c r="A251" s="11" t="s">
        <v>57</v>
      </c>
      <c r="B251" s="11" t="s">
        <v>56</v>
      </c>
      <c r="C251" s="22">
        <f t="shared" si="18"/>
        <v>25001620</v>
      </c>
      <c r="D251" s="11" t="str">
        <f t="shared" si="19"/>
        <v>SKIIFM_AT</v>
      </c>
      <c r="E251" s="11" t="str">
        <f>IF(I251&lt;&gt;"",VLOOKUP(F251,OPDRACHTGEVER!$A$2:$B$4,2,FALSE),"")</f>
        <v>SKIIFM_AT</v>
      </c>
      <c r="F251" s="11" t="s">
        <v>58</v>
      </c>
      <c r="I251" s="11" t="str">
        <f>IF(DATA!B250&lt;&gt;"",DATA!B250,"")</f>
        <v>TEMU7870878</v>
      </c>
      <c r="J251" s="12">
        <v>0</v>
      </c>
      <c r="K251" s="11" t="s">
        <v>53</v>
      </c>
      <c r="L251" s="11" t="str">
        <f t="shared" si="20"/>
        <v>741920</v>
      </c>
      <c r="M251" s="11" t="str">
        <f>IF(I251&lt;&gt;"",DATA!E250,"")</f>
        <v>PIPE STAND</v>
      </c>
      <c r="N251" s="12">
        <v>0</v>
      </c>
      <c r="O251" s="11">
        <f>IF(I251&lt;&gt;"",DATA!C250,"")</f>
        <v>2104.1</v>
      </c>
      <c r="P251" s="2">
        <v>294094</v>
      </c>
      <c r="Q251" s="2" t="s">
        <v>1304</v>
      </c>
      <c r="R251" s="2" t="s">
        <v>1310</v>
      </c>
      <c r="S251" s="2">
        <v>347</v>
      </c>
      <c r="T251" s="2">
        <v>1</v>
      </c>
      <c r="U251" s="2" t="s">
        <v>141</v>
      </c>
      <c r="Y251" s="2">
        <v>1700</v>
      </c>
      <c r="Z251" s="11" t="s">
        <v>54</v>
      </c>
      <c r="AA251" s="11" t="str">
        <f t="shared" si="21"/>
        <v>1700 - TBN</v>
      </c>
      <c r="AC251" s="2" t="s">
        <v>145</v>
      </c>
      <c r="AD251" s="11" t="str">
        <f>IF($I251&lt;&gt;"",VLOOKUP($AC251,GEADRESSEERDE!$A$2:$E$4,2,),"")</f>
        <v>LUITHAGEN HAVEN 2 D</v>
      </c>
      <c r="AE251" s="11">
        <f>IF($I251&lt;&gt;"",VLOOKUP($AC251,GEADRESSEERDE!$A$2:$E$4,3,),"")</f>
        <v>2030</v>
      </c>
      <c r="AF251" s="11" t="str">
        <f>IF($I251&lt;&gt;"",VLOOKUP($AC251,GEADRESSEERDE!$A$2:$E$4,4,),"")</f>
        <v>ANTWERPEN</v>
      </c>
      <c r="AG251" s="11" t="str">
        <f>IF($I251&lt;&gt;"",VLOOKUP($AC251,GEADRESSEERDE!$A$2:$E$4,5,),"")</f>
        <v>BE</v>
      </c>
      <c r="AH251" s="11" t="str">
        <f>IF(I251&lt;&gt;"",VLOOKUP(AP251,KvB!$A$2:$B$3,2,FALSE),"")</f>
        <v>BE101000</v>
      </c>
      <c r="AI251" s="11" t="s">
        <v>55</v>
      </c>
      <c r="AJ251" s="11"/>
      <c r="AK251" s="11"/>
      <c r="AL251" s="11"/>
      <c r="AM251" s="11"/>
      <c r="AN251" s="11"/>
      <c r="AO251" s="11"/>
      <c r="AP251" s="2" t="s">
        <v>70</v>
      </c>
      <c r="AQ251" s="11" t="str">
        <f>IF(I251&lt;&gt;"",DATA!D250,"")</f>
        <v>7419200090</v>
      </c>
    </row>
    <row r="252" spans="1:43" ht="15.75" x14ac:dyDescent="0.25">
      <c r="A252" s="11" t="s">
        <v>57</v>
      </c>
      <c r="B252" s="11" t="s">
        <v>56</v>
      </c>
      <c r="C252" s="22">
        <f t="shared" si="18"/>
        <v>25001620</v>
      </c>
      <c r="D252" s="11" t="str">
        <f t="shared" si="19"/>
        <v>SKIIFM_AT</v>
      </c>
      <c r="E252" s="11" t="str">
        <f>IF(I252&lt;&gt;"",VLOOKUP(F252,OPDRACHTGEVER!$A$2:$B$4,2,FALSE),"")</f>
        <v>SKIIFM_AT</v>
      </c>
      <c r="F252" s="11" t="s">
        <v>58</v>
      </c>
      <c r="I252" s="11" t="str">
        <f>IF(DATA!B251&lt;&gt;"",DATA!B251,"")</f>
        <v>TEMU7870878</v>
      </c>
      <c r="J252" s="12">
        <v>0</v>
      </c>
      <c r="K252" s="11" t="s">
        <v>53</v>
      </c>
      <c r="L252" s="11" t="str">
        <f t="shared" si="20"/>
        <v>741920</v>
      </c>
      <c r="M252" s="11" t="str">
        <f>IF(I252&lt;&gt;"",DATA!E251,"")</f>
        <v>PIPE SUPPORT</v>
      </c>
      <c r="N252" s="12">
        <v>0</v>
      </c>
      <c r="O252" s="11">
        <f>IF(I252&lt;&gt;"",DATA!C251,"")</f>
        <v>86.8</v>
      </c>
      <c r="P252" s="2">
        <v>294094</v>
      </c>
      <c r="Q252" s="2" t="s">
        <v>1304</v>
      </c>
      <c r="R252" s="2" t="s">
        <v>1310</v>
      </c>
      <c r="S252" s="2">
        <v>347</v>
      </c>
      <c r="T252" s="2">
        <v>1</v>
      </c>
      <c r="U252" s="2" t="s">
        <v>141</v>
      </c>
      <c r="Y252" s="2">
        <v>1700</v>
      </c>
      <c r="Z252" s="11" t="s">
        <v>54</v>
      </c>
      <c r="AA252" s="11" t="str">
        <f t="shared" si="21"/>
        <v>1700 - TBN</v>
      </c>
      <c r="AC252" s="2" t="s">
        <v>145</v>
      </c>
      <c r="AD252" s="11" t="str">
        <f>IF($I252&lt;&gt;"",VLOOKUP($AC252,GEADRESSEERDE!$A$2:$E$4,2,),"")</f>
        <v>LUITHAGEN HAVEN 2 D</v>
      </c>
      <c r="AE252" s="11">
        <f>IF($I252&lt;&gt;"",VLOOKUP($AC252,GEADRESSEERDE!$A$2:$E$4,3,),"")</f>
        <v>2030</v>
      </c>
      <c r="AF252" s="11" t="str">
        <f>IF($I252&lt;&gt;"",VLOOKUP($AC252,GEADRESSEERDE!$A$2:$E$4,4,),"")</f>
        <v>ANTWERPEN</v>
      </c>
      <c r="AG252" s="11" t="str">
        <f>IF($I252&lt;&gt;"",VLOOKUP($AC252,GEADRESSEERDE!$A$2:$E$4,5,),"")</f>
        <v>BE</v>
      </c>
      <c r="AH252" s="11" t="str">
        <f>IF(I252&lt;&gt;"",VLOOKUP(AP252,KvB!$A$2:$B$3,2,FALSE),"")</f>
        <v>BE101000</v>
      </c>
      <c r="AI252" s="11" t="s">
        <v>55</v>
      </c>
      <c r="AJ252" s="11"/>
      <c r="AK252" s="11"/>
      <c r="AL252" s="11"/>
      <c r="AM252" s="11"/>
      <c r="AN252" s="11"/>
      <c r="AO252" s="11"/>
      <c r="AP252" s="2" t="s">
        <v>70</v>
      </c>
      <c r="AQ252" s="11" t="str">
        <f>IF(I252&lt;&gt;"",DATA!D251,"")</f>
        <v>7419200090</v>
      </c>
    </row>
    <row r="253" spans="1:43" ht="15.75" x14ac:dyDescent="0.25">
      <c r="A253" s="11" t="s">
        <v>57</v>
      </c>
      <c r="B253" s="11" t="s">
        <v>56</v>
      </c>
      <c r="C253" s="22">
        <f t="shared" si="18"/>
        <v>25001620</v>
      </c>
      <c r="D253" s="11" t="str">
        <f t="shared" si="19"/>
        <v>SKIIFM_AT</v>
      </c>
      <c r="E253" s="11" t="str">
        <f>IF(I253&lt;&gt;"",VLOOKUP(F253,OPDRACHTGEVER!$A$2:$B$4,2,FALSE),"")</f>
        <v>SKIIFM_AT</v>
      </c>
      <c r="F253" s="11" t="s">
        <v>58</v>
      </c>
      <c r="I253" s="11" t="str">
        <f>IF(DATA!B252&lt;&gt;"",DATA!B252,"")</f>
        <v>TEMU7870878</v>
      </c>
      <c r="J253" s="12">
        <v>0</v>
      </c>
      <c r="K253" s="11" t="s">
        <v>53</v>
      </c>
      <c r="L253" s="11" t="str">
        <f t="shared" si="20"/>
        <v>560900</v>
      </c>
      <c r="M253" s="11" t="str">
        <f>IF(I253&lt;&gt;"",DATA!E252,"")</f>
        <v>POLYESTER ROPES</v>
      </c>
      <c r="N253" s="12">
        <v>0</v>
      </c>
      <c r="O253" s="11">
        <f>IF(I253&lt;&gt;"",DATA!C252,"")</f>
        <v>7.05</v>
      </c>
      <c r="P253" s="2">
        <v>294094</v>
      </c>
      <c r="Q253" s="2" t="s">
        <v>1304</v>
      </c>
      <c r="R253" s="2" t="s">
        <v>1310</v>
      </c>
      <c r="S253" s="2">
        <v>347</v>
      </c>
      <c r="T253" s="2">
        <v>1</v>
      </c>
      <c r="U253" s="2" t="s">
        <v>141</v>
      </c>
      <c r="Y253" s="2">
        <v>1700</v>
      </c>
      <c r="Z253" s="11" t="s">
        <v>54</v>
      </c>
      <c r="AA253" s="11" t="str">
        <f t="shared" si="21"/>
        <v>1700 - TBN</v>
      </c>
      <c r="AC253" s="2" t="s">
        <v>145</v>
      </c>
      <c r="AD253" s="11" t="str">
        <f>IF($I253&lt;&gt;"",VLOOKUP($AC253,GEADRESSEERDE!$A$2:$E$4,2,),"")</f>
        <v>LUITHAGEN HAVEN 2 D</v>
      </c>
      <c r="AE253" s="11">
        <f>IF($I253&lt;&gt;"",VLOOKUP($AC253,GEADRESSEERDE!$A$2:$E$4,3,),"")</f>
        <v>2030</v>
      </c>
      <c r="AF253" s="11" t="str">
        <f>IF($I253&lt;&gt;"",VLOOKUP($AC253,GEADRESSEERDE!$A$2:$E$4,4,),"")</f>
        <v>ANTWERPEN</v>
      </c>
      <c r="AG253" s="11" t="str">
        <f>IF($I253&lt;&gt;"",VLOOKUP($AC253,GEADRESSEERDE!$A$2:$E$4,5,),"")</f>
        <v>BE</v>
      </c>
      <c r="AH253" s="11" t="str">
        <f>IF(I253&lt;&gt;"",VLOOKUP(AP253,KvB!$A$2:$B$3,2,FALSE),"")</f>
        <v>BE101000</v>
      </c>
      <c r="AI253" s="11" t="s">
        <v>55</v>
      </c>
      <c r="AJ253" s="11"/>
      <c r="AK253" s="11"/>
      <c r="AL253" s="11"/>
      <c r="AM253" s="11"/>
      <c r="AN253" s="11"/>
      <c r="AO253" s="11"/>
      <c r="AP253" s="2" t="s">
        <v>70</v>
      </c>
      <c r="AQ253" s="11" t="str">
        <f>IF(I253&lt;&gt;"",DATA!D252,"")</f>
        <v>5609000000</v>
      </c>
    </row>
    <row r="254" spans="1:43" ht="15.75" x14ac:dyDescent="0.25">
      <c r="A254" s="11" t="s">
        <v>57</v>
      </c>
      <c r="B254" s="11" t="s">
        <v>56</v>
      </c>
      <c r="C254" s="22">
        <f t="shared" si="18"/>
        <v>25001620</v>
      </c>
      <c r="D254" s="11" t="str">
        <f t="shared" si="19"/>
        <v>SKIIFM_AT</v>
      </c>
      <c r="E254" s="11" t="str">
        <f>IF(I254&lt;&gt;"",VLOOKUP(F254,OPDRACHTGEVER!$A$2:$B$4,2,FALSE),"")</f>
        <v>SKIIFM_AT</v>
      </c>
      <c r="F254" s="11" t="s">
        <v>58</v>
      </c>
      <c r="I254" s="11" t="str">
        <f>IF(DATA!B253&lt;&gt;"",DATA!B253,"")</f>
        <v>TEMU7870878</v>
      </c>
      <c r="J254" s="12">
        <v>0</v>
      </c>
      <c r="K254" s="11" t="s">
        <v>53</v>
      </c>
      <c r="L254" s="11" t="str">
        <f t="shared" si="20"/>
        <v>940171</v>
      </c>
      <c r="M254" s="11" t="str">
        <f>IF(I254&lt;&gt;"",DATA!E253,"")</f>
        <v>REPAIR STOOL</v>
      </c>
      <c r="N254" s="12">
        <v>0</v>
      </c>
      <c r="O254" s="11">
        <f>IF(I254&lt;&gt;"",DATA!C253,"")</f>
        <v>3.9</v>
      </c>
      <c r="P254" s="2">
        <v>294094</v>
      </c>
      <c r="Q254" s="2" t="s">
        <v>1304</v>
      </c>
      <c r="R254" s="2" t="s">
        <v>1310</v>
      </c>
      <c r="S254" s="2">
        <v>347</v>
      </c>
      <c r="T254" s="2">
        <v>1</v>
      </c>
      <c r="U254" s="2" t="s">
        <v>141</v>
      </c>
      <c r="Y254" s="2">
        <v>1700</v>
      </c>
      <c r="Z254" s="11" t="s">
        <v>54</v>
      </c>
      <c r="AA254" s="11" t="str">
        <f t="shared" si="21"/>
        <v>1700 - TBN</v>
      </c>
      <c r="AC254" s="2" t="s">
        <v>145</v>
      </c>
      <c r="AD254" s="11" t="str">
        <f>IF($I254&lt;&gt;"",VLOOKUP($AC254,GEADRESSEERDE!$A$2:$E$4,2,),"")</f>
        <v>LUITHAGEN HAVEN 2 D</v>
      </c>
      <c r="AE254" s="11">
        <f>IF($I254&lt;&gt;"",VLOOKUP($AC254,GEADRESSEERDE!$A$2:$E$4,3,),"")</f>
        <v>2030</v>
      </c>
      <c r="AF254" s="11" t="str">
        <f>IF($I254&lt;&gt;"",VLOOKUP($AC254,GEADRESSEERDE!$A$2:$E$4,4,),"")</f>
        <v>ANTWERPEN</v>
      </c>
      <c r="AG254" s="11" t="str">
        <f>IF($I254&lt;&gt;"",VLOOKUP($AC254,GEADRESSEERDE!$A$2:$E$4,5,),"")</f>
        <v>BE</v>
      </c>
      <c r="AH254" s="11" t="str">
        <f>IF(I254&lt;&gt;"",VLOOKUP(AP254,KvB!$A$2:$B$3,2,FALSE),"")</f>
        <v>BE101000</v>
      </c>
      <c r="AI254" s="11" t="s">
        <v>55</v>
      </c>
      <c r="AJ254" s="11"/>
      <c r="AK254" s="11"/>
      <c r="AL254" s="11"/>
      <c r="AM254" s="11"/>
      <c r="AN254" s="11"/>
      <c r="AO254" s="11"/>
      <c r="AP254" s="2" t="s">
        <v>70</v>
      </c>
      <c r="AQ254" s="11" t="str">
        <f>IF(I254&lt;&gt;"",DATA!D253,"")</f>
        <v>9401710000</v>
      </c>
    </row>
    <row r="255" spans="1:43" ht="15.75" x14ac:dyDescent="0.25">
      <c r="A255" s="11" t="s">
        <v>57</v>
      </c>
      <c r="B255" s="11" t="s">
        <v>56</v>
      </c>
      <c r="C255" s="22">
        <f t="shared" si="18"/>
        <v>25001620</v>
      </c>
      <c r="D255" s="11" t="str">
        <f t="shared" si="19"/>
        <v>SKIIFM_AT</v>
      </c>
      <c r="E255" s="11" t="str">
        <f>IF(I255&lt;&gt;"",VLOOKUP(F255,OPDRACHTGEVER!$A$2:$B$4,2,FALSE),"")</f>
        <v>SKIIFM_AT</v>
      </c>
      <c r="F255" s="11" t="s">
        <v>58</v>
      </c>
      <c r="I255" s="11" t="str">
        <f>IF(DATA!B254&lt;&gt;"",DATA!B254,"")</f>
        <v>TEMU7870878</v>
      </c>
      <c r="J255" s="12">
        <v>0</v>
      </c>
      <c r="K255" s="11" t="s">
        <v>53</v>
      </c>
      <c r="L255" s="11" t="str">
        <f t="shared" si="20"/>
        <v>842549</v>
      </c>
      <c r="M255" s="11" t="str">
        <f>IF(I255&lt;&gt;"",DATA!E254,"")</f>
        <v>RESCUE JACK</v>
      </c>
      <c r="N255" s="12">
        <v>0</v>
      </c>
      <c r="O255" s="11">
        <f>IF(I255&lt;&gt;"",DATA!C254,"")</f>
        <v>929.65</v>
      </c>
      <c r="P255" s="2">
        <v>294094</v>
      </c>
      <c r="Q255" s="2" t="s">
        <v>1304</v>
      </c>
      <c r="R255" s="2" t="s">
        <v>1310</v>
      </c>
      <c r="S255" s="2">
        <v>347</v>
      </c>
      <c r="T255" s="2">
        <v>1</v>
      </c>
      <c r="U255" s="2" t="s">
        <v>141</v>
      </c>
      <c r="Y255" s="2">
        <v>1700</v>
      </c>
      <c r="Z255" s="11" t="s">
        <v>54</v>
      </c>
      <c r="AA255" s="11" t="str">
        <f t="shared" si="21"/>
        <v>1700 - TBN</v>
      </c>
      <c r="AC255" s="2" t="s">
        <v>145</v>
      </c>
      <c r="AD255" s="11" t="str">
        <f>IF($I255&lt;&gt;"",VLOOKUP($AC255,GEADRESSEERDE!$A$2:$E$4,2,),"")</f>
        <v>LUITHAGEN HAVEN 2 D</v>
      </c>
      <c r="AE255" s="11">
        <f>IF($I255&lt;&gt;"",VLOOKUP($AC255,GEADRESSEERDE!$A$2:$E$4,3,),"")</f>
        <v>2030</v>
      </c>
      <c r="AF255" s="11" t="str">
        <f>IF($I255&lt;&gt;"",VLOOKUP($AC255,GEADRESSEERDE!$A$2:$E$4,4,),"")</f>
        <v>ANTWERPEN</v>
      </c>
      <c r="AG255" s="11" t="str">
        <f>IF($I255&lt;&gt;"",VLOOKUP($AC255,GEADRESSEERDE!$A$2:$E$4,5,),"")</f>
        <v>BE</v>
      </c>
      <c r="AH255" s="11" t="str">
        <f>IF(I255&lt;&gt;"",VLOOKUP(AP255,KvB!$A$2:$B$3,2,FALSE),"")</f>
        <v>BE101000</v>
      </c>
      <c r="AI255" s="11" t="s">
        <v>55</v>
      </c>
      <c r="AJ255" s="11"/>
      <c r="AK255" s="11"/>
      <c r="AL255" s="11"/>
      <c r="AM255" s="11"/>
      <c r="AN255" s="11"/>
      <c r="AO255" s="11"/>
      <c r="AP255" s="2" t="s">
        <v>70</v>
      </c>
      <c r="AQ255" s="11" t="str">
        <f>IF(I255&lt;&gt;"",DATA!D254,"")</f>
        <v>8425490000</v>
      </c>
    </row>
    <row r="256" spans="1:43" ht="15.75" x14ac:dyDescent="0.25">
      <c r="A256" s="11" t="s">
        <v>57</v>
      </c>
      <c r="B256" s="11" t="s">
        <v>56</v>
      </c>
      <c r="C256" s="22">
        <f t="shared" si="18"/>
        <v>25001620</v>
      </c>
      <c r="D256" s="11" t="str">
        <f t="shared" si="19"/>
        <v>SKIIFM_AT</v>
      </c>
      <c r="E256" s="11" t="str">
        <f>IF(I256&lt;&gt;"",VLOOKUP(F256,OPDRACHTGEVER!$A$2:$B$4,2,FALSE),"")</f>
        <v>SKIIFM_AT</v>
      </c>
      <c r="F256" s="11" t="s">
        <v>58</v>
      </c>
      <c r="I256" s="11" t="str">
        <f>IF(DATA!B255&lt;&gt;"",DATA!B255,"")</f>
        <v>TEMU7870878</v>
      </c>
      <c r="J256" s="12">
        <v>0</v>
      </c>
      <c r="K256" s="11" t="s">
        <v>53</v>
      </c>
      <c r="L256" s="11" t="str">
        <f t="shared" si="20"/>
        <v>830242</v>
      </c>
      <c r="M256" s="11" t="str">
        <f>IF(I256&lt;&gt;"",DATA!E255,"")</f>
        <v>SHELF  BRACKETS</v>
      </c>
      <c r="N256" s="12">
        <v>0</v>
      </c>
      <c r="O256" s="11">
        <f>IF(I256&lt;&gt;"",DATA!C255,"")</f>
        <v>10.65</v>
      </c>
      <c r="P256" s="2">
        <v>294094</v>
      </c>
      <c r="Q256" s="2" t="s">
        <v>1304</v>
      </c>
      <c r="R256" s="2" t="s">
        <v>1310</v>
      </c>
      <c r="S256" s="2">
        <v>347</v>
      </c>
      <c r="T256" s="2">
        <v>1</v>
      </c>
      <c r="U256" s="2" t="s">
        <v>141</v>
      </c>
      <c r="Y256" s="2">
        <v>1700</v>
      </c>
      <c r="Z256" s="11" t="s">
        <v>54</v>
      </c>
      <c r="AA256" s="11" t="str">
        <f t="shared" si="21"/>
        <v>1700 - TBN</v>
      </c>
      <c r="AC256" s="2" t="s">
        <v>145</v>
      </c>
      <c r="AD256" s="11" t="str">
        <f>IF($I256&lt;&gt;"",VLOOKUP($AC256,GEADRESSEERDE!$A$2:$E$4,2,),"")</f>
        <v>LUITHAGEN HAVEN 2 D</v>
      </c>
      <c r="AE256" s="11">
        <f>IF($I256&lt;&gt;"",VLOOKUP($AC256,GEADRESSEERDE!$A$2:$E$4,3,),"")</f>
        <v>2030</v>
      </c>
      <c r="AF256" s="11" t="str">
        <f>IF($I256&lt;&gt;"",VLOOKUP($AC256,GEADRESSEERDE!$A$2:$E$4,4,),"")</f>
        <v>ANTWERPEN</v>
      </c>
      <c r="AG256" s="11" t="str">
        <f>IF($I256&lt;&gt;"",VLOOKUP($AC256,GEADRESSEERDE!$A$2:$E$4,5,),"")</f>
        <v>BE</v>
      </c>
      <c r="AH256" s="11" t="str">
        <f>IF(I256&lt;&gt;"",VLOOKUP(AP256,KvB!$A$2:$B$3,2,FALSE),"")</f>
        <v>BE101000</v>
      </c>
      <c r="AI256" s="11" t="s">
        <v>55</v>
      </c>
      <c r="AJ256" s="11"/>
      <c r="AK256" s="11"/>
      <c r="AL256" s="11"/>
      <c r="AM256" s="11"/>
      <c r="AN256" s="11"/>
      <c r="AO256" s="11"/>
      <c r="AP256" s="2" t="s">
        <v>70</v>
      </c>
      <c r="AQ256" s="11" t="str">
        <f>IF(I256&lt;&gt;"",DATA!D255,"")</f>
        <v>8302420090</v>
      </c>
    </row>
    <row r="257" spans="1:43" ht="15.75" x14ac:dyDescent="0.25">
      <c r="A257" s="11" t="s">
        <v>57</v>
      </c>
      <c r="B257" s="11" t="s">
        <v>56</v>
      </c>
      <c r="C257" s="22">
        <f t="shared" si="18"/>
        <v>25001620</v>
      </c>
      <c r="D257" s="11" t="str">
        <f t="shared" si="19"/>
        <v>SKIIFM_AT</v>
      </c>
      <c r="E257" s="11" t="str">
        <f>IF(I257&lt;&gt;"",VLOOKUP(F257,OPDRACHTGEVER!$A$2:$B$4,2,FALSE),"")</f>
        <v>SKIIFM_AT</v>
      </c>
      <c r="F257" s="11" t="s">
        <v>58</v>
      </c>
      <c r="I257" s="11" t="str">
        <f>IF(DATA!B256&lt;&gt;"",DATA!B256,"")</f>
        <v>TEMU7870878</v>
      </c>
      <c r="J257" s="12">
        <v>0</v>
      </c>
      <c r="K257" s="11" t="s">
        <v>53</v>
      </c>
      <c r="L257" s="11" t="str">
        <f t="shared" si="20"/>
        <v>870899</v>
      </c>
      <c r="M257" s="11" t="str">
        <f>IF(I257&lt;&gt;"",DATA!E256,"")</f>
        <v>STRAP</v>
      </c>
      <c r="N257" s="12">
        <v>0</v>
      </c>
      <c r="O257" s="11">
        <f>IF(I257&lt;&gt;"",DATA!C256,"")</f>
        <v>4.7</v>
      </c>
      <c r="P257" s="2">
        <v>294094</v>
      </c>
      <c r="Q257" s="2" t="s">
        <v>1304</v>
      </c>
      <c r="R257" s="2" t="s">
        <v>1310</v>
      </c>
      <c r="S257" s="2">
        <v>347</v>
      </c>
      <c r="T257" s="2">
        <v>1</v>
      </c>
      <c r="U257" s="2" t="s">
        <v>141</v>
      </c>
      <c r="Y257" s="2">
        <v>1700</v>
      </c>
      <c r="Z257" s="11" t="s">
        <v>54</v>
      </c>
      <c r="AA257" s="11" t="str">
        <f t="shared" si="21"/>
        <v>1700 - TBN</v>
      </c>
      <c r="AC257" s="2" t="s">
        <v>145</v>
      </c>
      <c r="AD257" s="11" t="str">
        <f>IF($I257&lt;&gt;"",VLOOKUP($AC257,GEADRESSEERDE!$A$2:$E$4,2,),"")</f>
        <v>LUITHAGEN HAVEN 2 D</v>
      </c>
      <c r="AE257" s="11">
        <f>IF($I257&lt;&gt;"",VLOOKUP($AC257,GEADRESSEERDE!$A$2:$E$4,3,),"")</f>
        <v>2030</v>
      </c>
      <c r="AF257" s="11" t="str">
        <f>IF($I257&lt;&gt;"",VLOOKUP($AC257,GEADRESSEERDE!$A$2:$E$4,4,),"")</f>
        <v>ANTWERPEN</v>
      </c>
      <c r="AG257" s="11" t="str">
        <f>IF($I257&lt;&gt;"",VLOOKUP($AC257,GEADRESSEERDE!$A$2:$E$4,5,),"")</f>
        <v>BE</v>
      </c>
      <c r="AH257" s="11" t="str">
        <f>IF(I257&lt;&gt;"",VLOOKUP(AP257,KvB!$A$2:$B$3,2,FALSE),"")</f>
        <v>BE101000</v>
      </c>
      <c r="AI257" s="11" t="s">
        <v>55</v>
      </c>
      <c r="AJ257" s="11"/>
      <c r="AK257" s="11"/>
      <c r="AL257" s="11"/>
      <c r="AM257" s="11"/>
      <c r="AN257" s="11"/>
      <c r="AO257" s="11"/>
      <c r="AP257" s="2" t="s">
        <v>70</v>
      </c>
      <c r="AQ257" s="11" t="str">
        <f>IF(I257&lt;&gt;"",DATA!D256,"")</f>
        <v>8708999790</v>
      </c>
    </row>
    <row r="258" spans="1:43" ht="15.75" x14ac:dyDescent="0.25">
      <c r="A258" s="11" t="s">
        <v>57</v>
      </c>
      <c r="B258" s="11" t="s">
        <v>56</v>
      </c>
      <c r="C258" s="22">
        <f t="shared" si="18"/>
        <v>25001620</v>
      </c>
      <c r="D258" s="11" t="str">
        <f t="shared" si="19"/>
        <v>SKIIFM_AT</v>
      </c>
      <c r="E258" s="11" t="str">
        <f>IF(I258&lt;&gt;"",VLOOKUP(F258,OPDRACHTGEVER!$A$2:$B$4,2,FALSE),"")</f>
        <v>SKIIFM_AT</v>
      </c>
      <c r="F258" s="11" t="s">
        <v>58</v>
      </c>
      <c r="I258" s="11" t="str">
        <f>IF(DATA!B257&lt;&gt;"",DATA!B257,"")</f>
        <v>TEMU7870878</v>
      </c>
      <c r="J258" s="12">
        <v>0</v>
      </c>
      <c r="K258" s="11" t="s">
        <v>53</v>
      </c>
      <c r="L258" s="11" t="str">
        <f t="shared" si="20"/>
        <v>761699</v>
      </c>
      <c r="M258" s="11" t="str">
        <f>IF(I258&lt;&gt;"",DATA!E257,"")</f>
        <v>TERMINAL ALUMINUM LADDER</v>
      </c>
      <c r="N258" s="12">
        <v>0</v>
      </c>
      <c r="O258" s="11">
        <f>IF(I258&lt;&gt;"",DATA!C257,"")</f>
        <v>312.85000000000002</v>
      </c>
      <c r="P258" s="2">
        <v>294094</v>
      </c>
      <c r="Q258" s="2" t="s">
        <v>1304</v>
      </c>
      <c r="R258" s="2" t="s">
        <v>1310</v>
      </c>
      <c r="S258" s="2">
        <v>347</v>
      </c>
      <c r="T258" s="2">
        <v>1</v>
      </c>
      <c r="U258" s="2" t="s">
        <v>141</v>
      </c>
      <c r="Y258" s="2">
        <v>1700</v>
      </c>
      <c r="Z258" s="11" t="s">
        <v>54</v>
      </c>
      <c r="AA258" s="11" t="str">
        <f t="shared" si="21"/>
        <v>1700 - TBN</v>
      </c>
      <c r="AC258" s="2" t="s">
        <v>145</v>
      </c>
      <c r="AD258" s="11" t="str">
        <f>IF($I258&lt;&gt;"",VLOOKUP($AC258,GEADRESSEERDE!$A$2:$E$4,2,),"")</f>
        <v>LUITHAGEN HAVEN 2 D</v>
      </c>
      <c r="AE258" s="11">
        <f>IF($I258&lt;&gt;"",VLOOKUP($AC258,GEADRESSEERDE!$A$2:$E$4,3,),"")</f>
        <v>2030</v>
      </c>
      <c r="AF258" s="11" t="str">
        <f>IF($I258&lt;&gt;"",VLOOKUP($AC258,GEADRESSEERDE!$A$2:$E$4,4,),"")</f>
        <v>ANTWERPEN</v>
      </c>
      <c r="AG258" s="11" t="str">
        <f>IF($I258&lt;&gt;"",VLOOKUP($AC258,GEADRESSEERDE!$A$2:$E$4,5,),"")</f>
        <v>BE</v>
      </c>
      <c r="AH258" s="11" t="str">
        <f>IF(I258&lt;&gt;"",VLOOKUP(AP258,KvB!$A$2:$B$3,2,FALSE),"")</f>
        <v>BE101000</v>
      </c>
      <c r="AI258" s="11" t="s">
        <v>55</v>
      </c>
      <c r="AJ258" s="11"/>
      <c r="AK258" s="11"/>
      <c r="AL258" s="11"/>
      <c r="AM258" s="11"/>
      <c r="AN258" s="11"/>
      <c r="AO258" s="11"/>
      <c r="AP258" s="2" t="s">
        <v>70</v>
      </c>
      <c r="AQ258" s="11" t="str">
        <f>IF(I258&lt;&gt;"",DATA!D257,"")</f>
        <v>7616999009</v>
      </c>
    </row>
    <row r="259" spans="1:43" ht="15.75" x14ac:dyDescent="0.25">
      <c r="A259" s="11" t="s">
        <v>57</v>
      </c>
      <c r="B259" s="11" t="s">
        <v>56</v>
      </c>
      <c r="C259" s="22">
        <f t="shared" si="18"/>
        <v>25001620</v>
      </c>
      <c r="D259" s="11" t="str">
        <f t="shared" si="19"/>
        <v>SKIIFM_AT</v>
      </c>
      <c r="E259" s="11" t="str">
        <f>IF(I259&lt;&gt;"",VLOOKUP(F259,OPDRACHTGEVER!$A$2:$B$4,2,FALSE),"")</f>
        <v>SKIIFM_AT</v>
      </c>
      <c r="F259" s="11" t="s">
        <v>58</v>
      </c>
      <c r="I259" s="11" t="str">
        <f>IF(DATA!B258&lt;&gt;"",DATA!B258,"")</f>
        <v>TEMU7870878</v>
      </c>
      <c r="J259" s="12">
        <v>0</v>
      </c>
      <c r="K259" s="11" t="s">
        <v>53</v>
      </c>
      <c r="L259" s="11" t="str">
        <f t="shared" si="20"/>
        <v>871680</v>
      </c>
      <c r="M259" s="11" t="str">
        <f>IF(I259&lt;&gt;"",DATA!E258,"")</f>
        <v>TRASH CAN ROLLER BASE</v>
      </c>
      <c r="N259" s="12">
        <v>0</v>
      </c>
      <c r="O259" s="11">
        <f>IF(I259&lt;&gt;"",DATA!C258,"")</f>
        <v>2</v>
      </c>
      <c r="P259" s="2">
        <v>294094</v>
      </c>
      <c r="Q259" s="2" t="s">
        <v>1304</v>
      </c>
      <c r="R259" s="2" t="s">
        <v>1310</v>
      </c>
      <c r="S259" s="2">
        <v>347</v>
      </c>
      <c r="T259" s="2">
        <v>1</v>
      </c>
      <c r="U259" s="2" t="s">
        <v>141</v>
      </c>
      <c r="Y259" s="2">
        <v>1700</v>
      </c>
      <c r="Z259" s="11" t="s">
        <v>54</v>
      </c>
      <c r="AA259" s="11" t="str">
        <f t="shared" si="21"/>
        <v>1700 - TBN</v>
      </c>
      <c r="AC259" s="2" t="s">
        <v>145</v>
      </c>
      <c r="AD259" s="11" t="str">
        <f>IF($I259&lt;&gt;"",VLOOKUP($AC259,GEADRESSEERDE!$A$2:$E$4,2,),"")</f>
        <v>LUITHAGEN HAVEN 2 D</v>
      </c>
      <c r="AE259" s="11">
        <f>IF($I259&lt;&gt;"",VLOOKUP($AC259,GEADRESSEERDE!$A$2:$E$4,3,),"")</f>
        <v>2030</v>
      </c>
      <c r="AF259" s="11" t="str">
        <f>IF($I259&lt;&gt;"",VLOOKUP($AC259,GEADRESSEERDE!$A$2:$E$4,4,),"")</f>
        <v>ANTWERPEN</v>
      </c>
      <c r="AG259" s="11" t="str">
        <f>IF($I259&lt;&gt;"",VLOOKUP($AC259,GEADRESSEERDE!$A$2:$E$4,5,),"")</f>
        <v>BE</v>
      </c>
      <c r="AH259" s="11" t="str">
        <f>IF(I259&lt;&gt;"",VLOOKUP(AP259,KvB!$A$2:$B$3,2,FALSE),"")</f>
        <v>BE101000</v>
      </c>
      <c r="AI259" s="11" t="s">
        <v>55</v>
      </c>
      <c r="AJ259" s="11"/>
      <c r="AK259" s="11"/>
      <c r="AL259" s="11"/>
      <c r="AM259" s="11"/>
      <c r="AN259" s="11"/>
      <c r="AO259" s="11"/>
      <c r="AP259" s="2" t="s">
        <v>70</v>
      </c>
      <c r="AQ259" s="11" t="str">
        <f>IF(I259&lt;&gt;"",DATA!D258,"")</f>
        <v>8716800000</v>
      </c>
    </row>
    <row r="260" spans="1:43" ht="15.75" x14ac:dyDescent="0.25">
      <c r="A260" s="11" t="s">
        <v>57</v>
      </c>
      <c r="B260" s="11" t="s">
        <v>56</v>
      </c>
      <c r="C260" s="22">
        <f t="shared" si="18"/>
        <v>25001620</v>
      </c>
      <c r="D260" s="11" t="str">
        <f t="shared" si="19"/>
        <v>SKIIFM_AT</v>
      </c>
      <c r="E260" s="11" t="str">
        <f>IF(I260&lt;&gt;"",VLOOKUP(F260,OPDRACHTGEVER!$A$2:$B$4,2,FALSE),"")</f>
        <v>SKIIFM_AT</v>
      </c>
      <c r="F260" s="11" t="s">
        <v>58</v>
      </c>
      <c r="I260" s="11" t="str">
        <f>IF(DATA!B259&lt;&gt;"",DATA!B259,"")</f>
        <v>TEMU7870878</v>
      </c>
      <c r="J260" s="12">
        <v>0</v>
      </c>
      <c r="K260" s="11" t="s">
        <v>53</v>
      </c>
      <c r="L260" s="11" t="str">
        <f t="shared" si="20"/>
        <v>847989</v>
      </c>
      <c r="M260" s="11" t="str">
        <f>IF(I260&lt;&gt;"",DATA!E259,"")</f>
        <v>ULTRASONIC JEWELRY CLEANER</v>
      </c>
      <c r="N260" s="12">
        <v>0</v>
      </c>
      <c r="O260" s="11">
        <f>IF(I260&lt;&gt;"",DATA!C259,"")</f>
        <v>175.25</v>
      </c>
      <c r="P260" s="2">
        <v>294094</v>
      </c>
      <c r="Q260" s="2" t="s">
        <v>1304</v>
      </c>
      <c r="R260" s="2" t="s">
        <v>1310</v>
      </c>
      <c r="S260" s="2">
        <v>347</v>
      </c>
      <c r="T260" s="2">
        <v>1</v>
      </c>
      <c r="U260" s="2" t="s">
        <v>141</v>
      </c>
      <c r="Y260" s="2">
        <v>1700</v>
      </c>
      <c r="Z260" s="11" t="s">
        <v>54</v>
      </c>
      <c r="AA260" s="11" t="str">
        <f t="shared" si="21"/>
        <v>1700 - TBN</v>
      </c>
      <c r="AC260" s="2" t="s">
        <v>145</v>
      </c>
      <c r="AD260" s="11" t="str">
        <f>IF($I260&lt;&gt;"",VLOOKUP($AC260,GEADRESSEERDE!$A$2:$E$4,2,),"")</f>
        <v>LUITHAGEN HAVEN 2 D</v>
      </c>
      <c r="AE260" s="11">
        <f>IF($I260&lt;&gt;"",VLOOKUP($AC260,GEADRESSEERDE!$A$2:$E$4,3,),"")</f>
        <v>2030</v>
      </c>
      <c r="AF260" s="11" t="str">
        <f>IF($I260&lt;&gt;"",VLOOKUP($AC260,GEADRESSEERDE!$A$2:$E$4,4,),"")</f>
        <v>ANTWERPEN</v>
      </c>
      <c r="AG260" s="11" t="str">
        <f>IF($I260&lt;&gt;"",VLOOKUP($AC260,GEADRESSEERDE!$A$2:$E$4,5,),"")</f>
        <v>BE</v>
      </c>
      <c r="AH260" s="11" t="str">
        <f>IF(I260&lt;&gt;"",VLOOKUP(AP260,KvB!$A$2:$B$3,2,FALSE),"")</f>
        <v>BE101000</v>
      </c>
      <c r="AI260" s="11" t="s">
        <v>55</v>
      </c>
      <c r="AJ260" s="11"/>
      <c r="AK260" s="11"/>
      <c r="AL260" s="11"/>
      <c r="AM260" s="11"/>
      <c r="AN260" s="11"/>
      <c r="AO260" s="11"/>
      <c r="AP260" s="2" t="s">
        <v>70</v>
      </c>
      <c r="AQ260" s="11" t="str">
        <f>IF(I260&lt;&gt;"",DATA!D259,"")</f>
        <v>8479899790</v>
      </c>
    </row>
    <row r="261" spans="1:43" ht="15.75" x14ac:dyDescent="0.25">
      <c r="A261" s="11" t="s">
        <v>57</v>
      </c>
      <c r="B261" s="11" t="s">
        <v>56</v>
      </c>
      <c r="C261" s="22">
        <f t="shared" ref="C261:C324" si="22">C260</f>
        <v>25001620</v>
      </c>
      <c r="D261" s="11" t="str">
        <f t="shared" si="19"/>
        <v>SKIIFM_AT</v>
      </c>
      <c r="E261" s="11" t="str">
        <f>IF(I261&lt;&gt;"",VLOOKUP(F261,OPDRACHTGEVER!$A$2:$B$4,2,FALSE),"")</f>
        <v>SKIIFM_AT</v>
      </c>
      <c r="F261" s="11" t="s">
        <v>58</v>
      </c>
      <c r="I261" s="11" t="str">
        <f>IF(DATA!B260&lt;&gt;"",DATA!B260,"")</f>
        <v>TEMU7870878</v>
      </c>
      <c r="J261" s="12">
        <v>0</v>
      </c>
      <c r="K261" s="11" t="s">
        <v>53</v>
      </c>
      <c r="L261" s="11" t="str">
        <f t="shared" si="20"/>
        <v>843860</v>
      </c>
      <c r="M261" s="11" t="str">
        <f>IF(I261&lt;&gt;"",DATA!E260,"")</f>
        <v>VEGETABLE CUTTER</v>
      </c>
      <c r="N261" s="12">
        <v>0</v>
      </c>
      <c r="O261" s="11">
        <f>IF(I261&lt;&gt;"",DATA!C260,"")</f>
        <v>515.52</v>
      </c>
      <c r="P261" s="2">
        <v>294094</v>
      </c>
      <c r="Q261" s="2" t="s">
        <v>1304</v>
      </c>
      <c r="R261" s="2" t="s">
        <v>1310</v>
      </c>
      <c r="S261" s="2">
        <v>347</v>
      </c>
      <c r="T261" s="2">
        <v>1</v>
      </c>
      <c r="U261" s="2" t="s">
        <v>141</v>
      </c>
      <c r="Y261" s="2">
        <v>1700</v>
      </c>
      <c r="Z261" s="11" t="s">
        <v>54</v>
      </c>
      <c r="AA261" s="11" t="str">
        <f t="shared" si="21"/>
        <v>1700 - TBN</v>
      </c>
      <c r="AC261" s="2" t="s">
        <v>145</v>
      </c>
      <c r="AD261" s="11" t="str">
        <f>IF($I261&lt;&gt;"",VLOOKUP($AC261,GEADRESSEERDE!$A$2:$E$4,2,),"")</f>
        <v>LUITHAGEN HAVEN 2 D</v>
      </c>
      <c r="AE261" s="11">
        <f>IF($I261&lt;&gt;"",VLOOKUP($AC261,GEADRESSEERDE!$A$2:$E$4,3,),"")</f>
        <v>2030</v>
      </c>
      <c r="AF261" s="11" t="str">
        <f>IF($I261&lt;&gt;"",VLOOKUP($AC261,GEADRESSEERDE!$A$2:$E$4,4,),"")</f>
        <v>ANTWERPEN</v>
      </c>
      <c r="AG261" s="11" t="str">
        <f>IF($I261&lt;&gt;"",VLOOKUP($AC261,GEADRESSEERDE!$A$2:$E$4,5,),"")</f>
        <v>BE</v>
      </c>
      <c r="AH261" s="11" t="str">
        <f>IF(I261&lt;&gt;"",VLOOKUP(AP261,KvB!$A$2:$B$3,2,FALSE),"")</f>
        <v>BE101000</v>
      </c>
      <c r="AI261" s="11" t="s">
        <v>55</v>
      </c>
      <c r="AJ261" s="11"/>
      <c r="AK261" s="11"/>
      <c r="AL261" s="11"/>
      <c r="AM261" s="11"/>
      <c r="AN261" s="11"/>
      <c r="AO261" s="11"/>
      <c r="AP261" s="2" t="s">
        <v>70</v>
      </c>
      <c r="AQ261" s="11" t="str">
        <f>IF(I261&lt;&gt;"",DATA!D260,"")</f>
        <v>8438600000</v>
      </c>
    </row>
    <row r="262" spans="1:43" ht="15.75" x14ac:dyDescent="0.25">
      <c r="A262" s="11" t="s">
        <v>57</v>
      </c>
      <c r="B262" s="11" t="s">
        <v>56</v>
      </c>
      <c r="C262" s="22">
        <f t="shared" si="22"/>
        <v>25001620</v>
      </c>
      <c r="D262" s="11" t="str">
        <f t="shared" si="19"/>
        <v>SKIIFM_AT</v>
      </c>
      <c r="E262" s="11" t="str">
        <f>IF(I262&lt;&gt;"",VLOOKUP(F262,OPDRACHTGEVER!$A$2:$B$4,2,FALSE),"")</f>
        <v>SKIIFM_AT</v>
      </c>
      <c r="F262" s="11" t="s">
        <v>58</v>
      </c>
      <c r="I262" s="11" t="str">
        <f>IF(DATA!B261&lt;&gt;"",DATA!B261,"")</f>
        <v>TEMU7870878</v>
      </c>
      <c r="J262" s="12">
        <v>0</v>
      </c>
      <c r="K262" s="11" t="s">
        <v>53</v>
      </c>
      <c r="L262" s="11" t="str">
        <f t="shared" si="20"/>
        <v>902789</v>
      </c>
      <c r="M262" s="11" t="str">
        <f>IF(I262&lt;&gt;"",DATA!E261,"")</f>
        <v>WATER TANK TESTER</v>
      </c>
      <c r="N262" s="12">
        <v>0</v>
      </c>
      <c r="O262" s="11">
        <f>IF(I262&lt;&gt;"",DATA!C261,"")</f>
        <v>242.35</v>
      </c>
      <c r="P262" s="2">
        <v>294094</v>
      </c>
      <c r="Q262" s="2" t="s">
        <v>1304</v>
      </c>
      <c r="R262" s="2" t="s">
        <v>1310</v>
      </c>
      <c r="S262" s="2">
        <v>347</v>
      </c>
      <c r="T262" s="2">
        <v>1</v>
      </c>
      <c r="U262" s="2" t="s">
        <v>141</v>
      </c>
      <c r="Y262" s="2">
        <v>1700</v>
      </c>
      <c r="Z262" s="11" t="s">
        <v>54</v>
      </c>
      <c r="AA262" s="11" t="str">
        <f t="shared" si="21"/>
        <v>1700 - TBN</v>
      </c>
      <c r="AC262" s="2" t="s">
        <v>145</v>
      </c>
      <c r="AD262" s="11" t="str">
        <f>IF($I262&lt;&gt;"",VLOOKUP($AC262,GEADRESSEERDE!$A$2:$E$4,2,),"")</f>
        <v>LUITHAGEN HAVEN 2 D</v>
      </c>
      <c r="AE262" s="11">
        <f>IF($I262&lt;&gt;"",VLOOKUP($AC262,GEADRESSEERDE!$A$2:$E$4,3,),"")</f>
        <v>2030</v>
      </c>
      <c r="AF262" s="11" t="str">
        <f>IF($I262&lt;&gt;"",VLOOKUP($AC262,GEADRESSEERDE!$A$2:$E$4,4,),"")</f>
        <v>ANTWERPEN</v>
      </c>
      <c r="AG262" s="11" t="str">
        <f>IF($I262&lt;&gt;"",VLOOKUP($AC262,GEADRESSEERDE!$A$2:$E$4,5,),"")</f>
        <v>BE</v>
      </c>
      <c r="AH262" s="11" t="str">
        <f>IF(I262&lt;&gt;"",VLOOKUP(AP262,KvB!$A$2:$B$3,2,FALSE),"")</f>
        <v>BE101000</v>
      </c>
      <c r="AI262" s="11" t="s">
        <v>55</v>
      </c>
      <c r="AJ262" s="11"/>
      <c r="AK262" s="11"/>
      <c r="AL262" s="11"/>
      <c r="AM262" s="11"/>
      <c r="AN262" s="11"/>
      <c r="AO262" s="11"/>
      <c r="AP262" s="2" t="s">
        <v>70</v>
      </c>
      <c r="AQ262" s="11" t="str">
        <f>IF(I262&lt;&gt;"",DATA!D261,"")</f>
        <v>9027899000</v>
      </c>
    </row>
    <row r="263" spans="1:43" ht="15.75" x14ac:dyDescent="0.25">
      <c r="A263" s="11" t="s">
        <v>57</v>
      </c>
      <c r="B263" s="11" t="s">
        <v>56</v>
      </c>
      <c r="C263" s="22">
        <f t="shared" si="22"/>
        <v>25001620</v>
      </c>
      <c r="D263" s="11" t="str">
        <f t="shared" si="19"/>
        <v>SKIIFM_AT</v>
      </c>
      <c r="E263" s="11" t="str">
        <f>IF(I263&lt;&gt;"",VLOOKUP(F263,OPDRACHTGEVER!$A$2:$B$4,2,FALSE),"")</f>
        <v>SKIIFM_AT</v>
      </c>
      <c r="F263" s="11" t="s">
        <v>58</v>
      </c>
      <c r="I263" s="11" t="str">
        <f>IF(DATA!B262&lt;&gt;"",DATA!B262,"")</f>
        <v>TGBU6999808</v>
      </c>
      <c r="J263" s="12">
        <v>1237</v>
      </c>
      <c r="K263" s="11" t="s">
        <v>53</v>
      </c>
      <c r="L263" s="11" t="str">
        <f t="shared" si="20"/>
        <v>842121</v>
      </c>
      <c r="M263" s="11" t="str">
        <f>IF(I263&lt;&gt;"",DATA!E262,"")</f>
        <v>AQUARIUM FILTER</v>
      </c>
      <c r="N263" s="12">
        <v>9130</v>
      </c>
      <c r="O263" s="11">
        <f>IF(I263&lt;&gt;"",DATA!C262,"")</f>
        <v>108.8</v>
      </c>
      <c r="P263" s="2">
        <v>294094</v>
      </c>
      <c r="Q263" s="2" t="s">
        <v>1304</v>
      </c>
      <c r="R263" s="2" t="s">
        <v>1311</v>
      </c>
      <c r="S263" s="2">
        <v>584</v>
      </c>
      <c r="T263" s="2">
        <v>1</v>
      </c>
      <c r="U263" s="2" t="s">
        <v>141</v>
      </c>
      <c r="Y263" s="2">
        <v>1700</v>
      </c>
      <c r="Z263" s="11" t="s">
        <v>54</v>
      </c>
      <c r="AA263" s="11" t="str">
        <f t="shared" si="21"/>
        <v>1700 - TBN</v>
      </c>
      <c r="AC263" s="2" t="s">
        <v>145</v>
      </c>
      <c r="AD263" s="11" t="str">
        <f>IF($I263&lt;&gt;"",VLOOKUP($AC263,GEADRESSEERDE!$A$2:$E$4,2,),"")</f>
        <v>LUITHAGEN HAVEN 2 D</v>
      </c>
      <c r="AE263" s="11">
        <f>IF($I263&lt;&gt;"",VLOOKUP($AC263,GEADRESSEERDE!$A$2:$E$4,3,),"")</f>
        <v>2030</v>
      </c>
      <c r="AF263" s="11" t="str">
        <f>IF($I263&lt;&gt;"",VLOOKUP($AC263,GEADRESSEERDE!$A$2:$E$4,4,),"")</f>
        <v>ANTWERPEN</v>
      </c>
      <c r="AG263" s="11" t="str">
        <f>IF($I263&lt;&gt;"",VLOOKUP($AC263,GEADRESSEERDE!$A$2:$E$4,5,),"")</f>
        <v>BE</v>
      </c>
      <c r="AH263" s="11" t="str">
        <f>IF(I263&lt;&gt;"",VLOOKUP(AP263,KvB!$A$2:$B$3,2,FALSE),"")</f>
        <v>BE101000</v>
      </c>
      <c r="AI263" s="11" t="s">
        <v>55</v>
      </c>
      <c r="AJ263" s="11"/>
      <c r="AK263" s="11"/>
      <c r="AL263" s="11"/>
      <c r="AM263" s="11"/>
      <c r="AN263" s="11"/>
      <c r="AO263" s="11"/>
      <c r="AP263" s="2" t="s">
        <v>70</v>
      </c>
      <c r="AQ263" s="11" t="str">
        <f>IF(I263&lt;&gt;"",DATA!D262,"")</f>
        <v>8421210090</v>
      </c>
    </row>
    <row r="264" spans="1:43" ht="15.75" x14ac:dyDescent="0.25">
      <c r="A264" s="11" t="s">
        <v>57</v>
      </c>
      <c r="B264" s="11" t="s">
        <v>56</v>
      </c>
      <c r="C264" s="22">
        <f t="shared" si="22"/>
        <v>25001620</v>
      </c>
      <c r="D264" s="11" t="str">
        <f t="shared" si="19"/>
        <v>SKIIFM_AT</v>
      </c>
      <c r="E264" s="11" t="str">
        <f>IF(I264&lt;&gt;"",VLOOKUP(F264,OPDRACHTGEVER!$A$2:$B$4,2,FALSE),"")</f>
        <v>SKIIFM_AT</v>
      </c>
      <c r="F264" s="11" t="s">
        <v>58</v>
      </c>
      <c r="I264" s="11" t="str">
        <f>IF(DATA!B263&lt;&gt;"",DATA!B263,"")</f>
        <v>TGBU6999808</v>
      </c>
      <c r="J264" s="12">
        <v>0</v>
      </c>
      <c r="K264" s="11" t="s">
        <v>53</v>
      </c>
      <c r="L264" s="11" t="str">
        <f t="shared" si="20"/>
        <v>850980</v>
      </c>
      <c r="M264" s="11" t="str">
        <f>IF(I264&lt;&gt;"",DATA!E263,"")</f>
        <v>AROMA DIFFUSER</v>
      </c>
      <c r="N264" s="12">
        <v>0</v>
      </c>
      <c r="O264" s="11">
        <f>IF(I264&lt;&gt;"",DATA!C263,"")</f>
        <v>1.75</v>
      </c>
      <c r="P264" s="2">
        <v>294094</v>
      </c>
      <c r="Q264" s="2" t="s">
        <v>1304</v>
      </c>
      <c r="R264" s="2" t="s">
        <v>1311</v>
      </c>
      <c r="S264" s="2">
        <v>584</v>
      </c>
      <c r="T264" s="2">
        <v>1</v>
      </c>
      <c r="U264" s="2" t="s">
        <v>141</v>
      </c>
      <c r="Y264" s="2">
        <v>1700</v>
      </c>
      <c r="Z264" s="11" t="s">
        <v>54</v>
      </c>
      <c r="AA264" s="11" t="str">
        <f t="shared" si="21"/>
        <v>1700 - TBN</v>
      </c>
      <c r="AC264" s="2" t="s">
        <v>145</v>
      </c>
      <c r="AD264" s="11" t="str">
        <f>IF($I264&lt;&gt;"",VLOOKUP($AC264,GEADRESSEERDE!$A$2:$E$4,2,),"")</f>
        <v>LUITHAGEN HAVEN 2 D</v>
      </c>
      <c r="AE264" s="11">
        <f>IF($I264&lt;&gt;"",VLOOKUP($AC264,GEADRESSEERDE!$A$2:$E$4,3,),"")</f>
        <v>2030</v>
      </c>
      <c r="AF264" s="11" t="str">
        <f>IF($I264&lt;&gt;"",VLOOKUP($AC264,GEADRESSEERDE!$A$2:$E$4,4,),"")</f>
        <v>ANTWERPEN</v>
      </c>
      <c r="AG264" s="11" t="str">
        <f>IF($I264&lt;&gt;"",VLOOKUP($AC264,GEADRESSEERDE!$A$2:$E$4,5,),"")</f>
        <v>BE</v>
      </c>
      <c r="AH264" s="11" t="str">
        <f>IF(I264&lt;&gt;"",VLOOKUP(AP264,KvB!$A$2:$B$3,2,FALSE),"")</f>
        <v>BE101000</v>
      </c>
      <c r="AI264" s="11" t="s">
        <v>55</v>
      </c>
      <c r="AJ264" s="11"/>
      <c r="AK264" s="11"/>
      <c r="AL264" s="11"/>
      <c r="AM264" s="11"/>
      <c r="AN264" s="11"/>
      <c r="AO264" s="11"/>
      <c r="AP264" s="2" t="s">
        <v>70</v>
      </c>
      <c r="AQ264" s="11" t="str">
        <f>IF(I264&lt;&gt;"",DATA!D263,"")</f>
        <v>8509800000</v>
      </c>
    </row>
    <row r="265" spans="1:43" ht="15.75" x14ac:dyDescent="0.25">
      <c r="A265" s="11" t="s">
        <v>57</v>
      </c>
      <c r="B265" s="11" t="s">
        <v>56</v>
      </c>
      <c r="C265" s="22">
        <f t="shared" si="22"/>
        <v>25001620</v>
      </c>
      <c r="D265" s="11" t="str">
        <f t="shared" si="19"/>
        <v>SKIIFM_AT</v>
      </c>
      <c r="E265" s="11" t="str">
        <f>IF(I265&lt;&gt;"",VLOOKUP(F265,OPDRACHTGEVER!$A$2:$B$4,2,FALSE),"")</f>
        <v>SKIIFM_AT</v>
      </c>
      <c r="F265" s="11" t="s">
        <v>58</v>
      </c>
      <c r="I265" s="11" t="str">
        <f>IF(DATA!B264&lt;&gt;"",DATA!B264,"")</f>
        <v>TGBU6999808</v>
      </c>
      <c r="J265" s="12">
        <v>0</v>
      </c>
      <c r="K265" s="11" t="s">
        <v>53</v>
      </c>
      <c r="L265" s="11" t="str">
        <f t="shared" si="20"/>
        <v>830260</v>
      </c>
      <c r="M265" s="11" t="str">
        <f>IF(I265&lt;&gt;"",DATA!E264,"")</f>
        <v>AUTOMATIC DOOR OPENER</v>
      </c>
      <c r="N265" s="12">
        <v>0</v>
      </c>
      <c r="O265" s="11">
        <f>IF(I265&lt;&gt;"",DATA!C264,"")</f>
        <v>362.1</v>
      </c>
      <c r="P265" s="2">
        <v>294094</v>
      </c>
      <c r="Q265" s="2" t="s">
        <v>1304</v>
      </c>
      <c r="R265" s="2" t="s">
        <v>1311</v>
      </c>
      <c r="S265" s="2">
        <v>584</v>
      </c>
      <c r="T265" s="2">
        <v>1</v>
      </c>
      <c r="U265" s="2" t="s">
        <v>141</v>
      </c>
      <c r="Y265" s="2">
        <v>1700</v>
      </c>
      <c r="Z265" s="11" t="s">
        <v>54</v>
      </c>
      <c r="AA265" s="11" t="str">
        <f t="shared" si="21"/>
        <v>1700 - TBN</v>
      </c>
      <c r="AC265" s="2" t="s">
        <v>145</v>
      </c>
      <c r="AD265" s="11" t="str">
        <f>IF($I265&lt;&gt;"",VLOOKUP($AC265,GEADRESSEERDE!$A$2:$E$4,2,),"")</f>
        <v>LUITHAGEN HAVEN 2 D</v>
      </c>
      <c r="AE265" s="11">
        <f>IF($I265&lt;&gt;"",VLOOKUP($AC265,GEADRESSEERDE!$A$2:$E$4,3,),"")</f>
        <v>2030</v>
      </c>
      <c r="AF265" s="11" t="str">
        <f>IF($I265&lt;&gt;"",VLOOKUP($AC265,GEADRESSEERDE!$A$2:$E$4,4,),"")</f>
        <v>ANTWERPEN</v>
      </c>
      <c r="AG265" s="11" t="str">
        <f>IF($I265&lt;&gt;"",VLOOKUP($AC265,GEADRESSEERDE!$A$2:$E$4,5,),"")</f>
        <v>BE</v>
      </c>
      <c r="AH265" s="11" t="str">
        <f>IF(I265&lt;&gt;"",VLOOKUP(AP265,KvB!$A$2:$B$3,2,FALSE),"")</f>
        <v>BE101000</v>
      </c>
      <c r="AI265" s="11" t="s">
        <v>55</v>
      </c>
      <c r="AJ265" s="11"/>
      <c r="AK265" s="11"/>
      <c r="AL265" s="11"/>
      <c r="AM265" s="11"/>
      <c r="AN265" s="11"/>
      <c r="AO265" s="11"/>
      <c r="AP265" s="2" t="s">
        <v>70</v>
      </c>
      <c r="AQ265" s="11" t="str">
        <f>IF(I265&lt;&gt;"",DATA!D264,"")</f>
        <v>8302600090</v>
      </c>
    </row>
    <row r="266" spans="1:43" ht="15.75" x14ac:dyDescent="0.25">
      <c r="A266" s="11" t="s">
        <v>57</v>
      </c>
      <c r="B266" s="11" t="s">
        <v>56</v>
      </c>
      <c r="C266" s="22">
        <f t="shared" si="22"/>
        <v>25001620</v>
      </c>
      <c r="D266" s="11" t="str">
        <f t="shared" si="19"/>
        <v>SKIIFM_AT</v>
      </c>
      <c r="E266" s="11" t="str">
        <f>IF(I266&lt;&gt;"",VLOOKUP(F266,OPDRACHTGEVER!$A$2:$B$4,2,FALSE),"")</f>
        <v>SKIIFM_AT</v>
      </c>
      <c r="F266" s="11" t="s">
        <v>58</v>
      </c>
      <c r="I266" s="11" t="str">
        <f>IF(DATA!B265&lt;&gt;"",DATA!B265,"")</f>
        <v>TGBU6999808</v>
      </c>
      <c r="J266" s="12">
        <v>0</v>
      </c>
      <c r="K266" s="11" t="s">
        <v>53</v>
      </c>
      <c r="L266" s="11" t="str">
        <f t="shared" si="20"/>
        <v>903180</v>
      </c>
      <c r="M266" s="11" t="str">
        <f>IF(I266&lt;&gt;"",DATA!E265,"")</f>
        <v>AUTOMOTIVE SMOKE MACHINE LEAK DETECTOR</v>
      </c>
      <c r="N266" s="12">
        <v>0</v>
      </c>
      <c r="O266" s="11">
        <f>IF(I266&lt;&gt;"",DATA!C265,"")</f>
        <v>89.6</v>
      </c>
      <c r="P266" s="2">
        <v>294094</v>
      </c>
      <c r="Q266" s="2" t="s">
        <v>1304</v>
      </c>
      <c r="R266" s="2" t="s">
        <v>1311</v>
      </c>
      <c r="S266" s="2">
        <v>584</v>
      </c>
      <c r="T266" s="2">
        <v>1</v>
      </c>
      <c r="U266" s="2" t="s">
        <v>141</v>
      </c>
      <c r="Y266" s="2">
        <v>1700</v>
      </c>
      <c r="Z266" s="11" t="s">
        <v>54</v>
      </c>
      <c r="AA266" s="11" t="str">
        <f t="shared" si="21"/>
        <v>1700 - TBN</v>
      </c>
      <c r="AC266" s="2" t="s">
        <v>145</v>
      </c>
      <c r="AD266" s="11" t="str">
        <f>IF($I266&lt;&gt;"",VLOOKUP($AC266,GEADRESSEERDE!$A$2:$E$4,2,),"")</f>
        <v>LUITHAGEN HAVEN 2 D</v>
      </c>
      <c r="AE266" s="11">
        <f>IF($I266&lt;&gt;"",VLOOKUP($AC266,GEADRESSEERDE!$A$2:$E$4,3,),"")</f>
        <v>2030</v>
      </c>
      <c r="AF266" s="11" t="str">
        <f>IF($I266&lt;&gt;"",VLOOKUP($AC266,GEADRESSEERDE!$A$2:$E$4,4,),"")</f>
        <v>ANTWERPEN</v>
      </c>
      <c r="AG266" s="11" t="str">
        <f>IF($I266&lt;&gt;"",VLOOKUP($AC266,GEADRESSEERDE!$A$2:$E$4,5,),"")</f>
        <v>BE</v>
      </c>
      <c r="AH266" s="11" t="str">
        <f>IF(I266&lt;&gt;"",VLOOKUP(AP266,KvB!$A$2:$B$3,2,FALSE),"")</f>
        <v>BE101000</v>
      </c>
      <c r="AI266" s="11" t="s">
        <v>55</v>
      </c>
      <c r="AJ266" s="11"/>
      <c r="AK266" s="11"/>
      <c r="AL266" s="11"/>
      <c r="AM266" s="11"/>
      <c r="AN266" s="11"/>
      <c r="AO266" s="11"/>
      <c r="AP266" s="2" t="s">
        <v>70</v>
      </c>
      <c r="AQ266" s="11" t="str">
        <f>IF(I266&lt;&gt;"",DATA!D265,"")</f>
        <v>9031808000</v>
      </c>
    </row>
    <row r="267" spans="1:43" ht="15.75" x14ac:dyDescent="0.25">
      <c r="A267" s="11" t="s">
        <v>57</v>
      </c>
      <c r="B267" s="11" t="s">
        <v>56</v>
      </c>
      <c r="C267" s="22">
        <f t="shared" si="22"/>
        <v>25001620</v>
      </c>
      <c r="D267" s="11" t="str">
        <f t="shared" si="19"/>
        <v>SKIIFM_AT</v>
      </c>
      <c r="E267" s="11" t="str">
        <f>IF(I267&lt;&gt;"",VLOOKUP(F267,OPDRACHTGEVER!$A$2:$B$4,2,FALSE),"")</f>
        <v>SKIIFM_AT</v>
      </c>
      <c r="F267" s="11" t="s">
        <v>58</v>
      </c>
      <c r="I267" s="11" t="str">
        <f>IF(DATA!B266&lt;&gt;"",DATA!B266,"")</f>
        <v>TGBU6999808</v>
      </c>
      <c r="J267" s="12">
        <v>0</v>
      </c>
      <c r="K267" s="11" t="s">
        <v>53</v>
      </c>
      <c r="L267" s="11" t="str">
        <f t="shared" si="20"/>
        <v>741920</v>
      </c>
      <c r="M267" s="11" t="str">
        <f>IF(I267&lt;&gt;"",DATA!E266,"")</f>
        <v>BED LIFT MECHANISM</v>
      </c>
      <c r="N267" s="12">
        <v>0</v>
      </c>
      <c r="O267" s="11">
        <f>IF(I267&lt;&gt;"",DATA!C266,"")</f>
        <v>270.2</v>
      </c>
      <c r="P267" s="2">
        <v>294094</v>
      </c>
      <c r="Q267" s="2" t="s">
        <v>1304</v>
      </c>
      <c r="R267" s="2" t="s">
        <v>1311</v>
      </c>
      <c r="S267" s="2">
        <v>584</v>
      </c>
      <c r="T267" s="2">
        <v>1</v>
      </c>
      <c r="U267" s="2" t="s">
        <v>141</v>
      </c>
      <c r="Y267" s="2">
        <v>1700</v>
      </c>
      <c r="Z267" s="11" t="s">
        <v>54</v>
      </c>
      <c r="AA267" s="11" t="str">
        <f t="shared" si="21"/>
        <v>1700 - TBN</v>
      </c>
      <c r="AC267" s="2" t="s">
        <v>145</v>
      </c>
      <c r="AD267" s="11" t="str">
        <f>IF($I267&lt;&gt;"",VLOOKUP($AC267,GEADRESSEERDE!$A$2:$E$4,2,),"")</f>
        <v>LUITHAGEN HAVEN 2 D</v>
      </c>
      <c r="AE267" s="11">
        <f>IF($I267&lt;&gt;"",VLOOKUP($AC267,GEADRESSEERDE!$A$2:$E$4,3,),"")</f>
        <v>2030</v>
      </c>
      <c r="AF267" s="11" t="str">
        <f>IF($I267&lt;&gt;"",VLOOKUP($AC267,GEADRESSEERDE!$A$2:$E$4,4,),"")</f>
        <v>ANTWERPEN</v>
      </c>
      <c r="AG267" s="11" t="str">
        <f>IF($I267&lt;&gt;"",VLOOKUP($AC267,GEADRESSEERDE!$A$2:$E$4,5,),"")</f>
        <v>BE</v>
      </c>
      <c r="AH267" s="11" t="str">
        <f>IF(I267&lt;&gt;"",VLOOKUP(AP267,KvB!$A$2:$B$3,2,FALSE),"")</f>
        <v>BE101000</v>
      </c>
      <c r="AI267" s="11" t="s">
        <v>55</v>
      </c>
      <c r="AJ267" s="11"/>
      <c r="AK267" s="11"/>
      <c r="AL267" s="11"/>
      <c r="AM267" s="11"/>
      <c r="AN267" s="11"/>
      <c r="AO267" s="11"/>
      <c r="AP267" s="2" t="s">
        <v>70</v>
      </c>
      <c r="AQ267" s="11" t="str">
        <f>IF(I267&lt;&gt;"",DATA!D266,"")</f>
        <v>7419200090</v>
      </c>
    </row>
    <row r="268" spans="1:43" ht="15.75" x14ac:dyDescent="0.25">
      <c r="A268" s="11" t="s">
        <v>57</v>
      </c>
      <c r="B268" s="11" t="s">
        <v>56</v>
      </c>
      <c r="C268" s="22">
        <f t="shared" si="22"/>
        <v>25001620</v>
      </c>
      <c r="D268" s="11" t="str">
        <f t="shared" si="19"/>
        <v>SKIIFM_AT</v>
      </c>
      <c r="E268" s="11" t="str">
        <f>IF(I268&lt;&gt;"",VLOOKUP(F268,OPDRACHTGEVER!$A$2:$B$4,2,FALSE),"")</f>
        <v>SKIIFM_AT</v>
      </c>
      <c r="F268" s="11" t="s">
        <v>58</v>
      </c>
      <c r="I268" s="11" t="str">
        <f>IF(DATA!B267&lt;&gt;"",DATA!B267,"")</f>
        <v>TGBU6999808</v>
      </c>
      <c r="J268" s="12">
        <v>0</v>
      </c>
      <c r="K268" s="11" t="s">
        <v>53</v>
      </c>
      <c r="L268" s="11" t="str">
        <f t="shared" si="20"/>
        <v>391890</v>
      </c>
      <c r="M268" s="11" t="str">
        <f>IF(I268&lt;&gt;"",DATA!E267,"")</f>
        <v>BOAT FLOORING</v>
      </c>
      <c r="N268" s="12">
        <v>0</v>
      </c>
      <c r="O268" s="11">
        <f>IF(I268&lt;&gt;"",DATA!C267,"")</f>
        <v>1.1000000000000001</v>
      </c>
      <c r="P268" s="2">
        <v>294094</v>
      </c>
      <c r="Q268" s="2" t="s">
        <v>1304</v>
      </c>
      <c r="R268" s="2" t="s">
        <v>1311</v>
      </c>
      <c r="S268" s="2">
        <v>584</v>
      </c>
      <c r="T268" s="2">
        <v>1</v>
      </c>
      <c r="U268" s="2" t="s">
        <v>141</v>
      </c>
      <c r="Y268" s="2">
        <v>1700</v>
      </c>
      <c r="Z268" s="11" t="s">
        <v>54</v>
      </c>
      <c r="AA268" s="11" t="str">
        <f t="shared" si="21"/>
        <v>1700 - TBN</v>
      </c>
      <c r="AC268" s="2" t="s">
        <v>145</v>
      </c>
      <c r="AD268" s="11" t="str">
        <f>IF($I268&lt;&gt;"",VLOOKUP($AC268,GEADRESSEERDE!$A$2:$E$4,2,),"")</f>
        <v>LUITHAGEN HAVEN 2 D</v>
      </c>
      <c r="AE268" s="11">
        <f>IF($I268&lt;&gt;"",VLOOKUP($AC268,GEADRESSEERDE!$A$2:$E$4,3,),"")</f>
        <v>2030</v>
      </c>
      <c r="AF268" s="11" t="str">
        <f>IF($I268&lt;&gt;"",VLOOKUP($AC268,GEADRESSEERDE!$A$2:$E$4,4,),"")</f>
        <v>ANTWERPEN</v>
      </c>
      <c r="AG268" s="11" t="str">
        <f>IF($I268&lt;&gt;"",VLOOKUP($AC268,GEADRESSEERDE!$A$2:$E$4,5,),"")</f>
        <v>BE</v>
      </c>
      <c r="AH268" s="11" t="str">
        <f>IF(I268&lt;&gt;"",VLOOKUP(AP268,KvB!$A$2:$B$3,2,FALSE),"")</f>
        <v>BE101000</v>
      </c>
      <c r="AI268" s="11" t="s">
        <v>55</v>
      </c>
      <c r="AJ268" s="11"/>
      <c r="AK268" s="11"/>
      <c r="AL268" s="11"/>
      <c r="AM268" s="11"/>
      <c r="AN268" s="11"/>
      <c r="AO268" s="11"/>
      <c r="AP268" s="2" t="s">
        <v>70</v>
      </c>
      <c r="AQ268" s="11" t="str">
        <f>IF(I268&lt;&gt;"",DATA!D267,"")</f>
        <v>3918900090</v>
      </c>
    </row>
    <row r="269" spans="1:43" ht="15.75" x14ac:dyDescent="0.25">
      <c r="A269" s="11" t="s">
        <v>57</v>
      </c>
      <c r="B269" s="11" t="s">
        <v>56</v>
      </c>
      <c r="C269" s="22">
        <f t="shared" si="22"/>
        <v>25001620</v>
      </c>
      <c r="D269" s="11" t="str">
        <f t="shared" si="19"/>
        <v>SKIIFM_AT</v>
      </c>
      <c r="E269" s="11" t="str">
        <f>IF(I269&lt;&gt;"",VLOOKUP(F269,OPDRACHTGEVER!$A$2:$B$4,2,FALSE),"")</f>
        <v>SKIIFM_AT</v>
      </c>
      <c r="F269" s="11" t="s">
        <v>58</v>
      </c>
      <c r="I269" s="11" t="str">
        <f>IF(DATA!B268&lt;&gt;"",DATA!B268,"")</f>
        <v>TGBU6999808</v>
      </c>
      <c r="J269" s="12">
        <v>0</v>
      </c>
      <c r="K269" s="11" t="s">
        <v>53</v>
      </c>
      <c r="L269" s="11" t="str">
        <f t="shared" si="20"/>
        <v>392690</v>
      </c>
      <c r="M269" s="11" t="str">
        <f>IF(I269&lt;&gt;"",DATA!E268,"")</f>
        <v>BREAD DISPLAY RACK</v>
      </c>
      <c r="N269" s="12">
        <v>0</v>
      </c>
      <c r="O269" s="11">
        <f>IF(I269&lt;&gt;"",DATA!C268,"")</f>
        <v>20.2</v>
      </c>
      <c r="P269" s="2">
        <v>294094</v>
      </c>
      <c r="Q269" s="2" t="s">
        <v>1304</v>
      </c>
      <c r="R269" s="2" t="s">
        <v>1311</v>
      </c>
      <c r="S269" s="2">
        <v>584</v>
      </c>
      <c r="T269" s="2">
        <v>1</v>
      </c>
      <c r="U269" s="2" t="s">
        <v>141</v>
      </c>
      <c r="Y269" s="2">
        <v>1700</v>
      </c>
      <c r="Z269" s="11" t="s">
        <v>54</v>
      </c>
      <c r="AA269" s="11" t="str">
        <f t="shared" si="21"/>
        <v>1700 - TBN</v>
      </c>
      <c r="AC269" s="2" t="s">
        <v>145</v>
      </c>
      <c r="AD269" s="11" t="str">
        <f>IF($I269&lt;&gt;"",VLOOKUP($AC269,GEADRESSEERDE!$A$2:$E$4,2,),"")</f>
        <v>LUITHAGEN HAVEN 2 D</v>
      </c>
      <c r="AE269" s="11">
        <f>IF($I269&lt;&gt;"",VLOOKUP($AC269,GEADRESSEERDE!$A$2:$E$4,3,),"")</f>
        <v>2030</v>
      </c>
      <c r="AF269" s="11" t="str">
        <f>IF($I269&lt;&gt;"",VLOOKUP($AC269,GEADRESSEERDE!$A$2:$E$4,4,),"")</f>
        <v>ANTWERPEN</v>
      </c>
      <c r="AG269" s="11" t="str">
        <f>IF($I269&lt;&gt;"",VLOOKUP($AC269,GEADRESSEERDE!$A$2:$E$4,5,),"")</f>
        <v>BE</v>
      </c>
      <c r="AH269" s="11" t="str">
        <f>IF(I269&lt;&gt;"",VLOOKUP(AP269,KvB!$A$2:$B$3,2,FALSE),"")</f>
        <v>BE101000</v>
      </c>
      <c r="AI269" s="11" t="s">
        <v>55</v>
      </c>
      <c r="AJ269" s="11"/>
      <c r="AK269" s="11"/>
      <c r="AL269" s="11"/>
      <c r="AM269" s="11"/>
      <c r="AN269" s="11"/>
      <c r="AO269" s="11"/>
      <c r="AP269" s="2" t="s">
        <v>70</v>
      </c>
      <c r="AQ269" s="11" t="str">
        <f>IF(I269&lt;&gt;"",DATA!D268,"")</f>
        <v>3926909790</v>
      </c>
    </row>
    <row r="270" spans="1:43" ht="15.75" x14ac:dyDescent="0.25">
      <c r="A270" s="11" t="s">
        <v>57</v>
      </c>
      <c r="B270" s="11" t="s">
        <v>56</v>
      </c>
      <c r="C270" s="22">
        <f t="shared" si="22"/>
        <v>25001620</v>
      </c>
      <c r="D270" s="11" t="str">
        <f t="shared" si="19"/>
        <v>SKIIFM_AT</v>
      </c>
      <c r="E270" s="11" t="str">
        <f>IF(I270&lt;&gt;"",VLOOKUP(F270,OPDRACHTGEVER!$A$2:$B$4,2,FALSE),"")</f>
        <v>SKIIFM_AT</v>
      </c>
      <c r="F270" s="11" t="s">
        <v>58</v>
      </c>
      <c r="I270" s="11" t="str">
        <f>IF(DATA!B269&lt;&gt;"",DATA!B269,"")</f>
        <v>TGBU6999808</v>
      </c>
      <c r="J270" s="12">
        <v>0</v>
      </c>
      <c r="K270" s="11" t="s">
        <v>53</v>
      </c>
      <c r="L270" s="11" t="str">
        <f t="shared" si="20"/>
        <v>741920</v>
      </c>
      <c r="M270" s="11" t="str">
        <f>IF(I270&lt;&gt;"",DATA!E269,"")</f>
        <v>BUCKET</v>
      </c>
      <c r="N270" s="12">
        <v>0</v>
      </c>
      <c r="O270" s="11">
        <f>IF(I270&lt;&gt;"",DATA!C269,"")</f>
        <v>35</v>
      </c>
      <c r="P270" s="2">
        <v>294094</v>
      </c>
      <c r="Q270" s="2" t="s">
        <v>1304</v>
      </c>
      <c r="R270" s="2" t="s">
        <v>1311</v>
      </c>
      <c r="S270" s="2">
        <v>584</v>
      </c>
      <c r="T270" s="2">
        <v>1</v>
      </c>
      <c r="U270" s="2" t="s">
        <v>141</v>
      </c>
      <c r="Y270" s="2">
        <v>1700</v>
      </c>
      <c r="Z270" s="11" t="s">
        <v>54</v>
      </c>
      <c r="AA270" s="11" t="str">
        <f t="shared" si="21"/>
        <v>1700 - TBN</v>
      </c>
      <c r="AC270" s="2" t="s">
        <v>145</v>
      </c>
      <c r="AD270" s="11" t="str">
        <f>IF($I270&lt;&gt;"",VLOOKUP($AC270,GEADRESSEERDE!$A$2:$E$4,2,),"")</f>
        <v>LUITHAGEN HAVEN 2 D</v>
      </c>
      <c r="AE270" s="11">
        <f>IF($I270&lt;&gt;"",VLOOKUP($AC270,GEADRESSEERDE!$A$2:$E$4,3,),"")</f>
        <v>2030</v>
      </c>
      <c r="AF270" s="11" t="str">
        <f>IF($I270&lt;&gt;"",VLOOKUP($AC270,GEADRESSEERDE!$A$2:$E$4,4,),"")</f>
        <v>ANTWERPEN</v>
      </c>
      <c r="AG270" s="11" t="str">
        <f>IF($I270&lt;&gt;"",VLOOKUP($AC270,GEADRESSEERDE!$A$2:$E$4,5,),"")</f>
        <v>BE</v>
      </c>
      <c r="AH270" s="11" t="str">
        <f>IF(I270&lt;&gt;"",VLOOKUP(AP270,KvB!$A$2:$B$3,2,FALSE),"")</f>
        <v>BE101000</v>
      </c>
      <c r="AI270" s="11" t="s">
        <v>55</v>
      </c>
      <c r="AJ270" s="11"/>
      <c r="AK270" s="11"/>
      <c r="AL270" s="11"/>
      <c r="AM270" s="11"/>
      <c r="AN270" s="11"/>
      <c r="AO270" s="11"/>
      <c r="AP270" s="2" t="s">
        <v>70</v>
      </c>
      <c r="AQ270" s="11" t="str">
        <f>IF(I270&lt;&gt;"",DATA!D269,"")</f>
        <v>7419200090</v>
      </c>
    </row>
    <row r="271" spans="1:43" ht="15.75" x14ac:dyDescent="0.25">
      <c r="A271" s="11" t="s">
        <v>57</v>
      </c>
      <c r="B271" s="11" t="s">
        <v>56</v>
      </c>
      <c r="C271" s="22">
        <f t="shared" si="22"/>
        <v>25001620</v>
      </c>
      <c r="D271" s="11" t="str">
        <f t="shared" si="19"/>
        <v>SKIIFM_AT</v>
      </c>
      <c r="E271" s="11" t="str">
        <f>IF(I271&lt;&gt;"",VLOOKUP(F271,OPDRACHTGEVER!$A$2:$B$4,2,FALSE),"")</f>
        <v>SKIIFM_AT</v>
      </c>
      <c r="F271" s="11" t="s">
        <v>58</v>
      </c>
      <c r="I271" s="11" t="str">
        <f>IF(DATA!B270&lt;&gt;"",DATA!B270,"")</f>
        <v>TGBU6999808</v>
      </c>
      <c r="J271" s="12">
        <v>0</v>
      </c>
      <c r="K271" s="11" t="s">
        <v>53</v>
      </c>
      <c r="L271" s="11" t="str">
        <f t="shared" si="20"/>
        <v>841620</v>
      </c>
      <c r="M271" s="11" t="str">
        <f>IF(I271&lt;&gt;"",DATA!E270,"")</f>
        <v>BURNER</v>
      </c>
      <c r="N271" s="12">
        <v>0</v>
      </c>
      <c r="O271" s="11">
        <f>IF(I271&lt;&gt;"",DATA!C270,"")</f>
        <v>1</v>
      </c>
      <c r="P271" s="2">
        <v>294094</v>
      </c>
      <c r="Q271" s="2" t="s">
        <v>1304</v>
      </c>
      <c r="R271" s="2" t="s">
        <v>1311</v>
      </c>
      <c r="S271" s="2">
        <v>584</v>
      </c>
      <c r="T271" s="2">
        <v>1</v>
      </c>
      <c r="U271" s="2" t="s">
        <v>141</v>
      </c>
      <c r="Y271" s="2">
        <v>1700</v>
      </c>
      <c r="Z271" s="11" t="s">
        <v>54</v>
      </c>
      <c r="AA271" s="11" t="str">
        <f t="shared" si="21"/>
        <v>1700 - TBN</v>
      </c>
      <c r="AC271" s="2" t="s">
        <v>145</v>
      </c>
      <c r="AD271" s="11" t="str">
        <f>IF($I271&lt;&gt;"",VLOOKUP($AC271,GEADRESSEERDE!$A$2:$E$4,2,),"")</f>
        <v>LUITHAGEN HAVEN 2 D</v>
      </c>
      <c r="AE271" s="11">
        <f>IF($I271&lt;&gt;"",VLOOKUP($AC271,GEADRESSEERDE!$A$2:$E$4,3,),"")</f>
        <v>2030</v>
      </c>
      <c r="AF271" s="11" t="str">
        <f>IF($I271&lt;&gt;"",VLOOKUP($AC271,GEADRESSEERDE!$A$2:$E$4,4,),"")</f>
        <v>ANTWERPEN</v>
      </c>
      <c r="AG271" s="11" t="str">
        <f>IF($I271&lt;&gt;"",VLOOKUP($AC271,GEADRESSEERDE!$A$2:$E$4,5,),"")</f>
        <v>BE</v>
      </c>
      <c r="AH271" s="11" t="str">
        <f>IF(I271&lt;&gt;"",VLOOKUP(AP271,KvB!$A$2:$B$3,2,FALSE),"")</f>
        <v>BE101000</v>
      </c>
      <c r="AI271" s="11" t="s">
        <v>55</v>
      </c>
      <c r="AJ271" s="11"/>
      <c r="AK271" s="11"/>
      <c r="AL271" s="11"/>
      <c r="AM271" s="11"/>
      <c r="AN271" s="11"/>
      <c r="AO271" s="11"/>
      <c r="AP271" s="2" t="s">
        <v>70</v>
      </c>
      <c r="AQ271" s="11" t="str">
        <f>IF(I271&lt;&gt;"",DATA!D270,"")</f>
        <v>8416201000</v>
      </c>
    </row>
    <row r="272" spans="1:43" ht="15.75" x14ac:dyDescent="0.25">
      <c r="A272" s="11" t="s">
        <v>57</v>
      </c>
      <c r="B272" s="11" t="s">
        <v>56</v>
      </c>
      <c r="C272" s="22">
        <f t="shared" si="22"/>
        <v>25001620</v>
      </c>
      <c r="D272" s="11" t="str">
        <f t="shared" si="19"/>
        <v>SKIIFM_AT</v>
      </c>
      <c r="E272" s="11" t="str">
        <f>IF(I272&lt;&gt;"",VLOOKUP(F272,OPDRACHTGEVER!$A$2:$B$4,2,FALSE),"")</f>
        <v>SKIIFM_AT</v>
      </c>
      <c r="F272" s="11" t="s">
        <v>58</v>
      </c>
      <c r="I272" s="11" t="str">
        <f>IF(DATA!B271&lt;&gt;"",DATA!B271,"")</f>
        <v>TGBU6999808</v>
      </c>
      <c r="J272" s="12">
        <v>0</v>
      </c>
      <c r="K272" s="11" t="s">
        <v>53</v>
      </c>
      <c r="L272" s="11" t="str">
        <f t="shared" si="20"/>
        <v>851671</v>
      </c>
      <c r="M272" s="11" t="str">
        <f>IF(I272&lt;&gt;"",DATA!E271,"")</f>
        <v>COFFEE BUCKET</v>
      </c>
      <c r="N272" s="12">
        <v>0</v>
      </c>
      <c r="O272" s="11">
        <f>IF(I272&lt;&gt;"",DATA!C271,"")</f>
        <v>34.950000000000003</v>
      </c>
      <c r="P272" s="2">
        <v>294094</v>
      </c>
      <c r="Q272" s="2" t="s">
        <v>1304</v>
      </c>
      <c r="R272" s="2" t="s">
        <v>1311</v>
      </c>
      <c r="S272" s="2">
        <v>584</v>
      </c>
      <c r="T272" s="2">
        <v>1</v>
      </c>
      <c r="U272" s="2" t="s">
        <v>141</v>
      </c>
      <c r="Y272" s="2">
        <v>1700</v>
      </c>
      <c r="Z272" s="11" t="s">
        <v>54</v>
      </c>
      <c r="AA272" s="11" t="str">
        <f t="shared" si="21"/>
        <v>1700 - TBN</v>
      </c>
      <c r="AC272" s="2" t="s">
        <v>145</v>
      </c>
      <c r="AD272" s="11" t="str">
        <f>IF($I272&lt;&gt;"",VLOOKUP($AC272,GEADRESSEERDE!$A$2:$E$4,2,),"")</f>
        <v>LUITHAGEN HAVEN 2 D</v>
      </c>
      <c r="AE272" s="11">
        <f>IF($I272&lt;&gt;"",VLOOKUP($AC272,GEADRESSEERDE!$A$2:$E$4,3,),"")</f>
        <v>2030</v>
      </c>
      <c r="AF272" s="11" t="str">
        <f>IF($I272&lt;&gt;"",VLOOKUP($AC272,GEADRESSEERDE!$A$2:$E$4,4,),"")</f>
        <v>ANTWERPEN</v>
      </c>
      <c r="AG272" s="11" t="str">
        <f>IF($I272&lt;&gt;"",VLOOKUP($AC272,GEADRESSEERDE!$A$2:$E$4,5,),"")</f>
        <v>BE</v>
      </c>
      <c r="AH272" s="11" t="str">
        <f>IF(I272&lt;&gt;"",VLOOKUP(AP272,KvB!$A$2:$B$3,2,FALSE),"")</f>
        <v>BE101000</v>
      </c>
      <c r="AI272" s="11" t="s">
        <v>55</v>
      </c>
      <c r="AJ272" s="11"/>
      <c r="AK272" s="11"/>
      <c r="AL272" s="11"/>
      <c r="AM272" s="11"/>
      <c r="AN272" s="11"/>
      <c r="AO272" s="11"/>
      <c r="AP272" s="2" t="s">
        <v>70</v>
      </c>
      <c r="AQ272" s="11" t="str">
        <f>IF(I272&lt;&gt;"",DATA!D271,"")</f>
        <v>8516710000</v>
      </c>
    </row>
    <row r="273" spans="1:43" ht="15.75" x14ac:dyDescent="0.25">
      <c r="A273" s="11" t="s">
        <v>57</v>
      </c>
      <c r="B273" s="11" t="s">
        <v>56</v>
      </c>
      <c r="C273" s="22">
        <f t="shared" si="22"/>
        <v>25001620</v>
      </c>
      <c r="D273" s="11" t="str">
        <f t="shared" si="19"/>
        <v>SKIIFM_AT</v>
      </c>
      <c r="E273" s="11" t="str">
        <f>IF(I273&lt;&gt;"",VLOOKUP(F273,OPDRACHTGEVER!$A$2:$B$4,2,FALSE),"")</f>
        <v>SKIIFM_AT</v>
      </c>
      <c r="F273" s="11" t="s">
        <v>58</v>
      </c>
      <c r="I273" s="11" t="str">
        <f>IF(DATA!B272&lt;&gt;"",DATA!B272,"")</f>
        <v>TGBU6999808</v>
      </c>
      <c r="J273" s="12">
        <v>0</v>
      </c>
      <c r="K273" s="11" t="s">
        <v>53</v>
      </c>
      <c r="L273" s="11" t="str">
        <f t="shared" si="20"/>
        <v>847290</v>
      </c>
      <c r="M273" s="11" t="str">
        <f>IF(I273&lt;&gt;"",DATA!E272,"")</f>
        <v>COIN COUNTER SORTER</v>
      </c>
      <c r="N273" s="12">
        <v>0</v>
      </c>
      <c r="O273" s="11">
        <f>IF(I273&lt;&gt;"",DATA!C272,"")</f>
        <v>27.6</v>
      </c>
      <c r="P273" s="2">
        <v>294094</v>
      </c>
      <c r="Q273" s="2" t="s">
        <v>1304</v>
      </c>
      <c r="R273" s="2" t="s">
        <v>1311</v>
      </c>
      <c r="S273" s="2">
        <v>584</v>
      </c>
      <c r="T273" s="2">
        <v>1</v>
      </c>
      <c r="U273" s="2" t="s">
        <v>141</v>
      </c>
      <c r="Y273" s="2">
        <v>1700</v>
      </c>
      <c r="Z273" s="11" t="s">
        <v>54</v>
      </c>
      <c r="AA273" s="11" t="str">
        <f t="shared" si="21"/>
        <v>1700 - TBN</v>
      </c>
      <c r="AC273" s="2" t="s">
        <v>145</v>
      </c>
      <c r="AD273" s="11" t="str">
        <f>IF($I273&lt;&gt;"",VLOOKUP($AC273,GEADRESSEERDE!$A$2:$E$4,2,),"")</f>
        <v>LUITHAGEN HAVEN 2 D</v>
      </c>
      <c r="AE273" s="11">
        <f>IF($I273&lt;&gt;"",VLOOKUP($AC273,GEADRESSEERDE!$A$2:$E$4,3,),"")</f>
        <v>2030</v>
      </c>
      <c r="AF273" s="11" t="str">
        <f>IF($I273&lt;&gt;"",VLOOKUP($AC273,GEADRESSEERDE!$A$2:$E$4,4,),"")</f>
        <v>ANTWERPEN</v>
      </c>
      <c r="AG273" s="11" t="str">
        <f>IF($I273&lt;&gt;"",VLOOKUP($AC273,GEADRESSEERDE!$A$2:$E$4,5,),"")</f>
        <v>BE</v>
      </c>
      <c r="AH273" s="11" t="str">
        <f>IF(I273&lt;&gt;"",VLOOKUP(AP273,KvB!$A$2:$B$3,2,FALSE),"")</f>
        <v>BE101000</v>
      </c>
      <c r="AI273" s="11" t="s">
        <v>55</v>
      </c>
      <c r="AJ273" s="11"/>
      <c r="AK273" s="11"/>
      <c r="AL273" s="11"/>
      <c r="AM273" s="11"/>
      <c r="AN273" s="11"/>
      <c r="AO273" s="11"/>
      <c r="AP273" s="2" t="s">
        <v>70</v>
      </c>
      <c r="AQ273" s="11" t="str">
        <f>IF(I273&lt;&gt;"",DATA!D272,"")</f>
        <v>8472908000</v>
      </c>
    </row>
    <row r="274" spans="1:43" ht="15.75" x14ac:dyDescent="0.25">
      <c r="A274" s="11" t="s">
        <v>57</v>
      </c>
      <c r="B274" s="11" t="s">
        <v>56</v>
      </c>
      <c r="C274" s="22">
        <f t="shared" si="22"/>
        <v>25001620</v>
      </c>
      <c r="D274" s="11" t="str">
        <f t="shared" si="19"/>
        <v>SKIIFM_AT</v>
      </c>
      <c r="E274" s="11" t="str">
        <f>IF(I274&lt;&gt;"",VLOOKUP(F274,OPDRACHTGEVER!$A$2:$B$4,2,FALSE),"")</f>
        <v>SKIIFM_AT</v>
      </c>
      <c r="F274" s="11" t="s">
        <v>58</v>
      </c>
      <c r="I274" s="11" t="str">
        <f>IF(DATA!B273&lt;&gt;"",DATA!B273,"")</f>
        <v>TGBU6999808</v>
      </c>
      <c r="J274" s="12">
        <v>0</v>
      </c>
      <c r="K274" s="11" t="s">
        <v>53</v>
      </c>
      <c r="L274" s="11" t="str">
        <f t="shared" si="20"/>
        <v>843880</v>
      </c>
      <c r="M274" s="11" t="str">
        <f>IF(I274&lt;&gt;"",DATA!E273,"")</f>
        <v>COTTON CANDY MACHINE</v>
      </c>
      <c r="N274" s="12">
        <v>0</v>
      </c>
      <c r="O274" s="11">
        <f>IF(I274&lt;&gt;"",DATA!C273,"")</f>
        <v>182.4</v>
      </c>
      <c r="P274" s="2">
        <v>294094</v>
      </c>
      <c r="Q274" s="2" t="s">
        <v>1304</v>
      </c>
      <c r="R274" s="2" t="s">
        <v>1311</v>
      </c>
      <c r="S274" s="2">
        <v>584</v>
      </c>
      <c r="T274" s="2">
        <v>1</v>
      </c>
      <c r="U274" s="2" t="s">
        <v>141</v>
      </c>
      <c r="Y274" s="2">
        <v>1700</v>
      </c>
      <c r="Z274" s="11" t="s">
        <v>54</v>
      </c>
      <c r="AA274" s="11" t="str">
        <f t="shared" si="21"/>
        <v>1700 - TBN</v>
      </c>
      <c r="AC274" s="2" t="s">
        <v>145</v>
      </c>
      <c r="AD274" s="11" t="str">
        <f>IF($I274&lt;&gt;"",VLOOKUP($AC274,GEADRESSEERDE!$A$2:$E$4,2,),"")</f>
        <v>LUITHAGEN HAVEN 2 D</v>
      </c>
      <c r="AE274" s="11">
        <f>IF($I274&lt;&gt;"",VLOOKUP($AC274,GEADRESSEERDE!$A$2:$E$4,3,),"")</f>
        <v>2030</v>
      </c>
      <c r="AF274" s="11" t="str">
        <f>IF($I274&lt;&gt;"",VLOOKUP($AC274,GEADRESSEERDE!$A$2:$E$4,4,),"")</f>
        <v>ANTWERPEN</v>
      </c>
      <c r="AG274" s="11" t="str">
        <f>IF($I274&lt;&gt;"",VLOOKUP($AC274,GEADRESSEERDE!$A$2:$E$4,5,),"")</f>
        <v>BE</v>
      </c>
      <c r="AH274" s="11" t="str">
        <f>IF(I274&lt;&gt;"",VLOOKUP(AP274,KvB!$A$2:$B$3,2,FALSE),"")</f>
        <v>BE101000</v>
      </c>
      <c r="AI274" s="11" t="s">
        <v>55</v>
      </c>
      <c r="AJ274" s="11"/>
      <c r="AK274" s="11"/>
      <c r="AL274" s="11"/>
      <c r="AM274" s="11"/>
      <c r="AN274" s="11"/>
      <c r="AO274" s="11"/>
      <c r="AP274" s="2" t="s">
        <v>70</v>
      </c>
      <c r="AQ274" s="11" t="str">
        <f>IF(I274&lt;&gt;"",DATA!D273,"")</f>
        <v>8438809900</v>
      </c>
    </row>
    <row r="275" spans="1:43" ht="15.75" x14ac:dyDescent="0.25">
      <c r="A275" s="11" t="s">
        <v>57</v>
      </c>
      <c r="B275" s="11" t="s">
        <v>56</v>
      </c>
      <c r="C275" s="22">
        <f t="shared" si="22"/>
        <v>25001620</v>
      </c>
      <c r="D275" s="11" t="str">
        <f t="shared" si="19"/>
        <v>SKIIFM_AT</v>
      </c>
      <c r="E275" s="11" t="str">
        <f>IF(I275&lt;&gt;"",VLOOKUP(F275,OPDRACHTGEVER!$A$2:$B$4,2,FALSE),"")</f>
        <v>SKIIFM_AT</v>
      </c>
      <c r="F275" s="11" t="s">
        <v>58</v>
      </c>
      <c r="I275" s="11" t="str">
        <f>IF(DATA!B274&lt;&gt;"",DATA!B274,"")</f>
        <v>TGBU6999808</v>
      </c>
      <c r="J275" s="12">
        <v>0</v>
      </c>
      <c r="K275" s="11" t="s">
        <v>53</v>
      </c>
      <c r="L275" s="11" t="str">
        <f t="shared" si="20"/>
        <v>830241</v>
      </c>
      <c r="M275" s="11" t="str">
        <f>IF(I275&lt;&gt;"",DATA!E274,"")</f>
        <v>CURTAIN TRACK</v>
      </c>
      <c r="N275" s="12">
        <v>0</v>
      </c>
      <c r="O275" s="11">
        <f>IF(I275&lt;&gt;"",DATA!C274,"")</f>
        <v>0.6</v>
      </c>
      <c r="P275" s="2">
        <v>294094</v>
      </c>
      <c r="Q275" s="2" t="s">
        <v>1304</v>
      </c>
      <c r="R275" s="2" t="s">
        <v>1311</v>
      </c>
      <c r="S275" s="2">
        <v>584</v>
      </c>
      <c r="T275" s="2">
        <v>1</v>
      </c>
      <c r="U275" s="2" t="s">
        <v>141</v>
      </c>
      <c r="Y275" s="2">
        <v>1700</v>
      </c>
      <c r="Z275" s="11" t="s">
        <v>54</v>
      </c>
      <c r="AA275" s="11" t="str">
        <f t="shared" si="21"/>
        <v>1700 - TBN</v>
      </c>
      <c r="AC275" s="2" t="s">
        <v>145</v>
      </c>
      <c r="AD275" s="11" t="str">
        <f>IF($I275&lt;&gt;"",VLOOKUP($AC275,GEADRESSEERDE!$A$2:$E$4,2,),"")</f>
        <v>LUITHAGEN HAVEN 2 D</v>
      </c>
      <c r="AE275" s="11">
        <f>IF($I275&lt;&gt;"",VLOOKUP($AC275,GEADRESSEERDE!$A$2:$E$4,3,),"")</f>
        <v>2030</v>
      </c>
      <c r="AF275" s="11" t="str">
        <f>IF($I275&lt;&gt;"",VLOOKUP($AC275,GEADRESSEERDE!$A$2:$E$4,4,),"")</f>
        <v>ANTWERPEN</v>
      </c>
      <c r="AG275" s="11" t="str">
        <f>IF($I275&lt;&gt;"",VLOOKUP($AC275,GEADRESSEERDE!$A$2:$E$4,5,),"")</f>
        <v>BE</v>
      </c>
      <c r="AH275" s="11" t="str">
        <f>IF(I275&lt;&gt;"",VLOOKUP(AP275,KvB!$A$2:$B$3,2,FALSE),"")</f>
        <v>BE101000</v>
      </c>
      <c r="AI275" s="11" t="s">
        <v>55</v>
      </c>
      <c r="AJ275" s="11"/>
      <c r="AK275" s="11"/>
      <c r="AL275" s="11"/>
      <c r="AM275" s="11"/>
      <c r="AN275" s="11"/>
      <c r="AO275" s="11"/>
      <c r="AP275" s="2" t="s">
        <v>70</v>
      </c>
      <c r="AQ275" s="11" t="str">
        <f>IF(I275&lt;&gt;"",DATA!D274,"")</f>
        <v>8302419000</v>
      </c>
    </row>
    <row r="276" spans="1:43" ht="15.75" x14ac:dyDescent="0.25">
      <c r="A276" s="11" t="s">
        <v>57</v>
      </c>
      <c r="B276" s="11" t="s">
        <v>56</v>
      </c>
      <c r="C276" s="22">
        <f t="shared" si="22"/>
        <v>25001620</v>
      </c>
      <c r="D276" s="11" t="str">
        <f t="shared" si="19"/>
        <v>SKIIFM_AT</v>
      </c>
      <c r="E276" s="11" t="str">
        <f>IF(I276&lt;&gt;"",VLOOKUP(F276,OPDRACHTGEVER!$A$2:$B$4,2,FALSE),"")</f>
        <v>SKIIFM_AT</v>
      </c>
      <c r="F276" s="11" t="s">
        <v>58</v>
      </c>
      <c r="I276" s="11" t="str">
        <f>IF(DATA!B275&lt;&gt;"",DATA!B275,"")</f>
        <v>TGBU6999808</v>
      </c>
      <c r="J276" s="12">
        <v>0</v>
      </c>
      <c r="K276" s="11" t="s">
        <v>53</v>
      </c>
      <c r="L276" s="11" t="str">
        <f t="shared" si="20"/>
        <v>820559</v>
      </c>
      <c r="M276" s="11" t="str">
        <f>IF(I276&lt;&gt;"",DATA!E275,"")</f>
        <v>DENT REPAIR KIT</v>
      </c>
      <c r="N276" s="12">
        <v>0</v>
      </c>
      <c r="O276" s="11">
        <f>IF(I276&lt;&gt;"",DATA!C275,"")</f>
        <v>0.4</v>
      </c>
      <c r="P276" s="2">
        <v>294094</v>
      </c>
      <c r="Q276" s="2" t="s">
        <v>1304</v>
      </c>
      <c r="R276" s="2" t="s">
        <v>1311</v>
      </c>
      <c r="S276" s="2">
        <v>584</v>
      </c>
      <c r="T276" s="2">
        <v>1</v>
      </c>
      <c r="U276" s="2" t="s">
        <v>141</v>
      </c>
      <c r="Y276" s="2">
        <v>1700</v>
      </c>
      <c r="Z276" s="11" t="s">
        <v>54</v>
      </c>
      <c r="AA276" s="11" t="str">
        <f t="shared" si="21"/>
        <v>1700 - TBN</v>
      </c>
      <c r="AC276" s="2" t="s">
        <v>145</v>
      </c>
      <c r="AD276" s="11" t="str">
        <f>IF($I276&lt;&gt;"",VLOOKUP($AC276,GEADRESSEERDE!$A$2:$E$4,2,),"")</f>
        <v>LUITHAGEN HAVEN 2 D</v>
      </c>
      <c r="AE276" s="11">
        <f>IF($I276&lt;&gt;"",VLOOKUP($AC276,GEADRESSEERDE!$A$2:$E$4,3,),"")</f>
        <v>2030</v>
      </c>
      <c r="AF276" s="11" t="str">
        <f>IF($I276&lt;&gt;"",VLOOKUP($AC276,GEADRESSEERDE!$A$2:$E$4,4,),"")</f>
        <v>ANTWERPEN</v>
      </c>
      <c r="AG276" s="11" t="str">
        <f>IF($I276&lt;&gt;"",VLOOKUP($AC276,GEADRESSEERDE!$A$2:$E$4,5,),"")</f>
        <v>BE</v>
      </c>
      <c r="AH276" s="11" t="str">
        <f>IF(I276&lt;&gt;"",VLOOKUP(AP276,KvB!$A$2:$B$3,2,FALSE),"")</f>
        <v>BE101000</v>
      </c>
      <c r="AI276" s="11" t="s">
        <v>55</v>
      </c>
      <c r="AJ276" s="11"/>
      <c r="AK276" s="11"/>
      <c r="AL276" s="11"/>
      <c r="AM276" s="11"/>
      <c r="AN276" s="11"/>
      <c r="AO276" s="11"/>
      <c r="AP276" s="2" t="s">
        <v>70</v>
      </c>
      <c r="AQ276" s="11" t="str">
        <f>IF(I276&lt;&gt;"",DATA!D275,"")</f>
        <v>8205598000</v>
      </c>
    </row>
    <row r="277" spans="1:43" ht="15.75" x14ac:dyDescent="0.25">
      <c r="A277" s="11" t="s">
        <v>57</v>
      </c>
      <c r="B277" s="11" t="s">
        <v>56</v>
      </c>
      <c r="C277" s="22">
        <f t="shared" si="22"/>
        <v>25001620</v>
      </c>
      <c r="D277" s="11" t="str">
        <f t="shared" si="19"/>
        <v>SKIIFM_AT</v>
      </c>
      <c r="E277" s="11" t="str">
        <f>IF(I277&lt;&gt;"",VLOOKUP(F277,OPDRACHTGEVER!$A$2:$B$4,2,FALSE),"")</f>
        <v>SKIIFM_AT</v>
      </c>
      <c r="F277" s="11" t="s">
        <v>58</v>
      </c>
      <c r="I277" s="11" t="str">
        <f>IF(DATA!B276&lt;&gt;"",DATA!B276,"")</f>
        <v>TGBU6999808</v>
      </c>
      <c r="J277" s="12">
        <v>0</v>
      </c>
      <c r="K277" s="11" t="s">
        <v>53</v>
      </c>
      <c r="L277" s="11" t="str">
        <f t="shared" si="20"/>
        <v>830140</v>
      </c>
      <c r="M277" s="11" t="str">
        <f>IF(I277&lt;&gt;"",DATA!E276,"")</f>
        <v>DIGITAL DOOR LOCK</v>
      </c>
      <c r="N277" s="12">
        <v>0</v>
      </c>
      <c r="O277" s="11">
        <f>IF(I277&lt;&gt;"",DATA!C276,"")</f>
        <v>5.4</v>
      </c>
      <c r="P277" s="2">
        <v>294094</v>
      </c>
      <c r="Q277" s="2" t="s">
        <v>1304</v>
      </c>
      <c r="R277" s="2" t="s">
        <v>1311</v>
      </c>
      <c r="S277" s="2">
        <v>584</v>
      </c>
      <c r="T277" s="2">
        <v>1</v>
      </c>
      <c r="U277" s="2" t="s">
        <v>141</v>
      </c>
      <c r="Y277" s="2">
        <v>1700</v>
      </c>
      <c r="Z277" s="11" t="s">
        <v>54</v>
      </c>
      <c r="AA277" s="11" t="str">
        <f t="shared" si="21"/>
        <v>1700 - TBN</v>
      </c>
      <c r="AC277" s="2" t="s">
        <v>145</v>
      </c>
      <c r="AD277" s="11" t="str">
        <f>IF($I277&lt;&gt;"",VLOOKUP($AC277,GEADRESSEERDE!$A$2:$E$4,2,),"")</f>
        <v>LUITHAGEN HAVEN 2 D</v>
      </c>
      <c r="AE277" s="11">
        <f>IF($I277&lt;&gt;"",VLOOKUP($AC277,GEADRESSEERDE!$A$2:$E$4,3,),"")</f>
        <v>2030</v>
      </c>
      <c r="AF277" s="11" t="str">
        <f>IF($I277&lt;&gt;"",VLOOKUP($AC277,GEADRESSEERDE!$A$2:$E$4,4,),"")</f>
        <v>ANTWERPEN</v>
      </c>
      <c r="AG277" s="11" t="str">
        <f>IF($I277&lt;&gt;"",VLOOKUP($AC277,GEADRESSEERDE!$A$2:$E$4,5,),"")</f>
        <v>BE</v>
      </c>
      <c r="AH277" s="11" t="str">
        <f>IF(I277&lt;&gt;"",VLOOKUP(AP277,KvB!$A$2:$B$3,2,FALSE),"")</f>
        <v>BE101000</v>
      </c>
      <c r="AI277" s="11" t="s">
        <v>55</v>
      </c>
      <c r="AJ277" s="11"/>
      <c r="AK277" s="11"/>
      <c r="AL277" s="11"/>
      <c r="AM277" s="11"/>
      <c r="AN277" s="11"/>
      <c r="AO277" s="11"/>
      <c r="AP277" s="2" t="s">
        <v>70</v>
      </c>
      <c r="AQ277" s="11" t="str">
        <f>IF(I277&lt;&gt;"",DATA!D276,"")</f>
        <v>8301401900</v>
      </c>
    </row>
    <row r="278" spans="1:43" ht="15.75" x14ac:dyDescent="0.25">
      <c r="A278" s="11" t="s">
        <v>57</v>
      </c>
      <c r="B278" s="11" t="s">
        <v>56</v>
      </c>
      <c r="C278" s="22">
        <f t="shared" si="22"/>
        <v>25001620</v>
      </c>
      <c r="D278" s="11" t="str">
        <f t="shared" si="19"/>
        <v>SKIIFM_AT</v>
      </c>
      <c r="E278" s="11" t="str">
        <f>IF(I278&lt;&gt;"",VLOOKUP(F278,OPDRACHTGEVER!$A$2:$B$4,2,FALSE),"")</f>
        <v>SKIIFM_AT</v>
      </c>
      <c r="F278" s="11" t="s">
        <v>58</v>
      </c>
      <c r="I278" s="11" t="str">
        <f>IF(DATA!B277&lt;&gt;"",DATA!B277,"")</f>
        <v>TGBU6999808</v>
      </c>
      <c r="J278" s="12">
        <v>0</v>
      </c>
      <c r="K278" s="11" t="s">
        <v>53</v>
      </c>
      <c r="L278" s="11" t="str">
        <f t="shared" si="20"/>
        <v>741920</v>
      </c>
      <c r="M278" s="11" t="str">
        <f>IF(I278&lt;&gt;"",DATA!E277,"")</f>
        <v>DINING STOVE</v>
      </c>
      <c r="N278" s="12">
        <v>0</v>
      </c>
      <c r="O278" s="11">
        <f>IF(I278&lt;&gt;"",DATA!C277,"")</f>
        <v>19.46</v>
      </c>
      <c r="P278" s="2">
        <v>294094</v>
      </c>
      <c r="Q278" s="2" t="s">
        <v>1304</v>
      </c>
      <c r="R278" s="2" t="s">
        <v>1311</v>
      </c>
      <c r="S278" s="2">
        <v>584</v>
      </c>
      <c r="T278" s="2">
        <v>1</v>
      </c>
      <c r="U278" s="2" t="s">
        <v>141</v>
      </c>
      <c r="Y278" s="2">
        <v>1700</v>
      </c>
      <c r="Z278" s="11" t="s">
        <v>54</v>
      </c>
      <c r="AA278" s="11" t="str">
        <f t="shared" si="21"/>
        <v>1700 - TBN</v>
      </c>
      <c r="AC278" s="2" t="s">
        <v>145</v>
      </c>
      <c r="AD278" s="11" t="str">
        <f>IF($I278&lt;&gt;"",VLOOKUP($AC278,GEADRESSEERDE!$A$2:$E$4,2,),"")</f>
        <v>LUITHAGEN HAVEN 2 D</v>
      </c>
      <c r="AE278" s="11">
        <f>IF($I278&lt;&gt;"",VLOOKUP($AC278,GEADRESSEERDE!$A$2:$E$4,3,),"")</f>
        <v>2030</v>
      </c>
      <c r="AF278" s="11" t="str">
        <f>IF($I278&lt;&gt;"",VLOOKUP($AC278,GEADRESSEERDE!$A$2:$E$4,4,),"")</f>
        <v>ANTWERPEN</v>
      </c>
      <c r="AG278" s="11" t="str">
        <f>IF($I278&lt;&gt;"",VLOOKUP($AC278,GEADRESSEERDE!$A$2:$E$4,5,),"")</f>
        <v>BE</v>
      </c>
      <c r="AH278" s="11" t="str">
        <f>IF(I278&lt;&gt;"",VLOOKUP(AP278,KvB!$A$2:$B$3,2,FALSE),"")</f>
        <v>BE101000</v>
      </c>
      <c r="AI278" s="11" t="s">
        <v>55</v>
      </c>
      <c r="AJ278" s="11"/>
      <c r="AK278" s="11"/>
      <c r="AL278" s="11"/>
      <c r="AM278" s="11"/>
      <c r="AN278" s="11"/>
      <c r="AO278" s="11"/>
      <c r="AP278" s="2" t="s">
        <v>70</v>
      </c>
      <c r="AQ278" s="11" t="str">
        <f>IF(I278&lt;&gt;"",DATA!D277,"")</f>
        <v>7419200090</v>
      </c>
    </row>
    <row r="279" spans="1:43" ht="15.75" x14ac:dyDescent="0.25">
      <c r="A279" s="11" t="s">
        <v>57</v>
      </c>
      <c r="B279" s="11" t="s">
        <v>56</v>
      </c>
      <c r="C279" s="22">
        <f t="shared" si="22"/>
        <v>25001620</v>
      </c>
      <c r="D279" s="11" t="str">
        <f t="shared" si="19"/>
        <v>SKIIFM_AT</v>
      </c>
      <c r="E279" s="11" t="str">
        <f>IF(I279&lt;&gt;"",VLOOKUP(F279,OPDRACHTGEVER!$A$2:$B$4,2,FALSE),"")</f>
        <v>SKIIFM_AT</v>
      </c>
      <c r="F279" s="11" t="s">
        <v>58</v>
      </c>
      <c r="I279" s="11" t="str">
        <f>IF(DATA!B278&lt;&gt;"",DATA!B278,"")</f>
        <v>TGBU6999808</v>
      </c>
      <c r="J279" s="12">
        <v>0</v>
      </c>
      <c r="K279" s="11" t="s">
        <v>53</v>
      </c>
      <c r="L279" s="11" t="str">
        <f t="shared" si="20"/>
        <v>841940</v>
      </c>
      <c r="M279" s="11" t="str">
        <f>IF(I279&lt;&gt;"",DATA!E278,"")</f>
        <v>DISTILLER</v>
      </c>
      <c r="N279" s="12">
        <v>0</v>
      </c>
      <c r="O279" s="11">
        <f>IF(I279&lt;&gt;"",DATA!C278,"")</f>
        <v>247.9</v>
      </c>
      <c r="P279" s="2">
        <v>294094</v>
      </c>
      <c r="Q279" s="2" t="s">
        <v>1304</v>
      </c>
      <c r="R279" s="2" t="s">
        <v>1311</v>
      </c>
      <c r="S279" s="2">
        <v>584</v>
      </c>
      <c r="T279" s="2">
        <v>1</v>
      </c>
      <c r="U279" s="2" t="s">
        <v>141</v>
      </c>
      <c r="Y279" s="2">
        <v>1700</v>
      </c>
      <c r="Z279" s="11" t="s">
        <v>54</v>
      </c>
      <c r="AA279" s="11" t="str">
        <f t="shared" si="21"/>
        <v>1700 - TBN</v>
      </c>
      <c r="AC279" s="2" t="s">
        <v>145</v>
      </c>
      <c r="AD279" s="11" t="str">
        <f>IF($I279&lt;&gt;"",VLOOKUP($AC279,GEADRESSEERDE!$A$2:$E$4,2,),"")</f>
        <v>LUITHAGEN HAVEN 2 D</v>
      </c>
      <c r="AE279" s="11">
        <f>IF($I279&lt;&gt;"",VLOOKUP($AC279,GEADRESSEERDE!$A$2:$E$4,3,),"")</f>
        <v>2030</v>
      </c>
      <c r="AF279" s="11" t="str">
        <f>IF($I279&lt;&gt;"",VLOOKUP($AC279,GEADRESSEERDE!$A$2:$E$4,4,),"")</f>
        <v>ANTWERPEN</v>
      </c>
      <c r="AG279" s="11" t="str">
        <f>IF($I279&lt;&gt;"",VLOOKUP($AC279,GEADRESSEERDE!$A$2:$E$4,5,),"")</f>
        <v>BE</v>
      </c>
      <c r="AH279" s="11" t="str">
        <f>IF(I279&lt;&gt;"",VLOOKUP(AP279,KvB!$A$2:$B$3,2,FALSE),"")</f>
        <v>BE101000</v>
      </c>
      <c r="AI279" s="11" t="s">
        <v>55</v>
      </c>
      <c r="AJ279" s="11"/>
      <c r="AK279" s="11"/>
      <c r="AL279" s="11"/>
      <c r="AM279" s="11"/>
      <c r="AN279" s="11"/>
      <c r="AO279" s="11"/>
      <c r="AP279" s="2" t="s">
        <v>70</v>
      </c>
      <c r="AQ279" s="11" t="str">
        <f>IF(I279&lt;&gt;"",DATA!D278,"")</f>
        <v>8419400090</v>
      </c>
    </row>
    <row r="280" spans="1:43" ht="15.75" x14ac:dyDescent="0.25">
      <c r="A280" s="11" t="s">
        <v>57</v>
      </c>
      <c r="B280" s="11" t="s">
        <v>56</v>
      </c>
      <c r="C280" s="22">
        <f t="shared" si="22"/>
        <v>25001620</v>
      </c>
      <c r="D280" s="11" t="str">
        <f t="shared" si="19"/>
        <v>SKIIFM_AT</v>
      </c>
      <c r="E280" s="11" t="str">
        <f>IF(I280&lt;&gt;"",VLOOKUP(F280,OPDRACHTGEVER!$A$2:$B$4,2,FALSE),"")</f>
        <v>SKIIFM_AT</v>
      </c>
      <c r="F280" s="11" t="s">
        <v>58</v>
      </c>
      <c r="I280" s="11" t="str">
        <f>IF(DATA!B279&lt;&gt;"",DATA!B279,"")</f>
        <v>TGBU6999808</v>
      </c>
      <c r="J280" s="12">
        <v>0</v>
      </c>
      <c r="K280" s="11" t="s">
        <v>53</v>
      </c>
      <c r="L280" s="11" t="str">
        <f t="shared" si="20"/>
        <v>830242</v>
      </c>
      <c r="M280" s="11" t="str">
        <f>IF(I280&lt;&gt;"",DATA!E279,"")</f>
        <v>DRAWER SLIDES</v>
      </c>
      <c r="N280" s="12">
        <v>0</v>
      </c>
      <c r="O280" s="11">
        <f>IF(I280&lt;&gt;"",DATA!C279,"")</f>
        <v>4.93</v>
      </c>
      <c r="P280" s="2">
        <v>294094</v>
      </c>
      <c r="Q280" s="2" t="s">
        <v>1304</v>
      </c>
      <c r="R280" s="2" t="s">
        <v>1311</v>
      </c>
      <c r="S280" s="2">
        <v>584</v>
      </c>
      <c r="T280" s="2">
        <v>1</v>
      </c>
      <c r="U280" s="2" t="s">
        <v>141</v>
      </c>
      <c r="Y280" s="2">
        <v>1700</v>
      </c>
      <c r="Z280" s="11" t="s">
        <v>54</v>
      </c>
      <c r="AA280" s="11" t="str">
        <f t="shared" si="21"/>
        <v>1700 - TBN</v>
      </c>
      <c r="AC280" s="2" t="s">
        <v>145</v>
      </c>
      <c r="AD280" s="11" t="str">
        <f>IF($I280&lt;&gt;"",VLOOKUP($AC280,GEADRESSEERDE!$A$2:$E$4,2,),"")</f>
        <v>LUITHAGEN HAVEN 2 D</v>
      </c>
      <c r="AE280" s="11">
        <f>IF($I280&lt;&gt;"",VLOOKUP($AC280,GEADRESSEERDE!$A$2:$E$4,3,),"")</f>
        <v>2030</v>
      </c>
      <c r="AF280" s="11" t="str">
        <f>IF($I280&lt;&gt;"",VLOOKUP($AC280,GEADRESSEERDE!$A$2:$E$4,4,),"")</f>
        <v>ANTWERPEN</v>
      </c>
      <c r="AG280" s="11" t="str">
        <f>IF($I280&lt;&gt;"",VLOOKUP($AC280,GEADRESSEERDE!$A$2:$E$4,5,),"")</f>
        <v>BE</v>
      </c>
      <c r="AH280" s="11" t="str">
        <f>IF(I280&lt;&gt;"",VLOOKUP(AP280,KvB!$A$2:$B$3,2,FALSE),"")</f>
        <v>BE101000</v>
      </c>
      <c r="AI280" s="11" t="s">
        <v>55</v>
      </c>
      <c r="AJ280" s="11"/>
      <c r="AK280" s="11"/>
      <c r="AL280" s="11"/>
      <c r="AM280" s="11"/>
      <c r="AN280" s="11"/>
      <c r="AO280" s="11"/>
      <c r="AP280" s="2" t="s">
        <v>70</v>
      </c>
      <c r="AQ280" s="11" t="str">
        <f>IF(I280&lt;&gt;"",DATA!D279,"")</f>
        <v>8302420090</v>
      </c>
    </row>
    <row r="281" spans="1:43" ht="15.75" x14ac:dyDescent="0.25">
      <c r="A281" s="11" t="s">
        <v>57</v>
      </c>
      <c r="B281" s="11" t="s">
        <v>56</v>
      </c>
      <c r="C281" s="22">
        <f t="shared" si="22"/>
        <v>25001620</v>
      </c>
      <c r="D281" s="11" t="str">
        <f t="shared" si="19"/>
        <v>SKIIFM_AT</v>
      </c>
      <c r="E281" s="11" t="str">
        <f>IF(I281&lt;&gt;"",VLOOKUP(F281,OPDRACHTGEVER!$A$2:$B$4,2,FALSE),"")</f>
        <v>SKIIFM_AT</v>
      </c>
      <c r="F281" s="11" t="s">
        <v>58</v>
      </c>
      <c r="I281" s="11" t="str">
        <f>IF(DATA!B280&lt;&gt;"",DATA!B280,"")</f>
        <v>TGBU6999808</v>
      </c>
      <c r="J281" s="12">
        <v>0</v>
      </c>
      <c r="K281" s="11" t="s">
        <v>53</v>
      </c>
      <c r="L281" s="11" t="str">
        <f t="shared" si="20"/>
        <v>841981</v>
      </c>
      <c r="M281" s="11" t="str">
        <f>IF(I281&lt;&gt;"",DATA!E280,"")</f>
        <v>ELECTRIC FOOD WARMER</v>
      </c>
      <c r="N281" s="12">
        <v>0</v>
      </c>
      <c r="O281" s="11">
        <f>IF(I281&lt;&gt;"",DATA!C280,"")</f>
        <v>96.8</v>
      </c>
      <c r="P281" s="2">
        <v>294094</v>
      </c>
      <c r="Q281" s="2" t="s">
        <v>1304</v>
      </c>
      <c r="R281" s="2" t="s">
        <v>1311</v>
      </c>
      <c r="S281" s="2">
        <v>584</v>
      </c>
      <c r="T281" s="2">
        <v>1</v>
      </c>
      <c r="U281" s="2" t="s">
        <v>141</v>
      </c>
      <c r="Y281" s="2">
        <v>1700</v>
      </c>
      <c r="Z281" s="11" t="s">
        <v>54</v>
      </c>
      <c r="AA281" s="11" t="str">
        <f t="shared" si="21"/>
        <v>1700 - TBN</v>
      </c>
      <c r="AC281" s="2" t="s">
        <v>145</v>
      </c>
      <c r="AD281" s="11" t="str">
        <f>IF($I281&lt;&gt;"",VLOOKUP($AC281,GEADRESSEERDE!$A$2:$E$4,2,),"")</f>
        <v>LUITHAGEN HAVEN 2 D</v>
      </c>
      <c r="AE281" s="11">
        <f>IF($I281&lt;&gt;"",VLOOKUP($AC281,GEADRESSEERDE!$A$2:$E$4,3,),"")</f>
        <v>2030</v>
      </c>
      <c r="AF281" s="11" t="str">
        <f>IF($I281&lt;&gt;"",VLOOKUP($AC281,GEADRESSEERDE!$A$2:$E$4,4,),"")</f>
        <v>ANTWERPEN</v>
      </c>
      <c r="AG281" s="11" t="str">
        <f>IF($I281&lt;&gt;"",VLOOKUP($AC281,GEADRESSEERDE!$A$2:$E$4,5,),"")</f>
        <v>BE</v>
      </c>
      <c r="AH281" s="11" t="str">
        <f>IF(I281&lt;&gt;"",VLOOKUP(AP281,KvB!$A$2:$B$3,2,FALSE),"")</f>
        <v>BE101000</v>
      </c>
      <c r="AI281" s="11" t="s">
        <v>55</v>
      </c>
      <c r="AJ281" s="11"/>
      <c r="AK281" s="11"/>
      <c r="AL281" s="11"/>
      <c r="AM281" s="11"/>
      <c r="AN281" s="11"/>
      <c r="AO281" s="11"/>
      <c r="AP281" s="2" t="s">
        <v>70</v>
      </c>
      <c r="AQ281" s="11" t="str">
        <f>IF(I281&lt;&gt;"",DATA!D280,"")</f>
        <v>8419818090</v>
      </c>
    </row>
    <row r="282" spans="1:43" ht="15.75" x14ac:dyDescent="0.25">
      <c r="A282" s="11" t="s">
        <v>57</v>
      </c>
      <c r="B282" s="11" t="s">
        <v>56</v>
      </c>
      <c r="C282" s="22">
        <f t="shared" si="22"/>
        <v>25001620</v>
      </c>
      <c r="D282" s="11" t="str">
        <f t="shared" si="19"/>
        <v>SKIIFM_AT</v>
      </c>
      <c r="E282" s="11" t="str">
        <f>IF(I282&lt;&gt;"",VLOOKUP(F282,OPDRACHTGEVER!$A$2:$B$4,2,FALSE),"")</f>
        <v>SKIIFM_AT</v>
      </c>
      <c r="F282" s="11" t="s">
        <v>58</v>
      </c>
      <c r="I282" s="11" t="str">
        <f>IF(DATA!B281&lt;&gt;"",DATA!B281,"")</f>
        <v>TGBU6999808</v>
      </c>
      <c r="J282" s="12">
        <v>0</v>
      </c>
      <c r="K282" s="11" t="s">
        <v>53</v>
      </c>
      <c r="L282" s="11" t="str">
        <f t="shared" si="20"/>
        <v>851660</v>
      </c>
      <c r="M282" s="11" t="str">
        <f>IF(I282&lt;&gt;"",DATA!E281,"")</f>
        <v>ELECTRIC FRYER</v>
      </c>
      <c r="N282" s="12">
        <v>0</v>
      </c>
      <c r="O282" s="11">
        <f>IF(I282&lt;&gt;"",DATA!C281,"")</f>
        <v>1241.92</v>
      </c>
      <c r="P282" s="2">
        <v>294094</v>
      </c>
      <c r="Q282" s="2" t="s">
        <v>1304</v>
      </c>
      <c r="R282" s="2" t="s">
        <v>1311</v>
      </c>
      <c r="S282" s="2">
        <v>584</v>
      </c>
      <c r="T282" s="2">
        <v>1</v>
      </c>
      <c r="U282" s="2" t="s">
        <v>141</v>
      </c>
      <c r="Y282" s="2">
        <v>1700</v>
      </c>
      <c r="Z282" s="11" t="s">
        <v>54</v>
      </c>
      <c r="AA282" s="11" t="str">
        <f t="shared" si="21"/>
        <v>1700 - TBN</v>
      </c>
      <c r="AC282" s="2" t="s">
        <v>145</v>
      </c>
      <c r="AD282" s="11" t="str">
        <f>IF($I282&lt;&gt;"",VLOOKUP($AC282,GEADRESSEERDE!$A$2:$E$4,2,),"")</f>
        <v>LUITHAGEN HAVEN 2 D</v>
      </c>
      <c r="AE282" s="11">
        <f>IF($I282&lt;&gt;"",VLOOKUP($AC282,GEADRESSEERDE!$A$2:$E$4,3,),"")</f>
        <v>2030</v>
      </c>
      <c r="AF282" s="11" t="str">
        <f>IF($I282&lt;&gt;"",VLOOKUP($AC282,GEADRESSEERDE!$A$2:$E$4,4,),"")</f>
        <v>ANTWERPEN</v>
      </c>
      <c r="AG282" s="11" t="str">
        <f>IF($I282&lt;&gt;"",VLOOKUP($AC282,GEADRESSEERDE!$A$2:$E$4,5,),"")</f>
        <v>BE</v>
      </c>
      <c r="AH282" s="11" t="str">
        <f>IF(I282&lt;&gt;"",VLOOKUP(AP282,KvB!$A$2:$B$3,2,FALSE),"")</f>
        <v>BE101000</v>
      </c>
      <c r="AI282" s="11" t="s">
        <v>55</v>
      </c>
      <c r="AJ282" s="11"/>
      <c r="AK282" s="11"/>
      <c r="AL282" s="11"/>
      <c r="AM282" s="11"/>
      <c r="AN282" s="11"/>
      <c r="AO282" s="11"/>
      <c r="AP282" s="2" t="s">
        <v>70</v>
      </c>
      <c r="AQ282" s="11" t="str">
        <f>IF(I282&lt;&gt;"",DATA!D281,"")</f>
        <v>8516609000</v>
      </c>
    </row>
    <row r="283" spans="1:43" ht="15.75" x14ac:dyDescent="0.25">
      <c r="A283" s="11" t="s">
        <v>57</v>
      </c>
      <c r="B283" s="11" t="s">
        <v>56</v>
      </c>
      <c r="C283" s="22">
        <f t="shared" si="22"/>
        <v>25001620</v>
      </c>
      <c r="D283" s="11" t="str">
        <f t="shared" si="19"/>
        <v>SKIIFM_AT</v>
      </c>
      <c r="E283" s="11" t="str">
        <f>IF(I283&lt;&gt;"",VLOOKUP(F283,OPDRACHTGEVER!$A$2:$B$4,2,FALSE),"")</f>
        <v>SKIIFM_AT</v>
      </c>
      <c r="F283" s="11" t="s">
        <v>58</v>
      </c>
      <c r="I283" s="11" t="str">
        <f>IF(DATA!B282&lt;&gt;"",DATA!B282,"")</f>
        <v>TGBU6999808</v>
      </c>
      <c r="J283" s="12">
        <v>0</v>
      </c>
      <c r="K283" s="11" t="s">
        <v>53</v>
      </c>
      <c r="L283" s="11" t="str">
        <f t="shared" si="20"/>
        <v>851660</v>
      </c>
      <c r="M283" s="11" t="str">
        <f>IF(I283&lt;&gt;"",DATA!E282,"")</f>
        <v>ELECTRIC GRIDDLE STOVE</v>
      </c>
      <c r="N283" s="12">
        <v>0</v>
      </c>
      <c r="O283" s="11">
        <f>IF(I283&lt;&gt;"",DATA!C282,"")</f>
        <v>675.3</v>
      </c>
      <c r="P283" s="2">
        <v>294094</v>
      </c>
      <c r="Q283" s="2" t="s">
        <v>1304</v>
      </c>
      <c r="R283" s="2" t="s">
        <v>1311</v>
      </c>
      <c r="S283" s="2">
        <v>584</v>
      </c>
      <c r="T283" s="2">
        <v>1</v>
      </c>
      <c r="U283" s="2" t="s">
        <v>141</v>
      </c>
      <c r="Y283" s="2">
        <v>1700</v>
      </c>
      <c r="Z283" s="11" t="s">
        <v>54</v>
      </c>
      <c r="AA283" s="11" t="str">
        <f t="shared" si="21"/>
        <v>1700 - TBN</v>
      </c>
      <c r="AC283" s="2" t="s">
        <v>145</v>
      </c>
      <c r="AD283" s="11" t="str">
        <f>IF($I283&lt;&gt;"",VLOOKUP($AC283,GEADRESSEERDE!$A$2:$E$4,2,),"")</f>
        <v>LUITHAGEN HAVEN 2 D</v>
      </c>
      <c r="AE283" s="11">
        <f>IF($I283&lt;&gt;"",VLOOKUP($AC283,GEADRESSEERDE!$A$2:$E$4,3,),"")</f>
        <v>2030</v>
      </c>
      <c r="AF283" s="11" t="str">
        <f>IF($I283&lt;&gt;"",VLOOKUP($AC283,GEADRESSEERDE!$A$2:$E$4,4,),"")</f>
        <v>ANTWERPEN</v>
      </c>
      <c r="AG283" s="11" t="str">
        <f>IF($I283&lt;&gt;"",VLOOKUP($AC283,GEADRESSEERDE!$A$2:$E$4,5,),"")</f>
        <v>BE</v>
      </c>
      <c r="AH283" s="11" t="str">
        <f>IF(I283&lt;&gt;"",VLOOKUP(AP283,KvB!$A$2:$B$3,2,FALSE),"")</f>
        <v>BE101000</v>
      </c>
      <c r="AI283" s="11" t="s">
        <v>55</v>
      </c>
      <c r="AJ283" s="11"/>
      <c r="AK283" s="11"/>
      <c r="AL283" s="11"/>
      <c r="AM283" s="11"/>
      <c r="AN283" s="11"/>
      <c r="AO283" s="11"/>
      <c r="AP283" s="2" t="s">
        <v>70</v>
      </c>
      <c r="AQ283" s="11" t="str">
        <f>IF(I283&lt;&gt;"",DATA!D282,"")</f>
        <v>8516609000</v>
      </c>
    </row>
    <row r="284" spans="1:43" ht="15.75" x14ac:dyDescent="0.25">
      <c r="A284" s="11" t="s">
        <v>57</v>
      </c>
      <c r="B284" s="11" t="s">
        <v>56</v>
      </c>
      <c r="C284" s="22">
        <f t="shared" si="22"/>
        <v>25001620</v>
      </c>
      <c r="D284" s="11" t="str">
        <f t="shared" si="19"/>
        <v>SKIIFM_AT</v>
      </c>
      <c r="E284" s="11" t="str">
        <f>IF(I284&lt;&gt;"",VLOOKUP(F284,OPDRACHTGEVER!$A$2:$B$4,2,FALSE),"")</f>
        <v>SKIIFM_AT</v>
      </c>
      <c r="F284" s="11" t="s">
        <v>58</v>
      </c>
      <c r="I284" s="11" t="str">
        <f>IF(DATA!B283&lt;&gt;"",DATA!B283,"")</f>
        <v>TGBU6999808</v>
      </c>
      <c r="J284" s="12">
        <v>0</v>
      </c>
      <c r="K284" s="11" t="s">
        <v>53</v>
      </c>
      <c r="L284" s="11" t="str">
        <f t="shared" si="20"/>
        <v>843311</v>
      </c>
      <c r="M284" s="11" t="str">
        <f>IF(I284&lt;&gt;"",DATA!E283,"")</f>
        <v>ELECTRIC LEAF TRIMMER</v>
      </c>
      <c r="N284" s="12">
        <v>0</v>
      </c>
      <c r="O284" s="11">
        <f>IF(I284&lt;&gt;"",DATA!C283,"")</f>
        <v>384</v>
      </c>
      <c r="P284" s="2">
        <v>294094</v>
      </c>
      <c r="Q284" s="2" t="s">
        <v>1304</v>
      </c>
      <c r="R284" s="2" t="s">
        <v>1311</v>
      </c>
      <c r="S284" s="2">
        <v>584</v>
      </c>
      <c r="T284" s="2">
        <v>1</v>
      </c>
      <c r="U284" s="2" t="s">
        <v>141</v>
      </c>
      <c r="Y284" s="2">
        <v>1700</v>
      </c>
      <c r="Z284" s="11" t="s">
        <v>54</v>
      </c>
      <c r="AA284" s="11" t="str">
        <f t="shared" si="21"/>
        <v>1700 - TBN</v>
      </c>
      <c r="AC284" s="2" t="s">
        <v>145</v>
      </c>
      <c r="AD284" s="11" t="str">
        <f>IF($I284&lt;&gt;"",VLOOKUP($AC284,GEADRESSEERDE!$A$2:$E$4,2,),"")</f>
        <v>LUITHAGEN HAVEN 2 D</v>
      </c>
      <c r="AE284" s="11">
        <f>IF($I284&lt;&gt;"",VLOOKUP($AC284,GEADRESSEERDE!$A$2:$E$4,3,),"")</f>
        <v>2030</v>
      </c>
      <c r="AF284" s="11" t="str">
        <f>IF($I284&lt;&gt;"",VLOOKUP($AC284,GEADRESSEERDE!$A$2:$E$4,4,),"")</f>
        <v>ANTWERPEN</v>
      </c>
      <c r="AG284" s="11" t="str">
        <f>IF($I284&lt;&gt;"",VLOOKUP($AC284,GEADRESSEERDE!$A$2:$E$4,5,),"")</f>
        <v>BE</v>
      </c>
      <c r="AH284" s="11" t="str">
        <f>IF(I284&lt;&gt;"",VLOOKUP(AP284,KvB!$A$2:$B$3,2,FALSE),"")</f>
        <v>BE101000</v>
      </c>
      <c r="AI284" s="11" t="s">
        <v>55</v>
      </c>
      <c r="AJ284" s="11"/>
      <c r="AK284" s="11"/>
      <c r="AL284" s="11"/>
      <c r="AM284" s="11"/>
      <c r="AN284" s="11"/>
      <c r="AO284" s="11"/>
      <c r="AP284" s="2" t="s">
        <v>70</v>
      </c>
      <c r="AQ284" s="11" t="str">
        <f>IF(I284&lt;&gt;"",DATA!D283,"")</f>
        <v>8433111000</v>
      </c>
    </row>
    <row r="285" spans="1:43" ht="15.75" x14ac:dyDescent="0.25">
      <c r="A285" s="11" t="s">
        <v>57</v>
      </c>
      <c r="B285" s="11" t="s">
        <v>56</v>
      </c>
      <c r="C285" s="22">
        <f t="shared" si="22"/>
        <v>25001620</v>
      </c>
      <c r="D285" s="11" t="str">
        <f t="shared" si="19"/>
        <v>SKIIFM_AT</v>
      </c>
      <c r="E285" s="11" t="str">
        <f>IF(I285&lt;&gt;"",VLOOKUP(F285,OPDRACHTGEVER!$A$2:$B$4,2,FALSE),"")</f>
        <v>SKIIFM_AT</v>
      </c>
      <c r="F285" s="11" t="s">
        <v>58</v>
      </c>
      <c r="I285" s="11" t="str">
        <f>IF(DATA!B284&lt;&gt;"",DATA!B284,"")</f>
        <v>TGBU6999808</v>
      </c>
      <c r="J285" s="12">
        <v>0</v>
      </c>
      <c r="K285" s="11" t="s">
        <v>53</v>
      </c>
      <c r="L285" s="11" t="str">
        <f t="shared" si="20"/>
        <v>842489</v>
      </c>
      <c r="M285" s="11" t="str">
        <f>IF(I285&lt;&gt;"",DATA!E284,"")</f>
        <v>ELECTRIC TOWEL RACK</v>
      </c>
      <c r="N285" s="12">
        <v>0</v>
      </c>
      <c r="O285" s="11">
        <f>IF(I285&lt;&gt;"",DATA!C284,"")</f>
        <v>294.8</v>
      </c>
      <c r="P285" s="2">
        <v>294094</v>
      </c>
      <c r="Q285" s="2" t="s">
        <v>1304</v>
      </c>
      <c r="R285" s="2" t="s">
        <v>1311</v>
      </c>
      <c r="S285" s="2">
        <v>584</v>
      </c>
      <c r="T285" s="2">
        <v>1</v>
      </c>
      <c r="U285" s="2" t="s">
        <v>141</v>
      </c>
      <c r="Y285" s="2">
        <v>1700</v>
      </c>
      <c r="Z285" s="11" t="s">
        <v>54</v>
      </c>
      <c r="AA285" s="11" t="str">
        <f t="shared" si="21"/>
        <v>1700 - TBN</v>
      </c>
      <c r="AC285" s="2" t="s">
        <v>145</v>
      </c>
      <c r="AD285" s="11" t="str">
        <f>IF($I285&lt;&gt;"",VLOOKUP($AC285,GEADRESSEERDE!$A$2:$E$4,2,),"")</f>
        <v>LUITHAGEN HAVEN 2 D</v>
      </c>
      <c r="AE285" s="11">
        <f>IF($I285&lt;&gt;"",VLOOKUP($AC285,GEADRESSEERDE!$A$2:$E$4,3,),"")</f>
        <v>2030</v>
      </c>
      <c r="AF285" s="11" t="str">
        <f>IF($I285&lt;&gt;"",VLOOKUP($AC285,GEADRESSEERDE!$A$2:$E$4,4,),"")</f>
        <v>ANTWERPEN</v>
      </c>
      <c r="AG285" s="11" t="str">
        <f>IF($I285&lt;&gt;"",VLOOKUP($AC285,GEADRESSEERDE!$A$2:$E$4,5,),"")</f>
        <v>BE</v>
      </c>
      <c r="AH285" s="11" t="str">
        <f>IF(I285&lt;&gt;"",VLOOKUP(AP285,KvB!$A$2:$B$3,2,FALSE),"")</f>
        <v>BE101000</v>
      </c>
      <c r="AI285" s="11" t="s">
        <v>55</v>
      </c>
      <c r="AJ285" s="11"/>
      <c r="AK285" s="11"/>
      <c r="AL285" s="11"/>
      <c r="AM285" s="11"/>
      <c r="AN285" s="11"/>
      <c r="AO285" s="11"/>
      <c r="AP285" s="2" t="s">
        <v>70</v>
      </c>
      <c r="AQ285" s="11" t="str">
        <f>IF(I285&lt;&gt;"",DATA!D284,"")</f>
        <v>8424897000</v>
      </c>
    </row>
    <row r="286" spans="1:43" ht="15.75" x14ac:dyDescent="0.25">
      <c r="A286" s="11" t="s">
        <v>57</v>
      </c>
      <c r="B286" s="11" t="s">
        <v>56</v>
      </c>
      <c r="C286" s="22">
        <f t="shared" si="22"/>
        <v>25001620</v>
      </c>
      <c r="D286" s="11" t="str">
        <f t="shared" si="19"/>
        <v>SKIIFM_AT</v>
      </c>
      <c r="E286" s="11" t="str">
        <f>IF(I286&lt;&gt;"",VLOOKUP(F286,OPDRACHTGEVER!$A$2:$B$4,2,FALSE),"")</f>
        <v>SKIIFM_AT</v>
      </c>
      <c r="F286" s="11" t="s">
        <v>58</v>
      </c>
      <c r="I286" s="11" t="str">
        <f>IF(DATA!B285&lt;&gt;"",DATA!B285,"")</f>
        <v>TGBU6999808</v>
      </c>
      <c r="J286" s="12">
        <v>0</v>
      </c>
      <c r="K286" s="11" t="s">
        <v>53</v>
      </c>
      <c r="L286" s="11" t="str">
        <f t="shared" si="20"/>
        <v>842230</v>
      </c>
      <c r="M286" s="11" t="str">
        <f>IF(I286&lt;&gt;"",DATA!E285,"")</f>
        <v>FILM SEALING MACHINE</v>
      </c>
      <c r="N286" s="12">
        <v>0</v>
      </c>
      <c r="O286" s="11">
        <f>IF(I286&lt;&gt;"",DATA!C285,"")</f>
        <v>219.3</v>
      </c>
      <c r="P286" s="2">
        <v>294094</v>
      </c>
      <c r="Q286" s="2" t="s">
        <v>1304</v>
      </c>
      <c r="R286" s="2" t="s">
        <v>1311</v>
      </c>
      <c r="S286" s="2">
        <v>584</v>
      </c>
      <c r="T286" s="2">
        <v>1</v>
      </c>
      <c r="U286" s="2" t="s">
        <v>141</v>
      </c>
      <c r="Y286" s="2">
        <v>1700</v>
      </c>
      <c r="Z286" s="11" t="s">
        <v>54</v>
      </c>
      <c r="AA286" s="11" t="str">
        <f t="shared" si="21"/>
        <v>1700 - TBN</v>
      </c>
      <c r="AC286" s="2" t="s">
        <v>145</v>
      </c>
      <c r="AD286" s="11" t="str">
        <f>IF($I286&lt;&gt;"",VLOOKUP($AC286,GEADRESSEERDE!$A$2:$E$4,2,),"")</f>
        <v>LUITHAGEN HAVEN 2 D</v>
      </c>
      <c r="AE286" s="11">
        <f>IF($I286&lt;&gt;"",VLOOKUP($AC286,GEADRESSEERDE!$A$2:$E$4,3,),"")</f>
        <v>2030</v>
      </c>
      <c r="AF286" s="11" t="str">
        <f>IF($I286&lt;&gt;"",VLOOKUP($AC286,GEADRESSEERDE!$A$2:$E$4,4,),"")</f>
        <v>ANTWERPEN</v>
      </c>
      <c r="AG286" s="11" t="str">
        <f>IF($I286&lt;&gt;"",VLOOKUP($AC286,GEADRESSEERDE!$A$2:$E$4,5,),"")</f>
        <v>BE</v>
      </c>
      <c r="AH286" s="11" t="str">
        <f>IF(I286&lt;&gt;"",VLOOKUP(AP286,KvB!$A$2:$B$3,2,FALSE),"")</f>
        <v>BE101000</v>
      </c>
      <c r="AI286" s="11" t="s">
        <v>55</v>
      </c>
      <c r="AJ286" s="11"/>
      <c r="AK286" s="11"/>
      <c r="AL286" s="11"/>
      <c r="AM286" s="11"/>
      <c r="AN286" s="11"/>
      <c r="AO286" s="11"/>
      <c r="AP286" s="2" t="s">
        <v>70</v>
      </c>
      <c r="AQ286" s="11" t="str">
        <f>IF(I286&lt;&gt;"",DATA!D285,"")</f>
        <v>8422300000</v>
      </c>
    </row>
    <row r="287" spans="1:43" ht="15.75" x14ac:dyDescent="0.25">
      <c r="A287" s="11" t="s">
        <v>57</v>
      </c>
      <c r="B287" s="11" t="s">
        <v>56</v>
      </c>
      <c r="C287" s="22">
        <f t="shared" si="22"/>
        <v>25001620</v>
      </c>
      <c r="D287" s="11" t="str">
        <f t="shared" si="19"/>
        <v>SKIIFM_AT</v>
      </c>
      <c r="E287" s="11" t="str">
        <f>IF(I287&lt;&gt;"",VLOOKUP(F287,OPDRACHTGEVER!$A$2:$B$4,2,FALSE),"")</f>
        <v>SKIIFM_AT</v>
      </c>
      <c r="F287" s="11" t="s">
        <v>58</v>
      </c>
      <c r="I287" s="11" t="str">
        <f>IF(DATA!B286&lt;&gt;"",DATA!B286,"")</f>
        <v>TGBU6999808</v>
      </c>
      <c r="J287" s="12">
        <v>0</v>
      </c>
      <c r="K287" s="11" t="s">
        <v>53</v>
      </c>
      <c r="L287" s="11" t="str">
        <f t="shared" si="20"/>
        <v>761699</v>
      </c>
      <c r="M287" s="11" t="str">
        <f>IF(I287&lt;&gt;"",DATA!E286,"")</f>
        <v>FOLDABLE TILT LEGS</v>
      </c>
      <c r="N287" s="12">
        <v>0</v>
      </c>
      <c r="O287" s="11">
        <f>IF(I287&lt;&gt;"",DATA!C286,"")</f>
        <v>5.7</v>
      </c>
      <c r="P287" s="2">
        <v>294094</v>
      </c>
      <c r="Q287" s="2" t="s">
        <v>1304</v>
      </c>
      <c r="R287" s="2" t="s">
        <v>1311</v>
      </c>
      <c r="S287" s="2">
        <v>584</v>
      </c>
      <c r="T287" s="2">
        <v>1</v>
      </c>
      <c r="U287" s="2" t="s">
        <v>141</v>
      </c>
      <c r="Y287" s="2">
        <v>1700</v>
      </c>
      <c r="Z287" s="11" t="s">
        <v>54</v>
      </c>
      <c r="AA287" s="11" t="str">
        <f t="shared" si="21"/>
        <v>1700 - TBN</v>
      </c>
      <c r="AC287" s="2" t="s">
        <v>145</v>
      </c>
      <c r="AD287" s="11" t="str">
        <f>IF($I287&lt;&gt;"",VLOOKUP($AC287,GEADRESSEERDE!$A$2:$E$4,2,),"")</f>
        <v>LUITHAGEN HAVEN 2 D</v>
      </c>
      <c r="AE287" s="11">
        <f>IF($I287&lt;&gt;"",VLOOKUP($AC287,GEADRESSEERDE!$A$2:$E$4,3,),"")</f>
        <v>2030</v>
      </c>
      <c r="AF287" s="11" t="str">
        <f>IF($I287&lt;&gt;"",VLOOKUP($AC287,GEADRESSEERDE!$A$2:$E$4,4,),"")</f>
        <v>ANTWERPEN</v>
      </c>
      <c r="AG287" s="11" t="str">
        <f>IF($I287&lt;&gt;"",VLOOKUP($AC287,GEADRESSEERDE!$A$2:$E$4,5,),"")</f>
        <v>BE</v>
      </c>
      <c r="AH287" s="11" t="str">
        <f>IF(I287&lt;&gt;"",VLOOKUP(AP287,KvB!$A$2:$B$3,2,FALSE),"")</f>
        <v>BE101000</v>
      </c>
      <c r="AI287" s="11" t="s">
        <v>55</v>
      </c>
      <c r="AJ287" s="11"/>
      <c r="AK287" s="11"/>
      <c r="AL287" s="11"/>
      <c r="AM287" s="11"/>
      <c r="AN287" s="11"/>
      <c r="AO287" s="11"/>
      <c r="AP287" s="2" t="s">
        <v>70</v>
      </c>
      <c r="AQ287" s="11" t="str">
        <f>IF(I287&lt;&gt;"",DATA!D286,"")</f>
        <v>7616999099</v>
      </c>
    </row>
    <row r="288" spans="1:43" ht="15.75" x14ac:dyDescent="0.25">
      <c r="A288" s="11" t="s">
        <v>57</v>
      </c>
      <c r="B288" s="11" t="s">
        <v>56</v>
      </c>
      <c r="C288" s="22">
        <f t="shared" si="22"/>
        <v>25001620</v>
      </c>
      <c r="D288" s="11" t="str">
        <f t="shared" si="19"/>
        <v>SKIIFM_AT</v>
      </c>
      <c r="E288" s="11" t="str">
        <f>IF(I288&lt;&gt;"",VLOOKUP(F288,OPDRACHTGEVER!$A$2:$B$4,2,FALSE),"")</f>
        <v>SKIIFM_AT</v>
      </c>
      <c r="F288" s="11" t="s">
        <v>58</v>
      </c>
      <c r="I288" s="11" t="str">
        <f>IF(DATA!B287&lt;&gt;"",DATA!B287,"")</f>
        <v>TGBU6999808</v>
      </c>
      <c r="J288" s="12">
        <v>0</v>
      </c>
      <c r="K288" s="11" t="s">
        <v>53</v>
      </c>
      <c r="L288" s="11" t="str">
        <f t="shared" si="20"/>
        <v>950691</v>
      </c>
      <c r="M288" s="11" t="str">
        <f>IF(I288&lt;&gt;"",DATA!E287,"")</f>
        <v>FOOTBALL REBOUND DEVICE</v>
      </c>
      <c r="N288" s="12">
        <v>0</v>
      </c>
      <c r="O288" s="11">
        <f>IF(I288&lt;&gt;"",DATA!C287,"")</f>
        <v>55.4</v>
      </c>
      <c r="P288" s="2">
        <v>294094</v>
      </c>
      <c r="Q288" s="2" t="s">
        <v>1304</v>
      </c>
      <c r="R288" s="2" t="s">
        <v>1311</v>
      </c>
      <c r="S288" s="2">
        <v>584</v>
      </c>
      <c r="T288" s="2">
        <v>1</v>
      </c>
      <c r="U288" s="2" t="s">
        <v>141</v>
      </c>
      <c r="Y288" s="2">
        <v>1700</v>
      </c>
      <c r="Z288" s="11" t="s">
        <v>54</v>
      </c>
      <c r="AA288" s="11" t="str">
        <f t="shared" si="21"/>
        <v>1700 - TBN</v>
      </c>
      <c r="AC288" s="2" t="s">
        <v>145</v>
      </c>
      <c r="AD288" s="11" t="str">
        <f>IF($I288&lt;&gt;"",VLOOKUP($AC288,GEADRESSEERDE!$A$2:$E$4,2,),"")</f>
        <v>LUITHAGEN HAVEN 2 D</v>
      </c>
      <c r="AE288" s="11">
        <f>IF($I288&lt;&gt;"",VLOOKUP($AC288,GEADRESSEERDE!$A$2:$E$4,3,),"")</f>
        <v>2030</v>
      </c>
      <c r="AF288" s="11" t="str">
        <f>IF($I288&lt;&gt;"",VLOOKUP($AC288,GEADRESSEERDE!$A$2:$E$4,4,),"")</f>
        <v>ANTWERPEN</v>
      </c>
      <c r="AG288" s="11" t="str">
        <f>IF($I288&lt;&gt;"",VLOOKUP($AC288,GEADRESSEERDE!$A$2:$E$4,5,),"")</f>
        <v>BE</v>
      </c>
      <c r="AH288" s="11" t="str">
        <f>IF(I288&lt;&gt;"",VLOOKUP(AP288,KvB!$A$2:$B$3,2,FALSE),"")</f>
        <v>BE101000</v>
      </c>
      <c r="AI288" s="11" t="s">
        <v>55</v>
      </c>
      <c r="AJ288" s="11"/>
      <c r="AK288" s="11"/>
      <c r="AL288" s="11"/>
      <c r="AM288" s="11"/>
      <c r="AN288" s="11"/>
      <c r="AO288" s="11"/>
      <c r="AP288" s="2" t="s">
        <v>70</v>
      </c>
      <c r="AQ288" s="11" t="str">
        <f>IF(I288&lt;&gt;"",DATA!D287,"")</f>
        <v>9506919000</v>
      </c>
    </row>
    <row r="289" spans="1:43" ht="15.75" x14ac:dyDescent="0.25">
      <c r="A289" s="11" t="s">
        <v>57</v>
      </c>
      <c r="B289" s="11" t="s">
        <v>56</v>
      </c>
      <c r="C289" s="22">
        <f t="shared" si="22"/>
        <v>25001620</v>
      </c>
      <c r="D289" s="11" t="str">
        <f t="shared" si="19"/>
        <v>SKIIFM_AT</v>
      </c>
      <c r="E289" s="11" t="str">
        <f>IF(I289&lt;&gt;"",VLOOKUP(F289,OPDRACHTGEVER!$A$2:$B$4,2,FALSE),"")</f>
        <v>SKIIFM_AT</v>
      </c>
      <c r="F289" s="11" t="s">
        <v>58</v>
      </c>
      <c r="I289" s="11" t="str">
        <f>IF(DATA!B288&lt;&gt;"",DATA!B288,"")</f>
        <v>TGBU6999808</v>
      </c>
      <c r="J289" s="12">
        <v>0</v>
      </c>
      <c r="K289" s="11" t="s">
        <v>53</v>
      </c>
      <c r="L289" s="11" t="str">
        <f t="shared" si="20"/>
        <v>850440</v>
      </c>
      <c r="M289" s="11" t="str">
        <f>IF(I289&lt;&gt;"",DATA!E288,"")</f>
        <v>FREQUENCY CONVERTER</v>
      </c>
      <c r="N289" s="12">
        <v>0</v>
      </c>
      <c r="O289" s="11">
        <f>IF(I289&lt;&gt;"",DATA!C288,"")</f>
        <v>1.65</v>
      </c>
      <c r="P289" s="2">
        <v>294094</v>
      </c>
      <c r="Q289" s="2" t="s">
        <v>1304</v>
      </c>
      <c r="R289" s="2" t="s">
        <v>1311</v>
      </c>
      <c r="S289" s="2">
        <v>584</v>
      </c>
      <c r="T289" s="2">
        <v>1</v>
      </c>
      <c r="U289" s="2" t="s">
        <v>141</v>
      </c>
      <c r="Y289" s="2">
        <v>1700</v>
      </c>
      <c r="Z289" s="11" t="s">
        <v>54</v>
      </c>
      <c r="AA289" s="11" t="str">
        <f t="shared" si="21"/>
        <v>1700 - TBN</v>
      </c>
      <c r="AC289" s="2" t="s">
        <v>145</v>
      </c>
      <c r="AD289" s="11" t="str">
        <f>IF($I289&lt;&gt;"",VLOOKUP($AC289,GEADRESSEERDE!$A$2:$E$4,2,),"")</f>
        <v>LUITHAGEN HAVEN 2 D</v>
      </c>
      <c r="AE289" s="11">
        <f>IF($I289&lt;&gt;"",VLOOKUP($AC289,GEADRESSEERDE!$A$2:$E$4,3,),"")</f>
        <v>2030</v>
      </c>
      <c r="AF289" s="11" t="str">
        <f>IF($I289&lt;&gt;"",VLOOKUP($AC289,GEADRESSEERDE!$A$2:$E$4,4,),"")</f>
        <v>ANTWERPEN</v>
      </c>
      <c r="AG289" s="11" t="str">
        <f>IF($I289&lt;&gt;"",VLOOKUP($AC289,GEADRESSEERDE!$A$2:$E$4,5,),"")</f>
        <v>BE</v>
      </c>
      <c r="AH289" s="11" t="str">
        <f>IF(I289&lt;&gt;"",VLOOKUP(AP289,KvB!$A$2:$B$3,2,FALSE),"")</f>
        <v>BE101000</v>
      </c>
      <c r="AI289" s="11" t="s">
        <v>55</v>
      </c>
      <c r="AJ289" s="11"/>
      <c r="AK289" s="11"/>
      <c r="AL289" s="11"/>
      <c r="AM289" s="11"/>
      <c r="AN289" s="11"/>
      <c r="AO289" s="11"/>
      <c r="AP289" s="2" t="s">
        <v>70</v>
      </c>
      <c r="AQ289" s="11" t="str">
        <f>IF(I289&lt;&gt;"",DATA!D288,"")</f>
        <v>8504406090</v>
      </c>
    </row>
    <row r="290" spans="1:43" ht="15.75" x14ac:dyDescent="0.25">
      <c r="A290" s="11" t="s">
        <v>57</v>
      </c>
      <c r="B290" s="11" t="s">
        <v>56</v>
      </c>
      <c r="C290" s="22">
        <f t="shared" si="22"/>
        <v>25001620</v>
      </c>
      <c r="D290" s="11" t="str">
        <f t="shared" si="19"/>
        <v>SKIIFM_AT</v>
      </c>
      <c r="E290" s="11" t="str">
        <f>IF(I290&lt;&gt;"",VLOOKUP(F290,OPDRACHTGEVER!$A$2:$B$4,2,FALSE),"")</f>
        <v>SKIIFM_AT</v>
      </c>
      <c r="F290" s="11" t="s">
        <v>58</v>
      </c>
      <c r="I290" s="11" t="str">
        <f>IF(DATA!B289&lt;&gt;"",DATA!B289,"")</f>
        <v>TGBU6999808</v>
      </c>
      <c r="J290" s="12">
        <v>0</v>
      </c>
      <c r="K290" s="11" t="s">
        <v>53</v>
      </c>
      <c r="L290" s="11" t="str">
        <f t="shared" si="20"/>
        <v>851989</v>
      </c>
      <c r="M290" s="11" t="str">
        <f>IF(I290&lt;&gt;"",DATA!E289,"")</f>
        <v>GRAMOPHONE</v>
      </c>
      <c r="N290" s="12">
        <v>0</v>
      </c>
      <c r="O290" s="11">
        <f>IF(I290&lt;&gt;"",DATA!C289,"")</f>
        <v>40</v>
      </c>
      <c r="P290" s="2">
        <v>294094</v>
      </c>
      <c r="Q290" s="2" t="s">
        <v>1304</v>
      </c>
      <c r="R290" s="2" t="s">
        <v>1311</v>
      </c>
      <c r="S290" s="2">
        <v>584</v>
      </c>
      <c r="T290" s="2">
        <v>1</v>
      </c>
      <c r="U290" s="2" t="s">
        <v>141</v>
      </c>
      <c r="Y290" s="2">
        <v>1700</v>
      </c>
      <c r="Z290" s="11" t="s">
        <v>54</v>
      </c>
      <c r="AA290" s="11" t="str">
        <f t="shared" si="21"/>
        <v>1700 - TBN</v>
      </c>
      <c r="AC290" s="2" t="s">
        <v>145</v>
      </c>
      <c r="AD290" s="11" t="str">
        <f>IF($I290&lt;&gt;"",VLOOKUP($AC290,GEADRESSEERDE!$A$2:$E$4,2,),"")</f>
        <v>LUITHAGEN HAVEN 2 D</v>
      </c>
      <c r="AE290" s="11">
        <f>IF($I290&lt;&gt;"",VLOOKUP($AC290,GEADRESSEERDE!$A$2:$E$4,3,),"")</f>
        <v>2030</v>
      </c>
      <c r="AF290" s="11" t="str">
        <f>IF($I290&lt;&gt;"",VLOOKUP($AC290,GEADRESSEERDE!$A$2:$E$4,4,),"")</f>
        <v>ANTWERPEN</v>
      </c>
      <c r="AG290" s="11" t="str">
        <f>IF($I290&lt;&gt;"",VLOOKUP($AC290,GEADRESSEERDE!$A$2:$E$4,5,),"")</f>
        <v>BE</v>
      </c>
      <c r="AH290" s="11" t="str">
        <f>IF(I290&lt;&gt;"",VLOOKUP(AP290,KvB!$A$2:$B$3,2,FALSE),"")</f>
        <v>BE101000</v>
      </c>
      <c r="AI290" s="11" t="s">
        <v>55</v>
      </c>
      <c r="AJ290" s="11"/>
      <c r="AK290" s="11"/>
      <c r="AL290" s="11"/>
      <c r="AM290" s="11"/>
      <c r="AN290" s="11"/>
      <c r="AO290" s="11"/>
      <c r="AP290" s="2" t="s">
        <v>70</v>
      </c>
      <c r="AQ290" s="11" t="str">
        <f>IF(I290&lt;&gt;"",DATA!D289,"")</f>
        <v>8519890000</v>
      </c>
    </row>
    <row r="291" spans="1:43" ht="15.75" x14ac:dyDescent="0.25">
      <c r="A291" s="11" t="s">
        <v>57</v>
      </c>
      <c r="B291" s="11" t="s">
        <v>56</v>
      </c>
      <c r="C291" s="22">
        <f t="shared" si="22"/>
        <v>25001620</v>
      </c>
      <c r="D291" s="11" t="str">
        <f t="shared" si="19"/>
        <v>SKIIFM_AT</v>
      </c>
      <c r="E291" s="11" t="str">
        <f>IF(I291&lt;&gt;"",VLOOKUP(F291,OPDRACHTGEVER!$A$2:$B$4,2,FALSE),"")</f>
        <v>SKIIFM_AT</v>
      </c>
      <c r="F291" s="11" t="s">
        <v>58</v>
      </c>
      <c r="I291" s="11" t="str">
        <f>IF(DATA!B290&lt;&gt;"",DATA!B290,"")</f>
        <v>TGBU6999808</v>
      </c>
      <c r="J291" s="12">
        <v>0</v>
      </c>
      <c r="K291" s="11" t="s">
        <v>53</v>
      </c>
      <c r="L291" s="11" t="str">
        <f t="shared" si="20"/>
        <v>741920</v>
      </c>
      <c r="M291" s="11" t="str">
        <f>IF(I291&lt;&gt;"",DATA!E290,"")</f>
        <v>GRID WALL</v>
      </c>
      <c r="N291" s="12">
        <v>0</v>
      </c>
      <c r="O291" s="11">
        <f>IF(I291&lt;&gt;"",DATA!C290,"")</f>
        <v>38</v>
      </c>
      <c r="P291" s="2">
        <v>294094</v>
      </c>
      <c r="Q291" s="2" t="s">
        <v>1304</v>
      </c>
      <c r="R291" s="2" t="s">
        <v>1311</v>
      </c>
      <c r="S291" s="2">
        <v>584</v>
      </c>
      <c r="T291" s="2">
        <v>1</v>
      </c>
      <c r="U291" s="2" t="s">
        <v>141</v>
      </c>
      <c r="Y291" s="2">
        <v>1700</v>
      </c>
      <c r="Z291" s="11" t="s">
        <v>54</v>
      </c>
      <c r="AA291" s="11" t="str">
        <f t="shared" si="21"/>
        <v>1700 - TBN</v>
      </c>
      <c r="AC291" s="2" t="s">
        <v>145</v>
      </c>
      <c r="AD291" s="11" t="str">
        <f>IF($I291&lt;&gt;"",VLOOKUP($AC291,GEADRESSEERDE!$A$2:$E$4,2,),"")</f>
        <v>LUITHAGEN HAVEN 2 D</v>
      </c>
      <c r="AE291" s="11">
        <f>IF($I291&lt;&gt;"",VLOOKUP($AC291,GEADRESSEERDE!$A$2:$E$4,3,),"")</f>
        <v>2030</v>
      </c>
      <c r="AF291" s="11" t="str">
        <f>IF($I291&lt;&gt;"",VLOOKUP($AC291,GEADRESSEERDE!$A$2:$E$4,4,),"")</f>
        <v>ANTWERPEN</v>
      </c>
      <c r="AG291" s="11" t="str">
        <f>IF($I291&lt;&gt;"",VLOOKUP($AC291,GEADRESSEERDE!$A$2:$E$4,5,),"")</f>
        <v>BE</v>
      </c>
      <c r="AH291" s="11" t="str">
        <f>IF(I291&lt;&gt;"",VLOOKUP(AP291,KvB!$A$2:$B$3,2,FALSE),"")</f>
        <v>BE101000</v>
      </c>
      <c r="AI291" s="11" t="s">
        <v>55</v>
      </c>
      <c r="AJ291" s="11"/>
      <c r="AK291" s="11"/>
      <c r="AL291" s="11"/>
      <c r="AM291" s="11"/>
      <c r="AN291" s="11"/>
      <c r="AO291" s="11"/>
      <c r="AP291" s="2" t="s">
        <v>70</v>
      </c>
      <c r="AQ291" s="11" t="str">
        <f>IF(I291&lt;&gt;"",DATA!D290,"")</f>
        <v>7419200090</v>
      </c>
    </row>
    <row r="292" spans="1:43" ht="15.75" x14ac:dyDescent="0.25">
      <c r="A292" s="11" t="s">
        <v>57</v>
      </c>
      <c r="B292" s="11" t="s">
        <v>56</v>
      </c>
      <c r="C292" s="22">
        <f t="shared" si="22"/>
        <v>25001620</v>
      </c>
      <c r="D292" s="11" t="str">
        <f t="shared" si="19"/>
        <v>SKIIFM_AT</v>
      </c>
      <c r="E292" s="11" t="str">
        <f>IF(I292&lt;&gt;"",VLOOKUP(F292,OPDRACHTGEVER!$A$2:$B$4,2,FALSE),"")</f>
        <v>SKIIFM_AT</v>
      </c>
      <c r="F292" s="11" t="s">
        <v>58</v>
      </c>
      <c r="I292" s="11" t="str">
        <f>IF(DATA!B291&lt;&gt;"",DATA!B291,"")</f>
        <v>TGBU6999808</v>
      </c>
      <c r="J292" s="12">
        <v>0</v>
      </c>
      <c r="K292" s="11" t="s">
        <v>53</v>
      </c>
      <c r="L292" s="11" t="str">
        <f t="shared" si="20"/>
        <v>902580</v>
      </c>
      <c r="M292" s="11" t="str">
        <f>IF(I292&lt;&gt;"",DATA!E291,"")</f>
        <v>HANDHELD THERMOMETER</v>
      </c>
      <c r="N292" s="12">
        <v>0</v>
      </c>
      <c r="O292" s="11">
        <f>IF(I292&lt;&gt;"",DATA!C291,"")</f>
        <v>24</v>
      </c>
      <c r="P292" s="2">
        <v>294094</v>
      </c>
      <c r="Q292" s="2" t="s">
        <v>1304</v>
      </c>
      <c r="R292" s="2" t="s">
        <v>1311</v>
      </c>
      <c r="S292" s="2">
        <v>584</v>
      </c>
      <c r="T292" s="2">
        <v>1</v>
      </c>
      <c r="U292" s="2" t="s">
        <v>141</v>
      </c>
      <c r="Y292" s="2">
        <v>1700</v>
      </c>
      <c r="Z292" s="11" t="s">
        <v>54</v>
      </c>
      <c r="AA292" s="11" t="str">
        <f t="shared" si="21"/>
        <v>1700 - TBN</v>
      </c>
      <c r="AC292" s="2" t="s">
        <v>145</v>
      </c>
      <c r="AD292" s="11" t="str">
        <f>IF($I292&lt;&gt;"",VLOOKUP($AC292,GEADRESSEERDE!$A$2:$E$4,2,),"")</f>
        <v>LUITHAGEN HAVEN 2 D</v>
      </c>
      <c r="AE292" s="11">
        <f>IF($I292&lt;&gt;"",VLOOKUP($AC292,GEADRESSEERDE!$A$2:$E$4,3,),"")</f>
        <v>2030</v>
      </c>
      <c r="AF292" s="11" t="str">
        <f>IF($I292&lt;&gt;"",VLOOKUP($AC292,GEADRESSEERDE!$A$2:$E$4,4,),"")</f>
        <v>ANTWERPEN</v>
      </c>
      <c r="AG292" s="11" t="str">
        <f>IF($I292&lt;&gt;"",VLOOKUP($AC292,GEADRESSEERDE!$A$2:$E$4,5,),"")</f>
        <v>BE</v>
      </c>
      <c r="AH292" s="11" t="str">
        <f>IF(I292&lt;&gt;"",VLOOKUP(AP292,KvB!$A$2:$B$3,2,FALSE),"")</f>
        <v>BE101000</v>
      </c>
      <c r="AI292" s="11" t="s">
        <v>55</v>
      </c>
      <c r="AJ292" s="11"/>
      <c r="AK292" s="11"/>
      <c r="AL292" s="11"/>
      <c r="AM292" s="11"/>
      <c r="AN292" s="11"/>
      <c r="AO292" s="11"/>
      <c r="AP292" s="2" t="s">
        <v>70</v>
      </c>
      <c r="AQ292" s="11" t="str">
        <f>IF(I292&lt;&gt;"",DATA!D291,"")</f>
        <v>9025804089</v>
      </c>
    </row>
    <row r="293" spans="1:43" ht="15.75" x14ac:dyDescent="0.25">
      <c r="A293" s="11" t="s">
        <v>57</v>
      </c>
      <c r="B293" s="11" t="s">
        <v>56</v>
      </c>
      <c r="C293" s="22">
        <f t="shared" si="22"/>
        <v>25001620</v>
      </c>
      <c r="D293" s="11" t="str">
        <f t="shared" si="19"/>
        <v>SKIIFM_AT</v>
      </c>
      <c r="E293" s="11" t="str">
        <f>IF(I293&lt;&gt;"",VLOOKUP(F293,OPDRACHTGEVER!$A$2:$B$4,2,FALSE),"")</f>
        <v>SKIIFM_AT</v>
      </c>
      <c r="F293" s="11" t="s">
        <v>58</v>
      </c>
      <c r="I293" s="11" t="str">
        <f>IF(DATA!B292&lt;&gt;"",DATA!B292,"")</f>
        <v>TGBU6999808</v>
      </c>
      <c r="J293" s="12">
        <v>0</v>
      </c>
      <c r="K293" s="11" t="s">
        <v>53</v>
      </c>
      <c r="L293" s="11" t="str">
        <f t="shared" si="20"/>
        <v>741920</v>
      </c>
      <c r="M293" s="11" t="str">
        <f>IF(I293&lt;&gt;"",DATA!E292,"")</f>
        <v>HANDRAIL</v>
      </c>
      <c r="N293" s="12">
        <v>0</v>
      </c>
      <c r="O293" s="11">
        <f>IF(I293&lt;&gt;"",DATA!C292,"")</f>
        <v>54.4</v>
      </c>
      <c r="P293" s="2">
        <v>294094</v>
      </c>
      <c r="Q293" s="2" t="s">
        <v>1304</v>
      </c>
      <c r="R293" s="2" t="s">
        <v>1311</v>
      </c>
      <c r="S293" s="2">
        <v>584</v>
      </c>
      <c r="T293" s="2">
        <v>1</v>
      </c>
      <c r="U293" s="2" t="s">
        <v>141</v>
      </c>
      <c r="Y293" s="2">
        <v>1700</v>
      </c>
      <c r="Z293" s="11" t="s">
        <v>54</v>
      </c>
      <c r="AA293" s="11" t="str">
        <f t="shared" si="21"/>
        <v>1700 - TBN</v>
      </c>
      <c r="AC293" s="2" t="s">
        <v>145</v>
      </c>
      <c r="AD293" s="11" t="str">
        <f>IF($I293&lt;&gt;"",VLOOKUP($AC293,GEADRESSEERDE!$A$2:$E$4,2,),"")</f>
        <v>LUITHAGEN HAVEN 2 D</v>
      </c>
      <c r="AE293" s="11">
        <f>IF($I293&lt;&gt;"",VLOOKUP($AC293,GEADRESSEERDE!$A$2:$E$4,3,),"")</f>
        <v>2030</v>
      </c>
      <c r="AF293" s="11" t="str">
        <f>IF($I293&lt;&gt;"",VLOOKUP($AC293,GEADRESSEERDE!$A$2:$E$4,4,),"")</f>
        <v>ANTWERPEN</v>
      </c>
      <c r="AG293" s="11" t="str">
        <f>IF($I293&lt;&gt;"",VLOOKUP($AC293,GEADRESSEERDE!$A$2:$E$4,5,),"")</f>
        <v>BE</v>
      </c>
      <c r="AH293" s="11" t="str">
        <f>IF(I293&lt;&gt;"",VLOOKUP(AP293,KvB!$A$2:$B$3,2,FALSE),"")</f>
        <v>BE101000</v>
      </c>
      <c r="AI293" s="11" t="s">
        <v>55</v>
      </c>
      <c r="AJ293" s="11"/>
      <c r="AK293" s="11"/>
      <c r="AL293" s="11"/>
      <c r="AM293" s="11"/>
      <c r="AN293" s="11"/>
      <c r="AO293" s="11"/>
      <c r="AP293" s="2" t="s">
        <v>70</v>
      </c>
      <c r="AQ293" s="11" t="str">
        <f>IF(I293&lt;&gt;"",DATA!D292,"")</f>
        <v>7419200090</v>
      </c>
    </row>
    <row r="294" spans="1:43" ht="15.75" x14ac:dyDescent="0.25">
      <c r="A294" s="11" t="s">
        <v>57</v>
      </c>
      <c r="B294" s="11" t="s">
        <v>56</v>
      </c>
      <c r="C294" s="22">
        <f t="shared" si="22"/>
        <v>25001620</v>
      </c>
      <c r="D294" s="11" t="str">
        <f t="shared" si="19"/>
        <v>SKIIFM_AT</v>
      </c>
      <c r="E294" s="11" t="str">
        <f>IF(I294&lt;&gt;"",VLOOKUP(F294,OPDRACHTGEVER!$A$2:$B$4,2,FALSE),"")</f>
        <v>SKIIFM_AT</v>
      </c>
      <c r="F294" s="11" t="s">
        <v>58</v>
      </c>
      <c r="I294" s="11" t="str">
        <f>IF(DATA!B293&lt;&gt;"",DATA!B293,"")</f>
        <v>TGBU6999808</v>
      </c>
      <c r="J294" s="12">
        <v>0</v>
      </c>
      <c r="K294" s="11" t="s">
        <v>53</v>
      </c>
      <c r="L294" s="11" t="str">
        <f t="shared" si="20"/>
        <v>841950</v>
      </c>
      <c r="M294" s="11" t="str">
        <f>IF(I294&lt;&gt;"",DATA!E293,"")</f>
        <v>HEAT EXCHANGER</v>
      </c>
      <c r="N294" s="12">
        <v>0</v>
      </c>
      <c r="O294" s="11">
        <f>IF(I294&lt;&gt;"",DATA!C293,"")</f>
        <v>2.3199999999999998</v>
      </c>
      <c r="P294" s="2">
        <v>294094</v>
      </c>
      <c r="Q294" s="2" t="s">
        <v>1304</v>
      </c>
      <c r="R294" s="2" t="s">
        <v>1311</v>
      </c>
      <c r="S294" s="2">
        <v>584</v>
      </c>
      <c r="T294" s="2">
        <v>1</v>
      </c>
      <c r="U294" s="2" t="s">
        <v>141</v>
      </c>
      <c r="Y294" s="2">
        <v>1700</v>
      </c>
      <c r="Z294" s="11" t="s">
        <v>54</v>
      </c>
      <c r="AA294" s="11" t="str">
        <f t="shared" si="21"/>
        <v>1700 - TBN</v>
      </c>
      <c r="AC294" s="2" t="s">
        <v>145</v>
      </c>
      <c r="AD294" s="11" t="str">
        <f>IF($I294&lt;&gt;"",VLOOKUP($AC294,GEADRESSEERDE!$A$2:$E$4,2,),"")</f>
        <v>LUITHAGEN HAVEN 2 D</v>
      </c>
      <c r="AE294" s="11">
        <f>IF($I294&lt;&gt;"",VLOOKUP($AC294,GEADRESSEERDE!$A$2:$E$4,3,),"")</f>
        <v>2030</v>
      </c>
      <c r="AF294" s="11" t="str">
        <f>IF($I294&lt;&gt;"",VLOOKUP($AC294,GEADRESSEERDE!$A$2:$E$4,4,),"")</f>
        <v>ANTWERPEN</v>
      </c>
      <c r="AG294" s="11" t="str">
        <f>IF($I294&lt;&gt;"",VLOOKUP($AC294,GEADRESSEERDE!$A$2:$E$4,5,),"")</f>
        <v>BE</v>
      </c>
      <c r="AH294" s="11" t="str">
        <f>IF(I294&lt;&gt;"",VLOOKUP(AP294,KvB!$A$2:$B$3,2,FALSE),"")</f>
        <v>BE101000</v>
      </c>
      <c r="AI294" s="11" t="s">
        <v>55</v>
      </c>
      <c r="AJ294" s="11"/>
      <c r="AK294" s="11"/>
      <c r="AL294" s="11"/>
      <c r="AM294" s="11"/>
      <c r="AN294" s="11"/>
      <c r="AO294" s="11"/>
      <c r="AP294" s="2" t="s">
        <v>70</v>
      </c>
      <c r="AQ294" s="11" t="str">
        <f>IF(I294&lt;&gt;"",DATA!D293,"")</f>
        <v>8419508090</v>
      </c>
    </row>
    <row r="295" spans="1:43" ht="15.75" x14ac:dyDescent="0.25">
      <c r="A295" s="11" t="s">
        <v>57</v>
      </c>
      <c r="B295" s="11" t="s">
        <v>56</v>
      </c>
      <c r="C295" s="22">
        <f t="shared" si="22"/>
        <v>25001620</v>
      </c>
      <c r="D295" s="11" t="str">
        <f t="shared" si="19"/>
        <v>SKIIFM_AT</v>
      </c>
      <c r="E295" s="11" t="str">
        <f>IF(I295&lt;&gt;"",VLOOKUP(F295,OPDRACHTGEVER!$A$2:$B$4,2,FALSE),"")</f>
        <v>SKIIFM_AT</v>
      </c>
      <c r="F295" s="11" t="s">
        <v>58</v>
      </c>
      <c r="I295" s="11" t="str">
        <f>IF(DATA!B294&lt;&gt;"",DATA!B294,"")</f>
        <v>TGBU6999808</v>
      </c>
      <c r="J295" s="12">
        <v>0</v>
      </c>
      <c r="K295" s="11" t="s">
        <v>53</v>
      </c>
      <c r="L295" s="11" t="str">
        <f t="shared" si="20"/>
        <v>841480</v>
      </c>
      <c r="M295" s="11" t="str">
        <f>IF(I295&lt;&gt;"",DATA!E294,"")</f>
        <v>HORN COMPRESSOR</v>
      </c>
      <c r="N295" s="12">
        <v>0</v>
      </c>
      <c r="O295" s="11">
        <f>IF(I295&lt;&gt;"",DATA!C294,"")</f>
        <v>44.1</v>
      </c>
      <c r="P295" s="2">
        <v>294094</v>
      </c>
      <c r="Q295" s="2" t="s">
        <v>1304</v>
      </c>
      <c r="R295" s="2" t="s">
        <v>1311</v>
      </c>
      <c r="S295" s="2">
        <v>584</v>
      </c>
      <c r="T295" s="2">
        <v>1</v>
      </c>
      <c r="U295" s="2" t="s">
        <v>141</v>
      </c>
      <c r="Y295" s="2">
        <v>1700</v>
      </c>
      <c r="Z295" s="11" t="s">
        <v>54</v>
      </c>
      <c r="AA295" s="11" t="str">
        <f t="shared" si="21"/>
        <v>1700 - TBN</v>
      </c>
      <c r="AC295" s="2" t="s">
        <v>145</v>
      </c>
      <c r="AD295" s="11" t="str">
        <f>IF($I295&lt;&gt;"",VLOOKUP($AC295,GEADRESSEERDE!$A$2:$E$4,2,),"")</f>
        <v>LUITHAGEN HAVEN 2 D</v>
      </c>
      <c r="AE295" s="11">
        <f>IF($I295&lt;&gt;"",VLOOKUP($AC295,GEADRESSEERDE!$A$2:$E$4,3,),"")</f>
        <v>2030</v>
      </c>
      <c r="AF295" s="11" t="str">
        <f>IF($I295&lt;&gt;"",VLOOKUP($AC295,GEADRESSEERDE!$A$2:$E$4,4,),"")</f>
        <v>ANTWERPEN</v>
      </c>
      <c r="AG295" s="11" t="str">
        <f>IF($I295&lt;&gt;"",VLOOKUP($AC295,GEADRESSEERDE!$A$2:$E$4,5,),"")</f>
        <v>BE</v>
      </c>
      <c r="AH295" s="11" t="str">
        <f>IF(I295&lt;&gt;"",VLOOKUP(AP295,KvB!$A$2:$B$3,2,FALSE),"")</f>
        <v>BE101000</v>
      </c>
      <c r="AI295" s="11" t="s">
        <v>55</v>
      </c>
      <c r="AJ295" s="11"/>
      <c r="AK295" s="11"/>
      <c r="AL295" s="11"/>
      <c r="AM295" s="11"/>
      <c r="AN295" s="11"/>
      <c r="AO295" s="11"/>
      <c r="AP295" s="2" t="s">
        <v>70</v>
      </c>
      <c r="AQ295" s="11" t="str">
        <f>IF(I295&lt;&gt;"",DATA!D294,"")</f>
        <v>8414808090</v>
      </c>
    </row>
    <row r="296" spans="1:43" ht="15.75" x14ac:dyDescent="0.25">
      <c r="A296" s="11" t="s">
        <v>57</v>
      </c>
      <c r="B296" s="11" t="s">
        <v>56</v>
      </c>
      <c r="C296" s="22">
        <f t="shared" si="22"/>
        <v>25001620</v>
      </c>
      <c r="D296" s="11" t="str">
        <f t="shared" si="19"/>
        <v>SKIIFM_AT</v>
      </c>
      <c r="E296" s="11" t="str">
        <f>IF(I296&lt;&gt;"",VLOOKUP(F296,OPDRACHTGEVER!$A$2:$B$4,2,FALSE),"")</f>
        <v>SKIIFM_AT</v>
      </c>
      <c r="F296" s="11" t="s">
        <v>58</v>
      </c>
      <c r="I296" s="11" t="str">
        <f>IF(DATA!B295&lt;&gt;"",DATA!B295,"")</f>
        <v>TGBU6999808</v>
      </c>
      <c r="J296" s="12">
        <v>0</v>
      </c>
      <c r="K296" s="11" t="s">
        <v>53</v>
      </c>
      <c r="L296" s="11" t="str">
        <f t="shared" si="20"/>
        <v>820600</v>
      </c>
      <c r="M296" s="11" t="str">
        <f>IF(I296&lt;&gt;"",DATA!E295,"")</f>
        <v>HOUSEHOLD HAND TOOL KIT</v>
      </c>
      <c r="N296" s="12">
        <v>0</v>
      </c>
      <c r="O296" s="11">
        <f>IF(I296&lt;&gt;"",DATA!C295,"")</f>
        <v>160</v>
      </c>
      <c r="P296" s="2">
        <v>294094</v>
      </c>
      <c r="Q296" s="2" t="s">
        <v>1304</v>
      </c>
      <c r="R296" s="2" t="s">
        <v>1311</v>
      </c>
      <c r="S296" s="2">
        <v>584</v>
      </c>
      <c r="T296" s="2">
        <v>1</v>
      </c>
      <c r="U296" s="2" t="s">
        <v>141</v>
      </c>
      <c r="Y296" s="2">
        <v>1700</v>
      </c>
      <c r="Z296" s="11" t="s">
        <v>54</v>
      </c>
      <c r="AA296" s="11" t="str">
        <f t="shared" si="21"/>
        <v>1700 - TBN</v>
      </c>
      <c r="AC296" s="2" t="s">
        <v>145</v>
      </c>
      <c r="AD296" s="11" t="str">
        <f>IF($I296&lt;&gt;"",VLOOKUP($AC296,GEADRESSEERDE!$A$2:$E$4,2,),"")</f>
        <v>LUITHAGEN HAVEN 2 D</v>
      </c>
      <c r="AE296" s="11">
        <f>IF($I296&lt;&gt;"",VLOOKUP($AC296,GEADRESSEERDE!$A$2:$E$4,3,),"")</f>
        <v>2030</v>
      </c>
      <c r="AF296" s="11" t="str">
        <f>IF($I296&lt;&gt;"",VLOOKUP($AC296,GEADRESSEERDE!$A$2:$E$4,4,),"")</f>
        <v>ANTWERPEN</v>
      </c>
      <c r="AG296" s="11" t="str">
        <f>IF($I296&lt;&gt;"",VLOOKUP($AC296,GEADRESSEERDE!$A$2:$E$4,5,),"")</f>
        <v>BE</v>
      </c>
      <c r="AH296" s="11" t="str">
        <f>IF(I296&lt;&gt;"",VLOOKUP(AP296,KvB!$A$2:$B$3,2,FALSE),"")</f>
        <v>BE101000</v>
      </c>
      <c r="AI296" s="11" t="s">
        <v>55</v>
      </c>
      <c r="AJ296" s="11"/>
      <c r="AK296" s="11"/>
      <c r="AL296" s="11"/>
      <c r="AM296" s="11"/>
      <c r="AN296" s="11"/>
      <c r="AO296" s="11"/>
      <c r="AP296" s="2" t="s">
        <v>70</v>
      </c>
      <c r="AQ296" s="11" t="str">
        <f>IF(I296&lt;&gt;"",DATA!D295,"")</f>
        <v>8206000000</v>
      </c>
    </row>
    <row r="297" spans="1:43" ht="15.75" x14ac:dyDescent="0.25">
      <c r="A297" s="11" t="s">
        <v>57</v>
      </c>
      <c r="B297" s="11" t="s">
        <v>56</v>
      </c>
      <c r="C297" s="22">
        <f t="shared" si="22"/>
        <v>25001620</v>
      </c>
      <c r="D297" s="11" t="str">
        <f t="shared" si="19"/>
        <v>SKIIFM_AT</v>
      </c>
      <c r="E297" s="11" t="str">
        <f>IF(I297&lt;&gt;"",VLOOKUP(F297,OPDRACHTGEVER!$A$2:$B$4,2,FALSE),"")</f>
        <v>SKIIFM_AT</v>
      </c>
      <c r="F297" s="11" t="s">
        <v>58</v>
      </c>
      <c r="I297" s="11" t="str">
        <f>IF(DATA!B296&lt;&gt;"",DATA!B296,"")</f>
        <v>TGBU6999808</v>
      </c>
      <c r="J297" s="12">
        <v>0</v>
      </c>
      <c r="K297" s="11" t="s">
        <v>53</v>
      </c>
      <c r="L297" s="11" t="str">
        <f t="shared" si="20"/>
        <v>846789</v>
      </c>
      <c r="M297" s="11" t="str">
        <f>IF(I297&lt;&gt;"",DATA!E296,"")</f>
        <v>HYDRAULIC  LIFT  MECHANISMS</v>
      </c>
      <c r="N297" s="12">
        <v>0</v>
      </c>
      <c r="O297" s="11">
        <f>IF(I297&lt;&gt;"",DATA!C296,"")</f>
        <v>140.69999999999999</v>
      </c>
      <c r="P297" s="2">
        <v>294094</v>
      </c>
      <c r="Q297" s="2" t="s">
        <v>1304</v>
      </c>
      <c r="R297" s="2" t="s">
        <v>1311</v>
      </c>
      <c r="S297" s="2">
        <v>584</v>
      </c>
      <c r="T297" s="2">
        <v>1</v>
      </c>
      <c r="U297" s="2" t="s">
        <v>141</v>
      </c>
      <c r="Y297" s="2">
        <v>1700</v>
      </c>
      <c r="Z297" s="11" t="s">
        <v>54</v>
      </c>
      <c r="AA297" s="11" t="str">
        <f t="shared" si="21"/>
        <v>1700 - TBN</v>
      </c>
      <c r="AC297" s="2" t="s">
        <v>145</v>
      </c>
      <c r="AD297" s="11" t="str">
        <f>IF($I297&lt;&gt;"",VLOOKUP($AC297,GEADRESSEERDE!$A$2:$E$4,2,),"")</f>
        <v>LUITHAGEN HAVEN 2 D</v>
      </c>
      <c r="AE297" s="11">
        <f>IF($I297&lt;&gt;"",VLOOKUP($AC297,GEADRESSEERDE!$A$2:$E$4,3,),"")</f>
        <v>2030</v>
      </c>
      <c r="AF297" s="11" t="str">
        <f>IF($I297&lt;&gt;"",VLOOKUP($AC297,GEADRESSEERDE!$A$2:$E$4,4,),"")</f>
        <v>ANTWERPEN</v>
      </c>
      <c r="AG297" s="11" t="str">
        <f>IF($I297&lt;&gt;"",VLOOKUP($AC297,GEADRESSEERDE!$A$2:$E$4,5,),"")</f>
        <v>BE</v>
      </c>
      <c r="AH297" s="11" t="str">
        <f>IF(I297&lt;&gt;"",VLOOKUP(AP297,KvB!$A$2:$B$3,2,FALSE),"")</f>
        <v>BE101000</v>
      </c>
      <c r="AI297" s="11" t="s">
        <v>55</v>
      </c>
      <c r="AJ297" s="11"/>
      <c r="AK297" s="11"/>
      <c r="AL297" s="11"/>
      <c r="AM297" s="11"/>
      <c r="AN297" s="11"/>
      <c r="AO297" s="11"/>
      <c r="AP297" s="2" t="s">
        <v>70</v>
      </c>
      <c r="AQ297" s="11" t="str">
        <f>IF(I297&lt;&gt;"",DATA!D296,"")</f>
        <v>8467890000</v>
      </c>
    </row>
    <row r="298" spans="1:43" ht="15.75" x14ac:dyDescent="0.25">
      <c r="A298" s="11" t="s">
        <v>57</v>
      </c>
      <c r="B298" s="11" t="s">
        <v>56</v>
      </c>
      <c r="C298" s="22">
        <f t="shared" si="22"/>
        <v>25001620</v>
      </c>
      <c r="D298" s="11" t="str">
        <f t="shared" si="19"/>
        <v>SKIIFM_AT</v>
      </c>
      <c r="E298" s="11" t="str">
        <f>IF(I298&lt;&gt;"",VLOOKUP(F298,OPDRACHTGEVER!$A$2:$B$4,2,FALSE),"")</f>
        <v>SKIIFM_AT</v>
      </c>
      <c r="F298" s="11" t="s">
        <v>58</v>
      </c>
      <c r="I298" s="11" t="str">
        <f>IF(DATA!B297&lt;&gt;"",DATA!B297,"")</f>
        <v>TGBU6999808</v>
      </c>
      <c r="J298" s="12">
        <v>0</v>
      </c>
      <c r="K298" s="11" t="s">
        <v>53</v>
      </c>
      <c r="L298" s="11" t="str">
        <f t="shared" si="20"/>
        <v>846719</v>
      </c>
      <c r="M298" s="11" t="str">
        <f>IF(I298&lt;&gt;"",DATA!E297,"")</f>
        <v>ICE HOCKEY PRESS</v>
      </c>
      <c r="N298" s="12">
        <v>0</v>
      </c>
      <c r="O298" s="11">
        <f>IF(I298&lt;&gt;"",DATA!C297,"")</f>
        <v>3.8</v>
      </c>
      <c r="P298" s="2">
        <v>294094</v>
      </c>
      <c r="Q298" s="2" t="s">
        <v>1304</v>
      </c>
      <c r="R298" s="2" t="s">
        <v>1311</v>
      </c>
      <c r="S298" s="2">
        <v>584</v>
      </c>
      <c r="T298" s="2">
        <v>1</v>
      </c>
      <c r="U298" s="2" t="s">
        <v>141</v>
      </c>
      <c r="Y298" s="2">
        <v>1700</v>
      </c>
      <c r="Z298" s="11" t="s">
        <v>54</v>
      </c>
      <c r="AA298" s="11" t="str">
        <f t="shared" si="21"/>
        <v>1700 - TBN</v>
      </c>
      <c r="AC298" s="2" t="s">
        <v>145</v>
      </c>
      <c r="AD298" s="11" t="str">
        <f>IF($I298&lt;&gt;"",VLOOKUP($AC298,GEADRESSEERDE!$A$2:$E$4,2,),"")</f>
        <v>LUITHAGEN HAVEN 2 D</v>
      </c>
      <c r="AE298" s="11">
        <f>IF($I298&lt;&gt;"",VLOOKUP($AC298,GEADRESSEERDE!$A$2:$E$4,3,),"")</f>
        <v>2030</v>
      </c>
      <c r="AF298" s="11" t="str">
        <f>IF($I298&lt;&gt;"",VLOOKUP($AC298,GEADRESSEERDE!$A$2:$E$4,4,),"")</f>
        <v>ANTWERPEN</v>
      </c>
      <c r="AG298" s="11" t="str">
        <f>IF($I298&lt;&gt;"",VLOOKUP($AC298,GEADRESSEERDE!$A$2:$E$4,5,),"")</f>
        <v>BE</v>
      </c>
      <c r="AH298" s="11" t="str">
        <f>IF(I298&lt;&gt;"",VLOOKUP(AP298,KvB!$A$2:$B$3,2,FALSE),"")</f>
        <v>BE101000</v>
      </c>
      <c r="AI298" s="11" t="s">
        <v>55</v>
      </c>
      <c r="AJ298" s="11"/>
      <c r="AK298" s="11"/>
      <c r="AL298" s="11"/>
      <c r="AM298" s="11"/>
      <c r="AN298" s="11"/>
      <c r="AO298" s="11"/>
      <c r="AP298" s="2" t="s">
        <v>70</v>
      </c>
      <c r="AQ298" s="11" t="str">
        <f>IF(I298&lt;&gt;"",DATA!D297,"")</f>
        <v>8467190000</v>
      </c>
    </row>
    <row r="299" spans="1:43" ht="15.75" x14ac:dyDescent="0.25">
      <c r="A299" s="11" t="s">
        <v>57</v>
      </c>
      <c r="B299" s="11" t="s">
        <v>56</v>
      </c>
      <c r="C299" s="22">
        <f t="shared" si="22"/>
        <v>25001620</v>
      </c>
      <c r="D299" s="11" t="str">
        <f t="shared" si="19"/>
        <v>SKIIFM_AT</v>
      </c>
      <c r="E299" s="11" t="str">
        <f>IF(I299&lt;&gt;"",VLOOKUP(F299,OPDRACHTGEVER!$A$2:$B$4,2,FALSE),"")</f>
        <v>SKIIFM_AT</v>
      </c>
      <c r="F299" s="11" t="s">
        <v>58</v>
      </c>
      <c r="I299" s="11" t="str">
        <f>IF(DATA!B298&lt;&gt;"",DATA!B298,"")</f>
        <v>TGBU6999808</v>
      </c>
      <c r="J299" s="12">
        <v>0</v>
      </c>
      <c r="K299" s="11" t="s">
        <v>53</v>
      </c>
      <c r="L299" s="11" t="str">
        <f t="shared" si="20"/>
        <v>392690</v>
      </c>
      <c r="M299" s="11" t="str">
        <f>IF(I299&lt;&gt;"",DATA!E298,"")</f>
        <v>INFLATABLE PAINT BOOTH WITH CENTRE DOOR</v>
      </c>
      <c r="N299" s="12">
        <v>0</v>
      </c>
      <c r="O299" s="11">
        <f>IF(I299&lt;&gt;"",DATA!C298,"")</f>
        <v>73.8</v>
      </c>
      <c r="P299" s="2">
        <v>294094</v>
      </c>
      <c r="Q299" s="2" t="s">
        <v>1304</v>
      </c>
      <c r="R299" s="2" t="s">
        <v>1311</v>
      </c>
      <c r="S299" s="2">
        <v>584</v>
      </c>
      <c r="T299" s="2">
        <v>1</v>
      </c>
      <c r="U299" s="2" t="s">
        <v>141</v>
      </c>
      <c r="Y299" s="2">
        <v>1700</v>
      </c>
      <c r="Z299" s="11" t="s">
        <v>54</v>
      </c>
      <c r="AA299" s="11" t="str">
        <f t="shared" si="21"/>
        <v>1700 - TBN</v>
      </c>
      <c r="AC299" s="2" t="s">
        <v>145</v>
      </c>
      <c r="AD299" s="11" t="str">
        <f>IF($I299&lt;&gt;"",VLOOKUP($AC299,GEADRESSEERDE!$A$2:$E$4,2,),"")</f>
        <v>LUITHAGEN HAVEN 2 D</v>
      </c>
      <c r="AE299" s="11">
        <f>IF($I299&lt;&gt;"",VLOOKUP($AC299,GEADRESSEERDE!$A$2:$E$4,3,),"")</f>
        <v>2030</v>
      </c>
      <c r="AF299" s="11" t="str">
        <f>IF($I299&lt;&gt;"",VLOOKUP($AC299,GEADRESSEERDE!$A$2:$E$4,4,),"")</f>
        <v>ANTWERPEN</v>
      </c>
      <c r="AG299" s="11" t="str">
        <f>IF($I299&lt;&gt;"",VLOOKUP($AC299,GEADRESSEERDE!$A$2:$E$4,5,),"")</f>
        <v>BE</v>
      </c>
      <c r="AH299" s="11" t="str">
        <f>IF(I299&lt;&gt;"",VLOOKUP(AP299,KvB!$A$2:$B$3,2,FALSE),"")</f>
        <v>BE101000</v>
      </c>
      <c r="AI299" s="11" t="s">
        <v>55</v>
      </c>
      <c r="AJ299" s="11"/>
      <c r="AK299" s="11"/>
      <c r="AL299" s="11"/>
      <c r="AM299" s="11"/>
      <c r="AN299" s="11"/>
      <c r="AO299" s="11"/>
      <c r="AP299" s="2" t="s">
        <v>70</v>
      </c>
      <c r="AQ299" s="11" t="str">
        <f>IF(I299&lt;&gt;"",DATA!D298,"")</f>
        <v>3926909790</v>
      </c>
    </row>
    <row r="300" spans="1:43" ht="15.75" x14ac:dyDescent="0.25">
      <c r="A300" s="11" t="s">
        <v>57</v>
      </c>
      <c r="B300" s="11" t="s">
        <v>56</v>
      </c>
      <c r="C300" s="22">
        <f t="shared" si="22"/>
        <v>25001620</v>
      </c>
      <c r="D300" s="11" t="str">
        <f t="shared" si="19"/>
        <v>SKIIFM_AT</v>
      </c>
      <c r="E300" s="11" t="str">
        <f>IF(I300&lt;&gt;"",VLOOKUP(F300,OPDRACHTGEVER!$A$2:$B$4,2,FALSE),"")</f>
        <v>SKIIFM_AT</v>
      </c>
      <c r="F300" s="11" t="s">
        <v>58</v>
      </c>
      <c r="I300" s="11" t="str">
        <f>IF(DATA!B299&lt;&gt;"",DATA!B299,"")</f>
        <v>TGBU6999808</v>
      </c>
      <c r="J300" s="12">
        <v>0</v>
      </c>
      <c r="K300" s="11" t="s">
        <v>53</v>
      </c>
      <c r="L300" s="11" t="str">
        <f t="shared" si="20"/>
        <v>401691</v>
      </c>
      <c r="M300" s="11" t="str">
        <f>IF(I300&lt;&gt;"",DATA!E299,"")</f>
        <v>INSULATING COTTON</v>
      </c>
      <c r="N300" s="12">
        <v>0</v>
      </c>
      <c r="O300" s="11">
        <f>IF(I300&lt;&gt;"",DATA!C299,"")</f>
        <v>54.4</v>
      </c>
      <c r="P300" s="2">
        <v>294094</v>
      </c>
      <c r="Q300" s="2" t="s">
        <v>1304</v>
      </c>
      <c r="R300" s="2" t="s">
        <v>1311</v>
      </c>
      <c r="S300" s="2">
        <v>584</v>
      </c>
      <c r="T300" s="2">
        <v>1</v>
      </c>
      <c r="U300" s="2" t="s">
        <v>141</v>
      </c>
      <c r="Y300" s="2">
        <v>1700</v>
      </c>
      <c r="Z300" s="11" t="s">
        <v>54</v>
      </c>
      <c r="AA300" s="11" t="str">
        <f t="shared" si="21"/>
        <v>1700 - TBN</v>
      </c>
      <c r="AC300" s="2" t="s">
        <v>145</v>
      </c>
      <c r="AD300" s="11" t="str">
        <f>IF($I300&lt;&gt;"",VLOOKUP($AC300,GEADRESSEERDE!$A$2:$E$4,2,),"")</f>
        <v>LUITHAGEN HAVEN 2 D</v>
      </c>
      <c r="AE300" s="11">
        <f>IF($I300&lt;&gt;"",VLOOKUP($AC300,GEADRESSEERDE!$A$2:$E$4,3,),"")</f>
        <v>2030</v>
      </c>
      <c r="AF300" s="11" t="str">
        <f>IF($I300&lt;&gt;"",VLOOKUP($AC300,GEADRESSEERDE!$A$2:$E$4,4,),"")</f>
        <v>ANTWERPEN</v>
      </c>
      <c r="AG300" s="11" t="str">
        <f>IF($I300&lt;&gt;"",VLOOKUP($AC300,GEADRESSEERDE!$A$2:$E$4,5,),"")</f>
        <v>BE</v>
      </c>
      <c r="AH300" s="11" t="str">
        <f>IF(I300&lt;&gt;"",VLOOKUP(AP300,KvB!$A$2:$B$3,2,FALSE),"")</f>
        <v>BE101000</v>
      </c>
      <c r="AI300" s="11" t="s">
        <v>55</v>
      </c>
      <c r="AJ300" s="11"/>
      <c r="AK300" s="11"/>
      <c r="AL300" s="11"/>
      <c r="AM300" s="11"/>
      <c r="AN300" s="11"/>
      <c r="AO300" s="11"/>
      <c r="AP300" s="2" t="s">
        <v>70</v>
      </c>
      <c r="AQ300" s="11" t="str">
        <f>IF(I300&lt;&gt;"",DATA!D299,"")</f>
        <v>4016910000</v>
      </c>
    </row>
    <row r="301" spans="1:43" ht="15.75" x14ac:dyDescent="0.25">
      <c r="A301" s="11" t="s">
        <v>57</v>
      </c>
      <c r="B301" s="11" t="s">
        <v>56</v>
      </c>
      <c r="C301" s="22">
        <f t="shared" si="22"/>
        <v>25001620</v>
      </c>
      <c r="D301" s="11" t="str">
        <f t="shared" si="19"/>
        <v>SKIIFM_AT</v>
      </c>
      <c r="E301" s="11" t="str">
        <f>IF(I301&lt;&gt;"",VLOOKUP(F301,OPDRACHTGEVER!$A$2:$B$4,2,FALSE),"")</f>
        <v>SKIIFM_AT</v>
      </c>
      <c r="F301" s="11" t="s">
        <v>58</v>
      </c>
      <c r="I301" s="11" t="str">
        <f>IF(DATA!B300&lt;&gt;"",DATA!B300,"")</f>
        <v>TGBU6999808</v>
      </c>
      <c r="J301" s="12">
        <v>0</v>
      </c>
      <c r="K301" s="11" t="s">
        <v>53</v>
      </c>
      <c r="L301" s="11" t="str">
        <f t="shared" si="20"/>
        <v>902300</v>
      </c>
      <c r="M301" s="11" t="str">
        <f>IF(I301&lt;&gt;"",DATA!E300,"")</f>
        <v>INTUBATION MANIKIN STUDY TEACHING MODEL</v>
      </c>
      <c r="N301" s="12">
        <v>0</v>
      </c>
      <c r="O301" s="11">
        <f>IF(I301&lt;&gt;"",DATA!C300,"")</f>
        <v>20.9</v>
      </c>
      <c r="P301" s="2">
        <v>294094</v>
      </c>
      <c r="Q301" s="2" t="s">
        <v>1304</v>
      </c>
      <c r="R301" s="2" t="s">
        <v>1311</v>
      </c>
      <c r="S301" s="2">
        <v>584</v>
      </c>
      <c r="T301" s="2">
        <v>1</v>
      </c>
      <c r="U301" s="2" t="s">
        <v>141</v>
      </c>
      <c r="Y301" s="2">
        <v>1700</v>
      </c>
      <c r="Z301" s="11" t="s">
        <v>54</v>
      </c>
      <c r="AA301" s="11" t="str">
        <f t="shared" si="21"/>
        <v>1700 - TBN</v>
      </c>
      <c r="AC301" s="2" t="s">
        <v>145</v>
      </c>
      <c r="AD301" s="11" t="str">
        <f>IF($I301&lt;&gt;"",VLOOKUP($AC301,GEADRESSEERDE!$A$2:$E$4,2,),"")</f>
        <v>LUITHAGEN HAVEN 2 D</v>
      </c>
      <c r="AE301" s="11">
        <f>IF($I301&lt;&gt;"",VLOOKUP($AC301,GEADRESSEERDE!$A$2:$E$4,3,),"")</f>
        <v>2030</v>
      </c>
      <c r="AF301" s="11" t="str">
        <f>IF($I301&lt;&gt;"",VLOOKUP($AC301,GEADRESSEERDE!$A$2:$E$4,4,),"")</f>
        <v>ANTWERPEN</v>
      </c>
      <c r="AG301" s="11" t="str">
        <f>IF($I301&lt;&gt;"",VLOOKUP($AC301,GEADRESSEERDE!$A$2:$E$4,5,),"")</f>
        <v>BE</v>
      </c>
      <c r="AH301" s="11" t="str">
        <f>IF(I301&lt;&gt;"",VLOOKUP(AP301,KvB!$A$2:$B$3,2,FALSE),"")</f>
        <v>BE101000</v>
      </c>
      <c r="AI301" s="11" t="s">
        <v>55</v>
      </c>
      <c r="AJ301" s="11"/>
      <c r="AK301" s="11"/>
      <c r="AL301" s="11"/>
      <c r="AM301" s="11"/>
      <c r="AN301" s="11"/>
      <c r="AO301" s="11"/>
      <c r="AP301" s="2" t="s">
        <v>70</v>
      </c>
      <c r="AQ301" s="11" t="str">
        <f>IF(I301&lt;&gt;"",DATA!D300,"")</f>
        <v>9023008000</v>
      </c>
    </row>
    <row r="302" spans="1:43" ht="15.75" x14ac:dyDescent="0.25">
      <c r="A302" s="11" t="s">
        <v>57</v>
      </c>
      <c r="B302" s="11" t="s">
        <v>56</v>
      </c>
      <c r="C302" s="22">
        <f t="shared" si="22"/>
        <v>25001620</v>
      </c>
      <c r="D302" s="11" t="str">
        <f t="shared" si="19"/>
        <v>SKIIFM_AT</v>
      </c>
      <c r="E302" s="11" t="str">
        <f>IF(I302&lt;&gt;"",VLOOKUP(F302,OPDRACHTGEVER!$A$2:$B$4,2,FALSE),"")</f>
        <v>SKIIFM_AT</v>
      </c>
      <c r="F302" s="11" t="s">
        <v>58</v>
      </c>
      <c r="I302" s="11" t="str">
        <f>IF(DATA!B301&lt;&gt;"",DATA!B301,"")</f>
        <v>TGBU6999808</v>
      </c>
      <c r="J302" s="12">
        <v>0</v>
      </c>
      <c r="K302" s="11" t="s">
        <v>53</v>
      </c>
      <c r="L302" s="11" t="str">
        <f t="shared" si="20"/>
        <v>830220</v>
      </c>
      <c r="M302" s="11" t="str">
        <f>IF(I302&lt;&gt;"",DATA!E301,"")</f>
        <v>IRON SWIVEL CASTER WHEELS</v>
      </c>
      <c r="N302" s="12">
        <v>0</v>
      </c>
      <c r="O302" s="11">
        <f>IF(I302&lt;&gt;"",DATA!C301,"")</f>
        <v>86.45</v>
      </c>
      <c r="P302" s="2">
        <v>294094</v>
      </c>
      <c r="Q302" s="2" t="s">
        <v>1304</v>
      </c>
      <c r="R302" s="2" t="s">
        <v>1311</v>
      </c>
      <c r="S302" s="2">
        <v>584</v>
      </c>
      <c r="T302" s="2">
        <v>1</v>
      </c>
      <c r="U302" s="2" t="s">
        <v>141</v>
      </c>
      <c r="Y302" s="2">
        <v>1700</v>
      </c>
      <c r="Z302" s="11" t="s">
        <v>54</v>
      </c>
      <c r="AA302" s="11" t="str">
        <f t="shared" si="21"/>
        <v>1700 - TBN</v>
      </c>
      <c r="AC302" s="2" t="s">
        <v>145</v>
      </c>
      <c r="AD302" s="11" t="str">
        <f>IF($I302&lt;&gt;"",VLOOKUP($AC302,GEADRESSEERDE!$A$2:$E$4,2,),"")</f>
        <v>LUITHAGEN HAVEN 2 D</v>
      </c>
      <c r="AE302" s="11">
        <f>IF($I302&lt;&gt;"",VLOOKUP($AC302,GEADRESSEERDE!$A$2:$E$4,3,),"")</f>
        <v>2030</v>
      </c>
      <c r="AF302" s="11" t="str">
        <f>IF($I302&lt;&gt;"",VLOOKUP($AC302,GEADRESSEERDE!$A$2:$E$4,4,),"")</f>
        <v>ANTWERPEN</v>
      </c>
      <c r="AG302" s="11" t="str">
        <f>IF($I302&lt;&gt;"",VLOOKUP($AC302,GEADRESSEERDE!$A$2:$E$4,5,),"")</f>
        <v>BE</v>
      </c>
      <c r="AH302" s="11" t="str">
        <f>IF(I302&lt;&gt;"",VLOOKUP(AP302,KvB!$A$2:$B$3,2,FALSE),"")</f>
        <v>BE101000</v>
      </c>
      <c r="AI302" s="11" t="s">
        <v>55</v>
      </c>
      <c r="AJ302" s="11"/>
      <c r="AK302" s="11"/>
      <c r="AL302" s="11"/>
      <c r="AM302" s="11"/>
      <c r="AN302" s="11"/>
      <c r="AO302" s="11"/>
      <c r="AP302" s="2" t="s">
        <v>70</v>
      </c>
      <c r="AQ302" s="11" t="str">
        <f>IF(I302&lt;&gt;"",DATA!D301,"")</f>
        <v>8302200090</v>
      </c>
    </row>
    <row r="303" spans="1:43" ht="15.75" x14ac:dyDescent="0.25">
      <c r="A303" s="11" t="s">
        <v>57</v>
      </c>
      <c r="B303" s="11" t="s">
        <v>56</v>
      </c>
      <c r="C303" s="22">
        <f t="shared" si="22"/>
        <v>25001620</v>
      </c>
      <c r="D303" s="11" t="str">
        <f t="shared" si="19"/>
        <v>SKIIFM_AT</v>
      </c>
      <c r="E303" s="11" t="str">
        <f>IF(I303&lt;&gt;"",VLOOKUP(F303,OPDRACHTGEVER!$A$2:$B$4,2,FALSE),"")</f>
        <v>SKIIFM_AT</v>
      </c>
      <c r="F303" s="11" t="s">
        <v>58</v>
      </c>
      <c r="I303" s="11" t="str">
        <f>IF(DATA!B302&lt;&gt;"",DATA!B302,"")</f>
        <v>TGBU6999808</v>
      </c>
      <c r="J303" s="12">
        <v>0</v>
      </c>
      <c r="K303" s="11" t="s">
        <v>53</v>
      </c>
      <c r="L303" s="11" t="str">
        <f t="shared" si="20"/>
        <v>940561</v>
      </c>
      <c r="M303" s="11" t="str">
        <f>IF(I303&lt;&gt;"",DATA!E302,"")</f>
        <v>LED DISPLAY STAND</v>
      </c>
      <c r="N303" s="12">
        <v>0</v>
      </c>
      <c r="O303" s="11">
        <f>IF(I303&lt;&gt;"",DATA!C302,"")</f>
        <v>26.4</v>
      </c>
      <c r="P303" s="2">
        <v>294094</v>
      </c>
      <c r="Q303" s="2" t="s">
        <v>1304</v>
      </c>
      <c r="R303" s="2" t="s">
        <v>1311</v>
      </c>
      <c r="S303" s="2">
        <v>584</v>
      </c>
      <c r="T303" s="2">
        <v>1</v>
      </c>
      <c r="U303" s="2" t="s">
        <v>141</v>
      </c>
      <c r="Y303" s="2">
        <v>1700</v>
      </c>
      <c r="Z303" s="11" t="s">
        <v>54</v>
      </c>
      <c r="AA303" s="11" t="str">
        <f t="shared" si="21"/>
        <v>1700 - TBN</v>
      </c>
      <c r="AC303" s="2" t="s">
        <v>145</v>
      </c>
      <c r="AD303" s="11" t="str">
        <f>IF($I303&lt;&gt;"",VLOOKUP($AC303,GEADRESSEERDE!$A$2:$E$4,2,),"")</f>
        <v>LUITHAGEN HAVEN 2 D</v>
      </c>
      <c r="AE303" s="11">
        <f>IF($I303&lt;&gt;"",VLOOKUP($AC303,GEADRESSEERDE!$A$2:$E$4,3,),"")</f>
        <v>2030</v>
      </c>
      <c r="AF303" s="11" t="str">
        <f>IF($I303&lt;&gt;"",VLOOKUP($AC303,GEADRESSEERDE!$A$2:$E$4,4,),"")</f>
        <v>ANTWERPEN</v>
      </c>
      <c r="AG303" s="11" t="str">
        <f>IF($I303&lt;&gt;"",VLOOKUP($AC303,GEADRESSEERDE!$A$2:$E$4,5,),"")</f>
        <v>BE</v>
      </c>
      <c r="AH303" s="11" t="str">
        <f>IF(I303&lt;&gt;"",VLOOKUP(AP303,KvB!$A$2:$B$3,2,FALSE),"")</f>
        <v>BE101000</v>
      </c>
      <c r="AI303" s="11" t="s">
        <v>55</v>
      </c>
      <c r="AJ303" s="11"/>
      <c r="AK303" s="11"/>
      <c r="AL303" s="11"/>
      <c r="AM303" s="11"/>
      <c r="AN303" s="11"/>
      <c r="AO303" s="11"/>
      <c r="AP303" s="2" t="s">
        <v>70</v>
      </c>
      <c r="AQ303" s="11" t="str">
        <f>IF(I303&lt;&gt;"",DATA!D302,"")</f>
        <v>9405618090</v>
      </c>
    </row>
    <row r="304" spans="1:43" ht="15.75" x14ac:dyDescent="0.25">
      <c r="A304" s="11" t="s">
        <v>57</v>
      </c>
      <c r="B304" s="11" t="s">
        <v>56</v>
      </c>
      <c r="C304" s="22">
        <f t="shared" si="22"/>
        <v>25001620</v>
      </c>
      <c r="D304" s="11" t="str">
        <f t="shared" si="19"/>
        <v>SKIIFM_AT</v>
      </c>
      <c r="E304" s="11" t="str">
        <f>IF(I304&lt;&gt;"",VLOOKUP(F304,OPDRACHTGEVER!$A$2:$B$4,2,FALSE),"")</f>
        <v>SKIIFM_AT</v>
      </c>
      <c r="F304" s="11" t="s">
        <v>58</v>
      </c>
      <c r="I304" s="11" t="str">
        <f>IF(DATA!B303&lt;&gt;"",DATA!B303,"")</f>
        <v>TGBU6999808</v>
      </c>
      <c r="J304" s="12">
        <v>0</v>
      </c>
      <c r="K304" s="11" t="s">
        <v>53</v>
      </c>
      <c r="L304" s="11" t="str">
        <f t="shared" si="20"/>
        <v>847989</v>
      </c>
      <c r="M304" s="11" t="str">
        <f>IF(I304&lt;&gt;"",DATA!E303,"")</f>
        <v>MAGNETIC DRUM</v>
      </c>
      <c r="N304" s="12">
        <v>0</v>
      </c>
      <c r="O304" s="11">
        <f>IF(I304&lt;&gt;"",DATA!C303,"")</f>
        <v>94.85</v>
      </c>
      <c r="P304" s="2">
        <v>294094</v>
      </c>
      <c r="Q304" s="2" t="s">
        <v>1304</v>
      </c>
      <c r="R304" s="2" t="s">
        <v>1311</v>
      </c>
      <c r="S304" s="2">
        <v>584</v>
      </c>
      <c r="T304" s="2">
        <v>1</v>
      </c>
      <c r="U304" s="2" t="s">
        <v>141</v>
      </c>
      <c r="Y304" s="2">
        <v>1700</v>
      </c>
      <c r="Z304" s="11" t="s">
        <v>54</v>
      </c>
      <c r="AA304" s="11" t="str">
        <f t="shared" si="21"/>
        <v>1700 - TBN</v>
      </c>
      <c r="AC304" s="2" t="s">
        <v>145</v>
      </c>
      <c r="AD304" s="11" t="str">
        <f>IF($I304&lt;&gt;"",VLOOKUP($AC304,GEADRESSEERDE!$A$2:$E$4,2,),"")</f>
        <v>LUITHAGEN HAVEN 2 D</v>
      </c>
      <c r="AE304" s="11">
        <f>IF($I304&lt;&gt;"",VLOOKUP($AC304,GEADRESSEERDE!$A$2:$E$4,3,),"")</f>
        <v>2030</v>
      </c>
      <c r="AF304" s="11" t="str">
        <f>IF($I304&lt;&gt;"",VLOOKUP($AC304,GEADRESSEERDE!$A$2:$E$4,4,),"")</f>
        <v>ANTWERPEN</v>
      </c>
      <c r="AG304" s="11" t="str">
        <f>IF($I304&lt;&gt;"",VLOOKUP($AC304,GEADRESSEERDE!$A$2:$E$4,5,),"")</f>
        <v>BE</v>
      </c>
      <c r="AH304" s="11" t="str">
        <f>IF(I304&lt;&gt;"",VLOOKUP(AP304,KvB!$A$2:$B$3,2,FALSE),"")</f>
        <v>BE101000</v>
      </c>
      <c r="AI304" s="11" t="s">
        <v>55</v>
      </c>
      <c r="AJ304" s="11"/>
      <c r="AK304" s="11"/>
      <c r="AL304" s="11"/>
      <c r="AM304" s="11"/>
      <c r="AN304" s="11"/>
      <c r="AO304" s="11"/>
      <c r="AP304" s="2" t="s">
        <v>70</v>
      </c>
      <c r="AQ304" s="11" t="str">
        <f>IF(I304&lt;&gt;"",DATA!D303,"")</f>
        <v>8479899790</v>
      </c>
    </row>
    <row r="305" spans="1:43" ht="15.75" x14ac:dyDescent="0.25">
      <c r="A305" s="11" t="s">
        <v>57</v>
      </c>
      <c r="B305" s="11" t="s">
        <v>56</v>
      </c>
      <c r="C305" s="22">
        <f t="shared" si="22"/>
        <v>25001620</v>
      </c>
      <c r="D305" s="11" t="str">
        <f t="shared" si="19"/>
        <v>SKIIFM_AT</v>
      </c>
      <c r="E305" s="11" t="str">
        <f>IF(I305&lt;&gt;"",VLOOKUP(F305,OPDRACHTGEVER!$A$2:$B$4,2,FALSE),"")</f>
        <v>SKIIFM_AT</v>
      </c>
      <c r="F305" s="11" t="s">
        <v>58</v>
      </c>
      <c r="I305" s="11" t="str">
        <f>IF(DATA!B304&lt;&gt;"",DATA!B304,"")</f>
        <v>TGBU6999808</v>
      </c>
      <c r="J305" s="12">
        <v>0</v>
      </c>
      <c r="K305" s="11" t="s">
        <v>53</v>
      </c>
      <c r="L305" s="11" t="str">
        <f t="shared" si="20"/>
        <v>851420</v>
      </c>
      <c r="M305" s="11" t="str">
        <f>IF(I305&lt;&gt;"",DATA!E304,"")</f>
        <v>MELTING FURNACE</v>
      </c>
      <c r="N305" s="12">
        <v>0</v>
      </c>
      <c r="O305" s="11">
        <f>IF(I305&lt;&gt;"",DATA!C304,"")</f>
        <v>43.54</v>
      </c>
      <c r="P305" s="2">
        <v>294094</v>
      </c>
      <c r="Q305" s="2" t="s">
        <v>1304</v>
      </c>
      <c r="R305" s="2" t="s">
        <v>1311</v>
      </c>
      <c r="S305" s="2">
        <v>584</v>
      </c>
      <c r="T305" s="2">
        <v>1</v>
      </c>
      <c r="U305" s="2" t="s">
        <v>141</v>
      </c>
      <c r="Y305" s="2">
        <v>1700</v>
      </c>
      <c r="Z305" s="11" t="s">
        <v>54</v>
      </c>
      <c r="AA305" s="11" t="str">
        <f t="shared" si="21"/>
        <v>1700 - TBN</v>
      </c>
      <c r="AC305" s="2" t="s">
        <v>145</v>
      </c>
      <c r="AD305" s="11" t="str">
        <f>IF($I305&lt;&gt;"",VLOOKUP($AC305,GEADRESSEERDE!$A$2:$E$4,2,),"")</f>
        <v>LUITHAGEN HAVEN 2 D</v>
      </c>
      <c r="AE305" s="11">
        <f>IF($I305&lt;&gt;"",VLOOKUP($AC305,GEADRESSEERDE!$A$2:$E$4,3,),"")</f>
        <v>2030</v>
      </c>
      <c r="AF305" s="11" t="str">
        <f>IF($I305&lt;&gt;"",VLOOKUP($AC305,GEADRESSEERDE!$A$2:$E$4,4,),"")</f>
        <v>ANTWERPEN</v>
      </c>
      <c r="AG305" s="11" t="str">
        <f>IF($I305&lt;&gt;"",VLOOKUP($AC305,GEADRESSEERDE!$A$2:$E$4,5,),"")</f>
        <v>BE</v>
      </c>
      <c r="AH305" s="11" t="str">
        <f>IF(I305&lt;&gt;"",VLOOKUP(AP305,KvB!$A$2:$B$3,2,FALSE),"")</f>
        <v>BE101000</v>
      </c>
      <c r="AI305" s="11" t="s">
        <v>55</v>
      </c>
      <c r="AJ305" s="11"/>
      <c r="AK305" s="11"/>
      <c r="AL305" s="11"/>
      <c r="AM305" s="11"/>
      <c r="AN305" s="11"/>
      <c r="AO305" s="11"/>
      <c r="AP305" s="2" t="s">
        <v>70</v>
      </c>
      <c r="AQ305" s="11" t="str">
        <f>IF(I305&lt;&gt;"",DATA!D304,"")</f>
        <v>8514208000</v>
      </c>
    </row>
    <row r="306" spans="1:43" ht="15.75" x14ac:dyDescent="0.25">
      <c r="A306" s="11" t="s">
        <v>57</v>
      </c>
      <c r="B306" s="11" t="s">
        <v>56</v>
      </c>
      <c r="C306" s="22">
        <f t="shared" si="22"/>
        <v>25001620</v>
      </c>
      <c r="D306" s="11" t="str">
        <f t="shared" si="19"/>
        <v>SKIIFM_AT</v>
      </c>
      <c r="E306" s="11" t="str">
        <f>IF(I306&lt;&gt;"",VLOOKUP(F306,OPDRACHTGEVER!$A$2:$B$4,2,FALSE),"")</f>
        <v>SKIIFM_AT</v>
      </c>
      <c r="F306" s="11" t="s">
        <v>58</v>
      </c>
      <c r="I306" s="11" t="str">
        <f>IF(DATA!B305&lt;&gt;"",DATA!B305,"")</f>
        <v>TGBU6999808</v>
      </c>
      <c r="J306" s="12">
        <v>0</v>
      </c>
      <c r="K306" s="11" t="s">
        <v>53</v>
      </c>
      <c r="L306" s="11" t="str">
        <f t="shared" si="20"/>
        <v>902720</v>
      </c>
      <c r="M306" s="11" t="str">
        <f>IF(I306&lt;&gt;"",DATA!E305,"")</f>
        <v>METEOROGRAPH</v>
      </c>
      <c r="N306" s="12">
        <v>0</v>
      </c>
      <c r="O306" s="11">
        <f>IF(I306&lt;&gt;"",DATA!C305,"")</f>
        <v>549</v>
      </c>
      <c r="P306" s="2">
        <v>294094</v>
      </c>
      <c r="Q306" s="2" t="s">
        <v>1304</v>
      </c>
      <c r="R306" s="2" t="s">
        <v>1311</v>
      </c>
      <c r="S306" s="2">
        <v>584</v>
      </c>
      <c r="T306" s="2">
        <v>1</v>
      </c>
      <c r="U306" s="2" t="s">
        <v>141</v>
      </c>
      <c r="Y306" s="2">
        <v>1700</v>
      </c>
      <c r="Z306" s="11" t="s">
        <v>54</v>
      </c>
      <c r="AA306" s="11" t="str">
        <f t="shared" si="21"/>
        <v>1700 - TBN</v>
      </c>
      <c r="AC306" s="2" t="s">
        <v>145</v>
      </c>
      <c r="AD306" s="11" t="str">
        <f>IF($I306&lt;&gt;"",VLOOKUP($AC306,GEADRESSEERDE!$A$2:$E$4,2,),"")</f>
        <v>LUITHAGEN HAVEN 2 D</v>
      </c>
      <c r="AE306" s="11">
        <f>IF($I306&lt;&gt;"",VLOOKUP($AC306,GEADRESSEERDE!$A$2:$E$4,3,),"")</f>
        <v>2030</v>
      </c>
      <c r="AF306" s="11" t="str">
        <f>IF($I306&lt;&gt;"",VLOOKUP($AC306,GEADRESSEERDE!$A$2:$E$4,4,),"")</f>
        <v>ANTWERPEN</v>
      </c>
      <c r="AG306" s="11" t="str">
        <f>IF($I306&lt;&gt;"",VLOOKUP($AC306,GEADRESSEERDE!$A$2:$E$4,5,),"")</f>
        <v>BE</v>
      </c>
      <c r="AH306" s="11" t="str">
        <f>IF(I306&lt;&gt;"",VLOOKUP(AP306,KvB!$A$2:$B$3,2,FALSE),"")</f>
        <v>BE101000</v>
      </c>
      <c r="AI306" s="11" t="s">
        <v>55</v>
      </c>
      <c r="AJ306" s="11"/>
      <c r="AK306" s="11"/>
      <c r="AL306" s="11"/>
      <c r="AM306" s="11"/>
      <c r="AN306" s="11"/>
      <c r="AO306" s="11"/>
      <c r="AP306" s="2" t="s">
        <v>70</v>
      </c>
      <c r="AQ306" s="11" t="str">
        <f>IF(I306&lt;&gt;"",DATA!D305,"")</f>
        <v>9027200000</v>
      </c>
    </row>
    <row r="307" spans="1:43" ht="15.75" x14ac:dyDescent="0.25">
      <c r="A307" s="11" t="s">
        <v>57</v>
      </c>
      <c r="B307" s="11" t="s">
        <v>56</v>
      </c>
      <c r="C307" s="22">
        <f t="shared" si="22"/>
        <v>25001620</v>
      </c>
      <c r="D307" s="11" t="str">
        <f t="shared" si="19"/>
        <v>SKIIFM_AT</v>
      </c>
      <c r="E307" s="11" t="str">
        <f>IF(I307&lt;&gt;"",VLOOKUP(F307,OPDRACHTGEVER!$A$2:$B$4,2,FALSE),"")</f>
        <v>SKIIFM_AT</v>
      </c>
      <c r="F307" s="11" t="s">
        <v>58</v>
      </c>
      <c r="I307" s="11" t="str">
        <f>IF(DATA!B306&lt;&gt;"",DATA!B306,"")</f>
        <v>TGBU6999808</v>
      </c>
      <c r="J307" s="12">
        <v>0</v>
      </c>
      <c r="K307" s="11" t="s">
        <v>53</v>
      </c>
      <c r="L307" s="11" t="str">
        <f t="shared" si="20"/>
        <v>852550</v>
      </c>
      <c r="M307" s="11" t="str">
        <f>IF(I307&lt;&gt;"",DATA!E306,"")</f>
        <v>PIPE INSPECTION CAMERA</v>
      </c>
      <c r="N307" s="12">
        <v>0</v>
      </c>
      <c r="O307" s="11">
        <f>IF(I307&lt;&gt;"",DATA!C306,"")</f>
        <v>0.2</v>
      </c>
      <c r="P307" s="2">
        <v>294094</v>
      </c>
      <c r="Q307" s="2" t="s">
        <v>1304</v>
      </c>
      <c r="R307" s="2" t="s">
        <v>1311</v>
      </c>
      <c r="S307" s="2">
        <v>584</v>
      </c>
      <c r="T307" s="2">
        <v>1</v>
      </c>
      <c r="U307" s="2" t="s">
        <v>141</v>
      </c>
      <c r="Y307" s="2">
        <v>1700</v>
      </c>
      <c r="Z307" s="11" t="s">
        <v>54</v>
      </c>
      <c r="AA307" s="11" t="str">
        <f t="shared" si="21"/>
        <v>1700 - TBN</v>
      </c>
      <c r="AC307" s="2" t="s">
        <v>145</v>
      </c>
      <c r="AD307" s="11" t="str">
        <f>IF($I307&lt;&gt;"",VLOOKUP($AC307,GEADRESSEERDE!$A$2:$E$4,2,),"")</f>
        <v>LUITHAGEN HAVEN 2 D</v>
      </c>
      <c r="AE307" s="11">
        <f>IF($I307&lt;&gt;"",VLOOKUP($AC307,GEADRESSEERDE!$A$2:$E$4,3,),"")</f>
        <v>2030</v>
      </c>
      <c r="AF307" s="11" t="str">
        <f>IF($I307&lt;&gt;"",VLOOKUP($AC307,GEADRESSEERDE!$A$2:$E$4,4,),"")</f>
        <v>ANTWERPEN</v>
      </c>
      <c r="AG307" s="11" t="str">
        <f>IF($I307&lt;&gt;"",VLOOKUP($AC307,GEADRESSEERDE!$A$2:$E$4,5,),"")</f>
        <v>BE</v>
      </c>
      <c r="AH307" s="11" t="str">
        <f>IF(I307&lt;&gt;"",VLOOKUP(AP307,KvB!$A$2:$B$3,2,FALSE),"")</f>
        <v>BE101000</v>
      </c>
      <c r="AI307" s="11" t="s">
        <v>55</v>
      </c>
      <c r="AJ307" s="11"/>
      <c r="AK307" s="11"/>
      <c r="AL307" s="11"/>
      <c r="AM307" s="11"/>
      <c r="AN307" s="11"/>
      <c r="AO307" s="11"/>
      <c r="AP307" s="2" t="s">
        <v>70</v>
      </c>
      <c r="AQ307" s="11" t="str">
        <f>IF(I307&lt;&gt;"",DATA!D306,"")</f>
        <v>8525500000</v>
      </c>
    </row>
    <row r="308" spans="1:43" ht="15.75" x14ac:dyDescent="0.25">
      <c r="A308" s="11" t="s">
        <v>57</v>
      </c>
      <c r="B308" s="11" t="s">
        <v>56</v>
      </c>
      <c r="C308" s="22">
        <f t="shared" si="22"/>
        <v>25001620</v>
      </c>
      <c r="D308" s="11" t="str">
        <f t="shared" ref="D308:D371" si="23">E308</f>
        <v>SKIIFM_AT</v>
      </c>
      <c r="E308" s="11" t="str">
        <f>IF(I308&lt;&gt;"",VLOOKUP(F308,OPDRACHTGEVER!$A$2:$B$4,2,FALSE),"")</f>
        <v>SKIIFM_AT</v>
      </c>
      <c r="F308" s="11" t="s">
        <v>58</v>
      </c>
      <c r="I308" s="11" t="str">
        <f>IF(DATA!B307&lt;&gt;"",DATA!B307,"")</f>
        <v>TGBU6999808</v>
      </c>
      <c r="J308" s="12">
        <v>0</v>
      </c>
      <c r="K308" s="11" t="s">
        <v>53</v>
      </c>
      <c r="L308" s="11" t="str">
        <f t="shared" ref="L308:L371" si="24">LEFT(AQ308,6)</f>
        <v>741920</v>
      </c>
      <c r="M308" s="11" t="str">
        <f>IF(I308&lt;&gt;"",DATA!E307,"")</f>
        <v>PIZZA PLATE</v>
      </c>
      <c r="N308" s="12">
        <v>0</v>
      </c>
      <c r="O308" s="11">
        <f>IF(I308&lt;&gt;"",DATA!C307,"")</f>
        <v>7.2</v>
      </c>
      <c r="P308" s="2">
        <v>294094</v>
      </c>
      <c r="Q308" s="2" t="s">
        <v>1304</v>
      </c>
      <c r="R308" s="2" t="s">
        <v>1311</v>
      </c>
      <c r="S308" s="2">
        <v>584</v>
      </c>
      <c r="T308" s="2">
        <v>1</v>
      </c>
      <c r="U308" s="2" t="s">
        <v>141</v>
      </c>
      <c r="Y308" s="2">
        <v>1700</v>
      </c>
      <c r="Z308" s="11" t="s">
        <v>54</v>
      </c>
      <c r="AA308" s="11" t="str">
        <f t="shared" ref="AA308:AA371" si="25">IF(I308&lt;&gt;"",Y308&amp;" - "&amp;Z308,"")</f>
        <v>1700 - TBN</v>
      </c>
      <c r="AC308" s="2" t="s">
        <v>145</v>
      </c>
      <c r="AD308" s="11" t="str">
        <f>IF($I308&lt;&gt;"",VLOOKUP($AC308,GEADRESSEERDE!$A$2:$E$4,2,),"")</f>
        <v>LUITHAGEN HAVEN 2 D</v>
      </c>
      <c r="AE308" s="11">
        <f>IF($I308&lt;&gt;"",VLOOKUP($AC308,GEADRESSEERDE!$A$2:$E$4,3,),"")</f>
        <v>2030</v>
      </c>
      <c r="AF308" s="11" t="str">
        <f>IF($I308&lt;&gt;"",VLOOKUP($AC308,GEADRESSEERDE!$A$2:$E$4,4,),"")</f>
        <v>ANTWERPEN</v>
      </c>
      <c r="AG308" s="11" t="str">
        <f>IF($I308&lt;&gt;"",VLOOKUP($AC308,GEADRESSEERDE!$A$2:$E$4,5,),"")</f>
        <v>BE</v>
      </c>
      <c r="AH308" s="11" t="str">
        <f>IF(I308&lt;&gt;"",VLOOKUP(AP308,KvB!$A$2:$B$3,2,FALSE),"")</f>
        <v>BE101000</v>
      </c>
      <c r="AI308" s="11" t="s">
        <v>55</v>
      </c>
      <c r="AJ308" s="11"/>
      <c r="AK308" s="11"/>
      <c r="AL308" s="11"/>
      <c r="AM308" s="11"/>
      <c r="AN308" s="11"/>
      <c r="AO308" s="11"/>
      <c r="AP308" s="2" t="s">
        <v>70</v>
      </c>
      <c r="AQ308" s="11" t="str">
        <f>IF(I308&lt;&gt;"",DATA!D307,"")</f>
        <v>7419200090</v>
      </c>
    </row>
    <row r="309" spans="1:43" ht="15.75" x14ac:dyDescent="0.25">
      <c r="A309" s="11" t="s">
        <v>57</v>
      </c>
      <c r="B309" s="11" t="s">
        <v>56</v>
      </c>
      <c r="C309" s="22">
        <f t="shared" si="22"/>
        <v>25001620</v>
      </c>
      <c r="D309" s="11" t="str">
        <f t="shared" si="23"/>
        <v>SKIIFM_AT</v>
      </c>
      <c r="E309" s="11" t="str">
        <f>IF(I309&lt;&gt;"",VLOOKUP(F309,OPDRACHTGEVER!$A$2:$B$4,2,FALSE),"")</f>
        <v>SKIIFM_AT</v>
      </c>
      <c r="F309" s="11" t="s">
        <v>58</v>
      </c>
      <c r="I309" s="11" t="str">
        <f>IF(DATA!B308&lt;&gt;"",DATA!B308,"")</f>
        <v>TGBU6999808</v>
      </c>
      <c r="J309" s="12">
        <v>0</v>
      </c>
      <c r="K309" s="11" t="s">
        <v>53</v>
      </c>
      <c r="L309" s="11" t="str">
        <f t="shared" si="24"/>
        <v>741920</v>
      </c>
      <c r="M309" s="11" t="str">
        <f>IF(I309&lt;&gt;"",DATA!E308,"")</f>
        <v>PLANTING BED</v>
      </c>
      <c r="N309" s="12">
        <v>0</v>
      </c>
      <c r="O309" s="11">
        <f>IF(I309&lt;&gt;"",DATA!C308,"")</f>
        <v>220</v>
      </c>
      <c r="P309" s="2">
        <v>294094</v>
      </c>
      <c r="Q309" s="2" t="s">
        <v>1304</v>
      </c>
      <c r="R309" s="2" t="s">
        <v>1311</v>
      </c>
      <c r="S309" s="2">
        <v>584</v>
      </c>
      <c r="T309" s="2">
        <v>1</v>
      </c>
      <c r="U309" s="2" t="s">
        <v>141</v>
      </c>
      <c r="Y309" s="2">
        <v>1700</v>
      </c>
      <c r="Z309" s="11" t="s">
        <v>54</v>
      </c>
      <c r="AA309" s="11" t="str">
        <f t="shared" si="25"/>
        <v>1700 - TBN</v>
      </c>
      <c r="AC309" s="2" t="s">
        <v>145</v>
      </c>
      <c r="AD309" s="11" t="str">
        <f>IF($I309&lt;&gt;"",VLOOKUP($AC309,GEADRESSEERDE!$A$2:$E$4,2,),"")</f>
        <v>LUITHAGEN HAVEN 2 D</v>
      </c>
      <c r="AE309" s="11">
        <f>IF($I309&lt;&gt;"",VLOOKUP($AC309,GEADRESSEERDE!$A$2:$E$4,3,),"")</f>
        <v>2030</v>
      </c>
      <c r="AF309" s="11" t="str">
        <f>IF($I309&lt;&gt;"",VLOOKUP($AC309,GEADRESSEERDE!$A$2:$E$4,4,),"")</f>
        <v>ANTWERPEN</v>
      </c>
      <c r="AG309" s="11" t="str">
        <f>IF($I309&lt;&gt;"",VLOOKUP($AC309,GEADRESSEERDE!$A$2:$E$4,5,),"")</f>
        <v>BE</v>
      </c>
      <c r="AH309" s="11" t="str">
        <f>IF(I309&lt;&gt;"",VLOOKUP(AP309,KvB!$A$2:$B$3,2,FALSE),"")</f>
        <v>BE101000</v>
      </c>
      <c r="AI309" s="11" t="s">
        <v>55</v>
      </c>
      <c r="AJ309" s="11"/>
      <c r="AK309" s="11"/>
      <c r="AL309" s="11"/>
      <c r="AM309" s="11"/>
      <c r="AN309" s="11"/>
      <c r="AO309" s="11"/>
      <c r="AP309" s="2" t="s">
        <v>70</v>
      </c>
      <c r="AQ309" s="11" t="str">
        <f>IF(I309&lt;&gt;"",DATA!D308,"")</f>
        <v>7419200090</v>
      </c>
    </row>
    <row r="310" spans="1:43" ht="15.75" x14ac:dyDescent="0.25">
      <c r="A310" s="11" t="s">
        <v>57</v>
      </c>
      <c r="B310" s="11" t="s">
        <v>56</v>
      </c>
      <c r="C310" s="22">
        <f t="shared" si="22"/>
        <v>25001620</v>
      </c>
      <c r="D310" s="11" t="str">
        <f t="shared" si="23"/>
        <v>SKIIFM_AT</v>
      </c>
      <c r="E310" s="11" t="str">
        <f>IF(I310&lt;&gt;"",VLOOKUP(F310,OPDRACHTGEVER!$A$2:$B$4,2,FALSE),"")</f>
        <v>SKIIFM_AT</v>
      </c>
      <c r="F310" s="11" t="s">
        <v>58</v>
      </c>
      <c r="I310" s="11" t="str">
        <f>IF(DATA!B309&lt;&gt;"",DATA!B309,"")</f>
        <v>TGBU6999808</v>
      </c>
      <c r="J310" s="12">
        <v>0</v>
      </c>
      <c r="K310" s="11" t="s">
        <v>53</v>
      </c>
      <c r="L310" s="11" t="str">
        <f t="shared" si="24"/>
        <v>843810</v>
      </c>
      <c r="M310" s="11" t="str">
        <f>IF(I310&lt;&gt;"",DATA!E309,"")</f>
        <v>POPCORN MACHINE</v>
      </c>
      <c r="N310" s="12">
        <v>0</v>
      </c>
      <c r="O310" s="11">
        <f>IF(I310&lt;&gt;"",DATA!C309,"")</f>
        <v>84.8</v>
      </c>
      <c r="P310" s="2">
        <v>294094</v>
      </c>
      <c r="Q310" s="2" t="s">
        <v>1304</v>
      </c>
      <c r="R310" s="2" t="s">
        <v>1311</v>
      </c>
      <c r="S310" s="2">
        <v>584</v>
      </c>
      <c r="T310" s="2">
        <v>1</v>
      </c>
      <c r="U310" s="2" t="s">
        <v>141</v>
      </c>
      <c r="Y310" s="2">
        <v>1700</v>
      </c>
      <c r="Z310" s="11" t="s">
        <v>54</v>
      </c>
      <c r="AA310" s="11" t="str">
        <f t="shared" si="25"/>
        <v>1700 - TBN</v>
      </c>
      <c r="AC310" s="2" t="s">
        <v>145</v>
      </c>
      <c r="AD310" s="11" t="str">
        <f>IF($I310&lt;&gt;"",VLOOKUP($AC310,GEADRESSEERDE!$A$2:$E$4,2,),"")</f>
        <v>LUITHAGEN HAVEN 2 D</v>
      </c>
      <c r="AE310" s="11">
        <f>IF($I310&lt;&gt;"",VLOOKUP($AC310,GEADRESSEERDE!$A$2:$E$4,3,),"")</f>
        <v>2030</v>
      </c>
      <c r="AF310" s="11" t="str">
        <f>IF($I310&lt;&gt;"",VLOOKUP($AC310,GEADRESSEERDE!$A$2:$E$4,4,),"")</f>
        <v>ANTWERPEN</v>
      </c>
      <c r="AG310" s="11" t="str">
        <f>IF($I310&lt;&gt;"",VLOOKUP($AC310,GEADRESSEERDE!$A$2:$E$4,5,),"")</f>
        <v>BE</v>
      </c>
      <c r="AH310" s="11" t="str">
        <f>IF(I310&lt;&gt;"",VLOOKUP(AP310,KvB!$A$2:$B$3,2,FALSE),"")</f>
        <v>BE101000</v>
      </c>
      <c r="AI310" s="11" t="s">
        <v>55</v>
      </c>
      <c r="AJ310" s="11"/>
      <c r="AK310" s="11"/>
      <c r="AL310" s="11"/>
      <c r="AM310" s="11"/>
      <c r="AN310" s="11"/>
      <c r="AO310" s="11"/>
      <c r="AP310" s="2" t="s">
        <v>70</v>
      </c>
      <c r="AQ310" s="11" t="str">
        <f>IF(I310&lt;&gt;"",DATA!D309,"")</f>
        <v>8438101000</v>
      </c>
    </row>
    <row r="311" spans="1:43" ht="15.75" x14ac:dyDescent="0.25">
      <c r="A311" s="11" t="s">
        <v>57</v>
      </c>
      <c r="B311" s="11" t="s">
        <v>56</v>
      </c>
      <c r="C311" s="22">
        <f t="shared" si="22"/>
        <v>25001620</v>
      </c>
      <c r="D311" s="11" t="str">
        <f t="shared" si="23"/>
        <v>SKIIFM_AT</v>
      </c>
      <c r="E311" s="11" t="str">
        <f>IF(I311&lt;&gt;"",VLOOKUP(F311,OPDRACHTGEVER!$A$2:$B$4,2,FALSE),"")</f>
        <v>SKIIFM_AT</v>
      </c>
      <c r="F311" s="11" t="s">
        <v>58</v>
      </c>
      <c r="I311" s="11" t="str">
        <f>IF(DATA!B310&lt;&gt;"",DATA!B310,"")</f>
        <v>TGBU6999808</v>
      </c>
      <c r="J311" s="12">
        <v>0</v>
      </c>
      <c r="K311" s="11" t="s">
        <v>53</v>
      </c>
      <c r="L311" s="11" t="str">
        <f t="shared" si="24"/>
        <v>391810</v>
      </c>
      <c r="M311" s="11" t="str">
        <f>IF(I311&lt;&gt;"",DATA!E310,"")</f>
        <v>PVC WALL PANEL</v>
      </c>
      <c r="N311" s="12">
        <v>0</v>
      </c>
      <c r="O311" s="11">
        <f>IF(I311&lt;&gt;"",DATA!C310,"")</f>
        <v>7.4</v>
      </c>
      <c r="P311" s="2">
        <v>294094</v>
      </c>
      <c r="Q311" s="2" t="s">
        <v>1304</v>
      </c>
      <c r="R311" s="2" t="s">
        <v>1311</v>
      </c>
      <c r="S311" s="2">
        <v>584</v>
      </c>
      <c r="T311" s="2">
        <v>1</v>
      </c>
      <c r="U311" s="2" t="s">
        <v>141</v>
      </c>
      <c r="Y311" s="2">
        <v>1700</v>
      </c>
      <c r="Z311" s="11" t="s">
        <v>54</v>
      </c>
      <c r="AA311" s="11" t="str">
        <f t="shared" si="25"/>
        <v>1700 - TBN</v>
      </c>
      <c r="AC311" s="2" t="s">
        <v>145</v>
      </c>
      <c r="AD311" s="11" t="str">
        <f>IF($I311&lt;&gt;"",VLOOKUP($AC311,GEADRESSEERDE!$A$2:$E$4,2,),"")</f>
        <v>LUITHAGEN HAVEN 2 D</v>
      </c>
      <c r="AE311" s="11">
        <f>IF($I311&lt;&gt;"",VLOOKUP($AC311,GEADRESSEERDE!$A$2:$E$4,3,),"")</f>
        <v>2030</v>
      </c>
      <c r="AF311" s="11" t="str">
        <f>IF($I311&lt;&gt;"",VLOOKUP($AC311,GEADRESSEERDE!$A$2:$E$4,4,),"")</f>
        <v>ANTWERPEN</v>
      </c>
      <c r="AG311" s="11" t="str">
        <f>IF($I311&lt;&gt;"",VLOOKUP($AC311,GEADRESSEERDE!$A$2:$E$4,5,),"")</f>
        <v>BE</v>
      </c>
      <c r="AH311" s="11" t="str">
        <f>IF(I311&lt;&gt;"",VLOOKUP(AP311,KvB!$A$2:$B$3,2,FALSE),"")</f>
        <v>BE101000</v>
      </c>
      <c r="AI311" s="11" t="s">
        <v>55</v>
      </c>
      <c r="AJ311" s="11"/>
      <c r="AK311" s="11"/>
      <c r="AL311" s="11"/>
      <c r="AM311" s="11"/>
      <c r="AN311" s="11"/>
      <c r="AO311" s="11"/>
      <c r="AP311" s="2" t="s">
        <v>70</v>
      </c>
      <c r="AQ311" s="11" t="str">
        <f>IF(I311&lt;&gt;"",DATA!D310,"")</f>
        <v>3918101090</v>
      </c>
    </row>
    <row r="312" spans="1:43" ht="15.75" x14ac:dyDescent="0.25">
      <c r="A312" s="11" t="s">
        <v>57</v>
      </c>
      <c r="B312" s="11" t="s">
        <v>56</v>
      </c>
      <c r="C312" s="22">
        <f t="shared" si="22"/>
        <v>25001620</v>
      </c>
      <c r="D312" s="11" t="str">
        <f t="shared" si="23"/>
        <v>SKIIFM_AT</v>
      </c>
      <c r="E312" s="11" t="str">
        <f>IF(I312&lt;&gt;"",VLOOKUP(F312,OPDRACHTGEVER!$A$2:$B$4,2,FALSE),"")</f>
        <v>SKIIFM_AT</v>
      </c>
      <c r="F312" s="11" t="s">
        <v>58</v>
      </c>
      <c r="I312" s="11" t="str">
        <f>IF(DATA!B311&lt;&gt;"",DATA!B311,"")</f>
        <v>TGBU6999808</v>
      </c>
      <c r="J312" s="12">
        <v>0</v>
      </c>
      <c r="K312" s="11" t="s">
        <v>53</v>
      </c>
      <c r="L312" s="11" t="str">
        <f t="shared" si="24"/>
        <v>741920</v>
      </c>
      <c r="M312" s="11" t="str">
        <f>IF(I312&lt;&gt;"",DATA!E311,"")</f>
        <v>QUEUE LINE PROTECT</v>
      </c>
      <c r="N312" s="12">
        <v>0</v>
      </c>
      <c r="O312" s="11">
        <f>IF(I312&lt;&gt;"",DATA!C311,"")</f>
        <v>532</v>
      </c>
      <c r="P312" s="2">
        <v>294094</v>
      </c>
      <c r="Q312" s="2" t="s">
        <v>1304</v>
      </c>
      <c r="R312" s="2" t="s">
        <v>1311</v>
      </c>
      <c r="S312" s="2">
        <v>584</v>
      </c>
      <c r="T312" s="2">
        <v>1</v>
      </c>
      <c r="U312" s="2" t="s">
        <v>141</v>
      </c>
      <c r="Y312" s="2">
        <v>1700</v>
      </c>
      <c r="Z312" s="11" t="s">
        <v>54</v>
      </c>
      <c r="AA312" s="11" t="str">
        <f t="shared" si="25"/>
        <v>1700 - TBN</v>
      </c>
      <c r="AC312" s="2" t="s">
        <v>145</v>
      </c>
      <c r="AD312" s="11" t="str">
        <f>IF($I312&lt;&gt;"",VLOOKUP($AC312,GEADRESSEERDE!$A$2:$E$4,2,),"")</f>
        <v>LUITHAGEN HAVEN 2 D</v>
      </c>
      <c r="AE312" s="11">
        <f>IF($I312&lt;&gt;"",VLOOKUP($AC312,GEADRESSEERDE!$A$2:$E$4,3,),"")</f>
        <v>2030</v>
      </c>
      <c r="AF312" s="11" t="str">
        <f>IF($I312&lt;&gt;"",VLOOKUP($AC312,GEADRESSEERDE!$A$2:$E$4,4,),"")</f>
        <v>ANTWERPEN</v>
      </c>
      <c r="AG312" s="11" t="str">
        <f>IF($I312&lt;&gt;"",VLOOKUP($AC312,GEADRESSEERDE!$A$2:$E$4,5,),"")</f>
        <v>BE</v>
      </c>
      <c r="AH312" s="11" t="str">
        <f>IF(I312&lt;&gt;"",VLOOKUP(AP312,KvB!$A$2:$B$3,2,FALSE),"")</f>
        <v>BE101000</v>
      </c>
      <c r="AI312" s="11" t="s">
        <v>55</v>
      </c>
      <c r="AJ312" s="11"/>
      <c r="AK312" s="11"/>
      <c r="AL312" s="11"/>
      <c r="AM312" s="11"/>
      <c r="AN312" s="11"/>
      <c r="AO312" s="11"/>
      <c r="AP312" s="2" t="s">
        <v>70</v>
      </c>
      <c r="AQ312" s="11" t="str">
        <f>IF(I312&lt;&gt;"",DATA!D311,"")</f>
        <v>7419200090</v>
      </c>
    </row>
    <row r="313" spans="1:43" ht="15.75" x14ac:dyDescent="0.25">
      <c r="A313" s="11" t="s">
        <v>57</v>
      </c>
      <c r="B313" s="11" t="s">
        <v>56</v>
      </c>
      <c r="C313" s="22">
        <f t="shared" si="22"/>
        <v>25001620</v>
      </c>
      <c r="D313" s="11" t="str">
        <f t="shared" si="23"/>
        <v>SKIIFM_AT</v>
      </c>
      <c r="E313" s="11" t="str">
        <f>IF(I313&lt;&gt;"",VLOOKUP(F313,OPDRACHTGEVER!$A$2:$B$4,2,FALSE),"")</f>
        <v>SKIIFM_AT</v>
      </c>
      <c r="F313" s="11" t="s">
        <v>58</v>
      </c>
      <c r="I313" s="11" t="str">
        <f>IF(DATA!B312&lt;&gt;"",DATA!B312,"")</f>
        <v>TGBU6999808</v>
      </c>
      <c r="J313" s="12">
        <v>0</v>
      </c>
      <c r="K313" s="11" t="s">
        <v>53</v>
      </c>
      <c r="L313" s="11" t="str">
        <f t="shared" si="24"/>
        <v>844332</v>
      </c>
      <c r="M313" s="11" t="str">
        <f>IF(I313&lt;&gt;"",DATA!E312,"")</f>
        <v>RECEIPT PRINTER</v>
      </c>
      <c r="N313" s="12">
        <v>0</v>
      </c>
      <c r="O313" s="11">
        <f>IF(I313&lt;&gt;"",DATA!C312,"")</f>
        <v>1.85</v>
      </c>
      <c r="P313" s="2">
        <v>294094</v>
      </c>
      <c r="Q313" s="2" t="s">
        <v>1304</v>
      </c>
      <c r="R313" s="2" t="s">
        <v>1311</v>
      </c>
      <c r="S313" s="2">
        <v>584</v>
      </c>
      <c r="T313" s="2">
        <v>1</v>
      </c>
      <c r="U313" s="2" t="s">
        <v>141</v>
      </c>
      <c r="Y313" s="2">
        <v>1700</v>
      </c>
      <c r="Z313" s="11" t="s">
        <v>54</v>
      </c>
      <c r="AA313" s="11" t="str">
        <f t="shared" si="25"/>
        <v>1700 - TBN</v>
      </c>
      <c r="AC313" s="2" t="s">
        <v>145</v>
      </c>
      <c r="AD313" s="11" t="str">
        <f>IF($I313&lt;&gt;"",VLOOKUP($AC313,GEADRESSEERDE!$A$2:$E$4,2,),"")</f>
        <v>LUITHAGEN HAVEN 2 D</v>
      </c>
      <c r="AE313" s="11">
        <f>IF($I313&lt;&gt;"",VLOOKUP($AC313,GEADRESSEERDE!$A$2:$E$4,3,),"")</f>
        <v>2030</v>
      </c>
      <c r="AF313" s="11" t="str">
        <f>IF($I313&lt;&gt;"",VLOOKUP($AC313,GEADRESSEERDE!$A$2:$E$4,4,),"")</f>
        <v>ANTWERPEN</v>
      </c>
      <c r="AG313" s="11" t="str">
        <f>IF($I313&lt;&gt;"",VLOOKUP($AC313,GEADRESSEERDE!$A$2:$E$4,5,),"")</f>
        <v>BE</v>
      </c>
      <c r="AH313" s="11" t="str">
        <f>IF(I313&lt;&gt;"",VLOOKUP(AP313,KvB!$A$2:$B$3,2,FALSE),"")</f>
        <v>BE101000</v>
      </c>
      <c r="AI313" s="11" t="s">
        <v>55</v>
      </c>
      <c r="AJ313" s="11"/>
      <c r="AK313" s="11"/>
      <c r="AL313" s="11"/>
      <c r="AM313" s="11"/>
      <c r="AN313" s="11"/>
      <c r="AO313" s="11"/>
      <c r="AP313" s="2" t="s">
        <v>70</v>
      </c>
      <c r="AQ313" s="11" t="str">
        <f>IF(I313&lt;&gt;"",DATA!D312,"")</f>
        <v>8443328000</v>
      </c>
    </row>
    <row r="314" spans="1:43" ht="15.75" x14ac:dyDescent="0.25">
      <c r="A314" s="11" t="s">
        <v>57</v>
      </c>
      <c r="B314" s="11" t="s">
        <v>56</v>
      </c>
      <c r="C314" s="22">
        <f t="shared" si="22"/>
        <v>25001620</v>
      </c>
      <c r="D314" s="11" t="str">
        <f t="shared" si="23"/>
        <v>SKIIFM_AT</v>
      </c>
      <c r="E314" s="11" t="str">
        <f>IF(I314&lt;&gt;"",VLOOKUP(F314,OPDRACHTGEVER!$A$2:$B$4,2,FALSE),"")</f>
        <v>SKIIFM_AT</v>
      </c>
      <c r="F314" s="11" t="s">
        <v>58</v>
      </c>
      <c r="I314" s="11" t="str">
        <f>IF(DATA!B313&lt;&gt;"",DATA!B313,"")</f>
        <v>TGBU6999808</v>
      </c>
      <c r="J314" s="12">
        <v>0</v>
      </c>
      <c r="K314" s="11" t="s">
        <v>53</v>
      </c>
      <c r="L314" s="11" t="str">
        <f t="shared" si="24"/>
        <v>761699</v>
      </c>
      <c r="M314" s="11" t="str">
        <f>IF(I314&lt;&gt;"",DATA!E313,"")</f>
        <v>ROUTER SLED</v>
      </c>
      <c r="N314" s="12">
        <v>0</v>
      </c>
      <c r="O314" s="11">
        <f>IF(I314&lt;&gt;"",DATA!C313,"")</f>
        <v>152.1</v>
      </c>
      <c r="P314" s="2">
        <v>294094</v>
      </c>
      <c r="Q314" s="2" t="s">
        <v>1304</v>
      </c>
      <c r="R314" s="2" t="s">
        <v>1311</v>
      </c>
      <c r="S314" s="2">
        <v>584</v>
      </c>
      <c r="T314" s="2">
        <v>1</v>
      </c>
      <c r="U314" s="2" t="s">
        <v>141</v>
      </c>
      <c r="Y314" s="2">
        <v>1700</v>
      </c>
      <c r="Z314" s="11" t="s">
        <v>54</v>
      </c>
      <c r="AA314" s="11" t="str">
        <f t="shared" si="25"/>
        <v>1700 - TBN</v>
      </c>
      <c r="AC314" s="2" t="s">
        <v>145</v>
      </c>
      <c r="AD314" s="11" t="str">
        <f>IF($I314&lt;&gt;"",VLOOKUP($AC314,GEADRESSEERDE!$A$2:$E$4,2,),"")</f>
        <v>LUITHAGEN HAVEN 2 D</v>
      </c>
      <c r="AE314" s="11">
        <f>IF($I314&lt;&gt;"",VLOOKUP($AC314,GEADRESSEERDE!$A$2:$E$4,3,),"")</f>
        <v>2030</v>
      </c>
      <c r="AF314" s="11" t="str">
        <f>IF($I314&lt;&gt;"",VLOOKUP($AC314,GEADRESSEERDE!$A$2:$E$4,4,),"")</f>
        <v>ANTWERPEN</v>
      </c>
      <c r="AG314" s="11" t="str">
        <f>IF($I314&lt;&gt;"",VLOOKUP($AC314,GEADRESSEERDE!$A$2:$E$4,5,),"")</f>
        <v>BE</v>
      </c>
      <c r="AH314" s="11" t="str">
        <f>IF(I314&lt;&gt;"",VLOOKUP(AP314,KvB!$A$2:$B$3,2,FALSE),"")</f>
        <v>BE101000</v>
      </c>
      <c r="AI314" s="11" t="s">
        <v>55</v>
      </c>
      <c r="AJ314" s="11"/>
      <c r="AK314" s="11"/>
      <c r="AL314" s="11"/>
      <c r="AM314" s="11"/>
      <c r="AN314" s="11"/>
      <c r="AO314" s="11"/>
      <c r="AP314" s="2" t="s">
        <v>70</v>
      </c>
      <c r="AQ314" s="11" t="str">
        <f>IF(I314&lt;&gt;"",DATA!D313,"")</f>
        <v>7616991099</v>
      </c>
    </row>
    <row r="315" spans="1:43" ht="15.75" x14ac:dyDescent="0.25">
      <c r="A315" s="11" t="s">
        <v>57</v>
      </c>
      <c r="B315" s="11" t="s">
        <v>56</v>
      </c>
      <c r="C315" s="22">
        <f t="shared" si="22"/>
        <v>25001620</v>
      </c>
      <c r="D315" s="11" t="str">
        <f t="shared" si="23"/>
        <v>SKIIFM_AT</v>
      </c>
      <c r="E315" s="11" t="str">
        <f>IF(I315&lt;&gt;"",VLOOKUP(F315,OPDRACHTGEVER!$A$2:$B$4,2,FALSE),"")</f>
        <v>SKIIFM_AT</v>
      </c>
      <c r="F315" s="11" t="s">
        <v>58</v>
      </c>
      <c r="I315" s="11" t="str">
        <f>IF(DATA!B314&lt;&gt;"",DATA!B314,"")</f>
        <v>TGBU6999808</v>
      </c>
      <c r="J315" s="12">
        <v>0</v>
      </c>
      <c r="K315" s="11" t="s">
        <v>53</v>
      </c>
      <c r="L315" s="11" t="str">
        <f t="shared" si="24"/>
        <v>830300</v>
      </c>
      <c r="M315" s="11" t="str">
        <f>IF(I315&lt;&gt;"",DATA!E314,"")</f>
        <v>SAFE CASE</v>
      </c>
      <c r="N315" s="12">
        <v>0</v>
      </c>
      <c r="O315" s="11">
        <f>IF(I315&lt;&gt;"",DATA!C314,"")</f>
        <v>40.200000000000003</v>
      </c>
      <c r="P315" s="2">
        <v>294094</v>
      </c>
      <c r="Q315" s="2" t="s">
        <v>1304</v>
      </c>
      <c r="R315" s="2" t="s">
        <v>1311</v>
      </c>
      <c r="S315" s="2">
        <v>584</v>
      </c>
      <c r="T315" s="2">
        <v>1</v>
      </c>
      <c r="U315" s="2" t="s">
        <v>141</v>
      </c>
      <c r="Y315" s="2">
        <v>1700</v>
      </c>
      <c r="Z315" s="11" t="s">
        <v>54</v>
      </c>
      <c r="AA315" s="11" t="str">
        <f t="shared" si="25"/>
        <v>1700 - TBN</v>
      </c>
      <c r="AC315" s="2" t="s">
        <v>145</v>
      </c>
      <c r="AD315" s="11" t="str">
        <f>IF($I315&lt;&gt;"",VLOOKUP($AC315,GEADRESSEERDE!$A$2:$E$4,2,),"")</f>
        <v>LUITHAGEN HAVEN 2 D</v>
      </c>
      <c r="AE315" s="11">
        <f>IF($I315&lt;&gt;"",VLOOKUP($AC315,GEADRESSEERDE!$A$2:$E$4,3,),"")</f>
        <v>2030</v>
      </c>
      <c r="AF315" s="11" t="str">
        <f>IF($I315&lt;&gt;"",VLOOKUP($AC315,GEADRESSEERDE!$A$2:$E$4,4,),"")</f>
        <v>ANTWERPEN</v>
      </c>
      <c r="AG315" s="11" t="str">
        <f>IF($I315&lt;&gt;"",VLOOKUP($AC315,GEADRESSEERDE!$A$2:$E$4,5,),"")</f>
        <v>BE</v>
      </c>
      <c r="AH315" s="11" t="str">
        <f>IF(I315&lt;&gt;"",VLOOKUP(AP315,KvB!$A$2:$B$3,2,FALSE),"")</f>
        <v>BE101000</v>
      </c>
      <c r="AI315" s="11" t="s">
        <v>55</v>
      </c>
      <c r="AJ315" s="11"/>
      <c r="AK315" s="11"/>
      <c r="AL315" s="11"/>
      <c r="AM315" s="11"/>
      <c r="AN315" s="11"/>
      <c r="AO315" s="11"/>
      <c r="AP315" s="2" t="s">
        <v>70</v>
      </c>
      <c r="AQ315" s="11" t="str">
        <f>IF(I315&lt;&gt;"",DATA!D314,"")</f>
        <v>8303009000</v>
      </c>
    </row>
    <row r="316" spans="1:43" ht="15.75" x14ac:dyDescent="0.25">
      <c r="A316" s="11" t="s">
        <v>57</v>
      </c>
      <c r="B316" s="11" t="s">
        <v>56</v>
      </c>
      <c r="C316" s="22">
        <f t="shared" si="22"/>
        <v>25001620</v>
      </c>
      <c r="D316" s="11" t="str">
        <f t="shared" si="23"/>
        <v>SKIIFM_AT</v>
      </c>
      <c r="E316" s="11" t="str">
        <f>IF(I316&lt;&gt;"",VLOOKUP(F316,OPDRACHTGEVER!$A$2:$B$4,2,FALSE),"")</f>
        <v>SKIIFM_AT</v>
      </c>
      <c r="F316" s="11" t="s">
        <v>58</v>
      </c>
      <c r="I316" s="11" t="str">
        <f>IF(DATA!B315&lt;&gt;"",DATA!B315,"")</f>
        <v>TGBU6999808</v>
      </c>
      <c r="J316" s="12">
        <v>0</v>
      </c>
      <c r="K316" s="11" t="s">
        <v>53</v>
      </c>
      <c r="L316" s="11" t="str">
        <f t="shared" si="24"/>
        <v>851679</v>
      </c>
      <c r="M316" s="11" t="str">
        <f>IF(I316&lt;&gt;"",DATA!E315,"")</f>
        <v>SAUNA STOVE</v>
      </c>
      <c r="N316" s="12">
        <v>0</v>
      </c>
      <c r="O316" s="11">
        <f>IF(I316&lt;&gt;"",DATA!C315,"")</f>
        <v>88.18</v>
      </c>
      <c r="P316" s="2">
        <v>294094</v>
      </c>
      <c r="Q316" s="2" t="s">
        <v>1304</v>
      </c>
      <c r="R316" s="2" t="s">
        <v>1311</v>
      </c>
      <c r="S316" s="2">
        <v>584</v>
      </c>
      <c r="T316" s="2">
        <v>1</v>
      </c>
      <c r="U316" s="2" t="s">
        <v>141</v>
      </c>
      <c r="Y316" s="2">
        <v>1700</v>
      </c>
      <c r="Z316" s="11" t="s">
        <v>54</v>
      </c>
      <c r="AA316" s="11" t="str">
        <f t="shared" si="25"/>
        <v>1700 - TBN</v>
      </c>
      <c r="AC316" s="2" t="s">
        <v>145</v>
      </c>
      <c r="AD316" s="11" t="str">
        <f>IF($I316&lt;&gt;"",VLOOKUP($AC316,GEADRESSEERDE!$A$2:$E$4,2,),"")</f>
        <v>LUITHAGEN HAVEN 2 D</v>
      </c>
      <c r="AE316" s="11">
        <f>IF($I316&lt;&gt;"",VLOOKUP($AC316,GEADRESSEERDE!$A$2:$E$4,3,),"")</f>
        <v>2030</v>
      </c>
      <c r="AF316" s="11" t="str">
        <f>IF($I316&lt;&gt;"",VLOOKUP($AC316,GEADRESSEERDE!$A$2:$E$4,4,),"")</f>
        <v>ANTWERPEN</v>
      </c>
      <c r="AG316" s="11" t="str">
        <f>IF($I316&lt;&gt;"",VLOOKUP($AC316,GEADRESSEERDE!$A$2:$E$4,5,),"")</f>
        <v>BE</v>
      </c>
      <c r="AH316" s="11" t="str">
        <f>IF(I316&lt;&gt;"",VLOOKUP(AP316,KvB!$A$2:$B$3,2,FALSE),"")</f>
        <v>BE101000</v>
      </c>
      <c r="AI316" s="11" t="s">
        <v>55</v>
      </c>
      <c r="AJ316" s="11"/>
      <c r="AK316" s="11"/>
      <c r="AL316" s="11"/>
      <c r="AM316" s="11"/>
      <c r="AN316" s="11"/>
      <c r="AO316" s="11"/>
      <c r="AP316" s="2" t="s">
        <v>70</v>
      </c>
      <c r="AQ316" s="11" t="str">
        <f>IF(I316&lt;&gt;"",DATA!D315,"")</f>
        <v>8516797090</v>
      </c>
    </row>
    <row r="317" spans="1:43" ht="15.75" x14ac:dyDescent="0.25">
      <c r="A317" s="11" t="s">
        <v>57</v>
      </c>
      <c r="B317" s="11" t="s">
        <v>56</v>
      </c>
      <c r="C317" s="22">
        <f t="shared" si="22"/>
        <v>25001620</v>
      </c>
      <c r="D317" s="11" t="str">
        <f t="shared" si="23"/>
        <v>SKIIFM_AT</v>
      </c>
      <c r="E317" s="11" t="str">
        <f>IF(I317&lt;&gt;"",VLOOKUP(F317,OPDRACHTGEVER!$A$2:$B$4,2,FALSE),"")</f>
        <v>SKIIFM_AT</v>
      </c>
      <c r="F317" s="11" t="s">
        <v>58</v>
      </c>
      <c r="I317" s="11" t="str">
        <f>IF(DATA!B316&lt;&gt;"",DATA!B316,"")</f>
        <v>TGBU6999808</v>
      </c>
      <c r="J317" s="12">
        <v>0</v>
      </c>
      <c r="K317" s="11" t="s">
        <v>53</v>
      </c>
      <c r="L317" s="11" t="str">
        <f t="shared" si="24"/>
        <v>851680</v>
      </c>
      <c r="M317" s="11" t="str">
        <f>IF(I317&lt;&gt;"",DATA!E316,"")</f>
        <v>SHOE DRYER</v>
      </c>
      <c r="N317" s="12">
        <v>0</v>
      </c>
      <c r="O317" s="11">
        <f>IF(I317&lt;&gt;"",DATA!C316,"")</f>
        <v>0.3</v>
      </c>
      <c r="P317" s="2">
        <v>294094</v>
      </c>
      <c r="Q317" s="2" t="s">
        <v>1304</v>
      </c>
      <c r="R317" s="2" t="s">
        <v>1311</v>
      </c>
      <c r="S317" s="2">
        <v>584</v>
      </c>
      <c r="T317" s="2">
        <v>1</v>
      </c>
      <c r="U317" s="2" t="s">
        <v>141</v>
      </c>
      <c r="Y317" s="2">
        <v>1700</v>
      </c>
      <c r="Z317" s="11" t="s">
        <v>54</v>
      </c>
      <c r="AA317" s="11" t="str">
        <f t="shared" si="25"/>
        <v>1700 - TBN</v>
      </c>
      <c r="AC317" s="2" t="s">
        <v>145</v>
      </c>
      <c r="AD317" s="11" t="str">
        <f>IF($I317&lt;&gt;"",VLOOKUP($AC317,GEADRESSEERDE!$A$2:$E$4,2,),"")</f>
        <v>LUITHAGEN HAVEN 2 D</v>
      </c>
      <c r="AE317" s="11">
        <f>IF($I317&lt;&gt;"",VLOOKUP($AC317,GEADRESSEERDE!$A$2:$E$4,3,),"")</f>
        <v>2030</v>
      </c>
      <c r="AF317" s="11" t="str">
        <f>IF($I317&lt;&gt;"",VLOOKUP($AC317,GEADRESSEERDE!$A$2:$E$4,4,),"")</f>
        <v>ANTWERPEN</v>
      </c>
      <c r="AG317" s="11" t="str">
        <f>IF($I317&lt;&gt;"",VLOOKUP($AC317,GEADRESSEERDE!$A$2:$E$4,5,),"")</f>
        <v>BE</v>
      </c>
      <c r="AH317" s="11" t="str">
        <f>IF(I317&lt;&gt;"",VLOOKUP(AP317,KvB!$A$2:$B$3,2,FALSE),"")</f>
        <v>BE101000</v>
      </c>
      <c r="AI317" s="11" t="s">
        <v>55</v>
      </c>
      <c r="AJ317" s="11"/>
      <c r="AK317" s="11"/>
      <c r="AL317" s="11"/>
      <c r="AM317" s="11"/>
      <c r="AN317" s="11"/>
      <c r="AO317" s="11"/>
      <c r="AP317" s="2" t="s">
        <v>70</v>
      </c>
      <c r="AQ317" s="11" t="str">
        <f>IF(I317&lt;&gt;"",DATA!D316,"")</f>
        <v>8516808000</v>
      </c>
    </row>
    <row r="318" spans="1:43" ht="15.75" x14ac:dyDescent="0.25">
      <c r="A318" s="11" t="s">
        <v>57</v>
      </c>
      <c r="B318" s="11" t="s">
        <v>56</v>
      </c>
      <c r="C318" s="22">
        <f t="shared" si="22"/>
        <v>25001620</v>
      </c>
      <c r="D318" s="11" t="str">
        <f t="shared" si="23"/>
        <v>SKIIFM_AT</v>
      </c>
      <c r="E318" s="11" t="str">
        <f>IF(I318&lt;&gt;"",VLOOKUP(F318,OPDRACHTGEVER!$A$2:$B$4,2,FALSE),"")</f>
        <v>SKIIFM_AT</v>
      </c>
      <c r="F318" s="11" t="s">
        <v>58</v>
      </c>
      <c r="I318" s="11" t="str">
        <f>IF(DATA!B317&lt;&gt;"",DATA!B317,"")</f>
        <v>TGBU6999808</v>
      </c>
      <c r="J318" s="12">
        <v>0</v>
      </c>
      <c r="K318" s="11" t="s">
        <v>53</v>
      </c>
      <c r="L318" s="11" t="str">
        <f t="shared" si="24"/>
        <v>670210</v>
      </c>
      <c r="M318" s="11" t="str">
        <f>IF(I318&lt;&gt;"",DATA!E317,"")</f>
        <v>SIMULATED PLANT</v>
      </c>
      <c r="N318" s="12">
        <v>0</v>
      </c>
      <c r="O318" s="11">
        <f>IF(I318&lt;&gt;"",DATA!C317,"")</f>
        <v>178.8</v>
      </c>
      <c r="P318" s="2">
        <v>294094</v>
      </c>
      <c r="Q318" s="2" t="s">
        <v>1304</v>
      </c>
      <c r="R318" s="2" t="s">
        <v>1311</v>
      </c>
      <c r="S318" s="2">
        <v>584</v>
      </c>
      <c r="T318" s="2">
        <v>1</v>
      </c>
      <c r="U318" s="2" t="s">
        <v>141</v>
      </c>
      <c r="Y318" s="2">
        <v>1700</v>
      </c>
      <c r="Z318" s="11" t="s">
        <v>54</v>
      </c>
      <c r="AA318" s="11" t="str">
        <f t="shared" si="25"/>
        <v>1700 - TBN</v>
      </c>
      <c r="AC318" s="2" t="s">
        <v>145</v>
      </c>
      <c r="AD318" s="11" t="str">
        <f>IF($I318&lt;&gt;"",VLOOKUP($AC318,GEADRESSEERDE!$A$2:$E$4,2,),"")</f>
        <v>LUITHAGEN HAVEN 2 D</v>
      </c>
      <c r="AE318" s="11">
        <f>IF($I318&lt;&gt;"",VLOOKUP($AC318,GEADRESSEERDE!$A$2:$E$4,3,),"")</f>
        <v>2030</v>
      </c>
      <c r="AF318" s="11" t="str">
        <f>IF($I318&lt;&gt;"",VLOOKUP($AC318,GEADRESSEERDE!$A$2:$E$4,4,),"")</f>
        <v>ANTWERPEN</v>
      </c>
      <c r="AG318" s="11" t="str">
        <f>IF($I318&lt;&gt;"",VLOOKUP($AC318,GEADRESSEERDE!$A$2:$E$4,5,),"")</f>
        <v>BE</v>
      </c>
      <c r="AH318" s="11" t="str">
        <f>IF(I318&lt;&gt;"",VLOOKUP(AP318,KvB!$A$2:$B$3,2,FALSE),"")</f>
        <v>BE101000</v>
      </c>
      <c r="AI318" s="11" t="s">
        <v>55</v>
      </c>
      <c r="AJ318" s="11"/>
      <c r="AK318" s="11"/>
      <c r="AL318" s="11"/>
      <c r="AM318" s="11"/>
      <c r="AN318" s="11"/>
      <c r="AO318" s="11"/>
      <c r="AP318" s="2" t="s">
        <v>70</v>
      </c>
      <c r="AQ318" s="11" t="str">
        <f>IF(I318&lt;&gt;"",DATA!D317,"")</f>
        <v>6702100000</v>
      </c>
    </row>
    <row r="319" spans="1:43" ht="15.75" x14ac:dyDescent="0.25">
      <c r="A319" s="11" t="s">
        <v>57</v>
      </c>
      <c r="B319" s="11" t="s">
        <v>56</v>
      </c>
      <c r="C319" s="22">
        <f t="shared" si="22"/>
        <v>25001620</v>
      </c>
      <c r="D319" s="11" t="str">
        <f t="shared" si="23"/>
        <v>SKIIFM_AT</v>
      </c>
      <c r="E319" s="11" t="str">
        <f>IF(I319&lt;&gt;"",VLOOKUP(F319,OPDRACHTGEVER!$A$2:$B$4,2,FALSE),"")</f>
        <v>SKIIFM_AT</v>
      </c>
      <c r="F319" s="11" t="s">
        <v>58</v>
      </c>
      <c r="I319" s="11" t="str">
        <f>IF(DATA!B318&lt;&gt;"",DATA!B318,"")</f>
        <v>TGBU6999808</v>
      </c>
      <c r="J319" s="12">
        <v>0</v>
      </c>
      <c r="K319" s="11" t="s">
        <v>53</v>
      </c>
      <c r="L319" s="11" t="str">
        <f t="shared" si="24"/>
        <v>842139</v>
      </c>
      <c r="M319" s="11" t="str">
        <f>IF(I319&lt;&gt;"",DATA!E318,"")</f>
        <v>SMOKE PURIFIER</v>
      </c>
      <c r="N319" s="12">
        <v>0</v>
      </c>
      <c r="O319" s="11">
        <f>IF(I319&lt;&gt;"",DATA!C318,"")</f>
        <v>28</v>
      </c>
      <c r="P319" s="2">
        <v>294094</v>
      </c>
      <c r="Q319" s="2" t="s">
        <v>1304</v>
      </c>
      <c r="R319" s="2" t="s">
        <v>1311</v>
      </c>
      <c r="S319" s="2">
        <v>584</v>
      </c>
      <c r="T319" s="2">
        <v>1</v>
      </c>
      <c r="U319" s="2" t="s">
        <v>141</v>
      </c>
      <c r="Y319" s="2">
        <v>1700</v>
      </c>
      <c r="Z319" s="11" t="s">
        <v>54</v>
      </c>
      <c r="AA319" s="11" t="str">
        <f t="shared" si="25"/>
        <v>1700 - TBN</v>
      </c>
      <c r="AC319" s="2" t="s">
        <v>145</v>
      </c>
      <c r="AD319" s="11" t="str">
        <f>IF($I319&lt;&gt;"",VLOOKUP($AC319,GEADRESSEERDE!$A$2:$E$4,2,),"")</f>
        <v>LUITHAGEN HAVEN 2 D</v>
      </c>
      <c r="AE319" s="11">
        <f>IF($I319&lt;&gt;"",VLOOKUP($AC319,GEADRESSEERDE!$A$2:$E$4,3,),"")</f>
        <v>2030</v>
      </c>
      <c r="AF319" s="11" t="str">
        <f>IF($I319&lt;&gt;"",VLOOKUP($AC319,GEADRESSEERDE!$A$2:$E$4,4,),"")</f>
        <v>ANTWERPEN</v>
      </c>
      <c r="AG319" s="11" t="str">
        <f>IF($I319&lt;&gt;"",VLOOKUP($AC319,GEADRESSEERDE!$A$2:$E$4,5,),"")</f>
        <v>BE</v>
      </c>
      <c r="AH319" s="11" t="str">
        <f>IF(I319&lt;&gt;"",VLOOKUP(AP319,KvB!$A$2:$B$3,2,FALSE),"")</f>
        <v>BE101000</v>
      </c>
      <c r="AI319" s="11" t="s">
        <v>55</v>
      </c>
      <c r="AJ319" s="11"/>
      <c r="AK319" s="11"/>
      <c r="AL319" s="11"/>
      <c r="AM319" s="11"/>
      <c r="AN319" s="11"/>
      <c r="AO319" s="11"/>
      <c r="AP319" s="2" t="s">
        <v>70</v>
      </c>
      <c r="AQ319" s="11" t="str">
        <f>IF(I319&lt;&gt;"",DATA!D318,"")</f>
        <v>8421398590</v>
      </c>
    </row>
    <row r="320" spans="1:43" ht="15.75" x14ac:dyDescent="0.25">
      <c r="A320" s="11" t="s">
        <v>57</v>
      </c>
      <c r="B320" s="11" t="s">
        <v>56</v>
      </c>
      <c r="C320" s="22">
        <f t="shared" si="22"/>
        <v>25001620</v>
      </c>
      <c r="D320" s="11" t="str">
        <f t="shared" si="23"/>
        <v>SKIIFM_AT</v>
      </c>
      <c r="E320" s="11" t="str">
        <f>IF(I320&lt;&gt;"",VLOOKUP(F320,OPDRACHTGEVER!$A$2:$B$4,2,FALSE),"")</f>
        <v>SKIIFM_AT</v>
      </c>
      <c r="F320" s="11" t="s">
        <v>58</v>
      </c>
      <c r="I320" s="11" t="str">
        <f>IF(DATA!B319&lt;&gt;"",DATA!B319,"")</f>
        <v>TGBU6999808</v>
      </c>
      <c r="J320" s="12">
        <v>0</v>
      </c>
      <c r="K320" s="11" t="s">
        <v>53</v>
      </c>
      <c r="L320" s="11" t="str">
        <f t="shared" si="24"/>
        <v>850940</v>
      </c>
      <c r="M320" s="11" t="str">
        <f>IF(I320&lt;&gt;"",DATA!E319,"")</f>
        <v>SMOOTHIE MACHINE</v>
      </c>
      <c r="N320" s="12">
        <v>0</v>
      </c>
      <c r="O320" s="11">
        <f>IF(I320&lt;&gt;"",DATA!C319,"")</f>
        <v>86.5</v>
      </c>
      <c r="P320" s="2">
        <v>294094</v>
      </c>
      <c r="Q320" s="2" t="s">
        <v>1304</v>
      </c>
      <c r="R320" s="2" t="s">
        <v>1311</v>
      </c>
      <c r="S320" s="2">
        <v>584</v>
      </c>
      <c r="T320" s="2">
        <v>1</v>
      </c>
      <c r="U320" s="2" t="s">
        <v>141</v>
      </c>
      <c r="Y320" s="2">
        <v>1700</v>
      </c>
      <c r="Z320" s="11" t="s">
        <v>54</v>
      </c>
      <c r="AA320" s="11" t="str">
        <f t="shared" si="25"/>
        <v>1700 - TBN</v>
      </c>
      <c r="AC320" s="2" t="s">
        <v>145</v>
      </c>
      <c r="AD320" s="11" t="str">
        <f>IF($I320&lt;&gt;"",VLOOKUP($AC320,GEADRESSEERDE!$A$2:$E$4,2,),"")</f>
        <v>LUITHAGEN HAVEN 2 D</v>
      </c>
      <c r="AE320" s="11">
        <f>IF($I320&lt;&gt;"",VLOOKUP($AC320,GEADRESSEERDE!$A$2:$E$4,3,),"")</f>
        <v>2030</v>
      </c>
      <c r="AF320" s="11" t="str">
        <f>IF($I320&lt;&gt;"",VLOOKUP($AC320,GEADRESSEERDE!$A$2:$E$4,4,),"")</f>
        <v>ANTWERPEN</v>
      </c>
      <c r="AG320" s="11" t="str">
        <f>IF($I320&lt;&gt;"",VLOOKUP($AC320,GEADRESSEERDE!$A$2:$E$4,5,),"")</f>
        <v>BE</v>
      </c>
      <c r="AH320" s="11" t="str">
        <f>IF(I320&lt;&gt;"",VLOOKUP(AP320,KvB!$A$2:$B$3,2,FALSE),"")</f>
        <v>BE101000</v>
      </c>
      <c r="AI320" s="11" t="s">
        <v>55</v>
      </c>
      <c r="AJ320" s="11"/>
      <c r="AK320" s="11"/>
      <c r="AL320" s="11"/>
      <c r="AM320" s="11"/>
      <c r="AN320" s="11"/>
      <c r="AO320" s="11"/>
      <c r="AP320" s="2" t="s">
        <v>70</v>
      </c>
      <c r="AQ320" s="11" t="str">
        <f>IF(I320&lt;&gt;"",DATA!D319,"")</f>
        <v>8509400000</v>
      </c>
    </row>
    <row r="321" spans="1:43" ht="15.75" x14ac:dyDescent="0.25">
      <c r="A321" s="11" t="s">
        <v>57</v>
      </c>
      <c r="B321" s="11" t="s">
        <v>56</v>
      </c>
      <c r="C321" s="22">
        <f t="shared" si="22"/>
        <v>25001620</v>
      </c>
      <c r="D321" s="11" t="str">
        <f t="shared" si="23"/>
        <v>SKIIFM_AT</v>
      </c>
      <c r="E321" s="11" t="str">
        <f>IF(I321&lt;&gt;"",VLOOKUP(F321,OPDRACHTGEVER!$A$2:$B$4,2,FALSE),"")</f>
        <v>SKIIFM_AT</v>
      </c>
      <c r="F321" s="11" t="s">
        <v>58</v>
      </c>
      <c r="I321" s="11" t="str">
        <f>IF(DATA!B320&lt;&gt;"",DATA!B320,"")</f>
        <v>TGBU6999808</v>
      </c>
      <c r="J321" s="12">
        <v>0</v>
      </c>
      <c r="K321" s="11" t="s">
        <v>53</v>
      </c>
      <c r="L321" s="11" t="str">
        <f t="shared" si="24"/>
        <v>940399</v>
      </c>
      <c r="M321" s="11" t="str">
        <f>IF(I321&lt;&gt;"",DATA!E320,"")</f>
        <v>DOOR</v>
      </c>
      <c r="N321" s="12">
        <v>0</v>
      </c>
      <c r="O321" s="11">
        <f>IF(I321&lt;&gt;"",DATA!C320,"")</f>
        <v>216.8</v>
      </c>
      <c r="P321" s="2">
        <v>294094</v>
      </c>
      <c r="Q321" s="2" t="s">
        <v>1304</v>
      </c>
      <c r="R321" s="2" t="s">
        <v>1311</v>
      </c>
      <c r="S321" s="2">
        <v>584</v>
      </c>
      <c r="T321" s="2">
        <v>1</v>
      </c>
      <c r="U321" s="2" t="s">
        <v>141</v>
      </c>
      <c r="Y321" s="2">
        <v>1700</v>
      </c>
      <c r="Z321" s="11" t="s">
        <v>54</v>
      </c>
      <c r="AA321" s="11" t="str">
        <f t="shared" si="25"/>
        <v>1700 - TBN</v>
      </c>
      <c r="AC321" s="2" t="s">
        <v>145</v>
      </c>
      <c r="AD321" s="11" t="str">
        <f>IF($I321&lt;&gt;"",VLOOKUP($AC321,GEADRESSEERDE!$A$2:$E$4,2,),"")</f>
        <v>LUITHAGEN HAVEN 2 D</v>
      </c>
      <c r="AE321" s="11">
        <f>IF($I321&lt;&gt;"",VLOOKUP($AC321,GEADRESSEERDE!$A$2:$E$4,3,),"")</f>
        <v>2030</v>
      </c>
      <c r="AF321" s="11" t="str">
        <f>IF($I321&lt;&gt;"",VLOOKUP($AC321,GEADRESSEERDE!$A$2:$E$4,4,),"")</f>
        <v>ANTWERPEN</v>
      </c>
      <c r="AG321" s="11" t="str">
        <f>IF($I321&lt;&gt;"",VLOOKUP($AC321,GEADRESSEERDE!$A$2:$E$4,5,),"")</f>
        <v>BE</v>
      </c>
      <c r="AH321" s="11" t="str">
        <f>IF(I321&lt;&gt;"",VLOOKUP(AP321,KvB!$A$2:$B$3,2,FALSE),"")</f>
        <v>BE101000</v>
      </c>
      <c r="AI321" s="11" t="s">
        <v>55</v>
      </c>
      <c r="AJ321" s="11"/>
      <c r="AK321" s="11"/>
      <c r="AL321" s="11"/>
      <c r="AM321" s="11"/>
      <c r="AN321" s="11"/>
      <c r="AO321" s="11"/>
      <c r="AP321" s="2" t="s">
        <v>70</v>
      </c>
      <c r="AQ321" s="11" t="str">
        <f>IF(I321&lt;&gt;"",DATA!D320,"")</f>
        <v>9403999090</v>
      </c>
    </row>
    <row r="322" spans="1:43" ht="15.75" x14ac:dyDescent="0.25">
      <c r="A322" s="11" t="s">
        <v>57</v>
      </c>
      <c r="B322" s="11" t="s">
        <v>56</v>
      </c>
      <c r="C322" s="22">
        <f t="shared" si="22"/>
        <v>25001620</v>
      </c>
      <c r="D322" s="11" t="str">
        <f t="shared" si="23"/>
        <v>SKIIFM_AT</v>
      </c>
      <c r="E322" s="11" t="str">
        <f>IF(I322&lt;&gt;"",VLOOKUP(F322,OPDRACHTGEVER!$A$2:$B$4,2,FALSE),"")</f>
        <v>SKIIFM_AT</v>
      </c>
      <c r="F322" s="11" t="s">
        <v>58</v>
      </c>
      <c r="I322" s="11" t="str">
        <f>IF(DATA!B321&lt;&gt;"",DATA!B321,"")</f>
        <v>TGBU6999808</v>
      </c>
      <c r="J322" s="12">
        <v>0</v>
      </c>
      <c r="K322" s="11" t="s">
        <v>53</v>
      </c>
      <c r="L322" s="11" t="str">
        <f t="shared" si="24"/>
        <v>741920</v>
      </c>
      <c r="M322" s="11" t="str">
        <f>IF(I322&lt;&gt;"",DATA!E321,"")</f>
        <v>STANCHION POST</v>
      </c>
      <c r="N322" s="12">
        <v>0</v>
      </c>
      <c r="O322" s="11">
        <f>IF(I322&lt;&gt;"",DATA!C321,"")</f>
        <v>53.35</v>
      </c>
      <c r="P322" s="2">
        <v>294094</v>
      </c>
      <c r="Q322" s="2" t="s">
        <v>1304</v>
      </c>
      <c r="R322" s="2" t="s">
        <v>1311</v>
      </c>
      <c r="S322" s="2">
        <v>584</v>
      </c>
      <c r="T322" s="2">
        <v>1</v>
      </c>
      <c r="U322" s="2" t="s">
        <v>141</v>
      </c>
      <c r="Y322" s="2">
        <v>1700</v>
      </c>
      <c r="Z322" s="11" t="s">
        <v>54</v>
      </c>
      <c r="AA322" s="11" t="str">
        <f t="shared" si="25"/>
        <v>1700 - TBN</v>
      </c>
      <c r="AC322" s="2" t="s">
        <v>145</v>
      </c>
      <c r="AD322" s="11" t="str">
        <f>IF($I322&lt;&gt;"",VLOOKUP($AC322,GEADRESSEERDE!$A$2:$E$4,2,),"")</f>
        <v>LUITHAGEN HAVEN 2 D</v>
      </c>
      <c r="AE322" s="11">
        <f>IF($I322&lt;&gt;"",VLOOKUP($AC322,GEADRESSEERDE!$A$2:$E$4,3,),"")</f>
        <v>2030</v>
      </c>
      <c r="AF322" s="11" t="str">
        <f>IF($I322&lt;&gt;"",VLOOKUP($AC322,GEADRESSEERDE!$A$2:$E$4,4,),"")</f>
        <v>ANTWERPEN</v>
      </c>
      <c r="AG322" s="11" t="str">
        <f>IF($I322&lt;&gt;"",VLOOKUP($AC322,GEADRESSEERDE!$A$2:$E$4,5,),"")</f>
        <v>BE</v>
      </c>
      <c r="AH322" s="11" t="str">
        <f>IF(I322&lt;&gt;"",VLOOKUP(AP322,KvB!$A$2:$B$3,2,FALSE),"")</f>
        <v>BE101000</v>
      </c>
      <c r="AI322" s="11" t="s">
        <v>55</v>
      </c>
      <c r="AJ322" s="11"/>
      <c r="AK322" s="11"/>
      <c r="AL322" s="11"/>
      <c r="AM322" s="11"/>
      <c r="AN322" s="11"/>
      <c r="AO322" s="11"/>
      <c r="AP322" s="2" t="s">
        <v>70</v>
      </c>
      <c r="AQ322" s="11" t="str">
        <f>IF(I322&lt;&gt;"",DATA!D321,"")</f>
        <v>7419200090</v>
      </c>
    </row>
    <row r="323" spans="1:43" ht="15.75" x14ac:dyDescent="0.25">
      <c r="A323" s="11" t="s">
        <v>57</v>
      </c>
      <c r="B323" s="11" t="s">
        <v>56</v>
      </c>
      <c r="C323" s="22">
        <f t="shared" si="22"/>
        <v>25001620</v>
      </c>
      <c r="D323" s="11" t="str">
        <f t="shared" si="23"/>
        <v>SKIIFM_AT</v>
      </c>
      <c r="E323" s="11" t="str">
        <f>IF(I323&lt;&gt;"",VLOOKUP(F323,OPDRACHTGEVER!$A$2:$B$4,2,FALSE),"")</f>
        <v>SKIIFM_AT</v>
      </c>
      <c r="F323" s="11" t="s">
        <v>58</v>
      </c>
      <c r="I323" s="11" t="str">
        <f>IF(DATA!B322&lt;&gt;"",DATA!B322,"")</f>
        <v>TGBU6999808</v>
      </c>
      <c r="J323" s="12">
        <v>0</v>
      </c>
      <c r="K323" s="11" t="s">
        <v>53</v>
      </c>
      <c r="L323" s="11" t="str">
        <f t="shared" si="24"/>
        <v>871680</v>
      </c>
      <c r="M323" s="11" t="str">
        <f>IF(I323&lt;&gt;"",DATA!E322,"")</f>
        <v>TROLLEY</v>
      </c>
      <c r="N323" s="12">
        <v>0</v>
      </c>
      <c r="O323" s="11">
        <f>IF(I323&lt;&gt;"",DATA!C322,"")</f>
        <v>150.1</v>
      </c>
      <c r="P323" s="2">
        <v>294094</v>
      </c>
      <c r="Q323" s="2" t="s">
        <v>1304</v>
      </c>
      <c r="R323" s="2" t="s">
        <v>1311</v>
      </c>
      <c r="S323" s="2">
        <v>584</v>
      </c>
      <c r="T323" s="2">
        <v>1</v>
      </c>
      <c r="U323" s="2" t="s">
        <v>141</v>
      </c>
      <c r="Y323" s="2">
        <v>1700</v>
      </c>
      <c r="Z323" s="11" t="s">
        <v>54</v>
      </c>
      <c r="AA323" s="11" t="str">
        <f t="shared" si="25"/>
        <v>1700 - TBN</v>
      </c>
      <c r="AC323" s="2" t="s">
        <v>145</v>
      </c>
      <c r="AD323" s="11" t="str">
        <f>IF($I323&lt;&gt;"",VLOOKUP($AC323,GEADRESSEERDE!$A$2:$E$4,2,),"")</f>
        <v>LUITHAGEN HAVEN 2 D</v>
      </c>
      <c r="AE323" s="11">
        <f>IF($I323&lt;&gt;"",VLOOKUP($AC323,GEADRESSEERDE!$A$2:$E$4,3,),"")</f>
        <v>2030</v>
      </c>
      <c r="AF323" s="11" t="str">
        <f>IF($I323&lt;&gt;"",VLOOKUP($AC323,GEADRESSEERDE!$A$2:$E$4,4,),"")</f>
        <v>ANTWERPEN</v>
      </c>
      <c r="AG323" s="11" t="str">
        <f>IF($I323&lt;&gt;"",VLOOKUP($AC323,GEADRESSEERDE!$A$2:$E$4,5,),"")</f>
        <v>BE</v>
      </c>
      <c r="AH323" s="11" t="str">
        <f>IF(I323&lt;&gt;"",VLOOKUP(AP323,KvB!$A$2:$B$3,2,FALSE),"")</f>
        <v>BE101000</v>
      </c>
      <c r="AI323" s="11" t="s">
        <v>55</v>
      </c>
      <c r="AJ323" s="11"/>
      <c r="AK323" s="11"/>
      <c r="AL323" s="11"/>
      <c r="AM323" s="11"/>
      <c r="AN323" s="11"/>
      <c r="AO323" s="11"/>
      <c r="AP323" s="2" t="s">
        <v>70</v>
      </c>
      <c r="AQ323" s="11" t="str">
        <f>IF(I323&lt;&gt;"",DATA!D322,"")</f>
        <v>8716800000</v>
      </c>
    </row>
    <row r="324" spans="1:43" ht="15.75" x14ac:dyDescent="0.25">
      <c r="A324" s="11" t="s">
        <v>57</v>
      </c>
      <c r="B324" s="11" t="s">
        <v>56</v>
      </c>
      <c r="C324" s="22">
        <f t="shared" si="22"/>
        <v>25001620</v>
      </c>
      <c r="D324" s="11" t="str">
        <f t="shared" si="23"/>
        <v>SKIIFM_AT</v>
      </c>
      <c r="E324" s="11" t="str">
        <f>IF(I324&lt;&gt;"",VLOOKUP(F324,OPDRACHTGEVER!$A$2:$B$4,2,FALSE),"")</f>
        <v>SKIIFM_AT</v>
      </c>
      <c r="F324" s="11" t="s">
        <v>58</v>
      </c>
      <c r="I324" s="11" t="str">
        <f>IF(DATA!B323&lt;&gt;"",DATA!B323,"")</f>
        <v>TGBU6999808</v>
      </c>
      <c r="J324" s="12">
        <v>0</v>
      </c>
      <c r="K324" s="11" t="s">
        <v>53</v>
      </c>
      <c r="L324" s="11" t="str">
        <f t="shared" si="24"/>
        <v>420292</v>
      </c>
      <c r="M324" s="11" t="str">
        <f>IF(I324&lt;&gt;"",DATA!E323,"")</f>
        <v>STORAGE BAG</v>
      </c>
      <c r="N324" s="12">
        <v>0</v>
      </c>
      <c r="O324" s="11">
        <f>IF(I324&lt;&gt;"",DATA!C323,"")</f>
        <v>28.4</v>
      </c>
      <c r="P324" s="2">
        <v>294094</v>
      </c>
      <c r="Q324" s="2" t="s">
        <v>1304</v>
      </c>
      <c r="R324" s="2" t="s">
        <v>1311</v>
      </c>
      <c r="S324" s="2">
        <v>584</v>
      </c>
      <c r="T324" s="2">
        <v>1</v>
      </c>
      <c r="U324" s="2" t="s">
        <v>141</v>
      </c>
      <c r="Y324" s="2">
        <v>1700</v>
      </c>
      <c r="Z324" s="11" t="s">
        <v>54</v>
      </c>
      <c r="AA324" s="11" t="str">
        <f t="shared" si="25"/>
        <v>1700 - TBN</v>
      </c>
      <c r="AC324" s="2" t="s">
        <v>145</v>
      </c>
      <c r="AD324" s="11" t="str">
        <f>IF($I324&lt;&gt;"",VLOOKUP($AC324,GEADRESSEERDE!$A$2:$E$4,2,),"")</f>
        <v>LUITHAGEN HAVEN 2 D</v>
      </c>
      <c r="AE324" s="11">
        <f>IF($I324&lt;&gt;"",VLOOKUP($AC324,GEADRESSEERDE!$A$2:$E$4,3,),"")</f>
        <v>2030</v>
      </c>
      <c r="AF324" s="11" t="str">
        <f>IF($I324&lt;&gt;"",VLOOKUP($AC324,GEADRESSEERDE!$A$2:$E$4,4,),"")</f>
        <v>ANTWERPEN</v>
      </c>
      <c r="AG324" s="11" t="str">
        <f>IF($I324&lt;&gt;"",VLOOKUP($AC324,GEADRESSEERDE!$A$2:$E$4,5,),"")</f>
        <v>BE</v>
      </c>
      <c r="AH324" s="11" t="str">
        <f>IF(I324&lt;&gt;"",VLOOKUP(AP324,KvB!$A$2:$B$3,2,FALSE),"")</f>
        <v>BE101000</v>
      </c>
      <c r="AI324" s="11" t="s">
        <v>55</v>
      </c>
      <c r="AJ324" s="11"/>
      <c r="AK324" s="11"/>
      <c r="AL324" s="11"/>
      <c r="AM324" s="11"/>
      <c r="AN324" s="11"/>
      <c r="AO324" s="11"/>
      <c r="AP324" s="2" t="s">
        <v>70</v>
      </c>
      <c r="AQ324" s="11" t="str">
        <f>IF(I324&lt;&gt;"",DATA!D323,"")</f>
        <v>4202929890</v>
      </c>
    </row>
    <row r="325" spans="1:43" ht="15.75" x14ac:dyDescent="0.25">
      <c r="A325" s="11" t="s">
        <v>57</v>
      </c>
      <c r="B325" s="11" t="s">
        <v>56</v>
      </c>
      <c r="C325" s="22">
        <f t="shared" ref="C325:C388" si="26">C324</f>
        <v>25001620</v>
      </c>
      <c r="D325" s="11" t="str">
        <f t="shared" si="23"/>
        <v>SKIIFM_AT</v>
      </c>
      <c r="E325" s="11" t="str">
        <f>IF(I325&lt;&gt;"",VLOOKUP(F325,OPDRACHTGEVER!$A$2:$B$4,2,FALSE),"")</f>
        <v>SKIIFM_AT</v>
      </c>
      <c r="F325" s="11" t="s">
        <v>58</v>
      </c>
      <c r="I325" s="11" t="str">
        <f>IF(DATA!B324&lt;&gt;"",DATA!B324,"")</f>
        <v>TGBU6999808</v>
      </c>
      <c r="J325" s="12">
        <v>0</v>
      </c>
      <c r="K325" s="11" t="s">
        <v>53</v>
      </c>
      <c r="L325" s="11" t="str">
        <f t="shared" si="24"/>
        <v>392490</v>
      </c>
      <c r="M325" s="11" t="str">
        <f>IF(I325&lt;&gt;"",DATA!E324,"")</f>
        <v>TABLE MAT</v>
      </c>
      <c r="N325" s="12">
        <v>0</v>
      </c>
      <c r="O325" s="11">
        <f>IF(I325&lt;&gt;"",DATA!C324,"")</f>
        <v>25.7</v>
      </c>
      <c r="P325" s="2">
        <v>294094</v>
      </c>
      <c r="Q325" s="2" t="s">
        <v>1304</v>
      </c>
      <c r="R325" s="2" t="s">
        <v>1311</v>
      </c>
      <c r="S325" s="2">
        <v>584</v>
      </c>
      <c r="T325" s="2">
        <v>1</v>
      </c>
      <c r="U325" s="2" t="s">
        <v>141</v>
      </c>
      <c r="Y325" s="2">
        <v>1700</v>
      </c>
      <c r="Z325" s="11" t="s">
        <v>54</v>
      </c>
      <c r="AA325" s="11" t="str">
        <f t="shared" si="25"/>
        <v>1700 - TBN</v>
      </c>
      <c r="AC325" s="2" t="s">
        <v>145</v>
      </c>
      <c r="AD325" s="11" t="str">
        <f>IF($I325&lt;&gt;"",VLOOKUP($AC325,GEADRESSEERDE!$A$2:$E$4,2,),"")</f>
        <v>LUITHAGEN HAVEN 2 D</v>
      </c>
      <c r="AE325" s="11">
        <f>IF($I325&lt;&gt;"",VLOOKUP($AC325,GEADRESSEERDE!$A$2:$E$4,3,),"")</f>
        <v>2030</v>
      </c>
      <c r="AF325" s="11" t="str">
        <f>IF($I325&lt;&gt;"",VLOOKUP($AC325,GEADRESSEERDE!$A$2:$E$4,4,),"")</f>
        <v>ANTWERPEN</v>
      </c>
      <c r="AG325" s="11" t="str">
        <f>IF($I325&lt;&gt;"",VLOOKUP($AC325,GEADRESSEERDE!$A$2:$E$4,5,),"")</f>
        <v>BE</v>
      </c>
      <c r="AH325" s="11" t="str">
        <f>IF(I325&lt;&gt;"",VLOOKUP(AP325,KvB!$A$2:$B$3,2,FALSE),"")</f>
        <v>BE101000</v>
      </c>
      <c r="AI325" s="11" t="s">
        <v>55</v>
      </c>
      <c r="AJ325" s="11"/>
      <c r="AK325" s="11"/>
      <c r="AL325" s="11"/>
      <c r="AM325" s="11"/>
      <c r="AN325" s="11"/>
      <c r="AO325" s="11"/>
      <c r="AP325" s="2" t="s">
        <v>70</v>
      </c>
      <c r="AQ325" s="11" t="str">
        <f>IF(I325&lt;&gt;"",DATA!D324,"")</f>
        <v>3924900090</v>
      </c>
    </row>
    <row r="326" spans="1:43" ht="15.75" x14ac:dyDescent="0.25">
      <c r="A326" s="11" t="s">
        <v>57</v>
      </c>
      <c r="B326" s="11" t="s">
        <v>56</v>
      </c>
      <c r="C326" s="22">
        <f t="shared" si="26"/>
        <v>25001620</v>
      </c>
      <c r="D326" s="11" t="str">
        <f t="shared" si="23"/>
        <v>SKIIFM_AT</v>
      </c>
      <c r="E326" s="11" t="str">
        <f>IF(I326&lt;&gt;"",VLOOKUP(F326,OPDRACHTGEVER!$A$2:$B$4,2,FALSE),"")</f>
        <v>SKIIFM_AT</v>
      </c>
      <c r="F326" s="11" t="s">
        <v>58</v>
      </c>
      <c r="I326" s="11" t="str">
        <f>IF(DATA!B325&lt;&gt;"",DATA!B325,"")</f>
        <v>TGBU6999808</v>
      </c>
      <c r="J326" s="12">
        <v>0</v>
      </c>
      <c r="K326" s="11" t="s">
        <v>53</v>
      </c>
      <c r="L326" s="11" t="str">
        <f t="shared" si="24"/>
        <v>950691</v>
      </c>
      <c r="M326" s="11" t="str">
        <f>IF(I326&lt;&gt;"",DATA!E325,"")</f>
        <v>TUMBLING MAT</v>
      </c>
      <c r="N326" s="12">
        <v>0</v>
      </c>
      <c r="O326" s="11">
        <f>IF(I326&lt;&gt;"",DATA!C325,"")</f>
        <v>107.1</v>
      </c>
      <c r="P326" s="2">
        <v>294094</v>
      </c>
      <c r="Q326" s="2" t="s">
        <v>1304</v>
      </c>
      <c r="R326" s="2" t="s">
        <v>1311</v>
      </c>
      <c r="S326" s="2">
        <v>584</v>
      </c>
      <c r="T326" s="2">
        <v>1</v>
      </c>
      <c r="U326" s="2" t="s">
        <v>141</v>
      </c>
      <c r="Y326" s="2">
        <v>1700</v>
      </c>
      <c r="Z326" s="11" t="s">
        <v>54</v>
      </c>
      <c r="AA326" s="11" t="str">
        <f t="shared" si="25"/>
        <v>1700 - TBN</v>
      </c>
      <c r="AC326" s="2" t="s">
        <v>145</v>
      </c>
      <c r="AD326" s="11" t="str">
        <f>IF($I326&lt;&gt;"",VLOOKUP($AC326,GEADRESSEERDE!$A$2:$E$4,2,),"")</f>
        <v>LUITHAGEN HAVEN 2 D</v>
      </c>
      <c r="AE326" s="11">
        <f>IF($I326&lt;&gt;"",VLOOKUP($AC326,GEADRESSEERDE!$A$2:$E$4,3,),"")</f>
        <v>2030</v>
      </c>
      <c r="AF326" s="11" t="str">
        <f>IF($I326&lt;&gt;"",VLOOKUP($AC326,GEADRESSEERDE!$A$2:$E$4,4,),"")</f>
        <v>ANTWERPEN</v>
      </c>
      <c r="AG326" s="11" t="str">
        <f>IF($I326&lt;&gt;"",VLOOKUP($AC326,GEADRESSEERDE!$A$2:$E$4,5,),"")</f>
        <v>BE</v>
      </c>
      <c r="AH326" s="11" t="str">
        <f>IF(I326&lt;&gt;"",VLOOKUP(AP326,KvB!$A$2:$B$3,2,FALSE),"")</f>
        <v>BE101000</v>
      </c>
      <c r="AI326" s="11" t="s">
        <v>55</v>
      </c>
      <c r="AJ326" s="11"/>
      <c r="AK326" s="11"/>
      <c r="AL326" s="11"/>
      <c r="AM326" s="11"/>
      <c r="AN326" s="11"/>
      <c r="AO326" s="11"/>
      <c r="AP326" s="2" t="s">
        <v>70</v>
      </c>
      <c r="AQ326" s="11" t="str">
        <f>IF(I326&lt;&gt;"",DATA!D325,"")</f>
        <v>9506919000</v>
      </c>
    </row>
    <row r="327" spans="1:43" ht="15.75" x14ac:dyDescent="0.25">
      <c r="A327" s="11" t="s">
        <v>57</v>
      </c>
      <c r="B327" s="11" t="s">
        <v>56</v>
      </c>
      <c r="C327" s="22">
        <f t="shared" si="26"/>
        <v>25001620</v>
      </c>
      <c r="D327" s="11" t="str">
        <f t="shared" si="23"/>
        <v>SKIIFM_AT</v>
      </c>
      <c r="E327" s="11" t="str">
        <f>IF(I327&lt;&gt;"",VLOOKUP(F327,OPDRACHTGEVER!$A$2:$B$4,2,FALSE),"")</f>
        <v>SKIIFM_AT</v>
      </c>
      <c r="F327" s="11" t="s">
        <v>58</v>
      </c>
      <c r="I327" s="11" t="str">
        <f>IF(DATA!B326&lt;&gt;"",DATA!B326,"")</f>
        <v>TGBU6999808</v>
      </c>
      <c r="J327" s="12">
        <v>0</v>
      </c>
      <c r="K327" s="11" t="s">
        <v>53</v>
      </c>
      <c r="L327" s="11" t="str">
        <f t="shared" si="24"/>
        <v>841830</v>
      </c>
      <c r="M327" s="11" t="str">
        <f>IF(I327&lt;&gt;"",DATA!E326,"")</f>
        <v>VEHICLE REFRIGERATOR</v>
      </c>
      <c r="N327" s="12">
        <v>0</v>
      </c>
      <c r="O327" s="11">
        <f>IF(I327&lt;&gt;"",DATA!C326,"")</f>
        <v>905.09</v>
      </c>
      <c r="P327" s="2">
        <v>294094</v>
      </c>
      <c r="Q327" s="2" t="s">
        <v>1304</v>
      </c>
      <c r="R327" s="2" t="s">
        <v>1311</v>
      </c>
      <c r="S327" s="2">
        <v>584</v>
      </c>
      <c r="T327" s="2">
        <v>1</v>
      </c>
      <c r="U327" s="2" t="s">
        <v>141</v>
      </c>
      <c r="Y327" s="2">
        <v>1700</v>
      </c>
      <c r="Z327" s="11" t="s">
        <v>54</v>
      </c>
      <c r="AA327" s="11" t="str">
        <f t="shared" si="25"/>
        <v>1700 - TBN</v>
      </c>
      <c r="AC327" s="2" t="s">
        <v>145</v>
      </c>
      <c r="AD327" s="11" t="str">
        <f>IF($I327&lt;&gt;"",VLOOKUP($AC327,GEADRESSEERDE!$A$2:$E$4,2,),"")</f>
        <v>LUITHAGEN HAVEN 2 D</v>
      </c>
      <c r="AE327" s="11">
        <f>IF($I327&lt;&gt;"",VLOOKUP($AC327,GEADRESSEERDE!$A$2:$E$4,3,),"")</f>
        <v>2030</v>
      </c>
      <c r="AF327" s="11" t="str">
        <f>IF($I327&lt;&gt;"",VLOOKUP($AC327,GEADRESSEERDE!$A$2:$E$4,4,),"")</f>
        <v>ANTWERPEN</v>
      </c>
      <c r="AG327" s="11" t="str">
        <f>IF($I327&lt;&gt;"",VLOOKUP($AC327,GEADRESSEERDE!$A$2:$E$4,5,),"")</f>
        <v>BE</v>
      </c>
      <c r="AH327" s="11" t="str">
        <f>IF(I327&lt;&gt;"",VLOOKUP(AP327,KvB!$A$2:$B$3,2,FALSE),"")</f>
        <v>BE101000</v>
      </c>
      <c r="AI327" s="11" t="s">
        <v>55</v>
      </c>
      <c r="AJ327" s="11"/>
      <c r="AK327" s="11"/>
      <c r="AL327" s="11"/>
      <c r="AM327" s="11"/>
      <c r="AN327" s="11"/>
      <c r="AO327" s="11"/>
      <c r="AP327" s="2" t="s">
        <v>70</v>
      </c>
      <c r="AQ327" s="11" t="str">
        <f>IF(I327&lt;&gt;"",DATA!D326,"")</f>
        <v>8418302099</v>
      </c>
    </row>
    <row r="328" spans="1:43" ht="15.75" x14ac:dyDescent="0.25">
      <c r="A328" s="11" t="s">
        <v>57</v>
      </c>
      <c r="B328" s="11" t="s">
        <v>56</v>
      </c>
      <c r="C328" s="22">
        <f t="shared" si="26"/>
        <v>25001620</v>
      </c>
      <c r="D328" s="11" t="str">
        <f t="shared" si="23"/>
        <v>SKIIFM_AT</v>
      </c>
      <c r="E328" s="11" t="str">
        <f>IF(I328&lt;&gt;"",VLOOKUP(F328,OPDRACHTGEVER!$A$2:$B$4,2,FALSE),"")</f>
        <v>SKIIFM_AT</v>
      </c>
      <c r="F328" s="11" t="s">
        <v>58</v>
      </c>
      <c r="I328" s="11" t="str">
        <f>IF(DATA!B327&lt;&gt;"",DATA!B327,"")</f>
        <v>TGBU6999808</v>
      </c>
      <c r="J328" s="12">
        <v>0</v>
      </c>
      <c r="K328" s="11" t="s">
        <v>53</v>
      </c>
      <c r="L328" s="11" t="str">
        <f t="shared" si="24"/>
        <v>851672</v>
      </c>
      <c r="M328" s="11" t="str">
        <f>IF(I328&lt;&gt;"",DATA!E327,"")</f>
        <v>WAFFLE CAKE MACHINE</v>
      </c>
      <c r="N328" s="12">
        <v>0</v>
      </c>
      <c r="O328" s="11">
        <f>IF(I328&lt;&gt;"",DATA!C327,"")</f>
        <v>93.6</v>
      </c>
      <c r="P328" s="2">
        <v>294094</v>
      </c>
      <c r="Q328" s="2" t="s">
        <v>1304</v>
      </c>
      <c r="R328" s="2" t="s">
        <v>1311</v>
      </c>
      <c r="S328" s="2">
        <v>584</v>
      </c>
      <c r="T328" s="2">
        <v>1</v>
      </c>
      <c r="U328" s="2" t="s">
        <v>141</v>
      </c>
      <c r="Y328" s="2">
        <v>1700</v>
      </c>
      <c r="Z328" s="11" t="s">
        <v>54</v>
      </c>
      <c r="AA328" s="11" t="str">
        <f t="shared" si="25"/>
        <v>1700 - TBN</v>
      </c>
      <c r="AC328" s="2" t="s">
        <v>145</v>
      </c>
      <c r="AD328" s="11" t="str">
        <f>IF($I328&lt;&gt;"",VLOOKUP($AC328,GEADRESSEERDE!$A$2:$E$4,2,),"")</f>
        <v>LUITHAGEN HAVEN 2 D</v>
      </c>
      <c r="AE328" s="11">
        <f>IF($I328&lt;&gt;"",VLOOKUP($AC328,GEADRESSEERDE!$A$2:$E$4,3,),"")</f>
        <v>2030</v>
      </c>
      <c r="AF328" s="11" t="str">
        <f>IF($I328&lt;&gt;"",VLOOKUP($AC328,GEADRESSEERDE!$A$2:$E$4,4,),"")</f>
        <v>ANTWERPEN</v>
      </c>
      <c r="AG328" s="11" t="str">
        <f>IF($I328&lt;&gt;"",VLOOKUP($AC328,GEADRESSEERDE!$A$2:$E$4,5,),"")</f>
        <v>BE</v>
      </c>
      <c r="AH328" s="11" t="str">
        <f>IF(I328&lt;&gt;"",VLOOKUP(AP328,KvB!$A$2:$B$3,2,FALSE),"")</f>
        <v>BE101000</v>
      </c>
      <c r="AI328" s="11" t="s">
        <v>55</v>
      </c>
      <c r="AJ328" s="11"/>
      <c r="AK328" s="11"/>
      <c r="AL328" s="11"/>
      <c r="AM328" s="11"/>
      <c r="AN328" s="11"/>
      <c r="AO328" s="11"/>
      <c r="AP328" s="2" t="s">
        <v>70</v>
      </c>
      <c r="AQ328" s="11" t="str">
        <f>IF(I328&lt;&gt;"",DATA!D327,"")</f>
        <v>8516720000</v>
      </c>
    </row>
    <row r="329" spans="1:43" ht="15.75" x14ac:dyDescent="0.25">
      <c r="A329" s="11" t="s">
        <v>57</v>
      </c>
      <c r="B329" s="11" t="s">
        <v>56</v>
      </c>
      <c r="C329" s="22">
        <f t="shared" si="26"/>
        <v>25001620</v>
      </c>
      <c r="D329" s="11" t="str">
        <f t="shared" si="23"/>
        <v>SKIIFM_AT</v>
      </c>
      <c r="E329" s="11" t="str">
        <f>IF(I329&lt;&gt;"",VLOOKUP(F329,OPDRACHTGEVER!$A$2:$B$4,2,FALSE),"")</f>
        <v>SKIIFM_AT</v>
      </c>
      <c r="F329" s="11" t="s">
        <v>58</v>
      </c>
      <c r="I329" s="11" t="str">
        <f>IF(DATA!B328&lt;&gt;"",DATA!B328,"")</f>
        <v>TGBU6999808</v>
      </c>
      <c r="J329" s="12">
        <v>0</v>
      </c>
      <c r="K329" s="11" t="s">
        <v>53</v>
      </c>
      <c r="L329" s="11" t="str">
        <f t="shared" si="24"/>
        <v>901580</v>
      </c>
      <c r="M329" s="11" t="str">
        <f>IF(I329&lt;&gt;"",DATA!E328,"")</f>
        <v>WEATHER STATION</v>
      </c>
      <c r="N329" s="12">
        <v>0</v>
      </c>
      <c r="O329" s="11">
        <f>IF(I329&lt;&gt;"",DATA!C328,"")</f>
        <v>234</v>
      </c>
      <c r="P329" s="2">
        <v>294094</v>
      </c>
      <c r="Q329" s="2" t="s">
        <v>1304</v>
      </c>
      <c r="R329" s="2" t="s">
        <v>1311</v>
      </c>
      <c r="S329" s="2">
        <v>584</v>
      </c>
      <c r="T329" s="2">
        <v>1</v>
      </c>
      <c r="U329" s="2" t="s">
        <v>141</v>
      </c>
      <c r="Y329" s="2">
        <v>1700</v>
      </c>
      <c r="Z329" s="11" t="s">
        <v>54</v>
      </c>
      <c r="AA329" s="11" t="str">
        <f t="shared" si="25"/>
        <v>1700 - TBN</v>
      </c>
      <c r="AC329" s="2" t="s">
        <v>145</v>
      </c>
      <c r="AD329" s="11" t="str">
        <f>IF($I329&lt;&gt;"",VLOOKUP($AC329,GEADRESSEERDE!$A$2:$E$4,2,),"")</f>
        <v>LUITHAGEN HAVEN 2 D</v>
      </c>
      <c r="AE329" s="11">
        <f>IF($I329&lt;&gt;"",VLOOKUP($AC329,GEADRESSEERDE!$A$2:$E$4,3,),"")</f>
        <v>2030</v>
      </c>
      <c r="AF329" s="11" t="str">
        <f>IF($I329&lt;&gt;"",VLOOKUP($AC329,GEADRESSEERDE!$A$2:$E$4,4,),"")</f>
        <v>ANTWERPEN</v>
      </c>
      <c r="AG329" s="11" t="str">
        <f>IF($I329&lt;&gt;"",VLOOKUP($AC329,GEADRESSEERDE!$A$2:$E$4,5,),"")</f>
        <v>BE</v>
      </c>
      <c r="AH329" s="11" t="str">
        <f>IF(I329&lt;&gt;"",VLOOKUP(AP329,KvB!$A$2:$B$3,2,FALSE),"")</f>
        <v>BE101000</v>
      </c>
      <c r="AI329" s="11" t="s">
        <v>55</v>
      </c>
      <c r="AJ329" s="11"/>
      <c r="AK329" s="11"/>
      <c r="AL329" s="11"/>
      <c r="AM329" s="11"/>
      <c r="AN329" s="11"/>
      <c r="AO329" s="11"/>
      <c r="AP329" s="2" t="s">
        <v>70</v>
      </c>
      <c r="AQ329" s="11" t="str">
        <f>IF(I329&lt;&gt;"",DATA!D328,"")</f>
        <v>9015808000</v>
      </c>
    </row>
    <row r="330" spans="1:43" ht="15.75" x14ac:dyDescent="0.25">
      <c r="A330" s="11" t="s">
        <v>57</v>
      </c>
      <c r="B330" s="11" t="s">
        <v>56</v>
      </c>
      <c r="C330" s="22">
        <f t="shared" si="26"/>
        <v>25001620</v>
      </c>
      <c r="D330" s="11" t="str">
        <f t="shared" si="23"/>
        <v>SKIIFM_AT</v>
      </c>
      <c r="E330" s="11" t="str">
        <f>IF(I330&lt;&gt;"",VLOOKUP(F330,OPDRACHTGEVER!$A$2:$B$4,2,FALSE),"")</f>
        <v>SKIIFM_AT</v>
      </c>
      <c r="F330" s="11" t="s">
        <v>58</v>
      </c>
      <c r="I330" s="11" t="str">
        <f>IF(DATA!B329&lt;&gt;"",DATA!B329,"")</f>
        <v>TGBU6999808</v>
      </c>
      <c r="J330" s="12">
        <v>0</v>
      </c>
      <c r="K330" s="11" t="s">
        <v>53</v>
      </c>
      <c r="L330" s="11" t="str">
        <f t="shared" si="24"/>
        <v>851529</v>
      </c>
      <c r="M330" s="11" t="str">
        <f>IF(I330&lt;&gt;"",DATA!E329,"")</f>
        <v>WELDING MACHINE</v>
      </c>
      <c r="N330" s="12">
        <v>0</v>
      </c>
      <c r="O330" s="11">
        <f>IF(I330&lt;&gt;"",DATA!C329,"")</f>
        <v>43.8</v>
      </c>
      <c r="P330" s="2">
        <v>294094</v>
      </c>
      <c r="Q330" s="2" t="s">
        <v>1304</v>
      </c>
      <c r="R330" s="2" t="s">
        <v>1311</v>
      </c>
      <c r="S330" s="2">
        <v>584</v>
      </c>
      <c r="T330" s="2">
        <v>1</v>
      </c>
      <c r="U330" s="2" t="s">
        <v>141</v>
      </c>
      <c r="Y330" s="2">
        <v>1700</v>
      </c>
      <c r="Z330" s="11" t="s">
        <v>54</v>
      </c>
      <c r="AA330" s="11" t="str">
        <f t="shared" si="25"/>
        <v>1700 - TBN</v>
      </c>
      <c r="AC330" s="2" t="s">
        <v>145</v>
      </c>
      <c r="AD330" s="11" t="str">
        <f>IF($I330&lt;&gt;"",VLOOKUP($AC330,GEADRESSEERDE!$A$2:$E$4,2,),"")</f>
        <v>LUITHAGEN HAVEN 2 D</v>
      </c>
      <c r="AE330" s="11">
        <f>IF($I330&lt;&gt;"",VLOOKUP($AC330,GEADRESSEERDE!$A$2:$E$4,3,),"")</f>
        <v>2030</v>
      </c>
      <c r="AF330" s="11" t="str">
        <f>IF($I330&lt;&gt;"",VLOOKUP($AC330,GEADRESSEERDE!$A$2:$E$4,4,),"")</f>
        <v>ANTWERPEN</v>
      </c>
      <c r="AG330" s="11" t="str">
        <f>IF($I330&lt;&gt;"",VLOOKUP($AC330,GEADRESSEERDE!$A$2:$E$4,5,),"")</f>
        <v>BE</v>
      </c>
      <c r="AH330" s="11" t="str">
        <f>IF(I330&lt;&gt;"",VLOOKUP(AP330,KvB!$A$2:$B$3,2,FALSE),"")</f>
        <v>BE101000</v>
      </c>
      <c r="AI330" s="11" t="s">
        <v>55</v>
      </c>
      <c r="AJ330" s="11"/>
      <c r="AK330" s="11"/>
      <c r="AL330" s="11"/>
      <c r="AM330" s="11"/>
      <c r="AN330" s="11"/>
      <c r="AO330" s="11"/>
      <c r="AP330" s="2" t="s">
        <v>70</v>
      </c>
      <c r="AQ330" s="11" t="str">
        <f>IF(I330&lt;&gt;"",DATA!D329,"")</f>
        <v>8515290000</v>
      </c>
    </row>
    <row r="331" spans="1:43" ht="15.75" x14ac:dyDescent="0.25">
      <c r="A331" s="11" t="s">
        <v>57</v>
      </c>
      <c r="B331" s="11" t="s">
        <v>56</v>
      </c>
      <c r="C331" s="22">
        <f t="shared" si="26"/>
        <v>25001620</v>
      </c>
      <c r="D331" s="11" t="str">
        <f t="shared" si="23"/>
        <v>SKIIFM_AT</v>
      </c>
      <c r="E331" s="11" t="str">
        <f>IF(I331&lt;&gt;"",VLOOKUP(F331,OPDRACHTGEVER!$A$2:$B$4,2,FALSE),"")</f>
        <v>SKIIFM_AT</v>
      </c>
      <c r="F331" s="11" t="s">
        <v>58</v>
      </c>
      <c r="I331" s="11" t="str">
        <f>IF(DATA!B330&lt;&gt;"",DATA!B330,"")</f>
        <v>UETU6903211</v>
      </c>
      <c r="J331" s="12">
        <v>806</v>
      </c>
      <c r="K331" s="11" t="s">
        <v>53</v>
      </c>
      <c r="L331" s="11" t="str">
        <f t="shared" si="24"/>
        <v>950490</v>
      </c>
      <c r="M331" s="11" t="str">
        <f>IF(I331&lt;&gt;"",DATA!E330,"")</f>
        <v>AIR HOCKEY TABLE</v>
      </c>
      <c r="N331" s="12">
        <v>10614</v>
      </c>
      <c r="O331" s="11">
        <f>IF(I331&lt;&gt;"",DATA!C330,"")</f>
        <v>508.8</v>
      </c>
      <c r="P331" s="2">
        <v>294094</v>
      </c>
      <c r="Q331" s="2" t="s">
        <v>1304</v>
      </c>
      <c r="R331" s="2" t="s">
        <v>1312</v>
      </c>
      <c r="S331" s="2">
        <v>572</v>
      </c>
      <c r="T331" s="2">
        <v>1</v>
      </c>
      <c r="U331" s="2" t="s">
        <v>141</v>
      </c>
      <c r="Y331" s="2">
        <v>1700</v>
      </c>
      <c r="Z331" s="11" t="s">
        <v>54</v>
      </c>
      <c r="AA331" s="11" t="str">
        <f t="shared" si="25"/>
        <v>1700 - TBN</v>
      </c>
      <c r="AC331" s="2" t="s">
        <v>145</v>
      </c>
      <c r="AD331" s="11" t="str">
        <f>IF($I331&lt;&gt;"",VLOOKUP($AC331,GEADRESSEERDE!$A$2:$E$4,2,),"")</f>
        <v>LUITHAGEN HAVEN 2 D</v>
      </c>
      <c r="AE331" s="11">
        <f>IF($I331&lt;&gt;"",VLOOKUP($AC331,GEADRESSEERDE!$A$2:$E$4,3,),"")</f>
        <v>2030</v>
      </c>
      <c r="AF331" s="11" t="str">
        <f>IF($I331&lt;&gt;"",VLOOKUP($AC331,GEADRESSEERDE!$A$2:$E$4,4,),"")</f>
        <v>ANTWERPEN</v>
      </c>
      <c r="AG331" s="11" t="str">
        <f>IF($I331&lt;&gt;"",VLOOKUP($AC331,GEADRESSEERDE!$A$2:$E$4,5,),"")</f>
        <v>BE</v>
      </c>
      <c r="AH331" s="11" t="str">
        <f>IF(I331&lt;&gt;"",VLOOKUP(AP331,KvB!$A$2:$B$3,2,FALSE),"")</f>
        <v>BE101000</v>
      </c>
      <c r="AI331" s="11" t="s">
        <v>55</v>
      </c>
      <c r="AJ331" s="11"/>
      <c r="AK331" s="11"/>
      <c r="AL331" s="11"/>
      <c r="AM331" s="11"/>
      <c r="AN331" s="11"/>
      <c r="AO331" s="11"/>
      <c r="AP331" s="2" t="s">
        <v>70</v>
      </c>
      <c r="AQ331" s="11" t="str">
        <f>IF(I331&lt;&gt;"",DATA!D330,"")</f>
        <v>9504908000</v>
      </c>
    </row>
    <row r="332" spans="1:43" ht="15.75" x14ac:dyDescent="0.25">
      <c r="A332" s="11" t="s">
        <v>57</v>
      </c>
      <c r="B332" s="11" t="s">
        <v>56</v>
      </c>
      <c r="C332" s="22">
        <f t="shared" si="26"/>
        <v>25001620</v>
      </c>
      <c r="D332" s="11" t="str">
        <f t="shared" si="23"/>
        <v>SKIIFM_AT</v>
      </c>
      <c r="E332" s="11" t="str">
        <f>IF(I332&lt;&gt;"",VLOOKUP(F332,OPDRACHTGEVER!$A$2:$B$4,2,FALSE),"")</f>
        <v>SKIIFM_AT</v>
      </c>
      <c r="F332" s="11" t="s">
        <v>58</v>
      </c>
      <c r="I332" s="11" t="str">
        <f>IF(DATA!B331&lt;&gt;"",DATA!B331,"")</f>
        <v>UETU6903211</v>
      </c>
      <c r="J332" s="12">
        <v>0</v>
      </c>
      <c r="K332" s="11" t="s">
        <v>53</v>
      </c>
      <c r="L332" s="11" t="str">
        <f t="shared" si="24"/>
        <v>741920</v>
      </c>
      <c r="M332" s="11" t="str">
        <f>IF(I332&lt;&gt;"",DATA!E331,"")</f>
        <v>BUCKET</v>
      </c>
      <c r="N332" s="12">
        <v>0</v>
      </c>
      <c r="O332" s="11">
        <f>IF(I332&lt;&gt;"",DATA!C331,"")</f>
        <v>64</v>
      </c>
      <c r="P332" s="2">
        <v>294094</v>
      </c>
      <c r="Q332" s="2" t="s">
        <v>1304</v>
      </c>
      <c r="R332" s="2" t="s">
        <v>1312</v>
      </c>
      <c r="S332" s="2">
        <v>572</v>
      </c>
      <c r="T332" s="2">
        <v>1</v>
      </c>
      <c r="U332" s="2" t="s">
        <v>141</v>
      </c>
      <c r="Y332" s="2">
        <v>1700</v>
      </c>
      <c r="Z332" s="11" t="s">
        <v>54</v>
      </c>
      <c r="AA332" s="11" t="str">
        <f t="shared" si="25"/>
        <v>1700 - TBN</v>
      </c>
      <c r="AC332" s="2" t="s">
        <v>145</v>
      </c>
      <c r="AD332" s="11" t="str">
        <f>IF($I332&lt;&gt;"",VLOOKUP($AC332,GEADRESSEERDE!$A$2:$E$4,2,),"")</f>
        <v>LUITHAGEN HAVEN 2 D</v>
      </c>
      <c r="AE332" s="11">
        <f>IF($I332&lt;&gt;"",VLOOKUP($AC332,GEADRESSEERDE!$A$2:$E$4,3,),"")</f>
        <v>2030</v>
      </c>
      <c r="AF332" s="11" t="str">
        <f>IF($I332&lt;&gt;"",VLOOKUP($AC332,GEADRESSEERDE!$A$2:$E$4,4,),"")</f>
        <v>ANTWERPEN</v>
      </c>
      <c r="AG332" s="11" t="str">
        <f>IF($I332&lt;&gt;"",VLOOKUP($AC332,GEADRESSEERDE!$A$2:$E$4,5,),"")</f>
        <v>BE</v>
      </c>
      <c r="AH332" s="11" t="str">
        <f>IF(I332&lt;&gt;"",VLOOKUP(AP332,KvB!$A$2:$B$3,2,FALSE),"")</f>
        <v>BE101000</v>
      </c>
      <c r="AI332" s="11" t="s">
        <v>55</v>
      </c>
      <c r="AJ332" s="11"/>
      <c r="AK332" s="11"/>
      <c r="AL332" s="11"/>
      <c r="AM332" s="11"/>
      <c r="AN332" s="11"/>
      <c r="AO332" s="11"/>
      <c r="AP332" s="2" t="s">
        <v>70</v>
      </c>
      <c r="AQ332" s="11" t="str">
        <f>IF(I332&lt;&gt;"",DATA!D331,"")</f>
        <v>7419200090</v>
      </c>
    </row>
    <row r="333" spans="1:43" ht="15.75" x14ac:dyDescent="0.25">
      <c r="A333" s="11" t="s">
        <v>57</v>
      </c>
      <c r="B333" s="11" t="s">
        <v>56</v>
      </c>
      <c r="C333" s="22">
        <f t="shared" si="26"/>
        <v>25001620</v>
      </c>
      <c r="D333" s="11" t="str">
        <f t="shared" si="23"/>
        <v>SKIIFM_AT</v>
      </c>
      <c r="E333" s="11" t="str">
        <f>IF(I333&lt;&gt;"",VLOOKUP(F333,OPDRACHTGEVER!$A$2:$B$4,2,FALSE),"")</f>
        <v>SKIIFM_AT</v>
      </c>
      <c r="F333" s="11" t="s">
        <v>58</v>
      </c>
      <c r="I333" s="11" t="str">
        <f>IF(DATA!B332&lt;&gt;"",DATA!B332,"")</f>
        <v>UETU6903211</v>
      </c>
      <c r="J333" s="12">
        <v>0</v>
      </c>
      <c r="K333" s="11" t="s">
        <v>53</v>
      </c>
      <c r="L333" s="11" t="str">
        <f t="shared" si="24"/>
        <v>843880</v>
      </c>
      <c r="M333" s="11" t="str">
        <f>IF(I333&lt;&gt;"",DATA!E332,"")</f>
        <v>COTTON CANDY MACHINE</v>
      </c>
      <c r="N333" s="12">
        <v>0</v>
      </c>
      <c r="O333" s="11">
        <f>IF(I333&lt;&gt;"",DATA!C332,"")</f>
        <v>30.6</v>
      </c>
      <c r="P333" s="2">
        <v>294094</v>
      </c>
      <c r="Q333" s="2" t="s">
        <v>1304</v>
      </c>
      <c r="R333" s="2" t="s">
        <v>1312</v>
      </c>
      <c r="S333" s="2">
        <v>572</v>
      </c>
      <c r="T333" s="2">
        <v>1</v>
      </c>
      <c r="U333" s="2" t="s">
        <v>141</v>
      </c>
      <c r="Y333" s="2">
        <v>1700</v>
      </c>
      <c r="Z333" s="11" t="s">
        <v>54</v>
      </c>
      <c r="AA333" s="11" t="str">
        <f t="shared" si="25"/>
        <v>1700 - TBN</v>
      </c>
      <c r="AC333" s="2" t="s">
        <v>145</v>
      </c>
      <c r="AD333" s="11" t="str">
        <f>IF($I333&lt;&gt;"",VLOOKUP($AC333,GEADRESSEERDE!$A$2:$E$4,2,),"")</f>
        <v>LUITHAGEN HAVEN 2 D</v>
      </c>
      <c r="AE333" s="11">
        <f>IF($I333&lt;&gt;"",VLOOKUP($AC333,GEADRESSEERDE!$A$2:$E$4,3,),"")</f>
        <v>2030</v>
      </c>
      <c r="AF333" s="11" t="str">
        <f>IF($I333&lt;&gt;"",VLOOKUP($AC333,GEADRESSEERDE!$A$2:$E$4,4,),"")</f>
        <v>ANTWERPEN</v>
      </c>
      <c r="AG333" s="11" t="str">
        <f>IF($I333&lt;&gt;"",VLOOKUP($AC333,GEADRESSEERDE!$A$2:$E$4,5,),"")</f>
        <v>BE</v>
      </c>
      <c r="AH333" s="11" t="str">
        <f>IF(I333&lt;&gt;"",VLOOKUP(AP333,KvB!$A$2:$B$3,2,FALSE),"")</f>
        <v>BE101000</v>
      </c>
      <c r="AI333" s="11" t="s">
        <v>55</v>
      </c>
      <c r="AJ333" s="11"/>
      <c r="AK333" s="11"/>
      <c r="AL333" s="11"/>
      <c r="AM333" s="11"/>
      <c r="AN333" s="11"/>
      <c r="AO333" s="11"/>
      <c r="AP333" s="2" t="s">
        <v>70</v>
      </c>
      <c r="AQ333" s="11" t="str">
        <f>IF(I333&lt;&gt;"",DATA!D332,"")</f>
        <v>8438809900</v>
      </c>
    </row>
    <row r="334" spans="1:43" ht="15.75" x14ac:dyDescent="0.25">
      <c r="A334" s="11" t="s">
        <v>57</v>
      </c>
      <c r="B334" s="11" t="s">
        <v>56</v>
      </c>
      <c r="C334" s="22">
        <f t="shared" si="26"/>
        <v>25001620</v>
      </c>
      <c r="D334" s="11" t="str">
        <f t="shared" si="23"/>
        <v>SKIIFM_AT</v>
      </c>
      <c r="E334" s="11" t="str">
        <f>IF(I334&lt;&gt;"",VLOOKUP(F334,OPDRACHTGEVER!$A$2:$B$4,2,FALSE),"")</f>
        <v>SKIIFM_AT</v>
      </c>
      <c r="F334" s="11" t="s">
        <v>58</v>
      </c>
      <c r="I334" s="11" t="str">
        <f>IF(DATA!B333&lt;&gt;"",DATA!B333,"")</f>
        <v>UETU6903211</v>
      </c>
      <c r="J334" s="12">
        <v>0</v>
      </c>
      <c r="K334" s="11" t="s">
        <v>53</v>
      </c>
      <c r="L334" s="11" t="str">
        <f t="shared" si="24"/>
        <v>820559</v>
      </c>
      <c r="M334" s="11" t="str">
        <f>IF(I334&lt;&gt;"",DATA!E333,"")</f>
        <v>DENT REPAIR KIT</v>
      </c>
      <c r="N334" s="12">
        <v>0</v>
      </c>
      <c r="O334" s="11">
        <f>IF(I334&lt;&gt;"",DATA!C333,"")</f>
        <v>210.2</v>
      </c>
      <c r="P334" s="2">
        <v>294094</v>
      </c>
      <c r="Q334" s="2" t="s">
        <v>1304</v>
      </c>
      <c r="R334" s="2" t="s">
        <v>1312</v>
      </c>
      <c r="S334" s="2">
        <v>572</v>
      </c>
      <c r="T334" s="2">
        <v>1</v>
      </c>
      <c r="U334" s="2" t="s">
        <v>141</v>
      </c>
      <c r="Y334" s="2">
        <v>1700</v>
      </c>
      <c r="Z334" s="11" t="s">
        <v>54</v>
      </c>
      <c r="AA334" s="11" t="str">
        <f t="shared" si="25"/>
        <v>1700 - TBN</v>
      </c>
      <c r="AC334" s="2" t="s">
        <v>145</v>
      </c>
      <c r="AD334" s="11" t="str">
        <f>IF($I334&lt;&gt;"",VLOOKUP($AC334,GEADRESSEERDE!$A$2:$E$4,2,),"")</f>
        <v>LUITHAGEN HAVEN 2 D</v>
      </c>
      <c r="AE334" s="11">
        <f>IF($I334&lt;&gt;"",VLOOKUP($AC334,GEADRESSEERDE!$A$2:$E$4,3,),"")</f>
        <v>2030</v>
      </c>
      <c r="AF334" s="11" t="str">
        <f>IF($I334&lt;&gt;"",VLOOKUP($AC334,GEADRESSEERDE!$A$2:$E$4,4,),"")</f>
        <v>ANTWERPEN</v>
      </c>
      <c r="AG334" s="11" t="str">
        <f>IF($I334&lt;&gt;"",VLOOKUP($AC334,GEADRESSEERDE!$A$2:$E$4,5,),"")</f>
        <v>BE</v>
      </c>
      <c r="AH334" s="11" t="str">
        <f>IF(I334&lt;&gt;"",VLOOKUP(AP334,KvB!$A$2:$B$3,2,FALSE),"")</f>
        <v>BE101000</v>
      </c>
      <c r="AI334" s="11" t="s">
        <v>55</v>
      </c>
      <c r="AJ334" s="11"/>
      <c r="AK334" s="11"/>
      <c r="AL334" s="11"/>
      <c r="AM334" s="11"/>
      <c r="AN334" s="11"/>
      <c r="AO334" s="11"/>
      <c r="AP334" s="2" t="s">
        <v>70</v>
      </c>
      <c r="AQ334" s="11" t="str">
        <f>IF(I334&lt;&gt;"",DATA!D333,"")</f>
        <v>8205598000</v>
      </c>
    </row>
    <row r="335" spans="1:43" ht="15.75" x14ac:dyDescent="0.25">
      <c r="A335" s="11" t="s">
        <v>57</v>
      </c>
      <c r="B335" s="11" t="s">
        <v>56</v>
      </c>
      <c r="C335" s="22">
        <f t="shared" si="26"/>
        <v>25001620</v>
      </c>
      <c r="D335" s="11" t="str">
        <f t="shared" si="23"/>
        <v>SKIIFM_AT</v>
      </c>
      <c r="E335" s="11" t="str">
        <f>IF(I335&lt;&gt;"",VLOOKUP(F335,OPDRACHTGEVER!$A$2:$B$4,2,FALSE),"")</f>
        <v>SKIIFM_AT</v>
      </c>
      <c r="F335" s="11" t="s">
        <v>58</v>
      </c>
      <c r="I335" s="11" t="str">
        <f>IF(DATA!B334&lt;&gt;"",DATA!B334,"")</f>
        <v>UETU6903211</v>
      </c>
      <c r="J335" s="12">
        <v>0</v>
      </c>
      <c r="K335" s="11" t="s">
        <v>53</v>
      </c>
      <c r="L335" s="11" t="str">
        <f t="shared" si="24"/>
        <v>741920</v>
      </c>
      <c r="M335" s="11" t="str">
        <f>IF(I335&lt;&gt;"",DATA!E334,"")</f>
        <v>DINING STOVE</v>
      </c>
      <c r="N335" s="12">
        <v>0</v>
      </c>
      <c r="O335" s="11">
        <f>IF(I335&lt;&gt;"",DATA!C334,"")</f>
        <v>129.06</v>
      </c>
      <c r="P335" s="2">
        <v>294094</v>
      </c>
      <c r="Q335" s="2" t="s">
        <v>1304</v>
      </c>
      <c r="R335" s="2" t="s">
        <v>1312</v>
      </c>
      <c r="S335" s="2">
        <v>572</v>
      </c>
      <c r="T335" s="2">
        <v>1</v>
      </c>
      <c r="U335" s="2" t="s">
        <v>141</v>
      </c>
      <c r="Y335" s="2">
        <v>1700</v>
      </c>
      <c r="Z335" s="11" t="s">
        <v>54</v>
      </c>
      <c r="AA335" s="11" t="str">
        <f t="shared" si="25"/>
        <v>1700 - TBN</v>
      </c>
      <c r="AC335" s="2" t="s">
        <v>145</v>
      </c>
      <c r="AD335" s="11" t="str">
        <f>IF($I335&lt;&gt;"",VLOOKUP($AC335,GEADRESSEERDE!$A$2:$E$4,2,),"")</f>
        <v>LUITHAGEN HAVEN 2 D</v>
      </c>
      <c r="AE335" s="11">
        <f>IF($I335&lt;&gt;"",VLOOKUP($AC335,GEADRESSEERDE!$A$2:$E$4,3,),"")</f>
        <v>2030</v>
      </c>
      <c r="AF335" s="11" t="str">
        <f>IF($I335&lt;&gt;"",VLOOKUP($AC335,GEADRESSEERDE!$A$2:$E$4,4,),"")</f>
        <v>ANTWERPEN</v>
      </c>
      <c r="AG335" s="11" t="str">
        <f>IF($I335&lt;&gt;"",VLOOKUP($AC335,GEADRESSEERDE!$A$2:$E$4,5,),"")</f>
        <v>BE</v>
      </c>
      <c r="AH335" s="11" t="str">
        <f>IF(I335&lt;&gt;"",VLOOKUP(AP335,KvB!$A$2:$B$3,2,FALSE),"")</f>
        <v>BE101000</v>
      </c>
      <c r="AI335" s="11" t="s">
        <v>55</v>
      </c>
      <c r="AJ335" s="11"/>
      <c r="AK335" s="11"/>
      <c r="AL335" s="11"/>
      <c r="AM335" s="11"/>
      <c r="AN335" s="11"/>
      <c r="AO335" s="11"/>
      <c r="AP335" s="2" t="s">
        <v>70</v>
      </c>
      <c r="AQ335" s="11" t="str">
        <f>IF(I335&lt;&gt;"",DATA!D334,"")</f>
        <v>7419200090</v>
      </c>
    </row>
    <row r="336" spans="1:43" ht="15.75" x14ac:dyDescent="0.25">
      <c r="A336" s="11" t="s">
        <v>57</v>
      </c>
      <c r="B336" s="11" t="s">
        <v>56</v>
      </c>
      <c r="C336" s="22">
        <f t="shared" si="26"/>
        <v>25001620</v>
      </c>
      <c r="D336" s="11" t="str">
        <f t="shared" si="23"/>
        <v>SKIIFM_AT</v>
      </c>
      <c r="E336" s="11" t="str">
        <f>IF(I336&lt;&gt;"",VLOOKUP(F336,OPDRACHTGEVER!$A$2:$B$4,2,FALSE),"")</f>
        <v>SKIIFM_AT</v>
      </c>
      <c r="F336" s="11" t="s">
        <v>58</v>
      </c>
      <c r="I336" s="11" t="str">
        <f>IF(DATA!B335&lt;&gt;"",DATA!B335,"")</f>
        <v>UETU6903211</v>
      </c>
      <c r="J336" s="12">
        <v>0</v>
      </c>
      <c r="K336" s="11" t="s">
        <v>53</v>
      </c>
      <c r="L336" s="11" t="str">
        <f t="shared" si="24"/>
        <v>841940</v>
      </c>
      <c r="M336" s="11" t="str">
        <f>IF(I336&lt;&gt;"",DATA!E335,"")</f>
        <v>DISTILLER</v>
      </c>
      <c r="N336" s="12">
        <v>0</v>
      </c>
      <c r="O336" s="11">
        <f>IF(I336&lt;&gt;"",DATA!C335,"")</f>
        <v>13.4</v>
      </c>
      <c r="P336" s="2">
        <v>294094</v>
      </c>
      <c r="Q336" s="2" t="s">
        <v>1304</v>
      </c>
      <c r="R336" s="2" t="s">
        <v>1312</v>
      </c>
      <c r="S336" s="2">
        <v>572</v>
      </c>
      <c r="T336" s="2">
        <v>1</v>
      </c>
      <c r="U336" s="2" t="s">
        <v>141</v>
      </c>
      <c r="Y336" s="2">
        <v>1700</v>
      </c>
      <c r="Z336" s="11" t="s">
        <v>54</v>
      </c>
      <c r="AA336" s="11" t="str">
        <f t="shared" si="25"/>
        <v>1700 - TBN</v>
      </c>
      <c r="AC336" s="2" t="s">
        <v>145</v>
      </c>
      <c r="AD336" s="11" t="str">
        <f>IF($I336&lt;&gt;"",VLOOKUP($AC336,GEADRESSEERDE!$A$2:$E$4,2,),"")</f>
        <v>LUITHAGEN HAVEN 2 D</v>
      </c>
      <c r="AE336" s="11">
        <f>IF($I336&lt;&gt;"",VLOOKUP($AC336,GEADRESSEERDE!$A$2:$E$4,3,),"")</f>
        <v>2030</v>
      </c>
      <c r="AF336" s="11" t="str">
        <f>IF($I336&lt;&gt;"",VLOOKUP($AC336,GEADRESSEERDE!$A$2:$E$4,4,),"")</f>
        <v>ANTWERPEN</v>
      </c>
      <c r="AG336" s="11" t="str">
        <f>IF($I336&lt;&gt;"",VLOOKUP($AC336,GEADRESSEERDE!$A$2:$E$4,5,),"")</f>
        <v>BE</v>
      </c>
      <c r="AH336" s="11" t="str">
        <f>IF(I336&lt;&gt;"",VLOOKUP(AP336,KvB!$A$2:$B$3,2,FALSE),"")</f>
        <v>BE101000</v>
      </c>
      <c r="AI336" s="11" t="s">
        <v>55</v>
      </c>
      <c r="AJ336" s="11"/>
      <c r="AK336" s="11"/>
      <c r="AL336" s="11"/>
      <c r="AM336" s="11"/>
      <c r="AN336" s="11"/>
      <c r="AO336" s="11"/>
      <c r="AP336" s="2" t="s">
        <v>70</v>
      </c>
      <c r="AQ336" s="11" t="str">
        <f>IF(I336&lt;&gt;"",DATA!D335,"")</f>
        <v>8419400090</v>
      </c>
    </row>
    <row r="337" spans="1:43" ht="15.75" x14ac:dyDescent="0.25">
      <c r="A337" s="11" t="s">
        <v>57</v>
      </c>
      <c r="B337" s="11" t="s">
        <v>56</v>
      </c>
      <c r="C337" s="22">
        <f t="shared" si="26"/>
        <v>25001620</v>
      </c>
      <c r="D337" s="11" t="str">
        <f t="shared" si="23"/>
        <v>SKIIFM_AT</v>
      </c>
      <c r="E337" s="11" t="str">
        <f>IF(I337&lt;&gt;"",VLOOKUP(F337,OPDRACHTGEVER!$A$2:$B$4,2,FALSE),"")</f>
        <v>SKIIFM_AT</v>
      </c>
      <c r="F337" s="11" t="s">
        <v>58</v>
      </c>
      <c r="I337" s="11" t="str">
        <f>IF(DATA!B336&lt;&gt;"",DATA!B336,"")</f>
        <v>UETU6903211</v>
      </c>
      <c r="J337" s="12">
        <v>0</v>
      </c>
      <c r="K337" s="11" t="s">
        <v>53</v>
      </c>
      <c r="L337" s="11" t="str">
        <f t="shared" si="24"/>
        <v>920600</v>
      </c>
      <c r="M337" s="11" t="str">
        <f>IF(I337&lt;&gt;"",DATA!E336,"")</f>
        <v>ELECTRONIC DRUM</v>
      </c>
      <c r="N337" s="12">
        <v>0</v>
      </c>
      <c r="O337" s="11">
        <f>IF(I337&lt;&gt;"",DATA!C336,"")</f>
        <v>70.8</v>
      </c>
      <c r="P337" s="2">
        <v>294094</v>
      </c>
      <c r="Q337" s="2" t="s">
        <v>1304</v>
      </c>
      <c r="R337" s="2" t="s">
        <v>1312</v>
      </c>
      <c r="S337" s="2">
        <v>572</v>
      </c>
      <c r="T337" s="2">
        <v>1</v>
      </c>
      <c r="U337" s="2" t="s">
        <v>141</v>
      </c>
      <c r="Y337" s="2">
        <v>1700</v>
      </c>
      <c r="Z337" s="11" t="s">
        <v>54</v>
      </c>
      <c r="AA337" s="11" t="str">
        <f t="shared" si="25"/>
        <v>1700 - TBN</v>
      </c>
      <c r="AC337" s="2" t="s">
        <v>145</v>
      </c>
      <c r="AD337" s="11" t="str">
        <f>IF($I337&lt;&gt;"",VLOOKUP($AC337,GEADRESSEERDE!$A$2:$E$4,2,),"")</f>
        <v>LUITHAGEN HAVEN 2 D</v>
      </c>
      <c r="AE337" s="11">
        <f>IF($I337&lt;&gt;"",VLOOKUP($AC337,GEADRESSEERDE!$A$2:$E$4,3,),"")</f>
        <v>2030</v>
      </c>
      <c r="AF337" s="11" t="str">
        <f>IF($I337&lt;&gt;"",VLOOKUP($AC337,GEADRESSEERDE!$A$2:$E$4,4,),"")</f>
        <v>ANTWERPEN</v>
      </c>
      <c r="AG337" s="11" t="str">
        <f>IF($I337&lt;&gt;"",VLOOKUP($AC337,GEADRESSEERDE!$A$2:$E$4,5,),"")</f>
        <v>BE</v>
      </c>
      <c r="AH337" s="11" t="str">
        <f>IF(I337&lt;&gt;"",VLOOKUP(AP337,KvB!$A$2:$B$3,2,FALSE),"")</f>
        <v>BE101000</v>
      </c>
      <c r="AI337" s="11" t="s">
        <v>55</v>
      </c>
      <c r="AJ337" s="11"/>
      <c r="AK337" s="11"/>
      <c r="AL337" s="11"/>
      <c r="AM337" s="11"/>
      <c r="AN337" s="11"/>
      <c r="AO337" s="11"/>
      <c r="AP337" s="2" t="s">
        <v>70</v>
      </c>
      <c r="AQ337" s="11" t="str">
        <f>IF(I337&lt;&gt;"",DATA!D336,"")</f>
        <v>9206000000</v>
      </c>
    </row>
    <row r="338" spans="1:43" ht="15.75" x14ac:dyDescent="0.25">
      <c r="A338" s="11" t="s">
        <v>57</v>
      </c>
      <c r="B338" s="11" t="s">
        <v>56</v>
      </c>
      <c r="C338" s="22">
        <f t="shared" si="26"/>
        <v>25001620</v>
      </c>
      <c r="D338" s="11" t="str">
        <f t="shared" si="23"/>
        <v>SKIIFM_AT</v>
      </c>
      <c r="E338" s="11" t="str">
        <f>IF(I338&lt;&gt;"",VLOOKUP(F338,OPDRACHTGEVER!$A$2:$B$4,2,FALSE),"")</f>
        <v>SKIIFM_AT</v>
      </c>
      <c r="F338" s="11" t="s">
        <v>58</v>
      </c>
      <c r="I338" s="11" t="str">
        <f>IF(DATA!B337&lt;&gt;"",DATA!B337,"")</f>
        <v>UETU6903211</v>
      </c>
      <c r="J338" s="12">
        <v>0</v>
      </c>
      <c r="K338" s="11" t="s">
        <v>53</v>
      </c>
      <c r="L338" s="11" t="str">
        <f t="shared" si="24"/>
        <v>846729</v>
      </c>
      <c r="M338" s="11" t="str">
        <f>IF(I338&lt;&gt;"",DATA!E337,"")</f>
        <v>FOAM CUTTING MACHINE</v>
      </c>
      <c r="N338" s="12">
        <v>0</v>
      </c>
      <c r="O338" s="11">
        <f>IF(I338&lt;&gt;"",DATA!C337,"")</f>
        <v>43.2</v>
      </c>
      <c r="P338" s="2">
        <v>294094</v>
      </c>
      <c r="Q338" s="2" t="s">
        <v>1304</v>
      </c>
      <c r="R338" s="2" t="s">
        <v>1312</v>
      </c>
      <c r="S338" s="2">
        <v>572</v>
      </c>
      <c r="T338" s="2">
        <v>1</v>
      </c>
      <c r="U338" s="2" t="s">
        <v>141</v>
      </c>
      <c r="Y338" s="2">
        <v>1700</v>
      </c>
      <c r="Z338" s="11" t="s">
        <v>54</v>
      </c>
      <c r="AA338" s="11" t="str">
        <f t="shared" si="25"/>
        <v>1700 - TBN</v>
      </c>
      <c r="AC338" s="2" t="s">
        <v>145</v>
      </c>
      <c r="AD338" s="11" t="str">
        <f>IF($I338&lt;&gt;"",VLOOKUP($AC338,GEADRESSEERDE!$A$2:$E$4,2,),"")</f>
        <v>LUITHAGEN HAVEN 2 D</v>
      </c>
      <c r="AE338" s="11">
        <f>IF($I338&lt;&gt;"",VLOOKUP($AC338,GEADRESSEERDE!$A$2:$E$4,3,),"")</f>
        <v>2030</v>
      </c>
      <c r="AF338" s="11" t="str">
        <f>IF($I338&lt;&gt;"",VLOOKUP($AC338,GEADRESSEERDE!$A$2:$E$4,4,),"")</f>
        <v>ANTWERPEN</v>
      </c>
      <c r="AG338" s="11" t="str">
        <f>IF($I338&lt;&gt;"",VLOOKUP($AC338,GEADRESSEERDE!$A$2:$E$4,5,),"")</f>
        <v>BE</v>
      </c>
      <c r="AH338" s="11" t="str">
        <f>IF(I338&lt;&gt;"",VLOOKUP(AP338,KvB!$A$2:$B$3,2,FALSE),"")</f>
        <v>BE101000</v>
      </c>
      <c r="AI338" s="11" t="s">
        <v>55</v>
      </c>
      <c r="AJ338" s="11"/>
      <c r="AK338" s="11"/>
      <c r="AL338" s="11"/>
      <c r="AM338" s="11"/>
      <c r="AN338" s="11"/>
      <c r="AO338" s="11"/>
      <c r="AP338" s="2" t="s">
        <v>70</v>
      </c>
      <c r="AQ338" s="11" t="str">
        <f>IF(I338&lt;&gt;"",DATA!D337,"")</f>
        <v>8467295900</v>
      </c>
    </row>
    <row r="339" spans="1:43" ht="15.75" x14ac:dyDescent="0.25">
      <c r="A339" s="11" t="s">
        <v>57</v>
      </c>
      <c r="B339" s="11" t="s">
        <v>56</v>
      </c>
      <c r="C339" s="22">
        <f t="shared" si="26"/>
        <v>25001620</v>
      </c>
      <c r="D339" s="11" t="str">
        <f t="shared" si="23"/>
        <v>SKIIFM_AT</v>
      </c>
      <c r="E339" s="11" t="str">
        <f>IF(I339&lt;&gt;"",VLOOKUP(F339,OPDRACHTGEVER!$A$2:$B$4,2,FALSE),"")</f>
        <v>SKIIFM_AT</v>
      </c>
      <c r="F339" s="11" t="s">
        <v>58</v>
      </c>
      <c r="I339" s="11" t="str">
        <f>IF(DATA!B338&lt;&gt;"",DATA!B338,"")</f>
        <v>UETU6903211</v>
      </c>
      <c r="J339" s="12">
        <v>0</v>
      </c>
      <c r="K339" s="11" t="s">
        <v>53</v>
      </c>
      <c r="L339" s="11" t="str">
        <f t="shared" si="24"/>
        <v>660110</v>
      </c>
      <c r="M339" s="11" t="str">
        <f>IF(I339&lt;&gt;"",DATA!E338,"")</f>
        <v>FOLDING AWNING</v>
      </c>
      <c r="N339" s="12">
        <v>0</v>
      </c>
      <c r="O339" s="11">
        <f>IF(I339&lt;&gt;"",DATA!C338,"")</f>
        <v>284.39999999999998</v>
      </c>
      <c r="P339" s="2">
        <v>294094</v>
      </c>
      <c r="Q339" s="2" t="s">
        <v>1304</v>
      </c>
      <c r="R339" s="2" t="s">
        <v>1312</v>
      </c>
      <c r="S339" s="2">
        <v>572</v>
      </c>
      <c r="T339" s="2">
        <v>1</v>
      </c>
      <c r="U339" s="2" t="s">
        <v>141</v>
      </c>
      <c r="Y339" s="2">
        <v>1700</v>
      </c>
      <c r="Z339" s="11" t="s">
        <v>54</v>
      </c>
      <c r="AA339" s="11" t="str">
        <f t="shared" si="25"/>
        <v>1700 - TBN</v>
      </c>
      <c r="AC339" s="2" t="s">
        <v>145</v>
      </c>
      <c r="AD339" s="11" t="str">
        <f>IF($I339&lt;&gt;"",VLOOKUP($AC339,GEADRESSEERDE!$A$2:$E$4,2,),"")</f>
        <v>LUITHAGEN HAVEN 2 D</v>
      </c>
      <c r="AE339" s="11">
        <f>IF($I339&lt;&gt;"",VLOOKUP($AC339,GEADRESSEERDE!$A$2:$E$4,3,),"")</f>
        <v>2030</v>
      </c>
      <c r="AF339" s="11" t="str">
        <f>IF($I339&lt;&gt;"",VLOOKUP($AC339,GEADRESSEERDE!$A$2:$E$4,4,),"")</f>
        <v>ANTWERPEN</v>
      </c>
      <c r="AG339" s="11" t="str">
        <f>IF($I339&lt;&gt;"",VLOOKUP($AC339,GEADRESSEERDE!$A$2:$E$4,5,),"")</f>
        <v>BE</v>
      </c>
      <c r="AH339" s="11" t="str">
        <f>IF(I339&lt;&gt;"",VLOOKUP(AP339,KvB!$A$2:$B$3,2,FALSE),"")</f>
        <v>BE101000</v>
      </c>
      <c r="AI339" s="11" t="s">
        <v>55</v>
      </c>
      <c r="AJ339" s="11"/>
      <c r="AK339" s="11"/>
      <c r="AL339" s="11"/>
      <c r="AM339" s="11"/>
      <c r="AN339" s="11"/>
      <c r="AO339" s="11"/>
      <c r="AP339" s="2" t="s">
        <v>70</v>
      </c>
      <c r="AQ339" s="11" t="str">
        <f>IF(I339&lt;&gt;"",DATA!D338,"")</f>
        <v>6601100000</v>
      </c>
    </row>
    <row r="340" spans="1:43" ht="15.75" x14ac:dyDescent="0.25">
      <c r="A340" s="11" t="s">
        <v>57</v>
      </c>
      <c r="B340" s="11" t="s">
        <v>56</v>
      </c>
      <c r="C340" s="22">
        <f t="shared" si="26"/>
        <v>25001620</v>
      </c>
      <c r="D340" s="11" t="str">
        <f t="shared" si="23"/>
        <v>SKIIFM_AT</v>
      </c>
      <c r="E340" s="11" t="str">
        <f>IF(I340&lt;&gt;"",VLOOKUP(F340,OPDRACHTGEVER!$A$2:$B$4,2,FALSE),"")</f>
        <v>SKIIFM_AT</v>
      </c>
      <c r="F340" s="11" t="s">
        <v>58</v>
      </c>
      <c r="I340" s="11" t="str">
        <f>IF(DATA!B339&lt;&gt;"",DATA!B339,"")</f>
        <v>UETU6903211</v>
      </c>
      <c r="J340" s="12">
        <v>0</v>
      </c>
      <c r="K340" s="11" t="s">
        <v>53</v>
      </c>
      <c r="L340" s="11" t="str">
        <f t="shared" si="24"/>
        <v>851660</v>
      </c>
      <c r="M340" s="11" t="str">
        <f>IF(I340&lt;&gt;"",DATA!E339,"")</f>
        <v>FOOD DRYING MACHINE</v>
      </c>
      <c r="N340" s="12">
        <v>0</v>
      </c>
      <c r="O340" s="11">
        <f>IF(I340&lt;&gt;"",DATA!C339,"")</f>
        <v>57.4</v>
      </c>
      <c r="P340" s="2">
        <v>294094</v>
      </c>
      <c r="Q340" s="2" t="s">
        <v>1304</v>
      </c>
      <c r="R340" s="2" t="s">
        <v>1312</v>
      </c>
      <c r="S340" s="2">
        <v>572</v>
      </c>
      <c r="T340" s="2">
        <v>1</v>
      </c>
      <c r="U340" s="2" t="s">
        <v>141</v>
      </c>
      <c r="Y340" s="2">
        <v>1700</v>
      </c>
      <c r="Z340" s="11" t="s">
        <v>54</v>
      </c>
      <c r="AA340" s="11" t="str">
        <f t="shared" si="25"/>
        <v>1700 - TBN</v>
      </c>
      <c r="AC340" s="2" t="s">
        <v>145</v>
      </c>
      <c r="AD340" s="11" t="str">
        <f>IF($I340&lt;&gt;"",VLOOKUP($AC340,GEADRESSEERDE!$A$2:$E$4,2,),"")</f>
        <v>LUITHAGEN HAVEN 2 D</v>
      </c>
      <c r="AE340" s="11">
        <f>IF($I340&lt;&gt;"",VLOOKUP($AC340,GEADRESSEERDE!$A$2:$E$4,3,),"")</f>
        <v>2030</v>
      </c>
      <c r="AF340" s="11" t="str">
        <f>IF($I340&lt;&gt;"",VLOOKUP($AC340,GEADRESSEERDE!$A$2:$E$4,4,),"")</f>
        <v>ANTWERPEN</v>
      </c>
      <c r="AG340" s="11" t="str">
        <f>IF($I340&lt;&gt;"",VLOOKUP($AC340,GEADRESSEERDE!$A$2:$E$4,5,),"")</f>
        <v>BE</v>
      </c>
      <c r="AH340" s="11" t="str">
        <f>IF(I340&lt;&gt;"",VLOOKUP(AP340,KvB!$A$2:$B$3,2,FALSE),"")</f>
        <v>BE101000</v>
      </c>
      <c r="AI340" s="11" t="s">
        <v>55</v>
      </c>
      <c r="AJ340" s="11"/>
      <c r="AK340" s="11"/>
      <c r="AL340" s="11"/>
      <c r="AM340" s="11"/>
      <c r="AN340" s="11"/>
      <c r="AO340" s="11"/>
      <c r="AP340" s="2" t="s">
        <v>70</v>
      </c>
      <c r="AQ340" s="11" t="str">
        <f>IF(I340&lt;&gt;"",DATA!D339,"")</f>
        <v>8516609000</v>
      </c>
    </row>
    <row r="341" spans="1:43" ht="15.75" x14ac:dyDescent="0.25">
      <c r="A341" s="11" t="s">
        <v>57</v>
      </c>
      <c r="B341" s="11" t="s">
        <v>56</v>
      </c>
      <c r="C341" s="22">
        <f t="shared" si="26"/>
        <v>25001620</v>
      </c>
      <c r="D341" s="11" t="str">
        <f t="shared" si="23"/>
        <v>SKIIFM_AT</v>
      </c>
      <c r="E341" s="11" t="str">
        <f>IF(I341&lt;&gt;"",VLOOKUP(F341,OPDRACHTGEVER!$A$2:$B$4,2,FALSE),"")</f>
        <v>SKIIFM_AT</v>
      </c>
      <c r="F341" s="11" t="s">
        <v>58</v>
      </c>
      <c r="I341" s="11" t="str">
        <f>IF(DATA!B340&lt;&gt;"",DATA!B340,"")</f>
        <v>UETU6903211</v>
      </c>
      <c r="J341" s="12">
        <v>0</v>
      </c>
      <c r="K341" s="11" t="s">
        <v>53</v>
      </c>
      <c r="L341" s="11" t="str">
        <f t="shared" si="24"/>
        <v>741920</v>
      </c>
      <c r="M341" s="11" t="str">
        <f>IF(I341&lt;&gt;"",DATA!E340,"")</f>
        <v>GARAGE SHELF</v>
      </c>
      <c r="N341" s="12">
        <v>0</v>
      </c>
      <c r="O341" s="11">
        <f>IF(I341&lt;&gt;"",DATA!C340,"")</f>
        <v>80.8</v>
      </c>
      <c r="P341" s="2">
        <v>294094</v>
      </c>
      <c r="Q341" s="2" t="s">
        <v>1304</v>
      </c>
      <c r="R341" s="2" t="s">
        <v>1312</v>
      </c>
      <c r="S341" s="2">
        <v>572</v>
      </c>
      <c r="T341" s="2">
        <v>1</v>
      </c>
      <c r="U341" s="2" t="s">
        <v>141</v>
      </c>
      <c r="Y341" s="2">
        <v>1700</v>
      </c>
      <c r="Z341" s="11" t="s">
        <v>54</v>
      </c>
      <c r="AA341" s="11" t="str">
        <f t="shared" si="25"/>
        <v>1700 - TBN</v>
      </c>
      <c r="AC341" s="2" t="s">
        <v>145</v>
      </c>
      <c r="AD341" s="11" t="str">
        <f>IF($I341&lt;&gt;"",VLOOKUP($AC341,GEADRESSEERDE!$A$2:$E$4,2,),"")</f>
        <v>LUITHAGEN HAVEN 2 D</v>
      </c>
      <c r="AE341" s="11">
        <f>IF($I341&lt;&gt;"",VLOOKUP($AC341,GEADRESSEERDE!$A$2:$E$4,3,),"")</f>
        <v>2030</v>
      </c>
      <c r="AF341" s="11" t="str">
        <f>IF($I341&lt;&gt;"",VLOOKUP($AC341,GEADRESSEERDE!$A$2:$E$4,4,),"")</f>
        <v>ANTWERPEN</v>
      </c>
      <c r="AG341" s="11" t="str">
        <f>IF($I341&lt;&gt;"",VLOOKUP($AC341,GEADRESSEERDE!$A$2:$E$4,5,),"")</f>
        <v>BE</v>
      </c>
      <c r="AH341" s="11" t="str">
        <f>IF(I341&lt;&gt;"",VLOOKUP(AP341,KvB!$A$2:$B$3,2,FALSE),"")</f>
        <v>BE101000</v>
      </c>
      <c r="AI341" s="11" t="s">
        <v>55</v>
      </c>
      <c r="AJ341" s="11"/>
      <c r="AK341" s="11"/>
      <c r="AL341" s="11"/>
      <c r="AM341" s="11"/>
      <c r="AN341" s="11"/>
      <c r="AO341" s="11"/>
      <c r="AP341" s="2" t="s">
        <v>70</v>
      </c>
      <c r="AQ341" s="11" t="str">
        <f>IF(I341&lt;&gt;"",DATA!D340,"")</f>
        <v>7419200090</v>
      </c>
    </row>
    <row r="342" spans="1:43" ht="15.75" x14ac:dyDescent="0.25">
      <c r="A342" s="11" t="s">
        <v>57</v>
      </c>
      <c r="B342" s="11" t="s">
        <v>56</v>
      </c>
      <c r="C342" s="22">
        <f t="shared" si="26"/>
        <v>25001620</v>
      </c>
      <c r="D342" s="11" t="str">
        <f t="shared" si="23"/>
        <v>SKIIFM_AT</v>
      </c>
      <c r="E342" s="11" t="str">
        <f>IF(I342&lt;&gt;"",VLOOKUP(F342,OPDRACHTGEVER!$A$2:$B$4,2,FALSE),"")</f>
        <v>SKIIFM_AT</v>
      </c>
      <c r="F342" s="11" t="s">
        <v>58</v>
      </c>
      <c r="I342" s="11" t="str">
        <f>IF(DATA!B341&lt;&gt;"",DATA!B341,"")</f>
        <v>UETU6903211</v>
      </c>
      <c r="J342" s="12">
        <v>0</v>
      </c>
      <c r="K342" s="11" t="s">
        <v>53</v>
      </c>
      <c r="L342" s="11" t="str">
        <f t="shared" si="24"/>
        <v>741920</v>
      </c>
      <c r="M342" s="11" t="str">
        <f>IF(I342&lt;&gt;"",DATA!E341,"")</f>
        <v>HANDRAIL</v>
      </c>
      <c r="N342" s="12">
        <v>0</v>
      </c>
      <c r="O342" s="11">
        <f>IF(I342&lt;&gt;"",DATA!C341,"")</f>
        <v>115.6</v>
      </c>
      <c r="P342" s="2">
        <v>294094</v>
      </c>
      <c r="Q342" s="2" t="s">
        <v>1304</v>
      </c>
      <c r="R342" s="2" t="s">
        <v>1312</v>
      </c>
      <c r="S342" s="2">
        <v>572</v>
      </c>
      <c r="T342" s="2">
        <v>1</v>
      </c>
      <c r="U342" s="2" t="s">
        <v>141</v>
      </c>
      <c r="Y342" s="2">
        <v>1700</v>
      </c>
      <c r="Z342" s="11" t="s">
        <v>54</v>
      </c>
      <c r="AA342" s="11" t="str">
        <f t="shared" si="25"/>
        <v>1700 - TBN</v>
      </c>
      <c r="AC342" s="2" t="s">
        <v>145</v>
      </c>
      <c r="AD342" s="11" t="str">
        <f>IF($I342&lt;&gt;"",VLOOKUP($AC342,GEADRESSEERDE!$A$2:$E$4,2,),"")</f>
        <v>LUITHAGEN HAVEN 2 D</v>
      </c>
      <c r="AE342" s="11">
        <f>IF($I342&lt;&gt;"",VLOOKUP($AC342,GEADRESSEERDE!$A$2:$E$4,3,),"")</f>
        <v>2030</v>
      </c>
      <c r="AF342" s="11" t="str">
        <f>IF($I342&lt;&gt;"",VLOOKUP($AC342,GEADRESSEERDE!$A$2:$E$4,4,),"")</f>
        <v>ANTWERPEN</v>
      </c>
      <c r="AG342" s="11" t="str">
        <f>IF($I342&lt;&gt;"",VLOOKUP($AC342,GEADRESSEERDE!$A$2:$E$4,5,),"")</f>
        <v>BE</v>
      </c>
      <c r="AH342" s="11" t="str">
        <f>IF(I342&lt;&gt;"",VLOOKUP(AP342,KvB!$A$2:$B$3,2,FALSE),"")</f>
        <v>BE101000</v>
      </c>
      <c r="AI342" s="11" t="s">
        <v>55</v>
      </c>
      <c r="AJ342" s="11"/>
      <c r="AK342" s="11"/>
      <c r="AL342" s="11"/>
      <c r="AM342" s="11"/>
      <c r="AN342" s="11"/>
      <c r="AO342" s="11"/>
      <c r="AP342" s="2" t="s">
        <v>70</v>
      </c>
      <c r="AQ342" s="11" t="str">
        <f>IF(I342&lt;&gt;"",DATA!D341,"")</f>
        <v>7419200090</v>
      </c>
    </row>
    <row r="343" spans="1:43" ht="15.75" x14ac:dyDescent="0.25">
      <c r="A343" s="11" t="s">
        <v>57</v>
      </c>
      <c r="B343" s="11" t="s">
        <v>56</v>
      </c>
      <c r="C343" s="22">
        <f t="shared" si="26"/>
        <v>25001620</v>
      </c>
      <c r="D343" s="11" t="str">
        <f t="shared" si="23"/>
        <v>SKIIFM_AT</v>
      </c>
      <c r="E343" s="11" t="str">
        <f>IF(I343&lt;&gt;"",VLOOKUP(F343,OPDRACHTGEVER!$A$2:$B$4,2,FALSE),"")</f>
        <v>SKIIFM_AT</v>
      </c>
      <c r="F343" s="11" t="s">
        <v>58</v>
      </c>
      <c r="I343" s="11" t="str">
        <f>IF(DATA!B342&lt;&gt;"",DATA!B342,"")</f>
        <v>UETU6903211</v>
      </c>
      <c r="J343" s="12">
        <v>0</v>
      </c>
      <c r="K343" s="11" t="s">
        <v>53</v>
      </c>
      <c r="L343" s="11" t="str">
        <f t="shared" si="24"/>
        <v>841950</v>
      </c>
      <c r="M343" s="11" t="str">
        <f>IF(I343&lt;&gt;"",DATA!E342,"")</f>
        <v>HEAT EXCHANGER</v>
      </c>
      <c r="N343" s="12">
        <v>0</v>
      </c>
      <c r="O343" s="11">
        <f>IF(I343&lt;&gt;"",DATA!C342,"")</f>
        <v>49.5</v>
      </c>
      <c r="P343" s="2">
        <v>294094</v>
      </c>
      <c r="Q343" s="2" t="s">
        <v>1304</v>
      </c>
      <c r="R343" s="2" t="s">
        <v>1312</v>
      </c>
      <c r="S343" s="2">
        <v>572</v>
      </c>
      <c r="T343" s="2">
        <v>1</v>
      </c>
      <c r="U343" s="2" t="s">
        <v>141</v>
      </c>
      <c r="Y343" s="2">
        <v>1700</v>
      </c>
      <c r="Z343" s="11" t="s">
        <v>54</v>
      </c>
      <c r="AA343" s="11" t="str">
        <f t="shared" si="25"/>
        <v>1700 - TBN</v>
      </c>
      <c r="AC343" s="2" t="s">
        <v>145</v>
      </c>
      <c r="AD343" s="11" t="str">
        <f>IF($I343&lt;&gt;"",VLOOKUP($AC343,GEADRESSEERDE!$A$2:$E$4,2,),"")</f>
        <v>LUITHAGEN HAVEN 2 D</v>
      </c>
      <c r="AE343" s="11">
        <f>IF($I343&lt;&gt;"",VLOOKUP($AC343,GEADRESSEERDE!$A$2:$E$4,3,),"")</f>
        <v>2030</v>
      </c>
      <c r="AF343" s="11" t="str">
        <f>IF($I343&lt;&gt;"",VLOOKUP($AC343,GEADRESSEERDE!$A$2:$E$4,4,),"")</f>
        <v>ANTWERPEN</v>
      </c>
      <c r="AG343" s="11" t="str">
        <f>IF($I343&lt;&gt;"",VLOOKUP($AC343,GEADRESSEERDE!$A$2:$E$4,5,),"")</f>
        <v>BE</v>
      </c>
      <c r="AH343" s="11" t="str">
        <f>IF(I343&lt;&gt;"",VLOOKUP(AP343,KvB!$A$2:$B$3,2,FALSE),"")</f>
        <v>BE101000</v>
      </c>
      <c r="AI343" s="11" t="s">
        <v>55</v>
      </c>
      <c r="AJ343" s="11"/>
      <c r="AK343" s="11"/>
      <c r="AL343" s="11"/>
      <c r="AM343" s="11"/>
      <c r="AN343" s="11"/>
      <c r="AO343" s="11"/>
      <c r="AP343" s="2" t="s">
        <v>70</v>
      </c>
      <c r="AQ343" s="11" t="str">
        <f>IF(I343&lt;&gt;"",DATA!D342,"")</f>
        <v>8419508090</v>
      </c>
    </row>
    <row r="344" spans="1:43" ht="15.75" x14ac:dyDescent="0.25">
      <c r="A344" s="11" t="s">
        <v>57</v>
      </c>
      <c r="B344" s="11" t="s">
        <v>56</v>
      </c>
      <c r="C344" s="22">
        <f t="shared" si="26"/>
        <v>25001620</v>
      </c>
      <c r="D344" s="11" t="str">
        <f t="shared" si="23"/>
        <v>SKIIFM_AT</v>
      </c>
      <c r="E344" s="11" t="str">
        <f>IF(I344&lt;&gt;"",VLOOKUP(F344,OPDRACHTGEVER!$A$2:$B$4,2,FALSE),"")</f>
        <v>SKIIFM_AT</v>
      </c>
      <c r="F344" s="11" t="s">
        <v>58</v>
      </c>
      <c r="I344" s="11" t="str">
        <f>IF(DATA!B343&lt;&gt;"",DATA!B343,"")</f>
        <v>UETU6903211</v>
      </c>
      <c r="J344" s="12">
        <v>0</v>
      </c>
      <c r="K344" s="11" t="s">
        <v>53</v>
      </c>
      <c r="L344" s="11" t="str">
        <f t="shared" si="24"/>
        <v>847989</v>
      </c>
      <c r="M344" s="11" t="str">
        <f>IF(I344&lt;&gt;"",DATA!E343,"")</f>
        <v>INJECTOR CLEANER</v>
      </c>
      <c r="N344" s="12">
        <v>0</v>
      </c>
      <c r="O344" s="11">
        <f>IF(I344&lt;&gt;"",DATA!C343,"")</f>
        <v>70.400000000000006</v>
      </c>
      <c r="P344" s="2">
        <v>294094</v>
      </c>
      <c r="Q344" s="2" t="s">
        <v>1304</v>
      </c>
      <c r="R344" s="2" t="s">
        <v>1312</v>
      </c>
      <c r="S344" s="2">
        <v>572</v>
      </c>
      <c r="T344" s="2">
        <v>1</v>
      </c>
      <c r="U344" s="2" t="s">
        <v>141</v>
      </c>
      <c r="Y344" s="2">
        <v>1700</v>
      </c>
      <c r="Z344" s="11" t="s">
        <v>54</v>
      </c>
      <c r="AA344" s="11" t="str">
        <f t="shared" si="25"/>
        <v>1700 - TBN</v>
      </c>
      <c r="AC344" s="2" t="s">
        <v>145</v>
      </c>
      <c r="AD344" s="11" t="str">
        <f>IF($I344&lt;&gt;"",VLOOKUP($AC344,GEADRESSEERDE!$A$2:$E$4,2,),"")</f>
        <v>LUITHAGEN HAVEN 2 D</v>
      </c>
      <c r="AE344" s="11">
        <f>IF($I344&lt;&gt;"",VLOOKUP($AC344,GEADRESSEERDE!$A$2:$E$4,3,),"")</f>
        <v>2030</v>
      </c>
      <c r="AF344" s="11" t="str">
        <f>IF($I344&lt;&gt;"",VLOOKUP($AC344,GEADRESSEERDE!$A$2:$E$4,4,),"")</f>
        <v>ANTWERPEN</v>
      </c>
      <c r="AG344" s="11" t="str">
        <f>IF($I344&lt;&gt;"",VLOOKUP($AC344,GEADRESSEERDE!$A$2:$E$4,5,),"")</f>
        <v>BE</v>
      </c>
      <c r="AH344" s="11" t="str">
        <f>IF(I344&lt;&gt;"",VLOOKUP(AP344,KvB!$A$2:$B$3,2,FALSE),"")</f>
        <v>BE101000</v>
      </c>
      <c r="AI344" s="11" t="s">
        <v>55</v>
      </c>
      <c r="AJ344" s="11"/>
      <c r="AK344" s="11"/>
      <c r="AL344" s="11"/>
      <c r="AM344" s="11"/>
      <c r="AN344" s="11"/>
      <c r="AO344" s="11"/>
      <c r="AP344" s="2" t="s">
        <v>70</v>
      </c>
      <c r="AQ344" s="11" t="str">
        <f>IF(I344&lt;&gt;"",DATA!D343,"")</f>
        <v>8479899790</v>
      </c>
    </row>
    <row r="345" spans="1:43" ht="15.75" x14ac:dyDescent="0.25">
      <c r="A345" s="11" t="s">
        <v>57</v>
      </c>
      <c r="B345" s="11" t="s">
        <v>56</v>
      </c>
      <c r="C345" s="22">
        <f t="shared" si="26"/>
        <v>25001620</v>
      </c>
      <c r="D345" s="11" t="str">
        <f t="shared" si="23"/>
        <v>SKIIFM_AT</v>
      </c>
      <c r="E345" s="11" t="str">
        <f>IF(I345&lt;&gt;"",VLOOKUP(F345,OPDRACHTGEVER!$A$2:$B$4,2,FALSE),"")</f>
        <v>SKIIFM_AT</v>
      </c>
      <c r="F345" s="11" t="s">
        <v>58</v>
      </c>
      <c r="I345" s="11" t="str">
        <f>IF(DATA!B344&lt;&gt;"",DATA!B344,"")</f>
        <v>UETU6903211</v>
      </c>
      <c r="J345" s="12">
        <v>0</v>
      </c>
      <c r="K345" s="11" t="s">
        <v>53</v>
      </c>
      <c r="L345" s="11" t="str">
        <f t="shared" si="24"/>
        <v>401691</v>
      </c>
      <c r="M345" s="11" t="str">
        <f>IF(I345&lt;&gt;"",DATA!E344,"")</f>
        <v>INSULATING COTTON</v>
      </c>
      <c r="N345" s="12">
        <v>0</v>
      </c>
      <c r="O345" s="11">
        <f>IF(I345&lt;&gt;"",DATA!C344,"")</f>
        <v>184.5</v>
      </c>
      <c r="P345" s="2">
        <v>294094</v>
      </c>
      <c r="Q345" s="2" t="s">
        <v>1304</v>
      </c>
      <c r="R345" s="2" t="s">
        <v>1312</v>
      </c>
      <c r="S345" s="2">
        <v>572</v>
      </c>
      <c r="T345" s="2">
        <v>1</v>
      </c>
      <c r="U345" s="2" t="s">
        <v>141</v>
      </c>
      <c r="Y345" s="2">
        <v>1700</v>
      </c>
      <c r="Z345" s="11" t="s">
        <v>54</v>
      </c>
      <c r="AA345" s="11" t="str">
        <f t="shared" si="25"/>
        <v>1700 - TBN</v>
      </c>
      <c r="AC345" s="2" t="s">
        <v>145</v>
      </c>
      <c r="AD345" s="11" t="str">
        <f>IF($I345&lt;&gt;"",VLOOKUP($AC345,GEADRESSEERDE!$A$2:$E$4,2,),"")</f>
        <v>LUITHAGEN HAVEN 2 D</v>
      </c>
      <c r="AE345" s="11">
        <f>IF($I345&lt;&gt;"",VLOOKUP($AC345,GEADRESSEERDE!$A$2:$E$4,3,),"")</f>
        <v>2030</v>
      </c>
      <c r="AF345" s="11" t="str">
        <f>IF($I345&lt;&gt;"",VLOOKUP($AC345,GEADRESSEERDE!$A$2:$E$4,4,),"")</f>
        <v>ANTWERPEN</v>
      </c>
      <c r="AG345" s="11" t="str">
        <f>IF($I345&lt;&gt;"",VLOOKUP($AC345,GEADRESSEERDE!$A$2:$E$4,5,),"")</f>
        <v>BE</v>
      </c>
      <c r="AH345" s="11" t="str">
        <f>IF(I345&lt;&gt;"",VLOOKUP(AP345,KvB!$A$2:$B$3,2,FALSE),"")</f>
        <v>BE101000</v>
      </c>
      <c r="AI345" s="11" t="s">
        <v>55</v>
      </c>
      <c r="AJ345" s="11"/>
      <c r="AK345" s="11"/>
      <c r="AL345" s="11"/>
      <c r="AM345" s="11"/>
      <c r="AN345" s="11"/>
      <c r="AO345" s="11"/>
      <c r="AP345" s="2" t="s">
        <v>70</v>
      </c>
      <c r="AQ345" s="11" t="str">
        <f>IF(I345&lt;&gt;"",DATA!D344,"")</f>
        <v>4016910000</v>
      </c>
    </row>
    <row r="346" spans="1:43" ht="15.75" x14ac:dyDescent="0.25">
      <c r="A346" s="11" t="s">
        <v>57</v>
      </c>
      <c r="B346" s="11" t="s">
        <v>56</v>
      </c>
      <c r="C346" s="22">
        <f t="shared" si="26"/>
        <v>25001620</v>
      </c>
      <c r="D346" s="11" t="str">
        <f t="shared" si="23"/>
        <v>SKIIFM_AT</v>
      </c>
      <c r="E346" s="11" t="str">
        <f>IF(I346&lt;&gt;"",VLOOKUP(F346,OPDRACHTGEVER!$A$2:$B$4,2,FALSE),"")</f>
        <v>SKIIFM_AT</v>
      </c>
      <c r="F346" s="11" t="s">
        <v>58</v>
      </c>
      <c r="I346" s="11" t="str">
        <f>IF(DATA!B345&lt;&gt;"",DATA!B345,"")</f>
        <v>UETU6903211</v>
      </c>
      <c r="J346" s="12">
        <v>0</v>
      </c>
      <c r="K346" s="11" t="s">
        <v>53</v>
      </c>
      <c r="L346" s="11" t="str">
        <f t="shared" si="24"/>
        <v>392690</v>
      </c>
      <c r="M346" s="11" t="str">
        <f>IF(I346&lt;&gt;"",DATA!E345,"")</f>
        <v>LOCKING ON BOTH SIDES RAISED TOILET SEAT</v>
      </c>
      <c r="N346" s="12">
        <v>0</v>
      </c>
      <c r="O346" s="11">
        <f>IF(I346&lt;&gt;"",DATA!C345,"")</f>
        <v>23.8</v>
      </c>
      <c r="P346" s="2">
        <v>294094</v>
      </c>
      <c r="Q346" s="2" t="s">
        <v>1304</v>
      </c>
      <c r="R346" s="2" t="s">
        <v>1312</v>
      </c>
      <c r="S346" s="2">
        <v>572</v>
      </c>
      <c r="T346" s="2">
        <v>1</v>
      </c>
      <c r="U346" s="2" t="s">
        <v>141</v>
      </c>
      <c r="Y346" s="2">
        <v>1700</v>
      </c>
      <c r="Z346" s="11" t="s">
        <v>54</v>
      </c>
      <c r="AA346" s="11" t="str">
        <f t="shared" si="25"/>
        <v>1700 - TBN</v>
      </c>
      <c r="AC346" s="2" t="s">
        <v>145</v>
      </c>
      <c r="AD346" s="11" t="str">
        <f>IF($I346&lt;&gt;"",VLOOKUP($AC346,GEADRESSEERDE!$A$2:$E$4,2,),"")</f>
        <v>LUITHAGEN HAVEN 2 D</v>
      </c>
      <c r="AE346" s="11">
        <f>IF($I346&lt;&gt;"",VLOOKUP($AC346,GEADRESSEERDE!$A$2:$E$4,3,),"")</f>
        <v>2030</v>
      </c>
      <c r="AF346" s="11" t="str">
        <f>IF($I346&lt;&gt;"",VLOOKUP($AC346,GEADRESSEERDE!$A$2:$E$4,4,),"")</f>
        <v>ANTWERPEN</v>
      </c>
      <c r="AG346" s="11" t="str">
        <f>IF($I346&lt;&gt;"",VLOOKUP($AC346,GEADRESSEERDE!$A$2:$E$4,5,),"")</f>
        <v>BE</v>
      </c>
      <c r="AH346" s="11" t="str">
        <f>IF(I346&lt;&gt;"",VLOOKUP(AP346,KvB!$A$2:$B$3,2,FALSE),"")</f>
        <v>BE101000</v>
      </c>
      <c r="AI346" s="11" t="s">
        <v>55</v>
      </c>
      <c r="AJ346" s="11"/>
      <c r="AK346" s="11"/>
      <c r="AL346" s="11"/>
      <c r="AM346" s="11"/>
      <c r="AN346" s="11"/>
      <c r="AO346" s="11"/>
      <c r="AP346" s="2" t="s">
        <v>70</v>
      </c>
      <c r="AQ346" s="11" t="str">
        <f>IF(I346&lt;&gt;"",DATA!D345,"")</f>
        <v>3926909790</v>
      </c>
    </row>
    <row r="347" spans="1:43" ht="15.75" x14ac:dyDescent="0.25">
      <c r="A347" s="11" t="s">
        <v>57</v>
      </c>
      <c r="B347" s="11" t="s">
        <v>56</v>
      </c>
      <c r="C347" s="22">
        <f t="shared" si="26"/>
        <v>25001620</v>
      </c>
      <c r="D347" s="11" t="str">
        <f t="shared" si="23"/>
        <v>SKIIFM_AT</v>
      </c>
      <c r="E347" s="11" t="str">
        <f>IF(I347&lt;&gt;"",VLOOKUP(F347,OPDRACHTGEVER!$A$2:$B$4,2,FALSE),"")</f>
        <v>SKIIFM_AT</v>
      </c>
      <c r="F347" s="11" t="s">
        <v>58</v>
      </c>
      <c r="I347" s="11" t="str">
        <f>IF(DATA!B346&lt;&gt;"",DATA!B346,"")</f>
        <v>UETU6903211</v>
      </c>
      <c r="J347" s="12">
        <v>0</v>
      </c>
      <c r="K347" s="11" t="s">
        <v>53</v>
      </c>
      <c r="L347" s="11" t="str">
        <f t="shared" si="24"/>
        <v>741920</v>
      </c>
      <c r="M347" s="11" t="str">
        <f>IF(I347&lt;&gt;"",DATA!E346,"")</f>
        <v>METAL ART DRYING RACK</v>
      </c>
      <c r="N347" s="12">
        <v>0</v>
      </c>
      <c r="O347" s="11">
        <f>IF(I347&lt;&gt;"",DATA!C346,"")</f>
        <v>317.39999999999998</v>
      </c>
      <c r="P347" s="2">
        <v>294094</v>
      </c>
      <c r="Q347" s="2" t="s">
        <v>1304</v>
      </c>
      <c r="R347" s="2" t="s">
        <v>1312</v>
      </c>
      <c r="S347" s="2">
        <v>572</v>
      </c>
      <c r="T347" s="2">
        <v>1</v>
      </c>
      <c r="U347" s="2" t="s">
        <v>141</v>
      </c>
      <c r="Y347" s="2">
        <v>1700</v>
      </c>
      <c r="Z347" s="11" t="s">
        <v>54</v>
      </c>
      <c r="AA347" s="11" t="str">
        <f t="shared" si="25"/>
        <v>1700 - TBN</v>
      </c>
      <c r="AC347" s="2" t="s">
        <v>145</v>
      </c>
      <c r="AD347" s="11" t="str">
        <f>IF($I347&lt;&gt;"",VLOOKUP($AC347,GEADRESSEERDE!$A$2:$E$4,2,),"")</f>
        <v>LUITHAGEN HAVEN 2 D</v>
      </c>
      <c r="AE347" s="11">
        <f>IF($I347&lt;&gt;"",VLOOKUP($AC347,GEADRESSEERDE!$A$2:$E$4,3,),"")</f>
        <v>2030</v>
      </c>
      <c r="AF347" s="11" t="str">
        <f>IF($I347&lt;&gt;"",VLOOKUP($AC347,GEADRESSEERDE!$A$2:$E$4,4,),"")</f>
        <v>ANTWERPEN</v>
      </c>
      <c r="AG347" s="11" t="str">
        <f>IF($I347&lt;&gt;"",VLOOKUP($AC347,GEADRESSEERDE!$A$2:$E$4,5,),"")</f>
        <v>BE</v>
      </c>
      <c r="AH347" s="11" t="str">
        <f>IF(I347&lt;&gt;"",VLOOKUP(AP347,KvB!$A$2:$B$3,2,FALSE),"")</f>
        <v>BE101000</v>
      </c>
      <c r="AI347" s="11" t="s">
        <v>55</v>
      </c>
      <c r="AJ347" s="11"/>
      <c r="AK347" s="11"/>
      <c r="AL347" s="11"/>
      <c r="AM347" s="11"/>
      <c r="AN347" s="11"/>
      <c r="AO347" s="11"/>
      <c r="AP347" s="2" t="s">
        <v>70</v>
      </c>
      <c r="AQ347" s="11" t="str">
        <f>IF(I347&lt;&gt;"",DATA!D346,"")</f>
        <v>7419200090</v>
      </c>
    </row>
    <row r="348" spans="1:43" ht="15.75" x14ac:dyDescent="0.25">
      <c r="A348" s="11" t="s">
        <v>57</v>
      </c>
      <c r="B348" s="11" t="s">
        <v>56</v>
      </c>
      <c r="C348" s="22">
        <f t="shared" si="26"/>
        <v>25001620</v>
      </c>
      <c r="D348" s="11" t="str">
        <f t="shared" si="23"/>
        <v>SKIIFM_AT</v>
      </c>
      <c r="E348" s="11" t="str">
        <f>IF(I348&lt;&gt;"",VLOOKUP(F348,OPDRACHTGEVER!$A$2:$B$4,2,FALSE),"")</f>
        <v>SKIIFM_AT</v>
      </c>
      <c r="F348" s="11" t="s">
        <v>58</v>
      </c>
      <c r="I348" s="11" t="str">
        <f>IF(DATA!B347&lt;&gt;"",DATA!B347,"")</f>
        <v>UETU6903211</v>
      </c>
      <c r="J348" s="12">
        <v>0</v>
      </c>
      <c r="K348" s="11" t="s">
        <v>53</v>
      </c>
      <c r="L348" s="11" t="str">
        <f t="shared" si="24"/>
        <v>741920</v>
      </c>
      <c r="M348" s="11" t="str">
        <f>IF(I348&lt;&gt;"",DATA!E347,"")</f>
        <v>PLANTING BED</v>
      </c>
      <c r="N348" s="12">
        <v>0</v>
      </c>
      <c r="O348" s="11">
        <f>IF(I348&lt;&gt;"",DATA!C347,"")</f>
        <v>264</v>
      </c>
      <c r="P348" s="2">
        <v>294094</v>
      </c>
      <c r="Q348" s="2" t="s">
        <v>1304</v>
      </c>
      <c r="R348" s="2" t="s">
        <v>1312</v>
      </c>
      <c r="S348" s="2">
        <v>572</v>
      </c>
      <c r="T348" s="2">
        <v>1</v>
      </c>
      <c r="U348" s="2" t="s">
        <v>141</v>
      </c>
      <c r="Y348" s="2">
        <v>1700</v>
      </c>
      <c r="Z348" s="11" t="s">
        <v>54</v>
      </c>
      <c r="AA348" s="11" t="str">
        <f t="shared" si="25"/>
        <v>1700 - TBN</v>
      </c>
      <c r="AC348" s="2" t="s">
        <v>145</v>
      </c>
      <c r="AD348" s="11" t="str">
        <f>IF($I348&lt;&gt;"",VLOOKUP($AC348,GEADRESSEERDE!$A$2:$E$4,2,),"")</f>
        <v>LUITHAGEN HAVEN 2 D</v>
      </c>
      <c r="AE348" s="11">
        <f>IF($I348&lt;&gt;"",VLOOKUP($AC348,GEADRESSEERDE!$A$2:$E$4,3,),"")</f>
        <v>2030</v>
      </c>
      <c r="AF348" s="11" t="str">
        <f>IF($I348&lt;&gt;"",VLOOKUP($AC348,GEADRESSEERDE!$A$2:$E$4,4,),"")</f>
        <v>ANTWERPEN</v>
      </c>
      <c r="AG348" s="11" t="str">
        <f>IF($I348&lt;&gt;"",VLOOKUP($AC348,GEADRESSEERDE!$A$2:$E$4,5,),"")</f>
        <v>BE</v>
      </c>
      <c r="AH348" s="11" t="str">
        <f>IF(I348&lt;&gt;"",VLOOKUP(AP348,KvB!$A$2:$B$3,2,FALSE),"")</f>
        <v>BE101000</v>
      </c>
      <c r="AI348" s="11" t="s">
        <v>55</v>
      </c>
      <c r="AJ348" s="11"/>
      <c r="AK348" s="11"/>
      <c r="AL348" s="11"/>
      <c r="AM348" s="11"/>
      <c r="AN348" s="11"/>
      <c r="AO348" s="11"/>
      <c r="AP348" s="2" t="s">
        <v>70</v>
      </c>
      <c r="AQ348" s="11" t="str">
        <f>IF(I348&lt;&gt;"",DATA!D347,"")</f>
        <v>7419200090</v>
      </c>
    </row>
    <row r="349" spans="1:43" ht="15.75" x14ac:dyDescent="0.25">
      <c r="A349" s="11" t="s">
        <v>57</v>
      </c>
      <c r="B349" s="11" t="s">
        <v>56</v>
      </c>
      <c r="C349" s="22">
        <f t="shared" si="26"/>
        <v>25001620</v>
      </c>
      <c r="D349" s="11" t="str">
        <f t="shared" si="23"/>
        <v>SKIIFM_AT</v>
      </c>
      <c r="E349" s="11" t="str">
        <f>IF(I349&lt;&gt;"",VLOOKUP(F349,OPDRACHTGEVER!$A$2:$B$4,2,FALSE),"")</f>
        <v>SKIIFM_AT</v>
      </c>
      <c r="F349" s="11" t="s">
        <v>58</v>
      </c>
      <c r="I349" s="11" t="str">
        <f>IF(DATA!B348&lt;&gt;"",DATA!B348,"")</f>
        <v>UETU6903211</v>
      </c>
      <c r="J349" s="12">
        <v>0</v>
      </c>
      <c r="K349" s="11" t="s">
        <v>53</v>
      </c>
      <c r="L349" s="11" t="str">
        <f t="shared" si="24"/>
        <v>741920</v>
      </c>
      <c r="M349" s="11" t="str">
        <f>IF(I349&lt;&gt;"",DATA!E348,"")</f>
        <v>QUEUE LINE PROTECT</v>
      </c>
      <c r="N349" s="12">
        <v>0</v>
      </c>
      <c r="O349" s="11">
        <f>IF(I349&lt;&gt;"",DATA!C348,"")</f>
        <v>2391</v>
      </c>
      <c r="P349" s="2">
        <v>294094</v>
      </c>
      <c r="Q349" s="2" t="s">
        <v>1304</v>
      </c>
      <c r="R349" s="2" t="s">
        <v>1312</v>
      </c>
      <c r="S349" s="2">
        <v>572</v>
      </c>
      <c r="T349" s="2">
        <v>1</v>
      </c>
      <c r="U349" s="2" t="s">
        <v>141</v>
      </c>
      <c r="Y349" s="2">
        <v>1700</v>
      </c>
      <c r="Z349" s="11" t="s">
        <v>54</v>
      </c>
      <c r="AA349" s="11" t="str">
        <f t="shared" si="25"/>
        <v>1700 - TBN</v>
      </c>
      <c r="AC349" s="2" t="s">
        <v>145</v>
      </c>
      <c r="AD349" s="11" t="str">
        <f>IF($I349&lt;&gt;"",VLOOKUP($AC349,GEADRESSEERDE!$A$2:$E$4,2,),"")</f>
        <v>LUITHAGEN HAVEN 2 D</v>
      </c>
      <c r="AE349" s="11">
        <f>IF($I349&lt;&gt;"",VLOOKUP($AC349,GEADRESSEERDE!$A$2:$E$4,3,),"")</f>
        <v>2030</v>
      </c>
      <c r="AF349" s="11" t="str">
        <f>IF($I349&lt;&gt;"",VLOOKUP($AC349,GEADRESSEERDE!$A$2:$E$4,4,),"")</f>
        <v>ANTWERPEN</v>
      </c>
      <c r="AG349" s="11" t="str">
        <f>IF($I349&lt;&gt;"",VLOOKUP($AC349,GEADRESSEERDE!$A$2:$E$4,5,),"")</f>
        <v>BE</v>
      </c>
      <c r="AH349" s="11" t="str">
        <f>IF(I349&lt;&gt;"",VLOOKUP(AP349,KvB!$A$2:$B$3,2,FALSE),"")</f>
        <v>BE101000</v>
      </c>
      <c r="AI349" s="11" t="s">
        <v>55</v>
      </c>
      <c r="AJ349" s="11"/>
      <c r="AK349" s="11"/>
      <c r="AL349" s="11"/>
      <c r="AM349" s="11"/>
      <c r="AN349" s="11"/>
      <c r="AO349" s="11"/>
      <c r="AP349" s="2" t="s">
        <v>70</v>
      </c>
      <c r="AQ349" s="11" t="str">
        <f>IF(I349&lt;&gt;"",DATA!D348,"")</f>
        <v>7419200090</v>
      </c>
    </row>
    <row r="350" spans="1:43" ht="15.75" x14ac:dyDescent="0.25">
      <c r="A350" s="11" t="s">
        <v>57</v>
      </c>
      <c r="B350" s="11" t="s">
        <v>56</v>
      </c>
      <c r="C350" s="22">
        <f t="shared" si="26"/>
        <v>25001620</v>
      </c>
      <c r="D350" s="11" t="str">
        <f t="shared" si="23"/>
        <v>SKIIFM_AT</v>
      </c>
      <c r="E350" s="11" t="str">
        <f>IF(I350&lt;&gt;"",VLOOKUP(F350,OPDRACHTGEVER!$A$2:$B$4,2,FALSE),"")</f>
        <v>SKIIFM_AT</v>
      </c>
      <c r="F350" s="11" t="s">
        <v>58</v>
      </c>
      <c r="I350" s="11" t="str">
        <f>IF(DATA!B349&lt;&gt;"",DATA!B349,"")</f>
        <v>UETU6903211</v>
      </c>
      <c r="J350" s="12">
        <v>0</v>
      </c>
      <c r="K350" s="11" t="s">
        <v>53</v>
      </c>
      <c r="L350" s="11" t="str">
        <f t="shared" si="24"/>
        <v>871680</v>
      </c>
      <c r="M350" s="11" t="str">
        <f>IF(I350&lt;&gt;"",DATA!E349,"")</f>
        <v>SHEET MATERIAL TROLLEY</v>
      </c>
      <c r="N350" s="12">
        <v>0</v>
      </c>
      <c r="O350" s="11">
        <f>IF(I350&lt;&gt;"",DATA!C349,"")</f>
        <v>101.2</v>
      </c>
      <c r="P350" s="2">
        <v>294094</v>
      </c>
      <c r="Q350" s="2" t="s">
        <v>1304</v>
      </c>
      <c r="R350" s="2" t="s">
        <v>1312</v>
      </c>
      <c r="S350" s="2">
        <v>572</v>
      </c>
      <c r="T350" s="2">
        <v>1</v>
      </c>
      <c r="U350" s="2" t="s">
        <v>141</v>
      </c>
      <c r="Y350" s="2">
        <v>1700</v>
      </c>
      <c r="Z350" s="11" t="s">
        <v>54</v>
      </c>
      <c r="AA350" s="11" t="str">
        <f t="shared" si="25"/>
        <v>1700 - TBN</v>
      </c>
      <c r="AC350" s="2" t="s">
        <v>145</v>
      </c>
      <c r="AD350" s="11" t="str">
        <f>IF($I350&lt;&gt;"",VLOOKUP($AC350,GEADRESSEERDE!$A$2:$E$4,2,),"")</f>
        <v>LUITHAGEN HAVEN 2 D</v>
      </c>
      <c r="AE350" s="11">
        <f>IF($I350&lt;&gt;"",VLOOKUP($AC350,GEADRESSEERDE!$A$2:$E$4,3,),"")</f>
        <v>2030</v>
      </c>
      <c r="AF350" s="11" t="str">
        <f>IF($I350&lt;&gt;"",VLOOKUP($AC350,GEADRESSEERDE!$A$2:$E$4,4,),"")</f>
        <v>ANTWERPEN</v>
      </c>
      <c r="AG350" s="11" t="str">
        <f>IF($I350&lt;&gt;"",VLOOKUP($AC350,GEADRESSEERDE!$A$2:$E$4,5,),"")</f>
        <v>BE</v>
      </c>
      <c r="AH350" s="11" t="str">
        <f>IF(I350&lt;&gt;"",VLOOKUP(AP350,KvB!$A$2:$B$3,2,FALSE),"")</f>
        <v>BE101000</v>
      </c>
      <c r="AI350" s="11" t="s">
        <v>55</v>
      </c>
      <c r="AJ350" s="11"/>
      <c r="AK350" s="11"/>
      <c r="AL350" s="11"/>
      <c r="AM350" s="11"/>
      <c r="AN350" s="11"/>
      <c r="AO350" s="11"/>
      <c r="AP350" s="2" t="s">
        <v>70</v>
      </c>
      <c r="AQ350" s="11" t="str">
        <f>IF(I350&lt;&gt;"",DATA!D349,"")</f>
        <v>8716800000</v>
      </c>
    </row>
    <row r="351" spans="1:43" ht="15.75" x14ac:dyDescent="0.25">
      <c r="A351" s="11" t="s">
        <v>57</v>
      </c>
      <c r="B351" s="11" t="s">
        <v>56</v>
      </c>
      <c r="C351" s="22">
        <f t="shared" si="26"/>
        <v>25001620</v>
      </c>
      <c r="D351" s="11" t="str">
        <f t="shared" si="23"/>
        <v>SKIIFM_AT</v>
      </c>
      <c r="E351" s="11" t="str">
        <f>IF(I351&lt;&gt;"",VLOOKUP(F351,OPDRACHTGEVER!$A$2:$B$4,2,FALSE),"")</f>
        <v>SKIIFM_AT</v>
      </c>
      <c r="F351" s="11" t="s">
        <v>58</v>
      </c>
      <c r="I351" s="11" t="str">
        <f>IF(DATA!B350&lt;&gt;"",DATA!B350,"")</f>
        <v>UETU6903211</v>
      </c>
      <c r="J351" s="12">
        <v>0</v>
      </c>
      <c r="K351" s="11" t="s">
        <v>53</v>
      </c>
      <c r="L351" s="11" t="str">
        <f t="shared" si="24"/>
        <v>741920</v>
      </c>
      <c r="M351" s="11" t="str">
        <f>IF(I351&lt;&gt;"",DATA!E350,"")</f>
        <v>CHAFING DISH</v>
      </c>
      <c r="N351" s="12">
        <v>0</v>
      </c>
      <c r="O351" s="11">
        <f>IF(I351&lt;&gt;"",DATA!C350,"")</f>
        <v>155.30000000000001</v>
      </c>
      <c r="P351" s="2">
        <v>294094</v>
      </c>
      <c r="Q351" s="2" t="s">
        <v>1304</v>
      </c>
      <c r="R351" s="2" t="s">
        <v>1312</v>
      </c>
      <c r="S351" s="2">
        <v>572</v>
      </c>
      <c r="T351" s="2">
        <v>1</v>
      </c>
      <c r="U351" s="2" t="s">
        <v>141</v>
      </c>
      <c r="Y351" s="2">
        <v>1700</v>
      </c>
      <c r="Z351" s="11" t="s">
        <v>54</v>
      </c>
      <c r="AA351" s="11" t="str">
        <f t="shared" si="25"/>
        <v>1700 - TBN</v>
      </c>
      <c r="AC351" s="2" t="s">
        <v>145</v>
      </c>
      <c r="AD351" s="11" t="str">
        <f>IF($I351&lt;&gt;"",VLOOKUP($AC351,GEADRESSEERDE!$A$2:$E$4,2,),"")</f>
        <v>LUITHAGEN HAVEN 2 D</v>
      </c>
      <c r="AE351" s="11">
        <f>IF($I351&lt;&gt;"",VLOOKUP($AC351,GEADRESSEERDE!$A$2:$E$4,3,),"")</f>
        <v>2030</v>
      </c>
      <c r="AF351" s="11" t="str">
        <f>IF($I351&lt;&gt;"",VLOOKUP($AC351,GEADRESSEERDE!$A$2:$E$4,4,),"")</f>
        <v>ANTWERPEN</v>
      </c>
      <c r="AG351" s="11" t="str">
        <f>IF($I351&lt;&gt;"",VLOOKUP($AC351,GEADRESSEERDE!$A$2:$E$4,5,),"")</f>
        <v>BE</v>
      </c>
      <c r="AH351" s="11" t="str">
        <f>IF(I351&lt;&gt;"",VLOOKUP(AP351,KvB!$A$2:$B$3,2,FALSE),"")</f>
        <v>BE101000</v>
      </c>
      <c r="AI351" s="11" t="s">
        <v>55</v>
      </c>
      <c r="AJ351" s="11"/>
      <c r="AK351" s="11"/>
      <c r="AL351" s="11"/>
      <c r="AM351" s="11"/>
      <c r="AN351" s="11"/>
      <c r="AO351" s="11"/>
      <c r="AP351" s="2" t="s">
        <v>70</v>
      </c>
      <c r="AQ351" s="11" t="str">
        <f>IF(I351&lt;&gt;"",DATA!D350,"")</f>
        <v>7419200090</v>
      </c>
    </row>
    <row r="352" spans="1:43" ht="15.75" x14ac:dyDescent="0.25">
      <c r="A352" s="11" t="s">
        <v>57</v>
      </c>
      <c r="B352" s="11" t="s">
        <v>56</v>
      </c>
      <c r="C352" s="22">
        <f t="shared" si="26"/>
        <v>25001620</v>
      </c>
      <c r="D352" s="11" t="str">
        <f t="shared" si="23"/>
        <v>SKIIFM_AT</v>
      </c>
      <c r="E352" s="11" t="str">
        <f>IF(I352&lt;&gt;"",VLOOKUP(F352,OPDRACHTGEVER!$A$2:$B$4,2,FALSE),"")</f>
        <v>SKIIFM_AT</v>
      </c>
      <c r="F352" s="11" t="s">
        <v>58</v>
      </c>
      <c r="I352" s="11" t="str">
        <f>IF(DATA!B351&lt;&gt;"",DATA!B351,"")</f>
        <v>UETU6903211</v>
      </c>
      <c r="J352" s="12">
        <v>0</v>
      </c>
      <c r="K352" s="11" t="s">
        <v>53</v>
      </c>
      <c r="L352" s="11" t="str">
        <f t="shared" si="24"/>
        <v>940399</v>
      </c>
      <c r="M352" s="11" t="str">
        <f>IF(I352&lt;&gt;"",DATA!E351,"")</f>
        <v>DOOR</v>
      </c>
      <c r="N352" s="12">
        <v>0</v>
      </c>
      <c r="O352" s="11">
        <f>IF(I352&lt;&gt;"",DATA!C351,"")</f>
        <v>136.72</v>
      </c>
      <c r="P352" s="2">
        <v>294094</v>
      </c>
      <c r="Q352" s="2" t="s">
        <v>1304</v>
      </c>
      <c r="R352" s="2" t="s">
        <v>1312</v>
      </c>
      <c r="S352" s="2">
        <v>572</v>
      </c>
      <c r="T352" s="2">
        <v>1</v>
      </c>
      <c r="U352" s="2" t="s">
        <v>141</v>
      </c>
      <c r="Y352" s="2">
        <v>1700</v>
      </c>
      <c r="Z352" s="11" t="s">
        <v>54</v>
      </c>
      <c r="AA352" s="11" t="str">
        <f t="shared" si="25"/>
        <v>1700 - TBN</v>
      </c>
      <c r="AC352" s="2" t="s">
        <v>145</v>
      </c>
      <c r="AD352" s="11" t="str">
        <f>IF($I352&lt;&gt;"",VLOOKUP($AC352,GEADRESSEERDE!$A$2:$E$4,2,),"")</f>
        <v>LUITHAGEN HAVEN 2 D</v>
      </c>
      <c r="AE352" s="11">
        <f>IF($I352&lt;&gt;"",VLOOKUP($AC352,GEADRESSEERDE!$A$2:$E$4,3,),"")</f>
        <v>2030</v>
      </c>
      <c r="AF352" s="11" t="str">
        <f>IF($I352&lt;&gt;"",VLOOKUP($AC352,GEADRESSEERDE!$A$2:$E$4,4,),"")</f>
        <v>ANTWERPEN</v>
      </c>
      <c r="AG352" s="11" t="str">
        <f>IF($I352&lt;&gt;"",VLOOKUP($AC352,GEADRESSEERDE!$A$2:$E$4,5,),"")</f>
        <v>BE</v>
      </c>
      <c r="AH352" s="11" t="str">
        <f>IF(I352&lt;&gt;"",VLOOKUP(AP352,KvB!$A$2:$B$3,2,FALSE),"")</f>
        <v>BE101000</v>
      </c>
      <c r="AI352" s="11" t="s">
        <v>55</v>
      </c>
      <c r="AJ352" s="11"/>
      <c r="AK352" s="11"/>
      <c r="AL352" s="11"/>
      <c r="AM352" s="11"/>
      <c r="AN352" s="11"/>
      <c r="AO352" s="11"/>
      <c r="AP352" s="2" t="s">
        <v>70</v>
      </c>
      <c r="AQ352" s="11" t="str">
        <f>IF(I352&lt;&gt;"",DATA!D351,"")</f>
        <v>9403999090</v>
      </c>
    </row>
    <row r="353" spans="1:43" ht="15.75" x14ac:dyDescent="0.25">
      <c r="A353" s="11" t="s">
        <v>57</v>
      </c>
      <c r="B353" s="11" t="s">
        <v>56</v>
      </c>
      <c r="C353" s="22">
        <f t="shared" si="26"/>
        <v>25001620</v>
      </c>
      <c r="D353" s="11" t="str">
        <f t="shared" si="23"/>
        <v>SKIIFM_AT</v>
      </c>
      <c r="E353" s="11" t="str">
        <f>IF(I353&lt;&gt;"",VLOOKUP(F353,OPDRACHTGEVER!$A$2:$B$4,2,FALSE),"")</f>
        <v>SKIIFM_AT</v>
      </c>
      <c r="F353" s="11" t="s">
        <v>58</v>
      </c>
      <c r="I353" s="11" t="str">
        <f>IF(DATA!B352&lt;&gt;"",DATA!B352,"")</f>
        <v>UETU6903211</v>
      </c>
      <c r="J353" s="12">
        <v>0</v>
      </c>
      <c r="K353" s="11" t="s">
        <v>53</v>
      </c>
      <c r="L353" s="11" t="str">
        <f t="shared" si="24"/>
        <v>741920</v>
      </c>
      <c r="M353" s="11" t="str">
        <f>IF(I353&lt;&gt;"",DATA!E352,"")</f>
        <v>TOILET ARMREST</v>
      </c>
      <c r="N353" s="12">
        <v>0</v>
      </c>
      <c r="O353" s="11">
        <f>IF(I353&lt;&gt;"",DATA!C352,"")</f>
        <v>138.1</v>
      </c>
      <c r="P353" s="2">
        <v>294094</v>
      </c>
      <c r="Q353" s="2" t="s">
        <v>1304</v>
      </c>
      <c r="R353" s="2" t="s">
        <v>1312</v>
      </c>
      <c r="S353" s="2">
        <v>572</v>
      </c>
      <c r="T353" s="2">
        <v>1</v>
      </c>
      <c r="U353" s="2" t="s">
        <v>141</v>
      </c>
      <c r="Y353" s="2">
        <v>1700</v>
      </c>
      <c r="Z353" s="11" t="s">
        <v>54</v>
      </c>
      <c r="AA353" s="11" t="str">
        <f t="shared" si="25"/>
        <v>1700 - TBN</v>
      </c>
      <c r="AC353" s="2" t="s">
        <v>145</v>
      </c>
      <c r="AD353" s="11" t="str">
        <f>IF($I353&lt;&gt;"",VLOOKUP($AC353,GEADRESSEERDE!$A$2:$E$4,2,),"")</f>
        <v>LUITHAGEN HAVEN 2 D</v>
      </c>
      <c r="AE353" s="11">
        <f>IF($I353&lt;&gt;"",VLOOKUP($AC353,GEADRESSEERDE!$A$2:$E$4,3,),"")</f>
        <v>2030</v>
      </c>
      <c r="AF353" s="11" t="str">
        <f>IF($I353&lt;&gt;"",VLOOKUP($AC353,GEADRESSEERDE!$A$2:$E$4,4,),"")</f>
        <v>ANTWERPEN</v>
      </c>
      <c r="AG353" s="11" t="str">
        <f>IF($I353&lt;&gt;"",VLOOKUP($AC353,GEADRESSEERDE!$A$2:$E$4,5,),"")</f>
        <v>BE</v>
      </c>
      <c r="AH353" s="11" t="str">
        <f>IF(I353&lt;&gt;"",VLOOKUP(AP353,KvB!$A$2:$B$3,2,FALSE),"")</f>
        <v>BE101000</v>
      </c>
      <c r="AI353" s="11" t="s">
        <v>55</v>
      </c>
      <c r="AJ353" s="11"/>
      <c r="AK353" s="11"/>
      <c r="AL353" s="11"/>
      <c r="AM353" s="11"/>
      <c r="AN353" s="11"/>
      <c r="AO353" s="11"/>
      <c r="AP353" s="2" t="s">
        <v>70</v>
      </c>
      <c r="AQ353" s="11" t="str">
        <f>IF(I353&lt;&gt;"",DATA!D352,"")</f>
        <v>7419200090</v>
      </c>
    </row>
    <row r="354" spans="1:43" ht="15.75" x14ac:dyDescent="0.25">
      <c r="A354" s="11" t="s">
        <v>57</v>
      </c>
      <c r="B354" s="11" t="s">
        <v>56</v>
      </c>
      <c r="C354" s="22">
        <f t="shared" si="26"/>
        <v>25001620</v>
      </c>
      <c r="D354" s="11" t="str">
        <f t="shared" si="23"/>
        <v>SKIIFM_AT</v>
      </c>
      <c r="E354" s="11" t="str">
        <f>IF(I354&lt;&gt;"",VLOOKUP(F354,OPDRACHTGEVER!$A$2:$B$4,2,FALSE),"")</f>
        <v>SKIIFM_AT</v>
      </c>
      <c r="F354" s="11" t="s">
        <v>58</v>
      </c>
      <c r="I354" s="11" t="str">
        <f>IF(DATA!B353&lt;&gt;"",DATA!B353,"")</f>
        <v>UETU6903211</v>
      </c>
      <c r="J354" s="12">
        <v>0</v>
      </c>
      <c r="K354" s="11" t="s">
        <v>53</v>
      </c>
      <c r="L354" s="11" t="str">
        <f t="shared" si="24"/>
        <v>660200</v>
      </c>
      <c r="M354" s="11" t="str">
        <f>IF(I354&lt;&gt;"",DATA!E353,"")</f>
        <v>TRADITIONAL WALKER</v>
      </c>
      <c r="N354" s="12">
        <v>0</v>
      </c>
      <c r="O354" s="11">
        <f>IF(I354&lt;&gt;"",DATA!C353,"")</f>
        <v>88.3</v>
      </c>
      <c r="P354" s="2">
        <v>294094</v>
      </c>
      <c r="Q354" s="2" t="s">
        <v>1304</v>
      </c>
      <c r="R354" s="2" t="s">
        <v>1312</v>
      </c>
      <c r="S354" s="2">
        <v>572</v>
      </c>
      <c r="T354" s="2">
        <v>1</v>
      </c>
      <c r="U354" s="2" t="s">
        <v>141</v>
      </c>
      <c r="Y354" s="2">
        <v>1700</v>
      </c>
      <c r="Z354" s="11" t="s">
        <v>54</v>
      </c>
      <c r="AA354" s="11" t="str">
        <f t="shared" si="25"/>
        <v>1700 - TBN</v>
      </c>
      <c r="AC354" s="2" t="s">
        <v>145</v>
      </c>
      <c r="AD354" s="11" t="str">
        <f>IF($I354&lt;&gt;"",VLOOKUP($AC354,GEADRESSEERDE!$A$2:$E$4,2,),"")</f>
        <v>LUITHAGEN HAVEN 2 D</v>
      </c>
      <c r="AE354" s="11">
        <f>IF($I354&lt;&gt;"",VLOOKUP($AC354,GEADRESSEERDE!$A$2:$E$4,3,),"")</f>
        <v>2030</v>
      </c>
      <c r="AF354" s="11" t="str">
        <f>IF($I354&lt;&gt;"",VLOOKUP($AC354,GEADRESSEERDE!$A$2:$E$4,4,),"")</f>
        <v>ANTWERPEN</v>
      </c>
      <c r="AG354" s="11" t="str">
        <f>IF($I354&lt;&gt;"",VLOOKUP($AC354,GEADRESSEERDE!$A$2:$E$4,5,),"")</f>
        <v>BE</v>
      </c>
      <c r="AH354" s="11" t="str">
        <f>IF(I354&lt;&gt;"",VLOOKUP(AP354,KvB!$A$2:$B$3,2,FALSE),"")</f>
        <v>BE101000</v>
      </c>
      <c r="AI354" s="11" t="s">
        <v>55</v>
      </c>
      <c r="AJ354" s="11"/>
      <c r="AK354" s="11"/>
      <c r="AL354" s="11"/>
      <c r="AM354" s="11"/>
      <c r="AN354" s="11"/>
      <c r="AO354" s="11"/>
      <c r="AP354" s="2" t="s">
        <v>70</v>
      </c>
      <c r="AQ354" s="11" t="str">
        <f>IF(I354&lt;&gt;"",DATA!D353,"")</f>
        <v>6602000090</v>
      </c>
    </row>
    <row r="355" spans="1:43" ht="15.75" x14ac:dyDescent="0.25">
      <c r="A355" s="11" t="s">
        <v>57</v>
      </c>
      <c r="B355" s="11" t="s">
        <v>56</v>
      </c>
      <c r="C355" s="22">
        <f t="shared" si="26"/>
        <v>25001620</v>
      </c>
      <c r="D355" s="11" t="str">
        <f t="shared" si="23"/>
        <v>SKIIFM_AT</v>
      </c>
      <c r="E355" s="11" t="str">
        <f>IF(I355&lt;&gt;"",VLOOKUP(F355,OPDRACHTGEVER!$A$2:$B$4,2,FALSE),"")</f>
        <v>SKIIFM_AT</v>
      </c>
      <c r="F355" s="11" t="s">
        <v>58</v>
      </c>
      <c r="I355" s="11" t="str">
        <f>IF(DATA!B354&lt;&gt;"",DATA!B354,"")</f>
        <v>UETU6903211</v>
      </c>
      <c r="J355" s="12">
        <v>0</v>
      </c>
      <c r="K355" s="11" t="s">
        <v>53</v>
      </c>
      <c r="L355" s="11" t="str">
        <f t="shared" si="24"/>
        <v>940320</v>
      </c>
      <c r="M355" s="11" t="str">
        <f>IF(I355&lt;&gt;"",DATA!E354,"")</f>
        <v>TV BRACKET</v>
      </c>
      <c r="N355" s="12">
        <v>0</v>
      </c>
      <c r="O355" s="11">
        <f>IF(I355&lt;&gt;"",DATA!C354,"")</f>
        <v>221.1</v>
      </c>
      <c r="P355" s="2">
        <v>294094</v>
      </c>
      <c r="Q355" s="2" t="s">
        <v>1304</v>
      </c>
      <c r="R355" s="2" t="s">
        <v>1312</v>
      </c>
      <c r="S355" s="2">
        <v>572</v>
      </c>
      <c r="T355" s="2">
        <v>1</v>
      </c>
      <c r="U355" s="2" t="s">
        <v>141</v>
      </c>
      <c r="Y355" s="2">
        <v>1700</v>
      </c>
      <c r="Z355" s="11" t="s">
        <v>54</v>
      </c>
      <c r="AA355" s="11" t="str">
        <f t="shared" si="25"/>
        <v>1700 - TBN</v>
      </c>
      <c r="AC355" s="2" t="s">
        <v>145</v>
      </c>
      <c r="AD355" s="11" t="str">
        <f>IF($I355&lt;&gt;"",VLOOKUP($AC355,GEADRESSEERDE!$A$2:$E$4,2,),"")</f>
        <v>LUITHAGEN HAVEN 2 D</v>
      </c>
      <c r="AE355" s="11">
        <f>IF($I355&lt;&gt;"",VLOOKUP($AC355,GEADRESSEERDE!$A$2:$E$4,3,),"")</f>
        <v>2030</v>
      </c>
      <c r="AF355" s="11" t="str">
        <f>IF($I355&lt;&gt;"",VLOOKUP($AC355,GEADRESSEERDE!$A$2:$E$4,4,),"")</f>
        <v>ANTWERPEN</v>
      </c>
      <c r="AG355" s="11" t="str">
        <f>IF($I355&lt;&gt;"",VLOOKUP($AC355,GEADRESSEERDE!$A$2:$E$4,5,),"")</f>
        <v>BE</v>
      </c>
      <c r="AH355" s="11" t="str">
        <f>IF(I355&lt;&gt;"",VLOOKUP(AP355,KvB!$A$2:$B$3,2,FALSE),"")</f>
        <v>BE101000</v>
      </c>
      <c r="AI355" s="11" t="s">
        <v>55</v>
      </c>
      <c r="AJ355" s="11"/>
      <c r="AK355" s="11"/>
      <c r="AL355" s="11"/>
      <c r="AM355" s="11"/>
      <c r="AN355" s="11"/>
      <c r="AO355" s="11"/>
      <c r="AP355" s="2" t="s">
        <v>70</v>
      </c>
      <c r="AQ355" s="11" t="str">
        <f>IF(I355&lt;&gt;"",DATA!D354,"")</f>
        <v>9403208000</v>
      </c>
    </row>
    <row r="356" spans="1:43" ht="15.75" x14ac:dyDescent="0.25">
      <c r="A356" s="11" t="s">
        <v>57</v>
      </c>
      <c r="B356" s="11" t="s">
        <v>56</v>
      </c>
      <c r="C356" s="22">
        <f t="shared" si="26"/>
        <v>25001620</v>
      </c>
      <c r="D356" s="11" t="str">
        <f t="shared" si="23"/>
        <v>SKIIFM_AT</v>
      </c>
      <c r="E356" s="11" t="str">
        <f>IF(I356&lt;&gt;"",VLOOKUP(F356,OPDRACHTGEVER!$A$2:$B$4,2,FALSE),"")</f>
        <v>SKIIFM_AT</v>
      </c>
      <c r="F356" s="11" t="s">
        <v>58</v>
      </c>
      <c r="I356" s="11" t="str">
        <f>IF(DATA!B355&lt;&gt;"",DATA!B355,"")</f>
        <v>UETU6903211</v>
      </c>
      <c r="J356" s="12">
        <v>0</v>
      </c>
      <c r="K356" s="11" t="s">
        <v>53</v>
      </c>
      <c r="L356" s="11" t="str">
        <f t="shared" si="24"/>
        <v>841830</v>
      </c>
      <c r="M356" s="11" t="str">
        <f>IF(I356&lt;&gt;"",DATA!E355,"")</f>
        <v>VEHICLE REFRIGERATOR</v>
      </c>
      <c r="N356" s="12">
        <v>0</v>
      </c>
      <c r="O356" s="11">
        <f>IF(I356&lt;&gt;"",DATA!C355,"")</f>
        <v>3890.5</v>
      </c>
      <c r="P356" s="2">
        <v>294094</v>
      </c>
      <c r="Q356" s="2" t="s">
        <v>1304</v>
      </c>
      <c r="R356" s="2" t="s">
        <v>1312</v>
      </c>
      <c r="S356" s="2">
        <v>572</v>
      </c>
      <c r="T356" s="2">
        <v>1</v>
      </c>
      <c r="U356" s="2" t="s">
        <v>141</v>
      </c>
      <c r="Y356" s="2">
        <v>1700</v>
      </c>
      <c r="Z356" s="11" t="s">
        <v>54</v>
      </c>
      <c r="AA356" s="11" t="str">
        <f t="shared" si="25"/>
        <v>1700 - TBN</v>
      </c>
      <c r="AC356" s="2" t="s">
        <v>145</v>
      </c>
      <c r="AD356" s="11" t="str">
        <f>IF($I356&lt;&gt;"",VLOOKUP($AC356,GEADRESSEERDE!$A$2:$E$4,2,),"")</f>
        <v>LUITHAGEN HAVEN 2 D</v>
      </c>
      <c r="AE356" s="11">
        <f>IF($I356&lt;&gt;"",VLOOKUP($AC356,GEADRESSEERDE!$A$2:$E$4,3,),"")</f>
        <v>2030</v>
      </c>
      <c r="AF356" s="11" t="str">
        <f>IF($I356&lt;&gt;"",VLOOKUP($AC356,GEADRESSEERDE!$A$2:$E$4,4,),"")</f>
        <v>ANTWERPEN</v>
      </c>
      <c r="AG356" s="11" t="str">
        <f>IF($I356&lt;&gt;"",VLOOKUP($AC356,GEADRESSEERDE!$A$2:$E$4,5,),"")</f>
        <v>BE</v>
      </c>
      <c r="AH356" s="11" t="str">
        <f>IF(I356&lt;&gt;"",VLOOKUP(AP356,KvB!$A$2:$B$3,2,FALSE),"")</f>
        <v>BE101000</v>
      </c>
      <c r="AI356" s="11" t="s">
        <v>55</v>
      </c>
      <c r="AJ356" s="11"/>
      <c r="AK356" s="11"/>
      <c r="AL356" s="11"/>
      <c r="AM356" s="11"/>
      <c r="AN356" s="11"/>
      <c r="AO356" s="11"/>
      <c r="AP356" s="2" t="s">
        <v>70</v>
      </c>
      <c r="AQ356" s="11" t="str">
        <f>IF(I356&lt;&gt;"",DATA!D355,"")</f>
        <v>8418302099</v>
      </c>
    </row>
    <row r="357" spans="1:43" ht="15.75" x14ac:dyDescent="0.25">
      <c r="A357" s="11" t="s">
        <v>57</v>
      </c>
      <c r="B357" s="11" t="s">
        <v>56</v>
      </c>
      <c r="C357" s="22">
        <f t="shared" si="26"/>
        <v>25001620</v>
      </c>
      <c r="D357" s="11" t="str">
        <f t="shared" si="23"/>
        <v>SKIIFM_AT</v>
      </c>
      <c r="E357" s="11" t="str">
        <f>IF(I357&lt;&gt;"",VLOOKUP(F357,OPDRACHTGEVER!$A$2:$B$4,2,FALSE),"")</f>
        <v>SKIIFM_AT</v>
      </c>
      <c r="F357" s="11" t="s">
        <v>58</v>
      </c>
      <c r="I357" s="11" t="str">
        <f>IF(DATA!B356&lt;&gt;"",DATA!B356,"")</f>
        <v>UETU6903211</v>
      </c>
      <c r="J357" s="12">
        <v>0</v>
      </c>
      <c r="K357" s="11" t="s">
        <v>53</v>
      </c>
      <c r="L357" s="11" t="str">
        <f t="shared" si="24"/>
        <v>851521</v>
      </c>
      <c r="M357" s="11" t="str">
        <f>IF(I357&lt;&gt;"",DATA!E356,"")</f>
        <v>WELDING MACHINE</v>
      </c>
      <c r="N357" s="12">
        <v>0</v>
      </c>
      <c r="O357" s="11">
        <f>IF(I357&lt;&gt;"",DATA!C356,"")</f>
        <v>950.8</v>
      </c>
      <c r="P357" s="2">
        <v>294094</v>
      </c>
      <c r="Q357" s="2" t="s">
        <v>1304</v>
      </c>
      <c r="R357" s="2" t="s">
        <v>1312</v>
      </c>
      <c r="S357" s="2">
        <v>572</v>
      </c>
      <c r="T357" s="2">
        <v>1</v>
      </c>
      <c r="U357" s="2" t="s">
        <v>141</v>
      </c>
      <c r="Y357" s="2">
        <v>1700</v>
      </c>
      <c r="Z357" s="11" t="s">
        <v>54</v>
      </c>
      <c r="AA357" s="11" t="str">
        <f t="shared" si="25"/>
        <v>1700 - TBN</v>
      </c>
      <c r="AC357" s="2" t="s">
        <v>145</v>
      </c>
      <c r="AD357" s="11" t="str">
        <f>IF($I357&lt;&gt;"",VLOOKUP($AC357,GEADRESSEERDE!$A$2:$E$4,2,),"")</f>
        <v>LUITHAGEN HAVEN 2 D</v>
      </c>
      <c r="AE357" s="11">
        <f>IF($I357&lt;&gt;"",VLOOKUP($AC357,GEADRESSEERDE!$A$2:$E$4,3,),"")</f>
        <v>2030</v>
      </c>
      <c r="AF357" s="11" t="str">
        <f>IF($I357&lt;&gt;"",VLOOKUP($AC357,GEADRESSEERDE!$A$2:$E$4,4,),"")</f>
        <v>ANTWERPEN</v>
      </c>
      <c r="AG357" s="11" t="str">
        <f>IF($I357&lt;&gt;"",VLOOKUP($AC357,GEADRESSEERDE!$A$2:$E$4,5,),"")</f>
        <v>BE</v>
      </c>
      <c r="AH357" s="11" t="str">
        <f>IF(I357&lt;&gt;"",VLOOKUP(AP357,KvB!$A$2:$B$3,2,FALSE),"")</f>
        <v>BE101000</v>
      </c>
      <c r="AI357" s="11" t="s">
        <v>55</v>
      </c>
      <c r="AJ357" s="11"/>
      <c r="AK357" s="11"/>
      <c r="AL357" s="11"/>
      <c r="AM357" s="11"/>
      <c r="AN357" s="11"/>
      <c r="AO357" s="11"/>
      <c r="AP357" s="2" t="s">
        <v>70</v>
      </c>
      <c r="AQ357" s="11" t="str">
        <f>IF(I357&lt;&gt;"",DATA!D356,"")</f>
        <v>8515210000</v>
      </c>
    </row>
    <row r="358" spans="1:43" ht="15.75" x14ac:dyDescent="0.25">
      <c r="A358" s="11" t="s">
        <v>57</v>
      </c>
      <c r="B358" s="11" t="s">
        <v>56</v>
      </c>
      <c r="C358" s="22">
        <f t="shared" si="26"/>
        <v>25001620</v>
      </c>
      <c r="D358" s="11" t="str">
        <f t="shared" si="23"/>
        <v>SKIIFM_AT</v>
      </c>
      <c r="E358" s="11" t="str">
        <f>IF(I358&lt;&gt;"",VLOOKUP(F358,OPDRACHTGEVER!$A$2:$B$4,2,FALSE),"")</f>
        <v>SKIIFM_AT</v>
      </c>
      <c r="F358" s="11" t="s">
        <v>58</v>
      </c>
      <c r="I358" s="11" t="str">
        <f>IF(DATA!B357&lt;&gt;"",DATA!B357,"")</f>
        <v>UETU6903211</v>
      </c>
      <c r="J358" s="12">
        <v>0</v>
      </c>
      <c r="K358" s="11" t="s">
        <v>53</v>
      </c>
      <c r="L358" s="11" t="str">
        <f t="shared" si="24"/>
        <v>871310</v>
      </c>
      <c r="M358" s="11" t="str">
        <f>IF(I358&lt;&gt;"",DATA!E357,"")</f>
        <v>WHEELCHAIR</v>
      </c>
      <c r="N358" s="12">
        <v>0</v>
      </c>
      <c r="O358" s="11">
        <f>IF(I358&lt;&gt;"",DATA!C357,"")</f>
        <v>22.8</v>
      </c>
      <c r="P358" s="2">
        <v>294094</v>
      </c>
      <c r="Q358" s="2" t="s">
        <v>1304</v>
      </c>
      <c r="R358" s="2" t="s">
        <v>1312</v>
      </c>
      <c r="S358" s="2">
        <v>572</v>
      </c>
      <c r="T358" s="2">
        <v>1</v>
      </c>
      <c r="U358" s="2" t="s">
        <v>141</v>
      </c>
      <c r="Y358" s="2">
        <v>1700</v>
      </c>
      <c r="Z358" s="11" t="s">
        <v>54</v>
      </c>
      <c r="AA358" s="11" t="str">
        <f t="shared" si="25"/>
        <v>1700 - TBN</v>
      </c>
      <c r="AC358" s="2" t="s">
        <v>145</v>
      </c>
      <c r="AD358" s="11" t="str">
        <f>IF($I358&lt;&gt;"",VLOOKUP($AC358,GEADRESSEERDE!$A$2:$E$4,2,),"")</f>
        <v>LUITHAGEN HAVEN 2 D</v>
      </c>
      <c r="AE358" s="11">
        <f>IF($I358&lt;&gt;"",VLOOKUP($AC358,GEADRESSEERDE!$A$2:$E$4,3,),"")</f>
        <v>2030</v>
      </c>
      <c r="AF358" s="11" t="str">
        <f>IF($I358&lt;&gt;"",VLOOKUP($AC358,GEADRESSEERDE!$A$2:$E$4,4,),"")</f>
        <v>ANTWERPEN</v>
      </c>
      <c r="AG358" s="11" t="str">
        <f>IF($I358&lt;&gt;"",VLOOKUP($AC358,GEADRESSEERDE!$A$2:$E$4,5,),"")</f>
        <v>BE</v>
      </c>
      <c r="AH358" s="11" t="str">
        <f>IF(I358&lt;&gt;"",VLOOKUP(AP358,KvB!$A$2:$B$3,2,FALSE),"")</f>
        <v>BE101000</v>
      </c>
      <c r="AI358" s="11" t="s">
        <v>55</v>
      </c>
      <c r="AJ358" s="11"/>
      <c r="AK358" s="11"/>
      <c r="AL358" s="11"/>
      <c r="AM358" s="11"/>
      <c r="AN358" s="11"/>
      <c r="AO358" s="11"/>
      <c r="AP358" s="2" t="s">
        <v>70</v>
      </c>
      <c r="AQ358" s="11" t="str">
        <f>IF(I358&lt;&gt;"",DATA!D357,"")</f>
        <v>8713100000</v>
      </c>
    </row>
    <row r="359" spans="1:43" ht="15.75" x14ac:dyDescent="0.25">
      <c r="A359" s="11" t="s">
        <v>57</v>
      </c>
      <c r="B359" s="11" t="s">
        <v>56</v>
      </c>
      <c r="C359" s="22">
        <f t="shared" si="26"/>
        <v>25001620</v>
      </c>
      <c r="D359" s="11" t="str">
        <f t="shared" si="23"/>
        <v>SKIIFM_AT</v>
      </c>
      <c r="E359" s="11" t="str">
        <f>IF(I359&lt;&gt;"",VLOOKUP(F359,OPDRACHTGEVER!$A$2:$B$4,2,FALSE),"")</f>
        <v>SKIIFM_AT</v>
      </c>
      <c r="F359" s="11" t="s">
        <v>58</v>
      </c>
      <c r="I359" s="11" t="str">
        <f>IF(DATA!B358&lt;&gt;"",DATA!B358,"")</f>
        <v>CAAU5526759</v>
      </c>
      <c r="J359" s="12">
        <v>1680</v>
      </c>
      <c r="K359" s="11" t="s">
        <v>53</v>
      </c>
      <c r="L359" s="11" t="str">
        <f t="shared" si="24"/>
        <v>392690</v>
      </c>
      <c r="M359" s="11" t="str">
        <f>IF(I359&lt;&gt;"",DATA!E358,"")</f>
        <v>AGILITY COURSE KITS-COMBINATION STYLE</v>
      </c>
      <c r="N359" s="12">
        <v>18255</v>
      </c>
      <c r="O359" s="11">
        <f>IF(I359&lt;&gt;"",DATA!C358,"")</f>
        <v>80.55</v>
      </c>
      <c r="P359" s="2">
        <v>294094</v>
      </c>
      <c r="Q359" s="2" t="s">
        <v>1304</v>
      </c>
      <c r="R359" s="2" t="s">
        <v>1313</v>
      </c>
      <c r="S359" s="2">
        <v>349</v>
      </c>
      <c r="T359" s="2">
        <v>1</v>
      </c>
      <c r="U359" s="2" t="s">
        <v>141</v>
      </c>
      <c r="Y359" s="2">
        <v>1700</v>
      </c>
      <c r="Z359" s="11" t="s">
        <v>54</v>
      </c>
      <c r="AA359" s="11" t="str">
        <f t="shared" si="25"/>
        <v>1700 - TBN</v>
      </c>
      <c r="AC359" s="2" t="s">
        <v>145</v>
      </c>
      <c r="AD359" s="11" t="str">
        <f>IF($I359&lt;&gt;"",VLOOKUP($AC359,GEADRESSEERDE!$A$2:$E$4,2,),"")</f>
        <v>LUITHAGEN HAVEN 2 D</v>
      </c>
      <c r="AE359" s="11">
        <f>IF($I359&lt;&gt;"",VLOOKUP($AC359,GEADRESSEERDE!$A$2:$E$4,3,),"")</f>
        <v>2030</v>
      </c>
      <c r="AF359" s="11" t="str">
        <f>IF($I359&lt;&gt;"",VLOOKUP($AC359,GEADRESSEERDE!$A$2:$E$4,4,),"")</f>
        <v>ANTWERPEN</v>
      </c>
      <c r="AG359" s="11" t="str">
        <f>IF($I359&lt;&gt;"",VLOOKUP($AC359,GEADRESSEERDE!$A$2:$E$4,5,),"")</f>
        <v>BE</v>
      </c>
      <c r="AH359" s="11" t="str">
        <f>IF(I359&lt;&gt;"",VLOOKUP(AP359,KvB!$A$2:$B$3,2,FALSE),"")</f>
        <v>BE101000</v>
      </c>
      <c r="AI359" s="11" t="s">
        <v>55</v>
      </c>
      <c r="AJ359" s="11"/>
      <c r="AK359" s="11"/>
      <c r="AL359" s="11"/>
      <c r="AM359" s="11"/>
      <c r="AN359" s="11"/>
      <c r="AO359" s="11"/>
      <c r="AP359" s="2" t="s">
        <v>70</v>
      </c>
      <c r="AQ359" s="11" t="str">
        <f>IF(I359&lt;&gt;"",DATA!D358,"")</f>
        <v>3926909790</v>
      </c>
    </row>
    <row r="360" spans="1:43" ht="15.75" x14ac:dyDescent="0.25">
      <c r="A360" s="11" t="s">
        <v>57</v>
      </c>
      <c r="B360" s="11" t="s">
        <v>56</v>
      </c>
      <c r="C360" s="22">
        <f t="shared" si="26"/>
        <v>25001620</v>
      </c>
      <c r="D360" s="11" t="str">
        <f t="shared" si="23"/>
        <v>SKIIFM_AT</v>
      </c>
      <c r="E360" s="11" t="str">
        <f>IF(I360&lt;&gt;"",VLOOKUP(F360,OPDRACHTGEVER!$A$2:$B$4,2,FALSE),"")</f>
        <v>SKIIFM_AT</v>
      </c>
      <c r="F360" s="11" t="s">
        <v>58</v>
      </c>
      <c r="I360" s="11" t="str">
        <f>IF(DATA!B359&lt;&gt;"",DATA!B359,"")</f>
        <v>CAAU5526759</v>
      </c>
      <c r="J360" s="12">
        <v>0</v>
      </c>
      <c r="K360" s="11" t="s">
        <v>53</v>
      </c>
      <c r="L360" s="11" t="str">
        <f t="shared" si="24"/>
        <v>761090</v>
      </c>
      <c r="M360" s="11" t="str">
        <f>IF(I360&lt;&gt;"",DATA!E359,"")</f>
        <v>ALUMINUM STAIR RAILING</v>
      </c>
      <c r="N360" s="12">
        <v>0</v>
      </c>
      <c r="O360" s="11">
        <f>IF(I360&lt;&gt;"",DATA!C359,"")</f>
        <v>98.8</v>
      </c>
      <c r="P360" s="2">
        <v>294094</v>
      </c>
      <c r="Q360" s="2" t="s">
        <v>1304</v>
      </c>
      <c r="R360" s="2" t="s">
        <v>1313</v>
      </c>
      <c r="S360" s="2">
        <v>349</v>
      </c>
      <c r="T360" s="2">
        <v>1</v>
      </c>
      <c r="U360" s="2" t="s">
        <v>141</v>
      </c>
      <c r="Y360" s="2">
        <v>1700</v>
      </c>
      <c r="Z360" s="11" t="s">
        <v>54</v>
      </c>
      <c r="AA360" s="11" t="str">
        <f t="shared" si="25"/>
        <v>1700 - TBN</v>
      </c>
      <c r="AC360" s="2" t="s">
        <v>145</v>
      </c>
      <c r="AD360" s="11" t="str">
        <f>IF($I360&lt;&gt;"",VLOOKUP($AC360,GEADRESSEERDE!$A$2:$E$4,2,),"")</f>
        <v>LUITHAGEN HAVEN 2 D</v>
      </c>
      <c r="AE360" s="11">
        <f>IF($I360&lt;&gt;"",VLOOKUP($AC360,GEADRESSEERDE!$A$2:$E$4,3,),"")</f>
        <v>2030</v>
      </c>
      <c r="AF360" s="11" t="str">
        <f>IF($I360&lt;&gt;"",VLOOKUP($AC360,GEADRESSEERDE!$A$2:$E$4,4,),"")</f>
        <v>ANTWERPEN</v>
      </c>
      <c r="AG360" s="11" t="str">
        <f>IF($I360&lt;&gt;"",VLOOKUP($AC360,GEADRESSEERDE!$A$2:$E$4,5,),"")</f>
        <v>BE</v>
      </c>
      <c r="AH360" s="11" t="str">
        <f>IF(I360&lt;&gt;"",VLOOKUP(AP360,KvB!$A$2:$B$3,2,FALSE),"")</f>
        <v>BE101000</v>
      </c>
      <c r="AI360" s="11" t="s">
        <v>55</v>
      </c>
      <c r="AJ360" s="11"/>
      <c r="AK360" s="11"/>
      <c r="AL360" s="11"/>
      <c r="AM360" s="11"/>
      <c r="AN360" s="11"/>
      <c r="AO360" s="11"/>
      <c r="AP360" s="2" t="s">
        <v>70</v>
      </c>
      <c r="AQ360" s="11" t="str">
        <f>IF(I360&lt;&gt;"",DATA!D359,"")</f>
        <v>7610909095</v>
      </c>
    </row>
    <row r="361" spans="1:43" ht="15.75" x14ac:dyDescent="0.25">
      <c r="A361" s="11" t="s">
        <v>57</v>
      </c>
      <c r="B361" s="11" t="s">
        <v>56</v>
      </c>
      <c r="C361" s="22">
        <f t="shared" si="26"/>
        <v>25001620</v>
      </c>
      <c r="D361" s="11" t="str">
        <f t="shared" si="23"/>
        <v>SKIIFM_AT</v>
      </c>
      <c r="E361" s="11" t="str">
        <f>IF(I361&lt;&gt;"",VLOOKUP(F361,OPDRACHTGEVER!$A$2:$B$4,2,FALSE),"")</f>
        <v>SKIIFM_AT</v>
      </c>
      <c r="F361" s="11" t="s">
        <v>58</v>
      </c>
      <c r="I361" s="11" t="str">
        <f>IF(DATA!B360&lt;&gt;"",DATA!B360,"")</f>
        <v>CAAU5526759</v>
      </c>
      <c r="J361" s="12">
        <v>0</v>
      </c>
      <c r="K361" s="11" t="s">
        <v>53</v>
      </c>
      <c r="L361" s="11" t="str">
        <f t="shared" si="24"/>
        <v>841319</v>
      </c>
      <c r="M361" s="11" t="str">
        <f>IF(I361&lt;&gt;"",DATA!E360,"")</f>
        <v>AUTOMOBILE FUEL PUMP</v>
      </c>
      <c r="N361" s="12">
        <v>0</v>
      </c>
      <c r="O361" s="11">
        <f>IF(I361&lt;&gt;"",DATA!C360,"")</f>
        <v>60.2</v>
      </c>
      <c r="P361" s="2">
        <v>294094</v>
      </c>
      <c r="Q361" s="2" t="s">
        <v>1304</v>
      </c>
      <c r="R361" s="2" t="s">
        <v>1313</v>
      </c>
      <c r="S361" s="2">
        <v>349</v>
      </c>
      <c r="T361" s="2">
        <v>1</v>
      </c>
      <c r="U361" s="2" t="s">
        <v>141</v>
      </c>
      <c r="Y361" s="2">
        <v>1700</v>
      </c>
      <c r="Z361" s="11" t="s">
        <v>54</v>
      </c>
      <c r="AA361" s="11" t="str">
        <f t="shared" si="25"/>
        <v>1700 - TBN</v>
      </c>
      <c r="AC361" s="2" t="s">
        <v>145</v>
      </c>
      <c r="AD361" s="11" t="str">
        <f>IF($I361&lt;&gt;"",VLOOKUP($AC361,GEADRESSEERDE!$A$2:$E$4,2,),"")</f>
        <v>LUITHAGEN HAVEN 2 D</v>
      </c>
      <c r="AE361" s="11">
        <f>IF($I361&lt;&gt;"",VLOOKUP($AC361,GEADRESSEERDE!$A$2:$E$4,3,),"")</f>
        <v>2030</v>
      </c>
      <c r="AF361" s="11" t="str">
        <f>IF($I361&lt;&gt;"",VLOOKUP($AC361,GEADRESSEERDE!$A$2:$E$4,4,),"")</f>
        <v>ANTWERPEN</v>
      </c>
      <c r="AG361" s="11" t="str">
        <f>IF($I361&lt;&gt;"",VLOOKUP($AC361,GEADRESSEERDE!$A$2:$E$4,5,),"")</f>
        <v>BE</v>
      </c>
      <c r="AH361" s="11" t="str">
        <f>IF(I361&lt;&gt;"",VLOOKUP(AP361,KvB!$A$2:$B$3,2,FALSE),"")</f>
        <v>BE101000</v>
      </c>
      <c r="AI361" s="11" t="s">
        <v>55</v>
      </c>
      <c r="AJ361" s="11"/>
      <c r="AK361" s="11"/>
      <c r="AL361" s="11"/>
      <c r="AM361" s="11"/>
      <c r="AN361" s="11"/>
      <c r="AO361" s="11"/>
      <c r="AP361" s="2" t="s">
        <v>70</v>
      </c>
      <c r="AQ361" s="11" t="str">
        <f>IF(I361&lt;&gt;"",DATA!D360,"")</f>
        <v>8413190090</v>
      </c>
    </row>
    <row r="362" spans="1:43" ht="15.75" x14ac:dyDescent="0.25">
      <c r="A362" s="11" t="s">
        <v>57</v>
      </c>
      <c r="B362" s="11" t="s">
        <v>56</v>
      </c>
      <c r="C362" s="22">
        <f t="shared" si="26"/>
        <v>25001620</v>
      </c>
      <c r="D362" s="11" t="str">
        <f t="shared" si="23"/>
        <v>SKIIFM_AT</v>
      </c>
      <c r="E362" s="11" t="str">
        <f>IF(I362&lt;&gt;"",VLOOKUP(F362,OPDRACHTGEVER!$A$2:$B$4,2,FALSE),"")</f>
        <v>SKIIFM_AT</v>
      </c>
      <c r="F362" s="11" t="s">
        <v>58</v>
      </c>
      <c r="I362" s="11" t="str">
        <f>IF(DATA!B361&lt;&gt;"",DATA!B361,"")</f>
        <v>CAAU5526759</v>
      </c>
      <c r="J362" s="12">
        <v>0</v>
      </c>
      <c r="K362" s="11" t="s">
        <v>53</v>
      </c>
      <c r="L362" s="11" t="str">
        <f t="shared" si="24"/>
        <v>847989</v>
      </c>
      <c r="M362" s="11" t="str">
        <f>IF(I362&lt;&gt;"",DATA!E361,"")</f>
        <v>AUTOMOTIVE REPAIR TOOLS</v>
      </c>
      <c r="N362" s="12">
        <v>0</v>
      </c>
      <c r="O362" s="11">
        <f>IF(I362&lt;&gt;"",DATA!C361,"")</f>
        <v>307.5</v>
      </c>
      <c r="P362" s="2">
        <v>294094</v>
      </c>
      <c r="Q362" s="2" t="s">
        <v>1304</v>
      </c>
      <c r="R362" s="2" t="s">
        <v>1313</v>
      </c>
      <c r="S362" s="2">
        <v>349</v>
      </c>
      <c r="T362" s="2">
        <v>1</v>
      </c>
      <c r="U362" s="2" t="s">
        <v>141</v>
      </c>
      <c r="Y362" s="2">
        <v>1700</v>
      </c>
      <c r="Z362" s="11" t="s">
        <v>54</v>
      </c>
      <c r="AA362" s="11" t="str">
        <f t="shared" si="25"/>
        <v>1700 - TBN</v>
      </c>
      <c r="AC362" s="2" t="s">
        <v>145</v>
      </c>
      <c r="AD362" s="11" t="str">
        <f>IF($I362&lt;&gt;"",VLOOKUP($AC362,GEADRESSEERDE!$A$2:$E$4,2,),"")</f>
        <v>LUITHAGEN HAVEN 2 D</v>
      </c>
      <c r="AE362" s="11">
        <f>IF($I362&lt;&gt;"",VLOOKUP($AC362,GEADRESSEERDE!$A$2:$E$4,3,),"")</f>
        <v>2030</v>
      </c>
      <c r="AF362" s="11" t="str">
        <f>IF($I362&lt;&gt;"",VLOOKUP($AC362,GEADRESSEERDE!$A$2:$E$4,4,),"")</f>
        <v>ANTWERPEN</v>
      </c>
      <c r="AG362" s="11" t="str">
        <f>IF($I362&lt;&gt;"",VLOOKUP($AC362,GEADRESSEERDE!$A$2:$E$4,5,),"")</f>
        <v>BE</v>
      </c>
      <c r="AH362" s="11" t="str">
        <f>IF(I362&lt;&gt;"",VLOOKUP(AP362,KvB!$A$2:$B$3,2,FALSE),"")</f>
        <v>BE101000</v>
      </c>
      <c r="AI362" s="11" t="s">
        <v>55</v>
      </c>
      <c r="AJ362" s="11"/>
      <c r="AK362" s="11"/>
      <c r="AL362" s="11"/>
      <c r="AM362" s="11"/>
      <c r="AN362" s="11"/>
      <c r="AO362" s="11"/>
      <c r="AP362" s="2" t="s">
        <v>70</v>
      </c>
      <c r="AQ362" s="11" t="str">
        <f>IF(I362&lt;&gt;"",DATA!D361,"")</f>
        <v>8479899790</v>
      </c>
    </row>
    <row r="363" spans="1:43" ht="15.75" x14ac:dyDescent="0.25">
      <c r="A363" s="11" t="s">
        <v>57</v>
      </c>
      <c r="B363" s="11" t="s">
        <v>56</v>
      </c>
      <c r="C363" s="22">
        <f t="shared" si="26"/>
        <v>25001620</v>
      </c>
      <c r="D363" s="11" t="str">
        <f t="shared" si="23"/>
        <v>SKIIFM_AT</v>
      </c>
      <c r="E363" s="11" t="str">
        <f>IF(I363&lt;&gt;"",VLOOKUP(F363,OPDRACHTGEVER!$A$2:$B$4,2,FALSE),"")</f>
        <v>SKIIFM_AT</v>
      </c>
      <c r="F363" s="11" t="s">
        <v>58</v>
      </c>
      <c r="I363" s="11" t="str">
        <f>IF(DATA!B362&lt;&gt;"",DATA!B362,"")</f>
        <v>CAAU5526759</v>
      </c>
      <c r="J363" s="12">
        <v>0</v>
      </c>
      <c r="K363" s="11" t="s">
        <v>53</v>
      </c>
      <c r="L363" s="11" t="str">
        <f t="shared" si="24"/>
        <v>847990</v>
      </c>
      <c r="M363" s="11" t="str">
        <f>IF(I363&lt;&gt;"",DATA!E362,"")</f>
        <v>BOAT STEERING WHEEL</v>
      </c>
      <c r="N363" s="12">
        <v>0</v>
      </c>
      <c r="O363" s="11">
        <f>IF(I363&lt;&gt;"",DATA!C362,"")</f>
        <v>71.099999999999994</v>
      </c>
      <c r="P363" s="2">
        <v>294094</v>
      </c>
      <c r="Q363" s="2" t="s">
        <v>1304</v>
      </c>
      <c r="R363" s="2" t="s">
        <v>1313</v>
      </c>
      <c r="S363" s="2">
        <v>349</v>
      </c>
      <c r="T363" s="2">
        <v>1</v>
      </c>
      <c r="U363" s="2" t="s">
        <v>141</v>
      </c>
      <c r="Y363" s="2">
        <v>1700</v>
      </c>
      <c r="Z363" s="11" t="s">
        <v>54</v>
      </c>
      <c r="AA363" s="11" t="str">
        <f t="shared" si="25"/>
        <v>1700 - TBN</v>
      </c>
      <c r="AC363" s="2" t="s">
        <v>145</v>
      </c>
      <c r="AD363" s="11" t="str">
        <f>IF($I363&lt;&gt;"",VLOOKUP($AC363,GEADRESSEERDE!$A$2:$E$4,2,),"")</f>
        <v>LUITHAGEN HAVEN 2 D</v>
      </c>
      <c r="AE363" s="11">
        <f>IF($I363&lt;&gt;"",VLOOKUP($AC363,GEADRESSEERDE!$A$2:$E$4,3,),"")</f>
        <v>2030</v>
      </c>
      <c r="AF363" s="11" t="str">
        <f>IF($I363&lt;&gt;"",VLOOKUP($AC363,GEADRESSEERDE!$A$2:$E$4,4,),"")</f>
        <v>ANTWERPEN</v>
      </c>
      <c r="AG363" s="11" t="str">
        <f>IF($I363&lt;&gt;"",VLOOKUP($AC363,GEADRESSEERDE!$A$2:$E$4,5,),"")</f>
        <v>BE</v>
      </c>
      <c r="AH363" s="11" t="str">
        <f>IF(I363&lt;&gt;"",VLOOKUP(AP363,KvB!$A$2:$B$3,2,FALSE),"")</f>
        <v>BE101000</v>
      </c>
      <c r="AI363" s="11" t="s">
        <v>55</v>
      </c>
      <c r="AJ363" s="11"/>
      <c r="AK363" s="11"/>
      <c r="AL363" s="11"/>
      <c r="AM363" s="11"/>
      <c r="AN363" s="11"/>
      <c r="AO363" s="11"/>
      <c r="AP363" s="2" t="s">
        <v>70</v>
      </c>
      <c r="AQ363" s="11" t="str">
        <f>IF(I363&lt;&gt;"",DATA!D362,"")</f>
        <v>8479901500</v>
      </c>
    </row>
    <row r="364" spans="1:43" ht="15.75" x14ac:dyDescent="0.25">
      <c r="A364" s="11" t="s">
        <v>57</v>
      </c>
      <c r="B364" s="11" t="s">
        <v>56</v>
      </c>
      <c r="C364" s="22">
        <f t="shared" si="26"/>
        <v>25001620</v>
      </c>
      <c r="D364" s="11" t="str">
        <f t="shared" si="23"/>
        <v>SKIIFM_AT</v>
      </c>
      <c r="E364" s="11" t="str">
        <f>IF(I364&lt;&gt;"",VLOOKUP(F364,OPDRACHTGEVER!$A$2:$B$4,2,FALSE),"")</f>
        <v>SKIIFM_AT</v>
      </c>
      <c r="F364" s="11" t="s">
        <v>58</v>
      </c>
      <c r="I364" s="11" t="str">
        <f>IF(DATA!B363&lt;&gt;"",DATA!B363,"")</f>
        <v>CAAU5526759</v>
      </c>
      <c r="J364" s="12">
        <v>0</v>
      </c>
      <c r="K364" s="11" t="s">
        <v>53</v>
      </c>
      <c r="L364" s="11" t="str">
        <f t="shared" si="24"/>
        <v>854442</v>
      </c>
      <c r="M364" s="11" t="str">
        <f>IF(I364&lt;&gt;"",DATA!E363,"")</f>
        <v>CABLE WITH CONNECTOR</v>
      </c>
      <c r="N364" s="12">
        <v>0</v>
      </c>
      <c r="O364" s="11">
        <f>IF(I364&lt;&gt;"",DATA!C363,"")</f>
        <v>168</v>
      </c>
      <c r="P364" s="2">
        <v>294094</v>
      </c>
      <c r="Q364" s="2" t="s">
        <v>1304</v>
      </c>
      <c r="R364" s="2" t="s">
        <v>1313</v>
      </c>
      <c r="S364" s="2">
        <v>349</v>
      </c>
      <c r="T364" s="2">
        <v>1</v>
      </c>
      <c r="U364" s="2" t="s">
        <v>141</v>
      </c>
      <c r="Y364" s="2">
        <v>1700</v>
      </c>
      <c r="Z364" s="11" t="s">
        <v>54</v>
      </c>
      <c r="AA364" s="11" t="str">
        <f t="shared" si="25"/>
        <v>1700 - TBN</v>
      </c>
      <c r="AC364" s="2" t="s">
        <v>145</v>
      </c>
      <c r="AD364" s="11" t="str">
        <f>IF($I364&lt;&gt;"",VLOOKUP($AC364,GEADRESSEERDE!$A$2:$E$4,2,),"")</f>
        <v>LUITHAGEN HAVEN 2 D</v>
      </c>
      <c r="AE364" s="11">
        <f>IF($I364&lt;&gt;"",VLOOKUP($AC364,GEADRESSEERDE!$A$2:$E$4,3,),"")</f>
        <v>2030</v>
      </c>
      <c r="AF364" s="11" t="str">
        <f>IF($I364&lt;&gt;"",VLOOKUP($AC364,GEADRESSEERDE!$A$2:$E$4,4,),"")</f>
        <v>ANTWERPEN</v>
      </c>
      <c r="AG364" s="11" t="str">
        <f>IF($I364&lt;&gt;"",VLOOKUP($AC364,GEADRESSEERDE!$A$2:$E$4,5,),"")</f>
        <v>BE</v>
      </c>
      <c r="AH364" s="11" t="str">
        <f>IF(I364&lt;&gt;"",VLOOKUP(AP364,KvB!$A$2:$B$3,2,FALSE),"")</f>
        <v>BE101000</v>
      </c>
      <c r="AI364" s="11" t="s">
        <v>55</v>
      </c>
      <c r="AJ364" s="11"/>
      <c r="AK364" s="11"/>
      <c r="AL364" s="11"/>
      <c r="AM364" s="11"/>
      <c r="AN364" s="11"/>
      <c r="AO364" s="11"/>
      <c r="AP364" s="2" t="s">
        <v>70</v>
      </c>
      <c r="AQ364" s="11" t="str">
        <f>IF(I364&lt;&gt;"",DATA!D363,"")</f>
        <v>8544429090</v>
      </c>
    </row>
    <row r="365" spans="1:43" ht="15.75" x14ac:dyDescent="0.25">
      <c r="A365" s="11" t="s">
        <v>57</v>
      </c>
      <c r="B365" s="11" t="s">
        <v>56</v>
      </c>
      <c r="C365" s="22">
        <f t="shared" si="26"/>
        <v>25001620</v>
      </c>
      <c r="D365" s="11" t="str">
        <f t="shared" si="23"/>
        <v>SKIIFM_AT</v>
      </c>
      <c r="E365" s="11" t="str">
        <f>IF(I365&lt;&gt;"",VLOOKUP(F365,OPDRACHTGEVER!$A$2:$B$4,2,FALSE),"")</f>
        <v>SKIIFM_AT</v>
      </c>
      <c r="F365" s="11" t="s">
        <v>58</v>
      </c>
      <c r="I365" s="11" t="str">
        <f>IF(DATA!B364&lt;&gt;"",DATA!B364,"")</f>
        <v>CAAU5526759</v>
      </c>
      <c r="J365" s="12">
        <v>0</v>
      </c>
      <c r="K365" s="11" t="s">
        <v>53</v>
      </c>
      <c r="L365" s="11" t="str">
        <f t="shared" si="24"/>
        <v>761699</v>
      </c>
      <c r="M365" s="11" t="str">
        <f>IF(I365&lt;&gt;"",DATA!E364,"")</f>
        <v>CARD SLOT</v>
      </c>
      <c r="N365" s="12">
        <v>0</v>
      </c>
      <c r="O365" s="11">
        <f>IF(I365&lt;&gt;"",DATA!C364,"")</f>
        <v>856.5</v>
      </c>
      <c r="P365" s="2">
        <v>294094</v>
      </c>
      <c r="Q365" s="2" t="s">
        <v>1304</v>
      </c>
      <c r="R365" s="2" t="s">
        <v>1313</v>
      </c>
      <c r="S365" s="2">
        <v>349</v>
      </c>
      <c r="T365" s="2">
        <v>1</v>
      </c>
      <c r="U365" s="2" t="s">
        <v>141</v>
      </c>
      <c r="Y365" s="2">
        <v>1700</v>
      </c>
      <c r="Z365" s="11" t="s">
        <v>54</v>
      </c>
      <c r="AA365" s="11" t="str">
        <f t="shared" si="25"/>
        <v>1700 - TBN</v>
      </c>
      <c r="AC365" s="2" t="s">
        <v>145</v>
      </c>
      <c r="AD365" s="11" t="str">
        <f>IF($I365&lt;&gt;"",VLOOKUP($AC365,GEADRESSEERDE!$A$2:$E$4,2,),"")</f>
        <v>LUITHAGEN HAVEN 2 D</v>
      </c>
      <c r="AE365" s="11">
        <f>IF($I365&lt;&gt;"",VLOOKUP($AC365,GEADRESSEERDE!$A$2:$E$4,3,),"")</f>
        <v>2030</v>
      </c>
      <c r="AF365" s="11" t="str">
        <f>IF($I365&lt;&gt;"",VLOOKUP($AC365,GEADRESSEERDE!$A$2:$E$4,4,),"")</f>
        <v>ANTWERPEN</v>
      </c>
      <c r="AG365" s="11" t="str">
        <f>IF($I365&lt;&gt;"",VLOOKUP($AC365,GEADRESSEERDE!$A$2:$E$4,5,),"")</f>
        <v>BE</v>
      </c>
      <c r="AH365" s="11" t="str">
        <f>IF(I365&lt;&gt;"",VLOOKUP(AP365,KvB!$A$2:$B$3,2,FALSE),"")</f>
        <v>BE101000</v>
      </c>
      <c r="AI365" s="11" t="s">
        <v>55</v>
      </c>
      <c r="AJ365" s="11"/>
      <c r="AK365" s="11"/>
      <c r="AL365" s="11"/>
      <c r="AM365" s="11"/>
      <c r="AN365" s="11"/>
      <c r="AO365" s="11"/>
      <c r="AP365" s="2" t="s">
        <v>70</v>
      </c>
      <c r="AQ365" s="11" t="str">
        <f>IF(I365&lt;&gt;"",DATA!D364,"")</f>
        <v>7616999099</v>
      </c>
    </row>
    <row r="366" spans="1:43" ht="15.75" x14ac:dyDescent="0.25">
      <c r="A366" s="11" t="s">
        <v>57</v>
      </c>
      <c r="B366" s="11" t="s">
        <v>56</v>
      </c>
      <c r="C366" s="22">
        <f t="shared" si="26"/>
        <v>25001620</v>
      </c>
      <c r="D366" s="11" t="str">
        <f t="shared" si="23"/>
        <v>SKIIFM_AT</v>
      </c>
      <c r="E366" s="11" t="str">
        <f>IF(I366&lt;&gt;"",VLOOKUP(F366,OPDRACHTGEVER!$A$2:$B$4,2,FALSE),"")</f>
        <v>SKIIFM_AT</v>
      </c>
      <c r="F366" s="11" t="s">
        <v>58</v>
      </c>
      <c r="I366" s="11" t="str">
        <f>IF(DATA!B365&lt;&gt;"",DATA!B365,"")</f>
        <v>CAAU5526759</v>
      </c>
      <c r="J366" s="12">
        <v>0</v>
      </c>
      <c r="K366" s="11" t="s">
        <v>53</v>
      </c>
      <c r="L366" s="11" t="str">
        <f t="shared" si="24"/>
        <v>392112</v>
      </c>
      <c r="M366" s="11" t="str">
        <f>IF(I366&lt;&gt;"",DATA!E365,"")</f>
        <v>CEILING TILES</v>
      </c>
      <c r="N366" s="12">
        <v>0</v>
      </c>
      <c r="O366" s="11">
        <f>IF(I366&lt;&gt;"",DATA!C365,"")</f>
        <v>600.9</v>
      </c>
      <c r="P366" s="2">
        <v>294094</v>
      </c>
      <c r="Q366" s="2" t="s">
        <v>1304</v>
      </c>
      <c r="R366" s="2" t="s">
        <v>1313</v>
      </c>
      <c r="S366" s="2">
        <v>349</v>
      </c>
      <c r="T366" s="2">
        <v>1</v>
      </c>
      <c r="U366" s="2" t="s">
        <v>141</v>
      </c>
      <c r="Y366" s="2">
        <v>1700</v>
      </c>
      <c r="Z366" s="11" t="s">
        <v>54</v>
      </c>
      <c r="AA366" s="11" t="str">
        <f t="shared" si="25"/>
        <v>1700 - TBN</v>
      </c>
      <c r="AC366" s="2" t="s">
        <v>145</v>
      </c>
      <c r="AD366" s="11" t="str">
        <f>IF($I366&lt;&gt;"",VLOOKUP($AC366,GEADRESSEERDE!$A$2:$E$4,2,),"")</f>
        <v>LUITHAGEN HAVEN 2 D</v>
      </c>
      <c r="AE366" s="11">
        <f>IF($I366&lt;&gt;"",VLOOKUP($AC366,GEADRESSEERDE!$A$2:$E$4,3,),"")</f>
        <v>2030</v>
      </c>
      <c r="AF366" s="11" t="str">
        <f>IF($I366&lt;&gt;"",VLOOKUP($AC366,GEADRESSEERDE!$A$2:$E$4,4,),"")</f>
        <v>ANTWERPEN</v>
      </c>
      <c r="AG366" s="11" t="str">
        <f>IF($I366&lt;&gt;"",VLOOKUP($AC366,GEADRESSEERDE!$A$2:$E$4,5,),"")</f>
        <v>BE</v>
      </c>
      <c r="AH366" s="11" t="str">
        <f>IF(I366&lt;&gt;"",VLOOKUP(AP366,KvB!$A$2:$B$3,2,FALSE),"")</f>
        <v>BE101000</v>
      </c>
      <c r="AI366" s="11" t="s">
        <v>55</v>
      </c>
      <c r="AJ366" s="11"/>
      <c r="AK366" s="11"/>
      <c r="AL366" s="11"/>
      <c r="AM366" s="11"/>
      <c r="AN366" s="11"/>
      <c r="AO366" s="11"/>
      <c r="AP366" s="2" t="s">
        <v>70</v>
      </c>
      <c r="AQ366" s="11" t="str">
        <f>IF(I366&lt;&gt;"",DATA!D365,"")</f>
        <v>3921120090</v>
      </c>
    </row>
    <row r="367" spans="1:43" ht="15.75" x14ac:dyDescent="0.25">
      <c r="A367" s="11" t="s">
        <v>57</v>
      </c>
      <c r="B367" s="11" t="s">
        <v>56</v>
      </c>
      <c r="C367" s="22">
        <f t="shared" si="26"/>
        <v>25001620</v>
      </c>
      <c r="D367" s="11" t="str">
        <f t="shared" si="23"/>
        <v>SKIIFM_AT</v>
      </c>
      <c r="E367" s="11" t="str">
        <f>IF(I367&lt;&gt;"",VLOOKUP(F367,OPDRACHTGEVER!$A$2:$B$4,2,FALSE),"")</f>
        <v>SKIIFM_AT</v>
      </c>
      <c r="F367" s="11" t="s">
        <v>58</v>
      </c>
      <c r="I367" s="11" t="str">
        <f>IF(DATA!B366&lt;&gt;"",DATA!B366,"")</f>
        <v>CAAU5526759</v>
      </c>
      <c r="J367" s="12">
        <v>0</v>
      </c>
      <c r="K367" s="11" t="s">
        <v>53</v>
      </c>
      <c r="L367" s="11" t="str">
        <f t="shared" si="24"/>
        <v>842810</v>
      </c>
      <c r="M367" s="11" t="str">
        <f>IF(I367&lt;&gt;"",DATA!E366,"")</f>
        <v>CRANE</v>
      </c>
      <c r="N367" s="12">
        <v>0</v>
      </c>
      <c r="O367" s="11">
        <f>IF(I367&lt;&gt;"",DATA!C366,"")</f>
        <v>1112.25</v>
      </c>
      <c r="P367" s="2">
        <v>294094</v>
      </c>
      <c r="Q367" s="2" t="s">
        <v>1304</v>
      </c>
      <c r="R367" s="2" t="s">
        <v>1313</v>
      </c>
      <c r="S367" s="2">
        <v>349</v>
      </c>
      <c r="T367" s="2">
        <v>1</v>
      </c>
      <c r="U367" s="2" t="s">
        <v>141</v>
      </c>
      <c r="Y367" s="2">
        <v>1700</v>
      </c>
      <c r="Z367" s="11" t="s">
        <v>54</v>
      </c>
      <c r="AA367" s="11" t="str">
        <f t="shared" si="25"/>
        <v>1700 - TBN</v>
      </c>
      <c r="AC367" s="2" t="s">
        <v>145</v>
      </c>
      <c r="AD367" s="11" t="str">
        <f>IF($I367&lt;&gt;"",VLOOKUP($AC367,GEADRESSEERDE!$A$2:$E$4,2,),"")</f>
        <v>LUITHAGEN HAVEN 2 D</v>
      </c>
      <c r="AE367" s="11">
        <f>IF($I367&lt;&gt;"",VLOOKUP($AC367,GEADRESSEERDE!$A$2:$E$4,3,),"")</f>
        <v>2030</v>
      </c>
      <c r="AF367" s="11" t="str">
        <f>IF($I367&lt;&gt;"",VLOOKUP($AC367,GEADRESSEERDE!$A$2:$E$4,4,),"")</f>
        <v>ANTWERPEN</v>
      </c>
      <c r="AG367" s="11" t="str">
        <f>IF($I367&lt;&gt;"",VLOOKUP($AC367,GEADRESSEERDE!$A$2:$E$4,5,),"")</f>
        <v>BE</v>
      </c>
      <c r="AH367" s="11" t="str">
        <f>IF(I367&lt;&gt;"",VLOOKUP(AP367,KvB!$A$2:$B$3,2,FALSE),"")</f>
        <v>BE101000</v>
      </c>
      <c r="AI367" s="11" t="s">
        <v>55</v>
      </c>
      <c r="AJ367" s="11"/>
      <c r="AK367" s="11"/>
      <c r="AL367" s="11"/>
      <c r="AM367" s="11"/>
      <c r="AN367" s="11"/>
      <c r="AO367" s="11"/>
      <c r="AP367" s="2" t="s">
        <v>70</v>
      </c>
      <c r="AQ367" s="11" t="str">
        <f>IF(I367&lt;&gt;"",DATA!D366,"")</f>
        <v>8428102000</v>
      </c>
    </row>
    <row r="368" spans="1:43" ht="15.75" x14ac:dyDescent="0.25">
      <c r="A368" s="11" t="s">
        <v>57</v>
      </c>
      <c r="B368" s="11" t="s">
        <v>56</v>
      </c>
      <c r="C368" s="22">
        <f t="shared" si="26"/>
        <v>25001620</v>
      </c>
      <c r="D368" s="11" t="str">
        <f t="shared" si="23"/>
        <v>SKIIFM_AT</v>
      </c>
      <c r="E368" s="11" t="str">
        <f>IF(I368&lt;&gt;"",VLOOKUP(F368,OPDRACHTGEVER!$A$2:$B$4,2,FALSE),"")</f>
        <v>SKIIFM_AT</v>
      </c>
      <c r="F368" s="11" t="s">
        <v>58</v>
      </c>
      <c r="I368" s="11" t="str">
        <f>IF(DATA!B367&lt;&gt;"",DATA!B367,"")</f>
        <v>CAAU5526759</v>
      </c>
      <c r="J368" s="12">
        <v>0</v>
      </c>
      <c r="K368" s="11" t="s">
        <v>53</v>
      </c>
      <c r="L368" s="11" t="str">
        <f t="shared" si="24"/>
        <v>850231</v>
      </c>
      <c r="M368" s="11" t="str">
        <f>IF(I368&lt;&gt;"",DATA!E367,"")</f>
        <v>FAN TYPE WIND TURBINE GENERATOR</v>
      </c>
      <c r="N368" s="12">
        <v>0</v>
      </c>
      <c r="O368" s="11">
        <f>IF(I368&lt;&gt;"",DATA!C367,"")</f>
        <v>173.55</v>
      </c>
      <c r="P368" s="2">
        <v>294094</v>
      </c>
      <c r="Q368" s="2" t="s">
        <v>1304</v>
      </c>
      <c r="R368" s="2" t="s">
        <v>1313</v>
      </c>
      <c r="S368" s="2">
        <v>349</v>
      </c>
      <c r="T368" s="2">
        <v>1</v>
      </c>
      <c r="U368" s="2" t="s">
        <v>141</v>
      </c>
      <c r="Y368" s="2">
        <v>1700</v>
      </c>
      <c r="Z368" s="11" t="s">
        <v>54</v>
      </c>
      <c r="AA368" s="11" t="str">
        <f t="shared" si="25"/>
        <v>1700 - TBN</v>
      </c>
      <c r="AC368" s="2" t="s">
        <v>145</v>
      </c>
      <c r="AD368" s="11" t="str">
        <f>IF($I368&lt;&gt;"",VLOOKUP($AC368,GEADRESSEERDE!$A$2:$E$4,2,),"")</f>
        <v>LUITHAGEN HAVEN 2 D</v>
      </c>
      <c r="AE368" s="11">
        <f>IF($I368&lt;&gt;"",VLOOKUP($AC368,GEADRESSEERDE!$A$2:$E$4,3,),"")</f>
        <v>2030</v>
      </c>
      <c r="AF368" s="11" t="str">
        <f>IF($I368&lt;&gt;"",VLOOKUP($AC368,GEADRESSEERDE!$A$2:$E$4,4,),"")</f>
        <v>ANTWERPEN</v>
      </c>
      <c r="AG368" s="11" t="str">
        <f>IF($I368&lt;&gt;"",VLOOKUP($AC368,GEADRESSEERDE!$A$2:$E$4,5,),"")</f>
        <v>BE</v>
      </c>
      <c r="AH368" s="11" t="str">
        <f>IF(I368&lt;&gt;"",VLOOKUP(AP368,KvB!$A$2:$B$3,2,FALSE),"")</f>
        <v>BE101000</v>
      </c>
      <c r="AI368" s="11" t="s">
        <v>55</v>
      </c>
      <c r="AJ368" s="11"/>
      <c r="AK368" s="11"/>
      <c r="AL368" s="11"/>
      <c r="AM368" s="11"/>
      <c r="AN368" s="11"/>
      <c r="AO368" s="11"/>
      <c r="AP368" s="2" t="s">
        <v>70</v>
      </c>
      <c r="AQ368" s="11" t="str">
        <f>IF(I368&lt;&gt;"",DATA!D367,"")</f>
        <v>8502310097</v>
      </c>
    </row>
    <row r="369" spans="1:43" ht="15.75" x14ac:dyDescent="0.25">
      <c r="A369" s="11" t="s">
        <v>57</v>
      </c>
      <c r="B369" s="11" t="s">
        <v>56</v>
      </c>
      <c r="C369" s="22">
        <f t="shared" si="26"/>
        <v>25001620</v>
      </c>
      <c r="D369" s="11" t="str">
        <f t="shared" si="23"/>
        <v>SKIIFM_AT</v>
      </c>
      <c r="E369" s="11" t="str">
        <f>IF(I369&lt;&gt;"",VLOOKUP(F369,OPDRACHTGEVER!$A$2:$B$4,2,FALSE),"")</f>
        <v>SKIIFM_AT</v>
      </c>
      <c r="F369" s="11" t="s">
        <v>58</v>
      </c>
      <c r="I369" s="11" t="str">
        <f>IF(DATA!B368&lt;&gt;"",DATA!B368,"")</f>
        <v>CAAU5526759</v>
      </c>
      <c r="J369" s="12">
        <v>0</v>
      </c>
      <c r="K369" s="11" t="s">
        <v>53</v>
      </c>
      <c r="L369" s="11" t="str">
        <f t="shared" si="24"/>
        <v>853110</v>
      </c>
      <c r="M369" s="11" t="str">
        <f>IF(I369&lt;&gt;"",DATA!E368,"")</f>
        <v>FIRE RESISTANT PAD</v>
      </c>
      <c r="N369" s="12">
        <v>0</v>
      </c>
      <c r="O369" s="11">
        <f>IF(I369&lt;&gt;"",DATA!C368,"")</f>
        <v>252.84</v>
      </c>
      <c r="P369" s="2">
        <v>294094</v>
      </c>
      <c r="Q369" s="2" t="s">
        <v>1304</v>
      </c>
      <c r="R369" s="2" t="s">
        <v>1313</v>
      </c>
      <c r="S369" s="2">
        <v>349</v>
      </c>
      <c r="T369" s="2">
        <v>1</v>
      </c>
      <c r="U369" s="2" t="s">
        <v>141</v>
      </c>
      <c r="Y369" s="2">
        <v>1700</v>
      </c>
      <c r="Z369" s="11" t="s">
        <v>54</v>
      </c>
      <c r="AA369" s="11" t="str">
        <f t="shared" si="25"/>
        <v>1700 - TBN</v>
      </c>
      <c r="AC369" s="2" t="s">
        <v>145</v>
      </c>
      <c r="AD369" s="11" t="str">
        <f>IF($I369&lt;&gt;"",VLOOKUP($AC369,GEADRESSEERDE!$A$2:$E$4,2,),"")</f>
        <v>LUITHAGEN HAVEN 2 D</v>
      </c>
      <c r="AE369" s="11">
        <f>IF($I369&lt;&gt;"",VLOOKUP($AC369,GEADRESSEERDE!$A$2:$E$4,3,),"")</f>
        <v>2030</v>
      </c>
      <c r="AF369" s="11" t="str">
        <f>IF($I369&lt;&gt;"",VLOOKUP($AC369,GEADRESSEERDE!$A$2:$E$4,4,),"")</f>
        <v>ANTWERPEN</v>
      </c>
      <c r="AG369" s="11" t="str">
        <f>IF($I369&lt;&gt;"",VLOOKUP($AC369,GEADRESSEERDE!$A$2:$E$4,5,),"")</f>
        <v>BE</v>
      </c>
      <c r="AH369" s="11" t="str">
        <f>IF(I369&lt;&gt;"",VLOOKUP(AP369,KvB!$A$2:$B$3,2,FALSE),"")</f>
        <v>BE101000</v>
      </c>
      <c r="AI369" s="11" t="s">
        <v>55</v>
      </c>
      <c r="AJ369" s="11"/>
      <c r="AK369" s="11"/>
      <c r="AL369" s="11"/>
      <c r="AM369" s="11"/>
      <c r="AN369" s="11"/>
      <c r="AO369" s="11"/>
      <c r="AP369" s="2" t="s">
        <v>70</v>
      </c>
      <c r="AQ369" s="11" t="str">
        <f>IF(I369&lt;&gt;"",DATA!D368,"")</f>
        <v>8531109590</v>
      </c>
    </row>
    <row r="370" spans="1:43" ht="15.75" x14ac:dyDescent="0.25">
      <c r="A370" s="11" t="s">
        <v>57</v>
      </c>
      <c r="B370" s="11" t="s">
        <v>56</v>
      </c>
      <c r="C370" s="22">
        <f t="shared" si="26"/>
        <v>25001620</v>
      </c>
      <c r="D370" s="11" t="str">
        <f t="shared" si="23"/>
        <v>SKIIFM_AT</v>
      </c>
      <c r="E370" s="11" t="str">
        <f>IF(I370&lt;&gt;"",VLOOKUP(F370,OPDRACHTGEVER!$A$2:$B$4,2,FALSE),"")</f>
        <v>SKIIFM_AT</v>
      </c>
      <c r="F370" s="11" t="s">
        <v>58</v>
      </c>
      <c r="I370" s="11" t="str">
        <f>IF(DATA!B369&lt;&gt;"",DATA!B369,"")</f>
        <v>CAAU5526759</v>
      </c>
      <c r="J370" s="12">
        <v>0</v>
      </c>
      <c r="K370" s="11" t="s">
        <v>53</v>
      </c>
      <c r="L370" s="11" t="str">
        <f t="shared" si="24"/>
        <v>741920</v>
      </c>
      <c r="M370" s="11" t="str">
        <f>IF(I370&lt;&gt;"",DATA!E369,"")</f>
        <v>FOLDING SAFETY DOOR</v>
      </c>
      <c r="N370" s="12">
        <v>0</v>
      </c>
      <c r="O370" s="11">
        <f>IF(I370&lt;&gt;"",DATA!C369,"")</f>
        <v>151.5</v>
      </c>
      <c r="P370" s="2">
        <v>294094</v>
      </c>
      <c r="Q370" s="2" t="s">
        <v>1304</v>
      </c>
      <c r="R370" s="2" t="s">
        <v>1313</v>
      </c>
      <c r="S370" s="2">
        <v>349</v>
      </c>
      <c r="T370" s="2">
        <v>1</v>
      </c>
      <c r="U370" s="2" t="s">
        <v>141</v>
      </c>
      <c r="Y370" s="2">
        <v>1700</v>
      </c>
      <c r="Z370" s="11" t="s">
        <v>54</v>
      </c>
      <c r="AA370" s="11" t="str">
        <f t="shared" si="25"/>
        <v>1700 - TBN</v>
      </c>
      <c r="AC370" s="2" t="s">
        <v>145</v>
      </c>
      <c r="AD370" s="11" t="str">
        <f>IF($I370&lt;&gt;"",VLOOKUP($AC370,GEADRESSEERDE!$A$2:$E$4,2,),"")</f>
        <v>LUITHAGEN HAVEN 2 D</v>
      </c>
      <c r="AE370" s="11">
        <f>IF($I370&lt;&gt;"",VLOOKUP($AC370,GEADRESSEERDE!$A$2:$E$4,3,),"")</f>
        <v>2030</v>
      </c>
      <c r="AF370" s="11" t="str">
        <f>IF($I370&lt;&gt;"",VLOOKUP($AC370,GEADRESSEERDE!$A$2:$E$4,4,),"")</f>
        <v>ANTWERPEN</v>
      </c>
      <c r="AG370" s="11" t="str">
        <f>IF($I370&lt;&gt;"",VLOOKUP($AC370,GEADRESSEERDE!$A$2:$E$4,5,),"")</f>
        <v>BE</v>
      </c>
      <c r="AH370" s="11" t="str">
        <f>IF(I370&lt;&gt;"",VLOOKUP(AP370,KvB!$A$2:$B$3,2,FALSE),"")</f>
        <v>BE101000</v>
      </c>
      <c r="AI370" s="11" t="s">
        <v>55</v>
      </c>
      <c r="AJ370" s="11"/>
      <c r="AK370" s="11"/>
      <c r="AL370" s="11"/>
      <c r="AM370" s="11"/>
      <c r="AN370" s="11"/>
      <c r="AO370" s="11"/>
      <c r="AP370" s="2" t="s">
        <v>70</v>
      </c>
      <c r="AQ370" s="11" t="str">
        <f>IF(I370&lt;&gt;"",DATA!D369,"")</f>
        <v>7419200090</v>
      </c>
    </row>
    <row r="371" spans="1:43" ht="15.75" x14ac:dyDescent="0.25">
      <c r="A371" s="11" t="s">
        <v>57</v>
      </c>
      <c r="B371" s="11" t="s">
        <v>56</v>
      </c>
      <c r="C371" s="22">
        <f t="shared" si="26"/>
        <v>25001620</v>
      </c>
      <c r="D371" s="11" t="str">
        <f t="shared" si="23"/>
        <v>SKIIFM_AT</v>
      </c>
      <c r="E371" s="11" t="str">
        <f>IF(I371&lt;&gt;"",VLOOKUP(F371,OPDRACHTGEVER!$A$2:$B$4,2,FALSE),"")</f>
        <v>SKIIFM_AT</v>
      </c>
      <c r="F371" s="11" t="s">
        <v>58</v>
      </c>
      <c r="I371" s="11" t="str">
        <f>IF(DATA!B370&lt;&gt;"",DATA!B370,"")</f>
        <v>CAAU5526759</v>
      </c>
      <c r="J371" s="12">
        <v>0</v>
      </c>
      <c r="K371" s="11" t="s">
        <v>53</v>
      </c>
      <c r="L371" s="11" t="str">
        <f t="shared" si="24"/>
        <v>843120</v>
      </c>
      <c r="M371" s="11" t="str">
        <f>IF(I371&lt;&gt;"",DATA!E370,"")</f>
        <v>FORKLIFT HOOK RACK</v>
      </c>
      <c r="N371" s="12">
        <v>0</v>
      </c>
      <c r="O371" s="11">
        <f>IF(I371&lt;&gt;"",DATA!C370,"")</f>
        <v>717.34</v>
      </c>
      <c r="P371" s="2">
        <v>294094</v>
      </c>
      <c r="Q371" s="2" t="s">
        <v>1304</v>
      </c>
      <c r="R371" s="2" t="s">
        <v>1313</v>
      </c>
      <c r="S371" s="2">
        <v>349</v>
      </c>
      <c r="T371" s="2">
        <v>1</v>
      </c>
      <c r="U371" s="2" t="s">
        <v>141</v>
      </c>
      <c r="Y371" s="2">
        <v>1700</v>
      </c>
      <c r="Z371" s="11" t="s">
        <v>54</v>
      </c>
      <c r="AA371" s="11" t="str">
        <f t="shared" si="25"/>
        <v>1700 - TBN</v>
      </c>
      <c r="AC371" s="2" t="s">
        <v>145</v>
      </c>
      <c r="AD371" s="11" t="str">
        <f>IF($I371&lt;&gt;"",VLOOKUP($AC371,GEADRESSEERDE!$A$2:$E$4,2,),"")</f>
        <v>LUITHAGEN HAVEN 2 D</v>
      </c>
      <c r="AE371" s="11">
        <f>IF($I371&lt;&gt;"",VLOOKUP($AC371,GEADRESSEERDE!$A$2:$E$4,3,),"")</f>
        <v>2030</v>
      </c>
      <c r="AF371" s="11" t="str">
        <f>IF($I371&lt;&gt;"",VLOOKUP($AC371,GEADRESSEERDE!$A$2:$E$4,4,),"")</f>
        <v>ANTWERPEN</v>
      </c>
      <c r="AG371" s="11" t="str">
        <f>IF($I371&lt;&gt;"",VLOOKUP($AC371,GEADRESSEERDE!$A$2:$E$4,5,),"")</f>
        <v>BE</v>
      </c>
      <c r="AH371" s="11" t="str">
        <f>IF(I371&lt;&gt;"",VLOOKUP(AP371,KvB!$A$2:$B$3,2,FALSE),"")</f>
        <v>BE101000</v>
      </c>
      <c r="AI371" s="11" t="s">
        <v>55</v>
      </c>
      <c r="AJ371" s="11"/>
      <c r="AK371" s="11"/>
      <c r="AL371" s="11"/>
      <c r="AM371" s="11"/>
      <c r="AN371" s="11"/>
      <c r="AO371" s="11"/>
      <c r="AP371" s="2" t="s">
        <v>70</v>
      </c>
      <c r="AQ371" s="11" t="str">
        <f>IF(I371&lt;&gt;"",DATA!D370,"")</f>
        <v>8431200080</v>
      </c>
    </row>
    <row r="372" spans="1:43" ht="15.75" x14ac:dyDescent="0.25">
      <c r="A372" s="11" t="s">
        <v>57</v>
      </c>
      <c r="B372" s="11" t="s">
        <v>56</v>
      </c>
      <c r="C372" s="22">
        <f t="shared" si="26"/>
        <v>25001620</v>
      </c>
      <c r="D372" s="11" t="str">
        <f t="shared" ref="D372:D435" si="27">E372</f>
        <v>SKIIFM_AT</v>
      </c>
      <c r="E372" s="11" t="str">
        <f>IF(I372&lt;&gt;"",VLOOKUP(F372,OPDRACHTGEVER!$A$2:$B$4,2,FALSE),"")</f>
        <v>SKIIFM_AT</v>
      </c>
      <c r="F372" s="11" t="s">
        <v>58</v>
      </c>
      <c r="I372" s="11" t="str">
        <f>IF(DATA!B371&lt;&gt;"",DATA!B371,"")</f>
        <v>CAAU5526759</v>
      </c>
      <c r="J372" s="12">
        <v>0</v>
      </c>
      <c r="K372" s="11" t="s">
        <v>53</v>
      </c>
      <c r="L372" s="11" t="str">
        <f t="shared" ref="L372:L435" si="28">LEFT(AQ372,6)</f>
        <v>940120</v>
      </c>
      <c r="M372" s="11" t="str">
        <f>IF(I372&lt;&gt;"",DATA!E371,"")</f>
        <v>FORKLIFT SEAT</v>
      </c>
      <c r="N372" s="12">
        <v>0</v>
      </c>
      <c r="O372" s="11">
        <f>IF(I372&lt;&gt;"",DATA!C371,"")</f>
        <v>92.75</v>
      </c>
      <c r="P372" s="2">
        <v>294094</v>
      </c>
      <c r="Q372" s="2" t="s">
        <v>1304</v>
      </c>
      <c r="R372" s="2" t="s">
        <v>1313</v>
      </c>
      <c r="S372" s="2">
        <v>349</v>
      </c>
      <c r="T372" s="2">
        <v>1</v>
      </c>
      <c r="U372" s="2" t="s">
        <v>141</v>
      </c>
      <c r="Y372" s="2">
        <v>1700</v>
      </c>
      <c r="Z372" s="11" t="s">
        <v>54</v>
      </c>
      <c r="AA372" s="11" t="str">
        <f t="shared" ref="AA372:AA435" si="29">IF(I372&lt;&gt;"",Y372&amp;" - "&amp;Z372,"")</f>
        <v>1700 - TBN</v>
      </c>
      <c r="AC372" s="2" t="s">
        <v>145</v>
      </c>
      <c r="AD372" s="11" t="str">
        <f>IF($I372&lt;&gt;"",VLOOKUP($AC372,GEADRESSEERDE!$A$2:$E$4,2,),"")</f>
        <v>LUITHAGEN HAVEN 2 D</v>
      </c>
      <c r="AE372" s="11">
        <f>IF($I372&lt;&gt;"",VLOOKUP($AC372,GEADRESSEERDE!$A$2:$E$4,3,),"")</f>
        <v>2030</v>
      </c>
      <c r="AF372" s="11" t="str">
        <f>IF($I372&lt;&gt;"",VLOOKUP($AC372,GEADRESSEERDE!$A$2:$E$4,4,),"")</f>
        <v>ANTWERPEN</v>
      </c>
      <c r="AG372" s="11" t="str">
        <f>IF($I372&lt;&gt;"",VLOOKUP($AC372,GEADRESSEERDE!$A$2:$E$4,5,),"")</f>
        <v>BE</v>
      </c>
      <c r="AH372" s="11" t="str">
        <f>IF(I372&lt;&gt;"",VLOOKUP(AP372,KvB!$A$2:$B$3,2,FALSE),"")</f>
        <v>BE101000</v>
      </c>
      <c r="AI372" s="11" t="s">
        <v>55</v>
      </c>
      <c r="AJ372" s="11"/>
      <c r="AK372" s="11"/>
      <c r="AL372" s="11"/>
      <c r="AM372" s="11"/>
      <c r="AN372" s="11"/>
      <c r="AO372" s="11"/>
      <c r="AP372" s="2" t="s">
        <v>70</v>
      </c>
      <c r="AQ372" s="11" t="str">
        <f>IF(I372&lt;&gt;"",DATA!D371,"")</f>
        <v>9401200000</v>
      </c>
    </row>
    <row r="373" spans="1:43" ht="15.75" x14ac:dyDescent="0.25">
      <c r="A373" s="11" t="s">
        <v>57</v>
      </c>
      <c r="B373" s="11" t="s">
        <v>56</v>
      </c>
      <c r="C373" s="22">
        <f t="shared" si="26"/>
        <v>25001620</v>
      </c>
      <c r="D373" s="11" t="str">
        <f t="shared" si="27"/>
        <v>SKIIFM_AT</v>
      </c>
      <c r="E373" s="11" t="str">
        <f>IF(I373&lt;&gt;"",VLOOKUP(F373,OPDRACHTGEVER!$A$2:$B$4,2,FALSE),"")</f>
        <v>SKIIFM_AT</v>
      </c>
      <c r="F373" s="11" t="s">
        <v>58</v>
      </c>
      <c r="I373" s="11" t="str">
        <f>IF(DATA!B372&lt;&gt;"",DATA!B372,"")</f>
        <v>CAAU5526759</v>
      </c>
      <c r="J373" s="12">
        <v>0</v>
      </c>
      <c r="K373" s="11" t="s">
        <v>53</v>
      </c>
      <c r="L373" s="11" t="str">
        <f t="shared" si="28"/>
        <v>741920</v>
      </c>
      <c r="M373" s="11" t="str">
        <f>IF(I373&lt;&gt;"",DATA!E372,"")</f>
        <v>GAME TABLE</v>
      </c>
      <c r="N373" s="12">
        <v>0</v>
      </c>
      <c r="O373" s="11">
        <f>IF(I373&lt;&gt;"",DATA!C372,"")</f>
        <v>178.5</v>
      </c>
      <c r="P373" s="2">
        <v>294094</v>
      </c>
      <c r="Q373" s="2" t="s">
        <v>1304</v>
      </c>
      <c r="R373" s="2" t="s">
        <v>1313</v>
      </c>
      <c r="S373" s="2">
        <v>349</v>
      </c>
      <c r="T373" s="2">
        <v>1</v>
      </c>
      <c r="U373" s="2" t="s">
        <v>141</v>
      </c>
      <c r="Y373" s="2">
        <v>1700</v>
      </c>
      <c r="Z373" s="11" t="s">
        <v>54</v>
      </c>
      <c r="AA373" s="11" t="str">
        <f t="shared" si="29"/>
        <v>1700 - TBN</v>
      </c>
      <c r="AC373" s="2" t="s">
        <v>145</v>
      </c>
      <c r="AD373" s="11" t="str">
        <f>IF($I373&lt;&gt;"",VLOOKUP($AC373,GEADRESSEERDE!$A$2:$E$4,2,),"")</f>
        <v>LUITHAGEN HAVEN 2 D</v>
      </c>
      <c r="AE373" s="11">
        <f>IF($I373&lt;&gt;"",VLOOKUP($AC373,GEADRESSEERDE!$A$2:$E$4,3,),"")</f>
        <v>2030</v>
      </c>
      <c r="AF373" s="11" t="str">
        <f>IF($I373&lt;&gt;"",VLOOKUP($AC373,GEADRESSEERDE!$A$2:$E$4,4,),"")</f>
        <v>ANTWERPEN</v>
      </c>
      <c r="AG373" s="11" t="str">
        <f>IF($I373&lt;&gt;"",VLOOKUP($AC373,GEADRESSEERDE!$A$2:$E$4,5,),"")</f>
        <v>BE</v>
      </c>
      <c r="AH373" s="11" t="str">
        <f>IF(I373&lt;&gt;"",VLOOKUP(AP373,KvB!$A$2:$B$3,2,FALSE),"")</f>
        <v>BE101000</v>
      </c>
      <c r="AI373" s="11" t="s">
        <v>55</v>
      </c>
      <c r="AJ373" s="11"/>
      <c r="AK373" s="11"/>
      <c r="AL373" s="11"/>
      <c r="AM373" s="11"/>
      <c r="AN373" s="11"/>
      <c r="AO373" s="11"/>
      <c r="AP373" s="2" t="s">
        <v>70</v>
      </c>
      <c r="AQ373" s="11" t="str">
        <f>IF(I373&lt;&gt;"",DATA!D372,"")</f>
        <v>7419200090</v>
      </c>
    </row>
    <row r="374" spans="1:43" ht="15.75" x14ac:dyDescent="0.25">
      <c r="A374" s="11" t="s">
        <v>57</v>
      </c>
      <c r="B374" s="11" t="s">
        <v>56</v>
      </c>
      <c r="C374" s="22">
        <f t="shared" si="26"/>
        <v>25001620</v>
      </c>
      <c r="D374" s="11" t="str">
        <f t="shared" si="27"/>
        <v>SKIIFM_AT</v>
      </c>
      <c r="E374" s="11" t="str">
        <f>IF(I374&lt;&gt;"",VLOOKUP(F374,OPDRACHTGEVER!$A$2:$B$4,2,FALSE),"")</f>
        <v>SKIIFM_AT</v>
      </c>
      <c r="F374" s="11" t="s">
        <v>58</v>
      </c>
      <c r="I374" s="11" t="str">
        <f>IF(DATA!B373&lt;&gt;"",DATA!B373,"")</f>
        <v>CAAU5526759</v>
      </c>
      <c r="J374" s="12">
        <v>0</v>
      </c>
      <c r="K374" s="11" t="s">
        <v>53</v>
      </c>
      <c r="L374" s="11" t="str">
        <f t="shared" si="28"/>
        <v>392020</v>
      </c>
      <c r="M374" s="11" t="str">
        <f>IF(I374&lt;&gt;"",DATA!E373,"")</f>
        <v>GARAGE FLOOR MATS</v>
      </c>
      <c r="N374" s="12">
        <v>0</v>
      </c>
      <c r="O374" s="11">
        <f>IF(I374&lt;&gt;"",DATA!C373,"")</f>
        <v>420.6</v>
      </c>
      <c r="P374" s="2">
        <v>294094</v>
      </c>
      <c r="Q374" s="2" t="s">
        <v>1304</v>
      </c>
      <c r="R374" s="2" t="s">
        <v>1313</v>
      </c>
      <c r="S374" s="2">
        <v>349</v>
      </c>
      <c r="T374" s="2">
        <v>1</v>
      </c>
      <c r="U374" s="2" t="s">
        <v>141</v>
      </c>
      <c r="Y374" s="2">
        <v>1700</v>
      </c>
      <c r="Z374" s="11" t="s">
        <v>54</v>
      </c>
      <c r="AA374" s="11" t="str">
        <f t="shared" si="29"/>
        <v>1700 - TBN</v>
      </c>
      <c r="AC374" s="2" t="s">
        <v>145</v>
      </c>
      <c r="AD374" s="11" t="str">
        <f>IF($I374&lt;&gt;"",VLOOKUP($AC374,GEADRESSEERDE!$A$2:$E$4,2,),"")</f>
        <v>LUITHAGEN HAVEN 2 D</v>
      </c>
      <c r="AE374" s="11">
        <f>IF($I374&lt;&gt;"",VLOOKUP($AC374,GEADRESSEERDE!$A$2:$E$4,3,),"")</f>
        <v>2030</v>
      </c>
      <c r="AF374" s="11" t="str">
        <f>IF($I374&lt;&gt;"",VLOOKUP($AC374,GEADRESSEERDE!$A$2:$E$4,4,),"")</f>
        <v>ANTWERPEN</v>
      </c>
      <c r="AG374" s="11" t="str">
        <f>IF($I374&lt;&gt;"",VLOOKUP($AC374,GEADRESSEERDE!$A$2:$E$4,5,),"")</f>
        <v>BE</v>
      </c>
      <c r="AH374" s="11" t="str">
        <f>IF(I374&lt;&gt;"",VLOOKUP(AP374,KvB!$A$2:$B$3,2,FALSE),"")</f>
        <v>BE101000</v>
      </c>
      <c r="AI374" s="11" t="s">
        <v>55</v>
      </c>
      <c r="AJ374" s="11"/>
      <c r="AK374" s="11"/>
      <c r="AL374" s="11"/>
      <c r="AM374" s="11"/>
      <c r="AN374" s="11"/>
      <c r="AO374" s="11"/>
      <c r="AP374" s="2" t="s">
        <v>70</v>
      </c>
      <c r="AQ374" s="11" t="str">
        <f>IF(I374&lt;&gt;"",DATA!D373,"")</f>
        <v>3920208090</v>
      </c>
    </row>
    <row r="375" spans="1:43" ht="15.75" x14ac:dyDescent="0.25">
      <c r="A375" s="11" t="s">
        <v>57</v>
      </c>
      <c r="B375" s="11" t="s">
        <v>56</v>
      </c>
      <c r="C375" s="22">
        <f t="shared" si="26"/>
        <v>25001620</v>
      </c>
      <c r="D375" s="11" t="str">
        <f t="shared" si="27"/>
        <v>SKIIFM_AT</v>
      </c>
      <c r="E375" s="11" t="str">
        <f>IF(I375&lt;&gt;"",VLOOKUP(F375,OPDRACHTGEVER!$A$2:$B$4,2,FALSE),"")</f>
        <v>SKIIFM_AT</v>
      </c>
      <c r="F375" s="11" t="s">
        <v>58</v>
      </c>
      <c r="I375" s="11" t="str">
        <f>IF(DATA!B374&lt;&gt;"",DATA!B374,"")</f>
        <v>CAAU5526759</v>
      </c>
      <c r="J375" s="12">
        <v>0</v>
      </c>
      <c r="K375" s="11" t="s">
        <v>53</v>
      </c>
      <c r="L375" s="11" t="str">
        <f t="shared" si="28"/>
        <v>741920</v>
      </c>
      <c r="M375" s="11" t="str">
        <f>IF(I375&lt;&gt;"",DATA!E374,"")</f>
        <v>HANDRAIL</v>
      </c>
      <c r="N375" s="12">
        <v>0</v>
      </c>
      <c r="O375" s="11">
        <f>IF(I375&lt;&gt;"",DATA!C374,"")</f>
        <v>278.60000000000002</v>
      </c>
      <c r="P375" s="2">
        <v>294094</v>
      </c>
      <c r="Q375" s="2" t="s">
        <v>1304</v>
      </c>
      <c r="R375" s="2" t="s">
        <v>1313</v>
      </c>
      <c r="S375" s="2">
        <v>349</v>
      </c>
      <c r="T375" s="2">
        <v>1</v>
      </c>
      <c r="U375" s="2" t="s">
        <v>141</v>
      </c>
      <c r="Y375" s="2">
        <v>1700</v>
      </c>
      <c r="Z375" s="11" t="s">
        <v>54</v>
      </c>
      <c r="AA375" s="11" t="str">
        <f t="shared" si="29"/>
        <v>1700 - TBN</v>
      </c>
      <c r="AC375" s="2" t="s">
        <v>145</v>
      </c>
      <c r="AD375" s="11" t="str">
        <f>IF($I375&lt;&gt;"",VLOOKUP($AC375,GEADRESSEERDE!$A$2:$E$4,2,),"")</f>
        <v>LUITHAGEN HAVEN 2 D</v>
      </c>
      <c r="AE375" s="11">
        <f>IF($I375&lt;&gt;"",VLOOKUP($AC375,GEADRESSEERDE!$A$2:$E$4,3,),"")</f>
        <v>2030</v>
      </c>
      <c r="AF375" s="11" t="str">
        <f>IF($I375&lt;&gt;"",VLOOKUP($AC375,GEADRESSEERDE!$A$2:$E$4,4,),"")</f>
        <v>ANTWERPEN</v>
      </c>
      <c r="AG375" s="11" t="str">
        <f>IF($I375&lt;&gt;"",VLOOKUP($AC375,GEADRESSEERDE!$A$2:$E$4,5,),"")</f>
        <v>BE</v>
      </c>
      <c r="AH375" s="11" t="str">
        <f>IF(I375&lt;&gt;"",VLOOKUP(AP375,KvB!$A$2:$B$3,2,FALSE),"")</f>
        <v>BE101000</v>
      </c>
      <c r="AI375" s="11" t="s">
        <v>55</v>
      </c>
      <c r="AJ375" s="11"/>
      <c r="AK375" s="11"/>
      <c r="AL375" s="11"/>
      <c r="AM375" s="11"/>
      <c r="AN375" s="11"/>
      <c r="AO375" s="11"/>
      <c r="AP375" s="2" t="s">
        <v>70</v>
      </c>
      <c r="AQ375" s="11" t="str">
        <f>IF(I375&lt;&gt;"",DATA!D374,"")</f>
        <v>7419200090</v>
      </c>
    </row>
    <row r="376" spans="1:43" ht="15.75" x14ac:dyDescent="0.25">
      <c r="A376" s="11" t="s">
        <v>57</v>
      </c>
      <c r="B376" s="11" t="s">
        <v>56</v>
      </c>
      <c r="C376" s="22">
        <f t="shared" si="26"/>
        <v>25001620</v>
      </c>
      <c r="D376" s="11" t="str">
        <f t="shared" si="27"/>
        <v>SKIIFM_AT</v>
      </c>
      <c r="E376" s="11" t="str">
        <f>IF(I376&lt;&gt;"",VLOOKUP(F376,OPDRACHTGEVER!$A$2:$B$4,2,FALSE),"")</f>
        <v>SKIIFM_AT</v>
      </c>
      <c r="F376" s="11" t="s">
        <v>58</v>
      </c>
      <c r="I376" s="11" t="str">
        <f>IF(DATA!B375&lt;&gt;"",DATA!B375,"")</f>
        <v>CAAU5526759</v>
      </c>
      <c r="J376" s="12">
        <v>0</v>
      </c>
      <c r="K376" s="11" t="s">
        <v>53</v>
      </c>
      <c r="L376" s="11" t="str">
        <f t="shared" si="28"/>
        <v>741920</v>
      </c>
      <c r="M376" s="11" t="str">
        <f>IF(I376&lt;&gt;"",DATA!E375,"")</f>
        <v>HARDWARE BRACKET</v>
      </c>
      <c r="N376" s="12">
        <v>0</v>
      </c>
      <c r="O376" s="11">
        <f>IF(I376&lt;&gt;"",DATA!C375,"")</f>
        <v>154</v>
      </c>
      <c r="P376" s="2">
        <v>294094</v>
      </c>
      <c r="Q376" s="2" t="s">
        <v>1304</v>
      </c>
      <c r="R376" s="2" t="s">
        <v>1313</v>
      </c>
      <c r="S376" s="2">
        <v>349</v>
      </c>
      <c r="T376" s="2">
        <v>1</v>
      </c>
      <c r="U376" s="2" t="s">
        <v>141</v>
      </c>
      <c r="Y376" s="2">
        <v>1700</v>
      </c>
      <c r="Z376" s="11" t="s">
        <v>54</v>
      </c>
      <c r="AA376" s="11" t="str">
        <f t="shared" si="29"/>
        <v>1700 - TBN</v>
      </c>
      <c r="AC376" s="2" t="s">
        <v>145</v>
      </c>
      <c r="AD376" s="11" t="str">
        <f>IF($I376&lt;&gt;"",VLOOKUP($AC376,GEADRESSEERDE!$A$2:$E$4,2,),"")</f>
        <v>LUITHAGEN HAVEN 2 D</v>
      </c>
      <c r="AE376" s="11">
        <f>IF($I376&lt;&gt;"",VLOOKUP($AC376,GEADRESSEERDE!$A$2:$E$4,3,),"")</f>
        <v>2030</v>
      </c>
      <c r="AF376" s="11" t="str">
        <f>IF($I376&lt;&gt;"",VLOOKUP($AC376,GEADRESSEERDE!$A$2:$E$4,4,),"")</f>
        <v>ANTWERPEN</v>
      </c>
      <c r="AG376" s="11" t="str">
        <f>IF($I376&lt;&gt;"",VLOOKUP($AC376,GEADRESSEERDE!$A$2:$E$4,5,),"")</f>
        <v>BE</v>
      </c>
      <c r="AH376" s="11" t="str">
        <f>IF(I376&lt;&gt;"",VLOOKUP(AP376,KvB!$A$2:$B$3,2,FALSE),"")</f>
        <v>BE101000</v>
      </c>
      <c r="AI376" s="11" t="s">
        <v>55</v>
      </c>
      <c r="AJ376" s="11"/>
      <c r="AK376" s="11"/>
      <c r="AL376" s="11"/>
      <c r="AM376" s="11"/>
      <c r="AN376" s="11"/>
      <c r="AO376" s="11"/>
      <c r="AP376" s="2" t="s">
        <v>70</v>
      </c>
      <c r="AQ376" s="11" t="str">
        <f>IF(I376&lt;&gt;"",DATA!D375,"")</f>
        <v>7419200090</v>
      </c>
    </row>
    <row r="377" spans="1:43" ht="15.75" x14ac:dyDescent="0.25">
      <c r="A377" s="11" t="s">
        <v>57</v>
      </c>
      <c r="B377" s="11" t="s">
        <v>56</v>
      </c>
      <c r="C377" s="22">
        <f t="shared" si="26"/>
        <v>25001620</v>
      </c>
      <c r="D377" s="11" t="str">
        <f t="shared" si="27"/>
        <v>SKIIFM_AT</v>
      </c>
      <c r="E377" s="11" t="str">
        <f>IF(I377&lt;&gt;"",VLOOKUP(F377,OPDRACHTGEVER!$A$2:$B$4,2,FALSE),"")</f>
        <v>SKIIFM_AT</v>
      </c>
      <c r="F377" s="11" t="s">
        <v>58</v>
      </c>
      <c r="I377" s="11" t="str">
        <f>IF(DATA!B376&lt;&gt;"",DATA!B376,"")</f>
        <v>CAAU5526759</v>
      </c>
      <c r="J377" s="12">
        <v>0</v>
      </c>
      <c r="K377" s="11" t="s">
        <v>53</v>
      </c>
      <c r="L377" s="11" t="str">
        <f t="shared" si="28"/>
        <v>844339</v>
      </c>
      <c r="M377" s="11" t="str">
        <f>IF(I377&lt;&gt;"",DATA!E376,"")</f>
        <v>HEAT PRESS MACHINE</v>
      </c>
      <c r="N377" s="12">
        <v>0</v>
      </c>
      <c r="O377" s="11">
        <f>IF(I377&lt;&gt;"",DATA!C376,"")</f>
        <v>402.25</v>
      </c>
      <c r="P377" s="2">
        <v>294094</v>
      </c>
      <c r="Q377" s="2" t="s">
        <v>1304</v>
      </c>
      <c r="R377" s="2" t="s">
        <v>1313</v>
      </c>
      <c r="S377" s="2">
        <v>349</v>
      </c>
      <c r="T377" s="2">
        <v>1</v>
      </c>
      <c r="U377" s="2" t="s">
        <v>141</v>
      </c>
      <c r="Y377" s="2">
        <v>1700</v>
      </c>
      <c r="Z377" s="11" t="s">
        <v>54</v>
      </c>
      <c r="AA377" s="11" t="str">
        <f t="shared" si="29"/>
        <v>1700 - TBN</v>
      </c>
      <c r="AC377" s="2" t="s">
        <v>145</v>
      </c>
      <c r="AD377" s="11" t="str">
        <f>IF($I377&lt;&gt;"",VLOOKUP($AC377,GEADRESSEERDE!$A$2:$E$4,2,),"")</f>
        <v>LUITHAGEN HAVEN 2 D</v>
      </c>
      <c r="AE377" s="11">
        <f>IF($I377&lt;&gt;"",VLOOKUP($AC377,GEADRESSEERDE!$A$2:$E$4,3,),"")</f>
        <v>2030</v>
      </c>
      <c r="AF377" s="11" t="str">
        <f>IF($I377&lt;&gt;"",VLOOKUP($AC377,GEADRESSEERDE!$A$2:$E$4,4,),"")</f>
        <v>ANTWERPEN</v>
      </c>
      <c r="AG377" s="11" t="str">
        <f>IF($I377&lt;&gt;"",VLOOKUP($AC377,GEADRESSEERDE!$A$2:$E$4,5,),"")</f>
        <v>BE</v>
      </c>
      <c r="AH377" s="11" t="str">
        <f>IF(I377&lt;&gt;"",VLOOKUP(AP377,KvB!$A$2:$B$3,2,FALSE),"")</f>
        <v>BE101000</v>
      </c>
      <c r="AI377" s="11" t="s">
        <v>55</v>
      </c>
      <c r="AJ377" s="11"/>
      <c r="AK377" s="11"/>
      <c r="AL377" s="11"/>
      <c r="AM377" s="11"/>
      <c r="AN377" s="11"/>
      <c r="AO377" s="11"/>
      <c r="AP377" s="2" t="s">
        <v>70</v>
      </c>
      <c r="AQ377" s="11" t="str">
        <f>IF(I377&lt;&gt;"",DATA!D376,"")</f>
        <v>8443390000</v>
      </c>
    </row>
    <row r="378" spans="1:43" ht="15.75" x14ac:dyDescent="0.25">
      <c r="A378" s="11" t="s">
        <v>57</v>
      </c>
      <c r="B378" s="11" t="s">
        <v>56</v>
      </c>
      <c r="C378" s="22">
        <f t="shared" si="26"/>
        <v>25001620</v>
      </c>
      <c r="D378" s="11" t="str">
        <f t="shared" si="27"/>
        <v>SKIIFM_AT</v>
      </c>
      <c r="E378" s="11" t="str">
        <f>IF(I378&lt;&gt;"",VLOOKUP(F378,OPDRACHTGEVER!$A$2:$B$4,2,FALSE),"")</f>
        <v>SKIIFM_AT</v>
      </c>
      <c r="F378" s="11" t="s">
        <v>58</v>
      </c>
      <c r="I378" s="11" t="str">
        <f>IF(DATA!B377&lt;&gt;"",DATA!B377,"")</f>
        <v>CAAU5526759</v>
      </c>
      <c r="J378" s="12">
        <v>0</v>
      </c>
      <c r="K378" s="11" t="s">
        <v>53</v>
      </c>
      <c r="L378" s="11" t="str">
        <f t="shared" si="28"/>
        <v>841940</v>
      </c>
      <c r="M378" s="11" t="str">
        <f>IF(I378&lt;&gt;"",DATA!E377,"")</f>
        <v>HOMEMADE ESSENTIAL OIL KIT</v>
      </c>
      <c r="N378" s="12">
        <v>0</v>
      </c>
      <c r="O378" s="11">
        <f>IF(I378&lt;&gt;"",DATA!C377,"")</f>
        <v>61.75</v>
      </c>
      <c r="P378" s="2">
        <v>294094</v>
      </c>
      <c r="Q378" s="2" t="s">
        <v>1304</v>
      </c>
      <c r="R378" s="2" t="s">
        <v>1313</v>
      </c>
      <c r="S378" s="2">
        <v>349</v>
      </c>
      <c r="T378" s="2">
        <v>1</v>
      </c>
      <c r="U378" s="2" t="s">
        <v>141</v>
      </c>
      <c r="Y378" s="2">
        <v>1700</v>
      </c>
      <c r="Z378" s="11" t="s">
        <v>54</v>
      </c>
      <c r="AA378" s="11" t="str">
        <f t="shared" si="29"/>
        <v>1700 - TBN</v>
      </c>
      <c r="AC378" s="2" t="s">
        <v>145</v>
      </c>
      <c r="AD378" s="11" t="str">
        <f>IF($I378&lt;&gt;"",VLOOKUP($AC378,GEADRESSEERDE!$A$2:$E$4,2,),"")</f>
        <v>LUITHAGEN HAVEN 2 D</v>
      </c>
      <c r="AE378" s="11">
        <f>IF($I378&lt;&gt;"",VLOOKUP($AC378,GEADRESSEERDE!$A$2:$E$4,3,),"")</f>
        <v>2030</v>
      </c>
      <c r="AF378" s="11" t="str">
        <f>IF($I378&lt;&gt;"",VLOOKUP($AC378,GEADRESSEERDE!$A$2:$E$4,4,),"")</f>
        <v>ANTWERPEN</v>
      </c>
      <c r="AG378" s="11" t="str">
        <f>IF($I378&lt;&gt;"",VLOOKUP($AC378,GEADRESSEERDE!$A$2:$E$4,5,),"")</f>
        <v>BE</v>
      </c>
      <c r="AH378" s="11" t="str">
        <f>IF(I378&lt;&gt;"",VLOOKUP(AP378,KvB!$A$2:$B$3,2,FALSE),"")</f>
        <v>BE101000</v>
      </c>
      <c r="AI378" s="11" t="s">
        <v>55</v>
      </c>
      <c r="AJ378" s="11"/>
      <c r="AK378" s="11"/>
      <c r="AL378" s="11"/>
      <c r="AM378" s="11"/>
      <c r="AN378" s="11"/>
      <c r="AO378" s="11"/>
      <c r="AP378" s="2" t="s">
        <v>70</v>
      </c>
      <c r="AQ378" s="11" t="str">
        <f>IF(I378&lt;&gt;"",DATA!D377,"")</f>
        <v>8419400090</v>
      </c>
    </row>
    <row r="379" spans="1:43" ht="15.75" x14ac:dyDescent="0.25">
      <c r="A379" s="11" t="s">
        <v>57</v>
      </c>
      <c r="B379" s="11" t="s">
        <v>56</v>
      </c>
      <c r="C379" s="22">
        <f t="shared" si="26"/>
        <v>25001620</v>
      </c>
      <c r="D379" s="11" t="str">
        <f t="shared" si="27"/>
        <v>SKIIFM_AT</v>
      </c>
      <c r="E379" s="11" t="str">
        <f>IF(I379&lt;&gt;"",VLOOKUP(F379,OPDRACHTGEVER!$A$2:$B$4,2,FALSE),"")</f>
        <v>SKIIFM_AT</v>
      </c>
      <c r="F379" s="11" t="s">
        <v>58</v>
      </c>
      <c r="I379" s="11" t="str">
        <f>IF(DATA!B378&lt;&gt;"",DATA!B378,"")</f>
        <v>CAAU5526759</v>
      </c>
      <c r="J379" s="12">
        <v>0</v>
      </c>
      <c r="K379" s="11" t="s">
        <v>53</v>
      </c>
      <c r="L379" s="11" t="str">
        <f t="shared" si="28"/>
        <v>841420</v>
      </c>
      <c r="M379" s="11" t="str">
        <f>IF(I379&lt;&gt;"",DATA!E378,"")</f>
        <v>HYDRAULIC FOOT PUMP</v>
      </c>
      <c r="N379" s="12">
        <v>0</v>
      </c>
      <c r="O379" s="11">
        <f>IF(I379&lt;&gt;"",DATA!C378,"")</f>
        <v>192.05</v>
      </c>
      <c r="P379" s="2">
        <v>294094</v>
      </c>
      <c r="Q379" s="2" t="s">
        <v>1304</v>
      </c>
      <c r="R379" s="2" t="s">
        <v>1313</v>
      </c>
      <c r="S379" s="2">
        <v>349</v>
      </c>
      <c r="T379" s="2">
        <v>1</v>
      </c>
      <c r="U379" s="2" t="s">
        <v>141</v>
      </c>
      <c r="Y379" s="2">
        <v>1700</v>
      </c>
      <c r="Z379" s="11" t="s">
        <v>54</v>
      </c>
      <c r="AA379" s="11" t="str">
        <f t="shared" si="29"/>
        <v>1700 - TBN</v>
      </c>
      <c r="AC379" s="2" t="s">
        <v>145</v>
      </c>
      <c r="AD379" s="11" t="str">
        <f>IF($I379&lt;&gt;"",VLOOKUP($AC379,GEADRESSEERDE!$A$2:$E$4,2,),"")</f>
        <v>LUITHAGEN HAVEN 2 D</v>
      </c>
      <c r="AE379" s="11">
        <f>IF($I379&lt;&gt;"",VLOOKUP($AC379,GEADRESSEERDE!$A$2:$E$4,3,),"")</f>
        <v>2030</v>
      </c>
      <c r="AF379" s="11" t="str">
        <f>IF($I379&lt;&gt;"",VLOOKUP($AC379,GEADRESSEERDE!$A$2:$E$4,4,),"")</f>
        <v>ANTWERPEN</v>
      </c>
      <c r="AG379" s="11" t="str">
        <f>IF($I379&lt;&gt;"",VLOOKUP($AC379,GEADRESSEERDE!$A$2:$E$4,5,),"")</f>
        <v>BE</v>
      </c>
      <c r="AH379" s="11" t="str">
        <f>IF(I379&lt;&gt;"",VLOOKUP(AP379,KvB!$A$2:$B$3,2,FALSE),"")</f>
        <v>BE101000</v>
      </c>
      <c r="AI379" s="11" t="s">
        <v>55</v>
      </c>
      <c r="AJ379" s="11"/>
      <c r="AK379" s="11"/>
      <c r="AL379" s="11"/>
      <c r="AM379" s="11"/>
      <c r="AN379" s="11"/>
      <c r="AO379" s="11"/>
      <c r="AP379" s="2" t="s">
        <v>70</v>
      </c>
      <c r="AQ379" s="11" t="str">
        <f>IF(I379&lt;&gt;"",DATA!D378,"")</f>
        <v>8414208090</v>
      </c>
    </row>
    <row r="380" spans="1:43" ht="15.75" x14ac:dyDescent="0.25">
      <c r="A380" s="11" t="s">
        <v>57</v>
      </c>
      <c r="B380" s="11" t="s">
        <v>56</v>
      </c>
      <c r="C380" s="22">
        <f t="shared" si="26"/>
        <v>25001620</v>
      </c>
      <c r="D380" s="11" t="str">
        <f t="shared" si="27"/>
        <v>SKIIFM_AT</v>
      </c>
      <c r="E380" s="11" t="str">
        <f>IF(I380&lt;&gt;"",VLOOKUP(F380,OPDRACHTGEVER!$A$2:$B$4,2,FALSE),"")</f>
        <v>SKIIFM_AT</v>
      </c>
      <c r="F380" s="11" t="s">
        <v>58</v>
      </c>
      <c r="I380" s="11" t="str">
        <f>IF(DATA!B379&lt;&gt;"",DATA!B379,"")</f>
        <v>CAAU5526759</v>
      </c>
      <c r="J380" s="12">
        <v>0</v>
      </c>
      <c r="K380" s="11" t="s">
        <v>53</v>
      </c>
      <c r="L380" s="11" t="str">
        <f t="shared" si="28"/>
        <v>846261</v>
      </c>
      <c r="M380" s="11" t="str">
        <f>IF(I380&lt;&gt;"",DATA!E379,"")</f>
        <v>HYDRAULIC PRESS</v>
      </c>
      <c r="N380" s="12">
        <v>0</v>
      </c>
      <c r="O380" s="11">
        <f>IF(I380&lt;&gt;"",DATA!C379,"")</f>
        <v>238.5</v>
      </c>
      <c r="P380" s="2">
        <v>294094</v>
      </c>
      <c r="Q380" s="2" t="s">
        <v>1304</v>
      </c>
      <c r="R380" s="2" t="s">
        <v>1313</v>
      </c>
      <c r="S380" s="2">
        <v>349</v>
      </c>
      <c r="T380" s="2">
        <v>1</v>
      </c>
      <c r="U380" s="2" t="s">
        <v>141</v>
      </c>
      <c r="Y380" s="2">
        <v>1700</v>
      </c>
      <c r="Z380" s="11" t="s">
        <v>54</v>
      </c>
      <c r="AA380" s="11" t="str">
        <f t="shared" si="29"/>
        <v>1700 - TBN</v>
      </c>
      <c r="AC380" s="2" t="s">
        <v>145</v>
      </c>
      <c r="AD380" s="11" t="str">
        <f>IF($I380&lt;&gt;"",VLOOKUP($AC380,GEADRESSEERDE!$A$2:$E$4,2,),"")</f>
        <v>LUITHAGEN HAVEN 2 D</v>
      </c>
      <c r="AE380" s="11">
        <f>IF($I380&lt;&gt;"",VLOOKUP($AC380,GEADRESSEERDE!$A$2:$E$4,3,),"")</f>
        <v>2030</v>
      </c>
      <c r="AF380" s="11" t="str">
        <f>IF($I380&lt;&gt;"",VLOOKUP($AC380,GEADRESSEERDE!$A$2:$E$4,4,),"")</f>
        <v>ANTWERPEN</v>
      </c>
      <c r="AG380" s="11" t="str">
        <f>IF($I380&lt;&gt;"",VLOOKUP($AC380,GEADRESSEERDE!$A$2:$E$4,5,),"")</f>
        <v>BE</v>
      </c>
      <c r="AH380" s="11" t="str">
        <f>IF(I380&lt;&gt;"",VLOOKUP(AP380,KvB!$A$2:$B$3,2,FALSE),"")</f>
        <v>BE101000</v>
      </c>
      <c r="AI380" s="11" t="s">
        <v>55</v>
      </c>
      <c r="AJ380" s="11"/>
      <c r="AK380" s="11"/>
      <c r="AL380" s="11"/>
      <c r="AM380" s="11"/>
      <c r="AN380" s="11"/>
      <c r="AO380" s="11"/>
      <c r="AP380" s="2" t="s">
        <v>70</v>
      </c>
      <c r="AQ380" s="11" t="str">
        <f>IF(I380&lt;&gt;"",DATA!D379,"")</f>
        <v>8462619000</v>
      </c>
    </row>
    <row r="381" spans="1:43" ht="15.75" x14ac:dyDescent="0.25">
      <c r="A381" s="11" t="s">
        <v>57</v>
      </c>
      <c r="B381" s="11" t="s">
        <v>56</v>
      </c>
      <c r="C381" s="22">
        <f t="shared" si="26"/>
        <v>25001620</v>
      </c>
      <c r="D381" s="11" t="str">
        <f t="shared" si="27"/>
        <v>SKIIFM_AT</v>
      </c>
      <c r="E381" s="11" t="str">
        <f>IF(I381&lt;&gt;"",VLOOKUP(F381,OPDRACHTGEVER!$A$2:$B$4,2,FALSE),"")</f>
        <v>SKIIFM_AT</v>
      </c>
      <c r="F381" s="11" t="s">
        <v>58</v>
      </c>
      <c r="I381" s="11" t="str">
        <f>IF(DATA!B380&lt;&gt;"",DATA!B380,"")</f>
        <v>CAAU5526759</v>
      </c>
      <c r="J381" s="12">
        <v>0</v>
      </c>
      <c r="K381" s="11" t="s">
        <v>53</v>
      </c>
      <c r="L381" s="11" t="str">
        <f t="shared" si="28"/>
        <v>850940</v>
      </c>
      <c r="M381" s="11" t="str">
        <f>IF(I381&lt;&gt;"",DATA!E380,"")</f>
        <v>JUICER</v>
      </c>
      <c r="N381" s="12">
        <v>0</v>
      </c>
      <c r="O381" s="11">
        <f>IF(I381&lt;&gt;"",DATA!C380,"")</f>
        <v>119</v>
      </c>
      <c r="P381" s="2">
        <v>294094</v>
      </c>
      <c r="Q381" s="2" t="s">
        <v>1304</v>
      </c>
      <c r="R381" s="2" t="s">
        <v>1313</v>
      </c>
      <c r="S381" s="2">
        <v>349</v>
      </c>
      <c r="T381" s="2">
        <v>1</v>
      </c>
      <c r="U381" s="2" t="s">
        <v>141</v>
      </c>
      <c r="Y381" s="2">
        <v>1700</v>
      </c>
      <c r="Z381" s="11" t="s">
        <v>54</v>
      </c>
      <c r="AA381" s="11" t="str">
        <f t="shared" si="29"/>
        <v>1700 - TBN</v>
      </c>
      <c r="AC381" s="2" t="s">
        <v>145</v>
      </c>
      <c r="AD381" s="11" t="str">
        <f>IF($I381&lt;&gt;"",VLOOKUP($AC381,GEADRESSEERDE!$A$2:$E$4,2,),"")</f>
        <v>LUITHAGEN HAVEN 2 D</v>
      </c>
      <c r="AE381" s="11">
        <f>IF($I381&lt;&gt;"",VLOOKUP($AC381,GEADRESSEERDE!$A$2:$E$4,3,),"")</f>
        <v>2030</v>
      </c>
      <c r="AF381" s="11" t="str">
        <f>IF($I381&lt;&gt;"",VLOOKUP($AC381,GEADRESSEERDE!$A$2:$E$4,4,),"")</f>
        <v>ANTWERPEN</v>
      </c>
      <c r="AG381" s="11" t="str">
        <f>IF($I381&lt;&gt;"",VLOOKUP($AC381,GEADRESSEERDE!$A$2:$E$4,5,),"")</f>
        <v>BE</v>
      </c>
      <c r="AH381" s="11" t="str">
        <f>IF(I381&lt;&gt;"",VLOOKUP(AP381,KvB!$A$2:$B$3,2,FALSE),"")</f>
        <v>BE101000</v>
      </c>
      <c r="AI381" s="11" t="s">
        <v>55</v>
      </c>
      <c r="AJ381" s="11"/>
      <c r="AK381" s="11"/>
      <c r="AL381" s="11"/>
      <c r="AM381" s="11"/>
      <c r="AN381" s="11"/>
      <c r="AO381" s="11"/>
      <c r="AP381" s="2" t="s">
        <v>70</v>
      </c>
      <c r="AQ381" s="11" t="str">
        <f>IF(I381&lt;&gt;"",DATA!D380,"")</f>
        <v>8509400000</v>
      </c>
    </row>
    <row r="382" spans="1:43" ht="15.75" x14ac:dyDescent="0.25">
      <c r="A382" s="11" t="s">
        <v>57</v>
      </c>
      <c r="B382" s="11" t="s">
        <v>56</v>
      </c>
      <c r="C382" s="22">
        <f t="shared" si="26"/>
        <v>25001620</v>
      </c>
      <c r="D382" s="11" t="str">
        <f t="shared" si="27"/>
        <v>SKIIFM_AT</v>
      </c>
      <c r="E382" s="11" t="str">
        <f>IF(I382&lt;&gt;"",VLOOKUP(F382,OPDRACHTGEVER!$A$2:$B$4,2,FALSE),"")</f>
        <v>SKIIFM_AT</v>
      </c>
      <c r="F382" s="11" t="s">
        <v>58</v>
      </c>
      <c r="I382" s="11" t="str">
        <f>IF(DATA!B381&lt;&gt;"",DATA!B381,"")</f>
        <v>CAAU5526759</v>
      </c>
      <c r="J382" s="12">
        <v>0</v>
      </c>
      <c r="K382" s="11" t="s">
        <v>53</v>
      </c>
      <c r="L382" s="11" t="str">
        <f t="shared" si="28"/>
        <v>950691</v>
      </c>
      <c r="M382" s="11" t="str">
        <f>IF(I382&lt;&gt;"",DATA!E381,"")</f>
        <v>JUMPING STOOL</v>
      </c>
      <c r="N382" s="12">
        <v>0</v>
      </c>
      <c r="O382" s="11">
        <f>IF(I382&lt;&gt;"",DATA!C381,"")</f>
        <v>633.6</v>
      </c>
      <c r="P382" s="2">
        <v>294094</v>
      </c>
      <c r="Q382" s="2" t="s">
        <v>1304</v>
      </c>
      <c r="R382" s="2" t="s">
        <v>1313</v>
      </c>
      <c r="S382" s="2">
        <v>349</v>
      </c>
      <c r="T382" s="2">
        <v>1</v>
      </c>
      <c r="U382" s="2" t="s">
        <v>141</v>
      </c>
      <c r="Y382" s="2">
        <v>1700</v>
      </c>
      <c r="Z382" s="11" t="s">
        <v>54</v>
      </c>
      <c r="AA382" s="11" t="str">
        <f t="shared" si="29"/>
        <v>1700 - TBN</v>
      </c>
      <c r="AC382" s="2" t="s">
        <v>145</v>
      </c>
      <c r="AD382" s="11" t="str">
        <f>IF($I382&lt;&gt;"",VLOOKUP($AC382,GEADRESSEERDE!$A$2:$E$4,2,),"")</f>
        <v>LUITHAGEN HAVEN 2 D</v>
      </c>
      <c r="AE382" s="11">
        <f>IF($I382&lt;&gt;"",VLOOKUP($AC382,GEADRESSEERDE!$A$2:$E$4,3,),"")</f>
        <v>2030</v>
      </c>
      <c r="AF382" s="11" t="str">
        <f>IF($I382&lt;&gt;"",VLOOKUP($AC382,GEADRESSEERDE!$A$2:$E$4,4,),"")</f>
        <v>ANTWERPEN</v>
      </c>
      <c r="AG382" s="11" t="str">
        <f>IF($I382&lt;&gt;"",VLOOKUP($AC382,GEADRESSEERDE!$A$2:$E$4,5,),"")</f>
        <v>BE</v>
      </c>
      <c r="AH382" s="11" t="str">
        <f>IF(I382&lt;&gt;"",VLOOKUP(AP382,KvB!$A$2:$B$3,2,FALSE),"")</f>
        <v>BE101000</v>
      </c>
      <c r="AI382" s="11" t="s">
        <v>55</v>
      </c>
      <c r="AJ382" s="11"/>
      <c r="AK382" s="11"/>
      <c r="AL382" s="11"/>
      <c r="AM382" s="11"/>
      <c r="AN382" s="11"/>
      <c r="AO382" s="11"/>
      <c r="AP382" s="2" t="s">
        <v>70</v>
      </c>
      <c r="AQ382" s="11" t="str">
        <f>IF(I382&lt;&gt;"",DATA!D381,"")</f>
        <v>9506919000</v>
      </c>
    </row>
    <row r="383" spans="1:43" ht="15.75" x14ac:dyDescent="0.25">
      <c r="A383" s="11" t="s">
        <v>57</v>
      </c>
      <c r="B383" s="11" t="s">
        <v>56</v>
      </c>
      <c r="C383" s="22">
        <f t="shared" si="26"/>
        <v>25001620</v>
      </c>
      <c r="D383" s="11" t="str">
        <f t="shared" si="27"/>
        <v>SKIIFM_AT</v>
      </c>
      <c r="E383" s="11" t="str">
        <f>IF(I383&lt;&gt;"",VLOOKUP(F383,OPDRACHTGEVER!$A$2:$B$4,2,FALSE),"")</f>
        <v>SKIIFM_AT</v>
      </c>
      <c r="F383" s="11" t="s">
        <v>58</v>
      </c>
      <c r="I383" s="11" t="str">
        <f>IF(DATA!B382&lt;&gt;"",DATA!B382,"")</f>
        <v>CAAU5526759</v>
      </c>
      <c r="J383" s="12">
        <v>0</v>
      </c>
      <c r="K383" s="11" t="s">
        <v>53</v>
      </c>
      <c r="L383" s="11" t="str">
        <f t="shared" si="28"/>
        <v>903300</v>
      </c>
      <c r="M383" s="11" t="str">
        <f>IF(I383&lt;&gt;"",DATA!E382,"")</f>
        <v>LABORATORY BRACKET</v>
      </c>
      <c r="N383" s="12">
        <v>0</v>
      </c>
      <c r="O383" s="11">
        <f>IF(I383&lt;&gt;"",DATA!C382,"")</f>
        <v>33.200000000000003</v>
      </c>
      <c r="P383" s="2">
        <v>294094</v>
      </c>
      <c r="Q383" s="2" t="s">
        <v>1304</v>
      </c>
      <c r="R383" s="2" t="s">
        <v>1313</v>
      </c>
      <c r="S383" s="2">
        <v>349</v>
      </c>
      <c r="T383" s="2">
        <v>1</v>
      </c>
      <c r="U383" s="2" t="s">
        <v>141</v>
      </c>
      <c r="Y383" s="2">
        <v>1700</v>
      </c>
      <c r="Z383" s="11" t="s">
        <v>54</v>
      </c>
      <c r="AA383" s="11" t="str">
        <f t="shared" si="29"/>
        <v>1700 - TBN</v>
      </c>
      <c r="AC383" s="2" t="s">
        <v>145</v>
      </c>
      <c r="AD383" s="11" t="str">
        <f>IF($I383&lt;&gt;"",VLOOKUP($AC383,GEADRESSEERDE!$A$2:$E$4,2,),"")</f>
        <v>LUITHAGEN HAVEN 2 D</v>
      </c>
      <c r="AE383" s="11">
        <f>IF($I383&lt;&gt;"",VLOOKUP($AC383,GEADRESSEERDE!$A$2:$E$4,3,),"")</f>
        <v>2030</v>
      </c>
      <c r="AF383" s="11" t="str">
        <f>IF($I383&lt;&gt;"",VLOOKUP($AC383,GEADRESSEERDE!$A$2:$E$4,4,),"")</f>
        <v>ANTWERPEN</v>
      </c>
      <c r="AG383" s="11" t="str">
        <f>IF($I383&lt;&gt;"",VLOOKUP($AC383,GEADRESSEERDE!$A$2:$E$4,5,),"")</f>
        <v>BE</v>
      </c>
      <c r="AH383" s="11" t="str">
        <f>IF(I383&lt;&gt;"",VLOOKUP(AP383,KvB!$A$2:$B$3,2,FALSE),"")</f>
        <v>BE101000</v>
      </c>
      <c r="AI383" s="11" t="s">
        <v>55</v>
      </c>
      <c r="AJ383" s="11"/>
      <c r="AK383" s="11"/>
      <c r="AL383" s="11"/>
      <c r="AM383" s="11"/>
      <c r="AN383" s="11"/>
      <c r="AO383" s="11"/>
      <c r="AP383" s="2" t="s">
        <v>70</v>
      </c>
      <c r="AQ383" s="11" t="str">
        <f>IF(I383&lt;&gt;"",DATA!D382,"")</f>
        <v>9033009000</v>
      </c>
    </row>
    <row r="384" spans="1:43" ht="15.75" x14ac:dyDescent="0.25">
      <c r="A384" s="11" t="s">
        <v>57</v>
      </c>
      <c r="B384" s="11" t="s">
        <v>56</v>
      </c>
      <c r="C384" s="22">
        <f t="shared" si="26"/>
        <v>25001620</v>
      </c>
      <c r="D384" s="11" t="str">
        <f t="shared" si="27"/>
        <v>SKIIFM_AT</v>
      </c>
      <c r="E384" s="11" t="str">
        <f>IF(I384&lt;&gt;"",VLOOKUP(F384,OPDRACHTGEVER!$A$2:$B$4,2,FALSE),"")</f>
        <v>SKIIFM_AT</v>
      </c>
      <c r="F384" s="11" t="s">
        <v>58</v>
      </c>
      <c r="I384" s="11" t="str">
        <f>IF(DATA!B383&lt;&gt;"",DATA!B383,"")</f>
        <v>CAAU5526759</v>
      </c>
      <c r="J384" s="12">
        <v>0</v>
      </c>
      <c r="K384" s="11" t="s">
        <v>53</v>
      </c>
      <c r="L384" s="11" t="str">
        <f t="shared" si="28"/>
        <v>741920</v>
      </c>
      <c r="M384" s="11" t="str">
        <f>IF(I384&lt;&gt;"",DATA!E383,"")</f>
        <v>LADDER HOOK</v>
      </c>
      <c r="N384" s="12">
        <v>0</v>
      </c>
      <c r="O384" s="11">
        <f>IF(I384&lt;&gt;"",DATA!C383,"")</f>
        <v>117.5</v>
      </c>
      <c r="P384" s="2">
        <v>294094</v>
      </c>
      <c r="Q384" s="2" t="s">
        <v>1304</v>
      </c>
      <c r="R384" s="2" t="s">
        <v>1313</v>
      </c>
      <c r="S384" s="2">
        <v>349</v>
      </c>
      <c r="T384" s="2">
        <v>1</v>
      </c>
      <c r="U384" s="2" t="s">
        <v>141</v>
      </c>
      <c r="Y384" s="2">
        <v>1700</v>
      </c>
      <c r="Z384" s="11" t="s">
        <v>54</v>
      </c>
      <c r="AA384" s="11" t="str">
        <f t="shared" si="29"/>
        <v>1700 - TBN</v>
      </c>
      <c r="AC384" s="2" t="s">
        <v>145</v>
      </c>
      <c r="AD384" s="11" t="str">
        <f>IF($I384&lt;&gt;"",VLOOKUP($AC384,GEADRESSEERDE!$A$2:$E$4,2,),"")</f>
        <v>LUITHAGEN HAVEN 2 D</v>
      </c>
      <c r="AE384" s="11">
        <f>IF($I384&lt;&gt;"",VLOOKUP($AC384,GEADRESSEERDE!$A$2:$E$4,3,),"")</f>
        <v>2030</v>
      </c>
      <c r="AF384" s="11" t="str">
        <f>IF($I384&lt;&gt;"",VLOOKUP($AC384,GEADRESSEERDE!$A$2:$E$4,4,),"")</f>
        <v>ANTWERPEN</v>
      </c>
      <c r="AG384" s="11" t="str">
        <f>IF($I384&lt;&gt;"",VLOOKUP($AC384,GEADRESSEERDE!$A$2:$E$4,5,),"")</f>
        <v>BE</v>
      </c>
      <c r="AH384" s="11" t="str">
        <f>IF(I384&lt;&gt;"",VLOOKUP(AP384,KvB!$A$2:$B$3,2,FALSE),"")</f>
        <v>BE101000</v>
      </c>
      <c r="AI384" s="11" t="s">
        <v>55</v>
      </c>
      <c r="AJ384" s="11"/>
      <c r="AK384" s="11"/>
      <c r="AL384" s="11"/>
      <c r="AM384" s="11"/>
      <c r="AN384" s="11"/>
      <c r="AO384" s="11"/>
      <c r="AP384" s="2" t="s">
        <v>70</v>
      </c>
      <c r="AQ384" s="11" t="str">
        <f>IF(I384&lt;&gt;"",DATA!D383,"")</f>
        <v>7419200090</v>
      </c>
    </row>
    <row r="385" spans="1:43" ht="15.75" x14ac:dyDescent="0.25">
      <c r="A385" s="11" t="s">
        <v>57</v>
      </c>
      <c r="B385" s="11" t="s">
        <v>56</v>
      </c>
      <c r="C385" s="22">
        <f t="shared" si="26"/>
        <v>25001620</v>
      </c>
      <c r="D385" s="11" t="str">
        <f t="shared" si="27"/>
        <v>SKIIFM_AT</v>
      </c>
      <c r="E385" s="11" t="str">
        <f>IF(I385&lt;&gt;"",VLOOKUP(F385,OPDRACHTGEVER!$A$2:$B$4,2,FALSE),"")</f>
        <v>SKIIFM_AT</v>
      </c>
      <c r="F385" s="11" t="s">
        <v>58</v>
      </c>
      <c r="I385" s="11" t="str">
        <f>IF(DATA!B384&lt;&gt;"",DATA!B384,"")</f>
        <v>CAAU5526759</v>
      </c>
      <c r="J385" s="12">
        <v>0</v>
      </c>
      <c r="K385" s="11" t="s">
        <v>53</v>
      </c>
      <c r="L385" s="11" t="str">
        <f t="shared" si="28"/>
        <v>901320</v>
      </c>
      <c r="M385" s="11" t="str">
        <f>IF(I385&lt;&gt;"",DATA!E384,"")</f>
        <v>LASER TUBE</v>
      </c>
      <c r="N385" s="12">
        <v>0</v>
      </c>
      <c r="O385" s="11">
        <f>IF(I385&lt;&gt;"",DATA!C384,"")</f>
        <v>73.150000000000006</v>
      </c>
      <c r="P385" s="2">
        <v>294094</v>
      </c>
      <c r="Q385" s="2" t="s">
        <v>1304</v>
      </c>
      <c r="R385" s="2" t="s">
        <v>1313</v>
      </c>
      <c r="S385" s="2">
        <v>349</v>
      </c>
      <c r="T385" s="2">
        <v>1</v>
      </c>
      <c r="U385" s="2" t="s">
        <v>141</v>
      </c>
      <c r="Y385" s="2">
        <v>1700</v>
      </c>
      <c r="Z385" s="11" t="s">
        <v>54</v>
      </c>
      <c r="AA385" s="11" t="str">
        <f t="shared" si="29"/>
        <v>1700 - TBN</v>
      </c>
      <c r="AC385" s="2" t="s">
        <v>145</v>
      </c>
      <c r="AD385" s="11" t="str">
        <f>IF($I385&lt;&gt;"",VLOOKUP($AC385,GEADRESSEERDE!$A$2:$E$4,2,),"")</f>
        <v>LUITHAGEN HAVEN 2 D</v>
      </c>
      <c r="AE385" s="11">
        <f>IF($I385&lt;&gt;"",VLOOKUP($AC385,GEADRESSEERDE!$A$2:$E$4,3,),"")</f>
        <v>2030</v>
      </c>
      <c r="AF385" s="11" t="str">
        <f>IF($I385&lt;&gt;"",VLOOKUP($AC385,GEADRESSEERDE!$A$2:$E$4,4,),"")</f>
        <v>ANTWERPEN</v>
      </c>
      <c r="AG385" s="11" t="str">
        <f>IF($I385&lt;&gt;"",VLOOKUP($AC385,GEADRESSEERDE!$A$2:$E$4,5,),"")</f>
        <v>BE</v>
      </c>
      <c r="AH385" s="11" t="str">
        <f>IF(I385&lt;&gt;"",VLOOKUP(AP385,KvB!$A$2:$B$3,2,FALSE),"")</f>
        <v>BE101000</v>
      </c>
      <c r="AI385" s="11" t="s">
        <v>55</v>
      </c>
      <c r="AJ385" s="11"/>
      <c r="AK385" s="11"/>
      <c r="AL385" s="11"/>
      <c r="AM385" s="11"/>
      <c r="AN385" s="11"/>
      <c r="AO385" s="11"/>
      <c r="AP385" s="2" t="s">
        <v>70</v>
      </c>
      <c r="AQ385" s="11" t="str">
        <f>IF(I385&lt;&gt;"",DATA!D384,"")</f>
        <v>9013200000</v>
      </c>
    </row>
    <row r="386" spans="1:43" ht="15.75" x14ac:dyDescent="0.25">
      <c r="A386" s="11" t="s">
        <v>57</v>
      </c>
      <c r="B386" s="11" t="s">
        <v>56</v>
      </c>
      <c r="C386" s="22">
        <f t="shared" si="26"/>
        <v>25001620</v>
      </c>
      <c r="D386" s="11" t="str">
        <f t="shared" si="27"/>
        <v>SKIIFM_AT</v>
      </c>
      <c r="E386" s="11" t="str">
        <f>IF(I386&lt;&gt;"",VLOOKUP(F386,OPDRACHTGEVER!$A$2:$B$4,2,FALSE),"")</f>
        <v>SKIIFM_AT</v>
      </c>
      <c r="F386" s="11" t="s">
        <v>58</v>
      </c>
      <c r="I386" s="11" t="str">
        <f>IF(DATA!B385&lt;&gt;"",DATA!B385,"")</f>
        <v>CAAU5526759</v>
      </c>
      <c r="J386" s="12">
        <v>0</v>
      </c>
      <c r="K386" s="11" t="s">
        <v>53</v>
      </c>
      <c r="L386" s="11" t="str">
        <f t="shared" si="28"/>
        <v>830230</v>
      </c>
      <c r="M386" s="11" t="str">
        <f>IF(I386&lt;&gt;"",DATA!E385,"")</f>
        <v>LIFTING JACK</v>
      </c>
      <c r="N386" s="12">
        <v>0</v>
      </c>
      <c r="O386" s="11">
        <f>IF(I386&lt;&gt;"",DATA!C385,"")</f>
        <v>425.7</v>
      </c>
      <c r="P386" s="2">
        <v>294094</v>
      </c>
      <c r="Q386" s="2" t="s">
        <v>1304</v>
      </c>
      <c r="R386" s="2" t="s">
        <v>1313</v>
      </c>
      <c r="S386" s="2">
        <v>349</v>
      </c>
      <c r="T386" s="2">
        <v>1</v>
      </c>
      <c r="U386" s="2" t="s">
        <v>141</v>
      </c>
      <c r="Y386" s="2">
        <v>1700</v>
      </c>
      <c r="Z386" s="11" t="s">
        <v>54</v>
      </c>
      <c r="AA386" s="11" t="str">
        <f t="shared" si="29"/>
        <v>1700 - TBN</v>
      </c>
      <c r="AC386" s="2" t="s">
        <v>145</v>
      </c>
      <c r="AD386" s="11" t="str">
        <f>IF($I386&lt;&gt;"",VLOOKUP($AC386,GEADRESSEERDE!$A$2:$E$4,2,),"")</f>
        <v>LUITHAGEN HAVEN 2 D</v>
      </c>
      <c r="AE386" s="11">
        <f>IF($I386&lt;&gt;"",VLOOKUP($AC386,GEADRESSEERDE!$A$2:$E$4,3,),"")</f>
        <v>2030</v>
      </c>
      <c r="AF386" s="11" t="str">
        <f>IF($I386&lt;&gt;"",VLOOKUP($AC386,GEADRESSEERDE!$A$2:$E$4,4,),"")</f>
        <v>ANTWERPEN</v>
      </c>
      <c r="AG386" s="11" t="str">
        <f>IF($I386&lt;&gt;"",VLOOKUP($AC386,GEADRESSEERDE!$A$2:$E$4,5,),"")</f>
        <v>BE</v>
      </c>
      <c r="AH386" s="11" t="str">
        <f>IF(I386&lt;&gt;"",VLOOKUP(AP386,KvB!$A$2:$B$3,2,FALSE),"")</f>
        <v>BE101000</v>
      </c>
      <c r="AI386" s="11" t="s">
        <v>55</v>
      </c>
      <c r="AJ386" s="11"/>
      <c r="AK386" s="11"/>
      <c r="AL386" s="11"/>
      <c r="AM386" s="11"/>
      <c r="AN386" s="11"/>
      <c r="AO386" s="11"/>
      <c r="AP386" s="2" t="s">
        <v>70</v>
      </c>
      <c r="AQ386" s="11" t="str">
        <f>IF(I386&lt;&gt;"",DATA!D385,"")</f>
        <v>8302300020</v>
      </c>
    </row>
    <row r="387" spans="1:43" ht="15.75" x14ac:dyDescent="0.25">
      <c r="A387" s="11" t="s">
        <v>57</v>
      </c>
      <c r="B387" s="11" t="s">
        <v>56</v>
      </c>
      <c r="C387" s="22">
        <f t="shared" si="26"/>
        <v>25001620</v>
      </c>
      <c r="D387" s="11" t="str">
        <f t="shared" si="27"/>
        <v>SKIIFM_AT</v>
      </c>
      <c r="E387" s="11" t="str">
        <f>IF(I387&lt;&gt;"",VLOOKUP(F387,OPDRACHTGEVER!$A$2:$B$4,2,FALSE),"")</f>
        <v>SKIIFM_AT</v>
      </c>
      <c r="F387" s="11" t="s">
        <v>58</v>
      </c>
      <c r="I387" s="11" t="str">
        <f>IF(DATA!B386&lt;&gt;"",DATA!B386,"")</f>
        <v>CAAU5526759</v>
      </c>
      <c r="J387" s="12">
        <v>0</v>
      </c>
      <c r="K387" s="11" t="s">
        <v>53</v>
      </c>
      <c r="L387" s="11" t="str">
        <f t="shared" si="28"/>
        <v>850131</v>
      </c>
      <c r="M387" s="11" t="str">
        <f>IF(I387&lt;&gt;"",DATA!E386,"")</f>
        <v>LINEAR ACTUATOR</v>
      </c>
      <c r="N387" s="12">
        <v>0</v>
      </c>
      <c r="O387" s="11">
        <f>IF(I387&lt;&gt;"",DATA!C386,"")</f>
        <v>123.95</v>
      </c>
      <c r="P387" s="2">
        <v>294094</v>
      </c>
      <c r="Q387" s="2" t="s">
        <v>1304</v>
      </c>
      <c r="R387" s="2" t="s">
        <v>1313</v>
      </c>
      <c r="S387" s="2">
        <v>349</v>
      </c>
      <c r="T387" s="2">
        <v>1</v>
      </c>
      <c r="U387" s="2" t="s">
        <v>141</v>
      </c>
      <c r="Y387" s="2">
        <v>1700</v>
      </c>
      <c r="Z387" s="11" t="s">
        <v>54</v>
      </c>
      <c r="AA387" s="11" t="str">
        <f t="shared" si="29"/>
        <v>1700 - TBN</v>
      </c>
      <c r="AC387" s="2" t="s">
        <v>145</v>
      </c>
      <c r="AD387" s="11" t="str">
        <f>IF($I387&lt;&gt;"",VLOOKUP($AC387,GEADRESSEERDE!$A$2:$E$4,2,),"")</f>
        <v>LUITHAGEN HAVEN 2 D</v>
      </c>
      <c r="AE387" s="11">
        <f>IF($I387&lt;&gt;"",VLOOKUP($AC387,GEADRESSEERDE!$A$2:$E$4,3,),"")</f>
        <v>2030</v>
      </c>
      <c r="AF387" s="11" t="str">
        <f>IF($I387&lt;&gt;"",VLOOKUP($AC387,GEADRESSEERDE!$A$2:$E$4,4,),"")</f>
        <v>ANTWERPEN</v>
      </c>
      <c r="AG387" s="11" t="str">
        <f>IF($I387&lt;&gt;"",VLOOKUP($AC387,GEADRESSEERDE!$A$2:$E$4,5,),"")</f>
        <v>BE</v>
      </c>
      <c r="AH387" s="11" t="str">
        <f>IF(I387&lt;&gt;"",VLOOKUP(AP387,KvB!$A$2:$B$3,2,FALSE),"")</f>
        <v>BE101000</v>
      </c>
      <c r="AI387" s="11" t="s">
        <v>55</v>
      </c>
      <c r="AJ387" s="11"/>
      <c r="AK387" s="11"/>
      <c r="AL387" s="11"/>
      <c r="AM387" s="11"/>
      <c r="AN387" s="11"/>
      <c r="AO387" s="11"/>
      <c r="AP387" s="2" t="s">
        <v>70</v>
      </c>
      <c r="AQ387" s="11" t="str">
        <f>IF(I387&lt;&gt;"",DATA!D386,"")</f>
        <v>8501310099</v>
      </c>
    </row>
    <row r="388" spans="1:43" ht="15.75" x14ac:dyDescent="0.25">
      <c r="A388" s="11" t="s">
        <v>57</v>
      </c>
      <c r="B388" s="11" t="s">
        <v>56</v>
      </c>
      <c r="C388" s="22">
        <f t="shared" si="26"/>
        <v>25001620</v>
      </c>
      <c r="D388" s="11" t="str">
        <f t="shared" si="27"/>
        <v>SKIIFM_AT</v>
      </c>
      <c r="E388" s="11" t="str">
        <f>IF(I388&lt;&gt;"",VLOOKUP(F388,OPDRACHTGEVER!$A$2:$B$4,2,FALSE),"")</f>
        <v>SKIIFM_AT</v>
      </c>
      <c r="F388" s="11" t="s">
        <v>58</v>
      </c>
      <c r="I388" s="11" t="str">
        <f>IF(DATA!B387&lt;&gt;"",DATA!B387,"")</f>
        <v>CAAU5526759</v>
      </c>
      <c r="J388" s="12">
        <v>0</v>
      </c>
      <c r="K388" s="11" t="s">
        <v>53</v>
      </c>
      <c r="L388" s="11" t="str">
        <f t="shared" si="28"/>
        <v>846721</v>
      </c>
      <c r="M388" s="11" t="str">
        <f>IF(I388&lt;&gt;"",DATA!E387,"")</f>
        <v>MAGNETIC BASE DRILL</v>
      </c>
      <c r="N388" s="12">
        <v>0</v>
      </c>
      <c r="O388" s="11">
        <f>IF(I388&lt;&gt;"",DATA!C387,"")</f>
        <v>787.8</v>
      </c>
      <c r="P388" s="2">
        <v>294094</v>
      </c>
      <c r="Q388" s="2" t="s">
        <v>1304</v>
      </c>
      <c r="R388" s="2" t="s">
        <v>1313</v>
      </c>
      <c r="S388" s="2">
        <v>349</v>
      </c>
      <c r="T388" s="2">
        <v>1</v>
      </c>
      <c r="U388" s="2" t="s">
        <v>141</v>
      </c>
      <c r="Y388" s="2">
        <v>1700</v>
      </c>
      <c r="Z388" s="11" t="s">
        <v>54</v>
      </c>
      <c r="AA388" s="11" t="str">
        <f t="shared" si="29"/>
        <v>1700 - TBN</v>
      </c>
      <c r="AC388" s="2" t="s">
        <v>145</v>
      </c>
      <c r="AD388" s="11" t="str">
        <f>IF($I388&lt;&gt;"",VLOOKUP($AC388,GEADRESSEERDE!$A$2:$E$4,2,),"")</f>
        <v>LUITHAGEN HAVEN 2 D</v>
      </c>
      <c r="AE388" s="11">
        <f>IF($I388&lt;&gt;"",VLOOKUP($AC388,GEADRESSEERDE!$A$2:$E$4,3,),"")</f>
        <v>2030</v>
      </c>
      <c r="AF388" s="11" t="str">
        <f>IF($I388&lt;&gt;"",VLOOKUP($AC388,GEADRESSEERDE!$A$2:$E$4,4,),"")</f>
        <v>ANTWERPEN</v>
      </c>
      <c r="AG388" s="11" t="str">
        <f>IF($I388&lt;&gt;"",VLOOKUP($AC388,GEADRESSEERDE!$A$2:$E$4,5,),"")</f>
        <v>BE</v>
      </c>
      <c r="AH388" s="11" t="str">
        <f>IF(I388&lt;&gt;"",VLOOKUP(AP388,KvB!$A$2:$B$3,2,FALSE),"")</f>
        <v>BE101000</v>
      </c>
      <c r="AI388" s="11" t="s">
        <v>55</v>
      </c>
      <c r="AJ388" s="11"/>
      <c r="AK388" s="11"/>
      <c r="AL388" s="11"/>
      <c r="AM388" s="11"/>
      <c r="AN388" s="11"/>
      <c r="AO388" s="11"/>
      <c r="AP388" s="2" t="s">
        <v>70</v>
      </c>
      <c r="AQ388" s="11" t="str">
        <f>IF(I388&lt;&gt;"",DATA!D387,"")</f>
        <v>8467219900</v>
      </c>
    </row>
    <row r="389" spans="1:43" ht="15.75" x14ac:dyDescent="0.25">
      <c r="A389" s="11" t="s">
        <v>57</v>
      </c>
      <c r="B389" s="11" t="s">
        <v>56</v>
      </c>
      <c r="C389" s="22">
        <f t="shared" ref="C389:C452" si="30">C388</f>
        <v>25001620</v>
      </c>
      <c r="D389" s="11" t="str">
        <f t="shared" si="27"/>
        <v>SKIIFM_AT</v>
      </c>
      <c r="E389" s="11" t="str">
        <f>IF(I389&lt;&gt;"",VLOOKUP(F389,OPDRACHTGEVER!$A$2:$B$4,2,FALSE),"")</f>
        <v>SKIIFM_AT</v>
      </c>
      <c r="F389" s="11" t="s">
        <v>58</v>
      </c>
      <c r="I389" s="11" t="str">
        <f>IF(DATA!B388&lt;&gt;"",DATA!B388,"")</f>
        <v>CAAU5526759</v>
      </c>
      <c r="J389" s="12">
        <v>0</v>
      </c>
      <c r="K389" s="11" t="s">
        <v>53</v>
      </c>
      <c r="L389" s="11" t="str">
        <f t="shared" si="28"/>
        <v>940320</v>
      </c>
      <c r="M389" s="11" t="str">
        <f>IF(I389&lt;&gt;"",DATA!E388,"")</f>
        <v>MANUAL MAHJONG TABLE</v>
      </c>
      <c r="N389" s="12">
        <v>0</v>
      </c>
      <c r="O389" s="11">
        <f>IF(I389&lt;&gt;"",DATA!C388,"")</f>
        <v>200.4</v>
      </c>
      <c r="P389" s="2">
        <v>294094</v>
      </c>
      <c r="Q389" s="2" t="s">
        <v>1304</v>
      </c>
      <c r="R389" s="2" t="s">
        <v>1313</v>
      </c>
      <c r="S389" s="2">
        <v>349</v>
      </c>
      <c r="T389" s="2">
        <v>1</v>
      </c>
      <c r="U389" s="2" t="s">
        <v>141</v>
      </c>
      <c r="Y389" s="2">
        <v>1700</v>
      </c>
      <c r="Z389" s="11" t="s">
        <v>54</v>
      </c>
      <c r="AA389" s="11" t="str">
        <f t="shared" si="29"/>
        <v>1700 - TBN</v>
      </c>
      <c r="AC389" s="2" t="s">
        <v>145</v>
      </c>
      <c r="AD389" s="11" t="str">
        <f>IF($I389&lt;&gt;"",VLOOKUP($AC389,GEADRESSEERDE!$A$2:$E$4,2,),"")</f>
        <v>LUITHAGEN HAVEN 2 D</v>
      </c>
      <c r="AE389" s="11">
        <f>IF($I389&lt;&gt;"",VLOOKUP($AC389,GEADRESSEERDE!$A$2:$E$4,3,),"")</f>
        <v>2030</v>
      </c>
      <c r="AF389" s="11" t="str">
        <f>IF($I389&lt;&gt;"",VLOOKUP($AC389,GEADRESSEERDE!$A$2:$E$4,4,),"")</f>
        <v>ANTWERPEN</v>
      </c>
      <c r="AG389" s="11" t="str">
        <f>IF($I389&lt;&gt;"",VLOOKUP($AC389,GEADRESSEERDE!$A$2:$E$4,5,),"")</f>
        <v>BE</v>
      </c>
      <c r="AH389" s="11" t="str">
        <f>IF(I389&lt;&gt;"",VLOOKUP(AP389,KvB!$A$2:$B$3,2,FALSE),"")</f>
        <v>BE101000</v>
      </c>
      <c r="AI389" s="11" t="s">
        <v>55</v>
      </c>
      <c r="AJ389" s="11"/>
      <c r="AK389" s="11"/>
      <c r="AL389" s="11"/>
      <c r="AM389" s="11"/>
      <c r="AN389" s="11"/>
      <c r="AO389" s="11"/>
      <c r="AP389" s="2" t="s">
        <v>70</v>
      </c>
      <c r="AQ389" s="11" t="str">
        <f>IF(I389&lt;&gt;"",DATA!D388,"")</f>
        <v>9403208000</v>
      </c>
    </row>
    <row r="390" spans="1:43" ht="15.75" x14ac:dyDescent="0.25">
      <c r="A390" s="11" t="s">
        <v>57</v>
      </c>
      <c r="B390" s="11" t="s">
        <v>56</v>
      </c>
      <c r="C390" s="22">
        <f t="shared" si="30"/>
        <v>25001620</v>
      </c>
      <c r="D390" s="11" t="str">
        <f t="shared" si="27"/>
        <v>SKIIFM_AT</v>
      </c>
      <c r="E390" s="11" t="str">
        <f>IF(I390&lt;&gt;"",VLOOKUP(F390,OPDRACHTGEVER!$A$2:$B$4,2,FALSE),"")</f>
        <v>SKIIFM_AT</v>
      </c>
      <c r="F390" s="11" t="s">
        <v>58</v>
      </c>
      <c r="I390" s="11" t="str">
        <f>IF(DATA!B389&lt;&gt;"",DATA!B389,"")</f>
        <v>CAAU5526759</v>
      </c>
      <c r="J390" s="12">
        <v>0</v>
      </c>
      <c r="K390" s="11" t="s">
        <v>53</v>
      </c>
      <c r="L390" s="11" t="str">
        <f t="shared" si="28"/>
        <v>741920</v>
      </c>
      <c r="M390" s="11" t="str">
        <f>IF(I390&lt;&gt;"",DATA!E389,"")</f>
        <v>METAL TABLE LEGS</v>
      </c>
      <c r="N390" s="12">
        <v>0</v>
      </c>
      <c r="O390" s="11">
        <f>IF(I390&lt;&gt;"",DATA!C389,"")</f>
        <v>466.15</v>
      </c>
      <c r="P390" s="2">
        <v>294094</v>
      </c>
      <c r="Q390" s="2" t="s">
        <v>1304</v>
      </c>
      <c r="R390" s="2" t="s">
        <v>1313</v>
      </c>
      <c r="S390" s="2">
        <v>349</v>
      </c>
      <c r="T390" s="2">
        <v>1</v>
      </c>
      <c r="U390" s="2" t="s">
        <v>141</v>
      </c>
      <c r="Y390" s="2">
        <v>1700</v>
      </c>
      <c r="Z390" s="11" t="s">
        <v>54</v>
      </c>
      <c r="AA390" s="11" t="str">
        <f t="shared" si="29"/>
        <v>1700 - TBN</v>
      </c>
      <c r="AC390" s="2" t="s">
        <v>145</v>
      </c>
      <c r="AD390" s="11" t="str">
        <f>IF($I390&lt;&gt;"",VLOOKUP($AC390,GEADRESSEERDE!$A$2:$E$4,2,),"")</f>
        <v>LUITHAGEN HAVEN 2 D</v>
      </c>
      <c r="AE390" s="11">
        <f>IF($I390&lt;&gt;"",VLOOKUP($AC390,GEADRESSEERDE!$A$2:$E$4,3,),"")</f>
        <v>2030</v>
      </c>
      <c r="AF390" s="11" t="str">
        <f>IF($I390&lt;&gt;"",VLOOKUP($AC390,GEADRESSEERDE!$A$2:$E$4,4,),"")</f>
        <v>ANTWERPEN</v>
      </c>
      <c r="AG390" s="11" t="str">
        <f>IF($I390&lt;&gt;"",VLOOKUP($AC390,GEADRESSEERDE!$A$2:$E$4,5,),"")</f>
        <v>BE</v>
      </c>
      <c r="AH390" s="11" t="str">
        <f>IF(I390&lt;&gt;"",VLOOKUP(AP390,KvB!$A$2:$B$3,2,FALSE),"")</f>
        <v>BE101000</v>
      </c>
      <c r="AI390" s="11" t="s">
        <v>55</v>
      </c>
      <c r="AJ390" s="11"/>
      <c r="AK390" s="11"/>
      <c r="AL390" s="11"/>
      <c r="AM390" s="11"/>
      <c r="AN390" s="11"/>
      <c r="AO390" s="11"/>
      <c r="AP390" s="2" t="s">
        <v>70</v>
      </c>
      <c r="AQ390" s="11" t="str">
        <f>IF(I390&lt;&gt;"",DATA!D389,"")</f>
        <v>7419200090</v>
      </c>
    </row>
    <row r="391" spans="1:43" ht="15.75" x14ac:dyDescent="0.25">
      <c r="A391" s="11" t="s">
        <v>57</v>
      </c>
      <c r="B391" s="11" t="s">
        <v>56</v>
      </c>
      <c r="C391" s="22">
        <f t="shared" si="30"/>
        <v>25001620</v>
      </c>
      <c r="D391" s="11" t="str">
        <f t="shared" si="27"/>
        <v>SKIIFM_AT</v>
      </c>
      <c r="E391" s="11" t="str">
        <f>IF(I391&lt;&gt;"",VLOOKUP(F391,OPDRACHTGEVER!$A$2:$B$4,2,FALSE),"")</f>
        <v>SKIIFM_AT</v>
      </c>
      <c r="F391" s="11" t="s">
        <v>58</v>
      </c>
      <c r="I391" s="11" t="str">
        <f>IF(DATA!B390&lt;&gt;"",DATA!B390,"")</f>
        <v>CAAU5526759</v>
      </c>
      <c r="J391" s="12">
        <v>0</v>
      </c>
      <c r="K391" s="11" t="s">
        <v>53</v>
      </c>
      <c r="L391" s="11" t="str">
        <f t="shared" si="28"/>
        <v>842820</v>
      </c>
      <c r="M391" s="11" t="str">
        <f>IF(I391&lt;&gt;"",DATA!E390,"")</f>
        <v>MOTORCYCLE LIFT STAND</v>
      </c>
      <c r="N391" s="12">
        <v>0</v>
      </c>
      <c r="O391" s="11">
        <f>IF(I391&lt;&gt;"",DATA!C390,"")</f>
        <v>128.19999999999999</v>
      </c>
      <c r="P391" s="2">
        <v>294094</v>
      </c>
      <c r="Q391" s="2" t="s">
        <v>1304</v>
      </c>
      <c r="R391" s="2" t="s">
        <v>1313</v>
      </c>
      <c r="S391" s="2">
        <v>349</v>
      </c>
      <c r="T391" s="2">
        <v>1</v>
      </c>
      <c r="U391" s="2" t="s">
        <v>141</v>
      </c>
      <c r="Y391" s="2">
        <v>1700</v>
      </c>
      <c r="Z391" s="11" t="s">
        <v>54</v>
      </c>
      <c r="AA391" s="11" t="str">
        <f t="shared" si="29"/>
        <v>1700 - TBN</v>
      </c>
      <c r="AC391" s="2" t="s">
        <v>145</v>
      </c>
      <c r="AD391" s="11" t="str">
        <f>IF($I391&lt;&gt;"",VLOOKUP($AC391,GEADRESSEERDE!$A$2:$E$4,2,),"")</f>
        <v>LUITHAGEN HAVEN 2 D</v>
      </c>
      <c r="AE391" s="11">
        <f>IF($I391&lt;&gt;"",VLOOKUP($AC391,GEADRESSEERDE!$A$2:$E$4,3,),"")</f>
        <v>2030</v>
      </c>
      <c r="AF391" s="11" t="str">
        <f>IF($I391&lt;&gt;"",VLOOKUP($AC391,GEADRESSEERDE!$A$2:$E$4,4,),"")</f>
        <v>ANTWERPEN</v>
      </c>
      <c r="AG391" s="11" t="str">
        <f>IF($I391&lt;&gt;"",VLOOKUP($AC391,GEADRESSEERDE!$A$2:$E$4,5,),"")</f>
        <v>BE</v>
      </c>
      <c r="AH391" s="11" t="str">
        <f>IF(I391&lt;&gt;"",VLOOKUP(AP391,KvB!$A$2:$B$3,2,FALSE),"")</f>
        <v>BE101000</v>
      </c>
      <c r="AI391" s="11" t="s">
        <v>55</v>
      </c>
      <c r="AJ391" s="11"/>
      <c r="AK391" s="11"/>
      <c r="AL391" s="11"/>
      <c r="AM391" s="11"/>
      <c r="AN391" s="11"/>
      <c r="AO391" s="11"/>
      <c r="AP391" s="2" t="s">
        <v>70</v>
      </c>
      <c r="AQ391" s="11" t="str">
        <f>IF(I391&lt;&gt;"",DATA!D390,"")</f>
        <v>8428208000</v>
      </c>
    </row>
    <row r="392" spans="1:43" ht="15.75" x14ac:dyDescent="0.25">
      <c r="A392" s="11" t="s">
        <v>57</v>
      </c>
      <c r="B392" s="11" t="s">
        <v>56</v>
      </c>
      <c r="C392" s="22">
        <f t="shared" si="30"/>
        <v>25001620</v>
      </c>
      <c r="D392" s="11" t="str">
        <f t="shared" si="27"/>
        <v>SKIIFM_AT</v>
      </c>
      <c r="E392" s="11" t="str">
        <f>IF(I392&lt;&gt;"",VLOOKUP(F392,OPDRACHTGEVER!$A$2:$B$4,2,FALSE),"")</f>
        <v>SKIIFM_AT</v>
      </c>
      <c r="F392" s="11" t="s">
        <v>58</v>
      </c>
      <c r="I392" s="11" t="str">
        <f>IF(DATA!B391&lt;&gt;"",DATA!B391,"")</f>
        <v>CAAU5526759</v>
      </c>
      <c r="J392" s="12">
        <v>0</v>
      </c>
      <c r="K392" s="11" t="s">
        <v>53</v>
      </c>
      <c r="L392" s="11" t="str">
        <f t="shared" si="28"/>
        <v>841320</v>
      </c>
      <c r="M392" s="11" t="str">
        <f>IF(I392&lt;&gt;"",DATA!E391,"")</f>
        <v>OIL EXTRACTOR</v>
      </c>
      <c r="N392" s="12">
        <v>0</v>
      </c>
      <c r="O392" s="11">
        <f>IF(I392&lt;&gt;"",DATA!C391,"")</f>
        <v>131</v>
      </c>
      <c r="P392" s="2">
        <v>294094</v>
      </c>
      <c r="Q392" s="2" t="s">
        <v>1304</v>
      </c>
      <c r="R392" s="2" t="s">
        <v>1313</v>
      </c>
      <c r="S392" s="2">
        <v>349</v>
      </c>
      <c r="T392" s="2">
        <v>1</v>
      </c>
      <c r="U392" s="2" t="s">
        <v>141</v>
      </c>
      <c r="Y392" s="2">
        <v>1700</v>
      </c>
      <c r="Z392" s="11" t="s">
        <v>54</v>
      </c>
      <c r="AA392" s="11" t="str">
        <f t="shared" si="29"/>
        <v>1700 - TBN</v>
      </c>
      <c r="AC392" s="2" t="s">
        <v>145</v>
      </c>
      <c r="AD392" s="11" t="str">
        <f>IF($I392&lt;&gt;"",VLOOKUP($AC392,GEADRESSEERDE!$A$2:$E$4,2,),"")</f>
        <v>LUITHAGEN HAVEN 2 D</v>
      </c>
      <c r="AE392" s="11">
        <f>IF($I392&lt;&gt;"",VLOOKUP($AC392,GEADRESSEERDE!$A$2:$E$4,3,),"")</f>
        <v>2030</v>
      </c>
      <c r="AF392" s="11" t="str">
        <f>IF($I392&lt;&gt;"",VLOOKUP($AC392,GEADRESSEERDE!$A$2:$E$4,4,),"")</f>
        <v>ANTWERPEN</v>
      </c>
      <c r="AG392" s="11" t="str">
        <f>IF($I392&lt;&gt;"",VLOOKUP($AC392,GEADRESSEERDE!$A$2:$E$4,5,),"")</f>
        <v>BE</v>
      </c>
      <c r="AH392" s="11" t="str">
        <f>IF(I392&lt;&gt;"",VLOOKUP(AP392,KvB!$A$2:$B$3,2,FALSE),"")</f>
        <v>BE101000</v>
      </c>
      <c r="AI392" s="11" t="s">
        <v>55</v>
      </c>
      <c r="AJ392" s="11"/>
      <c r="AK392" s="11"/>
      <c r="AL392" s="11"/>
      <c r="AM392" s="11"/>
      <c r="AN392" s="11"/>
      <c r="AO392" s="11"/>
      <c r="AP392" s="2" t="s">
        <v>70</v>
      </c>
      <c r="AQ392" s="11" t="str">
        <f>IF(I392&lt;&gt;"",DATA!D391,"")</f>
        <v>8413200090</v>
      </c>
    </row>
    <row r="393" spans="1:43" ht="15.75" x14ac:dyDescent="0.25">
      <c r="A393" s="11" t="s">
        <v>57</v>
      </c>
      <c r="B393" s="11" t="s">
        <v>56</v>
      </c>
      <c r="C393" s="22">
        <f t="shared" si="30"/>
        <v>25001620</v>
      </c>
      <c r="D393" s="11" t="str">
        <f t="shared" si="27"/>
        <v>SKIIFM_AT</v>
      </c>
      <c r="E393" s="11" t="str">
        <f>IF(I393&lt;&gt;"",VLOOKUP(F393,OPDRACHTGEVER!$A$2:$B$4,2,FALSE),"")</f>
        <v>SKIIFM_AT</v>
      </c>
      <c r="F393" s="11" t="s">
        <v>58</v>
      </c>
      <c r="I393" s="11" t="str">
        <f>IF(DATA!B392&lt;&gt;"",DATA!B392,"")</f>
        <v>CAAU5526759</v>
      </c>
      <c r="J393" s="12">
        <v>0</v>
      </c>
      <c r="K393" s="11" t="s">
        <v>53</v>
      </c>
      <c r="L393" s="11" t="str">
        <f t="shared" si="28"/>
        <v>843149</v>
      </c>
      <c r="M393" s="11" t="str">
        <f>IF(I393&lt;&gt;"",DATA!E392,"")</f>
        <v>PALLET FORK</v>
      </c>
      <c r="N393" s="12">
        <v>0</v>
      </c>
      <c r="O393" s="11">
        <f>IF(I393&lt;&gt;"",DATA!C392,"")</f>
        <v>1854.45</v>
      </c>
      <c r="P393" s="2">
        <v>294094</v>
      </c>
      <c r="Q393" s="2" t="s">
        <v>1304</v>
      </c>
      <c r="R393" s="2" t="s">
        <v>1313</v>
      </c>
      <c r="S393" s="2">
        <v>349</v>
      </c>
      <c r="T393" s="2">
        <v>1</v>
      </c>
      <c r="U393" s="2" t="s">
        <v>141</v>
      </c>
      <c r="Y393" s="2">
        <v>1700</v>
      </c>
      <c r="Z393" s="11" t="s">
        <v>54</v>
      </c>
      <c r="AA393" s="11" t="str">
        <f t="shared" si="29"/>
        <v>1700 - TBN</v>
      </c>
      <c r="AC393" s="2" t="s">
        <v>145</v>
      </c>
      <c r="AD393" s="11" t="str">
        <f>IF($I393&lt;&gt;"",VLOOKUP($AC393,GEADRESSEERDE!$A$2:$E$4,2,),"")</f>
        <v>LUITHAGEN HAVEN 2 D</v>
      </c>
      <c r="AE393" s="11">
        <f>IF($I393&lt;&gt;"",VLOOKUP($AC393,GEADRESSEERDE!$A$2:$E$4,3,),"")</f>
        <v>2030</v>
      </c>
      <c r="AF393" s="11" t="str">
        <f>IF($I393&lt;&gt;"",VLOOKUP($AC393,GEADRESSEERDE!$A$2:$E$4,4,),"")</f>
        <v>ANTWERPEN</v>
      </c>
      <c r="AG393" s="11" t="str">
        <f>IF($I393&lt;&gt;"",VLOOKUP($AC393,GEADRESSEERDE!$A$2:$E$4,5,),"")</f>
        <v>BE</v>
      </c>
      <c r="AH393" s="11" t="str">
        <f>IF(I393&lt;&gt;"",VLOOKUP(AP393,KvB!$A$2:$B$3,2,FALSE),"")</f>
        <v>BE101000</v>
      </c>
      <c r="AI393" s="11" t="s">
        <v>55</v>
      </c>
      <c r="AJ393" s="11"/>
      <c r="AK393" s="11"/>
      <c r="AL393" s="11"/>
      <c r="AM393" s="11"/>
      <c r="AN393" s="11"/>
      <c r="AO393" s="11"/>
      <c r="AP393" s="2" t="s">
        <v>70</v>
      </c>
      <c r="AQ393" s="11" t="str">
        <f>IF(I393&lt;&gt;"",DATA!D392,"")</f>
        <v>8431498090</v>
      </c>
    </row>
    <row r="394" spans="1:43" ht="15.75" x14ac:dyDescent="0.25">
      <c r="A394" s="11" t="s">
        <v>57</v>
      </c>
      <c r="B394" s="11" t="s">
        <v>56</v>
      </c>
      <c r="C394" s="22">
        <f t="shared" si="30"/>
        <v>25001620</v>
      </c>
      <c r="D394" s="11" t="str">
        <f t="shared" si="27"/>
        <v>SKIIFM_AT</v>
      </c>
      <c r="E394" s="11" t="str">
        <f>IF(I394&lt;&gt;"",VLOOKUP(F394,OPDRACHTGEVER!$A$2:$B$4,2,FALSE),"")</f>
        <v>SKIIFM_AT</v>
      </c>
      <c r="F394" s="11" t="s">
        <v>58</v>
      </c>
      <c r="I394" s="11" t="str">
        <f>IF(DATA!B393&lt;&gt;"",DATA!B393,"")</f>
        <v>CAAU5526759</v>
      </c>
      <c r="J394" s="12">
        <v>0</v>
      </c>
      <c r="K394" s="11" t="s">
        <v>53</v>
      </c>
      <c r="L394" s="11" t="str">
        <f t="shared" si="28"/>
        <v>940179</v>
      </c>
      <c r="M394" s="11" t="str">
        <f>IF(I394&lt;&gt;"",DATA!E393,"")</f>
        <v>PARK BENCHES</v>
      </c>
      <c r="N394" s="12">
        <v>0</v>
      </c>
      <c r="O394" s="11">
        <f>IF(I394&lt;&gt;"",DATA!C393,"")</f>
        <v>65.099999999999994</v>
      </c>
      <c r="P394" s="2">
        <v>294094</v>
      </c>
      <c r="Q394" s="2" t="s">
        <v>1304</v>
      </c>
      <c r="R394" s="2" t="s">
        <v>1313</v>
      </c>
      <c r="S394" s="2">
        <v>349</v>
      </c>
      <c r="T394" s="2">
        <v>1</v>
      </c>
      <c r="U394" s="2" t="s">
        <v>141</v>
      </c>
      <c r="Y394" s="2">
        <v>1700</v>
      </c>
      <c r="Z394" s="11" t="s">
        <v>54</v>
      </c>
      <c r="AA394" s="11" t="str">
        <f t="shared" si="29"/>
        <v>1700 - TBN</v>
      </c>
      <c r="AC394" s="2" t="s">
        <v>145</v>
      </c>
      <c r="AD394" s="11" t="str">
        <f>IF($I394&lt;&gt;"",VLOOKUP($AC394,GEADRESSEERDE!$A$2:$E$4,2,),"")</f>
        <v>LUITHAGEN HAVEN 2 D</v>
      </c>
      <c r="AE394" s="11">
        <f>IF($I394&lt;&gt;"",VLOOKUP($AC394,GEADRESSEERDE!$A$2:$E$4,3,),"")</f>
        <v>2030</v>
      </c>
      <c r="AF394" s="11" t="str">
        <f>IF($I394&lt;&gt;"",VLOOKUP($AC394,GEADRESSEERDE!$A$2:$E$4,4,),"")</f>
        <v>ANTWERPEN</v>
      </c>
      <c r="AG394" s="11" t="str">
        <f>IF($I394&lt;&gt;"",VLOOKUP($AC394,GEADRESSEERDE!$A$2:$E$4,5,),"")</f>
        <v>BE</v>
      </c>
      <c r="AH394" s="11" t="str">
        <f>IF(I394&lt;&gt;"",VLOOKUP(AP394,KvB!$A$2:$B$3,2,FALSE),"")</f>
        <v>BE101000</v>
      </c>
      <c r="AI394" s="11" t="s">
        <v>55</v>
      </c>
      <c r="AJ394" s="11"/>
      <c r="AK394" s="11"/>
      <c r="AL394" s="11"/>
      <c r="AM394" s="11"/>
      <c r="AN394" s="11"/>
      <c r="AO394" s="11"/>
      <c r="AP394" s="2" t="s">
        <v>70</v>
      </c>
      <c r="AQ394" s="11" t="str">
        <f>IF(I394&lt;&gt;"",DATA!D393,"")</f>
        <v>9401790000</v>
      </c>
    </row>
    <row r="395" spans="1:43" ht="15.75" x14ac:dyDescent="0.25">
      <c r="A395" s="11" t="s">
        <v>57</v>
      </c>
      <c r="B395" s="11" t="s">
        <v>56</v>
      </c>
      <c r="C395" s="22">
        <f t="shared" si="30"/>
        <v>25001620</v>
      </c>
      <c r="D395" s="11" t="str">
        <f t="shared" si="27"/>
        <v>SKIIFM_AT</v>
      </c>
      <c r="E395" s="11" t="str">
        <f>IF(I395&lt;&gt;"",VLOOKUP(F395,OPDRACHTGEVER!$A$2:$B$4,2,FALSE),"")</f>
        <v>SKIIFM_AT</v>
      </c>
      <c r="F395" s="11" t="s">
        <v>58</v>
      </c>
      <c r="I395" s="11" t="str">
        <f>IF(DATA!B394&lt;&gt;"",DATA!B394,"")</f>
        <v>CAAU5526759</v>
      </c>
      <c r="J395" s="12">
        <v>0</v>
      </c>
      <c r="K395" s="11" t="s">
        <v>53</v>
      </c>
      <c r="L395" s="11" t="str">
        <f t="shared" si="28"/>
        <v>420292</v>
      </c>
      <c r="M395" s="11" t="str">
        <f>IF(I395&lt;&gt;"",DATA!E394,"")</f>
        <v>PET CARRIER WITH WHEELS</v>
      </c>
      <c r="N395" s="12">
        <v>0</v>
      </c>
      <c r="O395" s="11">
        <f>IF(I395&lt;&gt;"",DATA!C394,"")</f>
        <v>89.1</v>
      </c>
      <c r="P395" s="2">
        <v>294094</v>
      </c>
      <c r="Q395" s="2" t="s">
        <v>1304</v>
      </c>
      <c r="R395" s="2" t="s">
        <v>1313</v>
      </c>
      <c r="S395" s="2">
        <v>349</v>
      </c>
      <c r="T395" s="2">
        <v>1</v>
      </c>
      <c r="U395" s="2" t="s">
        <v>141</v>
      </c>
      <c r="Y395" s="2">
        <v>1700</v>
      </c>
      <c r="Z395" s="11" t="s">
        <v>54</v>
      </c>
      <c r="AA395" s="11" t="str">
        <f t="shared" si="29"/>
        <v>1700 - TBN</v>
      </c>
      <c r="AC395" s="2" t="s">
        <v>145</v>
      </c>
      <c r="AD395" s="11" t="str">
        <f>IF($I395&lt;&gt;"",VLOOKUP($AC395,GEADRESSEERDE!$A$2:$E$4,2,),"")</f>
        <v>LUITHAGEN HAVEN 2 D</v>
      </c>
      <c r="AE395" s="11">
        <f>IF($I395&lt;&gt;"",VLOOKUP($AC395,GEADRESSEERDE!$A$2:$E$4,3,),"")</f>
        <v>2030</v>
      </c>
      <c r="AF395" s="11" t="str">
        <f>IF($I395&lt;&gt;"",VLOOKUP($AC395,GEADRESSEERDE!$A$2:$E$4,4,),"")</f>
        <v>ANTWERPEN</v>
      </c>
      <c r="AG395" s="11" t="str">
        <f>IF($I395&lt;&gt;"",VLOOKUP($AC395,GEADRESSEERDE!$A$2:$E$4,5,),"")</f>
        <v>BE</v>
      </c>
      <c r="AH395" s="11" t="str">
        <f>IF(I395&lt;&gt;"",VLOOKUP(AP395,KvB!$A$2:$B$3,2,FALSE),"")</f>
        <v>BE101000</v>
      </c>
      <c r="AI395" s="11" t="s">
        <v>55</v>
      </c>
      <c r="AJ395" s="11"/>
      <c r="AK395" s="11"/>
      <c r="AL395" s="11"/>
      <c r="AM395" s="11"/>
      <c r="AN395" s="11"/>
      <c r="AO395" s="11"/>
      <c r="AP395" s="2" t="s">
        <v>70</v>
      </c>
      <c r="AQ395" s="11" t="str">
        <f>IF(I395&lt;&gt;"",DATA!D394,"")</f>
        <v>4202929890</v>
      </c>
    </row>
    <row r="396" spans="1:43" ht="15.75" x14ac:dyDescent="0.25">
      <c r="A396" s="11" t="s">
        <v>57</v>
      </c>
      <c r="B396" s="11" t="s">
        <v>56</v>
      </c>
      <c r="C396" s="22">
        <f t="shared" si="30"/>
        <v>25001620</v>
      </c>
      <c r="D396" s="11" t="str">
        <f t="shared" si="27"/>
        <v>SKIIFM_AT</v>
      </c>
      <c r="E396" s="11" t="str">
        <f>IF(I396&lt;&gt;"",VLOOKUP(F396,OPDRACHTGEVER!$A$2:$B$4,2,FALSE),"")</f>
        <v>SKIIFM_AT</v>
      </c>
      <c r="F396" s="11" t="s">
        <v>58</v>
      </c>
      <c r="I396" s="11" t="str">
        <f>IF(DATA!B395&lt;&gt;"",DATA!B395,"")</f>
        <v>CAAU5526759</v>
      </c>
      <c r="J396" s="12">
        <v>0</v>
      </c>
      <c r="K396" s="11" t="s">
        <v>53</v>
      </c>
      <c r="L396" s="11" t="str">
        <f t="shared" si="28"/>
        <v>950691</v>
      </c>
      <c r="M396" s="11" t="str">
        <f>IF(I396&lt;&gt;"",DATA!E395,"")</f>
        <v>PET TREADMILL</v>
      </c>
      <c r="N396" s="12">
        <v>0</v>
      </c>
      <c r="O396" s="11">
        <f>IF(I396&lt;&gt;"",DATA!C395,"")</f>
        <v>214.4</v>
      </c>
      <c r="P396" s="2">
        <v>294094</v>
      </c>
      <c r="Q396" s="2" t="s">
        <v>1304</v>
      </c>
      <c r="R396" s="2" t="s">
        <v>1313</v>
      </c>
      <c r="S396" s="2">
        <v>349</v>
      </c>
      <c r="T396" s="2">
        <v>1</v>
      </c>
      <c r="U396" s="2" t="s">
        <v>141</v>
      </c>
      <c r="Y396" s="2">
        <v>1700</v>
      </c>
      <c r="Z396" s="11" t="s">
        <v>54</v>
      </c>
      <c r="AA396" s="11" t="str">
        <f t="shared" si="29"/>
        <v>1700 - TBN</v>
      </c>
      <c r="AC396" s="2" t="s">
        <v>145</v>
      </c>
      <c r="AD396" s="11" t="str">
        <f>IF($I396&lt;&gt;"",VLOOKUP($AC396,GEADRESSEERDE!$A$2:$E$4,2,),"")</f>
        <v>LUITHAGEN HAVEN 2 D</v>
      </c>
      <c r="AE396" s="11">
        <f>IF($I396&lt;&gt;"",VLOOKUP($AC396,GEADRESSEERDE!$A$2:$E$4,3,),"")</f>
        <v>2030</v>
      </c>
      <c r="AF396" s="11" t="str">
        <f>IF($I396&lt;&gt;"",VLOOKUP($AC396,GEADRESSEERDE!$A$2:$E$4,4,),"")</f>
        <v>ANTWERPEN</v>
      </c>
      <c r="AG396" s="11" t="str">
        <f>IF($I396&lt;&gt;"",VLOOKUP($AC396,GEADRESSEERDE!$A$2:$E$4,5,),"")</f>
        <v>BE</v>
      </c>
      <c r="AH396" s="11" t="str">
        <f>IF(I396&lt;&gt;"",VLOOKUP(AP396,KvB!$A$2:$B$3,2,FALSE),"")</f>
        <v>BE101000</v>
      </c>
      <c r="AI396" s="11" t="s">
        <v>55</v>
      </c>
      <c r="AJ396" s="11"/>
      <c r="AK396" s="11"/>
      <c r="AL396" s="11"/>
      <c r="AM396" s="11"/>
      <c r="AN396" s="11"/>
      <c r="AO396" s="11"/>
      <c r="AP396" s="2" t="s">
        <v>70</v>
      </c>
      <c r="AQ396" s="11" t="str">
        <f>IF(I396&lt;&gt;"",DATA!D395,"")</f>
        <v>9506911000</v>
      </c>
    </row>
    <row r="397" spans="1:43" ht="15.75" x14ac:dyDescent="0.25">
      <c r="A397" s="11" t="s">
        <v>57</v>
      </c>
      <c r="B397" s="11" t="s">
        <v>56</v>
      </c>
      <c r="C397" s="22">
        <f t="shared" si="30"/>
        <v>25001620</v>
      </c>
      <c r="D397" s="11" t="str">
        <f t="shared" si="27"/>
        <v>SKIIFM_AT</v>
      </c>
      <c r="E397" s="11" t="str">
        <f>IF(I397&lt;&gt;"",VLOOKUP(F397,OPDRACHTGEVER!$A$2:$B$4,2,FALSE),"")</f>
        <v>SKIIFM_AT</v>
      </c>
      <c r="F397" s="11" t="s">
        <v>58</v>
      </c>
      <c r="I397" s="11" t="str">
        <f>IF(DATA!B396&lt;&gt;"",DATA!B396,"")</f>
        <v>CAAU5526759</v>
      </c>
      <c r="J397" s="12">
        <v>0</v>
      </c>
      <c r="K397" s="11" t="s">
        <v>53</v>
      </c>
      <c r="L397" s="11" t="str">
        <f t="shared" si="28"/>
        <v>851660</v>
      </c>
      <c r="M397" s="11" t="str">
        <f>IF(I397&lt;&gt;"",DATA!E396,"")</f>
        <v>PIZZA OVEN</v>
      </c>
      <c r="N397" s="12">
        <v>0</v>
      </c>
      <c r="O397" s="11">
        <f>IF(I397&lt;&gt;"",DATA!C396,"")</f>
        <v>206.8</v>
      </c>
      <c r="P397" s="2">
        <v>294094</v>
      </c>
      <c r="Q397" s="2" t="s">
        <v>1304</v>
      </c>
      <c r="R397" s="2" t="s">
        <v>1313</v>
      </c>
      <c r="S397" s="2">
        <v>349</v>
      </c>
      <c r="T397" s="2">
        <v>1</v>
      </c>
      <c r="U397" s="2" t="s">
        <v>141</v>
      </c>
      <c r="Y397" s="2">
        <v>1700</v>
      </c>
      <c r="Z397" s="11" t="s">
        <v>54</v>
      </c>
      <c r="AA397" s="11" t="str">
        <f t="shared" si="29"/>
        <v>1700 - TBN</v>
      </c>
      <c r="AC397" s="2" t="s">
        <v>145</v>
      </c>
      <c r="AD397" s="11" t="str">
        <f>IF($I397&lt;&gt;"",VLOOKUP($AC397,GEADRESSEERDE!$A$2:$E$4,2,),"")</f>
        <v>LUITHAGEN HAVEN 2 D</v>
      </c>
      <c r="AE397" s="11">
        <f>IF($I397&lt;&gt;"",VLOOKUP($AC397,GEADRESSEERDE!$A$2:$E$4,3,),"")</f>
        <v>2030</v>
      </c>
      <c r="AF397" s="11" t="str">
        <f>IF($I397&lt;&gt;"",VLOOKUP($AC397,GEADRESSEERDE!$A$2:$E$4,4,),"")</f>
        <v>ANTWERPEN</v>
      </c>
      <c r="AG397" s="11" t="str">
        <f>IF($I397&lt;&gt;"",VLOOKUP($AC397,GEADRESSEERDE!$A$2:$E$4,5,),"")</f>
        <v>BE</v>
      </c>
      <c r="AH397" s="11" t="str">
        <f>IF(I397&lt;&gt;"",VLOOKUP(AP397,KvB!$A$2:$B$3,2,FALSE),"")</f>
        <v>BE101000</v>
      </c>
      <c r="AI397" s="11" t="s">
        <v>55</v>
      </c>
      <c r="AJ397" s="11"/>
      <c r="AK397" s="11"/>
      <c r="AL397" s="11"/>
      <c r="AM397" s="11"/>
      <c r="AN397" s="11"/>
      <c r="AO397" s="11"/>
      <c r="AP397" s="2" t="s">
        <v>70</v>
      </c>
      <c r="AQ397" s="11" t="str">
        <f>IF(I397&lt;&gt;"",DATA!D396,"")</f>
        <v>8516605000</v>
      </c>
    </row>
    <row r="398" spans="1:43" ht="15.75" x14ac:dyDescent="0.25">
      <c r="A398" s="11" t="s">
        <v>57</v>
      </c>
      <c r="B398" s="11" t="s">
        <v>56</v>
      </c>
      <c r="C398" s="22">
        <f t="shared" si="30"/>
        <v>25001620</v>
      </c>
      <c r="D398" s="11" t="str">
        <f t="shared" si="27"/>
        <v>SKIIFM_AT</v>
      </c>
      <c r="E398" s="11" t="str">
        <f>IF(I398&lt;&gt;"",VLOOKUP(F398,OPDRACHTGEVER!$A$2:$B$4,2,FALSE),"")</f>
        <v>SKIIFM_AT</v>
      </c>
      <c r="F398" s="11" t="s">
        <v>58</v>
      </c>
      <c r="I398" s="11" t="str">
        <f>IF(DATA!B397&lt;&gt;"",DATA!B397,"")</f>
        <v>CAAU5526759</v>
      </c>
      <c r="J398" s="12">
        <v>0</v>
      </c>
      <c r="K398" s="11" t="s">
        <v>53</v>
      </c>
      <c r="L398" s="11" t="str">
        <f t="shared" si="28"/>
        <v>940370</v>
      </c>
      <c r="M398" s="11" t="str">
        <f>IF(I398&lt;&gt;"",DATA!E397,"")</f>
        <v>PLATFORM</v>
      </c>
      <c r="N398" s="12">
        <v>0</v>
      </c>
      <c r="O398" s="11">
        <f>IF(I398&lt;&gt;"",DATA!C397,"")</f>
        <v>305.10000000000002</v>
      </c>
      <c r="P398" s="2">
        <v>294094</v>
      </c>
      <c r="Q398" s="2" t="s">
        <v>1304</v>
      </c>
      <c r="R398" s="2" t="s">
        <v>1313</v>
      </c>
      <c r="S398" s="2">
        <v>349</v>
      </c>
      <c r="T398" s="2">
        <v>1</v>
      </c>
      <c r="U398" s="2" t="s">
        <v>141</v>
      </c>
      <c r="Y398" s="2">
        <v>1700</v>
      </c>
      <c r="Z398" s="11" t="s">
        <v>54</v>
      </c>
      <c r="AA398" s="11" t="str">
        <f t="shared" si="29"/>
        <v>1700 - TBN</v>
      </c>
      <c r="AC398" s="2" t="s">
        <v>145</v>
      </c>
      <c r="AD398" s="11" t="str">
        <f>IF($I398&lt;&gt;"",VLOOKUP($AC398,GEADRESSEERDE!$A$2:$E$4,2,),"")</f>
        <v>LUITHAGEN HAVEN 2 D</v>
      </c>
      <c r="AE398" s="11">
        <f>IF($I398&lt;&gt;"",VLOOKUP($AC398,GEADRESSEERDE!$A$2:$E$4,3,),"")</f>
        <v>2030</v>
      </c>
      <c r="AF398" s="11" t="str">
        <f>IF($I398&lt;&gt;"",VLOOKUP($AC398,GEADRESSEERDE!$A$2:$E$4,4,),"")</f>
        <v>ANTWERPEN</v>
      </c>
      <c r="AG398" s="11" t="str">
        <f>IF($I398&lt;&gt;"",VLOOKUP($AC398,GEADRESSEERDE!$A$2:$E$4,5,),"")</f>
        <v>BE</v>
      </c>
      <c r="AH398" s="11" t="str">
        <f>IF(I398&lt;&gt;"",VLOOKUP(AP398,KvB!$A$2:$B$3,2,FALSE),"")</f>
        <v>BE101000</v>
      </c>
      <c r="AI398" s="11" t="s">
        <v>55</v>
      </c>
      <c r="AJ398" s="11"/>
      <c r="AK398" s="11"/>
      <c r="AL398" s="11"/>
      <c r="AM398" s="11"/>
      <c r="AN398" s="11"/>
      <c r="AO398" s="11"/>
      <c r="AP398" s="2" t="s">
        <v>70</v>
      </c>
      <c r="AQ398" s="11" t="str">
        <f>IF(I398&lt;&gt;"",DATA!D397,"")</f>
        <v>9403700000</v>
      </c>
    </row>
    <row r="399" spans="1:43" ht="15.75" x14ac:dyDescent="0.25">
      <c r="A399" s="11" t="s">
        <v>57</v>
      </c>
      <c r="B399" s="11" t="s">
        <v>56</v>
      </c>
      <c r="C399" s="22">
        <f t="shared" si="30"/>
        <v>25001620</v>
      </c>
      <c r="D399" s="11" t="str">
        <f t="shared" si="27"/>
        <v>SKIIFM_AT</v>
      </c>
      <c r="E399" s="11" t="str">
        <f>IF(I399&lt;&gt;"",VLOOKUP(F399,OPDRACHTGEVER!$A$2:$B$4,2,FALSE),"")</f>
        <v>SKIIFM_AT</v>
      </c>
      <c r="F399" s="11" t="s">
        <v>58</v>
      </c>
      <c r="I399" s="11" t="str">
        <f>IF(DATA!B398&lt;&gt;"",DATA!B398,"")</f>
        <v>CAAU5526759</v>
      </c>
      <c r="J399" s="12">
        <v>0</v>
      </c>
      <c r="K399" s="11" t="s">
        <v>53</v>
      </c>
      <c r="L399" s="11" t="str">
        <f t="shared" si="28"/>
        <v>841350</v>
      </c>
      <c r="M399" s="11" t="str">
        <f>IF(I399&lt;&gt;"",DATA!E398,"")</f>
        <v>PNEUMATIC HYDRAULIC PUMP</v>
      </c>
      <c r="N399" s="12">
        <v>0</v>
      </c>
      <c r="O399" s="11">
        <f>IF(I399&lt;&gt;"",DATA!C398,"")</f>
        <v>213.9</v>
      </c>
      <c r="P399" s="2">
        <v>294094</v>
      </c>
      <c r="Q399" s="2" t="s">
        <v>1304</v>
      </c>
      <c r="R399" s="2" t="s">
        <v>1313</v>
      </c>
      <c r="S399" s="2">
        <v>349</v>
      </c>
      <c r="T399" s="2">
        <v>1</v>
      </c>
      <c r="U399" s="2" t="s">
        <v>141</v>
      </c>
      <c r="Y399" s="2">
        <v>1700</v>
      </c>
      <c r="Z399" s="11" t="s">
        <v>54</v>
      </c>
      <c r="AA399" s="11" t="str">
        <f t="shared" si="29"/>
        <v>1700 - TBN</v>
      </c>
      <c r="AC399" s="2" t="s">
        <v>145</v>
      </c>
      <c r="AD399" s="11" t="str">
        <f>IF($I399&lt;&gt;"",VLOOKUP($AC399,GEADRESSEERDE!$A$2:$E$4,2,),"")</f>
        <v>LUITHAGEN HAVEN 2 D</v>
      </c>
      <c r="AE399" s="11">
        <f>IF($I399&lt;&gt;"",VLOOKUP($AC399,GEADRESSEERDE!$A$2:$E$4,3,),"")</f>
        <v>2030</v>
      </c>
      <c r="AF399" s="11" t="str">
        <f>IF($I399&lt;&gt;"",VLOOKUP($AC399,GEADRESSEERDE!$A$2:$E$4,4,),"")</f>
        <v>ANTWERPEN</v>
      </c>
      <c r="AG399" s="11" t="str">
        <f>IF($I399&lt;&gt;"",VLOOKUP($AC399,GEADRESSEERDE!$A$2:$E$4,5,),"")</f>
        <v>BE</v>
      </c>
      <c r="AH399" s="11" t="str">
        <f>IF(I399&lt;&gt;"",VLOOKUP(AP399,KvB!$A$2:$B$3,2,FALSE),"")</f>
        <v>BE101000</v>
      </c>
      <c r="AI399" s="11" t="s">
        <v>55</v>
      </c>
      <c r="AJ399" s="11"/>
      <c r="AK399" s="11"/>
      <c r="AL399" s="11"/>
      <c r="AM399" s="11"/>
      <c r="AN399" s="11"/>
      <c r="AO399" s="11"/>
      <c r="AP399" s="2" t="s">
        <v>70</v>
      </c>
      <c r="AQ399" s="11" t="str">
        <f>IF(I399&lt;&gt;"",DATA!D398,"")</f>
        <v>8413508090</v>
      </c>
    </row>
    <row r="400" spans="1:43" ht="15.75" x14ac:dyDescent="0.25">
      <c r="A400" s="11" t="s">
        <v>57</v>
      </c>
      <c r="B400" s="11" t="s">
        <v>56</v>
      </c>
      <c r="C400" s="22">
        <f t="shared" si="30"/>
        <v>25001620</v>
      </c>
      <c r="D400" s="11" t="str">
        <f t="shared" si="27"/>
        <v>SKIIFM_AT</v>
      </c>
      <c r="E400" s="11" t="str">
        <f>IF(I400&lt;&gt;"",VLOOKUP(F400,OPDRACHTGEVER!$A$2:$B$4,2,FALSE),"")</f>
        <v>SKIIFM_AT</v>
      </c>
      <c r="F400" s="11" t="s">
        <v>58</v>
      </c>
      <c r="I400" s="11" t="str">
        <f>IF(DATA!B399&lt;&gt;"",DATA!B399,"")</f>
        <v>CAAU5526759</v>
      </c>
      <c r="J400" s="12">
        <v>0</v>
      </c>
      <c r="K400" s="11" t="s">
        <v>53</v>
      </c>
      <c r="L400" s="11" t="str">
        <f t="shared" si="28"/>
        <v>950490</v>
      </c>
      <c r="M400" s="11" t="str">
        <f>IF(I400&lt;&gt;"",DATA!E399,"")</f>
        <v>POKER MAT</v>
      </c>
      <c r="N400" s="12">
        <v>0</v>
      </c>
      <c r="O400" s="11">
        <f>IF(I400&lt;&gt;"",DATA!C399,"")</f>
        <v>102.95</v>
      </c>
      <c r="P400" s="2">
        <v>294094</v>
      </c>
      <c r="Q400" s="2" t="s">
        <v>1304</v>
      </c>
      <c r="R400" s="2" t="s">
        <v>1313</v>
      </c>
      <c r="S400" s="2">
        <v>349</v>
      </c>
      <c r="T400" s="2">
        <v>1</v>
      </c>
      <c r="U400" s="2" t="s">
        <v>141</v>
      </c>
      <c r="Y400" s="2">
        <v>1700</v>
      </c>
      <c r="Z400" s="11" t="s">
        <v>54</v>
      </c>
      <c r="AA400" s="11" t="str">
        <f t="shared" si="29"/>
        <v>1700 - TBN</v>
      </c>
      <c r="AC400" s="2" t="s">
        <v>145</v>
      </c>
      <c r="AD400" s="11" t="str">
        <f>IF($I400&lt;&gt;"",VLOOKUP($AC400,GEADRESSEERDE!$A$2:$E$4,2,),"")</f>
        <v>LUITHAGEN HAVEN 2 D</v>
      </c>
      <c r="AE400" s="11">
        <f>IF($I400&lt;&gt;"",VLOOKUP($AC400,GEADRESSEERDE!$A$2:$E$4,3,),"")</f>
        <v>2030</v>
      </c>
      <c r="AF400" s="11" t="str">
        <f>IF($I400&lt;&gt;"",VLOOKUP($AC400,GEADRESSEERDE!$A$2:$E$4,4,),"")</f>
        <v>ANTWERPEN</v>
      </c>
      <c r="AG400" s="11" t="str">
        <f>IF($I400&lt;&gt;"",VLOOKUP($AC400,GEADRESSEERDE!$A$2:$E$4,5,),"")</f>
        <v>BE</v>
      </c>
      <c r="AH400" s="11" t="str">
        <f>IF(I400&lt;&gt;"",VLOOKUP(AP400,KvB!$A$2:$B$3,2,FALSE),"")</f>
        <v>BE101000</v>
      </c>
      <c r="AI400" s="11" t="s">
        <v>55</v>
      </c>
      <c r="AJ400" s="11"/>
      <c r="AK400" s="11"/>
      <c r="AL400" s="11"/>
      <c r="AM400" s="11"/>
      <c r="AN400" s="11"/>
      <c r="AO400" s="11"/>
      <c r="AP400" s="2" t="s">
        <v>70</v>
      </c>
      <c r="AQ400" s="11" t="str">
        <f>IF(I400&lt;&gt;"",DATA!D399,"")</f>
        <v>9504908000</v>
      </c>
    </row>
    <row r="401" spans="1:43" ht="15.75" x14ac:dyDescent="0.25">
      <c r="A401" s="11" t="s">
        <v>57</v>
      </c>
      <c r="B401" s="11" t="s">
        <v>56</v>
      </c>
      <c r="C401" s="22">
        <f t="shared" si="30"/>
        <v>25001620</v>
      </c>
      <c r="D401" s="11" t="str">
        <f t="shared" si="27"/>
        <v>SKIIFM_AT</v>
      </c>
      <c r="E401" s="11" t="str">
        <f>IF(I401&lt;&gt;"",VLOOKUP(F401,OPDRACHTGEVER!$A$2:$B$4,2,FALSE),"")</f>
        <v>SKIIFM_AT</v>
      </c>
      <c r="F401" s="11" t="s">
        <v>58</v>
      </c>
      <c r="I401" s="11" t="str">
        <f>IF(DATA!B400&lt;&gt;"",DATA!B400,"")</f>
        <v>CAAU5526759</v>
      </c>
      <c r="J401" s="12">
        <v>0</v>
      </c>
      <c r="K401" s="11" t="s">
        <v>53</v>
      </c>
      <c r="L401" s="11" t="str">
        <f t="shared" si="28"/>
        <v>761699</v>
      </c>
      <c r="M401" s="11" t="str">
        <f>IF(I401&lt;&gt;"",DATA!E400,"")</f>
        <v>PORTABLE WHEELCHAIR RAMP</v>
      </c>
      <c r="N401" s="12">
        <v>0</v>
      </c>
      <c r="O401" s="11">
        <f>IF(I401&lt;&gt;"",DATA!C400,"")</f>
        <v>266.5</v>
      </c>
      <c r="P401" s="2">
        <v>294094</v>
      </c>
      <c r="Q401" s="2" t="s">
        <v>1304</v>
      </c>
      <c r="R401" s="2" t="s">
        <v>1313</v>
      </c>
      <c r="S401" s="2">
        <v>349</v>
      </c>
      <c r="T401" s="2">
        <v>1</v>
      </c>
      <c r="U401" s="2" t="s">
        <v>141</v>
      </c>
      <c r="Y401" s="2">
        <v>1700</v>
      </c>
      <c r="Z401" s="11" t="s">
        <v>54</v>
      </c>
      <c r="AA401" s="11" t="str">
        <f t="shared" si="29"/>
        <v>1700 - TBN</v>
      </c>
      <c r="AC401" s="2" t="s">
        <v>145</v>
      </c>
      <c r="AD401" s="11" t="str">
        <f>IF($I401&lt;&gt;"",VLOOKUP($AC401,GEADRESSEERDE!$A$2:$E$4,2,),"")</f>
        <v>LUITHAGEN HAVEN 2 D</v>
      </c>
      <c r="AE401" s="11">
        <f>IF($I401&lt;&gt;"",VLOOKUP($AC401,GEADRESSEERDE!$A$2:$E$4,3,),"")</f>
        <v>2030</v>
      </c>
      <c r="AF401" s="11" t="str">
        <f>IF($I401&lt;&gt;"",VLOOKUP($AC401,GEADRESSEERDE!$A$2:$E$4,4,),"")</f>
        <v>ANTWERPEN</v>
      </c>
      <c r="AG401" s="11" t="str">
        <f>IF($I401&lt;&gt;"",VLOOKUP($AC401,GEADRESSEERDE!$A$2:$E$4,5,),"")</f>
        <v>BE</v>
      </c>
      <c r="AH401" s="11" t="str">
        <f>IF(I401&lt;&gt;"",VLOOKUP(AP401,KvB!$A$2:$B$3,2,FALSE),"")</f>
        <v>BE101000</v>
      </c>
      <c r="AI401" s="11" t="s">
        <v>55</v>
      </c>
      <c r="AJ401" s="11"/>
      <c r="AK401" s="11"/>
      <c r="AL401" s="11"/>
      <c r="AM401" s="11"/>
      <c r="AN401" s="11"/>
      <c r="AO401" s="11"/>
      <c r="AP401" s="2" t="s">
        <v>70</v>
      </c>
      <c r="AQ401" s="11" t="str">
        <f>IF(I401&lt;&gt;"",DATA!D400,"")</f>
        <v>7616999009</v>
      </c>
    </row>
    <row r="402" spans="1:43" ht="15.75" x14ac:dyDescent="0.25">
      <c r="A402" s="11" t="s">
        <v>57</v>
      </c>
      <c r="B402" s="11" t="s">
        <v>56</v>
      </c>
      <c r="C402" s="22">
        <f t="shared" si="30"/>
        <v>25001620</v>
      </c>
      <c r="D402" s="11" t="str">
        <f t="shared" si="27"/>
        <v>SKIIFM_AT</v>
      </c>
      <c r="E402" s="11" t="str">
        <f>IF(I402&lt;&gt;"",VLOOKUP(F402,OPDRACHTGEVER!$A$2:$B$4,2,FALSE),"")</f>
        <v>SKIIFM_AT</v>
      </c>
      <c r="F402" s="11" t="s">
        <v>58</v>
      </c>
      <c r="I402" s="11" t="str">
        <f>IF(DATA!B401&lt;&gt;"",DATA!B401,"")</f>
        <v>CAAU5526759</v>
      </c>
      <c r="J402" s="12">
        <v>0</v>
      </c>
      <c r="K402" s="11" t="s">
        <v>53</v>
      </c>
      <c r="L402" s="11" t="str">
        <f t="shared" si="28"/>
        <v>842430</v>
      </c>
      <c r="M402" s="11" t="str">
        <f>IF(I402&lt;&gt;"",DATA!E401,"")</f>
        <v>POWDER COATING MACHINE</v>
      </c>
      <c r="N402" s="12">
        <v>0</v>
      </c>
      <c r="O402" s="11">
        <f>IF(I402&lt;&gt;"",DATA!C401,"")</f>
        <v>270.5</v>
      </c>
      <c r="P402" s="2">
        <v>294094</v>
      </c>
      <c r="Q402" s="2" t="s">
        <v>1304</v>
      </c>
      <c r="R402" s="2" t="s">
        <v>1313</v>
      </c>
      <c r="S402" s="2">
        <v>349</v>
      </c>
      <c r="T402" s="2">
        <v>1</v>
      </c>
      <c r="U402" s="2" t="s">
        <v>141</v>
      </c>
      <c r="Y402" s="2">
        <v>1700</v>
      </c>
      <c r="Z402" s="11" t="s">
        <v>54</v>
      </c>
      <c r="AA402" s="11" t="str">
        <f t="shared" si="29"/>
        <v>1700 - TBN</v>
      </c>
      <c r="AC402" s="2" t="s">
        <v>145</v>
      </c>
      <c r="AD402" s="11" t="str">
        <f>IF($I402&lt;&gt;"",VLOOKUP($AC402,GEADRESSEERDE!$A$2:$E$4,2,),"")</f>
        <v>LUITHAGEN HAVEN 2 D</v>
      </c>
      <c r="AE402" s="11">
        <f>IF($I402&lt;&gt;"",VLOOKUP($AC402,GEADRESSEERDE!$A$2:$E$4,3,),"")</f>
        <v>2030</v>
      </c>
      <c r="AF402" s="11" t="str">
        <f>IF($I402&lt;&gt;"",VLOOKUP($AC402,GEADRESSEERDE!$A$2:$E$4,4,),"")</f>
        <v>ANTWERPEN</v>
      </c>
      <c r="AG402" s="11" t="str">
        <f>IF($I402&lt;&gt;"",VLOOKUP($AC402,GEADRESSEERDE!$A$2:$E$4,5,),"")</f>
        <v>BE</v>
      </c>
      <c r="AH402" s="11" t="str">
        <f>IF(I402&lt;&gt;"",VLOOKUP(AP402,KvB!$A$2:$B$3,2,FALSE),"")</f>
        <v>BE101000</v>
      </c>
      <c r="AI402" s="11" t="s">
        <v>55</v>
      </c>
      <c r="AJ402" s="11"/>
      <c r="AK402" s="11"/>
      <c r="AL402" s="11"/>
      <c r="AM402" s="11"/>
      <c r="AN402" s="11"/>
      <c r="AO402" s="11"/>
      <c r="AP402" s="2" t="s">
        <v>70</v>
      </c>
      <c r="AQ402" s="11" t="str">
        <f>IF(I402&lt;&gt;"",DATA!D401,"")</f>
        <v>8424301000</v>
      </c>
    </row>
    <row r="403" spans="1:43" ht="15.75" x14ac:dyDescent="0.25">
      <c r="A403" s="11" t="s">
        <v>57</v>
      </c>
      <c r="B403" s="11" t="s">
        <v>56</v>
      </c>
      <c r="C403" s="22">
        <f t="shared" si="30"/>
        <v>25001620</v>
      </c>
      <c r="D403" s="11" t="str">
        <f t="shared" si="27"/>
        <v>SKIIFM_AT</v>
      </c>
      <c r="E403" s="11" t="str">
        <f>IF(I403&lt;&gt;"",VLOOKUP(F403,OPDRACHTGEVER!$A$2:$B$4,2,FALSE),"")</f>
        <v>SKIIFM_AT</v>
      </c>
      <c r="F403" s="11" t="s">
        <v>58</v>
      </c>
      <c r="I403" s="11" t="str">
        <f>IF(DATA!B402&lt;&gt;"",DATA!B402,"")</f>
        <v>CAAU5526759</v>
      </c>
      <c r="J403" s="12">
        <v>0</v>
      </c>
      <c r="K403" s="11" t="s">
        <v>53</v>
      </c>
      <c r="L403" s="11" t="str">
        <f t="shared" si="28"/>
        <v>950691</v>
      </c>
      <c r="M403" s="11" t="str">
        <f>IF(I403&lt;&gt;"",DATA!E402,"")</f>
        <v>PUSH AND PULL SLED</v>
      </c>
      <c r="N403" s="12">
        <v>0</v>
      </c>
      <c r="O403" s="11">
        <f>IF(I403&lt;&gt;"",DATA!C402,"")</f>
        <v>369.5</v>
      </c>
      <c r="P403" s="2">
        <v>294094</v>
      </c>
      <c r="Q403" s="2" t="s">
        <v>1304</v>
      </c>
      <c r="R403" s="2" t="s">
        <v>1313</v>
      </c>
      <c r="S403" s="2">
        <v>349</v>
      </c>
      <c r="T403" s="2">
        <v>1</v>
      </c>
      <c r="U403" s="2" t="s">
        <v>141</v>
      </c>
      <c r="Y403" s="2">
        <v>1700</v>
      </c>
      <c r="Z403" s="11" t="s">
        <v>54</v>
      </c>
      <c r="AA403" s="11" t="str">
        <f t="shared" si="29"/>
        <v>1700 - TBN</v>
      </c>
      <c r="AC403" s="2" t="s">
        <v>145</v>
      </c>
      <c r="AD403" s="11" t="str">
        <f>IF($I403&lt;&gt;"",VLOOKUP($AC403,GEADRESSEERDE!$A$2:$E$4,2,),"")</f>
        <v>LUITHAGEN HAVEN 2 D</v>
      </c>
      <c r="AE403" s="11">
        <f>IF($I403&lt;&gt;"",VLOOKUP($AC403,GEADRESSEERDE!$A$2:$E$4,3,),"")</f>
        <v>2030</v>
      </c>
      <c r="AF403" s="11" t="str">
        <f>IF($I403&lt;&gt;"",VLOOKUP($AC403,GEADRESSEERDE!$A$2:$E$4,4,),"")</f>
        <v>ANTWERPEN</v>
      </c>
      <c r="AG403" s="11" t="str">
        <f>IF($I403&lt;&gt;"",VLOOKUP($AC403,GEADRESSEERDE!$A$2:$E$4,5,),"")</f>
        <v>BE</v>
      </c>
      <c r="AH403" s="11" t="str">
        <f>IF(I403&lt;&gt;"",VLOOKUP(AP403,KvB!$A$2:$B$3,2,FALSE),"")</f>
        <v>BE101000</v>
      </c>
      <c r="AI403" s="11" t="s">
        <v>55</v>
      </c>
      <c r="AJ403" s="11"/>
      <c r="AK403" s="11"/>
      <c r="AL403" s="11"/>
      <c r="AM403" s="11"/>
      <c r="AN403" s="11"/>
      <c r="AO403" s="11"/>
      <c r="AP403" s="2" t="s">
        <v>70</v>
      </c>
      <c r="AQ403" s="11" t="str">
        <f>IF(I403&lt;&gt;"",DATA!D402,"")</f>
        <v>9506919000</v>
      </c>
    </row>
    <row r="404" spans="1:43" ht="15.75" x14ac:dyDescent="0.25">
      <c r="A404" s="11" t="s">
        <v>57</v>
      </c>
      <c r="B404" s="11" t="s">
        <v>56</v>
      </c>
      <c r="C404" s="22">
        <f t="shared" si="30"/>
        <v>25001620</v>
      </c>
      <c r="D404" s="11" t="str">
        <f t="shared" si="27"/>
        <v>SKIIFM_AT</v>
      </c>
      <c r="E404" s="11" t="str">
        <f>IF(I404&lt;&gt;"",VLOOKUP(F404,OPDRACHTGEVER!$A$2:$B$4,2,FALSE),"")</f>
        <v>SKIIFM_AT</v>
      </c>
      <c r="F404" s="11" t="s">
        <v>58</v>
      </c>
      <c r="I404" s="11" t="str">
        <f>IF(DATA!B403&lt;&gt;"",DATA!B403,"")</f>
        <v>CAAU5526759</v>
      </c>
      <c r="J404" s="12">
        <v>0</v>
      </c>
      <c r="K404" s="11" t="s">
        <v>53</v>
      </c>
      <c r="L404" s="11" t="str">
        <f t="shared" si="28"/>
        <v>820551</v>
      </c>
      <c r="M404" s="11" t="str">
        <f>IF(I404&lt;&gt;"",DATA!E403,"")</f>
        <v>PUTTY SCRAPER</v>
      </c>
      <c r="N404" s="12">
        <v>0</v>
      </c>
      <c r="O404" s="11">
        <f>IF(I404&lt;&gt;"",DATA!C403,"")</f>
        <v>362.55</v>
      </c>
      <c r="P404" s="2">
        <v>294094</v>
      </c>
      <c r="Q404" s="2" t="s">
        <v>1304</v>
      </c>
      <c r="R404" s="2" t="s">
        <v>1313</v>
      </c>
      <c r="S404" s="2">
        <v>349</v>
      </c>
      <c r="T404" s="2">
        <v>1</v>
      </c>
      <c r="U404" s="2" t="s">
        <v>141</v>
      </c>
      <c r="Y404" s="2">
        <v>1700</v>
      </c>
      <c r="Z404" s="11" t="s">
        <v>54</v>
      </c>
      <c r="AA404" s="11" t="str">
        <f t="shared" si="29"/>
        <v>1700 - TBN</v>
      </c>
      <c r="AC404" s="2" t="s">
        <v>145</v>
      </c>
      <c r="AD404" s="11" t="str">
        <f>IF($I404&lt;&gt;"",VLOOKUP($AC404,GEADRESSEERDE!$A$2:$E$4,2,),"")</f>
        <v>LUITHAGEN HAVEN 2 D</v>
      </c>
      <c r="AE404" s="11">
        <f>IF($I404&lt;&gt;"",VLOOKUP($AC404,GEADRESSEERDE!$A$2:$E$4,3,),"")</f>
        <v>2030</v>
      </c>
      <c r="AF404" s="11" t="str">
        <f>IF($I404&lt;&gt;"",VLOOKUP($AC404,GEADRESSEERDE!$A$2:$E$4,4,),"")</f>
        <v>ANTWERPEN</v>
      </c>
      <c r="AG404" s="11" t="str">
        <f>IF($I404&lt;&gt;"",VLOOKUP($AC404,GEADRESSEERDE!$A$2:$E$4,5,),"")</f>
        <v>BE</v>
      </c>
      <c r="AH404" s="11" t="str">
        <f>IF(I404&lt;&gt;"",VLOOKUP(AP404,KvB!$A$2:$B$3,2,FALSE),"")</f>
        <v>BE101000</v>
      </c>
      <c r="AI404" s="11" t="s">
        <v>55</v>
      </c>
      <c r="AJ404" s="11"/>
      <c r="AK404" s="11"/>
      <c r="AL404" s="11"/>
      <c r="AM404" s="11"/>
      <c r="AN404" s="11"/>
      <c r="AO404" s="11"/>
      <c r="AP404" s="2" t="s">
        <v>70</v>
      </c>
      <c r="AQ404" s="11" t="str">
        <f>IF(I404&lt;&gt;"",DATA!D403,"")</f>
        <v>8205510000</v>
      </c>
    </row>
    <row r="405" spans="1:43" ht="15.75" x14ac:dyDescent="0.25">
      <c r="A405" s="11" t="s">
        <v>57</v>
      </c>
      <c r="B405" s="11" t="s">
        <v>56</v>
      </c>
      <c r="C405" s="22">
        <f t="shared" si="30"/>
        <v>25001620</v>
      </c>
      <c r="D405" s="11" t="str">
        <f t="shared" si="27"/>
        <v>SKIIFM_AT</v>
      </c>
      <c r="E405" s="11" t="str">
        <f>IF(I405&lt;&gt;"",VLOOKUP(F405,OPDRACHTGEVER!$A$2:$B$4,2,FALSE),"")</f>
        <v>SKIIFM_AT</v>
      </c>
      <c r="F405" s="11" t="s">
        <v>58</v>
      </c>
      <c r="I405" s="11" t="str">
        <f>IF(DATA!B404&lt;&gt;"",DATA!B404,"")</f>
        <v>CAAU5526759</v>
      </c>
      <c r="J405" s="12">
        <v>0</v>
      </c>
      <c r="K405" s="11" t="s">
        <v>53</v>
      </c>
      <c r="L405" s="11" t="str">
        <f t="shared" si="28"/>
        <v>871680</v>
      </c>
      <c r="M405" s="11" t="str">
        <f>IF(I405&lt;&gt;"",DATA!E404,"")</f>
        <v>REGULAR TYPE</v>
      </c>
      <c r="N405" s="12">
        <v>0</v>
      </c>
      <c r="O405" s="11">
        <f>IF(I405&lt;&gt;"",DATA!C404,"")</f>
        <v>333.25</v>
      </c>
      <c r="P405" s="2">
        <v>294094</v>
      </c>
      <c r="Q405" s="2" t="s">
        <v>1304</v>
      </c>
      <c r="R405" s="2" t="s">
        <v>1313</v>
      </c>
      <c r="S405" s="2">
        <v>349</v>
      </c>
      <c r="T405" s="2">
        <v>1</v>
      </c>
      <c r="U405" s="2" t="s">
        <v>141</v>
      </c>
      <c r="Y405" s="2">
        <v>1700</v>
      </c>
      <c r="Z405" s="11" t="s">
        <v>54</v>
      </c>
      <c r="AA405" s="11" t="str">
        <f t="shared" si="29"/>
        <v>1700 - TBN</v>
      </c>
      <c r="AC405" s="2" t="s">
        <v>145</v>
      </c>
      <c r="AD405" s="11" t="str">
        <f>IF($I405&lt;&gt;"",VLOOKUP($AC405,GEADRESSEERDE!$A$2:$E$4,2,),"")</f>
        <v>LUITHAGEN HAVEN 2 D</v>
      </c>
      <c r="AE405" s="11">
        <f>IF($I405&lt;&gt;"",VLOOKUP($AC405,GEADRESSEERDE!$A$2:$E$4,3,),"")</f>
        <v>2030</v>
      </c>
      <c r="AF405" s="11" t="str">
        <f>IF($I405&lt;&gt;"",VLOOKUP($AC405,GEADRESSEERDE!$A$2:$E$4,4,),"")</f>
        <v>ANTWERPEN</v>
      </c>
      <c r="AG405" s="11" t="str">
        <f>IF($I405&lt;&gt;"",VLOOKUP($AC405,GEADRESSEERDE!$A$2:$E$4,5,),"")</f>
        <v>BE</v>
      </c>
      <c r="AH405" s="11" t="str">
        <f>IF(I405&lt;&gt;"",VLOOKUP(AP405,KvB!$A$2:$B$3,2,FALSE),"")</f>
        <v>BE101000</v>
      </c>
      <c r="AI405" s="11" t="s">
        <v>55</v>
      </c>
      <c r="AJ405" s="11"/>
      <c r="AK405" s="11"/>
      <c r="AL405" s="11"/>
      <c r="AM405" s="11"/>
      <c r="AN405" s="11"/>
      <c r="AO405" s="11"/>
      <c r="AP405" s="2" t="s">
        <v>70</v>
      </c>
      <c r="AQ405" s="11" t="str">
        <f>IF(I405&lt;&gt;"",DATA!D404,"")</f>
        <v>8716800000</v>
      </c>
    </row>
    <row r="406" spans="1:43" ht="15.75" x14ac:dyDescent="0.25">
      <c r="A406" s="11" t="s">
        <v>57</v>
      </c>
      <c r="B406" s="11" t="s">
        <v>56</v>
      </c>
      <c r="C406" s="22">
        <f t="shared" si="30"/>
        <v>25001620</v>
      </c>
      <c r="D406" s="11" t="str">
        <f t="shared" si="27"/>
        <v>SKIIFM_AT</v>
      </c>
      <c r="E406" s="11" t="str">
        <f>IF(I406&lt;&gt;"",VLOOKUP(F406,OPDRACHTGEVER!$A$2:$B$4,2,FALSE),"")</f>
        <v>SKIIFM_AT</v>
      </c>
      <c r="F406" s="11" t="s">
        <v>58</v>
      </c>
      <c r="I406" s="11" t="str">
        <f>IF(DATA!B405&lt;&gt;"",DATA!B405,"")</f>
        <v>CAAU5526759</v>
      </c>
      <c r="J406" s="12">
        <v>0</v>
      </c>
      <c r="K406" s="11" t="s">
        <v>53</v>
      </c>
      <c r="L406" s="11" t="str">
        <f t="shared" si="28"/>
        <v>842549</v>
      </c>
      <c r="M406" s="11" t="str">
        <f>IF(I406&lt;&gt;"",DATA!E405,"")</f>
        <v>RESCUE JACK</v>
      </c>
      <c r="N406" s="12">
        <v>0</v>
      </c>
      <c r="O406" s="11">
        <f>IF(I406&lt;&gt;"",DATA!C405,"")</f>
        <v>404.45</v>
      </c>
      <c r="P406" s="2">
        <v>294094</v>
      </c>
      <c r="Q406" s="2" t="s">
        <v>1304</v>
      </c>
      <c r="R406" s="2" t="s">
        <v>1313</v>
      </c>
      <c r="S406" s="2">
        <v>349</v>
      </c>
      <c r="T406" s="2">
        <v>1</v>
      </c>
      <c r="U406" s="2" t="s">
        <v>141</v>
      </c>
      <c r="Y406" s="2">
        <v>1700</v>
      </c>
      <c r="Z406" s="11" t="s">
        <v>54</v>
      </c>
      <c r="AA406" s="11" t="str">
        <f t="shared" si="29"/>
        <v>1700 - TBN</v>
      </c>
      <c r="AC406" s="2" t="s">
        <v>145</v>
      </c>
      <c r="AD406" s="11" t="str">
        <f>IF($I406&lt;&gt;"",VLOOKUP($AC406,GEADRESSEERDE!$A$2:$E$4,2,),"")</f>
        <v>LUITHAGEN HAVEN 2 D</v>
      </c>
      <c r="AE406" s="11">
        <f>IF($I406&lt;&gt;"",VLOOKUP($AC406,GEADRESSEERDE!$A$2:$E$4,3,),"")</f>
        <v>2030</v>
      </c>
      <c r="AF406" s="11" t="str">
        <f>IF($I406&lt;&gt;"",VLOOKUP($AC406,GEADRESSEERDE!$A$2:$E$4,4,),"")</f>
        <v>ANTWERPEN</v>
      </c>
      <c r="AG406" s="11" t="str">
        <f>IF($I406&lt;&gt;"",VLOOKUP($AC406,GEADRESSEERDE!$A$2:$E$4,5,),"")</f>
        <v>BE</v>
      </c>
      <c r="AH406" s="11" t="str">
        <f>IF(I406&lt;&gt;"",VLOOKUP(AP406,KvB!$A$2:$B$3,2,FALSE),"")</f>
        <v>BE101000</v>
      </c>
      <c r="AI406" s="11" t="s">
        <v>55</v>
      </c>
      <c r="AJ406" s="11"/>
      <c r="AK406" s="11"/>
      <c r="AL406" s="11"/>
      <c r="AM406" s="11"/>
      <c r="AN406" s="11"/>
      <c r="AO406" s="11"/>
      <c r="AP406" s="2" t="s">
        <v>70</v>
      </c>
      <c r="AQ406" s="11" t="str">
        <f>IF(I406&lt;&gt;"",DATA!D405,"")</f>
        <v>8425490000</v>
      </c>
    </row>
    <row r="407" spans="1:43" ht="15.75" x14ac:dyDescent="0.25">
      <c r="A407" s="11" t="s">
        <v>57</v>
      </c>
      <c r="B407" s="11" t="s">
        <v>56</v>
      </c>
      <c r="C407" s="22">
        <f t="shared" si="30"/>
        <v>25001620</v>
      </c>
      <c r="D407" s="11" t="str">
        <f t="shared" si="27"/>
        <v>SKIIFM_AT</v>
      </c>
      <c r="E407" s="11" t="str">
        <f>IF(I407&lt;&gt;"",VLOOKUP(F407,OPDRACHTGEVER!$A$2:$B$4,2,FALSE),"")</f>
        <v>SKIIFM_AT</v>
      </c>
      <c r="F407" s="11" t="s">
        <v>58</v>
      </c>
      <c r="I407" s="11" t="str">
        <f>IF(DATA!B406&lt;&gt;"",DATA!B406,"")</f>
        <v>CAAU5526759</v>
      </c>
      <c r="J407" s="12">
        <v>0</v>
      </c>
      <c r="K407" s="11" t="s">
        <v>53</v>
      </c>
      <c r="L407" s="11" t="str">
        <f t="shared" si="28"/>
        <v>844319</v>
      </c>
      <c r="M407" s="11" t="str">
        <f>IF(I407&lt;&gt;"",DATA!E406,"")</f>
        <v>SILK-SCREEN PRINTER</v>
      </c>
      <c r="N407" s="12">
        <v>0</v>
      </c>
      <c r="O407" s="11">
        <f>IF(I407&lt;&gt;"",DATA!C406,"")</f>
        <v>223.2</v>
      </c>
      <c r="P407" s="2">
        <v>294094</v>
      </c>
      <c r="Q407" s="2" t="s">
        <v>1304</v>
      </c>
      <c r="R407" s="2" t="s">
        <v>1313</v>
      </c>
      <c r="S407" s="2">
        <v>349</v>
      </c>
      <c r="T407" s="2">
        <v>1</v>
      </c>
      <c r="U407" s="2" t="s">
        <v>141</v>
      </c>
      <c r="Y407" s="2">
        <v>1700</v>
      </c>
      <c r="Z407" s="11" t="s">
        <v>54</v>
      </c>
      <c r="AA407" s="11" t="str">
        <f t="shared" si="29"/>
        <v>1700 - TBN</v>
      </c>
      <c r="AC407" s="2" t="s">
        <v>145</v>
      </c>
      <c r="AD407" s="11" t="str">
        <f>IF($I407&lt;&gt;"",VLOOKUP($AC407,GEADRESSEERDE!$A$2:$E$4,2,),"")</f>
        <v>LUITHAGEN HAVEN 2 D</v>
      </c>
      <c r="AE407" s="11">
        <f>IF($I407&lt;&gt;"",VLOOKUP($AC407,GEADRESSEERDE!$A$2:$E$4,3,),"")</f>
        <v>2030</v>
      </c>
      <c r="AF407" s="11" t="str">
        <f>IF($I407&lt;&gt;"",VLOOKUP($AC407,GEADRESSEERDE!$A$2:$E$4,4,),"")</f>
        <v>ANTWERPEN</v>
      </c>
      <c r="AG407" s="11" t="str">
        <f>IF($I407&lt;&gt;"",VLOOKUP($AC407,GEADRESSEERDE!$A$2:$E$4,5,),"")</f>
        <v>BE</v>
      </c>
      <c r="AH407" s="11" t="str">
        <f>IF(I407&lt;&gt;"",VLOOKUP(AP407,KvB!$A$2:$B$3,2,FALSE),"")</f>
        <v>BE101000</v>
      </c>
      <c r="AI407" s="11" t="s">
        <v>55</v>
      </c>
      <c r="AJ407" s="11"/>
      <c r="AK407" s="11"/>
      <c r="AL407" s="11"/>
      <c r="AM407" s="11"/>
      <c r="AN407" s="11"/>
      <c r="AO407" s="11"/>
      <c r="AP407" s="2" t="s">
        <v>70</v>
      </c>
      <c r="AQ407" s="11" t="str">
        <f>IF(I407&lt;&gt;"",DATA!D406,"")</f>
        <v>8443197000</v>
      </c>
    </row>
    <row r="408" spans="1:43" ht="15.75" x14ac:dyDescent="0.25">
      <c r="A408" s="11" t="s">
        <v>57</v>
      </c>
      <c r="B408" s="11" t="s">
        <v>56</v>
      </c>
      <c r="C408" s="22">
        <f t="shared" si="30"/>
        <v>25001620</v>
      </c>
      <c r="D408" s="11" t="str">
        <f t="shared" si="27"/>
        <v>SKIIFM_AT</v>
      </c>
      <c r="E408" s="11" t="str">
        <f>IF(I408&lt;&gt;"",VLOOKUP(F408,OPDRACHTGEVER!$A$2:$B$4,2,FALSE),"")</f>
        <v>SKIIFM_AT</v>
      </c>
      <c r="F408" s="11" t="s">
        <v>58</v>
      </c>
      <c r="I408" s="11" t="str">
        <f>IF(DATA!B407&lt;&gt;"",DATA!B407,"")</f>
        <v>CAAU5526759</v>
      </c>
      <c r="J408" s="12">
        <v>0</v>
      </c>
      <c r="K408" s="11" t="s">
        <v>53</v>
      </c>
      <c r="L408" s="11" t="str">
        <f t="shared" si="28"/>
        <v>741920</v>
      </c>
      <c r="M408" s="11" t="str">
        <f>IF(I408&lt;&gt;"",DATA!E407,"")</f>
        <v>DOUBLE COLUMN HANDRAIL</v>
      </c>
      <c r="N408" s="12">
        <v>0</v>
      </c>
      <c r="O408" s="11">
        <f>IF(I408&lt;&gt;"",DATA!C407,"")</f>
        <v>269.85000000000002</v>
      </c>
      <c r="P408" s="2">
        <v>294094</v>
      </c>
      <c r="Q408" s="2" t="s">
        <v>1304</v>
      </c>
      <c r="R408" s="2" t="s">
        <v>1313</v>
      </c>
      <c r="S408" s="2">
        <v>349</v>
      </c>
      <c r="T408" s="2">
        <v>1</v>
      </c>
      <c r="U408" s="2" t="s">
        <v>141</v>
      </c>
      <c r="Y408" s="2">
        <v>1700</v>
      </c>
      <c r="Z408" s="11" t="s">
        <v>54</v>
      </c>
      <c r="AA408" s="11" t="str">
        <f t="shared" si="29"/>
        <v>1700 - TBN</v>
      </c>
      <c r="AC408" s="2" t="s">
        <v>145</v>
      </c>
      <c r="AD408" s="11" t="str">
        <f>IF($I408&lt;&gt;"",VLOOKUP($AC408,GEADRESSEERDE!$A$2:$E$4,2,),"")</f>
        <v>LUITHAGEN HAVEN 2 D</v>
      </c>
      <c r="AE408" s="11">
        <f>IF($I408&lt;&gt;"",VLOOKUP($AC408,GEADRESSEERDE!$A$2:$E$4,3,),"")</f>
        <v>2030</v>
      </c>
      <c r="AF408" s="11" t="str">
        <f>IF($I408&lt;&gt;"",VLOOKUP($AC408,GEADRESSEERDE!$A$2:$E$4,4,),"")</f>
        <v>ANTWERPEN</v>
      </c>
      <c r="AG408" s="11" t="str">
        <f>IF($I408&lt;&gt;"",VLOOKUP($AC408,GEADRESSEERDE!$A$2:$E$4,5,),"")</f>
        <v>BE</v>
      </c>
      <c r="AH408" s="11" t="str">
        <f>IF(I408&lt;&gt;"",VLOOKUP(AP408,KvB!$A$2:$B$3,2,FALSE),"")</f>
        <v>BE101000</v>
      </c>
      <c r="AI408" s="11" t="s">
        <v>55</v>
      </c>
      <c r="AJ408" s="11"/>
      <c r="AK408" s="11"/>
      <c r="AL408" s="11"/>
      <c r="AM408" s="11"/>
      <c r="AN408" s="11"/>
      <c r="AO408" s="11"/>
      <c r="AP408" s="2" t="s">
        <v>70</v>
      </c>
      <c r="AQ408" s="11" t="str">
        <f>IF(I408&lt;&gt;"",DATA!D407,"")</f>
        <v>7419200090</v>
      </c>
    </row>
    <row r="409" spans="1:43" ht="15.75" x14ac:dyDescent="0.25">
      <c r="A409" s="11" t="s">
        <v>57</v>
      </c>
      <c r="B409" s="11" t="s">
        <v>56</v>
      </c>
      <c r="C409" s="22">
        <f t="shared" si="30"/>
        <v>25001620</v>
      </c>
      <c r="D409" s="11" t="str">
        <f t="shared" si="27"/>
        <v>SKIIFM_AT</v>
      </c>
      <c r="E409" s="11" t="str">
        <f>IF(I409&lt;&gt;"",VLOOKUP(F409,OPDRACHTGEVER!$A$2:$B$4,2,FALSE),"")</f>
        <v>SKIIFM_AT</v>
      </c>
      <c r="F409" s="11" t="s">
        <v>58</v>
      </c>
      <c r="I409" s="11" t="str">
        <f>IF(DATA!B408&lt;&gt;"",DATA!B408,"")</f>
        <v>CAAU5526759</v>
      </c>
      <c r="J409" s="12">
        <v>0</v>
      </c>
      <c r="K409" s="11" t="s">
        <v>53</v>
      </c>
      <c r="L409" s="11" t="str">
        <f t="shared" si="28"/>
        <v>843880</v>
      </c>
      <c r="M409" s="11" t="str">
        <f>IF(I409&lt;&gt;"",DATA!E408,"")</f>
        <v>SHAKER</v>
      </c>
      <c r="N409" s="12">
        <v>0</v>
      </c>
      <c r="O409" s="11">
        <f>IF(I409&lt;&gt;"",DATA!C408,"")</f>
        <v>42</v>
      </c>
      <c r="P409" s="2">
        <v>294094</v>
      </c>
      <c r="Q409" s="2" t="s">
        <v>1304</v>
      </c>
      <c r="R409" s="2" t="s">
        <v>1313</v>
      </c>
      <c r="S409" s="2">
        <v>349</v>
      </c>
      <c r="T409" s="2">
        <v>1</v>
      </c>
      <c r="U409" s="2" t="s">
        <v>141</v>
      </c>
      <c r="Y409" s="2">
        <v>1700</v>
      </c>
      <c r="Z409" s="11" t="s">
        <v>54</v>
      </c>
      <c r="AA409" s="11" t="str">
        <f t="shared" si="29"/>
        <v>1700 - TBN</v>
      </c>
      <c r="AC409" s="2" t="s">
        <v>145</v>
      </c>
      <c r="AD409" s="11" t="str">
        <f>IF($I409&lt;&gt;"",VLOOKUP($AC409,GEADRESSEERDE!$A$2:$E$4,2,),"")</f>
        <v>LUITHAGEN HAVEN 2 D</v>
      </c>
      <c r="AE409" s="11">
        <f>IF($I409&lt;&gt;"",VLOOKUP($AC409,GEADRESSEERDE!$A$2:$E$4,3,),"")</f>
        <v>2030</v>
      </c>
      <c r="AF409" s="11" t="str">
        <f>IF($I409&lt;&gt;"",VLOOKUP($AC409,GEADRESSEERDE!$A$2:$E$4,4,),"")</f>
        <v>ANTWERPEN</v>
      </c>
      <c r="AG409" s="11" t="str">
        <f>IF($I409&lt;&gt;"",VLOOKUP($AC409,GEADRESSEERDE!$A$2:$E$4,5,),"")</f>
        <v>BE</v>
      </c>
      <c r="AH409" s="11" t="str">
        <f>IF(I409&lt;&gt;"",VLOOKUP(AP409,KvB!$A$2:$B$3,2,FALSE),"")</f>
        <v>BE101000</v>
      </c>
      <c r="AI409" s="11" t="s">
        <v>55</v>
      </c>
      <c r="AJ409" s="11"/>
      <c r="AK409" s="11"/>
      <c r="AL409" s="11"/>
      <c r="AM409" s="11"/>
      <c r="AN409" s="11"/>
      <c r="AO409" s="11"/>
      <c r="AP409" s="2" t="s">
        <v>70</v>
      </c>
      <c r="AQ409" s="11" t="str">
        <f>IF(I409&lt;&gt;"",DATA!D408,"")</f>
        <v>8438809900</v>
      </c>
    </row>
    <row r="410" spans="1:43" ht="15.75" x14ac:dyDescent="0.25">
      <c r="A410" s="11" t="s">
        <v>57</v>
      </c>
      <c r="B410" s="11" t="s">
        <v>56</v>
      </c>
      <c r="C410" s="22">
        <f t="shared" si="30"/>
        <v>25001620</v>
      </c>
      <c r="D410" s="11" t="str">
        <f t="shared" si="27"/>
        <v>SKIIFM_AT</v>
      </c>
      <c r="E410" s="11" t="str">
        <f>IF(I410&lt;&gt;"",VLOOKUP(F410,OPDRACHTGEVER!$A$2:$B$4,2,FALSE),"")</f>
        <v>SKIIFM_AT</v>
      </c>
      <c r="F410" s="11" t="s">
        <v>58</v>
      </c>
      <c r="I410" s="11" t="str">
        <f>IF(DATA!B409&lt;&gt;"",DATA!B409,"")</f>
        <v>CAAU5526759</v>
      </c>
      <c r="J410" s="12">
        <v>0</v>
      </c>
      <c r="K410" s="11" t="s">
        <v>53</v>
      </c>
      <c r="L410" s="11" t="str">
        <f t="shared" si="28"/>
        <v>741920</v>
      </c>
      <c r="M410" s="11" t="str">
        <f>IF(I410&lt;&gt;"",DATA!E409,"")</f>
        <v>WIRE ROPE</v>
      </c>
      <c r="N410" s="12">
        <v>0</v>
      </c>
      <c r="O410" s="11">
        <f>IF(I410&lt;&gt;"",DATA!C409,"")</f>
        <v>664.3</v>
      </c>
      <c r="P410" s="2">
        <v>294094</v>
      </c>
      <c r="Q410" s="2" t="s">
        <v>1304</v>
      </c>
      <c r="R410" s="2" t="s">
        <v>1313</v>
      </c>
      <c r="S410" s="2">
        <v>349</v>
      </c>
      <c r="T410" s="2">
        <v>1</v>
      </c>
      <c r="U410" s="2" t="s">
        <v>141</v>
      </c>
      <c r="Y410" s="2">
        <v>1700</v>
      </c>
      <c r="Z410" s="11" t="s">
        <v>54</v>
      </c>
      <c r="AA410" s="11" t="str">
        <f t="shared" si="29"/>
        <v>1700 - TBN</v>
      </c>
      <c r="AC410" s="2" t="s">
        <v>145</v>
      </c>
      <c r="AD410" s="11" t="str">
        <f>IF($I410&lt;&gt;"",VLOOKUP($AC410,GEADRESSEERDE!$A$2:$E$4,2,),"")</f>
        <v>LUITHAGEN HAVEN 2 D</v>
      </c>
      <c r="AE410" s="11">
        <f>IF($I410&lt;&gt;"",VLOOKUP($AC410,GEADRESSEERDE!$A$2:$E$4,3,),"")</f>
        <v>2030</v>
      </c>
      <c r="AF410" s="11" t="str">
        <f>IF($I410&lt;&gt;"",VLOOKUP($AC410,GEADRESSEERDE!$A$2:$E$4,4,),"")</f>
        <v>ANTWERPEN</v>
      </c>
      <c r="AG410" s="11" t="str">
        <f>IF($I410&lt;&gt;"",VLOOKUP($AC410,GEADRESSEERDE!$A$2:$E$4,5,),"")</f>
        <v>BE</v>
      </c>
      <c r="AH410" s="11" t="str">
        <f>IF(I410&lt;&gt;"",VLOOKUP(AP410,KvB!$A$2:$B$3,2,FALSE),"")</f>
        <v>BE101000</v>
      </c>
      <c r="AI410" s="11" t="s">
        <v>55</v>
      </c>
      <c r="AJ410" s="11"/>
      <c r="AK410" s="11"/>
      <c r="AL410" s="11"/>
      <c r="AM410" s="11"/>
      <c r="AN410" s="11"/>
      <c r="AO410" s="11"/>
      <c r="AP410" s="2" t="s">
        <v>70</v>
      </c>
      <c r="AQ410" s="11" t="str">
        <f>IF(I410&lt;&gt;"",DATA!D409,"")</f>
        <v>7419200090</v>
      </c>
    </row>
    <row r="411" spans="1:43" ht="15.75" x14ac:dyDescent="0.25">
      <c r="A411" s="11" t="s">
        <v>57</v>
      </c>
      <c r="B411" s="11" t="s">
        <v>56</v>
      </c>
      <c r="C411" s="22">
        <f t="shared" si="30"/>
        <v>25001620</v>
      </c>
      <c r="D411" s="11" t="str">
        <f t="shared" si="27"/>
        <v>SKIIFM_AT</v>
      </c>
      <c r="E411" s="11" t="str">
        <f>IF(I411&lt;&gt;"",VLOOKUP(F411,OPDRACHTGEVER!$A$2:$B$4,2,FALSE),"")</f>
        <v>SKIIFM_AT</v>
      </c>
      <c r="F411" s="11" t="s">
        <v>58</v>
      </c>
      <c r="I411" s="11" t="str">
        <f>IF(DATA!B410&lt;&gt;"",DATA!B410,"")</f>
        <v>CAAU5526759</v>
      </c>
      <c r="J411" s="12">
        <v>0</v>
      </c>
      <c r="K411" s="11" t="s">
        <v>53</v>
      </c>
      <c r="L411" s="11" t="str">
        <f t="shared" si="28"/>
        <v>940290</v>
      </c>
      <c r="M411" s="11" t="str">
        <f>IF(I411&lt;&gt;"",DATA!E410,"")</f>
        <v>STAIRCASE STRETCHER</v>
      </c>
      <c r="N411" s="12">
        <v>0</v>
      </c>
      <c r="O411" s="11">
        <f>IF(I411&lt;&gt;"",DATA!C410,"")</f>
        <v>38.700000000000003</v>
      </c>
      <c r="P411" s="2">
        <v>294094</v>
      </c>
      <c r="Q411" s="2" t="s">
        <v>1304</v>
      </c>
      <c r="R411" s="2" t="s">
        <v>1313</v>
      </c>
      <c r="S411" s="2">
        <v>349</v>
      </c>
      <c r="T411" s="2">
        <v>1</v>
      </c>
      <c r="U411" s="2" t="s">
        <v>141</v>
      </c>
      <c r="Y411" s="2">
        <v>1700</v>
      </c>
      <c r="Z411" s="11" t="s">
        <v>54</v>
      </c>
      <c r="AA411" s="11" t="str">
        <f t="shared" si="29"/>
        <v>1700 - TBN</v>
      </c>
      <c r="AC411" s="2" t="s">
        <v>145</v>
      </c>
      <c r="AD411" s="11" t="str">
        <f>IF($I411&lt;&gt;"",VLOOKUP($AC411,GEADRESSEERDE!$A$2:$E$4,2,),"")</f>
        <v>LUITHAGEN HAVEN 2 D</v>
      </c>
      <c r="AE411" s="11">
        <f>IF($I411&lt;&gt;"",VLOOKUP($AC411,GEADRESSEERDE!$A$2:$E$4,3,),"")</f>
        <v>2030</v>
      </c>
      <c r="AF411" s="11" t="str">
        <f>IF($I411&lt;&gt;"",VLOOKUP($AC411,GEADRESSEERDE!$A$2:$E$4,4,),"")</f>
        <v>ANTWERPEN</v>
      </c>
      <c r="AG411" s="11" t="str">
        <f>IF($I411&lt;&gt;"",VLOOKUP($AC411,GEADRESSEERDE!$A$2:$E$4,5,),"")</f>
        <v>BE</v>
      </c>
      <c r="AH411" s="11" t="str">
        <f>IF(I411&lt;&gt;"",VLOOKUP(AP411,KvB!$A$2:$B$3,2,FALSE),"")</f>
        <v>BE101000</v>
      </c>
      <c r="AI411" s="11" t="s">
        <v>55</v>
      </c>
      <c r="AJ411" s="11"/>
      <c r="AK411" s="11"/>
      <c r="AL411" s="11"/>
      <c r="AM411" s="11"/>
      <c r="AN411" s="11"/>
      <c r="AO411" s="11"/>
      <c r="AP411" s="2" t="s">
        <v>70</v>
      </c>
      <c r="AQ411" s="11" t="str">
        <f>IF(I411&lt;&gt;"",DATA!D410,"")</f>
        <v>9402900000</v>
      </c>
    </row>
    <row r="412" spans="1:43" ht="15.75" x14ac:dyDescent="0.25">
      <c r="A412" s="11" t="s">
        <v>57</v>
      </c>
      <c r="B412" s="11" t="s">
        <v>56</v>
      </c>
      <c r="C412" s="22">
        <f t="shared" si="30"/>
        <v>25001620</v>
      </c>
      <c r="D412" s="11" t="str">
        <f t="shared" si="27"/>
        <v>SKIIFM_AT</v>
      </c>
      <c r="E412" s="11" t="str">
        <f>IF(I412&lt;&gt;"",VLOOKUP(F412,OPDRACHTGEVER!$A$2:$B$4,2,FALSE),"")</f>
        <v>SKIIFM_AT</v>
      </c>
      <c r="F412" s="11" t="s">
        <v>58</v>
      </c>
      <c r="I412" s="11" t="str">
        <f>IF(DATA!B411&lt;&gt;"",DATA!B411,"")</f>
        <v>CAAU5526759</v>
      </c>
      <c r="J412" s="12">
        <v>0</v>
      </c>
      <c r="K412" s="11" t="s">
        <v>53</v>
      </c>
      <c r="L412" s="11" t="str">
        <f t="shared" si="28"/>
        <v>870899</v>
      </c>
      <c r="M412" s="11" t="str">
        <f>IF(I412&lt;&gt;"",DATA!E411,"")</f>
        <v>STRAP</v>
      </c>
      <c r="N412" s="12">
        <v>0</v>
      </c>
      <c r="O412" s="11">
        <f>IF(I412&lt;&gt;"",DATA!C411,"")</f>
        <v>654.70000000000005</v>
      </c>
      <c r="P412" s="2">
        <v>294094</v>
      </c>
      <c r="Q412" s="2" t="s">
        <v>1304</v>
      </c>
      <c r="R412" s="2" t="s">
        <v>1313</v>
      </c>
      <c r="S412" s="2">
        <v>349</v>
      </c>
      <c r="T412" s="2">
        <v>1</v>
      </c>
      <c r="U412" s="2" t="s">
        <v>141</v>
      </c>
      <c r="Y412" s="2">
        <v>1700</v>
      </c>
      <c r="Z412" s="11" t="s">
        <v>54</v>
      </c>
      <c r="AA412" s="11" t="str">
        <f t="shared" si="29"/>
        <v>1700 - TBN</v>
      </c>
      <c r="AC412" s="2" t="s">
        <v>145</v>
      </c>
      <c r="AD412" s="11" t="str">
        <f>IF($I412&lt;&gt;"",VLOOKUP($AC412,GEADRESSEERDE!$A$2:$E$4,2,),"")</f>
        <v>LUITHAGEN HAVEN 2 D</v>
      </c>
      <c r="AE412" s="11">
        <f>IF($I412&lt;&gt;"",VLOOKUP($AC412,GEADRESSEERDE!$A$2:$E$4,3,),"")</f>
        <v>2030</v>
      </c>
      <c r="AF412" s="11" t="str">
        <f>IF($I412&lt;&gt;"",VLOOKUP($AC412,GEADRESSEERDE!$A$2:$E$4,4,),"")</f>
        <v>ANTWERPEN</v>
      </c>
      <c r="AG412" s="11" t="str">
        <f>IF($I412&lt;&gt;"",VLOOKUP($AC412,GEADRESSEERDE!$A$2:$E$4,5,),"")</f>
        <v>BE</v>
      </c>
      <c r="AH412" s="11" t="str">
        <f>IF(I412&lt;&gt;"",VLOOKUP(AP412,KvB!$A$2:$B$3,2,FALSE),"")</f>
        <v>BE101000</v>
      </c>
      <c r="AI412" s="11" t="s">
        <v>55</v>
      </c>
      <c r="AJ412" s="11"/>
      <c r="AK412" s="11"/>
      <c r="AL412" s="11"/>
      <c r="AM412" s="11"/>
      <c r="AN412" s="11"/>
      <c r="AO412" s="11"/>
      <c r="AP412" s="2" t="s">
        <v>70</v>
      </c>
      <c r="AQ412" s="11" t="str">
        <f>IF(I412&lt;&gt;"",DATA!D411,"")</f>
        <v>8708999790</v>
      </c>
    </row>
    <row r="413" spans="1:43" ht="15.75" x14ac:dyDescent="0.25">
      <c r="A413" s="11" t="s">
        <v>57</v>
      </c>
      <c r="B413" s="11" t="s">
        <v>56</v>
      </c>
      <c r="C413" s="22">
        <f t="shared" si="30"/>
        <v>25001620</v>
      </c>
      <c r="D413" s="11" t="str">
        <f t="shared" si="27"/>
        <v>SKIIFM_AT</v>
      </c>
      <c r="E413" s="11" t="str">
        <f>IF(I413&lt;&gt;"",VLOOKUP(F413,OPDRACHTGEVER!$A$2:$B$4,2,FALSE),"")</f>
        <v>SKIIFM_AT</v>
      </c>
      <c r="F413" s="11" t="s">
        <v>58</v>
      </c>
      <c r="I413" s="11" t="str">
        <f>IF(DATA!B412&lt;&gt;"",DATA!B412,"")</f>
        <v>CAAU5526759</v>
      </c>
      <c r="J413" s="12">
        <v>0</v>
      </c>
      <c r="K413" s="11" t="s">
        <v>53</v>
      </c>
      <c r="L413" s="11" t="str">
        <f t="shared" si="28"/>
        <v>940391</v>
      </c>
      <c r="M413" s="11" t="str">
        <f>IF(I413&lt;&gt;"",DATA!E412,"")</f>
        <v>TABLE LEGS</v>
      </c>
      <c r="N413" s="12">
        <v>0</v>
      </c>
      <c r="O413" s="11">
        <f>IF(I413&lt;&gt;"",DATA!C412,"")</f>
        <v>104</v>
      </c>
      <c r="P413" s="2">
        <v>294094</v>
      </c>
      <c r="Q413" s="2" t="s">
        <v>1304</v>
      </c>
      <c r="R413" s="2" t="s">
        <v>1313</v>
      </c>
      <c r="S413" s="2">
        <v>349</v>
      </c>
      <c r="T413" s="2">
        <v>1</v>
      </c>
      <c r="U413" s="2" t="s">
        <v>141</v>
      </c>
      <c r="Y413" s="2">
        <v>1700</v>
      </c>
      <c r="Z413" s="11" t="s">
        <v>54</v>
      </c>
      <c r="AA413" s="11" t="str">
        <f t="shared" si="29"/>
        <v>1700 - TBN</v>
      </c>
      <c r="AC413" s="2" t="s">
        <v>145</v>
      </c>
      <c r="AD413" s="11" t="str">
        <f>IF($I413&lt;&gt;"",VLOOKUP($AC413,GEADRESSEERDE!$A$2:$E$4,2,),"")</f>
        <v>LUITHAGEN HAVEN 2 D</v>
      </c>
      <c r="AE413" s="11">
        <f>IF($I413&lt;&gt;"",VLOOKUP($AC413,GEADRESSEERDE!$A$2:$E$4,3,),"")</f>
        <v>2030</v>
      </c>
      <c r="AF413" s="11" t="str">
        <f>IF($I413&lt;&gt;"",VLOOKUP($AC413,GEADRESSEERDE!$A$2:$E$4,4,),"")</f>
        <v>ANTWERPEN</v>
      </c>
      <c r="AG413" s="11" t="str">
        <f>IF($I413&lt;&gt;"",VLOOKUP($AC413,GEADRESSEERDE!$A$2:$E$4,5,),"")</f>
        <v>BE</v>
      </c>
      <c r="AH413" s="11" t="str">
        <f>IF(I413&lt;&gt;"",VLOOKUP(AP413,KvB!$A$2:$B$3,2,FALSE),"")</f>
        <v>BE101000</v>
      </c>
      <c r="AI413" s="11" t="s">
        <v>55</v>
      </c>
      <c r="AJ413" s="11"/>
      <c r="AK413" s="11"/>
      <c r="AL413" s="11"/>
      <c r="AM413" s="11"/>
      <c r="AN413" s="11"/>
      <c r="AO413" s="11"/>
      <c r="AP413" s="2" t="s">
        <v>70</v>
      </c>
      <c r="AQ413" s="11" t="str">
        <f>IF(I413&lt;&gt;"",DATA!D412,"")</f>
        <v>9403910090</v>
      </c>
    </row>
    <row r="414" spans="1:43" ht="15.75" x14ac:dyDescent="0.25">
      <c r="A414" s="11" t="s">
        <v>57</v>
      </c>
      <c r="B414" s="11" t="s">
        <v>56</v>
      </c>
      <c r="C414" s="22">
        <f t="shared" si="30"/>
        <v>25001620</v>
      </c>
      <c r="D414" s="11" t="str">
        <f t="shared" si="27"/>
        <v>SKIIFM_AT</v>
      </c>
      <c r="E414" s="11" t="str">
        <f>IF(I414&lt;&gt;"",VLOOKUP(F414,OPDRACHTGEVER!$A$2:$B$4,2,FALSE),"")</f>
        <v>SKIIFM_AT</v>
      </c>
      <c r="F414" s="11" t="s">
        <v>58</v>
      </c>
      <c r="I414" s="11" t="str">
        <f>IF(DATA!B413&lt;&gt;"",DATA!B413,"")</f>
        <v>CAAU5526759</v>
      </c>
      <c r="J414" s="12">
        <v>0</v>
      </c>
      <c r="K414" s="11" t="s">
        <v>53</v>
      </c>
      <c r="L414" s="11" t="str">
        <f t="shared" si="28"/>
        <v>950691</v>
      </c>
      <c r="M414" s="11" t="str">
        <f>IF(I414&lt;&gt;"",DATA!E413,"")</f>
        <v>TARGET</v>
      </c>
      <c r="N414" s="12">
        <v>0</v>
      </c>
      <c r="O414" s="11">
        <f>IF(I414&lt;&gt;"",DATA!C413,"")</f>
        <v>63.75</v>
      </c>
      <c r="P414" s="2">
        <v>294094</v>
      </c>
      <c r="Q414" s="2" t="s">
        <v>1304</v>
      </c>
      <c r="R414" s="2" t="s">
        <v>1313</v>
      </c>
      <c r="S414" s="2">
        <v>349</v>
      </c>
      <c r="T414" s="2">
        <v>1</v>
      </c>
      <c r="U414" s="2" t="s">
        <v>141</v>
      </c>
      <c r="Y414" s="2">
        <v>1700</v>
      </c>
      <c r="Z414" s="11" t="s">
        <v>54</v>
      </c>
      <c r="AA414" s="11" t="str">
        <f t="shared" si="29"/>
        <v>1700 - TBN</v>
      </c>
      <c r="AC414" s="2" t="s">
        <v>145</v>
      </c>
      <c r="AD414" s="11" t="str">
        <f>IF($I414&lt;&gt;"",VLOOKUP($AC414,GEADRESSEERDE!$A$2:$E$4,2,),"")</f>
        <v>LUITHAGEN HAVEN 2 D</v>
      </c>
      <c r="AE414" s="11">
        <f>IF($I414&lt;&gt;"",VLOOKUP($AC414,GEADRESSEERDE!$A$2:$E$4,3,),"")</f>
        <v>2030</v>
      </c>
      <c r="AF414" s="11" t="str">
        <f>IF($I414&lt;&gt;"",VLOOKUP($AC414,GEADRESSEERDE!$A$2:$E$4,4,),"")</f>
        <v>ANTWERPEN</v>
      </c>
      <c r="AG414" s="11" t="str">
        <f>IF($I414&lt;&gt;"",VLOOKUP($AC414,GEADRESSEERDE!$A$2:$E$4,5,),"")</f>
        <v>BE</v>
      </c>
      <c r="AH414" s="11" t="str">
        <f>IF(I414&lt;&gt;"",VLOOKUP(AP414,KvB!$A$2:$B$3,2,FALSE),"")</f>
        <v>BE101000</v>
      </c>
      <c r="AI414" s="11" t="s">
        <v>55</v>
      </c>
      <c r="AJ414" s="11"/>
      <c r="AK414" s="11"/>
      <c r="AL414" s="11"/>
      <c r="AM414" s="11"/>
      <c r="AN414" s="11"/>
      <c r="AO414" s="11"/>
      <c r="AP414" s="2" t="s">
        <v>70</v>
      </c>
      <c r="AQ414" s="11" t="str">
        <f>IF(I414&lt;&gt;"",DATA!D413,"")</f>
        <v>9506919000</v>
      </c>
    </row>
    <row r="415" spans="1:43" ht="15.75" x14ac:dyDescent="0.25">
      <c r="A415" s="11" t="s">
        <v>57</v>
      </c>
      <c r="B415" s="11" t="s">
        <v>56</v>
      </c>
      <c r="C415" s="22">
        <f t="shared" si="30"/>
        <v>25001620</v>
      </c>
      <c r="D415" s="11" t="str">
        <f t="shared" si="27"/>
        <v>SKIIFM_AT</v>
      </c>
      <c r="E415" s="11" t="str">
        <f>IF(I415&lt;&gt;"",VLOOKUP(F415,OPDRACHTGEVER!$A$2:$B$4,2,FALSE),"")</f>
        <v>SKIIFM_AT</v>
      </c>
      <c r="F415" s="11" t="s">
        <v>58</v>
      </c>
      <c r="I415" s="11" t="str">
        <f>IF(DATA!B414&lt;&gt;"",DATA!B414,"")</f>
        <v>CAAU5526759</v>
      </c>
      <c r="J415" s="12">
        <v>0</v>
      </c>
      <c r="K415" s="11" t="s">
        <v>53</v>
      </c>
      <c r="L415" s="11" t="str">
        <f t="shared" si="28"/>
        <v>761699</v>
      </c>
      <c r="M415" s="11" t="str">
        <f>IF(I415&lt;&gt;"",DATA!E414,"")</f>
        <v>TERMINAL ALUMINUM LADDER</v>
      </c>
      <c r="N415" s="12">
        <v>0</v>
      </c>
      <c r="O415" s="11">
        <f>IF(I415&lt;&gt;"",DATA!C414,"")</f>
        <v>70</v>
      </c>
      <c r="P415" s="2">
        <v>294094</v>
      </c>
      <c r="Q415" s="2" t="s">
        <v>1304</v>
      </c>
      <c r="R415" s="2" t="s">
        <v>1313</v>
      </c>
      <c r="S415" s="2">
        <v>349</v>
      </c>
      <c r="T415" s="2">
        <v>1</v>
      </c>
      <c r="U415" s="2" t="s">
        <v>141</v>
      </c>
      <c r="Y415" s="2">
        <v>1700</v>
      </c>
      <c r="Z415" s="11" t="s">
        <v>54</v>
      </c>
      <c r="AA415" s="11" t="str">
        <f t="shared" si="29"/>
        <v>1700 - TBN</v>
      </c>
      <c r="AC415" s="2" t="s">
        <v>145</v>
      </c>
      <c r="AD415" s="11" t="str">
        <f>IF($I415&lt;&gt;"",VLOOKUP($AC415,GEADRESSEERDE!$A$2:$E$4,2,),"")</f>
        <v>LUITHAGEN HAVEN 2 D</v>
      </c>
      <c r="AE415" s="11">
        <f>IF($I415&lt;&gt;"",VLOOKUP($AC415,GEADRESSEERDE!$A$2:$E$4,3,),"")</f>
        <v>2030</v>
      </c>
      <c r="AF415" s="11" t="str">
        <f>IF($I415&lt;&gt;"",VLOOKUP($AC415,GEADRESSEERDE!$A$2:$E$4,4,),"")</f>
        <v>ANTWERPEN</v>
      </c>
      <c r="AG415" s="11" t="str">
        <f>IF($I415&lt;&gt;"",VLOOKUP($AC415,GEADRESSEERDE!$A$2:$E$4,5,),"")</f>
        <v>BE</v>
      </c>
      <c r="AH415" s="11" t="str">
        <f>IF(I415&lt;&gt;"",VLOOKUP(AP415,KvB!$A$2:$B$3,2,FALSE),"")</f>
        <v>BE101000</v>
      </c>
      <c r="AI415" s="11" t="s">
        <v>55</v>
      </c>
      <c r="AJ415" s="11"/>
      <c r="AK415" s="11"/>
      <c r="AL415" s="11"/>
      <c r="AM415" s="11"/>
      <c r="AN415" s="11"/>
      <c r="AO415" s="11"/>
      <c r="AP415" s="2" t="s">
        <v>70</v>
      </c>
      <c r="AQ415" s="11" t="str">
        <f>IF(I415&lt;&gt;"",DATA!D414,"")</f>
        <v>7616999009</v>
      </c>
    </row>
    <row r="416" spans="1:43" ht="15.75" x14ac:dyDescent="0.25">
      <c r="A416" s="11" t="s">
        <v>57</v>
      </c>
      <c r="B416" s="11" t="s">
        <v>56</v>
      </c>
      <c r="C416" s="22">
        <f t="shared" si="30"/>
        <v>25001620</v>
      </c>
      <c r="D416" s="11" t="str">
        <f t="shared" si="27"/>
        <v>SKIIFM_AT</v>
      </c>
      <c r="E416" s="11" t="str">
        <f>IF(I416&lt;&gt;"",VLOOKUP(F416,OPDRACHTGEVER!$A$2:$B$4,2,FALSE),"")</f>
        <v>SKIIFM_AT</v>
      </c>
      <c r="F416" s="11" t="s">
        <v>58</v>
      </c>
      <c r="I416" s="11" t="str">
        <f>IF(DATA!B415&lt;&gt;"",DATA!B415,"")</f>
        <v>CAAU5526759</v>
      </c>
      <c r="J416" s="12">
        <v>0</v>
      </c>
      <c r="K416" s="11" t="s">
        <v>53</v>
      </c>
      <c r="L416" s="11" t="str">
        <f t="shared" si="28"/>
        <v>950691</v>
      </c>
      <c r="M416" s="11" t="str">
        <f>IF(I416&lt;&gt;"",DATA!E415,"")</f>
        <v>TOP ADJUSTMENT-ROUND</v>
      </c>
      <c r="N416" s="12">
        <v>0</v>
      </c>
      <c r="O416" s="11">
        <f>IF(I416&lt;&gt;"",DATA!C415,"")</f>
        <v>127.2</v>
      </c>
      <c r="P416" s="2">
        <v>294094</v>
      </c>
      <c r="Q416" s="2" t="s">
        <v>1304</v>
      </c>
      <c r="R416" s="2" t="s">
        <v>1313</v>
      </c>
      <c r="S416" s="2">
        <v>349</v>
      </c>
      <c r="T416" s="2">
        <v>1</v>
      </c>
      <c r="U416" s="2" t="s">
        <v>141</v>
      </c>
      <c r="Y416" s="2">
        <v>1700</v>
      </c>
      <c r="Z416" s="11" t="s">
        <v>54</v>
      </c>
      <c r="AA416" s="11" t="str">
        <f t="shared" si="29"/>
        <v>1700 - TBN</v>
      </c>
      <c r="AC416" s="2" t="s">
        <v>145</v>
      </c>
      <c r="AD416" s="11" t="str">
        <f>IF($I416&lt;&gt;"",VLOOKUP($AC416,GEADRESSEERDE!$A$2:$E$4,2,),"")</f>
        <v>LUITHAGEN HAVEN 2 D</v>
      </c>
      <c r="AE416" s="11">
        <f>IF($I416&lt;&gt;"",VLOOKUP($AC416,GEADRESSEERDE!$A$2:$E$4,3,),"")</f>
        <v>2030</v>
      </c>
      <c r="AF416" s="11" t="str">
        <f>IF($I416&lt;&gt;"",VLOOKUP($AC416,GEADRESSEERDE!$A$2:$E$4,4,),"")</f>
        <v>ANTWERPEN</v>
      </c>
      <c r="AG416" s="11" t="str">
        <f>IF($I416&lt;&gt;"",VLOOKUP($AC416,GEADRESSEERDE!$A$2:$E$4,5,),"")</f>
        <v>BE</v>
      </c>
      <c r="AH416" s="11" t="str">
        <f>IF(I416&lt;&gt;"",VLOOKUP(AP416,KvB!$A$2:$B$3,2,FALSE),"")</f>
        <v>BE101000</v>
      </c>
      <c r="AI416" s="11" t="s">
        <v>55</v>
      </c>
      <c r="AJ416" s="11"/>
      <c r="AK416" s="11"/>
      <c r="AL416" s="11"/>
      <c r="AM416" s="11"/>
      <c r="AN416" s="11"/>
      <c r="AO416" s="11"/>
      <c r="AP416" s="2" t="s">
        <v>70</v>
      </c>
      <c r="AQ416" s="11" t="str">
        <f>IF(I416&lt;&gt;"",DATA!D415,"")</f>
        <v>9506919000</v>
      </c>
    </row>
    <row r="417" spans="1:43" ht="15.75" x14ac:dyDescent="0.25">
      <c r="A417" s="11" t="s">
        <v>57</v>
      </c>
      <c r="B417" s="11" t="s">
        <v>56</v>
      </c>
      <c r="C417" s="22">
        <f t="shared" si="30"/>
        <v>25001620</v>
      </c>
      <c r="D417" s="11" t="str">
        <f t="shared" si="27"/>
        <v>SKIIFM_AT</v>
      </c>
      <c r="E417" s="11" t="str">
        <f>IF(I417&lt;&gt;"",VLOOKUP(F417,OPDRACHTGEVER!$A$2:$B$4,2,FALSE),"")</f>
        <v>SKIIFM_AT</v>
      </c>
      <c r="F417" s="11" t="s">
        <v>58</v>
      </c>
      <c r="I417" s="11" t="str">
        <f>IF(DATA!B416&lt;&gt;"",DATA!B416,"")</f>
        <v>CAAU5526759</v>
      </c>
      <c r="J417" s="12">
        <v>0</v>
      </c>
      <c r="K417" s="11" t="s">
        <v>53</v>
      </c>
      <c r="L417" s="11" t="str">
        <f t="shared" si="28"/>
        <v>741920</v>
      </c>
      <c r="M417" s="11" t="str">
        <f>IF(I417&lt;&gt;"",DATA!E416,"")</f>
        <v>TRAP</v>
      </c>
      <c r="N417" s="12">
        <v>0</v>
      </c>
      <c r="O417" s="11">
        <f>IF(I417&lt;&gt;"",DATA!C416,"")</f>
        <v>337.15</v>
      </c>
      <c r="P417" s="2">
        <v>294094</v>
      </c>
      <c r="Q417" s="2" t="s">
        <v>1304</v>
      </c>
      <c r="R417" s="2" t="s">
        <v>1313</v>
      </c>
      <c r="S417" s="2">
        <v>349</v>
      </c>
      <c r="T417" s="2">
        <v>1</v>
      </c>
      <c r="U417" s="2" t="s">
        <v>141</v>
      </c>
      <c r="Y417" s="2">
        <v>1700</v>
      </c>
      <c r="Z417" s="11" t="s">
        <v>54</v>
      </c>
      <c r="AA417" s="11" t="str">
        <f t="shared" si="29"/>
        <v>1700 - TBN</v>
      </c>
      <c r="AC417" s="2" t="s">
        <v>145</v>
      </c>
      <c r="AD417" s="11" t="str">
        <f>IF($I417&lt;&gt;"",VLOOKUP($AC417,GEADRESSEERDE!$A$2:$E$4,2,),"")</f>
        <v>LUITHAGEN HAVEN 2 D</v>
      </c>
      <c r="AE417" s="11">
        <f>IF($I417&lt;&gt;"",VLOOKUP($AC417,GEADRESSEERDE!$A$2:$E$4,3,),"")</f>
        <v>2030</v>
      </c>
      <c r="AF417" s="11" t="str">
        <f>IF($I417&lt;&gt;"",VLOOKUP($AC417,GEADRESSEERDE!$A$2:$E$4,4,),"")</f>
        <v>ANTWERPEN</v>
      </c>
      <c r="AG417" s="11" t="str">
        <f>IF($I417&lt;&gt;"",VLOOKUP($AC417,GEADRESSEERDE!$A$2:$E$4,5,),"")</f>
        <v>BE</v>
      </c>
      <c r="AH417" s="11" t="str">
        <f>IF(I417&lt;&gt;"",VLOOKUP(AP417,KvB!$A$2:$B$3,2,FALSE),"")</f>
        <v>BE101000</v>
      </c>
      <c r="AI417" s="11" t="s">
        <v>55</v>
      </c>
      <c r="AJ417" s="11"/>
      <c r="AK417" s="11"/>
      <c r="AL417" s="11"/>
      <c r="AM417" s="11"/>
      <c r="AN417" s="11"/>
      <c r="AO417" s="11"/>
      <c r="AP417" s="2" t="s">
        <v>70</v>
      </c>
      <c r="AQ417" s="11" t="str">
        <f>IF(I417&lt;&gt;"",DATA!D416,"")</f>
        <v>7419200090</v>
      </c>
    </row>
    <row r="418" spans="1:43" ht="15.75" x14ac:dyDescent="0.25">
      <c r="A418" s="11" t="s">
        <v>57</v>
      </c>
      <c r="B418" s="11" t="s">
        <v>56</v>
      </c>
      <c r="C418" s="22">
        <f t="shared" si="30"/>
        <v>25001620</v>
      </c>
      <c r="D418" s="11" t="str">
        <f t="shared" si="27"/>
        <v>SKIIFM_AT</v>
      </c>
      <c r="E418" s="11" t="str">
        <f>IF(I418&lt;&gt;"",VLOOKUP(F418,OPDRACHTGEVER!$A$2:$B$4,2,FALSE),"")</f>
        <v>SKIIFM_AT</v>
      </c>
      <c r="F418" s="11" t="s">
        <v>58</v>
      </c>
      <c r="I418" s="11" t="str">
        <f>IF(DATA!B417&lt;&gt;"",DATA!B417,"")</f>
        <v>CAAU5526759</v>
      </c>
      <c r="J418" s="12">
        <v>0</v>
      </c>
      <c r="K418" s="11" t="s">
        <v>53</v>
      </c>
      <c r="L418" s="11" t="str">
        <f t="shared" si="28"/>
        <v>847989</v>
      </c>
      <c r="M418" s="11" t="str">
        <f>IF(I418&lt;&gt;"",DATA!E417,"")</f>
        <v>ULTRASONIC JEWELRY CLEANER</v>
      </c>
      <c r="N418" s="12">
        <v>0</v>
      </c>
      <c r="O418" s="11">
        <f>IF(I418&lt;&gt;"",DATA!C417,"")</f>
        <v>259</v>
      </c>
      <c r="P418" s="2">
        <v>294094</v>
      </c>
      <c r="Q418" s="2" t="s">
        <v>1304</v>
      </c>
      <c r="R418" s="2" t="s">
        <v>1313</v>
      </c>
      <c r="S418" s="2">
        <v>349</v>
      </c>
      <c r="T418" s="2">
        <v>1</v>
      </c>
      <c r="U418" s="2" t="s">
        <v>141</v>
      </c>
      <c r="Y418" s="2">
        <v>1700</v>
      </c>
      <c r="Z418" s="11" t="s">
        <v>54</v>
      </c>
      <c r="AA418" s="11" t="str">
        <f t="shared" si="29"/>
        <v>1700 - TBN</v>
      </c>
      <c r="AC418" s="2" t="s">
        <v>145</v>
      </c>
      <c r="AD418" s="11" t="str">
        <f>IF($I418&lt;&gt;"",VLOOKUP($AC418,GEADRESSEERDE!$A$2:$E$4,2,),"")</f>
        <v>LUITHAGEN HAVEN 2 D</v>
      </c>
      <c r="AE418" s="11">
        <f>IF($I418&lt;&gt;"",VLOOKUP($AC418,GEADRESSEERDE!$A$2:$E$4,3,),"")</f>
        <v>2030</v>
      </c>
      <c r="AF418" s="11" t="str">
        <f>IF($I418&lt;&gt;"",VLOOKUP($AC418,GEADRESSEERDE!$A$2:$E$4,4,),"")</f>
        <v>ANTWERPEN</v>
      </c>
      <c r="AG418" s="11" t="str">
        <f>IF($I418&lt;&gt;"",VLOOKUP($AC418,GEADRESSEERDE!$A$2:$E$4,5,),"")</f>
        <v>BE</v>
      </c>
      <c r="AH418" s="11" t="str">
        <f>IF(I418&lt;&gt;"",VLOOKUP(AP418,KvB!$A$2:$B$3,2,FALSE),"")</f>
        <v>BE101000</v>
      </c>
      <c r="AI418" s="11" t="s">
        <v>55</v>
      </c>
      <c r="AJ418" s="11"/>
      <c r="AK418" s="11"/>
      <c r="AL418" s="11"/>
      <c r="AM418" s="11"/>
      <c r="AN418" s="11"/>
      <c r="AO418" s="11"/>
      <c r="AP418" s="2" t="s">
        <v>70</v>
      </c>
      <c r="AQ418" s="11" t="str">
        <f>IF(I418&lt;&gt;"",DATA!D417,"")</f>
        <v>8479899790</v>
      </c>
    </row>
    <row r="419" spans="1:43" ht="15.75" x14ac:dyDescent="0.25">
      <c r="A419" s="11" t="s">
        <v>57</v>
      </c>
      <c r="B419" s="11" t="s">
        <v>56</v>
      </c>
      <c r="C419" s="22">
        <f t="shared" si="30"/>
        <v>25001620</v>
      </c>
      <c r="D419" s="11" t="str">
        <f t="shared" si="27"/>
        <v>SKIIFM_AT</v>
      </c>
      <c r="E419" s="11" t="str">
        <f>IF(I419&lt;&gt;"",VLOOKUP(F419,OPDRACHTGEVER!$A$2:$B$4,2,FALSE),"")</f>
        <v>SKIIFM_AT</v>
      </c>
      <c r="F419" s="11" t="s">
        <v>58</v>
      </c>
      <c r="I419" s="11" t="str">
        <f>IF(DATA!B418&lt;&gt;"",DATA!B418,"")</f>
        <v>CAAU5526759</v>
      </c>
      <c r="J419" s="12">
        <v>0</v>
      </c>
      <c r="K419" s="11" t="s">
        <v>53</v>
      </c>
      <c r="L419" s="11" t="str">
        <f t="shared" si="28"/>
        <v>842940</v>
      </c>
      <c r="M419" s="11" t="str">
        <f>IF(I419&lt;&gt;"",DATA!E418,"")</f>
        <v>VIBRATING RAMMER</v>
      </c>
      <c r="N419" s="12">
        <v>0</v>
      </c>
      <c r="O419" s="11">
        <f>IF(I419&lt;&gt;"",DATA!C418,"")</f>
        <v>184</v>
      </c>
      <c r="P419" s="2">
        <v>294094</v>
      </c>
      <c r="Q419" s="2" t="s">
        <v>1304</v>
      </c>
      <c r="R419" s="2" t="s">
        <v>1313</v>
      </c>
      <c r="S419" s="2">
        <v>349</v>
      </c>
      <c r="T419" s="2">
        <v>1</v>
      </c>
      <c r="U419" s="2" t="s">
        <v>141</v>
      </c>
      <c r="Y419" s="2">
        <v>1700</v>
      </c>
      <c r="Z419" s="11" t="s">
        <v>54</v>
      </c>
      <c r="AA419" s="11" t="str">
        <f t="shared" si="29"/>
        <v>1700 - TBN</v>
      </c>
      <c r="AC419" s="2" t="s">
        <v>145</v>
      </c>
      <c r="AD419" s="11" t="str">
        <f>IF($I419&lt;&gt;"",VLOOKUP($AC419,GEADRESSEERDE!$A$2:$E$4,2,),"")</f>
        <v>LUITHAGEN HAVEN 2 D</v>
      </c>
      <c r="AE419" s="11">
        <f>IF($I419&lt;&gt;"",VLOOKUP($AC419,GEADRESSEERDE!$A$2:$E$4,3,),"")</f>
        <v>2030</v>
      </c>
      <c r="AF419" s="11" t="str">
        <f>IF($I419&lt;&gt;"",VLOOKUP($AC419,GEADRESSEERDE!$A$2:$E$4,4,),"")</f>
        <v>ANTWERPEN</v>
      </c>
      <c r="AG419" s="11" t="str">
        <f>IF($I419&lt;&gt;"",VLOOKUP($AC419,GEADRESSEERDE!$A$2:$E$4,5,),"")</f>
        <v>BE</v>
      </c>
      <c r="AH419" s="11" t="str">
        <f>IF(I419&lt;&gt;"",VLOOKUP(AP419,KvB!$A$2:$B$3,2,FALSE),"")</f>
        <v>BE101000</v>
      </c>
      <c r="AI419" s="11" t="s">
        <v>55</v>
      </c>
      <c r="AJ419" s="11"/>
      <c r="AK419" s="11"/>
      <c r="AL419" s="11"/>
      <c r="AM419" s="11"/>
      <c r="AN419" s="11"/>
      <c r="AO419" s="11"/>
      <c r="AP419" s="2" t="s">
        <v>70</v>
      </c>
      <c r="AQ419" s="11" t="str">
        <f>IF(I419&lt;&gt;"",DATA!D418,"")</f>
        <v>8429409000</v>
      </c>
    </row>
    <row r="420" spans="1:43" ht="15.75" x14ac:dyDescent="0.25">
      <c r="A420" s="11" t="s">
        <v>57</v>
      </c>
      <c r="B420" s="11" t="s">
        <v>56</v>
      </c>
      <c r="C420" s="22">
        <f t="shared" si="30"/>
        <v>25001620</v>
      </c>
      <c r="D420" s="11" t="str">
        <f t="shared" si="27"/>
        <v>SKIIFM_AT</v>
      </c>
      <c r="E420" s="11" t="str">
        <f>IF(I420&lt;&gt;"",VLOOKUP(F420,OPDRACHTGEVER!$A$2:$B$4,2,FALSE),"")</f>
        <v>SKIIFM_AT</v>
      </c>
      <c r="F420" s="11" t="s">
        <v>58</v>
      </c>
      <c r="I420" s="11" t="str">
        <f>IF(DATA!B419&lt;&gt;"",DATA!B419,"")</f>
        <v>CAAU5526759</v>
      </c>
      <c r="J420" s="12">
        <v>0</v>
      </c>
      <c r="K420" s="11" t="s">
        <v>53</v>
      </c>
      <c r="L420" s="11" t="str">
        <f t="shared" si="28"/>
        <v>841350</v>
      </c>
      <c r="M420" s="11" t="str">
        <f>IF(I420&lt;&gt;"",DATA!E419,"")</f>
        <v>WATER PUMP</v>
      </c>
      <c r="N420" s="12">
        <v>0</v>
      </c>
      <c r="O420" s="11">
        <f>IF(I420&lt;&gt;"",DATA!C419,"")</f>
        <v>182.7</v>
      </c>
      <c r="P420" s="2">
        <v>294094</v>
      </c>
      <c r="Q420" s="2" t="s">
        <v>1304</v>
      </c>
      <c r="R420" s="2" t="s">
        <v>1313</v>
      </c>
      <c r="S420" s="2">
        <v>349</v>
      </c>
      <c r="T420" s="2">
        <v>1</v>
      </c>
      <c r="U420" s="2" t="s">
        <v>141</v>
      </c>
      <c r="Y420" s="2">
        <v>1700</v>
      </c>
      <c r="Z420" s="11" t="s">
        <v>54</v>
      </c>
      <c r="AA420" s="11" t="str">
        <f t="shared" si="29"/>
        <v>1700 - TBN</v>
      </c>
      <c r="AC420" s="2" t="s">
        <v>145</v>
      </c>
      <c r="AD420" s="11" t="str">
        <f>IF($I420&lt;&gt;"",VLOOKUP($AC420,GEADRESSEERDE!$A$2:$E$4,2,),"")</f>
        <v>LUITHAGEN HAVEN 2 D</v>
      </c>
      <c r="AE420" s="11">
        <f>IF($I420&lt;&gt;"",VLOOKUP($AC420,GEADRESSEERDE!$A$2:$E$4,3,),"")</f>
        <v>2030</v>
      </c>
      <c r="AF420" s="11" t="str">
        <f>IF($I420&lt;&gt;"",VLOOKUP($AC420,GEADRESSEERDE!$A$2:$E$4,4,),"")</f>
        <v>ANTWERPEN</v>
      </c>
      <c r="AG420" s="11" t="str">
        <f>IF($I420&lt;&gt;"",VLOOKUP($AC420,GEADRESSEERDE!$A$2:$E$4,5,),"")</f>
        <v>BE</v>
      </c>
      <c r="AH420" s="11" t="str">
        <f>IF(I420&lt;&gt;"",VLOOKUP(AP420,KvB!$A$2:$B$3,2,FALSE),"")</f>
        <v>BE101000</v>
      </c>
      <c r="AI420" s="11" t="s">
        <v>55</v>
      </c>
      <c r="AJ420" s="11"/>
      <c r="AK420" s="11"/>
      <c r="AL420" s="11"/>
      <c r="AM420" s="11"/>
      <c r="AN420" s="11"/>
      <c r="AO420" s="11"/>
      <c r="AP420" s="2" t="s">
        <v>70</v>
      </c>
      <c r="AQ420" s="11" t="str">
        <f>IF(I420&lt;&gt;"",DATA!D419,"")</f>
        <v>8413502090</v>
      </c>
    </row>
    <row r="421" spans="1:43" ht="15.75" x14ac:dyDescent="0.25">
      <c r="A421" s="11" t="s">
        <v>57</v>
      </c>
      <c r="B421" s="11" t="s">
        <v>56</v>
      </c>
      <c r="C421" s="22">
        <f t="shared" si="30"/>
        <v>25001620</v>
      </c>
      <c r="D421" s="11" t="str">
        <f t="shared" si="27"/>
        <v>SKIIFM_AT</v>
      </c>
      <c r="E421" s="11" t="str">
        <f>IF(I421&lt;&gt;"",VLOOKUP(F421,OPDRACHTGEVER!$A$2:$B$4,2,FALSE),"")</f>
        <v>SKIIFM_AT</v>
      </c>
      <c r="F421" s="11" t="s">
        <v>58</v>
      </c>
      <c r="I421" s="11" t="str">
        <f>IF(DATA!B420&lt;&gt;"",DATA!B420,"")</f>
        <v>CAAU5526759</v>
      </c>
      <c r="J421" s="12">
        <v>0</v>
      </c>
      <c r="K421" s="11" t="s">
        <v>53</v>
      </c>
      <c r="L421" s="11" t="str">
        <f t="shared" si="28"/>
        <v>391890</v>
      </c>
      <c r="M421" s="11" t="str">
        <f>IF(I421&lt;&gt;"",DATA!E420,"")</f>
        <v>WATERPROOF BOARD</v>
      </c>
      <c r="N421" s="12">
        <v>0</v>
      </c>
      <c r="O421" s="11">
        <f>IF(I421&lt;&gt;"",DATA!C420,"")</f>
        <v>66</v>
      </c>
      <c r="P421" s="2">
        <v>294094</v>
      </c>
      <c r="Q421" s="2" t="s">
        <v>1304</v>
      </c>
      <c r="R421" s="2" t="s">
        <v>1313</v>
      </c>
      <c r="S421" s="2">
        <v>349</v>
      </c>
      <c r="T421" s="2">
        <v>1</v>
      </c>
      <c r="U421" s="2" t="s">
        <v>141</v>
      </c>
      <c r="Y421" s="2">
        <v>1700</v>
      </c>
      <c r="Z421" s="11" t="s">
        <v>54</v>
      </c>
      <c r="AA421" s="11" t="str">
        <f t="shared" si="29"/>
        <v>1700 - TBN</v>
      </c>
      <c r="AC421" s="2" t="s">
        <v>145</v>
      </c>
      <c r="AD421" s="11" t="str">
        <f>IF($I421&lt;&gt;"",VLOOKUP($AC421,GEADRESSEERDE!$A$2:$E$4,2,),"")</f>
        <v>LUITHAGEN HAVEN 2 D</v>
      </c>
      <c r="AE421" s="11">
        <f>IF($I421&lt;&gt;"",VLOOKUP($AC421,GEADRESSEERDE!$A$2:$E$4,3,),"")</f>
        <v>2030</v>
      </c>
      <c r="AF421" s="11" t="str">
        <f>IF($I421&lt;&gt;"",VLOOKUP($AC421,GEADRESSEERDE!$A$2:$E$4,4,),"")</f>
        <v>ANTWERPEN</v>
      </c>
      <c r="AG421" s="11" t="str">
        <f>IF($I421&lt;&gt;"",VLOOKUP($AC421,GEADRESSEERDE!$A$2:$E$4,5,),"")</f>
        <v>BE</v>
      </c>
      <c r="AH421" s="11" t="str">
        <f>IF(I421&lt;&gt;"",VLOOKUP(AP421,KvB!$A$2:$B$3,2,FALSE),"")</f>
        <v>BE101000</v>
      </c>
      <c r="AI421" s="11" t="s">
        <v>55</v>
      </c>
      <c r="AJ421" s="11"/>
      <c r="AK421" s="11"/>
      <c r="AL421" s="11"/>
      <c r="AM421" s="11"/>
      <c r="AN421" s="11"/>
      <c r="AO421" s="11"/>
      <c r="AP421" s="2" t="s">
        <v>70</v>
      </c>
      <c r="AQ421" s="11" t="str">
        <f>IF(I421&lt;&gt;"",DATA!D420,"")</f>
        <v>3918900090</v>
      </c>
    </row>
    <row r="422" spans="1:43" ht="15.75" x14ac:dyDescent="0.25">
      <c r="A422" s="11" t="s">
        <v>57</v>
      </c>
      <c r="B422" s="11" t="s">
        <v>56</v>
      </c>
      <c r="C422" s="22">
        <f t="shared" si="30"/>
        <v>25001620</v>
      </c>
      <c r="D422" s="11" t="str">
        <f t="shared" si="27"/>
        <v>SKIIFM_AT</v>
      </c>
      <c r="E422" s="11" t="str">
        <f>IF(I422&lt;&gt;"",VLOOKUP(F422,OPDRACHTGEVER!$A$2:$B$4,2,FALSE),"")</f>
        <v>SKIIFM_AT</v>
      </c>
      <c r="F422" s="11" t="s">
        <v>58</v>
      </c>
      <c r="I422" s="11" t="str">
        <f>IF(DATA!B421&lt;&gt;"",DATA!B421,"")</f>
        <v>CAAU8650038</v>
      </c>
      <c r="J422" s="12">
        <v>1253</v>
      </c>
      <c r="K422" s="11" t="s">
        <v>53</v>
      </c>
      <c r="L422" s="11" t="str">
        <f t="shared" si="28"/>
        <v>940370</v>
      </c>
      <c r="M422" s="11" t="str">
        <f>IF(I422&lt;&gt;"",DATA!E421,"")</f>
        <v>ACRYLIC STORAGE TABLE</v>
      </c>
      <c r="N422" s="12">
        <v>18956</v>
      </c>
      <c r="O422" s="11">
        <f>IF(I422&lt;&gt;"",DATA!C421,"")</f>
        <v>101</v>
      </c>
      <c r="P422" s="2">
        <v>294094</v>
      </c>
      <c r="Q422" s="2" t="s">
        <v>1304</v>
      </c>
      <c r="R422" s="2" t="s">
        <v>1314</v>
      </c>
      <c r="S422" s="2">
        <v>294</v>
      </c>
      <c r="T422" s="2">
        <v>1</v>
      </c>
      <c r="U422" s="2" t="s">
        <v>141</v>
      </c>
      <c r="Y422" s="2">
        <v>1700</v>
      </c>
      <c r="Z422" s="11" t="s">
        <v>54</v>
      </c>
      <c r="AA422" s="11" t="str">
        <f t="shared" si="29"/>
        <v>1700 - TBN</v>
      </c>
      <c r="AC422" s="2" t="s">
        <v>145</v>
      </c>
      <c r="AD422" s="11" t="str">
        <f>IF($I422&lt;&gt;"",VLOOKUP($AC422,GEADRESSEERDE!$A$2:$E$4,2,),"")</f>
        <v>LUITHAGEN HAVEN 2 D</v>
      </c>
      <c r="AE422" s="11">
        <f>IF($I422&lt;&gt;"",VLOOKUP($AC422,GEADRESSEERDE!$A$2:$E$4,3,),"")</f>
        <v>2030</v>
      </c>
      <c r="AF422" s="11" t="str">
        <f>IF($I422&lt;&gt;"",VLOOKUP($AC422,GEADRESSEERDE!$A$2:$E$4,4,),"")</f>
        <v>ANTWERPEN</v>
      </c>
      <c r="AG422" s="11" t="str">
        <f>IF($I422&lt;&gt;"",VLOOKUP($AC422,GEADRESSEERDE!$A$2:$E$4,5,),"")</f>
        <v>BE</v>
      </c>
      <c r="AH422" s="11" t="str">
        <f>IF(I422&lt;&gt;"",VLOOKUP(AP422,KvB!$A$2:$B$3,2,FALSE),"")</f>
        <v>BE101000</v>
      </c>
      <c r="AI422" s="11" t="s">
        <v>55</v>
      </c>
      <c r="AJ422" s="11"/>
      <c r="AK422" s="11"/>
      <c r="AL422" s="11"/>
      <c r="AM422" s="11"/>
      <c r="AN422" s="11"/>
      <c r="AO422" s="11"/>
      <c r="AP422" s="2" t="s">
        <v>70</v>
      </c>
      <c r="AQ422" s="11" t="str">
        <f>IF(I422&lt;&gt;"",DATA!D421,"")</f>
        <v>9403700000</v>
      </c>
    </row>
    <row r="423" spans="1:43" ht="15.75" x14ac:dyDescent="0.25">
      <c r="A423" s="11" t="s">
        <v>57</v>
      </c>
      <c r="B423" s="11" t="s">
        <v>56</v>
      </c>
      <c r="C423" s="22">
        <f t="shared" si="30"/>
        <v>25001620</v>
      </c>
      <c r="D423" s="11" t="str">
        <f t="shared" si="27"/>
        <v>SKIIFM_AT</v>
      </c>
      <c r="E423" s="11" t="str">
        <f>IF(I423&lt;&gt;"",VLOOKUP(F423,OPDRACHTGEVER!$A$2:$B$4,2,FALSE),"")</f>
        <v>SKIIFM_AT</v>
      </c>
      <c r="F423" s="11" t="s">
        <v>58</v>
      </c>
      <c r="I423" s="11" t="str">
        <f>IF(DATA!B422&lt;&gt;"",DATA!B422,"")</f>
        <v>CAAU8650038</v>
      </c>
      <c r="J423" s="12">
        <v>0</v>
      </c>
      <c r="K423" s="11" t="s">
        <v>53</v>
      </c>
      <c r="L423" s="11" t="str">
        <f t="shared" si="28"/>
        <v>820559</v>
      </c>
      <c r="M423" s="11" t="str">
        <f>IF(I423&lt;&gt;"",DATA!E422,"")</f>
        <v>CROWBAR</v>
      </c>
      <c r="N423" s="12">
        <v>0</v>
      </c>
      <c r="O423" s="11">
        <f>IF(I423&lt;&gt;"",DATA!C422,"")</f>
        <v>41.65</v>
      </c>
      <c r="P423" s="2">
        <v>294094</v>
      </c>
      <c r="Q423" s="2" t="s">
        <v>1304</v>
      </c>
      <c r="R423" s="2" t="s">
        <v>1314</v>
      </c>
      <c r="S423" s="2">
        <v>294</v>
      </c>
      <c r="T423" s="2">
        <v>1</v>
      </c>
      <c r="U423" s="2" t="s">
        <v>141</v>
      </c>
      <c r="Y423" s="2">
        <v>1700</v>
      </c>
      <c r="Z423" s="11" t="s">
        <v>54</v>
      </c>
      <c r="AA423" s="11" t="str">
        <f t="shared" si="29"/>
        <v>1700 - TBN</v>
      </c>
      <c r="AC423" s="2" t="s">
        <v>145</v>
      </c>
      <c r="AD423" s="11" t="str">
        <f>IF($I423&lt;&gt;"",VLOOKUP($AC423,GEADRESSEERDE!$A$2:$E$4,2,),"")</f>
        <v>LUITHAGEN HAVEN 2 D</v>
      </c>
      <c r="AE423" s="11">
        <f>IF($I423&lt;&gt;"",VLOOKUP($AC423,GEADRESSEERDE!$A$2:$E$4,3,),"")</f>
        <v>2030</v>
      </c>
      <c r="AF423" s="11" t="str">
        <f>IF($I423&lt;&gt;"",VLOOKUP($AC423,GEADRESSEERDE!$A$2:$E$4,4,),"")</f>
        <v>ANTWERPEN</v>
      </c>
      <c r="AG423" s="11" t="str">
        <f>IF($I423&lt;&gt;"",VLOOKUP($AC423,GEADRESSEERDE!$A$2:$E$4,5,),"")</f>
        <v>BE</v>
      </c>
      <c r="AH423" s="11" t="str">
        <f>IF(I423&lt;&gt;"",VLOOKUP(AP423,KvB!$A$2:$B$3,2,FALSE),"")</f>
        <v>BE101000</v>
      </c>
      <c r="AI423" s="11" t="s">
        <v>55</v>
      </c>
      <c r="AJ423" s="11"/>
      <c r="AK423" s="11"/>
      <c r="AL423" s="11"/>
      <c r="AM423" s="11"/>
      <c r="AN423" s="11"/>
      <c r="AO423" s="11"/>
      <c r="AP423" s="2" t="s">
        <v>70</v>
      </c>
      <c r="AQ423" s="11" t="str">
        <f>IF(I423&lt;&gt;"",DATA!D422,"")</f>
        <v>8205598000</v>
      </c>
    </row>
    <row r="424" spans="1:43" ht="15.75" x14ac:dyDescent="0.25">
      <c r="A424" s="11" t="s">
        <v>57</v>
      </c>
      <c r="B424" s="11" t="s">
        <v>56</v>
      </c>
      <c r="C424" s="22">
        <f t="shared" si="30"/>
        <v>25001620</v>
      </c>
      <c r="D424" s="11" t="str">
        <f t="shared" si="27"/>
        <v>SKIIFM_AT</v>
      </c>
      <c r="E424" s="11" t="str">
        <f>IF(I424&lt;&gt;"",VLOOKUP(F424,OPDRACHTGEVER!$A$2:$B$4,2,FALSE),"")</f>
        <v>SKIIFM_AT</v>
      </c>
      <c r="F424" s="11" t="s">
        <v>58</v>
      </c>
      <c r="I424" s="11" t="str">
        <f>IF(DATA!B423&lt;&gt;"",DATA!B423,"")</f>
        <v>CAAU8650038</v>
      </c>
      <c r="J424" s="12">
        <v>0</v>
      </c>
      <c r="K424" s="11" t="s">
        <v>53</v>
      </c>
      <c r="L424" s="11" t="str">
        <f t="shared" si="28"/>
        <v>851660</v>
      </c>
      <c r="M424" s="11" t="str">
        <f>IF(I424&lt;&gt;"",DATA!E423,"")</f>
        <v>ELECTRIC ROTISSERIE</v>
      </c>
      <c r="N424" s="12">
        <v>0</v>
      </c>
      <c r="O424" s="11">
        <f>IF(I424&lt;&gt;"",DATA!C423,"")</f>
        <v>722.5</v>
      </c>
      <c r="P424" s="2">
        <v>294094</v>
      </c>
      <c r="Q424" s="2" t="s">
        <v>1304</v>
      </c>
      <c r="R424" s="2" t="s">
        <v>1314</v>
      </c>
      <c r="S424" s="2">
        <v>294</v>
      </c>
      <c r="T424" s="2">
        <v>1</v>
      </c>
      <c r="U424" s="2" t="s">
        <v>141</v>
      </c>
      <c r="Y424" s="2">
        <v>1700</v>
      </c>
      <c r="Z424" s="11" t="s">
        <v>54</v>
      </c>
      <c r="AA424" s="11" t="str">
        <f t="shared" si="29"/>
        <v>1700 - TBN</v>
      </c>
      <c r="AC424" s="2" t="s">
        <v>145</v>
      </c>
      <c r="AD424" s="11" t="str">
        <f>IF($I424&lt;&gt;"",VLOOKUP($AC424,GEADRESSEERDE!$A$2:$E$4,2,),"")</f>
        <v>LUITHAGEN HAVEN 2 D</v>
      </c>
      <c r="AE424" s="11">
        <f>IF($I424&lt;&gt;"",VLOOKUP($AC424,GEADRESSEERDE!$A$2:$E$4,3,),"")</f>
        <v>2030</v>
      </c>
      <c r="AF424" s="11" t="str">
        <f>IF($I424&lt;&gt;"",VLOOKUP($AC424,GEADRESSEERDE!$A$2:$E$4,4,),"")</f>
        <v>ANTWERPEN</v>
      </c>
      <c r="AG424" s="11" t="str">
        <f>IF($I424&lt;&gt;"",VLOOKUP($AC424,GEADRESSEERDE!$A$2:$E$4,5,),"")</f>
        <v>BE</v>
      </c>
      <c r="AH424" s="11" t="str">
        <f>IF(I424&lt;&gt;"",VLOOKUP(AP424,KvB!$A$2:$B$3,2,FALSE),"")</f>
        <v>BE101000</v>
      </c>
      <c r="AI424" s="11" t="s">
        <v>55</v>
      </c>
      <c r="AJ424" s="11"/>
      <c r="AK424" s="11"/>
      <c r="AL424" s="11"/>
      <c r="AM424" s="11"/>
      <c r="AN424" s="11"/>
      <c r="AO424" s="11"/>
      <c r="AP424" s="2" t="s">
        <v>70</v>
      </c>
      <c r="AQ424" s="11" t="str">
        <f>IF(I424&lt;&gt;"",DATA!D423,"")</f>
        <v>8516609000</v>
      </c>
    </row>
    <row r="425" spans="1:43" ht="15.75" x14ac:dyDescent="0.25">
      <c r="A425" s="11" t="s">
        <v>57</v>
      </c>
      <c r="B425" s="11" t="s">
        <v>56</v>
      </c>
      <c r="C425" s="22">
        <f t="shared" si="30"/>
        <v>25001620</v>
      </c>
      <c r="D425" s="11" t="str">
        <f t="shared" si="27"/>
        <v>SKIIFM_AT</v>
      </c>
      <c r="E425" s="11" t="str">
        <f>IF(I425&lt;&gt;"",VLOOKUP(F425,OPDRACHTGEVER!$A$2:$B$4,2,FALSE),"")</f>
        <v>SKIIFM_AT</v>
      </c>
      <c r="F425" s="11" t="s">
        <v>58</v>
      </c>
      <c r="I425" s="11" t="str">
        <f>IF(DATA!B424&lt;&gt;"",DATA!B424,"")</f>
        <v>CAAU8650038</v>
      </c>
      <c r="J425" s="12">
        <v>0</v>
      </c>
      <c r="K425" s="11" t="s">
        <v>53</v>
      </c>
      <c r="L425" s="11" t="str">
        <f t="shared" si="28"/>
        <v>741920</v>
      </c>
      <c r="M425" s="11" t="str">
        <f>IF(I425&lt;&gt;"",DATA!E424,"")</f>
        <v>ENGINE SUPPORT</v>
      </c>
      <c r="N425" s="12">
        <v>0</v>
      </c>
      <c r="O425" s="11">
        <f>IF(I425&lt;&gt;"",DATA!C424,"")</f>
        <v>347.1</v>
      </c>
      <c r="P425" s="2">
        <v>294094</v>
      </c>
      <c r="Q425" s="2" t="s">
        <v>1304</v>
      </c>
      <c r="R425" s="2" t="s">
        <v>1314</v>
      </c>
      <c r="S425" s="2">
        <v>294</v>
      </c>
      <c r="T425" s="2">
        <v>1</v>
      </c>
      <c r="U425" s="2" t="s">
        <v>141</v>
      </c>
      <c r="Y425" s="2">
        <v>1700</v>
      </c>
      <c r="Z425" s="11" t="s">
        <v>54</v>
      </c>
      <c r="AA425" s="11" t="str">
        <f t="shared" si="29"/>
        <v>1700 - TBN</v>
      </c>
      <c r="AC425" s="2" t="s">
        <v>145</v>
      </c>
      <c r="AD425" s="11" t="str">
        <f>IF($I425&lt;&gt;"",VLOOKUP($AC425,GEADRESSEERDE!$A$2:$E$4,2,),"")</f>
        <v>LUITHAGEN HAVEN 2 D</v>
      </c>
      <c r="AE425" s="11">
        <f>IF($I425&lt;&gt;"",VLOOKUP($AC425,GEADRESSEERDE!$A$2:$E$4,3,),"")</f>
        <v>2030</v>
      </c>
      <c r="AF425" s="11" t="str">
        <f>IF($I425&lt;&gt;"",VLOOKUP($AC425,GEADRESSEERDE!$A$2:$E$4,4,),"")</f>
        <v>ANTWERPEN</v>
      </c>
      <c r="AG425" s="11" t="str">
        <f>IF($I425&lt;&gt;"",VLOOKUP($AC425,GEADRESSEERDE!$A$2:$E$4,5,),"")</f>
        <v>BE</v>
      </c>
      <c r="AH425" s="11" t="str">
        <f>IF(I425&lt;&gt;"",VLOOKUP(AP425,KvB!$A$2:$B$3,2,FALSE),"")</f>
        <v>BE101000</v>
      </c>
      <c r="AI425" s="11" t="s">
        <v>55</v>
      </c>
      <c r="AJ425" s="11"/>
      <c r="AK425" s="11"/>
      <c r="AL425" s="11"/>
      <c r="AM425" s="11"/>
      <c r="AN425" s="11"/>
      <c r="AO425" s="11"/>
      <c r="AP425" s="2" t="s">
        <v>70</v>
      </c>
      <c r="AQ425" s="11" t="str">
        <f>IF(I425&lt;&gt;"",DATA!D424,"")</f>
        <v>7419200090</v>
      </c>
    </row>
    <row r="426" spans="1:43" ht="15.75" x14ac:dyDescent="0.25">
      <c r="A426" s="11" t="s">
        <v>57</v>
      </c>
      <c r="B426" s="11" t="s">
        <v>56</v>
      </c>
      <c r="C426" s="22">
        <f t="shared" si="30"/>
        <v>25001620</v>
      </c>
      <c r="D426" s="11" t="str">
        <f t="shared" si="27"/>
        <v>SKIIFM_AT</v>
      </c>
      <c r="E426" s="11" t="str">
        <f>IF(I426&lt;&gt;"",VLOOKUP(F426,OPDRACHTGEVER!$A$2:$B$4,2,FALSE),"")</f>
        <v>SKIIFM_AT</v>
      </c>
      <c r="F426" s="11" t="s">
        <v>58</v>
      </c>
      <c r="I426" s="11" t="str">
        <f>IF(DATA!B425&lt;&gt;"",DATA!B425,"")</f>
        <v>CAAU8650038</v>
      </c>
      <c r="J426" s="12">
        <v>0</v>
      </c>
      <c r="K426" s="11" t="s">
        <v>53</v>
      </c>
      <c r="L426" s="11" t="str">
        <f t="shared" si="28"/>
        <v>761699</v>
      </c>
      <c r="M426" s="11" t="str">
        <f>IF(I426&lt;&gt;"",DATA!E425,"")</f>
        <v>FOLDABLE DOG CAR STEPS</v>
      </c>
      <c r="N426" s="12">
        <v>0</v>
      </c>
      <c r="O426" s="11">
        <f>IF(I426&lt;&gt;"",DATA!C425,"")</f>
        <v>54</v>
      </c>
      <c r="P426" s="2">
        <v>294094</v>
      </c>
      <c r="Q426" s="2" t="s">
        <v>1304</v>
      </c>
      <c r="R426" s="2" t="s">
        <v>1314</v>
      </c>
      <c r="S426" s="2">
        <v>294</v>
      </c>
      <c r="T426" s="2">
        <v>1</v>
      </c>
      <c r="U426" s="2" t="s">
        <v>141</v>
      </c>
      <c r="Y426" s="2">
        <v>1700</v>
      </c>
      <c r="Z426" s="11" t="s">
        <v>54</v>
      </c>
      <c r="AA426" s="11" t="str">
        <f t="shared" si="29"/>
        <v>1700 - TBN</v>
      </c>
      <c r="AC426" s="2" t="s">
        <v>145</v>
      </c>
      <c r="AD426" s="11" t="str">
        <f>IF($I426&lt;&gt;"",VLOOKUP($AC426,GEADRESSEERDE!$A$2:$E$4,2,),"")</f>
        <v>LUITHAGEN HAVEN 2 D</v>
      </c>
      <c r="AE426" s="11">
        <f>IF($I426&lt;&gt;"",VLOOKUP($AC426,GEADRESSEERDE!$A$2:$E$4,3,),"")</f>
        <v>2030</v>
      </c>
      <c r="AF426" s="11" t="str">
        <f>IF($I426&lt;&gt;"",VLOOKUP($AC426,GEADRESSEERDE!$A$2:$E$4,4,),"")</f>
        <v>ANTWERPEN</v>
      </c>
      <c r="AG426" s="11" t="str">
        <f>IF($I426&lt;&gt;"",VLOOKUP($AC426,GEADRESSEERDE!$A$2:$E$4,5,),"")</f>
        <v>BE</v>
      </c>
      <c r="AH426" s="11" t="str">
        <f>IF(I426&lt;&gt;"",VLOOKUP(AP426,KvB!$A$2:$B$3,2,FALSE),"")</f>
        <v>BE101000</v>
      </c>
      <c r="AI426" s="11" t="s">
        <v>55</v>
      </c>
      <c r="AJ426" s="11"/>
      <c r="AK426" s="11"/>
      <c r="AL426" s="11"/>
      <c r="AM426" s="11"/>
      <c r="AN426" s="11"/>
      <c r="AO426" s="11"/>
      <c r="AP426" s="2" t="s">
        <v>70</v>
      </c>
      <c r="AQ426" s="11" t="str">
        <f>IF(I426&lt;&gt;"",DATA!D425,"")</f>
        <v>7616999009</v>
      </c>
    </row>
    <row r="427" spans="1:43" ht="15.75" x14ac:dyDescent="0.25">
      <c r="A427" s="11" t="s">
        <v>57</v>
      </c>
      <c r="B427" s="11" t="s">
        <v>56</v>
      </c>
      <c r="C427" s="22">
        <f t="shared" si="30"/>
        <v>25001620</v>
      </c>
      <c r="D427" s="11" t="str">
        <f t="shared" si="27"/>
        <v>SKIIFM_AT</v>
      </c>
      <c r="E427" s="11" t="str">
        <f>IF(I427&lt;&gt;"",VLOOKUP(F427,OPDRACHTGEVER!$A$2:$B$4,2,FALSE),"")</f>
        <v>SKIIFM_AT</v>
      </c>
      <c r="F427" s="11" t="s">
        <v>58</v>
      </c>
      <c r="I427" s="11" t="str">
        <f>IF(DATA!B426&lt;&gt;"",DATA!B426,"")</f>
        <v>CAAU8650038</v>
      </c>
      <c r="J427" s="12">
        <v>0</v>
      </c>
      <c r="K427" s="11" t="s">
        <v>53</v>
      </c>
      <c r="L427" s="11" t="str">
        <f t="shared" si="28"/>
        <v>741920</v>
      </c>
      <c r="M427" s="11" t="str">
        <f>IF(I427&lt;&gt;"",DATA!E426,"")</f>
        <v>FOLDING SAFETY DOOR</v>
      </c>
      <c r="N427" s="12">
        <v>0</v>
      </c>
      <c r="O427" s="11">
        <f>IF(I427&lt;&gt;"",DATA!C426,"")</f>
        <v>110</v>
      </c>
      <c r="P427" s="2">
        <v>294094</v>
      </c>
      <c r="Q427" s="2" t="s">
        <v>1304</v>
      </c>
      <c r="R427" s="2" t="s">
        <v>1314</v>
      </c>
      <c r="S427" s="2">
        <v>294</v>
      </c>
      <c r="T427" s="2">
        <v>1</v>
      </c>
      <c r="U427" s="2" t="s">
        <v>141</v>
      </c>
      <c r="Y427" s="2">
        <v>1700</v>
      </c>
      <c r="Z427" s="11" t="s">
        <v>54</v>
      </c>
      <c r="AA427" s="11" t="str">
        <f t="shared" si="29"/>
        <v>1700 - TBN</v>
      </c>
      <c r="AC427" s="2" t="s">
        <v>145</v>
      </c>
      <c r="AD427" s="11" t="str">
        <f>IF($I427&lt;&gt;"",VLOOKUP($AC427,GEADRESSEERDE!$A$2:$E$4,2,),"")</f>
        <v>LUITHAGEN HAVEN 2 D</v>
      </c>
      <c r="AE427" s="11">
        <f>IF($I427&lt;&gt;"",VLOOKUP($AC427,GEADRESSEERDE!$A$2:$E$4,3,),"")</f>
        <v>2030</v>
      </c>
      <c r="AF427" s="11" t="str">
        <f>IF($I427&lt;&gt;"",VLOOKUP($AC427,GEADRESSEERDE!$A$2:$E$4,4,),"")</f>
        <v>ANTWERPEN</v>
      </c>
      <c r="AG427" s="11" t="str">
        <f>IF($I427&lt;&gt;"",VLOOKUP($AC427,GEADRESSEERDE!$A$2:$E$4,5,),"")</f>
        <v>BE</v>
      </c>
      <c r="AH427" s="11" t="str">
        <f>IF(I427&lt;&gt;"",VLOOKUP(AP427,KvB!$A$2:$B$3,2,FALSE),"")</f>
        <v>BE101000</v>
      </c>
      <c r="AI427" s="11" t="s">
        <v>55</v>
      </c>
      <c r="AJ427" s="11"/>
      <c r="AK427" s="11"/>
      <c r="AL427" s="11"/>
      <c r="AM427" s="11"/>
      <c r="AN427" s="11"/>
      <c r="AO427" s="11"/>
      <c r="AP427" s="2" t="s">
        <v>70</v>
      </c>
      <c r="AQ427" s="11" t="str">
        <f>IF(I427&lt;&gt;"",DATA!D426,"")</f>
        <v>7419200090</v>
      </c>
    </row>
    <row r="428" spans="1:43" ht="15.75" x14ac:dyDescent="0.25">
      <c r="A428" s="11" t="s">
        <v>57</v>
      </c>
      <c r="B428" s="11" t="s">
        <v>56</v>
      </c>
      <c r="C428" s="22">
        <f t="shared" si="30"/>
        <v>25001620</v>
      </c>
      <c r="D428" s="11" t="str">
        <f t="shared" si="27"/>
        <v>SKIIFM_AT</v>
      </c>
      <c r="E428" s="11" t="str">
        <f>IF(I428&lt;&gt;"",VLOOKUP(F428,OPDRACHTGEVER!$A$2:$B$4,2,FALSE),"")</f>
        <v>SKIIFM_AT</v>
      </c>
      <c r="F428" s="11" t="s">
        <v>58</v>
      </c>
      <c r="I428" s="11" t="str">
        <f>IF(DATA!B427&lt;&gt;"",DATA!B427,"")</f>
        <v>CAAU8650038</v>
      </c>
      <c r="J428" s="12">
        <v>0</v>
      </c>
      <c r="K428" s="11" t="s">
        <v>53</v>
      </c>
      <c r="L428" s="11" t="str">
        <f t="shared" si="28"/>
        <v>950699</v>
      </c>
      <c r="M428" s="11" t="str">
        <f>IF(I428&lt;&gt;"",DATA!E427,"")</f>
        <v>GEOMETRIC CLIMBER PLAY</v>
      </c>
      <c r="N428" s="12">
        <v>0</v>
      </c>
      <c r="O428" s="11">
        <f>IF(I428&lt;&gt;"",DATA!C427,"")</f>
        <v>3679.9</v>
      </c>
      <c r="P428" s="2">
        <v>294094</v>
      </c>
      <c r="Q428" s="2" t="s">
        <v>1304</v>
      </c>
      <c r="R428" s="2" t="s">
        <v>1314</v>
      </c>
      <c r="S428" s="2">
        <v>294</v>
      </c>
      <c r="T428" s="2">
        <v>1</v>
      </c>
      <c r="U428" s="2" t="s">
        <v>141</v>
      </c>
      <c r="Y428" s="2">
        <v>1700</v>
      </c>
      <c r="Z428" s="11" t="s">
        <v>54</v>
      </c>
      <c r="AA428" s="11" t="str">
        <f t="shared" si="29"/>
        <v>1700 - TBN</v>
      </c>
      <c r="AC428" s="2" t="s">
        <v>145</v>
      </c>
      <c r="AD428" s="11" t="str">
        <f>IF($I428&lt;&gt;"",VLOOKUP($AC428,GEADRESSEERDE!$A$2:$E$4,2,),"")</f>
        <v>LUITHAGEN HAVEN 2 D</v>
      </c>
      <c r="AE428" s="11">
        <f>IF($I428&lt;&gt;"",VLOOKUP($AC428,GEADRESSEERDE!$A$2:$E$4,3,),"")</f>
        <v>2030</v>
      </c>
      <c r="AF428" s="11" t="str">
        <f>IF($I428&lt;&gt;"",VLOOKUP($AC428,GEADRESSEERDE!$A$2:$E$4,4,),"")</f>
        <v>ANTWERPEN</v>
      </c>
      <c r="AG428" s="11" t="str">
        <f>IF($I428&lt;&gt;"",VLOOKUP($AC428,GEADRESSEERDE!$A$2:$E$4,5,),"")</f>
        <v>BE</v>
      </c>
      <c r="AH428" s="11" t="str">
        <f>IF(I428&lt;&gt;"",VLOOKUP(AP428,KvB!$A$2:$B$3,2,FALSE),"")</f>
        <v>BE101000</v>
      </c>
      <c r="AI428" s="11" t="s">
        <v>55</v>
      </c>
      <c r="AJ428" s="11"/>
      <c r="AK428" s="11"/>
      <c r="AL428" s="11"/>
      <c r="AM428" s="11"/>
      <c r="AN428" s="11"/>
      <c r="AO428" s="11"/>
      <c r="AP428" s="2" t="s">
        <v>70</v>
      </c>
      <c r="AQ428" s="11" t="str">
        <f>IF(I428&lt;&gt;"",DATA!D427,"")</f>
        <v>9506999000</v>
      </c>
    </row>
    <row r="429" spans="1:43" ht="15.75" x14ac:dyDescent="0.25">
      <c r="A429" s="11" t="s">
        <v>57</v>
      </c>
      <c r="B429" s="11" t="s">
        <v>56</v>
      </c>
      <c r="C429" s="22">
        <f t="shared" si="30"/>
        <v>25001620</v>
      </c>
      <c r="D429" s="11" t="str">
        <f t="shared" si="27"/>
        <v>SKIIFM_AT</v>
      </c>
      <c r="E429" s="11" t="str">
        <f>IF(I429&lt;&gt;"",VLOOKUP(F429,OPDRACHTGEVER!$A$2:$B$4,2,FALSE),"")</f>
        <v>SKIIFM_AT</v>
      </c>
      <c r="F429" s="11" t="s">
        <v>58</v>
      </c>
      <c r="I429" s="11" t="str">
        <f>IF(DATA!B428&lt;&gt;"",DATA!B428,"")</f>
        <v>CAAU8650038</v>
      </c>
      <c r="J429" s="12">
        <v>0</v>
      </c>
      <c r="K429" s="11" t="s">
        <v>53</v>
      </c>
      <c r="L429" s="11" t="str">
        <f t="shared" si="28"/>
        <v>841311</v>
      </c>
      <c r="M429" s="11" t="str">
        <f>IF(I429&lt;&gt;"",DATA!E428,"")</f>
        <v>HAND OILER</v>
      </c>
      <c r="N429" s="12">
        <v>0</v>
      </c>
      <c r="O429" s="11">
        <f>IF(I429&lt;&gt;"",DATA!C428,"")</f>
        <v>29.1</v>
      </c>
      <c r="P429" s="2">
        <v>294094</v>
      </c>
      <c r="Q429" s="2" t="s">
        <v>1304</v>
      </c>
      <c r="R429" s="2" t="s">
        <v>1314</v>
      </c>
      <c r="S429" s="2">
        <v>294</v>
      </c>
      <c r="T429" s="2">
        <v>1</v>
      </c>
      <c r="U429" s="2" t="s">
        <v>141</v>
      </c>
      <c r="Y429" s="2">
        <v>1700</v>
      </c>
      <c r="Z429" s="11" t="s">
        <v>54</v>
      </c>
      <c r="AA429" s="11" t="str">
        <f t="shared" si="29"/>
        <v>1700 - TBN</v>
      </c>
      <c r="AC429" s="2" t="s">
        <v>145</v>
      </c>
      <c r="AD429" s="11" t="str">
        <f>IF($I429&lt;&gt;"",VLOOKUP($AC429,GEADRESSEERDE!$A$2:$E$4,2,),"")</f>
        <v>LUITHAGEN HAVEN 2 D</v>
      </c>
      <c r="AE429" s="11">
        <f>IF($I429&lt;&gt;"",VLOOKUP($AC429,GEADRESSEERDE!$A$2:$E$4,3,),"")</f>
        <v>2030</v>
      </c>
      <c r="AF429" s="11" t="str">
        <f>IF($I429&lt;&gt;"",VLOOKUP($AC429,GEADRESSEERDE!$A$2:$E$4,4,),"")</f>
        <v>ANTWERPEN</v>
      </c>
      <c r="AG429" s="11" t="str">
        <f>IF($I429&lt;&gt;"",VLOOKUP($AC429,GEADRESSEERDE!$A$2:$E$4,5,),"")</f>
        <v>BE</v>
      </c>
      <c r="AH429" s="11" t="str">
        <f>IF(I429&lt;&gt;"",VLOOKUP(AP429,KvB!$A$2:$B$3,2,FALSE),"")</f>
        <v>BE101000</v>
      </c>
      <c r="AI429" s="11" t="s">
        <v>55</v>
      </c>
      <c r="AJ429" s="11"/>
      <c r="AK429" s="11"/>
      <c r="AL429" s="11"/>
      <c r="AM429" s="11"/>
      <c r="AN429" s="11"/>
      <c r="AO429" s="11"/>
      <c r="AP429" s="2" t="s">
        <v>70</v>
      </c>
      <c r="AQ429" s="11" t="str">
        <f>IF(I429&lt;&gt;"",DATA!D428,"")</f>
        <v>8413110000</v>
      </c>
    </row>
    <row r="430" spans="1:43" ht="15.75" x14ac:dyDescent="0.25">
      <c r="A430" s="11" t="s">
        <v>57</v>
      </c>
      <c r="B430" s="11" t="s">
        <v>56</v>
      </c>
      <c r="C430" s="22">
        <f t="shared" si="30"/>
        <v>25001620</v>
      </c>
      <c r="D430" s="11" t="str">
        <f t="shared" si="27"/>
        <v>SKIIFM_AT</v>
      </c>
      <c r="E430" s="11" t="str">
        <f>IF(I430&lt;&gt;"",VLOOKUP(F430,OPDRACHTGEVER!$A$2:$B$4,2,FALSE),"")</f>
        <v>SKIIFM_AT</v>
      </c>
      <c r="F430" s="11" t="s">
        <v>58</v>
      </c>
      <c r="I430" s="11" t="str">
        <f>IF(DATA!B429&lt;&gt;"",DATA!B429,"")</f>
        <v>CAAU8650038</v>
      </c>
      <c r="J430" s="12">
        <v>0</v>
      </c>
      <c r="K430" s="11" t="s">
        <v>53</v>
      </c>
      <c r="L430" s="11" t="str">
        <f t="shared" si="28"/>
        <v>741920</v>
      </c>
      <c r="M430" s="11" t="str">
        <f>IF(I430&lt;&gt;"",DATA!E429,"")</f>
        <v>HANDRAIL</v>
      </c>
      <c r="N430" s="12">
        <v>0</v>
      </c>
      <c r="O430" s="11">
        <f>IF(I430&lt;&gt;"",DATA!C429,"")</f>
        <v>26.75</v>
      </c>
      <c r="P430" s="2">
        <v>294094</v>
      </c>
      <c r="Q430" s="2" t="s">
        <v>1304</v>
      </c>
      <c r="R430" s="2" t="s">
        <v>1314</v>
      </c>
      <c r="S430" s="2">
        <v>294</v>
      </c>
      <c r="T430" s="2">
        <v>1</v>
      </c>
      <c r="U430" s="2" t="s">
        <v>141</v>
      </c>
      <c r="Y430" s="2">
        <v>1700</v>
      </c>
      <c r="Z430" s="11" t="s">
        <v>54</v>
      </c>
      <c r="AA430" s="11" t="str">
        <f t="shared" si="29"/>
        <v>1700 - TBN</v>
      </c>
      <c r="AC430" s="2" t="s">
        <v>145</v>
      </c>
      <c r="AD430" s="11" t="str">
        <f>IF($I430&lt;&gt;"",VLOOKUP($AC430,GEADRESSEERDE!$A$2:$E$4,2,),"")</f>
        <v>LUITHAGEN HAVEN 2 D</v>
      </c>
      <c r="AE430" s="11">
        <f>IF($I430&lt;&gt;"",VLOOKUP($AC430,GEADRESSEERDE!$A$2:$E$4,3,),"")</f>
        <v>2030</v>
      </c>
      <c r="AF430" s="11" t="str">
        <f>IF($I430&lt;&gt;"",VLOOKUP($AC430,GEADRESSEERDE!$A$2:$E$4,4,),"")</f>
        <v>ANTWERPEN</v>
      </c>
      <c r="AG430" s="11" t="str">
        <f>IF($I430&lt;&gt;"",VLOOKUP($AC430,GEADRESSEERDE!$A$2:$E$4,5,),"")</f>
        <v>BE</v>
      </c>
      <c r="AH430" s="11" t="str">
        <f>IF(I430&lt;&gt;"",VLOOKUP(AP430,KvB!$A$2:$B$3,2,FALSE),"")</f>
        <v>BE101000</v>
      </c>
      <c r="AI430" s="11" t="s">
        <v>55</v>
      </c>
      <c r="AJ430" s="11"/>
      <c r="AK430" s="11"/>
      <c r="AL430" s="11"/>
      <c r="AM430" s="11"/>
      <c r="AN430" s="11"/>
      <c r="AO430" s="11"/>
      <c r="AP430" s="2" t="s">
        <v>70</v>
      </c>
      <c r="AQ430" s="11" t="str">
        <f>IF(I430&lt;&gt;"",DATA!D429,"")</f>
        <v>7419200090</v>
      </c>
    </row>
    <row r="431" spans="1:43" ht="15.75" x14ac:dyDescent="0.25">
      <c r="A431" s="11" t="s">
        <v>57</v>
      </c>
      <c r="B431" s="11" t="s">
        <v>56</v>
      </c>
      <c r="C431" s="22">
        <f t="shared" si="30"/>
        <v>25001620</v>
      </c>
      <c r="D431" s="11" t="str">
        <f t="shared" si="27"/>
        <v>SKIIFM_AT</v>
      </c>
      <c r="E431" s="11" t="str">
        <f>IF(I431&lt;&gt;"",VLOOKUP(F431,OPDRACHTGEVER!$A$2:$B$4,2,FALSE),"")</f>
        <v>SKIIFM_AT</v>
      </c>
      <c r="F431" s="11" t="s">
        <v>58</v>
      </c>
      <c r="I431" s="11" t="str">
        <f>IF(DATA!B430&lt;&gt;"",DATA!B430,"")</f>
        <v>CAAU8650038</v>
      </c>
      <c r="J431" s="12">
        <v>0</v>
      </c>
      <c r="K431" s="11" t="s">
        <v>53</v>
      </c>
      <c r="L431" s="11" t="str">
        <f t="shared" si="28"/>
        <v>842542</v>
      </c>
      <c r="M431" s="11" t="str">
        <f>IF(I431&lt;&gt;"",DATA!E430,"")</f>
        <v>HYDRAULIC JACK</v>
      </c>
      <c r="N431" s="12">
        <v>0</v>
      </c>
      <c r="O431" s="11">
        <f>IF(I431&lt;&gt;"",DATA!C430,"")</f>
        <v>208</v>
      </c>
      <c r="P431" s="2">
        <v>294094</v>
      </c>
      <c r="Q431" s="2" t="s">
        <v>1304</v>
      </c>
      <c r="R431" s="2" t="s">
        <v>1314</v>
      </c>
      <c r="S431" s="2">
        <v>294</v>
      </c>
      <c r="T431" s="2">
        <v>1</v>
      </c>
      <c r="U431" s="2" t="s">
        <v>141</v>
      </c>
      <c r="Y431" s="2">
        <v>1700</v>
      </c>
      <c r="Z431" s="11" t="s">
        <v>54</v>
      </c>
      <c r="AA431" s="11" t="str">
        <f t="shared" si="29"/>
        <v>1700 - TBN</v>
      </c>
      <c r="AC431" s="2" t="s">
        <v>145</v>
      </c>
      <c r="AD431" s="11" t="str">
        <f>IF($I431&lt;&gt;"",VLOOKUP($AC431,GEADRESSEERDE!$A$2:$E$4,2,),"")</f>
        <v>LUITHAGEN HAVEN 2 D</v>
      </c>
      <c r="AE431" s="11">
        <f>IF($I431&lt;&gt;"",VLOOKUP($AC431,GEADRESSEERDE!$A$2:$E$4,3,),"")</f>
        <v>2030</v>
      </c>
      <c r="AF431" s="11" t="str">
        <f>IF($I431&lt;&gt;"",VLOOKUP($AC431,GEADRESSEERDE!$A$2:$E$4,4,),"")</f>
        <v>ANTWERPEN</v>
      </c>
      <c r="AG431" s="11" t="str">
        <f>IF($I431&lt;&gt;"",VLOOKUP($AC431,GEADRESSEERDE!$A$2:$E$4,5,),"")</f>
        <v>BE</v>
      </c>
      <c r="AH431" s="11" t="str">
        <f>IF(I431&lt;&gt;"",VLOOKUP(AP431,KvB!$A$2:$B$3,2,FALSE),"")</f>
        <v>BE101000</v>
      </c>
      <c r="AI431" s="11" t="s">
        <v>55</v>
      </c>
      <c r="AJ431" s="11"/>
      <c r="AK431" s="11"/>
      <c r="AL431" s="11"/>
      <c r="AM431" s="11"/>
      <c r="AN431" s="11"/>
      <c r="AO431" s="11"/>
      <c r="AP431" s="2" t="s">
        <v>70</v>
      </c>
      <c r="AQ431" s="11" t="str">
        <f>IF(I431&lt;&gt;"",DATA!D430,"")</f>
        <v>8425420000</v>
      </c>
    </row>
    <row r="432" spans="1:43" ht="15.75" x14ac:dyDescent="0.25">
      <c r="A432" s="11" t="s">
        <v>57</v>
      </c>
      <c r="B432" s="11" t="s">
        <v>56</v>
      </c>
      <c r="C432" s="22">
        <f t="shared" si="30"/>
        <v>25001620</v>
      </c>
      <c r="D432" s="11" t="str">
        <f t="shared" si="27"/>
        <v>SKIIFM_AT</v>
      </c>
      <c r="E432" s="11" t="str">
        <f>IF(I432&lt;&gt;"",VLOOKUP(F432,OPDRACHTGEVER!$A$2:$B$4,2,FALSE),"")</f>
        <v>SKIIFM_AT</v>
      </c>
      <c r="F432" s="11" t="s">
        <v>58</v>
      </c>
      <c r="I432" s="11" t="str">
        <f>IF(DATA!B431&lt;&gt;"",DATA!B431,"")</f>
        <v>CAAU8650038</v>
      </c>
      <c r="J432" s="12">
        <v>0</v>
      </c>
      <c r="K432" s="11" t="s">
        <v>53</v>
      </c>
      <c r="L432" s="11" t="str">
        <f t="shared" si="28"/>
        <v>841420</v>
      </c>
      <c r="M432" s="11" t="str">
        <f>IF(I432&lt;&gt;"",DATA!E431,"")</f>
        <v>HYDRAULIC PUMP</v>
      </c>
      <c r="N432" s="12">
        <v>0</v>
      </c>
      <c r="O432" s="11">
        <f>IF(I432&lt;&gt;"",DATA!C431,"")</f>
        <v>154.4</v>
      </c>
      <c r="P432" s="2">
        <v>294094</v>
      </c>
      <c r="Q432" s="2" t="s">
        <v>1304</v>
      </c>
      <c r="R432" s="2" t="s">
        <v>1314</v>
      </c>
      <c r="S432" s="2">
        <v>294</v>
      </c>
      <c r="T432" s="2">
        <v>1</v>
      </c>
      <c r="U432" s="2" t="s">
        <v>141</v>
      </c>
      <c r="Y432" s="2">
        <v>1700</v>
      </c>
      <c r="Z432" s="11" t="s">
        <v>54</v>
      </c>
      <c r="AA432" s="11" t="str">
        <f t="shared" si="29"/>
        <v>1700 - TBN</v>
      </c>
      <c r="AC432" s="2" t="s">
        <v>145</v>
      </c>
      <c r="AD432" s="11" t="str">
        <f>IF($I432&lt;&gt;"",VLOOKUP($AC432,GEADRESSEERDE!$A$2:$E$4,2,),"")</f>
        <v>LUITHAGEN HAVEN 2 D</v>
      </c>
      <c r="AE432" s="11">
        <f>IF($I432&lt;&gt;"",VLOOKUP($AC432,GEADRESSEERDE!$A$2:$E$4,3,),"")</f>
        <v>2030</v>
      </c>
      <c r="AF432" s="11" t="str">
        <f>IF($I432&lt;&gt;"",VLOOKUP($AC432,GEADRESSEERDE!$A$2:$E$4,4,),"")</f>
        <v>ANTWERPEN</v>
      </c>
      <c r="AG432" s="11" t="str">
        <f>IF($I432&lt;&gt;"",VLOOKUP($AC432,GEADRESSEERDE!$A$2:$E$4,5,),"")</f>
        <v>BE</v>
      </c>
      <c r="AH432" s="11" t="str">
        <f>IF(I432&lt;&gt;"",VLOOKUP(AP432,KvB!$A$2:$B$3,2,FALSE),"")</f>
        <v>BE101000</v>
      </c>
      <c r="AI432" s="11" t="s">
        <v>55</v>
      </c>
      <c r="AJ432" s="11"/>
      <c r="AK432" s="11"/>
      <c r="AL432" s="11"/>
      <c r="AM432" s="11"/>
      <c r="AN432" s="11"/>
      <c r="AO432" s="11"/>
      <c r="AP432" s="2" t="s">
        <v>70</v>
      </c>
      <c r="AQ432" s="11" t="str">
        <f>IF(I432&lt;&gt;"",DATA!D431,"")</f>
        <v>8414208090</v>
      </c>
    </row>
    <row r="433" spans="1:43" ht="15.75" x14ac:dyDescent="0.25">
      <c r="A433" s="11" t="s">
        <v>57</v>
      </c>
      <c r="B433" s="11" t="s">
        <v>56</v>
      </c>
      <c r="C433" s="22">
        <f t="shared" si="30"/>
        <v>25001620</v>
      </c>
      <c r="D433" s="11" t="str">
        <f t="shared" si="27"/>
        <v>SKIIFM_AT</v>
      </c>
      <c r="E433" s="11" t="str">
        <f>IF(I433&lt;&gt;"",VLOOKUP(F433,OPDRACHTGEVER!$A$2:$B$4,2,FALSE),"")</f>
        <v>SKIIFM_AT</v>
      </c>
      <c r="F433" s="11" t="s">
        <v>58</v>
      </c>
      <c r="I433" s="11" t="str">
        <f>IF(DATA!B432&lt;&gt;"",DATA!B432,"")</f>
        <v>CAAU8650038</v>
      </c>
      <c r="J433" s="12">
        <v>0</v>
      </c>
      <c r="K433" s="11" t="s">
        <v>53</v>
      </c>
      <c r="L433" s="11" t="str">
        <f t="shared" si="28"/>
        <v>841319</v>
      </c>
      <c r="M433" s="11" t="str">
        <f>IF(I433&lt;&gt;"",DATA!E432,"")</f>
        <v>HYDRAULIC TEST PUMP</v>
      </c>
      <c r="N433" s="12">
        <v>0</v>
      </c>
      <c r="O433" s="11">
        <f>IF(I433&lt;&gt;"",DATA!C432,"")</f>
        <v>84.1</v>
      </c>
      <c r="P433" s="2">
        <v>294094</v>
      </c>
      <c r="Q433" s="2" t="s">
        <v>1304</v>
      </c>
      <c r="R433" s="2" t="s">
        <v>1314</v>
      </c>
      <c r="S433" s="2">
        <v>294</v>
      </c>
      <c r="T433" s="2">
        <v>1</v>
      </c>
      <c r="U433" s="2" t="s">
        <v>141</v>
      </c>
      <c r="Y433" s="2">
        <v>1700</v>
      </c>
      <c r="Z433" s="11" t="s">
        <v>54</v>
      </c>
      <c r="AA433" s="11" t="str">
        <f t="shared" si="29"/>
        <v>1700 - TBN</v>
      </c>
      <c r="AC433" s="2" t="s">
        <v>145</v>
      </c>
      <c r="AD433" s="11" t="str">
        <f>IF($I433&lt;&gt;"",VLOOKUP($AC433,GEADRESSEERDE!$A$2:$E$4,2,),"")</f>
        <v>LUITHAGEN HAVEN 2 D</v>
      </c>
      <c r="AE433" s="11">
        <f>IF($I433&lt;&gt;"",VLOOKUP($AC433,GEADRESSEERDE!$A$2:$E$4,3,),"")</f>
        <v>2030</v>
      </c>
      <c r="AF433" s="11" t="str">
        <f>IF($I433&lt;&gt;"",VLOOKUP($AC433,GEADRESSEERDE!$A$2:$E$4,4,),"")</f>
        <v>ANTWERPEN</v>
      </c>
      <c r="AG433" s="11" t="str">
        <f>IF($I433&lt;&gt;"",VLOOKUP($AC433,GEADRESSEERDE!$A$2:$E$4,5,),"")</f>
        <v>BE</v>
      </c>
      <c r="AH433" s="11" t="str">
        <f>IF(I433&lt;&gt;"",VLOOKUP(AP433,KvB!$A$2:$B$3,2,FALSE),"")</f>
        <v>BE101000</v>
      </c>
      <c r="AI433" s="11" t="s">
        <v>55</v>
      </c>
      <c r="AJ433" s="11"/>
      <c r="AK433" s="11"/>
      <c r="AL433" s="11"/>
      <c r="AM433" s="11"/>
      <c r="AN433" s="11"/>
      <c r="AO433" s="11"/>
      <c r="AP433" s="2" t="s">
        <v>70</v>
      </c>
      <c r="AQ433" s="11" t="str">
        <f>IF(I433&lt;&gt;"",DATA!D432,"")</f>
        <v>8413190090</v>
      </c>
    </row>
    <row r="434" spans="1:43" ht="15.75" x14ac:dyDescent="0.25">
      <c r="A434" s="11" t="s">
        <v>57</v>
      </c>
      <c r="B434" s="11" t="s">
        <v>56</v>
      </c>
      <c r="C434" s="22">
        <f t="shared" si="30"/>
        <v>25001620</v>
      </c>
      <c r="D434" s="11" t="str">
        <f t="shared" si="27"/>
        <v>SKIIFM_AT</v>
      </c>
      <c r="E434" s="11" t="str">
        <f>IF(I434&lt;&gt;"",VLOOKUP(F434,OPDRACHTGEVER!$A$2:$B$4,2,FALSE),"")</f>
        <v>SKIIFM_AT</v>
      </c>
      <c r="F434" s="11" t="s">
        <v>58</v>
      </c>
      <c r="I434" s="11" t="str">
        <f>IF(DATA!B433&lt;&gt;"",DATA!B433,"")</f>
        <v>CAAU8650038</v>
      </c>
      <c r="J434" s="12">
        <v>0</v>
      </c>
      <c r="K434" s="11" t="s">
        <v>53</v>
      </c>
      <c r="L434" s="11" t="str">
        <f t="shared" si="28"/>
        <v>950691</v>
      </c>
      <c r="M434" s="11" t="str">
        <f>IF(I434&lt;&gt;"",DATA!E433,"")</f>
        <v>JUMPING BOX</v>
      </c>
      <c r="N434" s="12">
        <v>0</v>
      </c>
      <c r="O434" s="11">
        <f>IF(I434&lt;&gt;"",DATA!C433,"")</f>
        <v>266.35000000000002</v>
      </c>
      <c r="P434" s="2">
        <v>294094</v>
      </c>
      <c r="Q434" s="2" t="s">
        <v>1304</v>
      </c>
      <c r="R434" s="2" t="s">
        <v>1314</v>
      </c>
      <c r="S434" s="2">
        <v>294</v>
      </c>
      <c r="T434" s="2">
        <v>1</v>
      </c>
      <c r="U434" s="2" t="s">
        <v>141</v>
      </c>
      <c r="Y434" s="2">
        <v>1700</v>
      </c>
      <c r="Z434" s="11" t="s">
        <v>54</v>
      </c>
      <c r="AA434" s="11" t="str">
        <f t="shared" si="29"/>
        <v>1700 - TBN</v>
      </c>
      <c r="AC434" s="2" t="s">
        <v>145</v>
      </c>
      <c r="AD434" s="11" t="str">
        <f>IF($I434&lt;&gt;"",VLOOKUP($AC434,GEADRESSEERDE!$A$2:$E$4,2,),"")</f>
        <v>LUITHAGEN HAVEN 2 D</v>
      </c>
      <c r="AE434" s="11">
        <f>IF($I434&lt;&gt;"",VLOOKUP($AC434,GEADRESSEERDE!$A$2:$E$4,3,),"")</f>
        <v>2030</v>
      </c>
      <c r="AF434" s="11" t="str">
        <f>IF($I434&lt;&gt;"",VLOOKUP($AC434,GEADRESSEERDE!$A$2:$E$4,4,),"")</f>
        <v>ANTWERPEN</v>
      </c>
      <c r="AG434" s="11" t="str">
        <f>IF($I434&lt;&gt;"",VLOOKUP($AC434,GEADRESSEERDE!$A$2:$E$4,5,),"")</f>
        <v>BE</v>
      </c>
      <c r="AH434" s="11" t="str">
        <f>IF(I434&lt;&gt;"",VLOOKUP(AP434,KvB!$A$2:$B$3,2,FALSE),"")</f>
        <v>BE101000</v>
      </c>
      <c r="AI434" s="11" t="s">
        <v>55</v>
      </c>
      <c r="AJ434" s="11"/>
      <c r="AK434" s="11"/>
      <c r="AL434" s="11"/>
      <c r="AM434" s="11"/>
      <c r="AN434" s="11"/>
      <c r="AO434" s="11"/>
      <c r="AP434" s="2" t="s">
        <v>70</v>
      </c>
      <c r="AQ434" s="11" t="str">
        <f>IF(I434&lt;&gt;"",DATA!D433,"")</f>
        <v>9506919000</v>
      </c>
    </row>
    <row r="435" spans="1:43" ht="15.75" x14ac:dyDescent="0.25">
      <c r="A435" s="11" t="s">
        <v>57</v>
      </c>
      <c r="B435" s="11" t="s">
        <v>56</v>
      </c>
      <c r="C435" s="22">
        <f t="shared" si="30"/>
        <v>25001620</v>
      </c>
      <c r="D435" s="11" t="str">
        <f t="shared" si="27"/>
        <v>SKIIFM_AT</v>
      </c>
      <c r="E435" s="11" t="str">
        <f>IF(I435&lt;&gt;"",VLOOKUP(F435,OPDRACHTGEVER!$A$2:$B$4,2,FALSE),"")</f>
        <v>SKIIFM_AT</v>
      </c>
      <c r="F435" s="11" t="s">
        <v>58</v>
      </c>
      <c r="I435" s="11" t="str">
        <f>IF(DATA!B434&lt;&gt;"",DATA!B434,"")</f>
        <v>CAAU8650038</v>
      </c>
      <c r="J435" s="12">
        <v>0</v>
      </c>
      <c r="K435" s="11" t="s">
        <v>53</v>
      </c>
      <c r="L435" s="11" t="str">
        <f t="shared" si="28"/>
        <v>741920</v>
      </c>
      <c r="M435" s="11" t="str">
        <f>IF(I435&lt;&gt;"",DATA!E434,"")</f>
        <v>LADDER HOOK</v>
      </c>
      <c r="N435" s="12">
        <v>0</v>
      </c>
      <c r="O435" s="11">
        <f>IF(I435&lt;&gt;"",DATA!C434,"")</f>
        <v>122.2</v>
      </c>
      <c r="P435" s="2">
        <v>294094</v>
      </c>
      <c r="Q435" s="2" t="s">
        <v>1304</v>
      </c>
      <c r="R435" s="2" t="s">
        <v>1314</v>
      </c>
      <c r="S435" s="2">
        <v>294</v>
      </c>
      <c r="T435" s="2">
        <v>1</v>
      </c>
      <c r="U435" s="2" t="s">
        <v>141</v>
      </c>
      <c r="Y435" s="2">
        <v>1700</v>
      </c>
      <c r="Z435" s="11" t="s">
        <v>54</v>
      </c>
      <c r="AA435" s="11" t="str">
        <f t="shared" si="29"/>
        <v>1700 - TBN</v>
      </c>
      <c r="AC435" s="2" t="s">
        <v>145</v>
      </c>
      <c r="AD435" s="11" t="str">
        <f>IF($I435&lt;&gt;"",VLOOKUP($AC435,GEADRESSEERDE!$A$2:$E$4,2,),"")</f>
        <v>LUITHAGEN HAVEN 2 D</v>
      </c>
      <c r="AE435" s="11">
        <f>IF($I435&lt;&gt;"",VLOOKUP($AC435,GEADRESSEERDE!$A$2:$E$4,3,),"")</f>
        <v>2030</v>
      </c>
      <c r="AF435" s="11" t="str">
        <f>IF($I435&lt;&gt;"",VLOOKUP($AC435,GEADRESSEERDE!$A$2:$E$4,4,),"")</f>
        <v>ANTWERPEN</v>
      </c>
      <c r="AG435" s="11" t="str">
        <f>IF($I435&lt;&gt;"",VLOOKUP($AC435,GEADRESSEERDE!$A$2:$E$4,5,),"")</f>
        <v>BE</v>
      </c>
      <c r="AH435" s="11" t="str">
        <f>IF(I435&lt;&gt;"",VLOOKUP(AP435,KvB!$A$2:$B$3,2,FALSE),"")</f>
        <v>BE101000</v>
      </c>
      <c r="AI435" s="11" t="s">
        <v>55</v>
      </c>
      <c r="AJ435" s="11"/>
      <c r="AK435" s="11"/>
      <c r="AL435" s="11"/>
      <c r="AM435" s="11"/>
      <c r="AN435" s="11"/>
      <c r="AO435" s="11"/>
      <c r="AP435" s="2" t="s">
        <v>70</v>
      </c>
      <c r="AQ435" s="11" t="str">
        <f>IF(I435&lt;&gt;"",DATA!D434,"")</f>
        <v>7419200090</v>
      </c>
    </row>
    <row r="436" spans="1:43" ht="15.75" x14ac:dyDescent="0.25">
      <c r="A436" s="11" t="s">
        <v>57</v>
      </c>
      <c r="B436" s="11" t="s">
        <v>56</v>
      </c>
      <c r="C436" s="22">
        <f t="shared" si="30"/>
        <v>25001620</v>
      </c>
      <c r="D436" s="11" t="str">
        <f t="shared" ref="D436:D499" si="31">E436</f>
        <v>SKIIFM_AT</v>
      </c>
      <c r="E436" s="11" t="str">
        <f>IF(I436&lt;&gt;"",VLOOKUP(F436,OPDRACHTGEVER!$A$2:$B$4,2,FALSE),"")</f>
        <v>SKIIFM_AT</v>
      </c>
      <c r="F436" s="11" t="s">
        <v>58</v>
      </c>
      <c r="I436" s="11" t="str">
        <f>IF(DATA!B435&lt;&gt;"",DATA!B435,"")</f>
        <v>CAAU8650038</v>
      </c>
      <c r="J436" s="12">
        <v>0</v>
      </c>
      <c r="K436" s="11" t="s">
        <v>53</v>
      </c>
      <c r="L436" s="11" t="str">
        <f t="shared" ref="L436:L499" si="32">LEFT(AQ436,6)</f>
        <v>845899</v>
      </c>
      <c r="M436" s="11" t="str">
        <f>IF(I436&lt;&gt;"",DATA!E435,"")</f>
        <v>LATHE</v>
      </c>
      <c r="N436" s="12">
        <v>0</v>
      </c>
      <c r="O436" s="11">
        <f>IF(I436&lt;&gt;"",DATA!C435,"")</f>
        <v>112</v>
      </c>
      <c r="P436" s="2">
        <v>294094</v>
      </c>
      <c r="Q436" s="2" t="s">
        <v>1304</v>
      </c>
      <c r="R436" s="2" t="s">
        <v>1314</v>
      </c>
      <c r="S436" s="2">
        <v>294</v>
      </c>
      <c r="T436" s="2">
        <v>1</v>
      </c>
      <c r="U436" s="2" t="s">
        <v>141</v>
      </c>
      <c r="Y436" s="2">
        <v>1700</v>
      </c>
      <c r="Z436" s="11" t="s">
        <v>54</v>
      </c>
      <c r="AA436" s="11" t="str">
        <f t="shared" ref="AA436:AA499" si="33">IF(I436&lt;&gt;"",Y436&amp;" - "&amp;Z436,"")</f>
        <v>1700 - TBN</v>
      </c>
      <c r="AC436" s="2" t="s">
        <v>145</v>
      </c>
      <c r="AD436" s="11" t="str">
        <f>IF($I436&lt;&gt;"",VLOOKUP($AC436,GEADRESSEERDE!$A$2:$E$4,2,),"")</f>
        <v>LUITHAGEN HAVEN 2 D</v>
      </c>
      <c r="AE436" s="11">
        <f>IF($I436&lt;&gt;"",VLOOKUP($AC436,GEADRESSEERDE!$A$2:$E$4,3,),"")</f>
        <v>2030</v>
      </c>
      <c r="AF436" s="11" t="str">
        <f>IF($I436&lt;&gt;"",VLOOKUP($AC436,GEADRESSEERDE!$A$2:$E$4,4,),"")</f>
        <v>ANTWERPEN</v>
      </c>
      <c r="AG436" s="11" t="str">
        <f>IF($I436&lt;&gt;"",VLOOKUP($AC436,GEADRESSEERDE!$A$2:$E$4,5,),"")</f>
        <v>BE</v>
      </c>
      <c r="AH436" s="11" t="str">
        <f>IF(I436&lt;&gt;"",VLOOKUP(AP436,KvB!$A$2:$B$3,2,FALSE),"")</f>
        <v>BE101000</v>
      </c>
      <c r="AI436" s="11" t="s">
        <v>55</v>
      </c>
      <c r="AJ436" s="11"/>
      <c r="AK436" s="11"/>
      <c r="AL436" s="11"/>
      <c r="AM436" s="11"/>
      <c r="AN436" s="11"/>
      <c r="AO436" s="11"/>
      <c r="AP436" s="2" t="s">
        <v>70</v>
      </c>
      <c r="AQ436" s="11" t="str">
        <f>IF(I436&lt;&gt;"",DATA!D435,"")</f>
        <v>8458990000</v>
      </c>
    </row>
    <row r="437" spans="1:43" ht="15.75" x14ac:dyDescent="0.25">
      <c r="A437" s="11" t="s">
        <v>57</v>
      </c>
      <c r="B437" s="11" t="s">
        <v>56</v>
      </c>
      <c r="C437" s="22">
        <f t="shared" si="30"/>
        <v>25001620</v>
      </c>
      <c r="D437" s="11" t="str">
        <f t="shared" si="31"/>
        <v>SKIIFM_AT</v>
      </c>
      <c r="E437" s="11" t="str">
        <f>IF(I437&lt;&gt;"",VLOOKUP(F437,OPDRACHTGEVER!$A$2:$B$4,2,FALSE),"")</f>
        <v>SKIIFM_AT</v>
      </c>
      <c r="F437" s="11" t="s">
        <v>58</v>
      </c>
      <c r="I437" s="11" t="str">
        <f>IF(DATA!B436&lt;&gt;"",DATA!B436,"")</f>
        <v>CAAU8650038</v>
      </c>
      <c r="J437" s="12">
        <v>0</v>
      </c>
      <c r="K437" s="11" t="s">
        <v>53</v>
      </c>
      <c r="L437" s="11" t="str">
        <f t="shared" si="32"/>
        <v>850131</v>
      </c>
      <c r="M437" s="11" t="str">
        <f>IF(I437&lt;&gt;"",DATA!E436,"")</f>
        <v>LINEAR ACTUATOR</v>
      </c>
      <c r="N437" s="12">
        <v>0</v>
      </c>
      <c r="O437" s="11">
        <f>IF(I437&lt;&gt;"",DATA!C436,"")</f>
        <v>577.79999999999995</v>
      </c>
      <c r="P437" s="2">
        <v>294094</v>
      </c>
      <c r="Q437" s="2" t="s">
        <v>1304</v>
      </c>
      <c r="R437" s="2" t="s">
        <v>1314</v>
      </c>
      <c r="S437" s="2">
        <v>294</v>
      </c>
      <c r="T437" s="2">
        <v>1</v>
      </c>
      <c r="U437" s="2" t="s">
        <v>141</v>
      </c>
      <c r="Y437" s="2">
        <v>1700</v>
      </c>
      <c r="Z437" s="11" t="s">
        <v>54</v>
      </c>
      <c r="AA437" s="11" t="str">
        <f t="shared" si="33"/>
        <v>1700 - TBN</v>
      </c>
      <c r="AC437" s="2" t="s">
        <v>145</v>
      </c>
      <c r="AD437" s="11" t="str">
        <f>IF($I437&lt;&gt;"",VLOOKUP($AC437,GEADRESSEERDE!$A$2:$E$4,2,),"")</f>
        <v>LUITHAGEN HAVEN 2 D</v>
      </c>
      <c r="AE437" s="11">
        <f>IF($I437&lt;&gt;"",VLOOKUP($AC437,GEADRESSEERDE!$A$2:$E$4,3,),"")</f>
        <v>2030</v>
      </c>
      <c r="AF437" s="11" t="str">
        <f>IF($I437&lt;&gt;"",VLOOKUP($AC437,GEADRESSEERDE!$A$2:$E$4,4,),"")</f>
        <v>ANTWERPEN</v>
      </c>
      <c r="AG437" s="11" t="str">
        <f>IF($I437&lt;&gt;"",VLOOKUP($AC437,GEADRESSEERDE!$A$2:$E$4,5,),"")</f>
        <v>BE</v>
      </c>
      <c r="AH437" s="11" t="str">
        <f>IF(I437&lt;&gt;"",VLOOKUP(AP437,KvB!$A$2:$B$3,2,FALSE),"")</f>
        <v>BE101000</v>
      </c>
      <c r="AI437" s="11" t="s">
        <v>55</v>
      </c>
      <c r="AJ437" s="11"/>
      <c r="AK437" s="11"/>
      <c r="AL437" s="11"/>
      <c r="AM437" s="11"/>
      <c r="AN437" s="11"/>
      <c r="AO437" s="11"/>
      <c r="AP437" s="2" t="s">
        <v>70</v>
      </c>
      <c r="AQ437" s="11" t="str">
        <f>IF(I437&lt;&gt;"",DATA!D436,"")</f>
        <v>8501310099</v>
      </c>
    </row>
    <row r="438" spans="1:43" ht="15.75" x14ac:dyDescent="0.25">
      <c r="A438" s="11" t="s">
        <v>57</v>
      </c>
      <c r="B438" s="11" t="s">
        <v>56</v>
      </c>
      <c r="C438" s="22">
        <f t="shared" si="30"/>
        <v>25001620</v>
      </c>
      <c r="D438" s="11" t="str">
        <f t="shared" si="31"/>
        <v>SKIIFM_AT</v>
      </c>
      <c r="E438" s="11" t="str">
        <f>IF(I438&lt;&gt;"",VLOOKUP(F438,OPDRACHTGEVER!$A$2:$B$4,2,FALSE),"")</f>
        <v>SKIIFM_AT</v>
      </c>
      <c r="F438" s="11" t="s">
        <v>58</v>
      </c>
      <c r="I438" s="11" t="str">
        <f>IF(DATA!B437&lt;&gt;"",DATA!B437,"")</f>
        <v>CAAU8650038</v>
      </c>
      <c r="J438" s="12">
        <v>0</v>
      </c>
      <c r="K438" s="11" t="s">
        <v>53</v>
      </c>
      <c r="L438" s="11" t="str">
        <f t="shared" si="32"/>
        <v>846721</v>
      </c>
      <c r="M438" s="11" t="str">
        <f>IF(I438&lt;&gt;"",DATA!E437,"")</f>
        <v>MAGNETIC BASE DRILL</v>
      </c>
      <c r="N438" s="12">
        <v>0</v>
      </c>
      <c r="O438" s="11">
        <f>IF(I438&lt;&gt;"",DATA!C437,"")</f>
        <v>4464.2</v>
      </c>
      <c r="P438" s="2">
        <v>294094</v>
      </c>
      <c r="Q438" s="2" t="s">
        <v>1304</v>
      </c>
      <c r="R438" s="2" t="s">
        <v>1314</v>
      </c>
      <c r="S438" s="2">
        <v>294</v>
      </c>
      <c r="T438" s="2">
        <v>1</v>
      </c>
      <c r="U438" s="2" t="s">
        <v>141</v>
      </c>
      <c r="Y438" s="2">
        <v>1700</v>
      </c>
      <c r="Z438" s="11" t="s">
        <v>54</v>
      </c>
      <c r="AA438" s="11" t="str">
        <f t="shared" si="33"/>
        <v>1700 - TBN</v>
      </c>
      <c r="AC438" s="2" t="s">
        <v>145</v>
      </c>
      <c r="AD438" s="11" t="str">
        <f>IF($I438&lt;&gt;"",VLOOKUP($AC438,GEADRESSEERDE!$A$2:$E$4,2,),"")</f>
        <v>LUITHAGEN HAVEN 2 D</v>
      </c>
      <c r="AE438" s="11">
        <f>IF($I438&lt;&gt;"",VLOOKUP($AC438,GEADRESSEERDE!$A$2:$E$4,3,),"")</f>
        <v>2030</v>
      </c>
      <c r="AF438" s="11" t="str">
        <f>IF($I438&lt;&gt;"",VLOOKUP($AC438,GEADRESSEERDE!$A$2:$E$4,4,),"")</f>
        <v>ANTWERPEN</v>
      </c>
      <c r="AG438" s="11" t="str">
        <f>IF($I438&lt;&gt;"",VLOOKUP($AC438,GEADRESSEERDE!$A$2:$E$4,5,),"")</f>
        <v>BE</v>
      </c>
      <c r="AH438" s="11" t="str">
        <f>IF(I438&lt;&gt;"",VLOOKUP(AP438,KvB!$A$2:$B$3,2,FALSE),"")</f>
        <v>BE101000</v>
      </c>
      <c r="AI438" s="11" t="s">
        <v>55</v>
      </c>
      <c r="AJ438" s="11"/>
      <c r="AK438" s="11"/>
      <c r="AL438" s="11"/>
      <c r="AM438" s="11"/>
      <c r="AN438" s="11"/>
      <c r="AO438" s="11"/>
      <c r="AP438" s="2" t="s">
        <v>70</v>
      </c>
      <c r="AQ438" s="11" t="str">
        <f>IF(I438&lt;&gt;"",DATA!D437,"")</f>
        <v>8467219900</v>
      </c>
    </row>
    <row r="439" spans="1:43" ht="15.75" x14ac:dyDescent="0.25">
      <c r="A439" s="11" t="s">
        <v>57</v>
      </c>
      <c r="B439" s="11" t="s">
        <v>56</v>
      </c>
      <c r="C439" s="22">
        <f t="shared" si="30"/>
        <v>25001620</v>
      </c>
      <c r="D439" s="11" t="str">
        <f t="shared" si="31"/>
        <v>SKIIFM_AT</v>
      </c>
      <c r="E439" s="11" t="str">
        <f>IF(I439&lt;&gt;"",VLOOKUP(F439,OPDRACHTGEVER!$A$2:$B$4,2,FALSE),"")</f>
        <v>SKIIFM_AT</v>
      </c>
      <c r="F439" s="11" t="s">
        <v>58</v>
      </c>
      <c r="I439" s="11" t="str">
        <f>IF(DATA!B438&lt;&gt;"",DATA!B438,"")</f>
        <v>CAAU8650038</v>
      </c>
      <c r="J439" s="12">
        <v>0</v>
      </c>
      <c r="K439" s="11" t="s">
        <v>53</v>
      </c>
      <c r="L439" s="11" t="str">
        <f t="shared" si="32"/>
        <v>741920</v>
      </c>
      <c r="M439" s="11" t="str">
        <f>IF(I439&lt;&gt;"",DATA!E438,"")</f>
        <v>METAL PET CAGE</v>
      </c>
      <c r="N439" s="12">
        <v>0</v>
      </c>
      <c r="O439" s="11">
        <f>IF(I439&lt;&gt;"",DATA!C438,"")</f>
        <v>199</v>
      </c>
      <c r="P439" s="2">
        <v>294094</v>
      </c>
      <c r="Q439" s="2" t="s">
        <v>1304</v>
      </c>
      <c r="R439" s="2" t="s">
        <v>1314</v>
      </c>
      <c r="S439" s="2">
        <v>294</v>
      </c>
      <c r="T439" s="2">
        <v>1</v>
      </c>
      <c r="U439" s="2" t="s">
        <v>141</v>
      </c>
      <c r="Y439" s="2">
        <v>1700</v>
      </c>
      <c r="Z439" s="11" t="s">
        <v>54</v>
      </c>
      <c r="AA439" s="11" t="str">
        <f t="shared" si="33"/>
        <v>1700 - TBN</v>
      </c>
      <c r="AC439" s="2" t="s">
        <v>145</v>
      </c>
      <c r="AD439" s="11" t="str">
        <f>IF($I439&lt;&gt;"",VLOOKUP($AC439,GEADRESSEERDE!$A$2:$E$4,2,),"")</f>
        <v>LUITHAGEN HAVEN 2 D</v>
      </c>
      <c r="AE439" s="11">
        <f>IF($I439&lt;&gt;"",VLOOKUP($AC439,GEADRESSEERDE!$A$2:$E$4,3,),"")</f>
        <v>2030</v>
      </c>
      <c r="AF439" s="11" t="str">
        <f>IF($I439&lt;&gt;"",VLOOKUP($AC439,GEADRESSEERDE!$A$2:$E$4,4,),"")</f>
        <v>ANTWERPEN</v>
      </c>
      <c r="AG439" s="11" t="str">
        <f>IF($I439&lt;&gt;"",VLOOKUP($AC439,GEADRESSEERDE!$A$2:$E$4,5,),"")</f>
        <v>BE</v>
      </c>
      <c r="AH439" s="11" t="str">
        <f>IF(I439&lt;&gt;"",VLOOKUP(AP439,KvB!$A$2:$B$3,2,FALSE),"")</f>
        <v>BE101000</v>
      </c>
      <c r="AI439" s="11" t="s">
        <v>55</v>
      </c>
      <c r="AJ439" s="11"/>
      <c r="AK439" s="11"/>
      <c r="AL439" s="11"/>
      <c r="AM439" s="11"/>
      <c r="AN439" s="11"/>
      <c r="AO439" s="11"/>
      <c r="AP439" s="2" t="s">
        <v>70</v>
      </c>
      <c r="AQ439" s="11" t="str">
        <f>IF(I439&lt;&gt;"",DATA!D438,"")</f>
        <v>7419200090</v>
      </c>
    </row>
    <row r="440" spans="1:43" ht="15.75" x14ac:dyDescent="0.25">
      <c r="A440" s="11" t="s">
        <v>57</v>
      </c>
      <c r="B440" s="11" t="s">
        <v>56</v>
      </c>
      <c r="C440" s="22">
        <f t="shared" si="30"/>
        <v>25001620</v>
      </c>
      <c r="D440" s="11" t="str">
        <f t="shared" si="31"/>
        <v>SKIIFM_AT</v>
      </c>
      <c r="E440" s="11" t="str">
        <f>IF(I440&lt;&gt;"",VLOOKUP(F440,OPDRACHTGEVER!$A$2:$B$4,2,FALSE),"")</f>
        <v>SKIIFM_AT</v>
      </c>
      <c r="F440" s="11" t="s">
        <v>58</v>
      </c>
      <c r="I440" s="11" t="str">
        <f>IF(DATA!B439&lt;&gt;"",DATA!B439,"")</f>
        <v>CAAU8650038</v>
      </c>
      <c r="J440" s="12">
        <v>0</v>
      </c>
      <c r="K440" s="11" t="s">
        <v>53</v>
      </c>
      <c r="L440" s="11" t="str">
        <f t="shared" si="32"/>
        <v>741920</v>
      </c>
      <c r="M440" s="11" t="str">
        <f>IF(I440&lt;&gt;"",DATA!E439,"")</f>
        <v>METAL TABLE LEGS</v>
      </c>
      <c r="N440" s="12">
        <v>0</v>
      </c>
      <c r="O440" s="11">
        <f>IF(I440&lt;&gt;"",DATA!C439,"")</f>
        <v>131</v>
      </c>
      <c r="P440" s="2">
        <v>294094</v>
      </c>
      <c r="Q440" s="2" t="s">
        <v>1304</v>
      </c>
      <c r="R440" s="2" t="s">
        <v>1314</v>
      </c>
      <c r="S440" s="2">
        <v>294</v>
      </c>
      <c r="T440" s="2">
        <v>1</v>
      </c>
      <c r="U440" s="2" t="s">
        <v>141</v>
      </c>
      <c r="Y440" s="2">
        <v>1700</v>
      </c>
      <c r="Z440" s="11" t="s">
        <v>54</v>
      </c>
      <c r="AA440" s="11" t="str">
        <f t="shared" si="33"/>
        <v>1700 - TBN</v>
      </c>
      <c r="AC440" s="2" t="s">
        <v>145</v>
      </c>
      <c r="AD440" s="11" t="str">
        <f>IF($I440&lt;&gt;"",VLOOKUP($AC440,GEADRESSEERDE!$A$2:$E$4,2,),"")</f>
        <v>LUITHAGEN HAVEN 2 D</v>
      </c>
      <c r="AE440" s="11">
        <f>IF($I440&lt;&gt;"",VLOOKUP($AC440,GEADRESSEERDE!$A$2:$E$4,3,),"")</f>
        <v>2030</v>
      </c>
      <c r="AF440" s="11" t="str">
        <f>IF($I440&lt;&gt;"",VLOOKUP($AC440,GEADRESSEERDE!$A$2:$E$4,4,),"")</f>
        <v>ANTWERPEN</v>
      </c>
      <c r="AG440" s="11" t="str">
        <f>IF($I440&lt;&gt;"",VLOOKUP($AC440,GEADRESSEERDE!$A$2:$E$4,5,),"")</f>
        <v>BE</v>
      </c>
      <c r="AH440" s="11" t="str">
        <f>IF(I440&lt;&gt;"",VLOOKUP(AP440,KvB!$A$2:$B$3,2,FALSE),"")</f>
        <v>BE101000</v>
      </c>
      <c r="AI440" s="11" t="s">
        <v>55</v>
      </c>
      <c r="AJ440" s="11"/>
      <c r="AK440" s="11"/>
      <c r="AL440" s="11"/>
      <c r="AM440" s="11"/>
      <c r="AN440" s="11"/>
      <c r="AO440" s="11"/>
      <c r="AP440" s="2" t="s">
        <v>70</v>
      </c>
      <c r="AQ440" s="11" t="str">
        <f>IF(I440&lt;&gt;"",DATA!D439,"")</f>
        <v>7419200090</v>
      </c>
    </row>
    <row r="441" spans="1:43" ht="15.75" x14ac:dyDescent="0.25">
      <c r="A441" s="11" t="s">
        <v>57</v>
      </c>
      <c r="B441" s="11" t="s">
        <v>56</v>
      </c>
      <c r="C441" s="22">
        <f t="shared" si="30"/>
        <v>25001620</v>
      </c>
      <c r="D441" s="11" t="str">
        <f t="shared" si="31"/>
        <v>SKIIFM_AT</v>
      </c>
      <c r="E441" s="11" t="str">
        <f>IF(I441&lt;&gt;"",VLOOKUP(F441,OPDRACHTGEVER!$A$2:$B$4,2,FALSE),"")</f>
        <v>SKIIFM_AT</v>
      </c>
      <c r="F441" s="11" t="s">
        <v>58</v>
      </c>
      <c r="I441" s="11" t="str">
        <f>IF(DATA!B440&lt;&gt;"",DATA!B440,"")</f>
        <v>CAAU8650038</v>
      </c>
      <c r="J441" s="12">
        <v>0</v>
      </c>
      <c r="K441" s="11" t="s">
        <v>53</v>
      </c>
      <c r="L441" s="11" t="str">
        <f t="shared" si="32"/>
        <v>940179</v>
      </c>
      <c r="M441" s="11" t="str">
        <f>IF(I441&lt;&gt;"",DATA!E440,"")</f>
        <v>OUTDOOR FOLDING CHAIR</v>
      </c>
      <c r="N441" s="12">
        <v>0</v>
      </c>
      <c r="O441" s="11">
        <f>IF(I441&lt;&gt;"",DATA!C440,"")</f>
        <v>48.6</v>
      </c>
      <c r="P441" s="2">
        <v>294094</v>
      </c>
      <c r="Q441" s="2" t="s">
        <v>1304</v>
      </c>
      <c r="R441" s="2" t="s">
        <v>1314</v>
      </c>
      <c r="S441" s="2">
        <v>294</v>
      </c>
      <c r="T441" s="2">
        <v>1</v>
      </c>
      <c r="U441" s="2" t="s">
        <v>141</v>
      </c>
      <c r="Y441" s="2">
        <v>1700</v>
      </c>
      <c r="Z441" s="11" t="s">
        <v>54</v>
      </c>
      <c r="AA441" s="11" t="str">
        <f t="shared" si="33"/>
        <v>1700 - TBN</v>
      </c>
      <c r="AC441" s="2" t="s">
        <v>145</v>
      </c>
      <c r="AD441" s="11" t="str">
        <f>IF($I441&lt;&gt;"",VLOOKUP($AC441,GEADRESSEERDE!$A$2:$E$4,2,),"")</f>
        <v>LUITHAGEN HAVEN 2 D</v>
      </c>
      <c r="AE441" s="11">
        <f>IF($I441&lt;&gt;"",VLOOKUP($AC441,GEADRESSEERDE!$A$2:$E$4,3,),"")</f>
        <v>2030</v>
      </c>
      <c r="AF441" s="11" t="str">
        <f>IF($I441&lt;&gt;"",VLOOKUP($AC441,GEADRESSEERDE!$A$2:$E$4,4,),"")</f>
        <v>ANTWERPEN</v>
      </c>
      <c r="AG441" s="11" t="str">
        <f>IF($I441&lt;&gt;"",VLOOKUP($AC441,GEADRESSEERDE!$A$2:$E$4,5,),"")</f>
        <v>BE</v>
      </c>
      <c r="AH441" s="11" t="str">
        <f>IF(I441&lt;&gt;"",VLOOKUP(AP441,KvB!$A$2:$B$3,2,FALSE),"")</f>
        <v>BE101000</v>
      </c>
      <c r="AI441" s="11" t="s">
        <v>55</v>
      </c>
      <c r="AJ441" s="11"/>
      <c r="AK441" s="11"/>
      <c r="AL441" s="11"/>
      <c r="AM441" s="11"/>
      <c r="AN441" s="11"/>
      <c r="AO441" s="11"/>
      <c r="AP441" s="2" t="s">
        <v>70</v>
      </c>
      <c r="AQ441" s="11" t="str">
        <f>IF(I441&lt;&gt;"",DATA!D440,"")</f>
        <v>9401790000</v>
      </c>
    </row>
    <row r="442" spans="1:43" ht="15.75" x14ac:dyDescent="0.25">
      <c r="A442" s="11" t="s">
        <v>57</v>
      </c>
      <c r="B442" s="11" t="s">
        <v>56</v>
      </c>
      <c r="C442" s="22">
        <f t="shared" si="30"/>
        <v>25001620</v>
      </c>
      <c r="D442" s="11" t="str">
        <f t="shared" si="31"/>
        <v>SKIIFM_AT</v>
      </c>
      <c r="E442" s="11" t="str">
        <f>IF(I442&lt;&gt;"",VLOOKUP(F442,OPDRACHTGEVER!$A$2:$B$4,2,FALSE),"")</f>
        <v>SKIIFM_AT</v>
      </c>
      <c r="F442" s="11" t="s">
        <v>58</v>
      </c>
      <c r="I442" s="11" t="str">
        <f>IF(DATA!B441&lt;&gt;"",DATA!B441,"")</f>
        <v>CAAU8650038</v>
      </c>
      <c r="J442" s="12">
        <v>0</v>
      </c>
      <c r="K442" s="11" t="s">
        <v>53</v>
      </c>
      <c r="L442" s="11" t="str">
        <f t="shared" si="32"/>
        <v>843149</v>
      </c>
      <c r="M442" s="11" t="str">
        <f>IF(I442&lt;&gt;"",DATA!E441,"")</f>
        <v>PALLET FORK</v>
      </c>
      <c r="N442" s="12">
        <v>0</v>
      </c>
      <c r="O442" s="11">
        <f>IF(I442&lt;&gt;"",DATA!C441,"")</f>
        <v>162.44999999999999</v>
      </c>
      <c r="P442" s="2">
        <v>294094</v>
      </c>
      <c r="Q442" s="2" t="s">
        <v>1304</v>
      </c>
      <c r="R442" s="2" t="s">
        <v>1314</v>
      </c>
      <c r="S442" s="2">
        <v>294</v>
      </c>
      <c r="T442" s="2">
        <v>1</v>
      </c>
      <c r="U442" s="2" t="s">
        <v>141</v>
      </c>
      <c r="Y442" s="2">
        <v>1700</v>
      </c>
      <c r="Z442" s="11" t="s">
        <v>54</v>
      </c>
      <c r="AA442" s="11" t="str">
        <f t="shared" si="33"/>
        <v>1700 - TBN</v>
      </c>
      <c r="AC442" s="2" t="s">
        <v>145</v>
      </c>
      <c r="AD442" s="11" t="str">
        <f>IF($I442&lt;&gt;"",VLOOKUP($AC442,GEADRESSEERDE!$A$2:$E$4,2,),"")</f>
        <v>LUITHAGEN HAVEN 2 D</v>
      </c>
      <c r="AE442" s="11">
        <f>IF($I442&lt;&gt;"",VLOOKUP($AC442,GEADRESSEERDE!$A$2:$E$4,3,),"")</f>
        <v>2030</v>
      </c>
      <c r="AF442" s="11" t="str">
        <f>IF($I442&lt;&gt;"",VLOOKUP($AC442,GEADRESSEERDE!$A$2:$E$4,4,),"")</f>
        <v>ANTWERPEN</v>
      </c>
      <c r="AG442" s="11" t="str">
        <f>IF($I442&lt;&gt;"",VLOOKUP($AC442,GEADRESSEERDE!$A$2:$E$4,5,),"")</f>
        <v>BE</v>
      </c>
      <c r="AH442" s="11" t="str">
        <f>IF(I442&lt;&gt;"",VLOOKUP(AP442,KvB!$A$2:$B$3,2,FALSE),"")</f>
        <v>BE101000</v>
      </c>
      <c r="AI442" s="11" t="s">
        <v>55</v>
      </c>
      <c r="AJ442" s="11"/>
      <c r="AK442" s="11"/>
      <c r="AL442" s="11"/>
      <c r="AM442" s="11"/>
      <c r="AN442" s="11"/>
      <c r="AO442" s="11"/>
      <c r="AP442" s="2" t="s">
        <v>70</v>
      </c>
      <c r="AQ442" s="11" t="str">
        <f>IF(I442&lt;&gt;"",DATA!D441,"")</f>
        <v>8431498090</v>
      </c>
    </row>
    <row r="443" spans="1:43" ht="15.75" x14ac:dyDescent="0.25">
      <c r="A443" s="11" t="s">
        <v>57</v>
      </c>
      <c r="B443" s="11" t="s">
        <v>56</v>
      </c>
      <c r="C443" s="22">
        <f t="shared" si="30"/>
        <v>25001620</v>
      </c>
      <c r="D443" s="11" t="str">
        <f t="shared" si="31"/>
        <v>SKIIFM_AT</v>
      </c>
      <c r="E443" s="11" t="str">
        <f>IF(I443&lt;&gt;"",VLOOKUP(F443,OPDRACHTGEVER!$A$2:$B$4,2,FALSE),"")</f>
        <v>SKIIFM_AT</v>
      </c>
      <c r="F443" s="11" t="s">
        <v>58</v>
      </c>
      <c r="I443" s="11" t="str">
        <f>IF(DATA!B442&lt;&gt;"",DATA!B442,"")</f>
        <v>CAAU8650038</v>
      </c>
      <c r="J443" s="12">
        <v>0</v>
      </c>
      <c r="K443" s="11" t="s">
        <v>53</v>
      </c>
      <c r="L443" s="11" t="str">
        <f t="shared" si="32"/>
        <v>842430</v>
      </c>
      <c r="M443" s="11" t="str">
        <f>IF(I443&lt;&gt;"",DATA!E442,"")</f>
        <v>POWDER COATING MACHINE</v>
      </c>
      <c r="N443" s="12">
        <v>0</v>
      </c>
      <c r="O443" s="11">
        <f>IF(I443&lt;&gt;"",DATA!C442,"")</f>
        <v>3602.2</v>
      </c>
      <c r="P443" s="2">
        <v>294094</v>
      </c>
      <c r="Q443" s="2" t="s">
        <v>1304</v>
      </c>
      <c r="R443" s="2" t="s">
        <v>1314</v>
      </c>
      <c r="S443" s="2">
        <v>294</v>
      </c>
      <c r="T443" s="2">
        <v>1</v>
      </c>
      <c r="U443" s="2" t="s">
        <v>141</v>
      </c>
      <c r="Y443" s="2">
        <v>1700</v>
      </c>
      <c r="Z443" s="11" t="s">
        <v>54</v>
      </c>
      <c r="AA443" s="11" t="str">
        <f t="shared" si="33"/>
        <v>1700 - TBN</v>
      </c>
      <c r="AC443" s="2" t="s">
        <v>145</v>
      </c>
      <c r="AD443" s="11" t="str">
        <f>IF($I443&lt;&gt;"",VLOOKUP($AC443,GEADRESSEERDE!$A$2:$E$4,2,),"")</f>
        <v>LUITHAGEN HAVEN 2 D</v>
      </c>
      <c r="AE443" s="11">
        <f>IF($I443&lt;&gt;"",VLOOKUP($AC443,GEADRESSEERDE!$A$2:$E$4,3,),"")</f>
        <v>2030</v>
      </c>
      <c r="AF443" s="11" t="str">
        <f>IF($I443&lt;&gt;"",VLOOKUP($AC443,GEADRESSEERDE!$A$2:$E$4,4,),"")</f>
        <v>ANTWERPEN</v>
      </c>
      <c r="AG443" s="11" t="str">
        <f>IF($I443&lt;&gt;"",VLOOKUP($AC443,GEADRESSEERDE!$A$2:$E$4,5,),"")</f>
        <v>BE</v>
      </c>
      <c r="AH443" s="11" t="str">
        <f>IF(I443&lt;&gt;"",VLOOKUP(AP443,KvB!$A$2:$B$3,2,FALSE),"")</f>
        <v>BE101000</v>
      </c>
      <c r="AI443" s="11" t="s">
        <v>55</v>
      </c>
      <c r="AJ443" s="11"/>
      <c r="AK443" s="11"/>
      <c r="AL443" s="11"/>
      <c r="AM443" s="11"/>
      <c r="AN443" s="11"/>
      <c r="AO443" s="11"/>
      <c r="AP443" s="2" t="s">
        <v>70</v>
      </c>
      <c r="AQ443" s="11" t="str">
        <f>IF(I443&lt;&gt;"",DATA!D442,"")</f>
        <v>8424301000</v>
      </c>
    </row>
    <row r="444" spans="1:43" ht="15.75" x14ac:dyDescent="0.25">
      <c r="A444" s="11" t="s">
        <v>57</v>
      </c>
      <c r="B444" s="11" t="s">
        <v>56</v>
      </c>
      <c r="C444" s="22">
        <f t="shared" si="30"/>
        <v>25001620</v>
      </c>
      <c r="D444" s="11" t="str">
        <f t="shared" si="31"/>
        <v>SKIIFM_AT</v>
      </c>
      <c r="E444" s="11" t="str">
        <f>IF(I444&lt;&gt;"",VLOOKUP(F444,OPDRACHTGEVER!$A$2:$B$4,2,FALSE),"")</f>
        <v>SKIIFM_AT</v>
      </c>
      <c r="F444" s="11" t="s">
        <v>58</v>
      </c>
      <c r="I444" s="11" t="str">
        <f>IF(DATA!B443&lt;&gt;"",DATA!B443,"")</f>
        <v>CAAU8650038</v>
      </c>
      <c r="J444" s="12">
        <v>0</v>
      </c>
      <c r="K444" s="11" t="s">
        <v>53</v>
      </c>
      <c r="L444" s="11" t="str">
        <f t="shared" si="32"/>
        <v>950691</v>
      </c>
      <c r="M444" s="11" t="str">
        <f>IF(I444&lt;&gt;"",DATA!E443,"")</f>
        <v>PROFESSIONAL CLIMBING ROPE</v>
      </c>
      <c r="N444" s="12">
        <v>0</v>
      </c>
      <c r="O444" s="11">
        <f>IF(I444&lt;&gt;"",DATA!C443,"")</f>
        <v>77</v>
      </c>
      <c r="P444" s="2">
        <v>294094</v>
      </c>
      <c r="Q444" s="2" t="s">
        <v>1304</v>
      </c>
      <c r="R444" s="2" t="s">
        <v>1314</v>
      </c>
      <c r="S444" s="2">
        <v>294</v>
      </c>
      <c r="T444" s="2">
        <v>1</v>
      </c>
      <c r="U444" s="2" t="s">
        <v>141</v>
      </c>
      <c r="Y444" s="2">
        <v>1700</v>
      </c>
      <c r="Z444" s="11" t="s">
        <v>54</v>
      </c>
      <c r="AA444" s="11" t="str">
        <f t="shared" si="33"/>
        <v>1700 - TBN</v>
      </c>
      <c r="AC444" s="2" t="s">
        <v>145</v>
      </c>
      <c r="AD444" s="11" t="str">
        <f>IF($I444&lt;&gt;"",VLOOKUP($AC444,GEADRESSEERDE!$A$2:$E$4,2,),"")</f>
        <v>LUITHAGEN HAVEN 2 D</v>
      </c>
      <c r="AE444" s="11">
        <f>IF($I444&lt;&gt;"",VLOOKUP($AC444,GEADRESSEERDE!$A$2:$E$4,3,),"")</f>
        <v>2030</v>
      </c>
      <c r="AF444" s="11" t="str">
        <f>IF($I444&lt;&gt;"",VLOOKUP($AC444,GEADRESSEERDE!$A$2:$E$4,4,),"")</f>
        <v>ANTWERPEN</v>
      </c>
      <c r="AG444" s="11" t="str">
        <f>IF($I444&lt;&gt;"",VLOOKUP($AC444,GEADRESSEERDE!$A$2:$E$4,5,),"")</f>
        <v>BE</v>
      </c>
      <c r="AH444" s="11" t="str">
        <f>IF(I444&lt;&gt;"",VLOOKUP(AP444,KvB!$A$2:$B$3,2,FALSE),"")</f>
        <v>BE101000</v>
      </c>
      <c r="AI444" s="11" t="s">
        <v>55</v>
      </c>
      <c r="AJ444" s="11"/>
      <c r="AK444" s="11"/>
      <c r="AL444" s="11"/>
      <c r="AM444" s="11"/>
      <c r="AN444" s="11"/>
      <c r="AO444" s="11"/>
      <c r="AP444" s="2" t="s">
        <v>70</v>
      </c>
      <c r="AQ444" s="11" t="str">
        <f>IF(I444&lt;&gt;"",DATA!D443,"")</f>
        <v>9506919000</v>
      </c>
    </row>
    <row r="445" spans="1:43" ht="15.75" x14ac:dyDescent="0.25">
      <c r="A445" s="11" t="s">
        <v>57</v>
      </c>
      <c r="B445" s="11" t="s">
        <v>56</v>
      </c>
      <c r="C445" s="22">
        <f t="shared" si="30"/>
        <v>25001620</v>
      </c>
      <c r="D445" s="11" t="str">
        <f t="shared" si="31"/>
        <v>SKIIFM_AT</v>
      </c>
      <c r="E445" s="11" t="str">
        <f>IF(I445&lt;&gt;"",VLOOKUP(F445,OPDRACHTGEVER!$A$2:$B$4,2,FALSE),"")</f>
        <v>SKIIFM_AT</v>
      </c>
      <c r="F445" s="11" t="s">
        <v>58</v>
      </c>
      <c r="I445" s="11" t="str">
        <f>IF(DATA!B444&lt;&gt;"",DATA!B444,"")</f>
        <v>CAAU8650038</v>
      </c>
      <c r="J445" s="12">
        <v>0</v>
      </c>
      <c r="K445" s="11" t="s">
        <v>53</v>
      </c>
      <c r="L445" s="11" t="str">
        <f t="shared" si="32"/>
        <v>871680</v>
      </c>
      <c r="M445" s="11" t="str">
        <f>IF(I445&lt;&gt;"",DATA!E444,"")</f>
        <v>REGULAR TYPE</v>
      </c>
      <c r="N445" s="12">
        <v>0</v>
      </c>
      <c r="O445" s="11">
        <f>IF(I445&lt;&gt;"",DATA!C444,"")</f>
        <v>1232.5</v>
      </c>
      <c r="P445" s="2">
        <v>294094</v>
      </c>
      <c r="Q445" s="2" t="s">
        <v>1304</v>
      </c>
      <c r="R445" s="2" t="s">
        <v>1314</v>
      </c>
      <c r="S445" s="2">
        <v>294</v>
      </c>
      <c r="T445" s="2">
        <v>1</v>
      </c>
      <c r="U445" s="2" t="s">
        <v>141</v>
      </c>
      <c r="Y445" s="2">
        <v>1700</v>
      </c>
      <c r="Z445" s="11" t="s">
        <v>54</v>
      </c>
      <c r="AA445" s="11" t="str">
        <f t="shared" si="33"/>
        <v>1700 - TBN</v>
      </c>
      <c r="AC445" s="2" t="s">
        <v>145</v>
      </c>
      <c r="AD445" s="11" t="str">
        <f>IF($I445&lt;&gt;"",VLOOKUP($AC445,GEADRESSEERDE!$A$2:$E$4,2,),"")</f>
        <v>LUITHAGEN HAVEN 2 D</v>
      </c>
      <c r="AE445" s="11">
        <f>IF($I445&lt;&gt;"",VLOOKUP($AC445,GEADRESSEERDE!$A$2:$E$4,3,),"")</f>
        <v>2030</v>
      </c>
      <c r="AF445" s="11" t="str">
        <f>IF($I445&lt;&gt;"",VLOOKUP($AC445,GEADRESSEERDE!$A$2:$E$4,4,),"")</f>
        <v>ANTWERPEN</v>
      </c>
      <c r="AG445" s="11" t="str">
        <f>IF($I445&lt;&gt;"",VLOOKUP($AC445,GEADRESSEERDE!$A$2:$E$4,5,),"")</f>
        <v>BE</v>
      </c>
      <c r="AH445" s="11" t="str">
        <f>IF(I445&lt;&gt;"",VLOOKUP(AP445,KvB!$A$2:$B$3,2,FALSE),"")</f>
        <v>BE101000</v>
      </c>
      <c r="AI445" s="11" t="s">
        <v>55</v>
      </c>
      <c r="AJ445" s="11"/>
      <c r="AK445" s="11"/>
      <c r="AL445" s="11"/>
      <c r="AM445" s="11"/>
      <c r="AN445" s="11"/>
      <c r="AO445" s="11"/>
      <c r="AP445" s="2" t="s">
        <v>70</v>
      </c>
      <c r="AQ445" s="11" t="str">
        <f>IF(I445&lt;&gt;"",DATA!D444,"")</f>
        <v>8716800000</v>
      </c>
    </row>
    <row r="446" spans="1:43" ht="15.75" x14ac:dyDescent="0.25">
      <c r="A446" s="11" t="s">
        <v>57</v>
      </c>
      <c r="B446" s="11" t="s">
        <v>56</v>
      </c>
      <c r="C446" s="22">
        <f t="shared" si="30"/>
        <v>25001620</v>
      </c>
      <c r="D446" s="11" t="str">
        <f t="shared" si="31"/>
        <v>SKIIFM_AT</v>
      </c>
      <c r="E446" s="11" t="str">
        <f>IF(I446&lt;&gt;"",VLOOKUP(F446,OPDRACHTGEVER!$A$2:$B$4,2,FALSE),"")</f>
        <v>SKIIFM_AT</v>
      </c>
      <c r="F446" s="11" t="s">
        <v>58</v>
      </c>
      <c r="I446" s="11" t="str">
        <f>IF(DATA!B445&lt;&gt;"",DATA!B445,"")</f>
        <v>CAAU8650038</v>
      </c>
      <c r="J446" s="12">
        <v>0</v>
      </c>
      <c r="K446" s="11" t="s">
        <v>53</v>
      </c>
      <c r="L446" s="11" t="str">
        <f t="shared" si="32"/>
        <v>847989</v>
      </c>
      <c r="M446" s="11" t="str">
        <f>IF(I446&lt;&gt;"",DATA!E445,"")</f>
        <v>RETRACTABLE PIPE REELER</v>
      </c>
      <c r="N446" s="12">
        <v>0</v>
      </c>
      <c r="O446" s="11">
        <f>IF(I446&lt;&gt;"",DATA!C445,"")</f>
        <v>1359.4</v>
      </c>
      <c r="P446" s="2">
        <v>294094</v>
      </c>
      <c r="Q446" s="2" t="s">
        <v>1304</v>
      </c>
      <c r="R446" s="2" t="s">
        <v>1314</v>
      </c>
      <c r="S446" s="2">
        <v>294</v>
      </c>
      <c r="T446" s="2">
        <v>1</v>
      </c>
      <c r="U446" s="2" t="s">
        <v>141</v>
      </c>
      <c r="Y446" s="2">
        <v>1700</v>
      </c>
      <c r="Z446" s="11" t="s">
        <v>54</v>
      </c>
      <c r="AA446" s="11" t="str">
        <f t="shared" si="33"/>
        <v>1700 - TBN</v>
      </c>
      <c r="AC446" s="2" t="s">
        <v>145</v>
      </c>
      <c r="AD446" s="11" t="str">
        <f>IF($I446&lt;&gt;"",VLOOKUP($AC446,GEADRESSEERDE!$A$2:$E$4,2,),"")</f>
        <v>LUITHAGEN HAVEN 2 D</v>
      </c>
      <c r="AE446" s="11">
        <f>IF($I446&lt;&gt;"",VLOOKUP($AC446,GEADRESSEERDE!$A$2:$E$4,3,),"")</f>
        <v>2030</v>
      </c>
      <c r="AF446" s="11" t="str">
        <f>IF($I446&lt;&gt;"",VLOOKUP($AC446,GEADRESSEERDE!$A$2:$E$4,4,),"")</f>
        <v>ANTWERPEN</v>
      </c>
      <c r="AG446" s="11" t="str">
        <f>IF($I446&lt;&gt;"",VLOOKUP($AC446,GEADRESSEERDE!$A$2:$E$4,5,),"")</f>
        <v>BE</v>
      </c>
      <c r="AH446" s="11" t="str">
        <f>IF(I446&lt;&gt;"",VLOOKUP(AP446,KvB!$A$2:$B$3,2,FALSE),"")</f>
        <v>BE101000</v>
      </c>
      <c r="AI446" s="11" t="s">
        <v>55</v>
      </c>
      <c r="AJ446" s="11"/>
      <c r="AK446" s="11"/>
      <c r="AL446" s="11"/>
      <c r="AM446" s="11"/>
      <c r="AN446" s="11"/>
      <c r="AO446" s="11"/>
      <c r="AP446" s="2" t="s">
        <v>70</v>
      </c>
      <c r="AQ446" s="11" t="str">
        <f>IF(I446&lt;&gt;"",DATA!D445,"")</f>
        <v>8479899790</v>
      </c>
    </row>
    <row r="447" spans="1:43" ht="15.75" x14ac:dyDescent="0.25">
      <c r="A447" s="11" t="s">
        <v>57</v>
      </c>
      <c r="B447" s="11" t="s">
        <v>56</v>
      </c>
      <c r="C447" s="22">
        <f t="shared" si="30"/>
        <v>25001620</v>
      </c>
      <c r="D447" s="11" t="str">
        <f t="shared" si="31"/>
        <v>SKIIFM_AT</v>
      </c>
      <c r="E447" s="11" t="str">
        <f>IF(I447&lt;&gt;"",VLOOKUP(F447,OPDRACHTGEVER!$A$2:$B$4,2,FALSE),"")</f>
        <v>SKIIFM_AT</v>
      </c>
      <c r="F447" s="11" t="s">
        <v>58</v>
      </c>
      <c r="I447" s="11" t="str">
        <f>IF(DATA!B446&lt;&gt;"",DATA!B446,"")</f>
        <v>CAAU8650038</v>
      </c>
      <c r="J447" s="12">
        <v>0</v>
      </c>
      <c r="K447" s="11" t="s">
        <v>53</v>
      </c>
      <c r="L447" s="11" t="str">
        <f t="shared" si="32"/>
        <v>950691</v>
      </c>
      <c r="M447" s="11" t="str">
        <f>IF(I447&lt;&gt;"",DATA!E446,"")</f>
        <v>SANDBAG STAND</v>
      </c>
      <c r="N447" s="12">
        <v>0</v>
      </c>
      <c r="O447" s="11">
        <f>IF(I447&lt;&gt;"",DATA!C446,"")</f>
        <v>143.1</v>
      </c>
      <c r="P447" s="2">
        <v>294094</v>
      </c>
      <c r="Q447" s="2" t="s">
        <v>1304</v>
      </c>
      <c r="R447" s="2" t="s">
        <v>1314</v>
      </c>
      <c r="S447" s="2">
        <v>294</v>
      </c>
      <c r="T447" s="2">
        <v>1</v>
      </c>
      <c r="U447" s="2" t="s">
        <v>141</v>
      </c>
      <c r="Y447" s="2">
        <v>1700</v>
      </c>
      <c r="Z447" s="11" t="s">
        <v>54</v>
      </c>
      <c r="AA447" s="11" t="str">
        <f t="shared" si="33"/>
        <v>1700 - TBN</v>
      </c>
      <c r="AC447" s="2" t="s">
        <v>145</v>
      </c>
      <c r="AD447" s="11" t="str">
        <f>IF($I447&lt;&gt;"",VLOOKUP($AC447,GEADRESSEERDE!$A$2:$E$4,2,),"")</f>
        <v>LUITHAGEN HAVEN 2 D</v>
      </c>
      <c r="AE447" s="11">
        <f>IF($I447&lt;&gt;"",VLOOKUP($AC447,GEADRESSEERDE!$A$2:$E$4,3,),"")</f>
        <v>2030</v>
      </c>
      <c r="AF447" s="11" t="str">
        <f>IF($I447&lt;&gt;"",VLOOKUP($AC447,GEADRESSEERDE!$A$2:$E$4,4,),"")</f>
        <v>ANTWERPEN</v>
      </c>
      <c r="AG447" s="11" t="str">
        <f>IF($I447&lt;&gt;"",VLOOKUP($AC447,GEADRESSEERDE!$A$2:$E$4,5,),"")</f>
        <v>BE</v>
      </c>
      <c r="AH447" s="11" t="str">
        <f>IF(I447&lt;&gt;"",VLOOKUP(AP447,KvB!$A$2:$B$3,2,FALSE),"")</f>
        <v>BE101000</v>
      </c>
      <c r="AI447" s="11" t="s">
        <v>55</v>
      </c>
      <c r="AJ447" s="11"/>
      <c r="AK447" s="11"/>
      <c r="AL447" s="11"/>
      <c r="AM447" s="11"/>
      <c r="AN447" s="11"/>
      <c r="AO447" s="11"/>
      <c r="AP447" s="2" t="s">
        <v>70</v>
      </c>
      <c r="AQ447" s="11" t="str">
        <f>IF(I447&lt;&gt;"",DATA!D446,"")</f>
        <v>9506911000</v>
      </c>
    </row>
    <row r="448" spans="1:43" ht="15.75" x14ac:dyDescent="0.25">
      <c r="A448" s="11" t="s">
        <v>57</v>
      </c>
      <c r="B448" s="11" t="s">
        <v>56</v>
      </c>
      <c r="C448" s="22">
        <f t="shared" si="30"/>
        <v>25001620</v>
      </c>
      <c r="D448" s="11" t="str">
        <f t="shared" si="31"/>
        <v>SKIIFM_AT</v>
      </c>
      <c r="E448" s="11" t="str">
        <f>IF(I448&lt;&gt;"",VLOOKUP(F448,OPDRACHTGEVER!$A$2:$B$4,2,FALSE),"")</f>
        <v>SKIIFM_AT</v>
      </c>
      <c r="F448" s="11" t="s">
        <v>58</v>
      </c>
      <c r="I448" s="11" t="str">
        <f>IF(DATA!B447&lt;&gt;"",DATA!B447,"")</f>
        <v>CAAU8650038</v>
      </c>
      <c r="J448" s="12">
        <v>0</v>
      </c>
      <c r="K448" s="11" t="s">
        <v>53</v>
      </c>
      <c r="L448" s="11" t="str">
        <f t="shared" si="32"/>
        <v>940490</v>
      </c>
      <c r="M448" s="11" t="str">
        <f>IF(I448&lt;&gt;"",DATA!E447,"")</f>
        <v>SPONGE PAD</v>
      </c>
      <c r="N448" s="12">
        <v>0</v>
      </c>
      <c r="O448" s="11">
        <f>IF(I448&lt;&gt;"",DATA!C447,"")</f>
        <v>51.4</v>
      </c>
      <c r="P448" s="2">
        <v>294094</v>
      </c>
      <c r="Q448" s="2" t="s">
        <v>1304</v>
      </c>
      <c r="R448" s="2" t="s">
        <v>1314</v>
      </c>
      <c r="S448" s="2">
        <v>294</v>
      </c>
      <c r="T448" s="2">
        <v>1</v>
      </c>
      <c r="U448" s="2" t="s">
        <v>141</v>
      </c>
      <c r="Y448" s="2">
        <v>1700</v>
      </c>
      <c r="Z448" s="11" t="s">
        <v>54</v>
      </c>
      <c r="AA448" s="11" t="str">
        <f t="shared" si="33"/>
        <v>1700 - TBN</v>
      </c>
      <c r="AC448" s="2" t="s">
        <v>145</v>
      </c>
      <c r="AD448" s="11" t="str">
        <f>IF($I448&lt;&gt;"",VLOOKUP($AC448,GEADRESSEERDE!$A$2:$E$4,2,),"")</f>
        <v>LUITHAGEN HAVEN 2 D</v>
      </c>
      <c r="AE448" s="11">
        <f>IF($I448&lt;&gt;"",VLOOKUP($AC448,GEADRESSEERDE!$A$2:$E$4,3,),"")</f>
        <v>2030</v>
      </c>
      <c r="AF448" s="11" t="str">
        <f>IF($I448&lt;&gt;"",VLOOKUP($AC448,GEADRESSEERDE!$A$2:$E$4,4,),"")</f>
        <v>ANTWERPEN</v>
      </c>
      <c r="AG448" s="11" t="str">
        <f>IF($I448&lt;&gt;"",VLOOKUP($AC448,GEADRESSEERDE!$A$2:$E$4,5,),"")</f>
        <v>BE</v>
      </c>
      <c r="AH448" s="11" t="str">
        <f>IF(I448&lt;&gt;"",VLOOKUP(AP448,KvB!$A$2:$B$3,2,FALSE),"")</f>
        <v>BE101000</v>
      </c>
      <c r="AI448" s="11" t="s">
        <v>55</v>
      </c>
      <c r="AJ448" s="11"/>
      <c r="AK448" s="11"/>
      <c r="AL448" s="11"/>
      <c r="AM448" s="11"/>
      <c r="AN448" s="11"/>
      <c r="AO448" s="11"/>
      <c r="AP448" s="2" t="s">
        <v>70</v>
      </c>
      <c r="AQ448" s="11" t="str">
        <f>IF(I448&lt;&gt;"",DATA!D447,"")</f>
        <v>9404909000</v>
      </c>
    </row>
    <row r="449" spans="1:43" ht="15.75" x14ac:dyDescent="0.25">
      <c r="A449" s="11" t="s">
        <v>57</v>
      </c>
      <c r="B449" s="11" t="s">
        <v>56</v>
      </c>
      <c r="C449" s="22">
        <f t="shared" si="30"/>
        <v>25001620</v>
      </c>
      <c r="D449" s="11" t="str">
        <f t="shared" si="31"/>
        <v>SKIIFM_AT</v>
      </c>
      <c r="E449" s="11" t="str">
        <f>IF(I449&lt;&gt;"",VLOOKUP(F449,OPDRACHTGEVER!$A$2:$B$4,2,FALSE),"")</f>
        <v>SKIIFM_AT</v>
      </c>
      <c r="F449" s="11" t="s">
        <v>58</v>
      </c>
      <c r="I449" s="11" t="str">
        <f>IF(DATA!B448&lt;&gt;"",DATA!B448,"")</f>
        <v>CAAU8650038</v>
      </c>
      <c r="J449" s="12">
        <v>0</v>
      </c>
      <c r="K449" s="11" t="s">
        <v>53</v>
      </c>
      <c r="L449" s="11" t="str">
        <f t="shared" si="32"/>
        <v>741920</v>
      </c>
      <c r="M449" s="11" t="str">
        <f>IF(I449&lt;&gt;"",DATA!E448,"")</f>
        <v>DOUBLE COLUMN HANDRAIL</v>
      </c>
      <c r="N449" s="12">
        <v>0</v>
      </c>
      <c r="O449" s="11">
        <f>IF(I449&lt;&gt;"",DATA!C448,"")</f>
        <v>120.9</v>
      </c>
      <c r="P449" s="2">
        <v>294094</v>
      </c>
      <c r="Q449" s="2" t="s">
        <v>1304</v>
      </c>
      <c r="R449" s="2" t="s">
        <v>1314</v>
      </c>
      <c r="S449" s="2">
        <v>294</v>
      </c>
      <c r="T449" s="2">
        <v>1</v>
      </c>
      <c r="U449" s="2" t="s">
        <v>141</v>
      </c>
      <c r="Y449" s="2">
        <v>1700</v>
      </c>
      <c r="Z449" s="11" t="s">
        <v>54</v>
      </c>
      <c r="AA449" s="11" t="str">
        <f t="shared" si="33"/>
        <v>1700 - TBN</v>
      </c>
      <c r="AC449" s="2" t="s">
        <v>145</v>
      </c>
      <c r="AD449" s="11" t="str">
        <f>IF($I449&lt;&gt;"",VLOOKUP($AC449,GEADRESSEERDE!$A$2:$E$4,2,),"")</f>
        <v>LUITHAGEN HAVEN 2 D</v>
      </c>
      <c r="AE449" s="11">
        <f>IF($I449&lt;&gt;"",VLOOKUP($AC449,GEADRESSEERDE!$A$2:$E$4,3,),"")</f>
        <v>2030</v>
      </c>
      <c r="AF449" s="11" t="str">
        <f>IF($I449&lt;&gt;"",VLOOKUP($AC449,GEADRESSEERDE!$A$2:$E$4,4,),"")</f>
        <v>ANTWERPEN</v>
      </c>
      <c r="AG449" s="11" t="str">
        <f>IF($I449&lt;&gt;"",VLOOKUP($AC449,GEADRESSEERDE!$A$2:$E$4,5,),"")</f>
        <v>BE</v>
      </c>
      <c r="AH449" s="11" t="str">
        <f>IF(I449&lt;&gt;"",VLOOKUP(AP449,KvB!$A$2:$B$3,2,FALSE),"")</f>
        <v>BE101000</v>
      </c>
      <c r="AI449" s="11" t="s">
        <v>55</v>
      </c>
      <c r="AJ449" s="11"/>
      <c r="AK449" s="11"/>
      <c r="AL449" s="11"/>
      <c r="AM449" s="11"/>
      <c r="AN449" s="11"/>
      <c r="AO449" s="11"/>
      <c r="AP449" s="2" t="s">
        <v>70</v>
      </c>
      <c r="AQ449" s="11" t="str">
        <f>IF(I449&lt;&gt;"",DATA!D448,"")</f>
        <v>7419200090</v>
      </c>
    </row>
    <row r="450" spans="1:43" ht="15.75" x14ac:dyDescent="0.25">
      <c r="A450" s="11" t="s">
        <v>57</v>
      </c>
      <c r="B450" s="11" t="s">
        <v>56</v>
      </c>
      <c r="C450" s="22">
        <f t="shared" si="30"/>
        <v>25001620</v>
      </c>
      <c r="D450" s="11" t="str">
        <f t="shared" si="31"/>
        <v>SKIIFM_AT</v>
      </c>
      <c r="E450" s="11" t="str">
        <f>IF(I450&lt;&gt;"",VLOOKUP(F450,OPDRACHTGEVER!$A$2:$B$4,2,FALSE),"")</f>
        <v>SKIIFM_AT</v>
      </c>
      <c r="F450" s="11" t="s">
        <v>58</v>
      </c>
      <c r="I450" s="11" t="str">
        <f>IF(DATA!B449&lt;&gt;"",DATA!B449,"")</f>
        <v>CAAU8650038</v>
      </c>
      <c r="J450" s="12">
        <v>0</v>
      </c>
      <c r="K450" s="11" t="s">
        <v>53</v>
      </c>
      <c r="L450" s="11" t="str">
        <f t="shared" si="32"/>
        <v>741920</v>
      </c>
      <c r="M450" s="11" t="str">
        <f>IF(I450&lt;&gt;"",DATA!E449,"")</f>
        <v>WIRE ROPE</v>
      </c>
      <c r="N450" s="12">
        <v>0</v>
      </c>
      <c r="O450" s="11">
        <f>IF(I450&lt;&gt;"",DATA!C449,"")</f>
        <v>432.3</v>
      </c>
      <c r="P450" s="2">
        <v>294094</v>
      </c>
      <c r="Q450" s="2" t="s">
        <v>1304</v>
      </c>
      <c r="R450" s="2" t="s">
        <v>1314</v>
      </c>
      <c r="S450" s="2">
        <v>294</v>
      </c>
      <c r="T450" s="2">
        <v>1</v>
      </c>
      <c r="U450" s="2" t="s">
        <v>141</v>
      </c>
      <c r="Y450" s="2">
        <v>1700</v>
      </c>
      <c r="Z450" s="11" t="s">
        <v>54</v>
      </c>
      <c r="AA450" s="11" t="str">
        <f t="shared" si="33"/>
        <v>1700 - TBN</v>
      </c>
      <c r="AC450" s="2" t="s">
        <v>145</v>
      </c>
      <c r="AD450" s="11" t="str">
        <f>IF($I450&lt;&gt;"",VLOOKUP($AC450,GEADRESSEERDE!$A$2:$E$4,2,),"")</f>
        <v>LUITHAGEN HAVEN 2 D</v>
      </c>
      <c r="AE450" s="11">
        <f>IF($I450&lt;&gt;"",VLOOKUP($AC450,GEADRESSEERDE!$A$2:$E$4,3,),"")</f>
        <v>2030</v>
      </c>
      <c r="AF450" s="11" t="str">
        <f>IF($I450&lt;&gt;"",VLOOKUP($AC450,GEADRESSEERDE!$A$2:$E$4,4,),"")</f>
        <v>ANTWERPEN</v>
      </c>
      <c r="AG450" s="11" t="str">
        <f>IF($I450&lt;&gt;"",VLOOKUP($AC450,GEADRESSEERDE!$A$2:$E$4,5,),"")</f>
        <v>BE</v>
      </c>
      <c r="AH450" s="11" t="str">
        <f>IF(I450&lt;&gt;"",VLOOKUP(AP450,KvB!$A$2:$B$3,2,FALSE),"")</f>
        <v>BE101000</v>
      </c>
      <c r="AI450" s="11" t="s">
        <v>55</v>
      </c>
      <c r="AJ450" s="11"/>
      <c r="AK450" s="11"/>
      <c r="AL450" s="11"/>
      <c r="AM450" s="11"/>
      <c r="AN450" s="11"/>
      <c r="AO450" s="11"/>
      <c r="AP450" s="2" t="s">
        <v>70</v>
      </c>
      <c r="AQ450" s="11" t="str">
        <f>IF(I450&lt;&gt;"",DATA!D449,"")</f>
        <v>7419200090</v>
      </c>
    </row>
    <row r="451" spans="1:43" ht="15.75" x14ac:dyDescent="0.25">
      <c r="A451" s="11" t="s">
        <v>57</v>
      </c>
      <c r="B451" s="11" t="s">
        <v>56</v>
      </c>
      <c r="C451" s="22">
        <f t="shared" si="30"/>
        <v>25001620</v>
      </c>
      <c r="D451" s="11" t="str">
        <f t="shared" si="31"/>
        <v>SKIIFM_AT</v>
      </c>
      <c r="E451" s="11" t="str">
        <f>IF(I451&lt;&gt;"",VLOOKUP(F451,OPDRACHTGEVER!$A$2:$B$4,2,FALSE),"")</f>
        <v>SKIIFM_AT</v>
      </c>
      <c r="F451" s="11" t="s">
        <v>58</v>
      </c>
      <c r="I451" s="11" t="str">
        <f>IF(DATA!B450&lt;&gt;"",DATA!B450,"")</f>
        <v>CAAU8650038</v>
      </c>
      <c r="J451" s="12">
        <v>0</v>
      </c>
      <c r="K451" s="11" t="s">
        <v>53</v>
      </c>
      <c r="L451" s="11" t="str">
        <f t="shared" si="32"/>
        <v>940290</v>
      </c>
      <c r="M451" s="11" t="str">
        <f>IF(I451&lt;&gt;"",DATA!E450,"")</f>
        <v>STAIRCASE STRETCHER</v>
      </c>
      <c r="N451" s="12">
        <v>0</v>
      </c>
      <c r="O451" s="11">
        <f>IF(I451&lt;&gt;"",DATA!C450,"")</f>
        <v>38.700000000000003</v>
      </c>
      <c r="P451" s="2">
        <v>294094</v>
      </c>
      <c r="Q451" s="2" t="s">
        <v>1304</v>
      </c>
      <c r="R451" s="2" t="s">
        <v>1314</v>
      </c>
      <c r="S451" s="2">
        <v>294</v>
      </c>
      <c r="T451" s="2">
        <v>1</v>
      </c>
      <c r="U451" s="2" t="s">
        <v>141</v>
      </c>
      <c r="Y451" s="2">
        <v>1700</v>
      </c>
      <c r="Z451" s="11" t="s">
        <v>54</v>
      </c>
      <c r="AA451" s="11" t="str">
        <f t="shared" si="33"/>
        <v>1700 - TBN</v>
      </c>
      <c r="AC451" s="2" t="s">
        <v>145</v>
      </c>
      <c r="AD451" s="11" t="str">
        <f>IF($I451&lt;&gt;"",VLOOKUP($AC451,GEADRESSEERDE!$A$2:$E$4,2,),"")</f>
        <v>LUITHAGEN HAVEN 2 D</v>
      </c>
      <c r="AE451" s="11">
        <f>IF($I451&lt;&gt;"",VLOOKUP($AC451,GEADRESSEERDE!$A$2:$E$4,3,),"")</f>
        <v>2030</v>
      </c>
      <c r="AF451" s="11" t="str">
        <f>IF($I451&lt;&gt;"",VLOOKUP($AC451,GEADRESSEERDE!$A$2:$E$4,4,),"")</f>
        <v>ANTWERPEN</v>
      </c>
      <c r="AG451" s="11" t="str">
        <f>IF($I451&lt;&gt;"",VLOOKUP($AC451,GEADRESSEERDE!$A$2:$E$4,5,),"")</f>
        <v>BE</v>
      </c>
      <c r="AH451" s="11" t="str">
        <f>IF(I451&lt;&gt;"",VLOOKUP(AP451,KvB!$A$2:$B$3,2,FALSE),"")</f>
        <v>BE101000</v>
      </c>
      <c r="AI451" s="11" t="s">
        <v>55</v>
      </c>
      <c r="AJ451" s="11"/>
      <c r="AK451" s="11"/>
      <c r="AL451" s="11"/>
      <c r="AM451" s="11"/>
      <c r="AN451" s="11"/>
      <c r="AO451" s="11"/>
      <c r="AP451" s="2" t="s">
        <v>70</v>
      </c>
      <c r="AQ451" s="11" t="str">
        <f>IF(I451&lt;&gt;"",DATA!D450,"")</f>
        <v>9402900000</v>
      </c>
    </row>
    <row r="452" spans="1:43" ht="15.75" x14ac:dyDescent="0.25">
      <c r="A452" s="11" t="s">
        <v>57</v>
      </c>
      <c r="B452" s="11" t="s">
        <v>56</v>
      </c>
      <c r="C452" s="22">
        <f t="shared" si="30"/>
        <v>25001620</v>
      </c>
      <c r="D452" s="11" t="str">
        <f t="shared" si="31"/>
        <v>SKIIFM_AT</v>
      </c>
      <c r="E452" s="11" t="str">
        <f>IF(I452&lt;&gt;"",VLOOKUP(F452,OPDRACHTGEVER!$A$2:$B$4,2,FALSE),"")</f>
        <v>SKIIFM_AT</v>
      </c>
      <c r="F452" s="11" t="s">
        <v>58</v>
      </c>
      <c r="I452" s="11" t="str">
        <f>IF(DATA!B451&lt;&gt;"",DATA!B451,"")</f>
        <v>CAAU8650038</v>
      </c>
      <c r="J452" s="12">
        <v>0</v>
      </c>
      <c r="K452" s="11" t="s">
        <v>53</v>
      </c>
      <c r="L452" s="11" t="str">
        <f t="shared" si="32"/>
        <v>940391</v>
      </c>
      <c r="M452" s="11" t="str">
        <f>IF(I452&lt;&gt;"",DATA!E451,"")</f>
        <v>TABLE LEGS</v>
      </c>
      <c r="N452" s="12">
        <v>0</v>
      </c>
      <c r="O452" s="11">
        <f>IF(I452&lt;&gt;"",DATA!C451,"")</f>
        <v>56</v>
      </c>
      <c r="P452" s="2">
        <v>294094</v>
      </c>
      <c r="Q452" s="2" t="s">
        <v>1304</v>
      </c>
      <c r="R452" s="2" t="s">
        <v>1314</v>
      </c>
      <c r="S452" s="2">
        <v>294</v>
      </c>
      <c r="T452" s="2">
        <v>1</v>
      </c>
      <c r="U452" s="2" t="s">
        <v>141</v>
      </c>
      <c r="Y452" s="2">
        <v>1700</v>
      </c>
      <c r="Z452" s="11" t="s">
        <v>54</v>
      </c>
      <c r="AA452" s="11" t="str">
        <f t="shared" si="33"/>
        <v>1700 - TBN</v>
      </c>
      <c r="AC452" s="2" t="s">
        <v>145</v>
      </c>
      <c r="AD452" s="11" t="str">
        <f>IF($I452&lt;&gt;"",VLOOKUP($AC452,GEADRESSEERDE!$A$2:$E$4,2,),"")</f>
        <v>LUITHAGEN HAVEN 2 D</v>
      </c>
      <c r="AE452" s="11">
        <f>IF($I452&lt;&gt;"",VLOOKUP($AC452,GEADRESSEERDE!$A$2:$E$4,3,),"")</f>
        <v>2030</v>
      </c>
      <c r="AF452" s="11" t="str">
        <f>IF($I452&lt;&gt;"",VLOOKUP($AC452,GEADRESSEERDE!$A$2:$E$4,4,),"")</f>
        <v>ANTWERPEN</v>
      </c>
      <c r="AG452" s="11" t="str">
        <f>IF($I452&lt;&gt;"",VLOOKUP($AC452,GEADRESSEERDE!$A$2:$E$4,5,),"")</f>
        <v>BE</v>
      </c>
      <c r="AH452" s="11" t="str">
        <f>IF(I452&lt;&gt;"",VLOOKUP(AP452,KvB!$A$2:$B$3,2,FALSE),"")</f>
        <v>BE101000</v>
      </c>
      <c r="AI452" s="11" t="s">
        <v>55</v>
      </c>
      <c r="AJ452" s="11"/>
      <c r="AK452" s="11"/>
      <c r="AL452" s="11"/>
      <c r="AM452" s="11"/>
      <c r="AN452" s="11"/>
      <c r="AO452" s="11"/>
      <c r="AP452" s="2" t="s">
        <v>70</v>
      </c>
      <c r="AQ452" s="11" t="str">
        <f>IF(I452&lt;&gt;"",DATA!D451,"")</f>
        <v>9403910090</v>
      </c>
    </row>
    <row r="453" spans="1:43" ht="15.75" x14ac:dyDescent="0.25">
      <c r="A453" s="11" t="s">
        <v>57</v>
      </c>
      <c r="B453" s="11" t="s">
        <v>56</v>
      </c>
      <c r="C453" s="22">
        <f t="shared" ref="C453:C516" si="34">C452</f>
        <v>25001620</v>
      </c>
      <c r="D453" s="11" t="str">
        <f t="shared" si="31"/>
        <v>SKIIFM_AT</v>
      </c>
      <c r="E453" s="11" t="str">
        <f>IF(I453&lt;&gt;"",VLOOKUP(F453,OPDRACHTGEVER!$A$2:$B$4,2,FALSE),"")</f>
        <v>SKIIFM_AT</v>
      </c>
      <c r="F453" s="11" t="s">
        <v>58</v>
      </c>
      <c r="I453" s="11" t="str">
        <f>IF(DATA!B452&lt;&gt;"",DATA!B452,"")</f>
        <v>CAAU8650038</v>
      </c>
      <c r="J453" s="12">
        <v>0</v>
      </c>
      <c r="K453" s="11" t="s">
        <v>53</v>
      </c>
      <c r="L453" s="11" t="str">
        <f t="shared" si="32"/>
        <v>820551</v>
      </c>
      <c r="M453" s="11" t="str">
        <f>IF(I453&lt;&gt;"",DATA!E452,"")</f>
        <v>TARPAULIN DRUM</v>
      </c>
      <c r="N453" s="12">
        <v>0</v>
      </c>
      <c r="O453" s="11">
        <f>IF(I453&lt;&gt;"",DATA!C452,"")</f>
        <v>157.5</v>
      </c>
      <c r="P453" s="2">
        <v>294094</v>
      </c>
      <c r="Q453" s="2" t="s">
        <v>1304</v>
      </c>
      <c r="R453" s="2" t="s">
        <v>1314</v>
      </c>
      <c r="S453" s="2">
        <v>294</v>
      </c>
      <c r="T453" s="2">
        <v>1</v>
      </c>
      <c r="U453" s="2" t="s">
        <v>141</v>
      </c>
      <c r="Y453" s="2">
        <v>1700</v>
      </c>
      <c r="Z453" s="11" t="s">
        <v>54</v>
      </c>
      <c r="AA453" s="11" t="str">
        <f t="shared" si="33"/>
        <v>1700 - TBN</v>
      </c>
      <c r="AC453" s="2" t="s">
        <v>145</v>
      </c>
      <c r="AD453" s="11" t="str">
        <f>IF($I453&lt;&gt;"",VLOOKUP($AC453,GEADRESSEERDE!$A$2:$E$4,2,),"")</f>
        <v>LUITHAGEN HAVEN 2 D</v>
      </c>
      <c r="AE453" s="11">
        <f>IF($I453&lt;&gt;"",VLOOKUP($AC453,GEADRESSEERDE!$A$2:$E$4,3,),"")</f>
        <v>2030</v>
      </c>
      <c r="AF453" s="11" t="str">
        <f>IF($I453&lt;&gt;"",VLOOKUP($AC453,GEADRESSEERDE!$A$2:$E$4,4,),"")</f>
        <v>ANTWERPEN</v>
      </c>
      <c r="AG453" s="11" t="str">
        <f>IF($I453&lt;&gt;"",VLOOKUP($AC453,GEADRESSEERDE!$A$2:$E$4,5,),"")</f>
        <v>BE</v>
      </c>
      <c r="AH453" s="11" t="str">
        <f>IF(I453&lt;&gt;"",VLOOKUP(AP453,KvB!$A$2:$B$3,2,FALSE),"")</f>
        <v>BE101000</v>
      </c>
      <c r="AI453" s="11" t="s">
        <v>55</v>
      </c>
      <c r="AJ453" s="11"/>
      <c r="AK453" s="11"/>
      <c r="AL453" s="11"/>
      <c r="AM453" s="11"/>
      <c r="AN453" s="11"/>
      <c r="AO453" s="11"/>
      <c r="AP453" s="2" t="s">
        <v>70</v>
      </c>
      <c r="AQ453" s="11" t="str">
        <f>IF(I453&lt;&gt;"",DATA!D452,"")</f>
        <v>8205510000</v>
      </c>
    </row>
    <row r="454" spans="1:43" ht="15.75" x14ac:dyDescent="0.25">
      <c r="A454" s="11" t="s">
        <v>57</v>
      </c>
      <c r="B454" s="11" t="s">
        <v>56</v>
      </c>
      <c r="C454" s="22">
        <f t="shared" si="34"/>
        <v>25001620</v>
      </c>
      <c r="D454" s="11" t="str">
        <f t="shared" si="31"/>
        <v>SKIIFM_AT</v>
      </c>
      <c r="E454" s="11" t="str">
        <f>IF(I454&lt;&gt;"",VLOOKUP(F454,OPDRACHTGEVER!$A$2:$B$4,2,FALSE),"")</f>
        <v>SKIIFM_AT</v>
      </c>
      <c r="F454" s="11" t="s">
        <v>58</v>
      </c>
      <c r="I454" s="11" t="str">
        <f>IF(DATA!B453&lt;&gt;"",DATA!B453,"")</f>
        <v>CAAU8650038</v>
      </c>
      <c r="J454" s="12">
        <v>0</v>
      </c>
      <c r="K454" s="11" t="s">
        <v>53</v>
      </c>
      <c r="L454" s="11" t="str">
        <f t="shared" si="32"/>
        <v>761699</v>
      </c>
      <c r="M454" s="11" t="str">
        <f>IF(I454&lt;&gt;"",DATA!E453,"")</f>
        <v>TV STAND</v>
      </c>
      <c r="N454" s="12">
        <v>0</v>
      </c>
      <c r="O454" s="11">
        <f>IF(I454&lt;&gt;"",DATA!C453,"")</f>
        <v>42.5</v>
      </c>
      <c r="P454" s="2">
        <v>294094</v>
      </c>
      <c r="Q454" s="2" t="s">
        <v>1304</v>
      </c>
      <c r="R454" s="2" t="s">
        <v>1314</v>
      </c>
      <c r="S454" s="2">
        <v>294</v>
      </c>
      <c r="T454" s="2">
        <v>1</v>
      </c>
      <c r="U454" s="2" t="s">
        <v>141</v>
      </c>
      <c r="Y454" s="2">
        <v>1700</v>
      </c>
      <c r="Z454" s="11" t="s">
        <v>54</v>
      </c>
      <c r="AA454" s="11" t="str">
        <f t="shared" si="33"/>
        <v>1700 - TBN</v>
      </c>
      <c r="AC454" s="2" t="s">
        <v>145</v>
      </c>
      <c r="AD454" s="11" t="str">
        <f>IF($I454&lt;&gt;"",VLOOKUP($AC454,GEADRESSEERDE!$A$2:$E$4,2,),"")</f>
        <v>LUITHAGEN HAVEN 2 D</v>
      </c>
      <c r="AE454" s="11">
        <f>IF($I454&lt;&gt;"",VLOOKUP($AC454,GEADRESSEERDE!$A$2:$E$4,3,),"")</f>
        <v>2030</v>
      </c>
      <c r="AF454" s="11" t="str">
        <f>IF($I454&lt;&gt;"",VLOOKUP($AC454,GEADRESSEERDE!$A$2:$E$4,4,),"")</f>
        <v>ANTWERPEN</v>
      </c>
      <c r="AG454" s="11" t="str">
        <f>IF($I454&lt;&gt;"",VLOOKUP($AC454,GEADRESSEERDE!$A$2:$E$4,5,),"")</f>
        <v>BE</v>
      </c>
      <c r="AH454" s="11" t="str">
        <f>IF(I454&lt;&gt;"",VLOOKUP(AP454,KvB!$A$2:$B$3,2,FALSE),"")</f>
        <v>BE101000</v>
      </c>
      <c r="AI454" s="11" t="s">
        <v>55</v>
      </c>
      <c r="AJ454" s="11"/>
      <c r="AK454" s="11"/>
      <c r="AL454" s="11"/>
      <c r="AM454" s="11"/>
      <c r="AN454" s="11"/>
      <c r="AO454" s="11"/>
      <c r="AP454" s="2" t="s">
        <v>70</v>
      </c>
      <c r="AQ454" s="11" t="str">
        <f>IF(I454&lt;&gt;"",DATA!D453,"")</f>
        <v>7616999099</v>
      </c>
    </row>
    <row r="455" spans="1:43" ht="15.75" x14ac:dyDescent="0.25">
      <c r="A455" s="11" t="s">
        <v>57</v>
      </c>
      <c r="B455" s="11" t="s">
        <v>56</v>
      </c>
      <c r="C455" s="22">
        <f t="shared" si="34"/>
        <v>25001620</v>
      </c>
      <c r="D455" s="11" t="str">
        <f t="shared" si="31"/>
        <v>SKIIFM_AT</v>
      </c>
      <c r="E455" s="11" t="str">
        <f>IF(I455&lt;&gt;"",VLOOKUP(F455,OPDRACHTGEVER!$A$2:$B$4,2,FALSE),"")</f>
        <v>SKIIFM_AT</v>
      </c>
      <c r="F455" s="11" t="s">
        <v>58</v>
      </c>
      <c r="I455" s="11" t="str">
        <f>IF(DATA!B454&lt;&gt;"",DATA!B454,"")</f>
        <v>CAIU7419650</v>
      </c>
      <c r="J455" s="12">
        <v>1283</v>
      </c>
      <c r="K455" s="11" t="s">
        <v>53</v>
      </c>
      <c r="L455" s="11" t="str">
        <f t="shared" si="32"/>
        <v>841319</v>
      </c>
      <c r="M455" s="11" t="str">
        <f>IF(I455&lt;&gt;"",DATA!E454,"")</f>
        <v>AUTOMOBILE FUEL PUMP</v>
      </c>
      <c r="N455" s="12">
        <v>12823</v>
      </c>
      <c r="O455" s="11">
        <f>IF(I455&lt;&gt;"",DATA!C454,"")</f>
        <v>666.5</v>
      </c>
      <c r="P455" s="2">
        <v>294094</v>
      </c>
      <c r="Q455" s="2" t="s">
        <v>1304</v>
      </c>
      <c r="R455" s="2" t="s">
        <v>1315</v>
      </c>
      <c r="S455" s="2">
        <v>295</v>
      </c>
      <c r="T455" s="2">
        <v>1</v>
      </c>
      <c r="U455" s="2" t="s">
        <v>141</v>
      </c>
      <c r="Y455" s="2">
        <v>1700</v>
      </c>
      <c r="Z455" s="11" t="s">
        <v>54</v>
      </c>
      <c r="AA455" s="11" t="str">
        <f t="shared" si="33"/>
        <v>1700 - TBN</v>
      </c>
      <c r="AC455" s="2" t="s">
        <v>145</v>
      </c>
      <c r="AD455" s="11" t="str">
        <f>IF($I455&lt;&gt;"",VLOOKUP($AC455,GEADRESSEERDE!$A$2:$E$4,2,),"")</f>
        <v>LUITHAGEN HAVEN 2 D</v>
      </c>
      <c r="AE455" s="11">
        <f>IF($I455&lt;&gt;"",VLOOKUP($AC455,GEADRESSEERDE!$A$2:$E$4,3,),"")</f>
        <v>2030</v>
      </c>
      <c r="AF455" s="11" t="str">
        <f>IF($I455&lt;&gt;"",VLOOKUP($AC455,GEADRESSEERDE!$A$2:$E$4,4,),"")</f>
        <v>ANTWERPEN</v>
      </c>
      <c r="AG455" s="11" t="str">
        <f>IF($I455&lt;&gt;"",VLOOKUP($AC455,GEADRESSEERDE!$A$2:$E$4,5,),"")</f>
        <v>BE</v>
      </c>
      <c r="AH455" s="11" t="str">
        <f>IF(I455&lt;&gt;"",VLOOKUP(AP455,KvB!$A$2:$B$3,2,FALSE),"")</f>
        <v>BE101000</v>
      </c>
      <c r="AI455" s="11" t="s">
        <v>55</v>
      </c>
      <c r="AJ455" s="11"/>
      <c r="AK455" s="11"/>
      <c r="AL455" s="11"/>
      <c r="AM455" s="11"/>
      <c r="AN455" s="11"/>
      <c r="AO455" s="11"/>
      <c r="AP455" s="2" t="s">
        <v>70</v>
      </c>
      <c r="AQ455" s="11" t="str">
        <f>IF(I455&lt;&gt;"",DATA!D454,"")</f>
        <v>8413190090</v>
      </c>
    </row>
    <row r="456" spans="1:43" ht="15.75" x14ac:dyDescent="0.25">
      <c r="A456" s="11" t="s">
        <v>57</v>
      </c>
      <c r="B456" s="11" t="s">
        <v>56</v>
      </c>
      <c r="C456" s="22">
        <f t="shared" si="34"/>
        <v>25001620</v>
      </c>
      <c r="D456" s="11" t="str">
        <f t="shared" si="31"/>
        <v>SKIIFM_AT</v>
      </c>
      <c r="E456" s="11" t="str">
        <f>IF(I456&lt;&gt;"",VLOOKUP(F456,OPDRACHTGEVER!$A$2:$B$4,2,FALSE),"")</f>
        <v>SKIIFM_AT</v>
      </c>
      <c r="F456" s="11" t="s">
        <v>58</v>
      </c>
      <c r="I456" s="11" t="str">
        <f>IF(DATA!B455&lt;&gt;"",DATA!B455,"")</f>
        <v>CAIU7419650</v>
      </c>
      <c r="J456" s="12">
        <v>0</v>
      </c>
      <c r="K456" s="11" t="s">
        <v>53</v>
      </c>
      <c r="L456" s="11" t="str">
        <f t="shared" si="32"/>
        <v>741920</v>
      </c>
      <c r="M456" s="11" t="str">
        <f>IF(I456&lt;&gt;"",DATA!E455,"")</f>
        <v>BBQ GRIDDLE</v>
      </c>
      <c r="N456" s="12">
        <v>0</v>
      </c>
      <c r="O456" s="11">
        <f>IF(I456&lt;&gt;"",DATA!C455,"")</f>
        <v>7.35</v>
      </c>
      <c r="P456" s="2">
        <v>294094</v>
      </c>
      <c r="Q456" s="2" t="s">
        <v>1304</v>
      </c>
      <c r="R456" s="2" t="s">
        <v>1315</v>
      </c>
      <c r="S456" s="2">
        <v>295</v>
      </c>
      <c r="T456" s="2">
        <v>1</v>
      </c>
      <c r="U456" s="2" t="s">
        <v>141</v>
      </c>
      <c r="Y456" s="2">
        <v>1700</v>
      </c>
      <c r="Z456" s="11" t="s">
        <v>54</v>
      </c>
      <c r="AA456" s="11" t="str">
        <f t="shared" si="33"/>
        <v>1700 - TBN</v>
      </c>
      <c r="AC456" s="2" t="s">
        <v>145</v>
      </c>
      <c r="AD456" s="11" t="str">
        <f>IF($I456&lt;&gt;"",VLOOKUP($AC456,GEADRESSEERDE!$A$2:$E$4,2,),"")</f>
        <v>LUITHAGEN HAVEN 2 D</v>
      </c>
      <c r="AE456" s="11">
        <f>IF($I456&lt;&gt;"",VLOOKUP($AC456,GEADRESSEERDE!$A$2:$E$4,3,),"")</f>
        <v>2030</v>
      </c>
      <c r="AF456" s="11" t="str">
        <f>IF($I456&lt;&gt;"",VLOOKUP($AC456,GEADRESSEERDE!$A$2:$E$4,4,),"")</f>
        <v>ANTWERPEN</v>
      </c>
      <c r="AG456" s="11" t="str">
        <f>IF($I456&lt;&gt;"",VLOOKUP($AC456,GEADRESSEERDE!$A$2:$E$4,5,),"")</f>
        <v>BE</v>
      </c>
      <c r="AH456" s="11" t="str">
        <f>IF(I456&lt;&gt;"",VLOOKUP(AP456,KvB!$A$2:$B$3,2,FALSE),"")</f>
        <v>BE101000</v>
      </c>
      <c r="AI456" s="11" t="s">
        <v>55</v>
      </c>
      <c r="AJ456" s="11"/>
      <c r="AK456" s="11"/>
      <c r="AL456" s="11"/>
      <c r="AM456" s="11"/>
      <c r="AN456" s="11"/>
      <c r="AO456" s="11"/>
      <c r="AP456" s="2" t="s">
        <v>70</v>
      </c>
      <c r="AQ456" s="11" t="str">
        <f>IF(I456&lt;&gt;"",DATA!D455,"")</f>
        <v>7419200090</v>
      </c>
    </row>
    <row r="457" spans="1:43" ht="15.75" x14ac:dyDescent="0.25">
      <c r="A457" s="11" t="s">
        <v>57</v>
      </c>
      <c r="B457" s="11" t="s">
        <v>56</v>
      </c>
      <c r="C457" s="22">
        <f t="shared" si="34"/>
        <v>25001620</v>
      </c>
      <c r="D457" s="11" t="str">
        <f t="shared" si="31"/>
        <v>SKIIFM_AT</v>
      </c>
      <c r="E457" s="11" t="str">
        <f>IF(I457&lt;&gt;"",VLOOKUP(F457,OPDRACHTGEVER!$A$2:$B$4,2,FALSE),"")</f>
        <v>SKIIFM_AT</v>
      </c>
      <c r="F457" s="11" t="s">
        <v>58</v>
      </c>
      <c r="I457" s="11" t="str">
        <f>IF(DATA!B456&lt;&gt;"",DATA!B456,"")</f>
        <v>CAIU7419650</v>
      </c>
      <c r="J457" s="12">
        <v>0</v>
      </c>
      <c r="K457" s="11" t="s">
        <v>53</v>
      </c>
      <c r="L457" s="11" t="str">
        <f t="shared" si="32"/>
        <v>820559</v>
      </c>
      <c r="M457" s="11" t="str">
        <f>IF(I457&lt;&gt;"",DATA!E456,"")</f>
        <v>BOLT EXTRACTOR</v>
      </c>
      <c r="N457" s="12">
        <v>0</v>
      </c>
      <c r="O457" s="11">
        <f>IF(I457&lt;&gt;"",DATA!C456,"")</f>
        <v>20.350000000000001</v>
      </c>
      <c r="P457" s="2">
        <v>294094</v>
      </c>
      <c r="Q457" s="2" t="s">
        <v>1304</v>
      </c>
      <c r="R457" s="2" t="s">
        <v>1315</v>
      </c>
      <c r="S457" s="2">
        <v>295</v>
      </c>
      <c r="T457" s="2">
        <v>1</v>
      </c>
      <c r="U457" s="2" t="s">
        <v>141</v>
      </c>
      <c r="Y457" s="2">
        <v>1700</v>
      </c>
      <c r="Z457" s="11" t="s">
        <v>54</v>
      </c>
      <c r="AA457" s="11" t="str">
        <f t="shared" si="33"/>
        <v>1700 - TBN</v>
      </c>
      <c r="AC457" s="2" t="s">
        <v>145</v>
      </c>
      <c r="AD457" s="11" t="str">
        <f>IF($I457&lt;&gt;"",VLOOKUP($AC457,GEADRESSEERDE!$A$2:$E$4,2,),"")</f>
        <v>LUITHAGEN HAVEN 2 D</v>
      </c>
      <c r="AE457" s="11">
        <f>IF($I457&lt;&gt;"",VLOOKUP($AC457,GEADRESSEERDE!$A$2:$E$4,3,),"")</f>
        <v>2030</v>
      </c>
      <c r="AF457" s="11" t="str">
        <f>IF($I457&lt;&gt;"",VLOOKUP($AC457,GEADRESSEERDE!$A$2:$E$4,4,),"")</f>
        <v>ANTWERPEN</v>
      </c>
      <c r="AG457" s="11" t="str">
        <f>IF($I457&lt;&gt;"",VLOOKUP($AC457,GEADRESSEERDE!$A$2:$E$4,5,),"")</f>
        <v>BE</v>
      </c>
      <c r="AH457" s="11" t="str">
        <f>IF(I457&lt;&gt;"",VLOOKUP(AP457,KvB!$A$2:$B$3,2,FALSE),"")</f>
        <v>BE101000</v>
      </c>
      <c r="AI457" s="11" t="s">
        <v>55</v>
      </c>
      <c r="AJ457" s="11"/>
      <c r="AK457" s="11"/>
      <c r="AL457" s="11"/>
      <c r="AM457" s="11"/>
      <c r="AN457" s="11"/>
      <c r="AO457" s="11"/>
      <c r="AP457" s="2" t="s">
        <v>70</v>
      </c>
      <c r="AQ457" s="11" t="str">
        <f>IF(I457&lt;&gt;"",DATA!D456,"")</f>
        <v>8205598000</v>
      </c>
    </row>
    <row r="458" spans="1:43" ht="15.75" x14ac:dyDescent="0.25">
      <c r="A458" s="11" t="s">
        <v>57</v>
      </c>
      <c r="B458" s="11" t="s">
        <v>56</v>
      </c>
      <c r="C458" s="22">
        <f t="shared" si="34"/>
        <v>25001620</v>
      </c>
      <c r="D458" s="11" t="str">
        <f t="shared" si="31"/>
        <v>SKIIFM_AT</v>
      </c>
      <c r="E458" s="11" t="str">
        <f>IF(I458&lt;&gt;"",VLOOKUP(F458,OPDRACHTGEVER!$A$2:$B$4,2,FALSE),"")</f>
        <v>SKIIFM_AT</v>
      </c>
      <c r="F458" s="11" t="s">
        <v>58</v>
      </c>
      <c r="I458" s="11" t="str">
        <f>IF(DATA!B457&lt;&gt;"",DATA!B457,"")</f>
        <v>CAIU7419650</v>
      </c>
      <c r="J458" s="12">
        <v>0</v>
      </c>
      <c r="K458" s="11" t="s">
        <v>53</v>
      </c>
      <c r="L458" s="11" t="str">
        <f t="shared" si="32"/>
        <v>741920</v>
      </c>
      <c r="M458" s="11" t="str">
        <f>IF(I458&lt;&gt;"",DATA!E457,"")</f>
        <v>CHAIN WITH HOOK</v>
      </c>
      <c r="N458" s="12">
        <v>0</v>
      </c>
      <c r="O458" s="11">
        <f>IF(I458&lt;&gt;"",DATA!C457,"")</f>
        <v>11.2</v>
      </c>
      <c r="P458" s="2">
        <v>294094</v>
      </c>
      <c r="Q458" s="2" t="s">
        <v>1304</v>
      </c>
      <c r="R458" s="2" t="s">
        <v>1315</v>
      </c>
      <c r="S458" s="2">
        <v>295</v>
      </c>
      <c r="T458" s="2">
        <v>1</v>
      </c>
      <c r="U458" s="2" t="s">
        <v>141</v>
      </c>
      <c r="Y458" s="2">
        <v>1700</v>
      </c>
      <c r="Z458" s="11" t="s">
        <v>54</v>
      </c>
      <c r="AA458" s="11" t="str">
        <f t="shared" si="33"/>
        <v>1700 - TBN</v>
      </c>
      <c r="AC458" s="2" t="s">
        <v>145</v>
      </c>
      <c r="AD458" s="11" t="str">
        <f>IF($I458&lt;&gt;"",VLOOKUP($AC458,GEADRESSEERDE!$A$2:$E$4,2,),"")</f>
        <v>LUITHAGEN HAVEN 2 D</v>
      </c>
      <c r="AE458" s="11">
        <f>IF($I458&lt;&gt;"",VLOOKUP($AC458,GEADRESSEERDE!$A$2:$E$4,3,),"")</f>
        <v>2030</v>
      </c>
      <c r="AF458" s="11" t="str">
        <f>IF($I458&lt;&gt;"",VLOOKUP($AC458,GEADRESSEERDE!$A$2:$E$4,4,),"")</f>
        <v>ANTWERPEN</v>
      </c>
      <c r="AG458" s="11" t="str">
        <f>IF($I458&lt;&gt;"",VLOOKUP($AC458,GEADRESSEERDE!$A$2:$E$4,5,),"")</f>
        <v>BE</v>
      </c>
      <c r="AH458" s="11" t="str">
        <f>IF(I458&lt;&gt;"",VLOOKUP(AP458,KvB!$A$2:$B$3,2,FALSE),"")</f>
        <v>BE101000</v>
      </c>
      <c r="AI458" s="11" t="s">
        <v>55</v>
      </c>
      <c r="AJ458" s="11"/>
      <c r="AK458" s="11"/>
      <c r="AL458" s="11"/>
      <c r="AM458" s="11"/>
      <c r="AN458" s="11"/>
      <c r="AO458" s="11"/>
      <c r="AP458" s="2" t="s">
        <v>70</v>
      </c>
      <c r="AQ458" s="11" t="str">
        <f>IF(I458&lt;&gt;"",DATA!D457,"")</f>
        <v>7419200090</v>
      </c>
    </row>
    <row r="459" spans="1:43" ht="15.75" x14ac:dyDescent="0.25">
      <c r="A459" s="11" t="s">
        <v>57</v>
      </c>
      <c r="B459" s="11" t="s">
        <v>56</v>
      </c>
      <c r="C459" s="22">
        <f t="shared" si="34"/>
        <v>25001620</v>
      </c>
      <c r="D459" s="11" t="str">
        <f t="shared" si="31"/>
        <v>SKIIFM_AT</v>
      </c>
      <c r="E459" s="11" t="str">
        <f>IF(I459&lt;&gt;"",VLOOKUP(F459,OPDRACHTGEVER!$A$2:$B$4,2,FALSE),"")</f>
        <v>SKIIFM_AT</v>
      </c>
      <c r="F459" s="11" t="s">
        <v>58</v>
      </c>
      <c r="I459" s="11" t="str">
        <f>IF(DATA!B458&lt;&gt;"",DATA!B458,"")</f>
        <v>CAIU7419650</v>
      </c>
      <c r="J459" s="12">
        <v>0</v>
      </c>
      <c r="K459" s="11" t="s">
        <v>53</v>
      </c>
      <c r="L459" s="11" t="str">
        <f t="shared" si="32"/>
        <v>851660</v>
      </c>
      <c r="M459" s="11" t="str">
        <f>IF(I459&lt;&gt;"",DATA!E458,"")</f>
        <v>ELECTRIC ROTISSERIE</v>
      </c>
      <c r="N459" s="12">
        <v>0</v>
      </c>
      <c r="O459" s="11">
        <f>IF(I459&lt;&gt;"",DATA!C458,"")</f>
        <v>843.7</v>
      </c>
      <c r="P459" s="2">
        <v>294094</v>
      </c>
      <c r="Q459" s="2" t="s">
        <v>1304</v>
      </c>
      <c r="R459" s="2" t="s">
        <v>1315</v>
      </c>
      <c r="S459" s="2">
        <v>295</v>
      </c>
      <c r="T459" s="2">
        <v>1</v>
      </c>
      <c r="U459" s="2" t="s">
        <v>141</v>
      </c>
      <c r="Y459" s="2">
        <v>1700</v>
      </c>
      <c r="Z459" s="11" t="s">
        <v>54</v>
      </c>
      <c r="AA459" s="11" t="str">
        <f t="shared" si="33"/>
        <v>1700 - TBN</v>
      </c>
      <c r="AC459" s="2" t="s">
        <v>145</v>
      </c>
      <c r="AD459" s="11" t="str">
        <f>IF($I459&lt;&gt;"",VLOOKUP($AC459,GEADRESSEERDE!$A$2:$E$4,2,),"")</f>
        <v>LUITHAGEN HAVEN 2 D</v>
      </c>
      <c r="AE459" s="11">
        <f>IF($I459&lt;&gt;"",VLOOKUP($AC459,GEADRESSEERDE!$A$2:$E$4,3,),"")</f>
        <v>2030</v>
      </c>
      <c r="AF459" s="11" t="str">
        <f>IF($I459&lt;&gt;"",VLOOKUP($AC459,GEADRESSEERDE!$A$2:$E$4,4,),"")</f>
        <v>ANTWERPEN</v>
      </c>
      <c r="AG459" s="11" t="str">
        <f>IF($I459&lt;&gt;"",VLOOKUP($AC459,GEADRESSEERDE!$A$2:$E$4,5,),"")</f>
        <v>BE</v>
      </c>
      <c r="AH459" s="11" t="str">
        <f>IF(I459&lt;&gt;"",VLOOKUP(AP459,KvB!$A$2:$B$3,2,FALSE),"")</f>
        <v>BE101000</v>
      </c>
      <c r="AI459" s="11" t="s">
        <v>55</v>
      </c>
      <c r="AJ459" s="11"/>
      <c r="AK459" s="11"/>
      <c r="AL459" s="11"/>
      <c r="AM459" s="11"/>
      <c r="AN459" s="11"/>
      <c r="AO459" s="11"/>
      <c r="AP459" s="2" t="s">
        <v>70</v>
      </c>
      <c r="AQ459" s="11" t="str">
        <f>IF(I459&lt;&gt;"",DATA!D458,"")</f>
        <v>8516609000</v>
      </c>
    </row>
    <row r="460" spans="1:43" ht="15.75" x14ac:dyDescent="0.25">
      <c r="A460" s="11" t="s">
        <v>57</v>
      </c>
      <c r="B460" s="11" t="s">
        <v>56</v>
      </c>
      <c r="C460" s="22">
        <f t="shared" si="34"/>
        <v>25001620</v>
      </c>
      <c r="D460" s="11" t="str">
        <f t="shared" si="31"/>
        <v>SKIIFM_AT</v>
      </c>
      <c r="E460" s="11" t="str">
        <f>IF(I460&lt;&gt;"",VLOOKUP(F460,OPDRACHTGEVER!$A$2:$B$4,2,FALSE),"")</f>
        <v>SKIIFM_AT</v>
      </c>
      <c r="F460" s="11" t="s">
        <v>58</v>
      </c>
      <c r="I460" s="11" t="str">
        <f>IF(DATA!B459&lt;&gt;"",DATA!B459,"")</f>
        <v>CAIU7419650</v>
      </c>
      <c r="J460" s="12">
        <v>0</v>
      </c>
      <c r="K460" s="11" t="s">
        <v>53</v>
      </c>
      <c r="L460" s="11" t="str">
        <f t="shared" si="32"/>
        <v>741920</v>
      </c>
      <c r="M460" s="11" t="str">
        <f>IF(I460&lt;&gt;"",DATA!E459,"")</f>
        <v>HARDWARE BRACKET</v>
      </c>
      <c r="N460" s="12">
        <v>0</v>
      </c>
      <c r="O460" s="11">
        <f>IF(I460&lt;&gt;"",DATA!C459,"")</f>
        <v>176</v>
      </c>
      <c r="P460" s="2">
        <v>294094</v>
      </c>
      <c r="Q460" s="2" t="s">
        <v>1304</v>
      </c>
      <c r="R460" s="2" t="s">
        <v>1315</v>
      </c>
      <c r="S460" s="2">
        <v>295</v>
      </c>
      <c r="T460" s="2">
        <v>1</v>
      </c>
      <c r="U460" s="2" t="s">
        <v>141</v>
      </c>
      <c r="Y460" s="2">
        <v>1700</v>
      </c>
      <c r="Z460" s="11" t="s">
        <v>54</v>
      </c>
      <c r="AA460" s="11" t="str">
        <f t="shared" si="33"/>
        <v>1700 - TBN</v>
      </c>
      <c r="AC460" s="2" t="s">
        <v>145</v>
      </c>
      <c r="AD460" s="11" t="str">
        <f>IF($I460&lt;&gt;"",VLOOKUP($AC460,GEADRESSEERDE!$A$2:$E$4,2,),"")</f>
        <v>LUITHAGEN HAVEN 2 D</v>
      </c>
      <c r="AE460" s="11">
        <f>IF($I460&lt;&gt;"",VLOOKUP($AC460,GEADRESSEERDE!$A$2:$E$4,3,),"")</f>
        <v>2030</v>
      </c>
      <c r="AF460" s="11" t="str">
        <f>IF($I460&lt;&gt;"",VLOOKUP($AC460,GEADRESSEERDE!$A$2:$E$4,4,),"")</f>
        <v>ANTWERPEN</v>
      </c>
      <c r="AG460" s="11" t="str">
        <f>IF($I460&lt;&gt;"",VLOOKUP($AC460,GEADRESSEERDE!$A$2:$E$4,5,),"")</f>
        <v>BE</v>
      </c>
      <c r="AH460" s="11" t="str">
        <f>IF(I460&lt;&gt;"",VLOOKUP(AP460,KvB!$A$2:$B$3,2,FALSE),"")</f>
        <v>BE101000</v>
      </c>
      <c r="AI460" s="11" t="s">
        <v>55</v>
      </c>
      <c r="AJ460" s="11"/>
      <c r="AK460" s="11"/>
      <c r="AL460" s="11"/>
      <c r="AM460" s="11"/>
      <c r="AN460" s="11"/>
      <c r="AO460" s="11"/>
      <c r="AP460" s="2" t="s">
        <v>70</v>
      </c>
      <c r="AQ460" s="11" t="str">
        <f>IF(I460&lt;&gt;"",DATA!D459,"")</f>
        <v>7419200090</v>
      </c>
    </row>
    <row r="461" spans="1:43" ht="15.75" x14ac:dyDescent="0.25">
      <c r="A461" s="11" t="s">
        <v>57</v>
      </c>
      <c r="B461" s="11" t="s">
        <v>56</v>
      </c>
      <c r="C461" s="22">
        <f t="shared" si="34"/>
        <v>25001620</v>
      </c>
      <c r="D461" s="11" t="str">
        <f t="shared" si="31"/>
        <v>SKIIFM_AT</v>
      </c>
      <c r="E461" s="11" t="str">
        <f>IF(I461&lt;&gt;"",VLOOKUP(F461,OPDRACHTGEVER!$A$2:$B$4,2,FALSE),"")</f>
        <v>SKIIFM_AT</v>
      </c>
      <c r="F461" s="11" t="s">
        <v>58</v>
      </c>
      <c r="I461" s="11" t="str">
        <f>IF(DATA!B460&lt;&gt;"",DATA!B460,"")</f>
        <v>CAIU7419650</v>
      </c>
      <c r="J461" s="12">
        <v>0</v>
      </c>
      <c r="K461" s="11" t="s">
        <v>53</v>
      </c>
      <c r="L461" s="11" t="str">
        <f t="shared" si="32"/>
        <v>844339</v>
      </c>
      <c r="M461" s="11" t="str">
        <f>IF(I461&lt;&gt;"",DATA!E460,"")</f>
        <v>HEAT PRESS MACHINE</v>
      </c>
      <c r="N461" s="12">
        <v>0</v>
      </c>
      <c r="O461" s="11">
        <f>IF(I461&lt;&gt;"",DATA!C460,"")</f>
        <v>1012.8</v>
      </c>
      <c r="P461" s="2">
        <v>294094</v>
      </c>
      <c r="Q461" s="2" t="s">
        <v>1304</v>
      </c>
      <c r="R461" s="2" t="s">
        <v>1315</v>
      </c>
      <c r="S461" s="2">
        <v>295</v>
      </c>
      <c r="T461" s="2">
        <v>1</v>
      </c>
      <c r="U461" s="2" t="s">
        <v>141</v>
      </c>
      <c r="Y461" s="2">
        <v>1700</v>
      </c>
      <c r="Z461" s="11" t="s">
        <v>54</v>
      </c>
      <c r="AA461" s="11" t="str">
        <f t="shared" si="33"/>
        <v>1700 - TBN</v>
      </c>
      <c r="AC461" s="2" t="s">
        <v>145</v>
      </c>
      <c r="AD461" s="11" t="str">
        <f>IF($I461&lt;&gt;"",VLOOKUP($AC461,GEADRESSEERDE!$A$2:$E$4,2,),"")</f>
        <v>LUITHAGEN HAVEN 2 D</v>
      </c>
      <c r="AE461" s="11">
        <f>IF($I461&lt;&gt;"",VLOOKUP($AC461,GEADRESSEERDE!$A$2:$E$4,3,),"")</f>
        <v>2030</v>
      </c>
      <c r="AF461" s="11" t="str">
        <f>IF($I461&lt;&gt;"",VLOOKUP($AC461,GEADRESSEERDE!$A$2:$E$4,4,),"")</f>
        <v>ANTWERPEN</v>
      </c>
      <c r="AG461" s="11" t="str">
        <f>IF($I461&lt;&gt;"",VLOOKUP($AC461,GEADRESSEERDE!$A$2:$E$4,5,),"")</f>
        <v>BE</v>
      </c>
      <c r="AH461" s="11" t="str">
        <f>IF(I461&lt;&gt;"",VLOOKUP(AP461,KvB!$A$2:$B$3,2,FALSE),"")</f>
        <v>BE101000</v>
      </c>
      <c r="AI461" s="11" t="s">
        <v>55</v>
      </c>
      <c r="AJ461" s="11"/>
      <c r="AK461" s="11"/>
      <c r="AL461" s="11"/>
      <c r="AM461" s="11"/>
      <c r="AN461" s="11"/>
      <c r="AO461" s="11"/>
      <c r="AP461" s="2" t="s">
        <v>70</v>
      </c>
      <c r="AQ461" s="11" t="str">
        <f>IF(I461&lt;&gt;"",DATA!D460,"")</f>
        <v>8443390000</v>
      </c>
    </row>
    <row r="462" spans="1:43" ht="15.75" x14ac:dyDescent="0.25">
      <c r="A462" s="11" t="s">
        <v>57</v>
      </c>
      <c r="B462" s="11" t="s">
        <v>56</v>
      </c>
      <c r="C462" s="22">
        <f t="shared" si="34"/>
        <v>25001620</v>
      </c>
      <c r="D462" s="11" t="str">
        <f t="shared" si="31"/>
        <v>SKIIFM_AT</v>
      </c>
      <c r="E462" s="11" t="str">
        <f>IF(I462&lt;&gt;"",VLOOKUP(F462,OPDRACHTGEVER!$A$2:$B$4,2,FALSE),"")</f>
        <v>SKIIFM_AT</v>
      </c>
      <c r="F462" s="11" t="s">
        <v>58</v>
      </c>
      <c r="I462" s="11" t="str">
        <f>IF(DATA!B461&lt;&gt;"",DATA!B461,"")</f>
        <v>CAIU7419650</v>
      </c>
      <c r="J462" s="12">
        <v>0</v>
      </c>
      <c r="K462" s="11" t="s">
        <v>53</v>
      </c>
      <c r="L462" s="11" t="str">
        <f t="shared" si="32"/>
        <v>841940</v>
      </c>
      <c r="M462" s="11" t="str">
        <f>IF(I462&lt;&gt;"",DATA!E461,"")</f>
        <v>HOMEMADE ESSENTIAL OIL KIT</v>
      </c>
      <c r="N462" s="12">
        <v>0</v>
      </c>
      <c r="O462" s="11">
        <f>IF(I462&lt;&gt;"",DATA!C461,"")</f>
        <v>236.3</v>
      </c>
      <c r="P462" s="2">
        <v>294094</v>
      </c>
      <c r="Q462" s="2" t="s">
        <v>1304</v>
      </c>
      <c r="R462" s="2" t="s">
        <v>1315</v>
      </c>
      <c r="S462" s="2">
        <v>295</v>
      </c>
      <c r="T462" s="2">
        <v>1</v>
      </c>
      <c r="U462" s="2" t="s">
        <v>141</v>
      </c>
      <c r="Y462" s="2">
        <v>1700</v>
      </c>
      <c r="Z462" s="11" t="s">
        <v>54</v>
      </c>
      <c r="AA462" s="11" t="str">
        <f t="shared" si="33"/>
        <v>1700 - TBN</v>
      </c>
      <c r="AC462" s="2" t="s">
        <v>145</v>
      </c>
      <c r="AD462" s="11" t="str">
        <f>IF($I462&lt;&gt;"",VLOOKUP($AC462,GEADRESSEERDE!$A$2:$E$4,2,),"")</f>
        <v>LUITHAGEN HAVEN 2 D</v>
      </c>
      <c r="AE462" s="11">
        <f>IF($I462&lt;&gt;"",VLOOKUP($AC462,GEADRESSEERDE!$A$2:$E$4,3,),"")</f>
        <v>2030</v>
      </c>
      <c r="AF462" s="11" t="str">
        <f>IF($I462&lt;&gt;"",VLOOKUP($AC462,GEADRESSEERDE!$A$2:$E$4,4,),"")</f>
        <v>ANTWERPEN</v>
      </c>
      <c r="AG462" s="11" t="str">
        <f>IF($I462&lt;&gt;"",VLOOKUP($AC462,GEADRESSEERDE!$A$2:$E$4,5,),"")</f>
        <v>BE</v>
      </c>
      <c r="AH462" s="11" t="str">
        <f>IF(I462&lt;&gt;"",VLOOKUP(AP462,KvB!$A$2:$B$3,2,FALSE),"")</f>
        <v>BE101000</v>
      </c>
      <c r="AI462" s="11" t="s">
        <v>55</v>
      </c>
      <c r="AJ462" s="11"/>
      <c r="AK462" s="11"/>
      <c r="AL462" s="11"/>
      <c r="AM462" s="11"/>
      <c r="AN462" s="11"/>
      <c r="AO462" s="11"/>
      <c r="AP462" s="2" t="s">
        <v>70</v>
      </c>
      <c r="AQ462" s="11" t="str">
        <f>IF(I462&lt;&gt;"",DATA!D461,"")</f>
        <v>8419400090</v>
      </c>
    </row>
    <row r="463" spans="1:43" ht="15.75" x14ac:dyDescent="0.25">
      <c r="A463" s="11" t="s">
        <v>57</v>
      </c>
      <c r="B463" s="11" t="s">
        <v>56</v>
      </c>
      <c r="C463" s="22">
        <f t="shared" si="34"/>
        <v>25001620</v>
      </c>
      <c r="D463" s="11" t="str">
        <f t="shared" si="31"/>
        <v>SKIIFM_AT</v>
      </c>
      <c r="E463" s="11" t="str">
        <f>IF(I463&lt;&gt;"",VLOOKUP(F463,OPDRACHTGEVER!$A$2:$B$4,2,FALSE),"")</f>
        <v>SKIIFM_AT</v>
      </c>
      <c r="F463" s="11" t="s">
        <v>58</v>
      </c>
      <c r="I463" s="11" t="str">
        <f>IF(DATA!B462&lt;&gt;"",DATA!B462,"")</f>
        <v>CAIU7419650</v>
      </c>
      <c r="J463" s="12">
        <v>0</v>
      </c>
      <c r="K463" s="11" t="s">
        <v>53</v>
      </c>
      <c r="L463" s="11" t="str">
        <f t="shared" si="32"/>
        <v>846261</v>
      </c>
      <c r="M463" s="11" t="str">
        <f>IF(I463&lt;&gt;"",DATA!E462,"")</f>
        <v>HYDRAULIC PRESS</v>
      </c>
      <c r="N463" s="12">
        <v>0</v>
      </c>
      <c r="O463" s="11">
        <f>IF(I463&lt;&gt;"",DATA!C462,"")</f>
        <v>2051.1</v>
      </c>
      <c r="P463" s="2">
        <v>294094</v>
      </c>
      <c r="Q463" s="2" t="s">
        <v>1304</v>
      </c>
      <c r="R463" s="2" t="s">
        <v>1315</v>
      </c>
      <c r="S463" s="2">
        <v>295</v>
      </c>
      <c r="T463" s="2">
        <v>1</v>
      </c>
      <c r="U463" s="2" t="s">
        <v>141</v>
      </c>
      <c r="Y463" s="2">
        <v>1700</v>
      </c>
      <c r="Z463" s="11" t="s">
        <v>54</v>
      </c>
      <c r="AA463" s="11" t="str">
        <f t="shared" si="33"/>
        <v>1700 - TBN</v>
      </c>
      <c r="AC463" s="2" t="s">
        <v>145</v>
      </c>
      <c r="AD463" s="11" t="str">
        <f>IF($I463&lt;&gt;"",VLOOKUP($AC463,GEADRESSEERDE!$A$2:$E$4,2,),"")</f>
        <v>LUITHAGEN HAVEN 2 D</v>
      </c>
      <c r="AE463" s="11">
        <f>IF($I463&lt;&gt;"",VLOOKUP($AC463,GEADRESSEERDE!$A$2:$E$4,3,),"")</f>
        <v>2030</v>
      </c>
      <c r="AF463" s="11" t="str">
        <f>IF($I463&lt;&gt;"",VLOOKUP($AC463,GEADRESSEERDE!$A$2:$E$4,4,),"")</f>
        <v>ANTWERPEN</v>
      </c>
      <c r="AG463" s="11" t="str">
        <f>IF($I463&lt;&gt;"",VLOOKUP($AC463,GEADRESSEERDE!$A$2:$E$4,5,),"")</f>
        <v>BE</v>
      </c>
      <c r="AH463" s="11" t="str">
        <f>IF(I463&lt;&gt;"",VLOOKUP(AP463,KvB!$A$2:$B$3,2,FALSE),"")</f>
        <v>BE101000</v>
      </c>
      <c r="AI463" s="11" t="s">
        <v>55</v>
      </c>
      <c r="AJ463" s="11"/>
      <c r="AK463" s="11"/>
      <c r="AL463" s="11"/>
      <c r="AM463" s="11"/>
      <c r="AN463" s="11"/>
      <c r="AO463" s="11"/>
      <c r="AP463" s="2" t="s">
        <v>70</v>
      </c>
      <c r="AQ463" s="11" t="str">
        <f>IF(I463&lt;&gt;"",DATA!D462,"")</f>
        <v>8462619000</v>
      </c>
    </row>
    <row r="464" spans="1:43" ht="15.75" x14ac:dyDescent="0.25">
      <c r="A464" s="11" t="s">
        <v>57</v>
      </c>
      <c r="B464" s="11" t="s">
        <v>56</v>
      </c>
      <c r="C464" s="22">
        <f t="shared" si="34"/>
        <v>25001620</v>
      </c>
      <c r="D464" s="11" t="str">
        <f t="shared" si="31"/>
        <v>SKIIFM_AT</v>
      </c>
      <c r="E464" s="11" t="str">
        <f>IF(I464&lt;&gt;"",VLOOKUP(F464,OPDRACHTGEVER!$A$2:$B$4,2,FALSE),"")</f>
        <v>SKIIFM_AT</v>
      </c>
      <c r="F464" s="11" t="s">
        <v>58</v>
      </c>
      <c r="I464" s="11" t="str">
        <f>IF(DATA!B463&lt;&gt;"",DATA!B463,"")</f>
        <v>CAIU7419650</v>
      </c>
      <c r="J464" s="12">
        <v>0</v>
      </c>
      <c r="K464" s="11" t="s">
        <v>53</v>
      </c>
      <c r="L464" s="11" t="str">
        <f t="shared" si="32"/>
        <v>850940</v>
      </c>
      <c r="M464" s="11" t="str">
        <f>IF(I464&lt;&gt;"",DATA!E463,"")</f>
        <v>JUICER</v>
      </c>
      <c r="N464" s="12">
        <v>0</v>
      </c>
      <c r="O464" s="11">
        <f>IF(I464&lt;&gt;"",DATA!C463,"")</f>
        <v>1071</v>
      </c>
      <c r="P464" s="2">
        <v>294094</v>
      </c>
      <c r="Q464" s="2" t="s">
        <v>1304</v>
      </c>
      <c r="R464" s="2" t="s">
        <v>1315</v>
      </c>
      <c r="S464" s="2">
        <v>295</v>
      </c>
      <c r="T464" s="2">
        <v>1</v>
      </c>
      <c r="U464" s="2" t="s">
        <v>141</v>
      </c>
      <c r="Y464" s="2">
        <v>1700</v>
      </c>
      <c r="Z464" s="11" t="s">
        <v>54</v>
      </c>
      <c r="AA464" s="11" t="str">
        <f t="shared" si="33"/>
        <v>1700 - TBN</v>
      </c>
      <c r="AC464" s="2" t="s">
        <v>145</v>
      </c>
      <c r="AD464" s="11" t="str">
        <f>IF($I464&lt;&gt;"",VLOOKUP($AC464,GEADRESSEERDE!$A$2:$E$4,2,),"")</f>
        <v>LUITHAGEN HAVEN 2 D</v>
      </c>
      <c r="AE464" s="11">
        <f>IF($I464&lt;&gt;"",VLOOKUP($AC464,GEADRESSEERDE!$A$2:$E$4,3,),"")</f>
        <v>2030</v>
      </c>
      <c r="AF464" s="11" t="str">
        <f>IF($I464&lt;&gt;"",VLOOKUP($AC464,GEADRESSEERDE!$A$2:$E$4,4,),"")</f>
        <v>ANTWERPEN</v>
      </c>
      <c r="AG464" s="11" t="str">
        <f>IF($I464&lt;&gt;"",VLOOKUP($AC464,GEADRESSEERDE!$A$2:$E$4,5,),"")</f>
        <v>BE</v>
      </c>
      <c r="AH464" s="11" t="str">
        <f>IF(I464&lt;&gt;"",VLOOKUP(AP464,KvB!$A$2:$B$3,2,FALSE),"")</f>
        <v>BE101000</v>
      </c>
      <c r="AI464" s="11" t="s">
        <v>55</v>
      </c>
      <c r="AJ464" s="11"/>
      <c r="AK464" s="11"/>
      <c r="AL464" s="11"/>
      <c r="AM464" s="11"/>
      <c r="AN464" s="11"/>
      <c r="AO464" s="11"/>
      <c r="AP464" s="2" t="s">
        <v>70</v>
      </c>
      <c r="AQ464" s="11" t="str">
        <f>IF(I464&lt;&gt;"",DATA!D463,"")</f>
        <v>8509400000</v>
      </c>
    </row>
    <row r="465" spans="1:43" ht="15.75" x14ac:dyDescent="0.25">
      <c r="A465" s="11" t="s">
        <v>57</v>
      </c>
      <c r="B465" s="11" t="s">
        <v>56</v>
      </c>
      <c r="C465" s="22">
        <f t="shared" si="34"/>
        <v>25001620</v>
      </c>
      <c r="D465" s="11" t="str">
        <f t="shared" si="31"/>
        <v>SKIIFM_AT</v>
      </c>
      <c r="E465" s="11" t="str">
        <f>IF(I465&lt;&gt;"",VLOOKUP(F465,OPDRACHTGEVER!$A$2:$B$4,2,FALSE),"")</f>
        <v>SKIIFM_AT</v>
      </c>
      <c r="F465" s="11" t="s">
        <v>58</v>
      </c>
      <c r="I465" s="11" t="str">
        <f>IF(DATA!B464&lt;&gt;"",DATA!B464,"")</f>
        <v>CAIU7419650</v>
      </c>
      <c r="J465" s="12">
        <v>0</v>
      </c>
      <c r="K465" s="11" t="s">
        <v>53</v>
      </c>
      <c r="L465" s="11" t="str">
        <f t="shared" si="32"/>
        <v>901530</v>
      </c>
      <c r="M465" s="11" t="str">
        <f>IF(I465&lt;&gt;"",DATA!E464,"")</f>
        <v>LASER LEVELER</v>
      </c>
      <c r="N465" s="12">
        <v>0</v>
      </c>
      <c r="O465" s="11">
        <f>IF(I465&lt;&gt;"",DATA!C464,"")</f>
        <v>1.4</v>
      </c>
      <c r="P465" s="2">
        <v>294094</v>
      </c>
      <c r="Q465" s="2" t="s">
        <v>1304</v>
      </c>
      <c r="R465" s="2" t="s">
        <v>1315</v>
      </c>
      <c r="S465" s="2">
        <v>295</v>
      </c>
      <c r="T465" s="2">
        <v>1</v>
      </c>
      <c r="U465" s="2" t="s">
        <v>141</v>
      </c>
      <c r="Y465" s="2">
        <v>1700</v>
      </c>
      <c r="Z465" s="11" t="s">
        <v>54</v>
      </c>
      <c r="AA465" s="11" t="str">
        <f t="shared" si="33"/>
        <v>1700 - TBN</v>
      </c>
      <c r="AC465" s="2" t="s">
        <v>145</v>
      </c>
      <c r="AD465" s="11" t="str">
        <f>IF($I465&lt;&gt;"",VLOOKUP($AC465,GEADRESSEERDE!$A$2:$E$4,2,),"")</f>
        <v>LUITHAGEN HAVEN 2 D</v>
      </c>
      <c r="AE465" s="11">
        <f>IF($I465&lt;&gt;"",VLOOKUP($AC465,GEADRESSEERDE!$A$2:$E$4,3,),"")</f>
        <v>2030</v>
      </c>
      <c r="AF465" s="11" t="str">
        <f>IF($I465&lt;&gt;"",VLOOKUP($AC465,GEADRESSEERDE!$A$2:$E$4,4,),"")</f>
        <v>ANTWERPEN</v>
      </c>
      <c r="AG465" s="11" t="str">
        <f>IF($I465&lt;&gt;"",VLOOKUP($AC465,GEADRESSEERDE!$A$2:$E$4,5,),"")</f>
        <v>BE</v>
      </c>
      <c r="AH465" s="11" t="str">
        <f>IF(I465&lt;&gt;"",VLOOKUP(AP465,KvB!$A$2:$B$3,2,FALSE),"")</f>
        <v>BE101000</v>
      </c>
      <c r="AI465" s="11" t="s">
        <v>55</v>
      </c>
      <c r="AJ465" s="11"/>
      <c r="AK465" s="11"/>
      <c r="AL465" s="11"/>
      <c r="AM465" s="11"/>
      <c r="AN465" s="11"/>
      <c r="AO465" s="11"/>
      <c r="AP465" s="2" t="s">
        <v>70</v>
      </c>
      <c r="AQ465" s="11" t="str">
        <f>IF(I465&lt;&gt;"",DATA!D464,"")</f>
        <v>9015301000</v>
      </c>
    </row>
    <row r="466" spans="1:43" ht="15.75" x14ac:dyDescent="0.25">
      <c r="A466" s="11" t="s">
        <v>57</v>
      </c>
      <c r="B466" s="11" t="s">
        <v>56</v>
      </c>
      <c r="C466" s="22">
        <f t="shared" si="34"/>
        <v>25001620</v>
      </c>
      <c r="D466" s="11" t="str">
        <f t="shared" si="31"/>
        <v>SKIIFM_AT</v>
      </c>
      <c r="E466" s="11" t="str">
        <f>IF(I466&lt;&gt;"",VLOOKUP(F466,OPDRACHTGEVER!$A$2:$B$4,2,FALSE),"")</f>
        <v>SKIIFM_AT</v>
      </c>
      <c r="F466" s="11" t="s">
        <v>58</v>
      </c>
      <c r="I466" s="11" t="str">
        <f>IF(DATA!B465&lt;&gt;"",DATA!B465,"")</f>
        <v>CAIU7419650</v>
      </c>
      <c r="J466" s="12">
        <v>0</v>
      </c>
      <c r="K466" s="11" t="s">
        <v>53</v>
      </c>
      <c r="L466" s="11" t="str">
        <f t="shared" si="32"/>
        <v>741920</v>
      </c>
      <c r="M466" s="11" t="str">
        <f>IF(I466&lt;&gt;"",DATA!E465,"")</f>
        <v>LIFTING CHAIN</v>
      </c>
      <c r="N466" s="12">
        <v>0</v>
      </c>
      <c r="O466" s="11">
        <f>IF(I466&lt;&gt;"",DATA!C465,"")</f>
        <v>20.399999999999999</v>
      </c>
      <c r="P466" s="2">
        <v>294094</v>
      </c>
      <c r="Q466" s="2" t="s">
        <v>1304</v>
      </c>
      <c r="R466" s="2" t="s">
        <v>1315</v>
      </c>
      <c r="S466" s="2">
        <v>295</v>
      </c>
      <c r="T466" s="2">
        <v>1</v>
      </c>
      <c r="U466" s="2" t="s">
        <v>141</v>
      </c>
      <c r="Y466" s="2">
        <v>1700</v>
      </c>
      <c r="Z466" s="11" t="s">
        <v>54</v>
      </c>
      <c r="AA466" s="11" t="str">
        <f t="shared" si="33"/>
        <v>1700 - TBN</v>
      </c>
      <c r="AC466" s="2" t="s">
        <v>145</v>
      </c>
      <c r="AD466" s="11" t="str">
        <f>IF($I466&lt;&gt;"",VLOOKUP($AC466,GEADRESSEERDE!$A$2:$E$4,2,),"")</f>
        <v>LUITHAGEN HAVEN 2 D</v>
      </c>
      <c r="AE466" s="11">
        <f>IF($I466&lt;&gt;"",VLOOKUP($AC466,GEADRESSEERDE!$A$2:$E$4,3,),"")</f>
        <v>2030</v>
      </c>
      <c r="AF466" s="11" t="str">
        <f>IF($I466&lt;&gt;"",VLOOKUP($AC466,GEADRESSEERDE!$A$2:$E$4,4,),"")</f>
        <v>ANTWERPEN</v>
      </c>
      <c r="AG466" s="11" t="str">
        <f>IF($I466&lt;&gt;"",VLOOKUP($AC466,GEADRESSEERDE!$A$2:$E$4,5,),"")</f>
        <v>BE</v>
      </c>
      <c r="AH466" s="11" t="str">
        <f>IF(I466&lt;&gt;"",VLOOKUP(AP466,KvB!$A$2:$B$3,2,FALSE),"")</f>
        <v>BE101000</v>
      </c>
      <c r="AI466" s="11" t="s">
        <v>55</v>
      </c>
      <c r="AJ466" s="11"/>
      <c r="AK466" s="11"/>
      <c r="AL466" s="11"/>
      <c r="AM466" s="11"/>
      <c r="AN466" s="11"/>
      <c r="AO466" s="11"/>
      <c r="AP466" s="2" t="s">
        <v>70</v>
      </c>
      <c r="AQ466" s="11" t="str">
        <f>IF(I466&lt;&gt;"",DATA!D465,"")</f>
        <v>7419200090</v>
      </c>
    </row>
    <row r="467" spans="1:43" ht="15.75" x14ac:dyDescent="0.25">
      <c r="A467" s="11" t="s">
        <v>57</v>
      </c>
      <c r="B467" s="11" t="s">
        <v>56</v>
      </c>
      <c r="C467" s="22">
        <f t="shared" si="34"/>
        <v>25001620</v>
      </c>
      <c r="D467" s="11" t="str">
        <f t="shared" si="31"/>
        <v>SKIIFM_AT</v>
      </c>
      <c r="E467" s="11" t="str">
        <f>IF(I467&lt;&gt;"",VLOOKUP(F467,OPDRACHTGEVER!$A$2:$B$4,2,FALSE),"")</f>
        <v>SKIIFM_AT</v>
      </c>
      <c r="F467" s="11" t="s">
        <v>58</v>
      </c>
      <c r="I467" s="11" t="str">
        <f>IF(DATA!B466&lt;&gt;"",DATA!B466,"")</f>
        <v>CAIU7419650</v>
      </c>
      <c r="J467" s="12">
        <v>0</v>
      </c>
      <c r="K467" s="11" t="s">
        <v>53</v>
      </c>
      <c r="L467" s="11" t="str">
        <f t="shared" si="32"/>
        <v>850132</v>
      </c>
      <c r="M467" s="11" t="str">
        <f>IF(I467&lt;&gt;"",DATA!E466,"")</f>
        <v>MOTOR</v>
      </c>
      <c r="N467" s="12">
        <v>0</v>
      </c>
      <c r="O467" s="11">
        <f>IF(I467&lt;&gt;"",DATA!C466,"")</f>
        <v>5.6</v>
      </c>
      <c r="P467" s="2">
        <v>294094</v>
      </c>
      <c r="Q467" s="2" t="s">
        <v>1304</v>
      </c>
      <c r="R467" s="2" t="s">
        <v>1315</v>
      </c>
      <c r="S467" s="2">
        <v>295</v>
      </c>
      <c r="T467" s="2">
        <v>1</v>
      </c>
      <c r="U467" s="2" t="s">
        <v>141</v>
      </c>
      <c r="Y467" s="2">
        <v>1700</v>
      </c>
      <c r="Z467" s="11" t="s">
        <v>54</v>
      </c>
      <c r="AA467" s="11" t="str">
        <f t="shared" si="33"/>
        <v>1700 - TBN</v>
      </c>
      <c r="AC467" s="2" t="s">
        <v>145</v>
      </c>
      <c r="AD467" s="11" t="str">
        <f>IF($I467&lt;&gt;"",VLOOKUP($AC467,GEADRESSEERDE!$A$2:$E$4,2,),"")</f>
        <v>LUITHAGEN HAVEN 2 D</v>
      </c>
      <c r="AE467" s="11">
        <f>IF($I467&lt;&gt;"",VLOOKUP($AC467,GEADRESSEERDE!$A$2:$E$4,3,),"")</f>
        <v>2030</v>
      </c>
      <c r="AF467" s="11" t="str">
        <f>IF($I467&lt;&gt;"",VLOOKUP($AC467,GEADRESSEERDE!$A$2:$E$4,4,),"")</f>
        <v>ANTWERPEN</v>
      </c>
      <c r="AG467" s="11" t="str">
        <f>IF($I467&lt;&gt;"",VLOOKUP($AC467,GEADRESSEERDE!$A$2:$E$4,5,),"")</f>
        <v>BE</v>
      </c>
      <c r="AH467" s="11" t="str">
        <f>IF(I467&lt;&gt;"",VLOOKUP(AP467,KvB!$A$2:$B$3,2,FALSE),"")</f>
        <v>BE101000</v>
      </c>
      <c r="AI467" s="11" t="s">
        <v>55</v>
      </c>
      <c r="AJ467" s="11"/>
      <c r="AK467" s="11"/>
      <c r="AL467" s="11"/>
      <c r="AM467" s="11"/>
      <c r="AN467" s="11"/>
      <c r="AO467" s="11"/>
      <c r="AP467" s="2" t="s">
        <v>70</v>
      </c>
      <c r="AQ467" s="11" t="str">
        <f>IF(I467&lt;&gt;"",DATA!D466,"")</f>
        <v>8501320099</v>
      </c>
    </row>
    <row r="468" spans="1:43" ht="15.75" x14ac:dyDescent="0.25">
      <c r="A468" s="11" t="s">
        <v>57</v>
      </c>
      <c r="B468" s="11" t="s">
        <v>56</v>
      </c>
      <c r="C468" s="22">
        <f t="shared" si="34"/>
        <v>25001620</v>
      </c>
      <c r="D468" s="11" t="str">
        <f t="shared" si="31"/>
        <v>SKIIFM_AT</v>
      </c>
      <c r="E468" s="11" t="str">
        <f>IF(I468&lt;&gt;"",VLOOKUP(F468,OPDRACHTGEVER!$A$2:$B$4,2,FALSE),"")</f>
        <v>SKIIFM_AT</v>
      </c>
      <c r="F468" s="11" t="s">
        <v>58</v>
      </c>
      <c r="I468" s="11" t="str">
        <f>IF(DATA!B467&lt;&gt;"",DATA!B467,"")</f>
        <v>CAIU7419650</v>
      </c>
      <c r="J468" s="12">
        <v>0</v>
      </c>
      <c r="K468" s="11" t="s">
        <v>53</v>
      </c>
      <c r="L468" s="11" t="str">
        <f t="shared" si="32"/>
        <v>820320</v>
      </c>
      <c r="M468" s="11" t="str">
        <f>IF(I468&lt;&gt;"",DATA!E467,"")</f>
        <v>PIPE CLAMP</v>
      </c>
      <c r="N468" s="12">
        <v>0</v>
      </c>
      <c r="O468" s="11">
        <f>IF(I468&lt;&gt;"",DATA!C467,"")</f>
        <v>4.95</v>
      </c>
      <c r="P468" s="2">
        <v>294094</v>
      </c>
      <c r="Q468" s="2" t="s">
        <v>1304</v>
      </c>
      <c r="R468" s="2" t="s">
        <v>1315</v>
      </c>
      <c r="S468" s="2">
        <v>295</v>
      </c>
      <c r="T468" s="2">
        <v>1</v>
      </c>
      <c r="U468" s="2" t="s">
        <v>141</v>
      </c>
      <c r="Y468" s="2">
        <v>1700</v>
      </c>
      <c r="Z468" s="11" t="s">
        <v>54</v>
      </c>
      <c r="AA468" s="11" t="str">
        <f t="shared" si="33"/>
        <v>1700 - TBN</v>
      </c>
      <c r="AC468" s="2" t="s">
        <v>145</v>
      </c>
      <c r="AD468" s="11" t="str">
        <f>IF($I468&lt;&gt;"",VLOOKUP($AC468,GEADRESSEERDE!$A$2:$E$4,2,),"")</f>
        <v>LUITHAGEN HAVEN 2 D</v>
      </c>
      <c r="AE468" s="11">
        <f>IF($I468&lt;&gt;"",VLOOKUP($AC468,GEADRESSEERDE!$A$2:$E$4,3,),"")</f>
        <v>2030</v>
      </c>
      <c r="AF468" s="11" t="str">
        <f>IF($I468&lt;&gt;"",VLOOKUP($AC468,GEADRESSEERDE!$A$2:$E$4,4,),"")</f>
        <v>ANTWERPEN</v>
      </c>
      <c r="AG468" s="11" t="str">
        <f>IF($I468&lt;&gt;"",VLOOKUP($AC468,GEADRESSEERDE!$A$2:$E$4,5,),"")</f>
        <v>BE</v>
      </c>
      <c r="AH468" s="11" t="str">
        <f>IF(I468&lt;&gt;"",VLOOKUP(AP468,KvB!$A$2:$B$3,2,FALSE),"")</f>
        <v>BE101000</v>
      </c>
      <c r="AI468" s="11" t="s">
        <v>55</v>
      </c>
      <c r="AJ468" s="11"/>
      <c r="AK468" s="11"/>
      <c r="AL468" s="11"/>
      <c r="AM468" s="11"/>
      <c r="AN468" s="11"/>
      <c r="AO468" s="11"/>
      <c r="AP468" s="2" t="s">
        <v>70</v>
      </c>
      <c r="AQ468" s="11" t="str">
        <f>IF(I468&lt;&gt;"",DATA!D467,"")</f>
        <v>8203200000</v>
      </c>
    </row>
    <row r="469" spans="1:43" ht="15.75" x14ac:dyDescent="0.25">
      <c r="A469" s="11" t="s">
        <v>57</v>
      </c>
      <c r="B469" s="11" t="s">
        <v>56</v>
      </c>
      <c r="C469" s="22">
        <f t="shared" si="34"/>
        <v>25001620</v>
      </c>
      <c r="D469" s="11" t="str">
        <f t="shared" si="31"/>
        <v>SKIIFM_AT</v>
      </c>
      <c r="E469" s="11" t="str">
        <f>IF(I469&lt;&gt;"",VLOOKUP(F469,OPDRACHTGEVER!$A$2:$B$4,2,FALSE),"")</f>
        <v>SKIIFM_AT</v>
      </c>
      <c r="F469" s="11" t="s">
        <v>58</v>
      </c>
      <c r="I469" s="11" t="str">
        <f>IF(DATA!B468&lt;&gt;"",DATA!B468,"")</f>
        <v>CAIU7419650</v>
      </c>
      <c r="J469" s="12">
        <v>0</v>
      </c>
      <c r="K469" s="11" t="s">
        <v>53</v>
      </c>
      <c r="L469" s="11" t="str">
        <f t="shared" si="32"/>
        <v>842430</v>
      </c>
      <c r="M469" s="11" t="str">
        <f>IF(I469&lt;&gt;"",DATA!E468,"")</f>
        <v>POWDER COATING MACHINE</v>
      </c>
      <c r="N469" s="12">
        <v>0</v>
      </c>
      <c r="O469" s="11">
        <f>IF(I469&lt;&gt;"",DATA!C468,"")</f>
        <v>430.1</v>
      </c>
      <c r="P469" s="2">
        <v>294094</v>
      </c>
      <c r="Q469" s="2" t="s">
        <v>1304</v>
      </c>
      <c r="R469" s="2" t="s">
        <v>1315</v>
      </c>
      <c r="S469" s="2">
        <v>295</v>
      </c>
      <c r="T469" s="2">
        <v>1</v>
      </c>
      <c r="U469" s="2" t="s">
        <v>141</v>
      </c>
      <c r="Y469" s="2">
        <v>1700</v>
      </c>
      <c r="Z469" s="11" t="s">
        <v>54</v>
      </c>
      <c r="AA469" s="11" t="str">
        <f t="shared" si="33"/>
        <v>1700 - TBN</v>
      </c>
      <c r="AC469" s="2" t="s">
        <v>145</v>
      </c>
      <c r="AD469" s="11" t="str">
        <f>IF($I469&lt;&gt;"",VLOOKUP($AC469,GEADRESSEERDE!$A$2:$E$4,2,),"")</f>
        <v>LUITHAGEN HAVEN 2 D</v>
      </c>
      <c r="AE469" s="11">
        <f>IF($I469&lt;&gt;"",VLOOKUP($AC469,GEADRESSEERDE!$A$2:$E$4,3,),"")</f>
        <v>2030</v>
      </c>
      <c r="AF469" s="11" t="str">
        <f>IF($I469&lt;&gt;"",VLOOKUP($AC469,GEADRESSEERDE!$A$2:$E$4,4,),"")</f>
        <v>ANTWERPEN</v>
      </c>
      <c r="AG469" s="11" t="str">
        <f>IF($I469&lt;&gt;"",VLOOKUP($AC469,GEADRESSEERDE!$A$2:$E$4,5,),"")</f>
        <v>BE</v>
      </c>
      <c r="AH469" s="11" t="str">
        <f>IF(I469&lt;&gt;"",VLOOKUP(AP469,KvB!$A$2:$B$3,2,FALSE),"")</f>
        <v>BE101000</v>
      </c>
      <c r="AI469" s="11" t="s">
        <v>55</v>
      </c>
      <c r="AJ469" s="11"/>
      <c r="AK469" s="11"/>
      <c r="AL469" s="11"/>
      <c r="AM469" s="11"/>
      <c r="AN469" s="11"/>
      <c r="AO469" s="11"/>
      <c r="AP469" s="2" t="s">
        <v>70</v>
      </c>
      <c r="AQ469" s="11" t="str">
        <f>IF(I469&lt;&gt;"",DATA!D468,"")</f>
        <v>8424301000</v>
      </c>
    </row>
    <row r="470" spans="1:43" ht="15.75" x14ac:dyDescent="0.25">
      <c r="A470" s="11" t="s">
        <v>57</v>
      </c>
      <c r="B470" s="11" t="s">
        <v>56</v>
      </c>
      <c r="C470" s="22">
        <f t="shared" si="34"/>
        <v>25001620</v>
      </c>
      <c r="D470" s="11" t="str">
        <f t="shared" si="31"/>
        <v>SKIIFM_AT</v>
      </c>
      <c r="E470" s="11" t="str">
        <f>IF(I470&lt;&gt;"",VLOOKUP(F470,OPDRACHTGEVER!$A$2:$B$4,2,FALSE),"")</f>
        <v>SKIIFM_AT</v>
      </c>
      <c r="F470" s="11" t="s">
        <v>58</v>
      </c>
      <c r="I470" s="11" t="str">
        <f>IF(DATA!B469&lt;&gt;"",DATA!B469,"")</f>
        <v>CAIU7419650</v>
      </c>
      <c r="J470" s="12">
        <v>0</v>
      </c>
      <c r="K470" s="11" t="s">
        <v>53</v>
      </c>
      <c r="L470" s="11" t="str">
        <f t="shared" si="32"/>
        <v>820510</v>
      </c>
      <c r="M470" s="11" t="str">
        <f>IF(I470&lt;&gt;"",DATA!E469,"")</f>
        <v>PUNCH LOCATOR</v>
      </c>
      <c r="N470" s="12">
        <v>0</v>
      </c>
      <c r="O470" s="11">
        <f>IF(I470&lt;&gt;"",DATA!C469,"")</f>
        <v>1.65</v>
      </c>
      <c r="P470" s="2">
        <v>294094</v>
      </c>
      <c r="Q470" s="2" t="s">
        <v>1304</v>
      </c>
      <c r="R470" s="2" t="s">
        <v>1315</v>
      </c>
      <c r="S470" s="2">
        <v>295</v>
      </c>
      <c r="T470" s="2">
        <v>1</v>
      </c>
      <c r="U470" s="2" t="s">
        <v>141</v>
      </c>
      <c r="Y470" s="2">
        <v>1700</v>
      </c>
      <c r="Z470" s="11" t="s">
        <v>54</v>
      </c>
      <c r="AA470" s="11" t="str">
        <f t="shared" si="33"/>
        <v>1700 - TBN</v>
      </c>
      <c r="AC470" s="2" t="s">
        <v>145</v>
      </c>
      <c r="AD470" s="11" t="str">
        <f>IF($I470&lt;&gt;"",VLOOKUP($AC470,GEADRESSEERDE!$A$2:$E$4,2,),"")</f>
        <v>LUITHAGEN HAVEN 2 D</v>
      </c>
      <c r="AE470" s="11">
        <f>IF($I470&lt;&gt;"",VLOOKUP($AC470,GEADRESSEERDE!$A$2:$E$4,3,),"")</f>
        <v>2030</v>
      </c>
      <c r="AF470" s="11" t="str">
        <f>IF($I470&lt;&gt;"",VLOOKUP($AC470,GEADRESSEERDE!$A$2:$E$4,4,),"")</f>
        <v>ANTWERPEN</v>
      </c>
      <c r="AG470" s="11" t="str">
        <f>IF($I470&lt;&gt;"",VLOOKUP($AC470,GEADRESSEERDE!$A$2:$E$4,5,),"")</f>
        <v>BE</v>
      </c>
      <c r="AH470" s="11" t="str">
        <f>IF(I470&lt;&gt;"",VLOOKUP(AP470,KvB!$A$2:$B$3,2,FALSE),"")</f>
        <v>BE101000</v>
      </c>
      <c r="AI470" s="11" t="s">
        <v>55</v>
      </c>
      <c r="AJ470" s="11"/>
      <c r="AK470" s="11"/>
      <c r="AL470" s="11"/>
      <c r="AM470" s="11"/>
      <c r="AN470" s="11"/>
      <c r="AO470" s="11"/>
      <c r="AP470" s="2" t="s">
        <v>70</v>
      </c>
      <c r="AQ470" s="11" t="str">
        <f>IF(I470&lt;&gt;"",DATA!D469,"")</f>
        <v>8205100000</v>
      </c>
    </row>
    <row r="471" spans="1:43" ht="15.75" x14ac:dyDescent="0.25">
      <c r="A471" s="11" t="s">
        <v>57</v>
      </c>
      <c r="B471" s="11" t="s">
        <v>56</v>
      </c>
      <c r="C471" s="22">
        <f t="shared" si="34"/>
        <v>25001620</v>
      </c>
      <c r="D471" s="11" t="str">
        <f t="shared" si="31"/>
        <v>SKIIFM_AT</v>
      </c>
      <c r="E471" s="11" t="str">
        <f>IF(I471&lt;&gt;"",VLOOKUP(F471,OPDRACHTGEVER!$A$2:$B$4,2,FALSE),"")</f>
        <v>SKIIFM_AT</v>
      </c>
      <c r="F471" s="11" t="s">
        <v>58</v>
      </c>
      <c r="I471" s="11" t="str">
        <f>IF(DATA!B470&lt;&gt;"",DATA!B470,"")</f>
        <v>CAIU7419650</v>
      </c>
      <c r="J471" s="12">
        <v>0</v>
      </c>
      <c r="K471" s="11" t="s">
        <v>53</v>
      </c>
      <c r="L471" s="11" t="str">
        <f t="shared" si="32"/>
        <v>391810</v>
      </c>
      <c r="M471" s="11" t="str">
        <f>IF(I471&lt;&gt;"",DATA!E470,"")</f>
        <v>PVC FLOOR MAT</v>
      </c>
      <c r="N471" s="12">
        <v>0</v>
      </c>
      <c r="O471" s="11">
        <f>IF(I471&lt;&gt;"",DATA!C470,"")</f>
        <v>2.35</v>
      </c>
      <c r="P471" s="2">
        <v>294094</v>
      </c>
      <c r="Q471" s="2" t="s">
        <v>1304</v>
      </c>
      <c r="R471" s="2" t="s">
        <v>1315</v>
      </c>
      <c r="S471" s="2">
        <v>295</v>
      </c>
      <c r="T471" s="2">
        <v>1</v>
      </c>
      <c r="U471" s="2" t="s">
        <v>141</v>
      </c>
      <c r="Y471" s="2">
        <v>1700</v>
      </c>
      <c r="Z471" s="11" t="s">
        <v>54</v>
      </c>
      <c r="AA471" s="11" t="str">
        <f t="shared" si="33"/>
        <v>1700 - TBN</v>
      </c>
      <c r="AC471" s="2" t="s">
        <v>145</v>
      </c>
      <c r="AD471" s="11" t="str">
        <f>IF($I471&lt;&gt;"",VLOOKUP($AC471,GEADRESSEERDE!$A$2:$E$4,2,),"")</f>
        <v>LUITHAGEN HAVEN 2 D</v>
      </c>
      <c r="AE471" s="11">
        <f>IF($I471&lt;&gt;"",VLOOKUP($AC471,GEADRESSEERDE!$A$2:$E$4,3,),"")</f>
        <v>2030</v>
      </c>
      <c r="AF471" s="11" t="str">
        <f>IF($I471&lt;&gt;"",VLOOKUP($AC471,GEADRESSEERDE!$A$2:$E$4,4,),"")</f>
        <v>ANTWERPEN</v>
      </c>
      <c r="AG471" s="11" t="str">
        <f>IF($I471&lt;&gt;"",VLOOKUP($AC471,GEADRESSEERDE!$A$2:$E$4,5,),"")</f>
        <v>BE</v>
      </c>
      <c r="AH471" s="11" t="str">
        <f>IF(I471&lt;&gt;"",VLOOKUP(AP471,KvB!$A$2:$B$3,2,FALSE),"")</f>
        <v>BE101000</v>
      </c>
      <c r="AI471" s="11" t="s">
        <v>55</v>
      </c>
      <c r="AJ471" s="11"/>
      <c r="AK471" s="11"/>
      <c r="AL471" s="11"/>
      <c r="AM471" s="11"/>
      <c r="AN471" s="11"/>
      <c r="AO471" s="11"/>
      <c r="AP471" s="2" t="s">
        <v>70</v>
      </c>
      <c r="AQ471" s="11" t="str">
        <f>IF(I471&lt;&gt;"",DATA!D470,"")</f>
        <v>3918109090</v>
      </c>
    </row>
    <row r="472" spans="1:43" ht="15.75" x14ac:dyDescent="0.25">
      <c r="A472" s="11" t="s">
        <v>57</v>
      </c>
      <c r="B472" s="11" t="s">
        <v>56</v>
      </c>
      <c r="C472" s="22">
        <f t="shared" si="34"/>
        <v>25001620</v>
      </c>
      <c r="D472" s="11" t="str">
        <f t="shared" si="31"/>
        <v>SKIIFM_AT</v>
      </c>
      <c r="E472" s="11" t="str">
        <f>IF(I472&lt;&gt;"",VLOOKUP(F472,OPDRACHTGEVER!$A$2:$B$4,2,FALSE),"")</f>
        <v>SKIIFM_AT</v>
      </c>
      <c r="F472" s="11" t="s">
        <v>58</v>
      </c>
      <c r="I472" s="11" t="str">
        <f>IF(DATA!B471&lt;&gt;"",DATA!B471,"")</f>
        <v>CAIU7419650</v>
      </c>
      <c r="J472" s="12">
        <v>0</v>
      </c>
      <c r="K472" s="11" t="s">
        <v>53</v>
      </c>
      <c r="L472" s="11" t="str">
        <f t="shared" si="32"/>
        <v>741920</v>
      </c>
      <c r="M472" s="11" t="str">
        <f>IF(I472&lt;&gt;"",DATA!E471,"")</f>
        <v>WIRE ROPE</v>
      </c>
      <c r="N472" s="12">
        <v>0</v>
      </c>
      <c r="O472" s="11">
        <f>IF(I472&lt;&gt;"",DATA!C471,"")</f>
        <v>5.25</v>
      </c>
      <c r="P472" s="2">
        <v>294094</v>
      </c>
      <c r="Q472" s="2" t="s">
        <v>1304</v>
      </c>
      <c r="R472" s="2" t="s">
        <v>1315</v>
      </c>
      <c r="S472" s="2">
        <v>295</v>
      </c>
      <c r="T472" s="2">
        <v>1</v>
      </c>
      <c r="U472" s="2" t="s">
        <v>141</v>
      </c>
      <c r="Y472" s="2">
        <v>1700</v>
      </c>
      <c r="Z472" s="11" t="s">
        <v>54</v>
      </c>
      <c r="AA472" s="11" t="str">
        <f t="shared" si="33"/>
        <v>1700 - TBN</v>
      </c>
      <c r="AC472" s="2" t="s">
        <v>145</v>
      </c>
      <c r="AD472" s="11" t="str">
        <f>IF($I472&lt;&gt;"",VLOOKUP($AC472,GEADRESSEERDE!$A$2:$E$4,2,),"")</f>
        <v>LUITHAGEN HAVEN 2 D</v>
      </c>
      <c r="AE472" s="11">
        <f>IF($I472&lt;&gt;"",VLOOKUP($AC472,GEADRESSEERDE!$A$2:$E$4,3,),"")</f>
        <v>2030</v>
      </c>
      <c r="AF472" s="11" t="str">
        <f>IF($I472&lt;&gt;"",VLOOKUP($AC472,GEADRESSEERDE!$A$2:$E$4,4,),"")</f>
        <v>ANTWERPEN</v>
      </c>
      <c r="AG472" s="11" t="str">
        <f>IF($I472&lt;&gt;"",VLOOKUP($AC472,GEADRESSEERDE!$A$2:$E$4,5,),"")</f>
        <v>BE</v>
      </c>
      <c r="AH472" s="11" t="str">
        <f>IF(I472&lt;&gt;"",VLOOKUP(AP472,KvB!$A$2:$B$3,2,FALSE),"")</f>
        <v>BE101000</v>
      </c>
      <c r="AI472" s="11" t="s">
        <v>55</v>
      </c>
      <c r="AJ472" s="11"/>
      <c r="AK472" s="11"/>
      <c r="AL472" s="11"/>
      <c r="AM472" s="11"/>
      <c r="AN472" s="11"/>
      <c r="AO472" s="11"/>
      <c r="AP472" s="2" t="s">
        <v>70</v>
      </c>
      <c r="AQ472" s="11" t="str">
        <f>IF(I472&lt;&gt;"",DATA!D471,"")</f>
        <v>7419200090</v>
      </c>
    </row>
    <row r="473" spans="1:43" ht="15.75" x14ac:dyDescent="0.25">
      <c r="A473" s="11" t="s">
        <v>57</v>
      </c>
      <c r="B473" s="11" t="s">
        <v>56</v>
      </c>
      <c r="C473" s="22">
        <f t="shared" si="34"/>
        <v>25001620</v>
      </c>
      <c r="D473" s="11" t="str">
        <f t="shared" si="31"/>
        <v>SKIIFM_AT</v>
      </c>
      <c r="E473" s="11" t="str">
        <f>IF(I473&lt;&gt;"",VLOOKUP(F473,OPDRACHTGEVER!$A$2:$B$4,2,FALSE),"")</f>
        <v>SKIIFM_AT</v>
      </c>
      <c r="F473" s="11" t="s">
        <v>58</v>
      </c>
      <c r="I473" s="11" t="str">
        <f>IF(DATA!B472&lt;&gt;"",DATA!B472,"")</f>
        <v>CAIU7419650</v>
      </c>
      <c r="J473" s="12">
        <v>0</v>
      </c>
      <c r="K473" s="11" t="s">
        <v>53</v>
      </c>
      <c r="L473" s="11" t="str">
        <f t="shared" si="32"/>
        <v>761699</v>
      </c>
      <c r="M473" s="11" t="str">
        <f>IF(I473&lt;&gt;"",DATA!E472,"")</f>
        <v>TERMINAL ALUMINUM LADDER</v>
      </c>
      <c r="N473" s="12">
        <v>0</v>
      </c>
      <c r="O473" s="11">
        <f>IF(I473&lt;&gt;"",DATA!C472,"")</f>
        <v>314.60000000000002</v>
      </c>
      <c r="P473" s="2">
        <v>294094</v>
      </c>
      <c r="Q473" s="2" t="s">
        <v>1304</v>
      </c>
      <c r="R473" s="2" t="s">
        <v>1315</v>
      </c>
      <c r="S473" s="2">
        <v>295</v>
      </c>
      <c r="T473" s="2">
        <v>1</v>
      </c>
      <c r="U473" s="2" t="s">
        <v>141</v>
      </c>
      <c r="Y473" s="2">
        <v>1700</v>
      </c>
      <c r="Z473" s="11" t="s">
        <v>54</v>
      </c>
      <c r="AA473" s="11" t="str">
        <f t="shared" si="33"/>
        <v>1700 - TBN</v>
      </c>
      <c r="AC473" s="2" t="s">
        <v>145</v>
      </c>
      <c r="AD473" s="11" t="str">
        <f>IF($I473&lt;&gt;"",VLOOKUP($AC473,GEADRESSEERDE!$A$2:$E$4,2,),"")</f>
        <v>LUITHAGEN HAVEN 2 D</v>
      </c>
      <c r="AE473" s="11">
        <f>IF($I473&lt;&gt;"",VLOOKUP($AC473,GEADRESSEERDE!$A$2:$E$4,3,),"")</f>
        <v>2030</v>
      </c>
      <c r="AF473" s="11" t="str">
        <f>IF($I473&lt;&gt;"",VLOOKUP($AC473,GEADRESSEERDE!$A$2:$E$4,4,),"")</f>
        <v>ANTWERPEN</v>
      </c>
      <c r="AG473" s="11" t="str">
        <f>IF($I473&lt;&gt;"",VLOOKUP($AC473,GEADRESSEERDE!$A$2:$E$4,5,),"")</f>
        <v>BE</v>
      </c>
      <c r="AH473" s="11" t="str">
        <f>IF(I473&lt;&gt;"",VLOOKUP(AP473,KvB!$A$2:$B$3,2,FALSE),"")</f>
        <v>BE101000</v>
      </c>
      <c r="AI473" s="11" t="s">
        <v>55</v>
      </c>
      <c r="AJ473" s="11"/>
      <c r="AK473" s="11"/>
      <c r="AL473" s="11"/>
      <c r="AM473" s="11"/>
      <c r="AN473" s="11"/>
      <c r="AO473" s="11"/>
      <c r="AP473" s="2" t="s">
        <v>70</v>
      </c>
      <c r="AQ473" s="11" t="str">
        <f>IF(I473&lt;&gt;"",DATA!D472,"")</f>
        <v>7616999009</v>
      </c>
    </row>
    <row r="474" spans="1:43" ht="15.75" x14ac:dyDescent="0.25">
      <c r="A474" s="11" t="s">
        <v>57</v>
      </c>
      <c r="B474" s="11" t="s">
        <v>56</v>
      </c>
      <c r="C474" s="22">
        <f t="shared" si="34"/>
        <v>25001620</v>
      </c>
      <c r="D474" s="11" t="str">
        <f t="shared" si="31"/>
        <v>SKIIFM_AT</v>
      </c>
      <c r="E474" s="11" t="str">
        <f>IF(I474&lt;&gt;"",VLOOKUP(F474,OPDRACHTGEVER!$A$2:$B$4,2,FALSE),"")</f>
        <v>SKIIFM_AT</v>
      </c>
      <c r="F474" s="11" t="s">
        <v>58</v>
      </c>
      <c r="I474" s="11" t="str">
        <f>IF(DATA!B473&lt;&gt;"",DATA!B473,"")</f>
        <v>CAIU7419650</v>
      </c>
      <c r="J474" s="12">
        <v>0</v>
      </c>
      <c r="K474" s="11" t="s">
        <v>53</v>
      </c>
      <c r="L474" s="11" t="str">
        <f t="shared" si="32"/>
        <v>820740</v>
      </c>
      <c r="M474" s="11" t="str">
        <f>IF(I474&lt;&gt;"",DATA!E473,"")</f>
        <v>THREAD REPAIR KIT</v>
      </c>
      <c r="N474" s="12">
        <v>0</v>
      </c>
      <c r="O474" s="11">
        <f>IF(I474&lt;&gt;"",DATA!C473,"")</f>
        <v>0.8</v>
      </c>
      <c r="P474" s="2">
        <v>294094</v>
      </c>
      <c r="Q474" s="2" t="s">
        <v>1304</v>
      </c>
      <c r="R474" s="2" t="s">
        <v>1315</v>
      </c>
      <c r="S474" s="2">
        <v>295</v>
      </c>
      <c r="T474" s="2">
        <v>1</v>
      </c>
      <c r="U474" s="2" t="s">
        <v>141</v>
      </c>
      <c r="Y474" s="2">
        <v>1700</v>
      </c>
      <c r="Z474" s="11" t="s">
        <v>54</v>
      </c>
      <c r="AA474" s="11" t="str">
        <f t="shared" si="33"/>
        <v>1700 - TBN</v>
      </c>
      <c r="AC474" s="2" t="s">
        <v>145</v>
      </c>
      <c r="AD474" s="11" t="str">
        <f>IF($I474&lt;&gt;"",VLOOKUP($AC474,GEADRESSEERDE!$A$2:$E$4,2,),"")</f>
        <v>LUITHAGEN HAVEN 2 D</v>
      </c>
      <c r="AE474" s="11">
        <f>IF($I474&lt;&gt;"",VLOOKUP($AC474,GEADRESSEERDE!$A$2:$E$4,3,),"")</f>
        <v>2030</v>
      </c>
      <c r="AF474" s="11" t="str">
        <f>IF($I474&lt;&gt;"",VLOOKUP($AC474,GEADRESSEERDE!$A$2:$E$4,4,),"")</f>
        <v>ANTWERPEN</v>
      </c>
      <c r="AG474" s="11" t="str">
        <f>IF($I474&lt;&gt;"",VLOOKUP($AC474,GEADRESSEERDE!$A$2:$E$4,5,),"")</f>
        <v>BE</v>
      </c>
      <c r="AH474" s="11" t="str">
        <f>IF(I474&lt;&gt;"",VLOOKUP(AP474,KvB!$A$2:$B$3,2,FALSE),"")</f>
        <v>BE101000</v>
      </c>
      <c r="AI474" s="11" t="s">
        <v>55</v>
      </c>
      <c r="AJ474" s="11"/>
      <c r="AK474" s="11"/>
      <c r="AL474" s="11"/>
      <c r="AM474" s="11"/>
      <c r="AN474" s="11"/>
      <c r="AO474" s="11"/>
      <c r="AP474" s="2" t="s">
        <v>70</v>
      </c>
      <c r="AQ474" s="11" t="str">
        <f>IF(I474&lt;&gt;"",DATA!D473,"")</f>
        <v>8207409000</v>
      </c>
    </row>
    <row r="475" spans="1:43" ht="15.75" x14ac:dyDescent="0.25">
      <c r="A475" s="11" t="s">
        <v>57</v>
      </c>
      <c r="B475" s="11" t="s">
        <v>56</v>
      </c>
      <c r="C475" s="22">
        <f t="shared" si="34"/>
        <v>25001620</v>
      </c>
      <c r="D475" s="11" t="str">
        <f t="shared" si="31"/>
        <v>SKIIFM_AT</v>
      </c>
      <c r="E475" s="11" t="str">
        <f>IF(I475&lt;&gt;"",VLOOKUP(F475,OPDRACHTGEVER!$A$2:$B$4,2,FALSE),"")</f>
        <v>SKIIFM_AT</v>
      </c>
      <c r="F475" s="11" t="s">
        <v>58</v>
      </c>
      <c r="I475" s="11" t="str">
        <f>IF(DATA!B474&lt;&gt;"",DATA!B474,"")</f>
        <v>CAIU7419650</v>
      </c>
      <c r="J475" s="12">
        <v>0</v>
      </c>
      <c r="K475" s="11" t="s">
        <v>53</v>
      </c>
      <c r="L475" s="11" t="str">
        <f t="shared" si="32"/>
        <v>871680</v>
      </c>
      <c r="M475" s="11" t="str">
        <f>IF(I475&lt;&gt;"",DATA!E474,"")</f>
        <v>TRACTOR</v>
      </c>
      <c r="N475" s="12">
        <v>0</v>
      </c>
      <c r="O475" s="11">
        <f>IF(I475&lt;&gt;"",DATA!C474,"")</f>
        <v>1278.9000000000001</v>
      </c>
      <c r="P475" s="2">
        <v>294094</v>
      </c>
      <c r="Q475" s="2" t="s">
        <v>1304</v>
      </c>
      <c r="R475" s="2" t="s">
        <v>1315</v>
      </c>
      <c r="S475" s="2">
        <v>295</v>
      </c>
      <c r="T475" s="2">
        <v>1</v>
      </c>
      <c r="U475" s="2" t="s">
        <v>141</v>
      </c>
      <c r="Y475" s="2">
        <v>1700</v>
      </c>
      <c r="Z475" s="11" t="s">
        <v>54</v>
      </c>
      <c r="AA475" s="11" t="str">
        <f t="shared" si="33"/>
        <v>1700 - TBN</v>
      </c>
      <c r="AC475" s="2" t="s">
        <v>145</v>
      </c>
      <c r="AD475" s="11" t="str">
        <f>IF($I475&lt;&gt;"",VLOOKUP($AC475,GEADRESSEERDE!$A$2:$E$4,2,),"")</f>
        <v>LUITHAGEN HAVEN 2 D</v>
      </c>
      <c r="AE475" s="11">
        <f>IF($I475&lt;&gt;"",VLOOKUP($AC475,GEADRESSEERDE!$A$2:$E$4,3,),"")</f>
        <v>2030</v>
      </c>
      <c r="AF475" s="11" t="str">
        <f>IF($I475&lt;&gt;"",VLOOKUP($AC475,GEADRESSEERDE!$A$2:$E$4,4,),"")</f>
        <v>ANTWERPEN</v>
      </c>
      <c r="AG475" s="11" t="str">
        <f>IF($I475&lt;&gt;"",VLOOKUP($AC475,GEADRESSEERDE!$A$2:$E$4,5,),"")</f>
        <v>BE</v>
      </c>
      <c r="AH475" s="11" t="str">
        <f>IF(I475&lt;&gt;"",VLOOKUP(AP475,KvB!$A$2:$B$3,2,FALSE),"")</f>
        <v>BE101000</v>
      </c>
      <c r="AI475" s="11" t="s">
        <v>55</v>
      </c>
      <c r="AJ475" s="11"/>
      <c r="AK475" s="11"/>
      <c r="AL475" s="11"/>
      <c r="AM475" s="11"/>
      <c r="AN475" s="11"/>
      <c r="AO475" s="11"/>
      <c r="AP475" s="2" t="s">
        <v>70</v>
      </c>
      <c r="AQ475" s="11" t="str">
        <f>IF(I475&lt;&gt;"",DATA!D474,"")</f>
        <v>8716800000</v>
      </c>
    </row>
    <row r="476" spans="1:43" ht="15.75" x14ac:dyDescent="0.25">
      <c r="A476" s="11" t="s">
        <v>57</v>
      </c>
      <c r="B476" s="11" t="s">
        <v>56</v>
      </c>
      <c r="C476" s="22">
        <f t="shared" si="34"/>
        <v>25001620</v>
      </c>
      <c r="D476" s="11" t="str">
        <f t="shared" si="31"/>
        <v>SKIIFM_AT</v>
      </c>
      <c r="E476" s="11" t="str">
        <f>IF(I476&lt;&gt;"",VLOOKUP(F476,OPDRACHTGEVER!$A$2:$B$4,2,FALSE),"")</f>
        <v>SKIIFM_AT</v>
      </c>
      <c r="F476" s="11" t="s">
        <v>58</v>
      </c>
      <c r="I476" s="11" t="str">
        <f>IF(DATA!B475&lt;&gt;"",DATA!B475,"")</f>
        <v>CAIU7419650</v>
      </c>
      <c r="J476" s="12">
        <v>0</v>
      </c>
      <c r="K476" s="11" t="s">
        <v>53</v>
      </c>
      <c r="L476" s="11" t="str">
        <f t="shared" si="32"/>
        <v>741920</v>
      </c>
      <c r="M476" s="11" t="str">
        <f>IF(I476&lt;&gt;"",DATA!E475,"")</f>
        <v>TRAP</v>
      </c>
      <c r="N476" s="12">
        <v>0</v>
      </c>
      <c r="O476" s="11">
        <f>IF(I476&lt;&gt;"",DATA!C475,"")</f>
        <v>546</v>
      </c>
      <c r="P476" s="2">
        <v>294094</v>
      </c>
      <c r="Q476" s="2" t="s">
        <v>1304</v>
      </c>
      <c r="R476" s="2" t="s">
        <v>1315</v>
      </c>
      <c r="S476" s="2">
        <v>295</v>
      </c>
      <c r="T476" s="2">
        <v>1</v>
      </c>
      <c r="U476" s="2" t="s">
        <v>141</v>
      </c>
      <c r="Y476" s="2">
        <v>1700</v>
      </c>
      <c r="Z476" s="11" t="s">
        <v>54</v>
      </c>
      <c r="AA476" s="11" t="str">
        <f t="shared" si="33"/>
        <v>1700 - TBN</v>
      </c>
      <c r="AC476" s="2" t="s">
        <v>145</v>
      </c>
      <c r="AD476" s="11" t="str">
        <f>IF($I476&lt;&gt;"",VLOOKUP($AC476,GEADRESSEERDE!$A$2:$E$4,2,),"")</f>
        <v>LUITHAGEN HAVEN 2 D</v>
      </c>
      <c r="AE476" s="11">
        <f>IF($I476&lt;&gt;"",VLOOKUP($AC476,GEADRESSEERDE!$A$2:$E$4,3,),"")</f>
        <v>2030</v>
      </c>
      <c r="AF476" s="11" t="str">
        <f>IF($I476&lt;&gt;"",VLOOKUP($AC476,GEADRESSEERDE!$A$2:$E$4,4,),"")</f>
        <v>ANTWERPEN</v>
      </c>
      <c r="AG476" s="11" t="str">
        <f>IF($I476&lt;&gt;"",VLOOKUP($AC476,GEADRESSEERDE!$A$2:$E$4,5,),"")</f>
        <v>BE</v>
      </c>
      <c r="AH476" s="11" t="str">
        <f>IF(I476&lt;&gt;"",VLOOKUP(AP476,KvB!$A$2:$B$3,2,FALSE),"")</f>
        <v>BE101000</v>
      </c>
      <c r="AI476" s="11" t="s">
        <v>55</v>
      </c>
      <c r="AJ476" s="11"/>
      <c r="AK476" s="11"/>
      <c r="AL476" s="11"/>
      <c r="AM476" s="11"/>
      <c r="AN476" s="11"/>
      <c r="AO476" s="11"/>
      <c r="AP476" s="2" t="s">
        <v>70</v>
      </c>
      <c r="AQ476" s="11" t="str">
        <f>IF(I476&lt;&gt;"",DATA!D475,"")</f>
        <v>7419200090</v>
      </c>
    </row>
    <row r="477" spans="1:43" ht="15.75" x14ac:dyDescent="0.25">
      <c r="A477" s="11" t="s">
        <v>57</v>
      </c>
      <c r="B477" s="11" t="s">
        <v>56</v>
      </c>
      <c r="C477" s="22">
        <f t="shared" si="34"/>
        <v>25001620</v>
      </c>
      <c r="D477" s="11" t="str">
        <f t="shared" si="31"/>
        <v>SKIIFM_AT</v>
      </c>
      <c r="E477" s="11" t="str">
        <f>IF(I477&lt;&gt;"",VLOOKUP(F477,OPDRACHTGEVER!$A$2:$B$4,2,FALSE),"")</f>
        <v>SKIIFM_AT</v>
      </c>
      <c r="F477" s="11" t="s">
        <v>58</v>
      </c>
      <c r="I477" s="11" t="str">
        <f>IF(DATA!B476&lt;&gt;"",DATA!B476,"")</f>
        <v>CAIU7419650</v>
      </c>
      <c r="J477" s="12">
        <v>0</v>
      </c>
      <c r="K477" s="11" t="s">
        <v>53</v>
      </c>
      <c r="L477" s="11" t="str">
        <f t="shared" si="32"/>
        <v>761699</v>
      </c>
      <c r="M477" s="11" t="str">
        <f>IF(I477&lt;&gt;"",DATA!E476,"")</f>
        <v>TV STAND</v>
      </c>
      <c r="N477" s="12">
        <v>0</v>
      </c>
      <c r="O477" s="11">
        <f>IF(I477&lt;&gt;"",DATA!C476,"")</f>
        <v>527</v>
      </c>
      <c r="P477" s="2">
        <v>294094</v>
      </c>
      <c r="Q477" s="2" t="s">
        <v>1304</v>
      </c>
      <c r="R477" s="2" t="s">
        <v>1315</v>
      </c>
      <c r="S477" s="2">
        <v>295</v>
      </c>
      <c r="T477" s="2">
        <v>1</v>
      </c>
      <c r="U477" s="2" t="s">
        <v>141</v>
      </c>
      <c r="Y477" s="2">
        <v>1700</v>
      </c>
      <c r="Z477" s="11" t="s">
        <v>54</v>
      </c>
      <c r="AA477" s="11" t="str">
        <f t="shared" si="33"/>
        <v>1700 - TBN</v>
      </c>
      <c r="AC477" s="2" t="s">
        <v>145</v>
      </c>
      <c r="AD477" s="11" t="str">
        <f>IF($I477&lt;&gt;"",VLOOKUP($AC477,GEADRESSEERDE!$A$2:$E$4,2,),"")</f>
        <v>LUITHAGEN HAVEN 2 D</v>
      </c>
      <c r="AE477" s="11">
        <f>IF($I477&lt;&gt;"",VLOOKUP($AC477,GEADRESSEERDE!$A$2:$E$4,3,),"")</f>
        <v>2030</v>
      </c>
      <c r="AF477" s="11" t="str">
        <f>IF($I477&lt;&gt;"",VLOOKUP($AC477,GEADRESSEERDE!$A$2:$E$4,4,),"")</f>
        <v>ANTWERPEN</v>
      </c>
      <c r="AG477" s="11" t="str">
        <f>IF($I477&lt;&gt;"",VLOOKUP($AC477,GEADRESSEERDE!$A$2:$E$4,5,),"")</f>
        <v>BE</v>
      </c>
      <c r="AH477" s="11" t="str">
        <f>IF(I477&lt;&gt;"",VLOOKUP(AP477,KvB!$A$2:$B$3,2,FALSE),"")</f>
        <v>BE101000</v>
      </c>
      <c r="AI477" s="11" t="s">
        <v>55</v>
      </c>
      <c r="AJ477" s="11"/>
      <c r="AK477" s="11"/>
      <c r="AL477" s="11"/>
      <c r="AM477" s="11"/>
      <c r="AN477" s="11"/>
      <c r="AO477" s="11"/>
      <c r="AP477" s="2" t="s">
        <v>70</v>
      </c>
      <c r="AQ477" s="11" t="str">
        <f>IF(I477&lt;&gt;"",DATA!D476,"")</f>
        <v>7616999099</v>
      </c>
    </row>
    <row r="478" spans="1:43" ht="15.75" x14ac:dyDescent="0.25">
      <c r="A478" s="11" t="s">
        <v>57</v>
      </c>
      <c r="B478" s="11" t="s">
        <v>56</v>
      </c>
      <c r="C478" s="22">
        <f t="shared" si="34"/>
        <v>25001620</v>
      </c>
      <c r="D478" s="11" t="str">
        <f t="shared" si="31"/>
        <v>SKIIFM_AT</v>
      </c>
      <c r="E478" s="11" t="str">
        <f>IF(I478&lt;&gt;"",VLOOKUP(F478,OPDRACHTGEVER!$A$2:$B$4,2,FALSE),"")</f>
        <v>SKIIFM_AT</v>
      </c>
      <c r="F478" s="11" t="s">
        <v>58</v>
      </c>
      <c r="I478" s="11" t="str">
        <f>IF(DATA!B477&lt;&gt;"",DATA!B477,"")</f>
        <v>CAIU7419650</v>
      </c>
      <c r="J478" s="12">
        <v>0</v>
      </c>
      <c r="K478" s="11" t="s">
        <v>53</v>
      </c>
      <c r="L478" s="11" t="str">
        <f t="shared" si="32"/>
        <v>847989</v>
      </c>
      <c r="M478" s="11" t="str">
        <f>IF(I478&lt;&gt;"",DATA!E477,"")</f>
        <v>ULTRASONIC JEWELRY CLEANER</v>
      </c>
      <c r="N478" s="12">
        <v>0</v>
      </c>
      <c r="O478" s="11">
        <f>IF(I478&lt;&gt;"",DATA!C477,"")</f>
        <v>2463.71</v>
      </c>
      <c r="P478" s="2">
        <v>294094</v>
      </c>
      <c r="Q478" s="2" t="s">
        <v>1304</v>
      </c>
      <c r="R478" s="2" t="s">
        <v>1315</v>
      </c>
      <c r="S478" s="2">
        <v>295</v>
      </c>
      <c r="T478" s="2">
        <v>1</v>
      </c>
      <c r="U478" s="2" t="s">
        <v>141</v>
      </c>
      <c r="Y478" s="2">
        <v>1700</v>
      </c>
      <c r="Z478" s="11" t="s">
        <v>54</v>
      </c>
      <c r="AA478" s="11" t="str">
        <f t="shared" si="33"/>
        <v>1700 - TBN</v>
      </c>
      <c r="AC478" s="2" t="s">
        <v>145</v>
      </c>
      <c r="AD478" s="11" t="str">
        <f>IF($I478&lt;&gt;"",VLOOKUP($AC478,GEADRESSEERDE!$A$2:$E$4,2,),"")</f>
        <v>LUITHAGEN HAVEN 2 D</v>
      </c>
      <c r="AE478" s="11">
        <f>IF($I478&lt;&gt;"",VLOOKUP($AC478,GEADRESSEERDE!$A$2:$E$4,3,),"")</f>
        <v>2030</v>
      </c>
      <c r="AF478" s="11" t="str">
        <f>IF($I478&lt;&gt;"",VLOOKUP($AC478,GEADRESSEERDE!$A$2:$E$4,4,),"")</f>
        <v>ANTWERPEN</v>
      </c>
      <c r="AG478" s="11" t="str">
        <f>IF($I478&lt;&gt;"",VLOOKUP($AC478,GEADRESSEERDE!$A$2:$E$4,5,),"")</f>
        <v>BE</v>
      </c>
      <c r="AH478" s="11" t="str">
        <f>IF(I478&lt;&gt;"",VLOOKUP(AP478,KvB!$A$2:$B$3,2,FALSE),"")</f>
        <v>BE101000</v>
      </c>
      <c r="AI478" s="11" t="s">
        <v>55</v>
      </c>
      <c r="AJ478" s="11"/>
      <c r="AK478" s="11"/>
      <c r="AL478" s="11"/>
      <c r="AM478" s="11"/>
      <c r="AN478" s="11"/>
      <c r="AO478" s="11"/>
      <c r="AP478" s="2" t="s">
        <v>70</v>
      </c>
      <c r="AQ478" s="11" t="str">
        <f>IF(I478&lt;&gt;"",DATA!D477,"")</f>
        <v>8479899790</v>
      </c>
    </row>
    <row r="479" spans="1:43" ht="15.75" x14ac:dyDescent="0.25">
      <c r="A479" s="11" t="s">
        <v>57</v>
      </c>
      <c r="B479" s="11" t="s">
        <v>56</v>
      </c>
      <c r="C479" s="22">
        <f t="shared" si="34"/>
        <v>25001620</v>
      </c>
      <c r="D479" s="11" t="str">
        <f t="shared" si="31"/>
        <v>SKIIFM_AT</v>
      </c>
      <c r="E479" s="11" t="str">
        <f>IF(I479&lt;&gt;"",VLOOKUP(F479,OPDRACHTGEVER!$A$2:$B$4,2,FALSE),"")</f>
        <v>SKIIFM_AT</v>
      </c>
      <c r="F479" s="11" t="s">
        <v>58</v>
      </c>
      <c r="I479" s="11" t="str">
        <f>IF(DATA!B478&lt;&gt;"",DATA!B478,"")</f>
        <v>CAIU7419650</v>
      </c>
      <c r="J479" s="12">
        <v>0</v>
      </c>
      <c r="K479" s="11" t="s">
        <v>53</v>
      </c>
      <c r="L479" s="11" t="str">
        <f t="shared" si="32"/>
        <v>871680</v>
      </c>
      <c r="M479" s="11" t="str">
        <f>IF(I479&lt;&gt;"",DATA!E478,"")</f>
        <v>WHEELBARROW</v>
      </c>
      <c r="N479" s="12">
        <v>0</v>
      </c>
      <c r="O479" s="11">
        <f>IF(I479&lt;&gt;"",DATA!C478,"")</f>
        <v>1123.5</v>
      </c>
      <c r="P479" s="2">
        <v>294094</v>
      </c>
      <c r="Q479" s="2" t="s">
        <v>1304</v>
      </c>
      <c r="R479" s="2" t="s">
        <v>1315</v>
      </c>
      <c r="S479" s="2">
        <v>295</v>
      </c>
      <c r="T479" s="2">
        <v>1</v>
      </c>
      <c r="U479" s="2" t="s">
        <v>141</v>
      </c>
      <c r="Y479" s="2">
        <v>1700</v>
      </c>
      <c r="Z479" s="11" t="s">
        <v>54</v>
      </c>
      <c r="AA479" s="11" t="str">
        <f t="shared" si="33"/>
        <v>1700 - TBN</v>
      </c>
      <c r="AC479" s="2" t="s">
        <v>145</v>
      </c>
      <c r="AD479" s="11" t="str">
        <f>IF($I479&lt;&gt;"",VLOOKUP($AC479,GEADRESSEERDE!$A$2:$E$4,2,),"")</f>
        <v>LUITHAGEN HAVEN 2 D</v>
      </c>
      <c r="AE479" s="11">
        <f>IF($I479&lt;&gt;"",VLOOKUP($AC479,GEADRESSEERDE!$A$2:$E$4,3,),"")</f>
        <v>2030</v>
      </c>
      <c r="AF479" s="11" t="str">
        <f>IF($I479&lt;&gt;"",VLOOKUP($AC479,GEADRESSEERDE!$A$2:$E$4,4,),"")</f>
        <v>ANTWERPEN</v>
      </c>
      <c r="AG479" s="11" t="str">
        <f>IF($I479&lt;&gt;"",VLOOKUP($AC479,GEADRESSEERDE!$A$2:$E$4,5,),"")</f>
        <v>BE</v>
      </c>
      <c r="AH479" s="11" t="str">
        <f>IF(I479&lt;&gt;"",VLOOKUP(AP479,KvB!$A$2:$B$3,2,FALSE),"")</f>
        <v>BE101000</v>
      </c>
      <c r="AI479" s="11" t="s">
        <v>55</v>
      </c>
      <c r="AJ479" s="11"/>
      <c r="AK479" s="11"/>
      <c r="AL479" s="11"/>
      <c r="AM479" s="11"/>
      <c r="AN479" s="11"/>
      <c r="AO479" s="11"/>
      <c r="AP479" s="2" t="s">
        <v>70</v>
      </c>
      <c r="AQ479" s="11" t="str">
        <f>IF(I479&lt;&gt;"",DATA!D478,"")</f>
        <v>8716800000</v>
      </c>
    </row>
    <row r="480" spans="1:43" ht="15.75" x14ac:dyDescent="0.25">
      <c r="A480" s="11" t="s">
        <v>57</v>
      </c>
      <c r="B480" s="11" t="s">
        <v>56</v>
      </c>
      <c r="C480" s="22">
        <f t="shared" si="34"/>
        <v>25001620</v>
      </c>
      <c r="D480" s="11" t="str">
        <f t="shared" si="31"/>
        <v>SKIIFM_AT</v>
      </c>
      <c r="E480" s="11" t="str">
        <f>IF(I480&lt;&gt;"",VLOOKUP(F480,OPDRACHTGEVER!$A$2:$B$4,2,FALSE),"")</f>
        <v>SKIIFM_AT</v>
      </c>
      <c r="F480" s="11" t="s">
        <v>58</v>
      </c>
      <c r="I480" s="11" t="str">
        <f>IF(DATA!B479&lt;&gt;"",DATA!B479,"")</f>
        <v>CAIU7419650</v>
      </c>
      <c r="J480" s="12">
        <v>0</v>
      </c>
      <c r="K480" s="11" t="s">
        <v>53</v>
      </c>
      <c r="L480" s="11" t="str">
        <f t="shared" si="32"/>
        <v>560749</v>
      </c>
      <c r="M480" s="11" t="str">
        <f>IF(I480&lt;&gt;"",DATA!E479,"")</f>
        <v>WINCH ROPE</v>
      </c>
      <c r="N480" s="12">
        <v>0</v>
      </c>
      <c r="O480" s="11">
        <f>IF(I480&lt;&gt;"",DATA!C479,"")</f>
        <v>0.3</v>
      </c>
      <c r="P480" s="2">
        <v>294094</v>
      </c>
      <c r="Q480" s="2" t="s">
        <v>1304</v>
      </c>
      <c r="R480" s="2" t="s">
        <v>1315</v>
      </c>
      <c r="S480" s="2">
        <v>295</v>
      </c>
      <c r="T480" s="2">
        <v>1</v>
      </c>
      <c r="U480" s="2" t="s">
        <v>141</v>
      </c>
      <c r="Y480" s="2">
        <v>1700</v>
      </c>
      <c r="Z480" s="11" t="s">
        <v>54</v>
      </c>
      <c r="AA480" s="11" t="str">
        <f t="shared" si="33"/>
        <v>1700 - TBN</v>
      </c>
      <c r="AC480" s="2" t="s">
        <v>145</v>
      </c>
      <c r="AD480" s="11" t="str">
        <f>IF($I480&lt;&gt;"",VLOOKUP($AC480,GEADRESSEERDE!$A$2:$E$4,2,),"")</f>
        <v>LUITHAGEN HAVEN 2 D</v>
      </c>
      <c r="AE480" s="11">
        <f>IF($I480&lt;&gt;"",VLOOKUP($AC480,GEADRESSEERDE!$A$2:$E$4,3,),"")</f>
        <v>2030</v>
      </c>
      <c r="AF480" s="11" t="str">
        <f>IF($I480&lt;&gt;"",VLOOKUP($AC480,GEADRESSEERDE!$A$2:$E$4,4,),"")</f>
        <v>ANTWERPEN</v>
      </c>
      <c r="AG480" s="11" t="str">
        <f>IF($I480&lt;&gt;"",VLOOKUP($AC480,GEADRESSEERDE!$A$2:$E$4,5,),"")</f>
        <v>BE</v>
      </c>
      <c r="AH480" s="11" t="str">
        <f>IF(I480&lt;&gt;"",VLOOKUP(AP480,KvB!$A$2:$B$3,2,FALSE),"")</f>
        <v>BE101000</v>
      </c>
      <c r="AI480" s="11" t="s">
        <v>55</v>
      </c>
      <c r="AJ480" s="11"/>
      <c r="AK480" s="11"/>
      <c r="AL480" s="11"/>
      <c r="AM480" s="11"/>
      <c r="AN480" s="11"/>
      <c r="AO480" s="11"/>
      <c r="AP480" s="2" t="s">
        <v>70</v>
      </c>
      <c r="AQ480" s="11" t="str">
        <f>IF(I480&lt;&gt;"",DATA!D479,"")</f>
        <v>5607491900</v>
      </c>
    </row>
    <row r="481" spans="1:43" ht="15.75" x14ac:dyDescent="0.25">
      <c r="A481" s="11" t="s">
        <v>57</v>
      </c>
      <c r="B481" s="11" t="s">
        <v>56</v>
      </c>
      <c r="C481" s="22">
        <f t="shared" si="34"/>
        <v>25001620</v>
      </c>
      <c r="D481" s="11" t="str">
        <f t="shared" si="31"/>
        <v>SKIIFM_AT</v>
      </c>
      <c r="E481" s="11" t="str">
        <f>IF(I481&lt;&gt;"",VLOOKUP(F481,OPDRACHTGEVER!$A$2:$B$4,2,FALSE),"")</f>
        <v>SKIIFM_AT</v>
      </c>
      <c r="F481" s="11" t="s">
        <v>58</v>
      </c>
      <c r="I481" s="11" t="str">
        <f>IF(DATA!B480&lt;&gt;"",DATA!B480,"")</f>
        <v>CARU9985689</v>
      </c>
      <c r="J481" s="12">
        <v>1171</v>
      </c>
      <c r="K481" s="11" t="s">
        <v>53</v>
      </c>
      <c r="L481" s="11" t="str">
        <f t="shared" si="32"/>
        <v>841239</v>
      </c>
      <c r="M481" s="11" t="str">
        <f>IF(I481&lt;&gt;"",DATA!E480,"")</f>
        <v>AIR PRESSURE KIT BRAKE</v>
      </c>
      <c r="N481" s="12">
        <v>14540</v>
      </c>
      <c r="O481" s="11">
        <f>IF(I481&lt;&gt;"",DATA!C480,"")</f>
        <v>24.93</v>
      </c>
      <c r="P481" s="2">
        <v>294094</v>
      </c>
      <c r="Q481" s="2" t="s">
        <v>1304</v>
      </c>
      <c r="R481" s="2" t="s">
        <v>1316</v>
      </c>
      <c r="S481" s="2">
        <v>207</v>
      </c>
      <c r="T481" s="2">
        <v>1</v>
      </c>
      <c r="U481" s="2" t="s">
        <v>141</v>
      </c>
      <c r="Y481" s="2">
        <v>1700</v>
      </c>
      <c r="Z481" s="11" t="s">
        <v>54</v>
      </c>
      <c r="AA481" s="11" t="str">
        <f t="shared" si="33"/>
        <v>1700 - TBN</v>
      </c>
      <c r="AC481" s="2" t="s">
        <v>145</v>
      </c>
      <c r="AD481" s="11" t="str">
        <f>IF($I481&lt;&gt;"",VLOOKUP($AC481,GEADRESSEERDE!$A$2:$E$4,2,),"")</f>
        <v>LUITHAGEN HAVEN 2 D</v>
      </c>
      <c r="AE481" s="11">
        <f>IF($I481&lt;&gt;"",VLOOKUP($AC481,GEADRESSEERDE!$A$2:$E$4,3,),"")</f>
        <v>2030</v>
      </c>
      <c r="AF481" s="11" t="str">
        <f>IF($I481&lt;&gt;"",VLOOKUP($AC481,GEADRESSEERDE!$A$2:$E$4,4,),"")</f>
        <v>ANTWERPEN</v>
      </c>
      <c r="AG481" s="11" t="str">
        <f>IF($I481&lt;&gt;"",VLOOKUP($AC481,GEADRESSEERDE!$A$2:$E$4,5,),"")</f>
        <v>BE</v>
      </c>
      <c r="AH481" s="11" t="str">
        <f>IF(I481&lt;&gt;"",VLOOKUP(AP481,KvB!$A$2:$B$3,2,FALSE),"")</f>
        <v>BE101000</v>
      </c>
      <c r="AI481" s="11" t="s">
        <v>55</v>
      </c>
      <c r="AJ481" s="11"/>
      <c r="AK481" s="11"/>
      <c r="AL481" s="11"/>
      <c r="AM481" s="11"/>
      <c r="AN481" s="11"/>
      <c r="AO481" s="11"/>
      <c r="AP481" s="2" t="s">
        <v>70</v>
      </c>
      <c r="AQ481" s="11" t="str">
        <f>IF(I481&lt;&gt;"",DATA!D480,"")</f>
        <v>8412390090</v>
      </c>
    </row>
    <row r="482" spans="1:43" ht="15.75" x14ac:dyDescent="0.25">
      <c r="A482" s="11" t="s">
        <v>57</v>
      </c>
      <c r="B482" s="11" t="s">
        <v>56</v>
      </c>
      <c r="C482" s="22">
        <f t="shared" si="34"/>
        <v>25001620</v>
      </c>
      <c r="D482" s="11" t="str">
        <f t="shared" si="31"/>
        <v>SKIIFM_AT</v>
      </c>
      <c r="E482" s="11" t="str">
        <f>IF(I482&lt;&gt;"",VLOOKUP(F482,OPDRACHTGEVER!$A$2:$B$4,2,FALSE),"")</f>
        <v>SKIIFM_AT</v>
      </c>
      <c r="F482" s="11" t="s">
        <v>58</v>
      </c>
      <c r="I482" s="11" t="str">
        <f>IF(DATA!B481&lt;&gt;"",DATA!B481,"")</f>
        <v>CARU9985689</v>
      </c>
      <c r="J482" s="12">
        <v>0</v>
      </c>
      <c r="K482" s="11" t="s">
        <v>53</v>
      </c>
      <c r="L482" s="11" t="str">
        <f t="shared" si="32"/>
        <v>741920</v>
      </c>
      <c r="M482" s="11" t="str">
        <f>IF(I482&lt;&gt;"",DATA!E481,"")</f>
        <v>ALUMINUM LADDER</v>
      </c>
      <c r="N482" s="12">
        <v>0</v>
      </c>
      <c r="O482" s="11">
        <f>IF(I482&lt;&gt;"",DATA!C481,"")</f>
        <v>347.75</v>
      </c>
      <c r="P482" s="2">
        <v>294094</v>
      </c>
      <c r="Q482" s="2" t="s">
        <v>1304</v>
      </c>
      <c r="R482" s="2" t="s">
        <v>1316</v>
      </c>
      <c r="S482" s="2">
        <v>207</v>
      </c>
      <c r="T482" s="2">
        <v>1</v>
      </c>
      <c r="U482" s="2" t="s">
        <v>141</v>
      </c>
      <c r="Y482" s="2">
        <v>1700</v>
      </c>
      <c r="Z482" s="11" t="s">
        <v>54</v>
      </c>
      <c r="AA482" s="11" t="str">
        <f t="shared" si="33"/>
        <v>1700 - TBN</v>
      </c>
      <c r="AC482" s="2" t="s">
        <v>145</v>
      </c>
      <c r="AD482" s="11" t="str">
        <f>IF($I482&lt;&gt;"",VLOOKUP($AC482,GEADRESSEERDE!$A$2:$E$4,2,),"")</f>
        <v>LUITHAGEN HAVEN 2 D</v>
      </c>
      <c r="AE482" s="11">
        <f>IF($I482&lt;&gt;"",VLOOKUP($AC482,GEADRESSEERDE!$A$2:$E$4,3,),"")</f>
        <v>2030</v>
      </c>
      <c r="AF482" s="11" t="str">
        <f>IF($I482&lt;&gt;"",VLOOKUP($AC482,GEADRESSEERDE!$A$2:$E$4,4,),"")</f>
        <v>ANTWERPEN</v>
      </c>
      <c r="AG482" s="11" t="str">
        <f>IF($I482&lt;&gt;"",VLOOKUP($AC482,GEADRESSEERDE!$A$2:$E$4,5,),"")</f>
        <v>BE</v>
      </c>
      <c r="AH482" s="11" t="str">
        <f>IF(I482&lt;&gt;"",VLOOKUP(AP482,KvB!$A$2:$B$3,2,FALSE),"")</f>
        <v>BE101000</v>
      </c>
      <c r="AI482" s="11" t="s">
        <v>55</v>
      </c>
      <c r="AJ482" s="11"/>
      <c r="AK482" s="11"/>
      <c r="AL482" s="11"/>
      <c r="AM482" s="11"/>
      <c r="AN482" s="11"/>
      <c r="AO482" s="11"/>
      <c r="AP482" s="2" t="s">
        <v>70</v>
      </c>
      <c r="AQ482" s="11" t="str">
        <f>IF(I482&lt;&gt;"",DATA!D481,"")</f>
        <v>7419200090</v>
      </c>
    </row>
    <row r="483" spans="1:43" ht="15.75" x14ac:dyDescent="0.25">
      <c r="A483" s="11" t="s">
        <v>57</v>
      </c>
      <c r="B483" s="11" t="s">
        <v>56</v>
      </c>
      <c r="C483" s="22">
        <f t="shared" si="34"/>
        <v>25001620</v>
      </c>
      <c r="D483" s="11" t="str">
        <f t="shared" si="31"/>
        <v>SKIIFM_AT</v>
      </c>
      <c r="E483" s="11" t="str">
        <f>IF(I483&lt;&gt;"",VLOOKUP(F483,OPDRACHTGEVER!$A$2:$B$4,2,FALSE),"")</f>
        <v>SKIIFM_AT</v>
      </c>
      <c r="F483" s="11" t="s">
        <v>58</v>
      </c>
      <c r="I483" s="11" t="str">
        <f>IF(DATA!B482&lt;&gt;"",DATA!B482,"")</f>
        <v>CARU9985689</v>
      </c>
      <c r="J483" s="12">
        <v>0</v>
      </c>
      <c r="K483" s="11" t="s">
        <v>53</v>
      </c>
      <c r="L483" s="11" t="str">
        <f t="shared" si="32"/>
        <v>847290</v>
      </c>
      <c r="M483" s="11" t="str">
        <f>IF(I483&lt;&gt;"",DATA!E482,"")</f>
        <v>BILL MONEY COUNTER</v>
      </c>
      <c r="N483" s="12">
        <v>0</v>
      </c>
      <c r="O483" s="11">
        <f>IF(I483&lt;&gt;"",DATA!C482,"")</f>
        <v>31.8</v>
      </c>
      <c r="P483" s="2">
        <v>294094</v>
      </c>
      <c r="Q483" s="2" t="s">
        <v>1304</v>
      </c>
      <c r="R483" s="2" t="s">
        <v>1316</v>
      </c>
      <c r="S483" s="2">
        <v>207</v>
      </c>
      <c r="T483" s="2">
        <v>1</v>
      </c>
      <c r="U483" s="2" t="s">
        <v>141</v>
      </c>
      <c r="Y483" s="2">
        <v>1700</v>
      </c>
      <c r="Z483" s="11" t="s">
        <v>54</v>
      </c>
      <c r="AA483" s="11" t="str">
        <f t="shared" si="33"/>
        <v>1700 - TBN</v>
      </c>
      <c r="AC483" s="2" t="s">
        <v>145</v>
      </c>
      <c r="AD483" s="11" t="str">
        <f>IF($I483&lt;&gt;"",VLOOKUP($AC483,GEADRESSEERDE!$A$2:$E$4,2,),"")</f>
        <v>LUITHAGEN HAVEN 2 D</v>
      </c>
      <c r="AE483" s="11">
        <f>IF($I483&lt;&gt;"",VLOOKUP($AC483,GEADRESSEERDE!$A$2:$E$4,3,),"")</f>
        <v>2030</v>
      </c>
      <c r="AF483" s="11" t="str">
        <f>IF($I483&lt;&gt;"",VLOOKUP($AC483,GEADRESSEERDE!$A$2:$E$4,4,),"")</f>
        <v>ANTWERPEN</v>
      </c>
      <c r="AG483" s="11" t="str">
        <f>IF($I483&lt;&gt;"",VLOOKUP($AC483,GEADRESSEERDE!$A$2:$E$4,5,),"")</f>
        <v>BE</v>
      </c>
      <c r="AH483" s="11" t="str">
        <f>IF(I483&lt;&gt;"",VLOOKUP(AP483,KvB!$A$2:$B$3,2,FALSE),"")</f>
        <v>BE101000</v>
      </c>
      <c r="AI483" s="11" t="s">
        <v>55</v>
      </c>
      <c r="AJ483" s="11"/>
      <c r="AK483" s="11"/>
      <c r="AL483" s="11"/>
      <c r="AM483" s="11"/>
      <c r="AN483" s="11"/>
      <c r="AO483" s="11"/>
      <c r="AP483" s="2" t="s">
        <v>70</v>
      </c>
      <c r="AQ483" s="11" t="str">
        <f>IF(I483&lt;&gt;"",DATA!D482,"")</f>
        <v>8472901000</v>
      </c>
    </row>
    <row r="484" spans="1:43" ht="15.75" x14ac:dyDescent="0.25">
      <c r="A484" s="11" t="s">
        <v>57</v>
      </c>
      <c r="B484" s="11" t="s">
        <v>56</v>
      </c>
      <c r="C484" s="22">
        <f t="shared" si="34"/>
        <v>25001620</v>
      </c>
      <c r="D484" s="11" t="str">
        <f t="shared" si="31"/>
        <v>SKIIFM_AT</v>
      </c>
      <c r="E484" s="11" t="str">
        <f>IF(I484&lt;&gt;"",VLOOKUP(F484,OPDRACHTGEVER!$A$2:$B$4,2,FALSE),"")</f>
        <v>SKIIFM_AT</v>
      </c>
      <c r="F484" s="11" t="s">
        <v>58</v>
      </c>
      <c r="I484" s="11" t="str">
        <f>IF(DATA!B483&lt;&gt;"",DATA!B483,"")</f>
        <v>CARU9985689</v>
      </c>
      <c r="J484" s="12">
        <v>0</v>
      </c>
      <c r="K484" s="11" t="s">
        <v>53</v>
      </c>
      <c r="L484" s="11" t="str">
        <f t="shared" si="32"/>
        <v>847290</v>
      </c>
      <c r="M484" s="11" t="str">
        <f>IF(I484&lt;&gt;"",DATA!E483,"")</f>
        <v>BUTTON MAKER</v>
      </c>
      <c r="N484" s="12">
        <v>0</v>
      </c>
      <c r="O484" s="11">
        <f>IF(I484&lt;&gt;"",DATA!C483,"")</f>
        <v>45.75</v>
      </c>
      <c r="P484" s="2">
        <v>294094</v>
      </c>
      <c r="Q484" s="2" t="s">
        <v>1304</v>
      </c>
      <c r="R484" s="2" t="s">
        <v>1316</v>
      </c>
      <c r="S484" s="2">
        <v>207</v>
      </c>
      <c r="T484" s="2">
        <v>1</v>
      </c>
      <c r="U484" s="2" t="s">
        <v>141</v>
      </c>
      <c r="Y484" s="2">
        <v>1700</v>
      </c>
      <c r="Z484" s="11" t="s">
        <v>54</v>
      </c>
      <c r="AA484" s="11" t="str">
        <f t="shared" si="33"/>
        <v>1700 - TBN</v>
      </c>
      <c r="AC484" s="2" t="s">
        <v>145</v>
      </c>
      <c r="AD484" s="11" t="str">
        <f>IF($I484&lt;&gt;"",VLOOKUP($AC484,GEADRESSEERDE!$A$2:$E$4,2,),"")</f>
        <v>LUITHAGEN HAVEN 2 D</v>
      </c>
      <c r="AE484" s="11">
        <f>IF($I484&lt;&gt;"",VLOOKUP($AC484,GEADRESSEERDE!$A$2:$E$4,3,),"")</f>
        <v>2030</v>
      </c>
      <c r="AF484" s="11" t="str">
        <f>IF($I484&lt;&gt;"",VLOOKUP($AC484,GEADRESSEERDE!$A$2:$E$4,4,),"")</f>
        <v>ANTWERPEN</v>
      </c>
      <c r="AG484" s="11" t="str">
        <f>IF($I484&lt;&gt;"",VLOOKUP($AC484,GEADRESSEERDE!$A$2:$E$4,5,),"")</f>
        <v>BE</v>
      </c>
      <c r="AH484" s="11" t="str">
        <f>IF(I484&lt;&gt;"",VLOOKUP(AP484,KvB!$A$2:$B$3,2,FALSE),"")</f>
        <v>BE101000</v>
      </c>
      <c r="AI484" s="11" t="s">
        <v>55</v>
      </c>
      <c r="AJ484" s="11"/>
      <c r="AK484" s="11"/>
      <c r="AL484" s="11"/>
      <c r="AM484" s="11"/>
      <c r="AN484" s="11"/>
      <c r="AO484" s="11"/>
      <c r="AP484" s="2" t="s">
        <v>70</v>
      </c>
      <c r="AQ484" s="11" t="str">
        <f>IF(I484&lt;&gt;"",DATA!D483,"")</f>
        <v>8472908000</v>
      </c>
    </row>
    <row r="485" spans="1:43" ht="15.75" x14ac:dyDescent="0.25">
      <c r="A485" s="11" t="s">
        <v>57</v>
      </c>
      <c r="B485" s="11" t="s">
        <v>56</v>
      </c>
      <c r="C485" s="22">
        <f t="shared" si="34"/>
        <v>25001620</v>
      </c>
      <c r="D485" s="11" t="str">
        <f t="shared" si="31"/>
        <v>SKIIFM_AT</v>
      </c>
      <c r="E485" s="11" t="str">
        <f>IF(I485&lt;&gt;"",VLOOKUP(F485,OPDRACHTGEVER!$A$2:$B$4,2,FALSE),"")</f>
        <v>SKIIFM_AT</v>
      </c>
      <c r="F485" s="11" t="s">
        <v>58</v>
      </c>
      <c r="I485" s="11" t="str">
        <f>IF(DATA!B484&lt;&gt;"",DATA!B484,"")</f>
        <v>CARU9985689</v>
      </c>
      <c r="J485" s="12">
        <v>0</v>
      </c>
      <c r="K485" s="11" t="s">
        <v>53</v>
      </c>
      <c r="L485" s="11" t="str">
        <f t="shared" si="32"/>
        <v>401699</v>
      </c>
      <c r="M485" s="11" t="str">
        <f>IF(I485&lt;&gt;"",DATA!E484,"")</f>
        <v>CABLE PROTECTOR</v>
      </c>
      <c r="N485" s="12">
        <v>0</v>
      </c>
      <c r="O485" s="11">
        <f>IF(I485&lt;&gt;"",DATA!C484,"")</f>
        <v>1099.81</v>
      </c>
      <c r="P485" s="2">
        <v>294094</v>
      </c>
      <c r="Q485" s="2" t="s">
        <v>1304</v>
      </c>
      <c r="R485" s="2" t="s">
        <v>1316</v>
      </c>
      <c r="S485" s="2">
        <v>207</v>
      </c>
      <c r="T485" s="2">
        <v>1</v>
      </c>
      <c r="U485" s="2" t="s">
        <v>141</v>
      </c>
      <c r="Y485" s="2">
        <v>1700</v>
      </c>
      <c r="Z485" s="11" t="s">
        <v>54</v>
      </c>
      <c r="AA485" s="11" t="str">
        <f t="shared" si="33"/>
        <v>1700 - TBN</v>
      </c>
      <c r="AC485" s="2" t="s">
        <v>145</v>
      </c>
      <c r="AD485" s="11" t="str">
        <f>IF($I485&lt;&gt;"",VLOOKUP($AC485,GEADRESSEERDE!$A$2:$E$4,2,),"")</f>
        <v>LUITHAGEN HAVEN 2 D</v>
      </c>
      <c r="AE485" s="11">
        <f>IF($I485&lt;&gt;"",VLOOKUP($AC485,GEADRESSEERDE!$A$2:$E$4,3,),"")</f>
        <v>2030</v>
      </c>
      <c r="AF485" s="11" t="str">
        <f>IF($I485&lt;&gt;"",VLOOKUP($AC485,GEADRESSEERDE!$A$2:$E$4,4,),"")</f>
        <v>ANTWERPEN</v>
      </c>
      <c r="AG485" s="11" t="str">
        <f>IF($I485&lt;&gt;"",VLOOKUP($AC485,GEADRESSEERDE!$A$2:$E$4,5,),"")</f>
        <v>BE</v>
      </c>
      <c r="AH485" s="11" t="str">
        <f>IF(I485&lt;&gt;"",VLOOKUP(AP485,KvB!$A$2:$B$3,2,FALSE),"")</f>
        <v>BE101000</v>
      </c>
      <c r="AI485" s="11" t="s">
        <v>55</v>
      </c>
      <c r="AJ485" s="11"/>
      <c r="AK485" s="11"/>
      <c r="AL485" s="11"/>
      <c r="AM485" s="11"/>
      <c r="AN485" s="11"/>
      <c r="AO485" s="11"/>
      <c r="AP485" s="2" t="s">
        <v>70</v>
      </c>
      <c r="AQ485" s="11" t="str">
        <f>IF(I485&lt;&gt;"",DATA!D484,"")</f>
        <v>4016999790</v>
      </c>
    </row>
    <row r="486" spans="1:43" ht="15.75" x14ac:dyDescent="0.25">
      <c r="A486" s="11" t="s">
        <v>57</v>
      </c>
      <c r="B486" s="11" t="s">
        <v>56</v>
      </c>
      <c r="C486" s="22">
        <f t="shared" si="34"/>
        <v>25001620</v>
      </c>
      <c r="D486" s="11" t="str">
        <f t="shared" si="31"/>
        <v>SKIIFM_AT</v>
      </c>
      <c r="E486" s="11" t="str">
        <f>IF(I486&lt;&gt;"",VLOOKUP(F486,OPDRACHTGEVER!$A$2:$B$4,2,FALSE),"")</f>
        <v>SKIIFM_AT</v>
      </c>
      <c r="F486" s="11" t="s">
        <v>58</v>
      </c>
      <c r="I486" s="11" t="str">
        <f>IF(DATA!B485&lt;&gt;"",DATA!B485,"")</f>
        <v>CARU9985689</v>
      </c>
      <c r="J486" s="12">
        <v>0</v>
      </c>
      <c r="K486" s="11" t="s">
        <v>53</v>
      </c>
      <c r="L486" s="11" t="str">
        <f t="shared" si="32"/>
        <v>847989</v>
      </c>
      <c r="M486" s="11" t="str">
        <f>IF(I486&lt;&gt;"",DATA!E485,"")</f>
        <v>CABLE STRIPPING MACHINE</v>
      </c>
      <c r="N486" s="12">
        <v>0</v>
      </c>
      <c r="O486" s="11">
        <f>IF(I486&lt;&gt;"",DATA!C485,"")</f>
        <v>53.8</v>
      </c>
      <c r="P486" s="2">
        <v>294094</v>
      </c>
      <c r="Q486" s="2" t="s">
        <v>1304</v>
      </c>
      <c r="R486" s="2" t="s">
        <v>1316</v>
      </c>
      <c r="S486" s="2">
        <v>207</v>
      </c>
      <c r="T486" s="2">
        <v>1</v>
      </c>
      <c r="U486" s="2" t="s">
        <v>141</v>
      </c>
      <c r="Y486" s="2">
        <v>1700</v>
      </c>
      <c r="Z486" s="11" t="s">
        <v>54</v>
      </c>
      <c r="AA486" s="11" t="str">
        <f t="shared" si="33"/>
        <v>1700 - TBN</v>
      </c>
      <c r="AC486" s="2" t="s">
        <v>145</v>
      </c>
      <c r="AD486" s="11" t="str">
        <f>IF($I486&lt;&gt;"",VLOOKUP($AC486,GEADRESSEERDE!$A$2:$E$4,2,),"")</f>
        <v>LUITHAGEN HAVEN 2 D</v>
      </c>
      <c r="AE486" s="11">
        <f>IF($I486&lt;&gt;"",VLOOKUP($AC486,GEADRESSEERDE!$A$2:$E$4,3,),"")</f>
        <v>2030</v>
      </c>
      <c r="AF486" s="11" t="str">
        <f>IF($I486&lt;&gt;"",VLOOKUP($AC486,GEADRESSEERDE!$A$2:$E$4,4,),"")</f>
        <v>ANTWERPEN</v>
      </c>
      <c r="AG486" s="11" t="str">
        <f>IF($I486&lt;&gt;"",VLOOKUP($AC486,GEADRESSEERDE!$A$2:$E$4,5,),"")</f>
        <v>BE</v>
      </c>
      <c r="AH486" s="11" t="str">
        <f>IF(I486&lt;&gt;"",VLOOKUP(AP486,KvB!$A$2:$B$3,2,FALSE),"")</f>
        <v>BE101000</v>
      </c>
      <c r="AI486" s="11" t="s">
        <v>55</v>
      </c>
      <c r="AJ486" s="11"/>
      <c r="AK486" s="11"/>
      <c r="AL486" s="11"/>
      <c r="AM486" s="11"/>
      <c r="AN486" s="11"/>
      <c r="AO486" s="11"/>
      <c r="AP486" s="2" t="s">
        <v>70</v>
      </c>
      <c r="AQ486" s="11" t="str">
        <f>IF(I486&lt;&gt;"",DATA!D485,"")</f>
        <v>8479899790</v>
      </c>
    </row>
    <row r="487" spans="1:43" ht="15.75" x14ac:dyDescent="0.25">
      <c r="A487" s="11" t="s">
        <v>57</v>
      </c>
      <c r="B487" s="11" t="s">
        <v>56</v>
      </c>
      <c r="C487" s="22">
        <f t="shared" si="34"/>
        <v>25001620</v>
      </c>
      <c r="D487" s="11" t="str">
        <f t="shared" si="31"/>
        <v>SKIIFM_AT</v>
      </c>
      <c r="E487" s="11" t="str">
        <f>IF(I487&lt;&gt;"",VLOOKUP(F487,OPDRACHTGEVER!$A$2:$B$4,2,FALSE),"")</f>
        <v>SKIIFM_AT</v>
      </c>
      <c r="F487" s="11" t="s">
        <v>58</v>
      </c>
      <c r="I487" s="11" t="str">
        <f>IF(DATA!B486&lt;&gt;"",DATA!B486,"")</f>
        <v>CARU9985689</v>
      </c>
      <c r="J487" s="12">
        <v>0</v>
      </c>
      <c r="K487" s="11" t="s">
        <v>53</v>
      </c>
      <c r="L487" s="11" t="str">
        <f t="shared" si="32"/>
        <v>761090</v>
      </c>
      <c r="M487" s="11" t="str">
        <f>IF(I487&lt;&gt;"",DATA!E486,"")</f>
        <v>CANOPY</v>
      </c>
      <c r="N487" s="12">
        <v>0</v>
      </c>
      <c r="O487" s="11">
        <f>IF(I487&lt;&gt;"",DATA!C486,"")</f>
        <v>23.8</v>
      </c>
      <c r="P487" s="2">
        <v>294094</v>
      </c>
      <c r="Q487" s="2" t="s">
        <v>1304</v>
      </c>
      <c r="R487" s="2" t="s">
        <v>1316</v>
      </c>
      <c r="S487" s="2">
        <v>207</v>
      </c>
      <c r="T487" s="2">
        <v>1</v>
      </c>
      <c r="U487" s="2" t="s">
        <v>141</v>
      </c>
      <c r="Y487" s="2">
        <v>1700</v>
      </c>
      <c r="Z487" s="11" t="s">
        <v>54</v>
      </c>
      <c r="AA487" s="11" t="str">
        <f t="shared" si="33"/>
        <v>1700 - TBN</v>
      </c>
      <c r="AC487" s="2" t="s">
        <v>145</v>
      </c>
      <c r="AD487" s="11" t="str">
        <f>IF($I487&lt;&gt;"",VLOOKUP($AC487,GEADRESSEERDE!$A$2:$E$4,2,),"")</f>
        <v>LUITHAGEN HAVEN 2 D</v>
      </c>
      <c r="AE487" s="11">
        <f>IF($I487&lt;&gt;"",VLOOKUP($AC487,GEADRESSEERDE!$A$2:$E$4,3,),"")</f>
        <v>2030</v>
      </c>
      <c r="AF487" s="11" t="str">
        <f>IF($I487&lt;&gt;"",VLOOKUP($AC487,GEADRESSEERDE!$A$2:$E$4,4,),"")</f>
        <v>ANTWERPEN</v>
      </c>
      <c r="AG487" s="11" t="str">
        <f>IF($I487&lt;&gt;"",VLOOKUP($AC487,GEADRESSEERDE!$A$2:$E$4,5,),"")</f>
        <v>BE</v>
      </c>
      <c r="AH487" s="11" t="str">
        <f>IF(I487&lt;&gt;"",VLOOKUP(AP487,KvB!$A$2:$B$3,2,FALSE),"")</f>
        <v>BE101000</v>
      </c>
      <c r="AI487" s="11" t="s">
        <v>55</v>
      </c>
      <c r="AJ487" s="11"/>
      <c r="AK487" s="11"/>
      <c r="AL487" s="11"/>
      <c r="AM487" s="11"/>
      <c r="AN487" s="11"/>
      <c r="AO487" s="11"/>
      <c r="AP487" s="2" t="s">
        <v>70</v>
      </c>
      <c r="AQ487" s="11" t="str">
        <f>IF(I487&lt;&gt;"",DATA!D486,"")</f>
        <v>7610909095</v>
      </c>
    </row>
    <row r="488" spans="1:43" ht="15.75" x14ac:dyDescent="0.25">
      <c r="A488" s="11" t="s">
        <v>57</v>
      </c>
      <c r="B488" s="11" t="s">
        <v>56</v>
      </c>
      <c r="C488" s="22">
        <f t="shared" si="34"/>
        <v>25001620</v>
      </c>
      <c r="D488" s="11" t="str">
        <f t="shared" si="31"/>
        <v>SKIIFM_AT</v>
      </c>
      <c r="E488" s="11" t="str">
        <f>IF(I488&lt;&gt;"",VLOOKUP(F488,OPDRACHTGEVER!$A$2:$B$4,2,FALSE),"")</f>
        <v>SKIIFM_AT</v>
      </c>
      <c r="F488" s="11" t="s">
        <v>58</v>
      </c>
      <c r="I488" s="11" t="str">
        <f>IF(DATA!B487&lt;&gt;"",DATA!B487,"")</f>
        <v>CARU9985689</v>
      </c>
      <c r="J488" s="12">
        <v>0</v>
      </c>
      <c r="K488" s="11" t="s">
        <v>53</v>
      </c>
      <c r="L488" s="11" t="str">
        <f t="shared" si="32"/>
        <v>391890</v>
      </c>
      <c r="M488" s="11" t="str">
        <f>IF(I488&lt;&gt;"",DATA!E487,"")</f>
        <v>CARPET</v>
      </c>
      <c r="N488" s="12">
        <v>0</v>
      </c>
      <c r="O488" s="11">
        <f>IF(I488&lt;&gt;"",DATA!C487,"")</f>
        <v>62.45</v>
      </c>
      <c r="P488" s="2">
        <v>294094</v>
      </c>
      <c r="Q488" s="2" t="s">
        <v>1304</v>
      </c>
      <c r="R488" s="2" t="s">
        <v>1316</v>
      </c>
      <c r="S488" s="2">
        <v>207</v>
      </c>
      <c r="T488" s="2">
        <v>1</v>
      </c>
      <c r="U488" s="2" t="s">
        <v>141</v>
      </c>
      <c r="Y488" s="2">
        <v>1700</v>
      </c>
      <c r="Z488" s="11" t="s">
        <v>54</v>
      </c>
      <c r="AA488" s="11" t="str">
        <f t="shared" si="33"/>
        <v>1700 - TBN</v>
      </c>
      <c r="AC488" s="2" t="s">
        <v>145</v>
      </c>
      <c r="AD488" s="11" t="str">
        <f>IF($I488&lt;&gt;"",VLOOKUP($AC488,GEADRESSEERDE!$A$2:$E$4,2,),"")</f>
        <v>LUITHAGEN HAVEN 2 D</v>
      </c>
      <c r="AE488" s="11">
        <f>IF($I488&lt;&gt;"",VLOOKUP($AC488,GEADRESSEERDE!$A$2:$E$4,3,),"")</f>
        <v>2030</v>
      </c>
      <c r="AF488" s="11" t="str">
        <f>IF($I488&lt;&gt;"",VLOOKUP($AC488,GEADRESSEERDE!$A$2:$E$4,4,),"")</f>
        <v>ANTWERPEN</v>
      </c>
      <c r="AG488" s="11" t="str">
        <f>IF($I488&lt;&gt;"",VLOOKUP($AC488,GEADRESSEERDE!$A$2:$E$4,5,),"")</f>
        <v>BE</v>
      </c>
      <c r="AH488" s="11" t="str">
        <f>IF(I488&lt;&gt;"",VLOOKUP(AP488,KvB!$A$2:$B$3,2,FALSE),"")</f>
        <v>BE101000</v>
      </c>
      <c r="AI488" s="11" t="s">
        <v>55</v>
      </c>
      <c r="AJ488" s="11"/>
      <c r="AK488" s="11"/>
      <c r="AL488" s="11"/>
      <c r="AM488" s="11"/>
      <c r="AN488" s="11"/>
      <c r="AO488" s="11"/>
      <c r="AP488" s="2" t="s">
        <v>70</v>
      </c>
      <c r="AQ488" s="11" t="str">
        <f>IF(I488&lt;&gt;"",DATA!D487,"")</f>
        <v>3918900090</v>
      </c>
    </row>
    <row r="489" spans="1:43" ht="15.75" x14ac:dyDescent="0.25">
      <c r="A489" s="11" t="s">
        <v>57</v>
      </c>
      <c r="B489" s="11" t="s">
        <v>56</v>
      </c>
      <c r="C489" s="22">
        <f t="shared" si="34"/>
        <v>25001620</v>
      </c>
      <c r="D489" s="11" t="str">
        <f t="shared" si="31"/>
        <v>SKIIFM_AT</v>
      </c>
      <c r="E489" s="11" t="str">
        <f>IF(I489&lt;&gt;"",VLOOKUP(F489,OPDRACHTGEVER!$A$2:$B$4,2,FALSE),"")</f>
        <v>SKIIFM_AT</v>
      </c>
      <c r="F489" s="11" t="s">
        <v>58</v>
      </c>
      <c r="I489" s="11" t="str">
        <f>IF(DATA!B488&lt;&gt;"",DATA!B488,"")</f>
        <v>CARU9985689</v>
      </c>
      <c r="J489" s="12">
        <v>0</v>
      </c>
      <c r="K489" s="11" t="s">
        <v>53</v>
      </c>
      <c r="L489" s="11" t="str">
        <f t="shared" si="32"/>
        <v>841370</v>
      </c>
      <c r="M489" s="11" t="str">
        <f>IF(I489&lt;&gt;"",DATA!E488,"")</f>
        <v>CENTRIFUGAL PUMP</v>
      </c>
      <c r="N489" s="12">
        <v>0</v>
      </c>
      <c r="O489" s="11">
        <f>IF(I489&lt;&gt;"",DATA!C488,"")</f>
        <v>489.5</v>
      </c>
      <c r="P489" s="2">
        <v>294094</v>
      </c>
      <c r="Q489" s="2" t="s">
        <v>1304</v>
      </c>
      <c r="R489" s="2" t="s">
        <v>1316</v>
      </c>
      <c r="S489" s="2">
        <v>207</v>
      </c>
      <c r="T489" s="2">
        <v>1</v>
      </c>
      <c r="U489" s="2" t="s">
        <v>141</v>
      </c>
      <c r="Y489" s="2">
        <v>1700</v>
      </c>
      <c r="Z489" s="11" t="s">
        <v>54</v>
      </c>
      <c r="AA489" s="11" t="str">
        <f t="shared" si="33"/>
        <v>1700 - TBN</v>
      </c>
      <c r="AC489" s="2" t="s">
        <v>145</v>
      </c>
      <c r="AD489" s="11" t="str">
        <f>IF($I489&lt;&gt;"",VLOOKUP($AC489,GEADRESSEERDE!$A$2:$E$4,2,),"")</f>
        <v>LUITHAGEN HAVEN 2 D</v>
      </c>
      <c r="AE489" s="11">
        <f>IF($I489&lt;&gt;"",VLOOKUP($AC489,GEADRESSEERDE!$A$2:$E$4,3,),"")</f>
        <v>2030</v>
      </c>
      <c r="AF489" s="11" t="str">
        <f>IF($I489&lt;&gt;"",VLOOKUP($AC489,GEADRESSEERDE!$A$2:$E$4,4,),"")</f>
        <v>ANTWERPEN</v>
      </c>
      <c r="AG489" s="11" t="str">
        <f>IF($I489&lt;&gt;"",VLOOKUP($AC489,GEADRESSEERDE!$A$2:$E$4,5,),"")</f>
        <v>BE</v>
      </c>
      <c r="AH489" s="11" t="str">
        <f>IF(I489&lt;&gt;"",VLOOKUP(AP489,KvB!$A$2:$B$3,2,FALSE),"")</f>
        <v>BE101000</v>
      </c>
      <c r="AI489" s="11" t="s">
        <v>55</v>
      </c>
      <c r="AJ489" s="11"/>
      <c r="AK489" s="11"/>
      <c r="AL489" s="11"/>
      <c r="AM489" s="11"/>
      <c r="AN489" s="11"/>
      <c r="AO489" s="11"/>
      <c r="AP489" s="2" t="s">
        <v>70</v>
      </c>
      <c r="AQ489" s="11" t="str">
        <f>IF(I489&lt;&gt;"",DATA!D488,"")</f>
        <v>8413708990</v>
      </c>
    </row>
    <row r="490" spans="1:43" ht="15.75" x14ac:dyDescent="0.25">
      <c r="A490" s="11" t="s">
        <v>57</v>
      </c>
      <c r="B490" s="11" t="s">
        <v>56</v>
      </c>
      <c r="C490" s="22">
        <f t="shared" si="34"/>
        <v>25001620</v>
      </c>
      <c r="D490" s="11" t="str">
        <f t="shared" si="31"/>
        <v>SKIIFM_AT</v>
      </c>
      <c r="E490" s="11" t="str">
        <f>IF(I490&lt;&gt;"",VLOOKUP(F490,OPDRACHTGEVER!$A$2:$B$4,2,FALSE),"")</f>
        <v>SKIIFM_AT</v>
      </c>
      <c r="F490" s="11" t="s">
        <v>58</v>
      </c>
      <c r="I490" s="11" t="str">
        <f>IF(DATA!B489&lt;&gt;"",DATA!B489,"")</f>
        <v>CARU9985689</v>
      </c>
      <c r="J490" s="12">
        <v>0</v>
      </c>
      <c r="K490" s="11" t="s">
        <v>53</v>
      </c>
      <c r="L490" s="11" t="str">
        <f t="shared" si="32"/>
        <v>950300</v>
      </c>
      <c r="M490" s="11" t="str">
        <f>IF(I490&lt;&gt;"",DATA!E489,"")</f>
        <v>CHILDREN'S ROCKING HORSE</v>
      </c>
      <c r="N490" s="12">
        <v>0</v>
      </c>
      <c r="O490" s="11">
        <f>IF(I490&lt;&gt;"",DATA!C489,"")</f>
        <v>5.5</v>
      </c>
      <c r="P490" s="2">
        <v>294094</v>
      </c>
      <c r="Q490" s="2" t="s">
        <v>1304</v>
      </c>
      <c r="R490" s="2" t="s">
        <v>1316</v>
      </c>
      <c r="S490" s="2">
        <v>207</v>
      </c>
      <c r="T490" s="2">
        <v>1</v>
      </c>
      <c r="U490" s="2" t="s">
        <v>141</v>
      </c>
      <c r="Y490" s="2">
        <v>1700</v>
      </c>
      <c r="Z490" s="11" t="s">
        <v>54</v>
      </c>
      <c r="AA490" s="11" t="str">
        <f t="shared" si="33"/>
        <v>1700 - TBN</v>
      </c>
      <c r="AC490" s="2" t="s">
        <v>145</v>
      </c>
      <c r="AD490" s="11" t="str">
        <f>IF($I490&lt;&gt;"",VLOOKUP($AC490,GEADRESSEERDE!$A$2:$E$4,2,),"")</f>
        <v>LUITHAGEN HAVEN 2 D</v>
      </c>
      <c r="AE490" s="11">
        <f>IF($I490&lt;&gt;"",VLOOKUP($AC490,GEADRESSEERDE!$A$2:$E$4,3,),"")</f>
        <v>2030</v>
      </c>
      <c r="AF490" s="11" t="str">
        <f>IF($I490&lt;&gt;"",VLOOKUP($AC490,GEADRESSEERDE!$A$2:$E$4,4,),"")</f>
        <v>ANTWERPEN</v>
      </c>
      <c r="AG490" s="11" t="str">
        <f>IF($I490&lt;&gt;"",VLOOKUP($AC490,GEADRESSEERDE!$A$2:$E$4,5,),"")</f>
        <v>BE</v>
      </c>
      <c r="AH490" s="11" t="str">
        <f>IF(I490&lt;&gt;"",VLOOKUP(AP490,KvB!$A$2:$B$3,2,FALSE),"")</f>
        <v>BE101000</v>
      </c>
      <c r="AI490" s="11" t="s">
        <v>55</v>
      </c>
      <c r="AJ490" s="11"/>
      <c r="AK490" s="11"/>
      <c r="AL490" s="11"/>
      <c r="AM490" s="11"/>
      <c r="AN490" s="11"/>
      <c r="AO490" s="11"/>
      <c r="AP490" s="2" t="s">
        <v>70</v>
      </c>
      <c r="AQ490" s="11" t="str">
        <f>IF(I490&lt;&gt;"",DATA!D489,"")</f>
        <v>9503008190</v>
      </c>
    </row>
    <row r="491" spans="1:43" ht="15.75" x14ac:dyDescent="0.25">
      <c r="A491" s="11" t="s">
        <v>57</v>
      </c>
      <c r="B491" s="11" t="s">
        <v>56</v>
      </c>
      <c r="C491" s="22">
        <f t="shared" si="34"/>
        <v>25001620</v>
      </c>
      <c r="D491" s="11" t="str">
        <f t="shared" si="31"/>
        <v>SKIIFM_AT</v>
      </c>
      <c r="E491" s="11" t="str">
        <f>IF(I491&lt;&gt;"",VLOOKUP(F491,OPDRACHTGEVER!$A$2:$B$4,2,FALSE),"")</f>
        <v>SKIIFM_AT</v>
      </c>
      <c r="F491" s="11" t="s">
        <v>58</v>
      </c>
      <c r="I491" s="11" t="str">
        <f>IF(DATA!B490&lt;&gt;"",DATA!B490,"")</f>
        <v>CARU9985689</v>
      </c>
      <c r="J491" s="12">
        <v>0</v>
      </c>
      <c r="K491" s="11" t="s">
        <v>53</v>
      </c>
      <c r="L491" s="11" t="str">
        <f t="shared" si="32"/>
        <v>846693</v>
      </c>
      <c r="M491" s="11" t="str">
        <f>IF(I491&lt;&gt;"",DATA!E490,"")</f>
        <v>CNC ROUTER RAIL</v>
      </c>
      <c r="N491" s="12">
        <v>0</v>
      </c>
      <c r="O491" s="11">
        <f>IF(I491&lt;&gt;"",DATA!C490,"")</f>
        <v>201.5</v>
      </c>
      <c r="P491" s="2">
        <v>294094</v>
      </c>
      <c r="Q491" s="2" t="s">
        <v>1304</v>
      </c>
      <c r="R491" s="2" t="s">
        <v>1316</v>
      </c>
      <c r="S491" s="2">
        <v>207</v>
      </c>
      <c r="T491" s="2">
        <v>1</v>
      </c>
      <c r="U491" s="2" t="s">
        <v>141</v>
      </c>
      <c r="Y491" s="2">
        <v>1700</v>
      </c>
      <c r="Z491" s="11" t="s">
        <v>54</v>
      </c>
      <c r="AA491" s="11" t="str">
        <f t="shared" si="33"/>
        <v>1700 - TBN</v>
      </c>
      <c r="AC491" s="2" t="s">
        <v>145</v>
      </c>
      <c r="AD491" s="11" t="str">
        <f>IF($I491&lt;&gt;"",VLOOKUP($AC491,GEADRESSEERDE!$A$2:$E$4,2,),"")</f>
        <v>LUITHAGEN HAVEN 2 D</v>
      </c>
      <c r="AE491" s="11">
        <f>IF($I491&lt;&gt;"",VLOOKUP($AC491,GEADRESSEERDE!$A$2:$E$4,3,),"")</f>
        <v>2030</v>
      </c>
      <c r="AF491" s="11" t="str">
        <f>IF($I491&lt;&gt;"",VLOOKUP($AC491,GEADRESSEERDE!$A$2:$E$4,4,),"")</f>
        <v>ANTWERPEN</v>
      </c>
      <c r="AG491" s="11" t="str">
        <f>IF($I491&lt;&gt;"",VLOOKUP($AC491,GEADRESSEERDE!$A$2:$E$4,5,),"")</f>
        <v>BE</v>
      </c>
      <c r="AH491" s="11" t="str">
        <f>IF(I491&lt;&gt;"",VLOOKUP(AP491,KvB!$A$2:$B$3,2,FALSE),"")</f>
        <v>BE101000</v>
      </c>
      <c r="AI491" s="11" t="s">
        <v>55</v>
      </c>
      <c r="AJ491" s="11"/>
      <c r="AK491" s="11"/>
      <c r="AL491" s="11"/>
      <c r="AM491" s="11"/>
      <c r="AN491" s="11"/>
      <c r="AO491" s="11"/>
      <c r="AP491" s="2" t="s">
        <v>70</v>
      </c>
      <c r="AQ491" s="11" t="str">
        <f>IF(I491&lt;&gt;"",DATA!D490,"")</f>
        <v>8466934000</v>
      </c>
    </row>
    <row r="492" spans="1:43" ht="15.75" x14ac:dyDescent="0.25">
      <c r="A492" s="11" t="s">
        <v>57</v>
      </c>
      <c r="B492" s="11" t="s">
        <v>56</v>
      </c>
      <c r="C492" s="22">
        <f t="shared" si="34"/>
        <v>25001620</v>
      </c>
      <c r="D492" s="11" t="str">
        <f t="shared" si="31"/>
        <v>SKIIFM_AT</v>
      </c>
      <c r="E492" s="11" t="str">
        <f>IF(I492&lt;&gt;"",VLOOKUP(F492,OPDRACHTGEVER!$A$2:$B$4,2,FALSE),"")</f>
        <v>SKIIFM_AT</v>
      </c>
      <c r="F492" s="11" t="s">
        <v>58</v>
      </c>
      <c r="I492" s="11" t="str">
        <f>IF(DATA!B491&lt;&gt;"",DATA!B491,"")</f>
        <v>CARU9985689</v>
      </c>
      <c r="J492" s="12">
        <v>0</v>
      </c>
      <c r="K492" s="11" t="s">
        <v>53</v>
      </c>
      <c r="L492" s="11" t="str">
        <f t="shared" si="32"/>
        <v>841480</v>
      </c>
      <c r="M492" s="11" t="str">
        <f>IF(I492&lt;&gt;"",DATA!E491,"")</f>
        <v>COMPRESSOR</v>
      </c>
      <c r="N492" s="12">
        <v>0</v>
      </c>
      <c r="O492" s="11">
        <f>IF(I492&lt;&gt;"",DATA!C491,"")</f>
        <v>1392.25</v>
      </c>
      <c r="P492" s="2">
        <v>294094</v>
      </c>
      <c r="Q492" s="2" t="s">
        <v>1304</v>
      </c>
      <c r="R492" s="2" t="s">
        <v>1316</v>
      </c>
      <c r="S492" s="2">
        <v>207</v>
      </c>
      <c r="T492" s="2">
        <v>1</v>
      </c>
      <c r="U492" s="2" t="s">
        <v>141</v>
      </c>
      <c r="Y492" s="2">
        <v>1700</v>
      </c>
      <c r="Z492" s="11" t="s">
        <v>54</v>
      </c>
      <c r="AA492" s="11" t="str">
        <f t="shared" si="33"/>
        <v>1700 - TBN</v>
      </c>
      <c r="AC492" s="2" t="s">
        <v>145</v>
      </c>
      <c r="AD492" s="11" t="str">
        <f>IF($I492&lt;&gt;"",VLOOKUP($AC492,GEADRESSEERDE!$A$2:$E$4,2,),"")</f>
        <v>LUITHAGEN HAVEN 2 D</v>
      </c>
      <c r="AE492" s="11">
        <f>IF($I492&lt;&gt;"",VLOOKUP($AC492,GEADRESSEERDE!$A$2:$E$4,3,),"")</f>
        <v>2030</v>
      </c>
      <c r="AF492" s="11" t="str">
        <f>IF($I492&lt;&gt;"",VLOOKUP($AC492,GEADRESSEERDE!$A$2:$E$4,4,),"")</f>
        <v>ANTWERPEN</v>
      </c>
      <c r="AG492" s="11" t="str">
        <f>IF($I492&lt;&gt;"",VLOOKUP($AC492,GEADRESSEERDE!$A$2:$E$4,5,),"")</f>
        <v>BE</v>
      </c>
      <c r="AH492" s="11" t="str">
        <f>IF(I492&lt;&gt;"",VLOOKUP(AP492,KvB!$A$2:$B$3,2,FALSE),"")</f>
        <v>BE101000</v>
      </c>
      <c r="AI492" s="11" t="s">
        <v>55</v>
      </c>
      <c r="AJ492" s="11"/>
      <c r="AK492" s="11"/>
      <c r="AL492" s="11"/>
      <c r="AM492" s="11"/>
      <c r="AN492" s="11"/>
      <c r="AO492" s="11"/>
      <c r="AP492" s="2" t="s">
        <v>70</v>
      </c>
      <c r="AQ492" s="11" t="str">
        <f>IF(I492&lt;&gt;"",DATA!D491,"")</f>
        <v>8414808090</v>
      </c>
    </row>
    <row r="493" spans="1:43" ht="15.75" x14ac:dyDescent="0.25">
      <c r="A493" s="11" t="s">
        <v>57</v>
      </c>
      <c r="B493" s="11" t="s">
        <v>56</v>
      </c>
      <c r="C493" s="22">
        <f t="shared" si="34"/>
        <v>25001620</v>
      </c>
      <c r="D493" s="11" t="str">
        <f t="shared" si="31"/>
        <v>SKIIFM_AT</v>
      </c>
      <c r="E493" s="11" t="str">
        <f>IF(I493&lt;&gt;"",VLOOKUP(F493,OPDRACHTGEVER!$A$2:$B$4,2,FALSE),"")</f>
        <v>SKIIFM_AT</v>
      </c>
      <c r="F493" s="11" t="s">
        <v>58</v>
      </c>
      <c r="I493" s="11" t="str">
        <f>IF(DATA!B492&lt;&gt;"",DATA!B492,"")</f>
        <v>CARU9985689</v>
      </c>
      <c r="J493" s="12">
        <v>0</v>
      </c>
      <c r="K493" s="11" t="s">
        <v>53</v>
      </c>
      <c r="L493" s="11" t="str">
        <f t="shared" si="32"/>
        <v>741920</v>
      </c>
      <c r="M493" s="11" t="str">
        <f>IF(I493&lt;&gt;"",DATA!E492,"")</f>
        <v>DISPLAY RACK</v>
      </c>
      <c r="N493" s="12">
        <v>0</v>
      </c>
      <c r="O493" s="11">
        <f>IF(I493&lt;&gt;"",DATA!C492,"")</f>
        <v>51.5</v>
      </c>
      <c r="P493" s="2">
        <v>294094</v>
      </c>
      <c r="Q493" s="2" t="s">
        <v>1304</v>
      </c>
      <c r="R493" s="2" t="s">
        <v>1316</v>
      </c>
      <c r="S493" s="2">
        <v>207</v>
      </c>
      <c r="T493" s="2">
        <v>1</v>
      </c>
      <c r="U493" s="2" t="s">
        <v>141</v>
      </c>
      <c r="Y493" s="2">
        <v>1700</v>
      </c>
      <c r="Z493" s="11" t="s">
        <v>54</v>
      </c>
      <c r="AA493" s="11" t="str">
        <f t="shared" si="33"/>
        <v>1700 - TBN</v>
      </c>
      <c r="AC493" s="2" t="s">
        <v>145</v>
      </c>
      <c r="AD493" s="11" t="str">
        <f>IF($I493&lt;&gt;"",VLOOKUP($AC493,GEADRESSEERDE!$A$2:$E$4,2,),"")</f>
        <v>LUITHAGEN HAVEN 2 D</v>
      </c>
      <c r="AE493" s="11">
        <f>IF($I493&lt;&gt;"",VLOOKUP($AC493,GEADRESSEERDE!$A$2:$E$4,3,),"")</f>
        <v>2030</v>
      </c>
      <c r="AF493" s="11" t="str">
        <f>IF($I493&lt;&gt;"",VLOOKUP($AC493,GEADRESSEERDE!$A$2:$E$4,4,),"")</f>
        <v>ANTWERPEN</v>
      </c>
      <c r="AG493" s="11" t="str">
        <f>IF($I493&lt;&gt;"",VLOOKUP($AC493,GEADRESSEERDE!$A$2:$E$4,5,),"")</f>
        <v>BE</v>
      </c>
      <c r="AH493" s="11" t="str">
        <f>IF(I493&lt;&gt;"",VLOOKUP(AP493,KvB!$A$2:$B$3,2,FALSE),"")</f>
        <v>BE101000</v>
      </c>
      <c r="AI493" s="11" t="s">
        <v>55</v>
      </c>
      <c r="AJ493" s="11"/>
      <c r="AK493" s="11"/>
      <c r="AL493" s="11"/>
      <c r="AM493" s="11"/>
      <c r="AN493" s="11"/>
      <c r="AO493" s="11"/>
      <c r="AP493" s="2" t="s">
        <v>70</v>
      </c>
      <c r="AQ493" s="11" t="str">
        <f>IF(I493&lt;&gt;"",DATA!D492,"")</f>
        <v>7419200090</v>
      </c>
    </row>
    <row r="494" spans="1:43" ht="15.75" x14ac:dyDescent="0.25">
      <c r="A494" s="11" t="s">
        <v>57</v>
      </c>
      <c r="B494" s="11" t="s">
        <v>56</v>
      </c>
      <c r="C494" s="22">
        <f t="shared" si="34"/>
        <v>25001620</v>
      </c>
      <c r="D494" s="11" t="str">
        <f t="shared" si="31"/>
        <v>SKIIFM_AT</v>
      </c>
      <c r="E494" s="11" t="str">
        <f>IF(I494&lt;&gt;"",VLOOKUP(F494,OPDRACHTGEVER!$A$2:$B$4,2,FALSE),"")</f>
        <v>SKIIFM_AT</v>
      </c>
      <c r="F494" s="11" t="s">
        <v>58</v>
      </c>
      <c r="I494" s="11" t="str">
        <f>IF(DATA!B493&lt;&gt;"",DATA!B493,"")</f>
        <v>CARU9985689</v>
      </c>
      <c r="J494" s="12">
        <v>0</v>
      </c>
      <c r="K494" s="11" t="s">
        <v>53</v>
      </c>
      <c r="L494" s="11" t="str">
        <f t="shared" si="32"/>
        <v>820750</v>
      </c>
      <c r="M494" s="11" t="str">
        <f>IF(I494&lt;&gt;"",DATA!E493,"")</f>
        <v>DRILLING TOOL</v>
      </c>
      <c r="N494" s="12">
        <v>0</v>
      </c>
      <c r="O494" s="11">
        <f>IF(I494&lt;&gt;"",DATA!C493,"")</f>
        <v>25.8</v>
      </c>
      <c r="P494" s="2">
        <v>294094</v>
      </c>
      <c r="Q494" s="2" t="s">
        <v>1304</v>
      </c>
      <c r="R494" s="2" t="s">
        <v>1316</v>
      </c>
      <c r="S494" s="2">
        <v>207</v>
      </c>
      <c r="T494" s="2">
        <v>1</v>
      </c>
      <c r="U494" s="2" t="s">
        <v>141</v>
      </c>
      <c r="Y494" s="2">
        <v>1700</v>
      </c>
      <c r="Z494" s="11" t="s">
        <v>54</v>
      </c>
      <c r="AA494" s="11" t="str">
        <f t="shared" si="33"/>
        <v>1700 - TBN</v>
      </c>
      <c r="AC494" s="2" t="s">
        <v>145</v>
      </c>
      <c r="AD494" s="11" t="str">
        <f>IF($I494&lt;&gt;"",VLOOKUP($AC494,GEADRESSEERDE!$A$2:$E$4,2,),"")</f>
        <v>LUITHAGEN HAVEN 2 D</v>
      </c>
      <c r="AE494" s="11">
        <f>IF($I494&lt;&gt;"",VLOOKUP($AC494,GEADRESSEERDE!$A$2:$E$4,3,),"")</f>
        <v>2030</v>
      </c>
      <c r="AF494" s="11" t="str">
        <f>IF($I494&lt;&gt;"",VLOOKUP($AC494,GEADRESSEERDE!$A$2:$E$4,4,),"")</f>
        <v>ANTWERPEN</v>
      </c>
      <c r="AG494" s="11" t="str">
        <f>IF($I494&lt;&gt;"",VLOOKUP($AC494,GEADRESSEERDE!$A$2:$E$4,5,),"")</f>
        <v>BE</v>
      </c>
      <c r="AH494" s="11" t="str">
        <f>IF(I494&lt;&gt;"",VLOOKUP(AP494,KvB!$A$2:$B$3,2,FALSE),"")</f>
        <v>BE101000</v>
      </c>
      <c r="AI494" s="11" t="s">
        <v>55</v>
      </c>
      <c r="AJ494" s="11"/>
      <c r="AK494" s="11"/>
      <c r="AL494" s="11"/>
      <c r="AM494" s="11"/>
      <c r="AN494" s="11"/>
      <c r="AO494" s="11"/>
      <c r="AP494" s="2" t="s">
        <v>70</v>
      </c>
      <c r="AQ494" s="11" t="str">
        <f>IF(I494&lt;&gt;"",DATA!D493,"")</f>
        <v>8207509000</v>
      </c>
    </row>
    <row r="495" spans="1:43" ht="15.75" x14ac:dyDescent="0.25">
      <c r="A495" s="11" t="s">
        <v>57</v>
      </c>
      <c r="B495" s="11" t="s">
        <v>56</v>
      </c>
      <c r="C495" s="22">
        <f t="shared" si="34"/>
        <v>25001620</v>
      </c>
      <c r="D495" s="11" t="str">
        <f t="shared" si="31"/>
        <v>SKIIFM_AT</v>
      </c>
      <c r="E495" s="11" t="str">
        <f>IF(I495&lt;&gt;"",VLOOKUP(F495,OPDRACHTGEVER!$A$2:$B$4,2,FALSE),"")</f>
        <v>SKIIFM_AT</v>
      </c>
      <c r="F495" s="11" t="s">
        <v>58</v>
      </c>
      <c r="I495" s="11" t="str">
        <f>IF(DATA!B494&lt;&gt;"",DATA!B494,"")</f>
        <v>CARU9985689</v>
      </c>
      <c r="J495" s="12">
        <v>0</v>
      </c>
      <c r="K495" s="11" t="s">
        <v>53</v>
      </c>
      <c r="L495" s="11" t="str">
        <f t="shared" si="32"/>
        <v>842549</v>
      </c>
      <c r="M495" s="11" t="str">
        <f>IF(I495&lt;&gt;"",DATA!E494,"")</f>
        <v>ELECTRIC JACK</v>
      </c>
      <c r="N495" s="12">
        <v>0</v>
      </c>
      <c r="O495" s="11">
        <f>IF(I495&lt;&gt;"",DATA!C494,"")</f>
        <v>437.15</v>
      </c>
      <c r="P495" s="2">
        <v>294094</v>
      </c>
      <c r="Q495" s="2" t="s">
        <v>1304</v>
      </c>
      <c r="R495" s="2" t="s">
        <v>1316</v>
      </c>
      <c r="S495" s="2">
        <v>207</v>
      </c>
      <c r="T495" s="2">
        <v>1</v>
      </c>
      <c r="U495" s="2" t="s">
        <v>141</v>
      </c>
      <c r="Y495" s="2">
        <v>1700</v>
      </c>
      <c r="Z495" s="11" t="s">
        <v>54</v>
      </c>
      <c r="AA495" s="11" t="str">
        <f t="shared" si="33"/>
        <v>1700 - TBN</v>
      </c>
      <c r="AC495" s="2" t="s">
        <v>145</v>
      </c>
      <c r="AD495" s="11" t="str">
        <f>IF($I495&lt;&gt;"",VLOOKUP($AC495,GEADRESSEERDE!$A$2:$E$4,2,),"")</f>
        <v>LUITHAGEN HAVEN 2 D</v>
      </c>
      <c r="AE495" s="11">
        <f>IF($I495&lt;&gt;"",VLOOKUP($AC495,GEADRESSEERDE!$A$2:$E$4,3,),"")</f>
        <v>2030</v>
      </c>
      <c r="AF495" s="11" t="str">
        <f>IF($I495&lt;&gt;"",VLOOKUP($AC495,GEADRESSEERDE!$A$2:$E$4,4,),"")</f>
        <v>ANTWERPEN</v>
      </c>
      <c r="AG495" s="11" t="str">
        <f>IF($I495&lt;&gt;"",VLOOKUP($AC495,GEADRESSEERDE!$A$2:$E$4,5,),"")</f>
        <v>BE</v>
      </c>
      <c r="AH495" s="11" t="str">
        <f>IF(I495&lt;&gt;"",VLOOKUP(AP495,KvB!$A$2:$B$3,2,FALSE),"")</f>
        <v>BE101000</v>
      </c>
      <c r="AI495" s="11" t="s">
        <v>55</v>
      </c>
      <c r="AJ495" s="11"/>
      <c r="AK495" s="11"/>
      <c r="AL495" s="11"/>
      <c r="AM495" s="11"/>
      <c r="AN495" s="11"/>
      <c r="AO495" s="11"/>
      <c r="AP495" s="2" t="s">
        <v>70</v>
      </c>
      <c r="AQ495" s="11" t="str">
        <f>IF(I495&lt;&gt;"",DATA!D494,"")</f>
        <v>8425490000</v>
      </c>
    </row>
    <row r="496" spans="1:43" ht="15.75" x14ac:dyDescent="0.25">
      <c r="A496" s="11" t="s">
        <v>57</v>
      </c>
      <c r="B496" s="11" t="s">
        <v>56</v>
      </c>
      <c r="C496" s="22">
        <f t="shared" si="34"/>
        <v>25001620</v>
      </c>
      <c r="D496" s="11" t="str">
        <f t="shared" si="31"/>
        <v>SKIIFM_AT</v>
      </c>
      <c r="E496" s="11" t="str">
        <f>IF(I496&lt;&gt;"",VLOOKUP(F496,OPDRACHTGEVER!$A$2:$B$4,2,FALSE),"")</f>
        <v>SKIIFM_AT</v>
      </c>
      <c r="F496" s="11" t="s">
        <v>58</v>
      </c>
      <c r="I496" s="11" t="str">
        <f>IF(DATA!B495&lt;&gt;"",DATA!B495,"")</f>
        <v>CARU9985689</v>
      </c>
      <c r="J496" s="12">
        <v>0</v>
      </c>
      <c r="K496" s="11" t="s">
        <v>53</v>
      </c>
      <c r="L496" s="11" t="str">
        <f t="shared" si="32"/>
        <v>841459</v>
      </c>
      <c r="M496" s="11" t="str">
        <f>IF(I496&lt;&gt;"",DATA!E495,"")</f>
        <v>EXHAUST FAN</v>
      </c>
      <c r="N496" s="12">
        <v>0</v>
      </c>
      <c r="O496" s="11">
        <f>IF(I496&lt;&gt;"",DATA!C495,"")</f>
        <v>23.8</v>
      </c>
      <c r="P496" s="2">
        <v>294094</v>
      </c>
      <c r="Q496" s="2" t="s">
        <v>1304</v>
      </c>
      <c r="R496" s="2" t="s">
        <v>1316</v>
      </c>
      <c r="S496" s="2">
        <v>207</v>
      </c>
      <c r="T496" s="2">
        <v>1</v>
      </c>
      <c r="U496" s="2" t="s">
        <v>141</v>
      </c>
      <c r="Y496" s="2">
        <v>1700</v>
      </c>
      <c r="Z496" s="11" t="s">
        <v>54</v>
      </c>
      <c r="AA496" s="11" t="str">
        <f t="shared" si="33"/>
        <v>1700 - TBN</v>
      </c>
      <c r="AC496" s="2" t="s">
        <v>145</v>
      </c>
      <c r="AD496" s="11" t="str">
        <f>IF($I496&lt;&gt;"",VLOOKUP($AC496,GEADRESSEERDE!$A$2:$E$4,2,),"")</f>
        <v>LUITHAGEN HAVEN 2 D</v>
      </c>
      <c r="AE496" s="11">
        <f>IF($I496&lt;&gt;"",VLOOKUP($AC496,GEADRESSEERDE!$A$2:$E$4,3,),"")</f>
        <v>2030</v>
      </c>
      <c r="AF496" s="11" t="str">
        <f>IF($I496&lt;&gt;"",VLOOKUP($AC496,GEADRESSEERDE!$A$2:$E$4,4,),"")</f>
        <v>ANTWERPEN</v>
      </c>
      <c r="AG496" s="11" t="str">
        <f>IF($I496&lt;&gt;"",VLOOKUP($AC496,GEADRESSEERDE!$A$2:$E$4,5,),"")</f>
        <v>BE</v>
      </c>
      <c r="AH496" s="11" t="str">
        <f>IF(I496&lt;&gt;"",VLOOKUP(AP496,KvB!$A$2:$B$3,2,FALSE),"")</f>
        <v>BE101000</v>
      </c>
      <c r="AI496" s="11" t="s">
        <v>55</v>
      </c>
      <c r="AJ496" s="11"/>
      <c r="AK496" s="11"/>
      <c r="AL496" s="11"/>
      <c r="AM496" s="11"/>
      <c r="AN496" s="11"/>
      <c r="AO496" s="11"/>
      <c r="AP496" s="2" t="s">
        <v>70</v>
      </c>
      <c r="AQ496" s="11" t="str">
        <f>IF(I496&lt;&gt;"",DATA!D495,"")</f>
        <v>8414599590</v>
      </c>
    </row>
    <row r="497" spans="1:43" ht="15.75" x14ac:dyDescent="0.25">
      <c r="A497" s="11" t="s">
        <v>57</v>
      </c>
      <c r="B497" s="11" t="s">
        <v>56</v>
      </c>
      <c r="C497" s="22">
        <f t="shared" si="34"/>
        <v>25001620</v>
      </c>
      <c r="D497" s="11" t="str">
        <f t="shared" si="31"/>
        <v>SKIIFM_AT</v>
      </c>
      <c r="E497" s="11" t="str">
        <f>IF(I497&lt;&gt;"",VLOOKUP(F497,OPDRACHTGEVER!$A$2:$B$4,2,FALSE),"")</f>
        <v>SKIIFM_AT</v>
      </c>
      <c r="F497" s="11" t="s">
        <v>58</v>
      </c>
      <c r="I497" s="11" t="str">
        <f>IF(DATA!B496&lt;&gt;"",DATA!B496,"")</f>
        <v>CARU9985689</v>
      </c>
      <c r="J497" s="12">
        <v>0</v>
      </c>
      <c r="K497" s="11" t="s">
        <v>53</v>
      </c>
      <c r="L497" s="11" t="str">
        <f t="shared" si="32"/>
        <v>761699</v>
      </c>
      <c r="M497" s="11" t="str">
        <f>IF(I497&lt;&gt;"",DATA!E496,"")</f>
        <v>EXHIBITION STAND</v>
      </c>
      <c r="N497" s="12">
        <v>0</v>
      </c>
      <c r="O497" s="11">
        <f>IF(I497&lt;&gt;"",DATA!C496,"")</f>
        <v>49.85</v>
      </c>
      <c r="P497" s="2">
        <v>294094</v>
      </c>
      <c r="Q497" s="2" t="s">
        <v>1304</v>
      </c>
      <c r="R497" s="2" t="s">
        <v>1316</v>
      </c>
      <c r="S497" s="2">
        <v>207</v>
      </c>
      <c r="T497" s="2">
        <v>1</v>
      </c>
      <c r="U497" s="2" t="s">
        <v>141</v>
      </c>
      <c r="Y497" s="2">
        <v>1700</v>
      </c>
      <c r="Z497" s="11" t="s">
        <v>54</v>
      </c>
      <c r="AA497" s="11" t="str">
        <f t="shared" si="33"/>
        <v>1700 - TBN</v>
      </c>
      <c r="AC497" s="2" t="s">
        <v>145</v>
      </c>
      <c r="AD497" s="11" t="str">
        <f>IF($I497&lt;&gt;"",VLOOKUP($AC497,GEADRESSEERDE!$A$2:$E$4,2,),"")</f>
        <v>LUITHAGEN HAVEN 2 D</v>
      </c>
      <c r="AE497" s="11">
        <f>IF($I497&lt;&gt;"",VLOOKUP($AC497,GEADRESSEERDE!$A$2:$E$4,3,),"")</f>
        <v>2030</v>
      </c>
      <c r="AF497" s="11" t="str">
        <f>IF($I497&lt;&gt;"",VLOOKUP($AC497,GEADRESSEERDE!$A$2:$E$4,4,),"")</f>
        <v>ANTWERPEN</v>
      </c>
      <c r="AG497" s="11" t="str">
        <f>IF($I497&lt;&gt;"",VLOOKUP($AC497,GEADRESSEERDE!$A$2:$E$4,5,),"")</f>
        <v>BE</v>
      </c>
      <c r="AH497" s="11" t="str">
        <f>IF(I497&lt;&gt;"",VLOOKUP(AP497,KvB!$A$2:$B$3,2,FALSE),"")</f>
        <v>BE101000</v>
      </c>
      <c r="AI497" s="11" t="s">
        <v>55</v>
      </c>
      <c r="AJ497" s="11"/>
      <c r="AK497" s="11"/>
      <c r="AL497" s="11"/>
      <c r="AM497" s="11"/>
      <c r="AN497" s="11"/>
      <c r="AO497" s="11"/>
      <c r="AP497" s="2" t="s">
        <v>70</v>
      </c>
      <c r="AQ497" s="11" t="str">
        <f>IF(I497&lt;&gt;"",DATA!D496,"")</f>
        <v>7616999099</v>
      </c>
    </row>
    <row r="498" spans="1:43" ht="15.75" x14ac:dyDescent="0.25">
      <c r="A498" s="11" t="s">
        <v>57</v>
      </c>
      <c r="B498" s="11" t="s">
        <v>56</v>
      </c>
      <c r="C498" s="22">
        <f t="shared" si="34"/>
        <v>25001620</v>
      </c>
      <c r="D498" s="11" t="str">
        <f t="shared" si="31"/>
        <v>SKIIFM_AT</v>
      </c>
      <c r="E498" s="11" t="str">
        <f>IF(I498&lt;&gt;"",VLOOKUP(F498,OPDRACHTGEVER!$A$2:$B$4,2,FALSE),"")</f>
        <v>SKIIFM_AT</v>
      </c>
      <c r="F498" s="11" t="s">
        <v>58</v>
      </c>
      <c r="I498" s="11" t="str">
        <f>IF(DATA!B497&lt;&gt;"",DATA!B497,"")</f>
        <v>CARU9985689</v>
      </c>
      <c r="J498" s="12">
        <v>0</v>
      </c>
      <c r="K498" s="11" t="s">
        <v>53</v>
      </c>
      <c r="L498" s="11" t="str">
        <f t="shared" si="32"/>
        <v>850131</v>
      </c>
      <c r="M498" s="11" t="str">
        <f>IF(I498&lt;&gt;"",DATA!E497,"")</f>
        <v>FISHING MOTOR</v>
      </c>
      <c r="N498" s="12">
        <v>0</v>
      </c>
      <c r="O498" s="11">
        <f>IF(I498&lt;&gt;"",DATA!C497,"")</f>
        <v>22.5</v>
      </c>
      <c r="P498" s="2">
        <v>294094</v>
      </c>
      <c r="Q498" s="2" t="s">
        <v>1304</v>
      </c>
      <c r="R498" s="2" t="s">
        <v>1316</v>
      </c>
      <c r="S498" s="2">
        <v>207</v>
      </c>
      <c r="T498" s="2">
        <v>1</v>
      </c>
      <c r="U498" s="2" t="s">
        <v>141</v>
      </c>
      <c r="Y498" s="2">
        <v>1700</v>
      </c>
      <c r="Z498" s="11" t="s">
        <v>54</v>
      </c>
      <c r="AA498" s="11" t="str">
        <f t="shared" si="33"/>
        <v>1700 - TBN</v>
      </c>
      <c r="AC498" s="2" t="s">
        <v>145</v>
      </c>
      <c r="AD498" s="11" t="str">
        <f>IF($I498&lt;&gt;"",VLOOKUP($AC498,GEADRESSEERDE!$A$2:$E$4,2,),"")</f>
        <v>LUITHAGEN HAVEN 2 D</v>
      </c>
      <c r="AE498" s="11">
        <f>IF($I498&lt;&gt;"",VLOOKUP($AC498,GEADRESSEERDE!$A$2:$E$4,3,),"")</f>
        <v>2030</v>
      </c>
      <c r="AF498" s="11" t="str">
        <f>IF($I498&lt;&gt;"",VLOOKUP($AC498,GEADRESSEERDE!$A$2:$E$4,4,),"")</f>
        <v>ANTWERPEN</v>
      </c>
      <c r="AG498" s="11" t="str">
        <f>IF($I498&lt;&gt;"",VLOOKUP($AC498,GEADRESSEERDE!$A$2:$E$4,5,),"")</f>
        <v>BE</v>
      </c>
      <c r="AH498" s="11" t="str">
        <f>IF(I498&lt;&gt;"",VLOOKUP(AP498,KvB!$A$2:$B$3,2,FALSE),"")</f>
        <v>BE101000</v>
      </c>
      <c r="AI498" s="11" t="s">
        <v>55</v>
      </c>
      <c r="AJ498" s="11"/>
      <c r="AK498" s="11"/>
      <c r="AL498" s="11"/>
      <c r="AM498" s="11"/>
      <c r="AN498" s="11"/>
      <c r="AO498" s="11"/>
      <c r="AP498" s="2" t="s">
        <v>70</v>
      </c>
      <c r="AQ498" s="11" t="str">
        <f>IF(I498&lt;&gt;"",DATA!D497,"")</f>
        <v>8501310099</v>
      </c>
    </row>
    <row r="499" spans="1:43" ht="15.75" x14ac:dyDescent="0.25">
      <c r="A499" s="11" t="s">
        <v>57</v>
      </c>
      <c r="B499" s="11" t="s">
        <v>56</v>
      </c>
      <c r="C499" s="22">
        <f t="shared" si="34"/>
        <v>25001620</v>
      </c>
      <c r="D499" s="11" t="str">
        <f t="shared" si="31"/>
        <v>SKIIFM_AT</v>
      </c>
      <c r="E499" s="11" t="str">
        <f>IF(I499&lt;&gt;"",VLOOKUP(F499,OPDRACHTGEVER!$A$2:$B$4,2,FALSE),"")</f>
        <v>SKIIFM_AT</v>
      </c>
      <c r="F499" s="11" t="s">
        <v>58</v>
      </c>
      <c r="I499" s="11" t="str">
        <f>IF(DATA!B498&lt;&gt;"",DATA!B498,"")</f>
        <v>CARU9985689</v>
      </c>
      <c r="J499" s="12">
        <v>0</v>
      </c>
      <c r="K499" s="11" t="s">
        <v>53</v>
      </c>
      <c r="L499" s="11" t="str">
        <f t="shared" si="32"/>
        <v>940179</v>
      </c>
      <c r="M499" s="11" t="str">
        <f>IF(I499&lt;&gt;"",DATA!E498,"")</f>
        <v>GARAGE STOOL</v>
      </c>
      <c r="N499" s="12">
        <v>0</v>
      </c>
      <c r="O499" s="11">
        <f>IF(I499&lt;&gt;"",DATA!C498,"")</f>
        <v>70.3</v>
      </c>
      <c r="P499" s="2">
        <v>294094</v>
      </c>
      <c r="Q499" s="2" t="s">
        <v>1304</v>
      </c>
      <c r="R499" s="2" t="s">
        <v>1316</v>
      </c>
      <c r="S499" s="2">
        <v>207</v>
      </c>
      <c r="T499" s="2">
        <v>1</v>
      </c>
      <c r="U499" s="2" t="s">
        <v>141</v>
      </c>
      <c r="Y499" s="2">
        <v>1700</v>
      </c>
      <c r="Z499" s="11" t="s">
        <v>54</v>
      </c>
      <c r="AA499" s="11" t="str">
        <f t="shared" si="33"/>
        <v>1700 - TBN</v>
      </c>
      <c r="AC499" s="2" t="s">
        <v>145</v>
      </c>
      <c r="AD499" s="11" t="str">
        <f>IF($I499&lt;&gt;"",VLOOKUP($AC499,GEADRESSEERDE!$A$2:$E$4,2,),"")</f>
        <v>LUITHAGEN HAVEN 2 D</v>
      </c>
      <c r="AE499" s="11">
        <f>IF($I499&lt;&gt;"",VLOOKUP($AC499,GEADRESSEERDE!$A$2:$E$4,3,),"")</f>
        <v>2030</v>
      </c>
      <c r="AF499" s="11" t="str">
        <f>IF($I499&lt;&gt;"",VLOOKUP($AC499,GEADRESSEERDE!$A$2:$E$4,4,),"")</f>
        <v>ANTWERPEN</v>
      </c>
      <c r="AG499" s="11" t="str">
        <f>IF($I499&lt;&gt;"",VLOOKUP($AC499,GEADRESSEERDE!$A$2:$E$4,5,),"")</f>
        <v>BE</v>
      </c>
      <c r="AH499" s="11" t="str">
        <f>IF(I499&lt;&gt;"",VLOOKUP(AP499,KvB!$A$2:$B$3,2,FALSE),"")</f>
        <v>BE101000</v>
      </c>
      <c r="AI499" s="11" t="s">
        <v>55</v>
      </c>
      <c r="AJ499" s="11"/>
      <c r="AK499" s="11"/>
      <c r="AL499" s="11"/>
      <c r="AM499" s="11"/>
      <c r="AN499" s="11"/>
      <c r="AO499" s="11"/>
      <c r="AP499" s="2" t="s">
        <v>70</v>
      </c>
      <c r="AQ499" s="11" t="str">
        <f>IF(I499&lt;&gt;"",DATA!D498,"")</f>
        <v>9401790000</v>
      </c>
    </row>
    <row r="500" spans="1:43" ht="15.75" x14ac:dyDescent="0.25">
      <c r="A500" s="11" t="s">
        <v>57</v>
      </c>
      <c r="B500" s="11" t="s">
        <v>56</v>
      </c>
      <c r="C500" s="22">
        <f t="shared" si="34"/>
        <v>25001620</v>
      </c>
      <c r="D500" s="11" t="str">
        <f t="shared" ref="D500:D563" si="35">E500</f>
        <v>SKIIFM_AT</v>
      </c>
      <c r="E500" s="11" t="str">
        <f>IF(I500&lt;&gt;"",VLOOKUP(F500,OPDRACHTGEVER!$A$2:$B$4,2,FALSE),"")</f>
        <v>SKIIFM_AT</v>
      </c>
      <c r="F500" s="11" t="s">
        <v>58</v>
      </c>
      <c r="I500" s="11" t="str">
        <f>IF(DATA!B499&lt;&gt;"",DATA!B499,"")</f>
        <v>CARU9985689</v>
      </c>
      <c r="J500" s="12">
        <v>0</v>
      </c>
      <c r="K500" s="11" t="s">
        <v>53</v>
      </c>
      <c r="L500" s="11" t="str">
        <f t="shared" ref="L500:L563" si="36">LEFT(AQ500,6)</f>
        <v>851580</v>
      </c>
      <c r="M500" s="11" t="str">
        <f>IF(I500&lt;&gt;"",DATA!E499,"")</f>
        <v>GAS PRESSURE WASHER</v>
      </c>
      <c r="N500" s="12">
        <v>0</v>
      </c>
      <c r="O500" s="11">
        <f>IF(I500&lt;&gt;"",DATA!C499,"")</f>
        <v>149.4</v>
      </c>
      <c r="P500" s="2">
        <v>294094</v>
      </c>
      <c r="Q500" s="2" t="s">
        <v>1304</v>
      </c>
      <c r="R500" s="2" t="s">
        <v>1316</v>
      </c>
      <c r="S500" s="2">
        <v>207</v>
      </c>
      <c r="T500" s="2">
        <v>1</v>
      </c>
      <c r="U500" s="2" t="s">
        <v>141</v>
      </c>
      <c r="Y500" s="2">
        <v>1700</v>
      </c>
      <c r="Z500" s="11" t="s">
        <v>54</v>
      </c>
      <c r="AA500" s="11" t="str">
        <f t="shared" ref="AA500:AA563" si="37">IF(I500&lt;&gt;"",Y500&amp;" - "&amp;Z500,"")</f>
        <v>1700 - TBN</v>
      </c>
      <c r="AC500" s="2" t="s">
        <v>145</v>
      </c>
      <c r="AD500" s="11" t="str">
        <f>IF($I500&lt;&gt;"",VLOOKUP($AC500,GEADRESSEERDE!$A$2:$E$4,2,),"")</f>
        <v>LUITHAGEN HAVEN 2 D</v>
      </c>
      <c r="AE500" s="11">
        <f>IF($I500&lt;&gt;"",VLOOKUP($AC500,GEADRESSEERDE!$A$2:$E$4,3,),"")</f>
        <v>2030</v>
      </c>
      <c r="AF500" s="11" t="str">
        <f>IF($I500&lt;&gt;"",VLOOKUP($AC500,GEADRESSEERDE!$A$2:$E$4,4,),"")</f>
        <v>ANTWERPEN</v>
      </c>
      <c r="AG500" s="11" t="str">
        <f>IF($I500&lt;&gt;"",VLOOKUP($AC500,GEADRESSEERDE!$A$2:$E$4,5,),"")</f>
        <v>BE</v>
      </c>
      <c r="AH500" s="11" t="str">
        <f>IF(I500&lt;&gt;"",VLOOKUP(AP500,KvB!$A$2:$B$3,2,FALSE),"")</f>
        <v>BE101000</v>
      </c>
      <c r="AI500" s="11" t="s">
        <v>55</v>
      </c>
      <c r="AJ500" s="11"/>
      <c r="AK500" s="11"/>
      <c r="AL500" s="11"/>
      <c r="AM500" s="11"/>
      <c r="AN500" s="11"/>
      <c r="AO500" s="11"/>
      <c r="AP500" s="2" t="s">
        <v>70</v>
      </c>
      <c r="AQ500" s="11" t="str">
        <f>IF(I500&lt;&gt;"",DATA!D499,"")</f>
        <v>8515809000</v>
      </c>
    </row>
    <row r="501" spans="1:43" ht="15.75" x14ac:dyDescent="0.25">
      <c r="A501" s="11" t="s">
        <v>57</v>
      </c>
      <c r="B501" s="11" t="s">
        <v>56</v>
      </c>
      <c r="C501" s="22">
        <f t="shared" si="34"/>
        <v>25001620</v>
      </c>
      <c r="D501" s="11" t="str">
        <f t="shared" si="35"/>
        <v>SKIIFM_AT</v>
      </c>
      <c r="E501" s="11" t="str">
        <f>IF(I501&lt;&gt;"",VLOOKUP(F501,OPDRACHTGEVER!$A$2:$B$4,2,FALSE),"")</f>
        <v>SKIIFM_AT</v>
      </c>
      <c r="F501" s="11" t="s">
        <v>58</v>
      </c>
      <c r="I501" s="11" t="str">
        <f>IF(DATA!B500&lt;&gt;"",DATA!B500,"")</f>
        <v>CARU9985689</v>
      </c>
      <c r="J501" s="12">
        <v>0</v>
      </c>
      <c r="K501" s="11" t="s">
        <v>53</v>
      </c>
      <c r="L501" s="11" t="str">
        <f t="shared" si="36"/>
        <v>845959</v>
      </c>
      <c r="M501" s="11" t="str">
        <f>IF(I501&lt;&gt;"",DATA!E500,"")</f>
        <v>GUIDE</v>
      </c>
      <c r="N501" s="12">
        <v>0</v>
      </c>
      <c r="O501" s="11">
        <f>IF(I501&lt;&gt;"",DATA!C500,"")</f>
        <v>56.8</v>
      </c>
      <c r="P501" s="2">
        <v>294094</v>
      </c>
      <c r="Q501" s="2" t="s">
        <v>1304</v>
      </c>
      <c r="R501" s="2" t="s">
        <v>1316</v>
      </c>
      <c r="S501" s="2">
        <v>207</v>
      </c>
      <c r="T501" s="2">
        <v>1</v>
      </c>
      <c r="U501" s="2" t="s">
        <v>141</v>
      </c>
      <c r="Y501" s="2">
        <v>1700</v>
      </c>
      <c r="Z501" s="11" t="s">
        <v>54</v>
      </c>
      <c r="AA501" s="11" t="str">
        <f t="shared" si="37"/>
        <v>1700 - TBN</v>
      </c>
      <c r="AC501" s="2" t="s">
        <v>145</v>
      </c>
      <c r="AD501" s="11" t="str">
        <f>IF($I501&lt;&gt;"",VLOOKUP($AC501,GEADRESSEERDE!$A$2:$E$4,2,),"")</f>
        <v>LUITHAGEN HAVEN 2 D</v>
      </c>
      <c r="AE501" s="11">
        <f>IF($I501&lt;&gt;"",VLOOKUP($AC501,GEADRESSEERDE!$A$2:$E$4,3,),"")</f>
        <v>2030</v>
      </c>
      <c r="AF501" s="11" t="str">
        <f>IF($I501&lt;&gt;"",VLOOKUP($AC501,GEADRESSEERDE!$A$2:$E$4,4,),"")</f>
        <v>ANTWERPEN</v>
      </c>
      <c r="AG501" s="11" t="str">
        <f>IF($I501&lt;&gt;"",VLOOKUP($AC501,GEADRESSEERDE!$A$2:$E$4,5,),"")</f>
        <v>BE</v>
      </c>
      <c r="AH501" s="11" t="str">
        <f>IF(I501&lt;&gt;"",VLOOKUP(AP501,KvB!$A$2:$B$3,2,FALSE),"")</f>
        <v>BE101000</v>
      </c>
      <c r="AI501" s="11" t="s">
        <v>55</v>
      </c>
      <c r="AJ501" s="11"/>
      <c r="AK501" s="11"/>
      <c r="AL501" s="11"/>
      <c r="AM501" s="11"/>
      <c r="AN501" s="11"/>
      <c r="AO501" s="11"/>
      <c r="AP501" s="2" t="s">
        <v>70</v>
      </c>
      <c r="AQ501" s="11" t="str">
        <f>IF(I501&lt;&gt;"",DATA!D500,"")</f>
        <v>8459590000</v>
      </c>
    </row>
    <row r="502" spans="1:43" ht="15.75" x14ac:dyDescent="0.25">
      <c r="A502" s="11" t="s">
        <v>57</v>
      </c>
      <c r="B502" s="11" t="s">
        <v>56</v>
      </c>
      <c r="C502" s="22">
        <f t="shared" si="34"/>
        <v>25001620</v>
      </c>
      <c r="D502" s="11" t="str">
        <f t="shared" si="35"/>
        <v>SKIIFM_AT</v>
      </c>
      <c r="E502" s="11" t="str">
        <f>IF(I502&lt;&gt;"",VLOOKUP(F502,OPDRACHTGEVER!$A$2:$B$4,2,FALSE),"")</f>
        <v>SKIIFM_AT</v>
      </c>
      <c r="F502" s="11" t="s">
        <v>58</v>
      </c>
      <c r="I502" s="11" t="str">
        <f>IF(DATA!B501&lt;&gt;"",DATA!B501,"")</f>
        <v>CARU9985689</v>
      </c>
      <c r="J502" s="12">
        <v>0</v>
      </c>
      <c r="K502" s="11" t="s">
        <v>53</v>
      </c>
      <c r="L502" s="11" t="str">
        <f t="shared" si="36"/>
        <v>851633</v>
      </c>
      <c r="M502" s="11" t="str">
        <f>IF(I502&lt;&gt;"",DATA!E501,"")</f>
        <v>HAND DRIER</v>
      </c>
      <c r="N502" s="12">
        <v>0</v>
      </c>
      <c r="O502" s="11">
        <f>IF(I502&lt;&gt;"",DATA!C501,"")</f>
        <v>27.9</v>
      </c>
      <c r="P502" s="2">
        <v>294094</v>
      </c>
      <c r="Q502" s="2" t="s">
        <v>1304</v>
      </c>
      <c r="R502" s="2" t="s">
        <v>1316</v>
      </c>
      <c r="S502" s="2">
        <v>207</v>
      </c>
      <c r="T502" s="2">
        <v>1</v>
      </c>
      <c r="U502" s="2" t="s">
        <v>141</v>
      </c>
      <c r="Y502" s="2">
        <v>1700</v>
      </c>
      <c r="Z502" s="11" t="s">
        <v>54</v>
      </c>
      <c r="AA502" s="11" t="str">
        <f t="shared" si="37"/>
        <v>1700 - TBN</v>
      </c>
      <c r="AC502" s="2" t="s">
        <v>145</v>
      </c>
      <c r="AD502" s="11" t="str">
        <f>IF($I502&lt;&gt;"",VLOOKUP($AC502,GEADRESSEERDE!$A$2:$E$4,2,),"")</f>
        <v>LUITHAGEN HAVEN 2 D</v>
      </c>
      <c r="AE502" s="11">
        <f>IF($I502&lt;&gt;"",VLOOKUP($AC502,GEADRESSEERDE!$A$2:$E$4,3,),"")</f>
        <v>2030</v>
      </c>
      <c r="AF502" s="11" t="str">
        <f>IF($I502&lt;&gt;"",VLOOKUP($AC502,GEADRESSEERDE!$A$2:$E$4,4,),"")</f>
        <v>ANTWERPEN</v>
      </c>
      <c r="AG502" s="11" t="str">
        <f>IF($I502&lt;&gt;"",VLOOKUP($AC502,GEADRESSEERDE!$A$2:$E$4,5,),"")</f>
        <v>BE</v>
      </c>
      <c r="AH502" s="11" t="str">
        <f>IF(I502&lt;&gt;"",VLOOKUP(AP502,KvB!$A$2:$B$3,2,FALSE),"")</f>
        <v>BE101000</v>
      </c>
      <c r="AI502" s="11" t="s">
        <v>55</v>
      </c>
      <c r="AJ502" s="11"/>
      <c r="AK502" s="11"/>
      <c r="AL502" s="11"/>
      <c r="AM502" s="11"/>
      <c r="AN502" s="11"/>
      <c r="AO502" s="11"/>
      <c r="AP502" s="2" t="s">
        <v>70</v>
      </c>
      <c r="AQ502" s="11" t="str">
        <f>IF(I502&lt;&gt;"",DATA!D501,"")</f>
        <v>8516330000</v>
      </c>
    </row>
    <row r="503" spans="1:43" ht="15.75" x14ac:dyDescent="0.25">
      <c r="A503" s="11" t="s">
        <v>57</v>
      </c>
      <c r="B503" s="11" t="s">
        <v>56</v>
      </c>
      <c r="C503" s="22">
        <f t="shared" si="34"/>
        <v>25001620</v>
      </c>
      <c r="D503" s="11" t="str">
        <f t="shared" si="35"/>
        <v>SKIIFM_AT</v>
      </c>
      <c r="E503" s="11" t="str">
        <f>IF(I503&lt;&gt;"",VLOOKUP(F503,OPDRACHTGEVER!$A$2:$B$4,2,FALSE),"")</f>
        <v>SKIIFM_AT</v>
      </c>
      <c r="F503" s="11" t="s">
        <v>58</v>
      </c>
      <c r="I503" s="11" t="str">
        <f>IF(DATA!B502&lt;&gt;"",DATA!B502,"")</f>
        <v>CARU9985689</v>
      </c>
      <c r="J503" s="12">
        <v>0</v>
      </c>
      <c r="K503" s="11" t="s">
        <v>53</v>
      </c>
      <c r="L503" s="11" t="str">
        <f t="shared" si="36"/>
        <v>844339</v>
      </c>
      <c r="M503" s="11" t="str">
        <f>IF(I503&lt;&gt;"",DATA!E502,"")</f>
        <v>HEAT PRESS MACHINE</v>
      </c>
      <c r="N503" s="12">
        <v>0</v>
      </c>
      <c r="O503" s="11">
        <f>IF(I503&lt;&gt;"",DATA!C502,"")</f>
        <v>143.35</v>
      </c>
      <c r="P503" s="2">
        <v>294094</v>
      </c>
      <c r="Q503" s="2" t="s">
        <v>1304</v>
      </c>
      <c r="R503" s="2" t="s">
        <v>1316</v>
      </c>
      <c r="S503" s="2">
        <v>207</v>
      </c>
      <c r="T503" s="2">
        <v>1</v>
      </c>
      <c r="U503" s="2" t="s">
        <v>141</v>
      </c>
      <c r="Y503" s="2">
        <v>1700</v>
      </c>
      <c r="Z503" s="11" t="s">
        <v>54</v>
      </c>
      <c r="AA503" s="11" t="str">
        <f t="shared" si="37"/>
        <v>1700 - TBN</v>
      </c>
      <c r="AC503" s="2" t="s">
        <v>145</v>
      </c>
      <c r="AD503" s="11" t="str">
        <f>IF($I503&lt;&gt;"",VLOOKUP($AC503,GEADRESSEERDE!$A$2:$E$4,2,),"")</f>
        <v>LUITHAGEN HAVEN 2 D</v>
      </c>
      <c r="AE503" s="11">
        <f>IF($I503&lt;&gt;"",VLOOKUP($AC503,GEADRESSEERDE!$A$2:$E$4,3,),"")</f>
        <v>2030</v>
      </c>
      <c r="AF503" s="11" t="str">
        <f>IF($I503&lt;&gt;"",VLOOKUP($AC503,GEADRESSEERDE!$A$2:$E$4,4,),"")</f>
        <v>ANTWERPEN</v>
      </c>
      <c r="AG503" s="11" t="str">
        <f>IF($I503&lt;&gt;"",VLOOKUP($AC503,GEADRESSEERDE!$A$2:$E$4,5,),"")</f>
        <v>BE</v>
      </c>
      <c r="AH503" s="11" t="str">
        <f>IF(I503&lt;&gt;"",VLOOKUP(AP503,KvB!$A$2:$B$3,2,FALSE),"")</f>
        <v>BE101000</v>
      </c>
      <c r="AI503" s="11" t="s">
        <v>55</v>
      </c>
      <c r="AJ503" s="11"/>
      <c r="AK503" s="11"/>
      <c r="AL503" s="11"/>
      <c r="AM503" s="11"/>
      <c r="AN503" s="11"/>
      <c r="AO503" s="11"/>
      <c r="AP503" s="2" t="s">
        <v>70</v>
      </c>
      <c r="AQ503" s="11" t="str">
        <f>IF(I503&lt;&gt;"",DATA!D502,"")</f>
        <v>8443390000</v>
      </c>
    </row>
    <row r="504" spans="1:43" ht="15.75" x14ac:dyDescent="0.25">
      <c r="A504" s="11" t="s">
        <v>57</v>
      </c>
      <c r="B504" s="11" t="s">
        <v>56</v>
      </c>
      <c r="C504" s="22">
        <f t="shared" si="34"/>
        <v>25001620</v>
      </c>
      <c r="D504" s="11" t="str">
        <f t="shared" si="35"/>
        <v>SKIIFM_AT</v>
      </c>
      <c r="E504" s="11" t="str">
        <f>IF(I504&lt;&gt;"",VLOOKUP(F504,OPDRACHTGEVER!$A$2:$B$4,2,FALSE),"")</f>
        <v>SKIIFM_AT</v>
      </c>
      <c r="F504" s="11" t="s">
        <v>58</v>
      </c>
      <c r="I504" s="11" t="str">
        <f>IF(DATA!B503&lt;&gt;"",DATA!B503,"")</f>
        <v>CARU9985689</v>
      </c>
      <c r="J504" s="12">
        <v>0</v>
      </c>
      <c r="K504" s="11" t="s">
        <v>53</v>
      </c>
      <c r="L504" s="11" t="str">
        <f t="shared" si="36"/>
        <v>846789</v>
      </c>
      <c r="M504" s="11" t="str">
        <f>IF(I504&lt;&gt;"",DATA!E503,"")</f>
        <v>HYDRAULIC OPENING DEVICE</v>
      </c>
      <c r="N504" s="12">
        <v>0</v>
      </c>
      <c r="O504" s="11">
        <f>IF(I504&lt;&gt;"",DATA!C503,"")</f>
        <v>27.6</v>
      </c>
      <c r="P504" s="2">
        <v>294094</v>
      </c>
      <c r="Q504" s="2" t="s">
        <v>1304</v>
      </c>
      <c r="R504" s="2" t="s">
        <v>1316</v>
      </c>
      <c r="S504" s="2">
        <v>207</v>
      </c>
      <c r="T504" s="2">
        <v>1</v>
      </c>
      <c r="U504" s="2" t="s">
        <v>141</v>
      </c>
      <c r="Y504" s="2">
        <v>1700</v>
      </c>
      <c r="Z504" s="11" t="s">
        <v>54</v>
      </c>
      <c r="AA504" s="11" t="str">
        <f t="shared" si="37"/>
        <v>1700 - TBN</v>
      </c>
      <c r="AC504" s="2" t="s">
        <v>145</v>
      </c>
      <c r="AD504" s="11" t="str">
        <f>IF($I504&lt;&gt;"",VLOOKUP($AC504,GEADRESSEERDE!$A$2:$E$4,2,),"")</f>
        <v>LUITHAGEN HAVEN 2 D</v>
      </c>
      <c r="AE504" s="11">
        <f>IF($I504&lt;&gt;"",VLOOKUP($AC504,GEADRESSEERDE!$A$2:$E$4,3,),"")</f>
        <v>2030</v>
      </c>
      <c r="AF504" s="11" t="str">
        <f>IF($I504&lt;&gt;"",VLOOKUP($AC504,GEADRESSEERDE!$A$2:$E$4,4,),"")</f>
        <v>ANTWERPEN</v>
      </c>
      <c r="AG504" s="11" t="str">
        <f>IF($I504&lt;&gt;"",VLOOKUP($AC504,GEADRESSEERDE!$A$2:$E$4,5,),"")</f>
        <v>BE</v>
      </c>
      <c r="AH504" s="11" t="str">
        <f>IF(I504&lt;&gt;"",VLOOKUP(AP504,KvB!$A$2:$B$3,2,FALSE),"")</f>
        <v>BE101000</v>
      </c>
      <c r="AI504" s="11" t="s">
        <v>55</v>
      </c>
      <c r="AJ504" s="11"/>
      <c r="AK504" s="11"/>
      <c r="AL504" s="11"/>
      <c r="AM504" s="11"/>
      <c r="AN504" s="11"/>
      <c r="AO504" s="11"/>
      <c r="AP504" s="2" t="s">
        <v>70</v>
      </c>
      <c r="AQ504" s="11" t="str">
        <f>IF(I504&lt;&gt;"",DATA!D503,"")</f>
        <v>8467890000</v>
      </c>
    </row>
    <row r="505" spans="1:43" ht="15.75" x14ac:dyDescent="0.25">
      <c r="A505" s="11" t="s">
        <v>57</v>
      </c>
      <c r="B505" s="11" t="s">
        <v>56</v>
      </c>
      <c r="C505" s="22">
        <f t="shared" si="34"/>
        <v>25001620</v>
      </c>
      <c r="D505" s="11" t="str">
        <f t="shared" si="35"/>
        <v>SKIIFM_AT</v>
      </c>
      <c r="E505" s="11" t="str">
        <f>IF(I505&lt;&gt;"",VLOOKUP(F505,OPDRACHTGEVER!$A$2:$B$4,2,FALSE),"")</f>
        <v>SKIIFM_AT</v>
      </c>
      <c r="F505" s="11" t="s">
        <v>58</v>
      </c>
      <c r="I505" s="11" t="str">
        <f>IF(DATA!B504&lt;&gt;"",DATA!B504,"")</f>
        <v>CARU9985689</v>
      </c>
      <c r="J505" s="12">
        <v>0</v>
      </c>
      <c r="K505" s="11" t="s">
        <v>53</v>
      </c>
      <c r="L505" s="11" t="str">
        <f t="shared" si="36"/>
        <v>850980</v>
      </c>
      <c r="M505" s="11" t="str">
        <f>IF(I505&lt;&gt;"",DATA!E504,"")</f>
        <v>ICE CRUSHER</v>
      </c>
      <c r="N505" s="12">
        <v>0</v>
      </c>
      <c r="O505" s="11">
        <f>IF(I505&lt;&gt;"",DATA!C504,"")</f>
        <v>5.9</v>
      </c>
      <c r="P505" s="2">
        <v>294094</v>
      </c>
      <c r="Q505" s="2" t="s">
        <v>1304</v>
      </c>
      <c r="R505" s="2" t="s">
        <v>1316</v>
      </c>
      <c r="S505" s="2">
        <v>207</v>
      </c>
      <c r="T505" s="2">
        <v>1</v>
      </c>
      <c r="U505" s="2" t="s">
        <v>141</v>
      </c>
      <c r="Y505" s="2">
        <v>1700</v>
      </c>
      <c r="Z505" s="11" t="s">
        <v>54</v>
      </c>
      <c r="AA505" s="11" t="str">
        <f t="shared" si="37"/>
        <v>1700 - TBN</v>
      </c>
      <c r="AC505" s="2" t="s">
        <v>145</v>
      </c>
      <c r="AD505" s="11" t="str">
        <f>IF($I505&lt;&gt;"",VLOOKUP($AC505,GEADRESSEERDE!$A$2:$E$4,2,),"")</f>
        <v>LUITHAGEN HAVEN 2 D</v>
      </c>
      <c r="AE505" s="11">
        <f>IF($I505&lt;&gt;"",VLOOKUP($AC505,GEADRESSEERDE!$A$2:$E$4,3,),"")</f>
        <v>2030</v>
      </c>
      <c r="AF505" s="11" t="str">
        <f>IF($I505&lt;&gt;"",VLOOKUP($AC505,GEADRESSEERDE!$A$2:$E$4,4,),"")</f>
        <v>ANTWERPEN</v>
      </c>
      <c r="AG505" s="11" t="str">
        <f>IF($I505&lt;&gt;"",VLOOKUP($AC505,GEADRESSEERDE!$A$2:$E$4,5,),"")</f>
        <v>BE</v>
      </c>
      <c r="AH505" s="11" t="str">
        <f>IF(I505&lt;&gt;"",VLOOKUP(AP505,KvB!$A$2:$B$3,2,FALSE),"")</f>
        <v>BE101000</v>
      </c>
      <c r="AI505" s="11" t="s">
        <v>55</v>
      </c>
      <c r="AJ505" s="11"/>
      <c r="AK505" s="11"/>
      <c r="AL505" s="11"/>
      <c r="AM505" s="11"/>
      <c r="AN505" s="11"/>
      <c r="AO505" s="11"/>
      <c r="AP505" s="2" t="s">
        <v>70</v>
      </c>
      <c r="AQ505" s="11" t="str">
        <f>IF(I505&lt;&gt;"",DATA!D504,"")</f>
        <v>8509800000</v>
      </c>
    </row>
    <row r="506" spans="1:43" ht="15.75" x14ac:dyDescent="0.25">
      <c r="A506" s="11" t="s">
        <v>57</v>
      </c>
      <c r="B506" s="11" t="s">
        <v>56</v>
      </c>
      <c r="C506" s="22">
        <f t="shared" si="34"/>
        <v>25001620</v>
      </c>
      <c r="D506" s="11" t="str">
        <f t="shared" si="35"/>
        <v>SKIIFM_AT</v>
      </c>
      <c r="E506" s="11" t="str">
        <f>IF(I506&lt;&gt;"",VLOOKUP(F506,OPDRACHTGEVER!$A$2:$B$4,2,FALSE),"")</f>
        <v>SKIIFM_AT</v>
      </c>
      <c r="F506" s="11" t="s">
        <v>58</v>
      </c>
      <c r="I506" s="11" t="str">
        <f>IF(DATA!B505&lt;&gt;"",DATA!B505,"")</f>
        <v>CARU9985689</v>
      </c>
      <c r="J506" s="12">
        <v>0</v>
      </c>
      <c r="K506" s="11" t="s">
        <v>53</v>
      </c>
      <c r="L506" s="11" t="str">
        <f t="shared" si="36"/>
        <v>850940</v>
      </c>
      <c r="M506" s="11" t="str">
        <f>IF(I506&lt;&gt;"",DATA!E505,"")</f>
        <v>JUICE BEVERAGE</v>
      </c>
      <c r="N506" s="12">
        <v>0</v>
      </c>
      <c r="O506" s="11">
        <f>IF(I506&lt;&gt;"",DATA!C505,"")</f>
        <v>2026.37</v>
      </c>
      <c r="P506" s="2">
        <v>294094</v>
      </c>
      <c r="Q506" s="2" t="s">
        <v>1304</v>
      </c>
      <c r="R506" s="2" t="s">
        <v>1316</v>
      </c>
      <c r="S506" s="2">
        <v>207</v>
      </c>
      <c r="T506" s="2">
        <v>1</v>
      </c>
      <c r="U506" s="2" t="s">
        <v>141</v>
      </c>
      <c r="Y506" s="2">
        <v>1700</v>
      </c>
      <c r="Z506" s="11" t="s">
        <v>54</v>
      </c>
      <c r="AA506" s="11" t="str">
        <f t="shared" si="37"/>
        <v>1700 - TBN</v>
      </c>
      <c r="AC506" s="2" t="s">
        <v>145</v>
      </c>
      <c r="AD506" s="11" t="str">
        <f>IF($I506&lt;&gt;"",VLOOKUP($AC506,GEADRESSEERDE!$A$2:$E$4,2,),"")</f>
        <v>LUITHAGEN HAVEN 2 D</v>
      </c>
      <c r="AE506" s="11">
        <f>IF($I506&lt;&gt;"",VLOOKUP($AC506,GEADRESSEERDE!$A$2:$E$4,3,),"")</f>
        <v>2030</v>
      </c>
      <c r="AF506" s="11" t="str">
        <f>IF($I506&lt;&gt;"",VLOOKUP($AC506,GEADRESSEERDE!$A$2:$E$4,4,),"")</f>
        <v>ANTWERPEN</v>
      </c>
      <c r="AG506" s="11" t="str">
        <f>IF($I506&lt;&gt;"",VLOOKUP($AC506,GEADRESSEERDE!$A$2:$E$4,5,),"")</f>
        <v>BE</v>
      </c>
      <c r="AH506" s="11" t="str">
        <f>IF(I506&lt;&gt;"",VLOOKUP(AP506,KvB!$A$2:$B$3,2,FALSE),"")</f>
        <v>BE101000</v>
      </c>
      <c r="AI506" s="11" t="s">
        <v>55</v>
      </c>
      <c r="AJ506" s="11"/>
      <c r="AK506" s="11"/>
      <c r="AL506" s="11"/>
      <c r="AM506" s="11"/>
      <c r="AN506" s="11"/>
      <c r="AO506" s="11"/>
      <c r="AP506" s="2" t="s">
        <v>70</v>
      </c>
      <c r="AQ506" s="11" t="str">
        <f>IF(I506&lt;&gt;"",DATA!D505,"")</f>
        <v>8509400000</v>
      </c>
    </row>
    <row r="507" spans="1:43" ht="15.75" x14ac:dyDescent="0.25">
      <c r="A507" s="11" t="s">
        <v>57</v>
      </c>
      <c r="B507" s="11" t="s">
        <v>56</v>
      </c>
      <c r="C507" s="22">
        <f t="shared" si="34"/>
        <v>25001620</v>
      </c>
      <c r="D507" s="11" t="str">
        <f t="shared" si="35"/>
        <v>SKIIFM_AT</v>
      </c>
      <c r="E507" s="11" t="str">
        <f>IF(I507&lt;&gt;"",VLOOKUP(F507,OPDRACHTGEVER!$A$2:$B$4,2,FALSE),"")</f>
        <v>SKIIFM_AT</v>
      </c>
      <c r="F507" s="11" t="s">
        <v>58</v>
      </c>
      <c r="I507" s="11" t="str">
        <f>IF(DATA!B506&lt;&gt;"",DATA!B506,"")</f>
        <v>CARU9985689</v>
      </c>
      <c r="J507" s="12">
        <v>0</v>
      </c>
      <c r="K507" s="11" t="s">
        <v>53</v>
      </c>
      <c r="L507" s="11" t="str">
        <f t="shared" si="36"/>
        <v>940320</v>
      </c>
      <c r="M507" s="11" t="str">
        <f>IF(I507&lt;&gt;"",DATA!E506,"")</f>
        <v>KEY CABINET</v>
      </c>
      <c r="N507" s="12">
        <v>0</v>
      </c>
      <c r="O507" s="11">
        <f>IF(I507&lt;&gt;"",DATA!C506,"")</f>
        <v>32.200000000000003</v>
      </c>
      <c r="P507" s="2">
        <v>294094</v>
      </c>
      <c r="Q507" s="2" t="s">
        <v>1304</v>
      </c>
      <c r="R507" s="2" t="s">
        <v>1316</v>
      </c>
      <c r="S507" s="2">
        <v>207</v>
      </c>
      <c r="T507" s="2">
        <v>1</v>
      </c>
      <c r="U507" s="2" t="s">
        <v>141</v>
      </c>
      <c r="Y507" s="2">
        <v>1700</v>
      </c>
      <c r="Z507" s="11" t="s">
        <v>54</v>
      </c>
      <c r="AA507" s="11" t="str">
        <f t="shared" si="37"/>
        <v>1700 - TBN</v>
      </c>
      <c r="AC507" s="2" t="s">
        <v>145</v>
      </c>
      <c r="AD507" s="11" t="str">
        <f>IF($I507&lt;&gt;"",VLOOKUP($AC507,GEADRESSEERDE!$A$2:$E$4,2,),"")</f>
        <v>LUITHAGEN HAVEN 2 D</v>
      </c>
      <c r="AE507" s="11">
        <f>IF($I507&lt;&gt;"",VLOOKUP($AC507,GEADRESSEERDE!$A$2:$E$4,3,),"")</f>
        <v>2030</v>
      </c>
      <c r="AF507" s="11" t="str">
        <f>IF($I507&lt;&gt;"",VLOOKUP($AC507,GEADRESSEERDE!$A$2:$E$4,4,),"")</f>
        <v>ANTWERPEN</v>
      </c>
      <c r="AG507" s="11" t="str">
        <f>IF($I507&lt;&gt;"",VLOOKUP($AC507,GEADRESSEERDE!$A$2:$E$4,5,),"")</f>
        <v>BE</v>
      </c>
      <c r="AH507" s="11" t="str">
        <f>IF(I507&lt;&gt;"",VLOOKUP(AP507,KvB!$A$2:$B$3,2,FALSE),"")</f>
        <v>BE101000</v>
      </c>
      <c r="AI507" s="11" t="s">
        <v>55</v>
      </c>
      <c r="AJ507" s="11"/>
      <c r="AK507" s="11"/>
      <c r="AL507" s="11"/>
      <c r="AM507" s="11"/>
      <c r="AN507" s="11"/>
      <c r="AO507" s="11"/>
      <c r="AP507" s="2" t="s">
        <v>70</v>
      </c>
      <c r="AQ507" s="11" t="str">
        <f>IF(I507&lt;&gt;"",DATA!D506,"")</f>
        <v>9403208000</v>
      </c>
    </row>
    <row r="508" spans="1:43" ht="15.75" x14ac:dyDescent="0.25">
      <c r="A508" s="11" t="s">
        <v>57</v>
      </c>
      <c r="B508" s="11" t="s">
        <v>56</v>
      </c>
      <c r="C508" s="22">
        <f t="shared" si="34"/>
        <v>25001620</v>
      </c>
      <c r="D508" s="11" t="str">
        <f t="shared" si="35"/>
        <v>SKIIFM_AT</v>
      </c>
      <c r="E508" s="11" t="str">
        <f>IF(I508&lt;&gt;"",VLOOKUP(F508,OPDRACHTGEVER!$A$2:$B$4,2,FALSE),"")</f>
        <v>SKIIFM_AT</v>
      </c>
      <c r="F508" s="11" t="s">
        <v>58</v>
      </c>
      <c r="I508" s="11" t="str">
        <f>IF(DATA!B507&lt;&gt;"",DATA!B507,"")</f>
        <v>CARU9985689</v>
      </c>
      <c r="J508" s="12">
        <v>0</v>
      </c>
      <c r="K508" s="11" t="s">
        <v>53</v>
      </c>
      <c r="L508" s="11" t="str">
        <f t="shared" si="36"/>
        <v>842230</v>
      </c>
      <c r="M508" s="11" t="str">
        <f>IF(I508&lt;&gt;"",DATA!E507,"")</f>
        <v>LIQUID FILLING MACHINE</v>
      </c>
      <c r="N508" s="12">
        <v>0</v>
      </c>
      <c r="O508" s="11">
        <f>IF(I508&lt;&gt;"",DATA!C507,"")</f>
        <v>45.35</v>
      </c>
      <c r="P508" s="2">
        <v>294094</v>
      </c>
      <c r="Q508" s="2" t="s">
        <v>1304</v>
      </c>
      <c r="R508" s="2" t="s">
        <v>1316</v>
      </c>
      <c r="S508" s="2">
        <v>207</v>
      </c>
      <c r="T508" s="2">
        <v>1</v>
      </c>
      <c r="U508" s="2" t="s">
        <v>141</v>
      </c>
      <c r="Y508" s="2">
        <v>1700</v>
      </c>
      <c r="Z508" s="11" t="s">
        <v>54</v>
      </c>
      <c r="AA508" s="11" t="str">
        <f t="shared" si="37"/>
        <v>1700 - TBN</v>
      </c>
      <c r="AC508" s="2" t="s">
        <v>145</v>
      </c>
      <c r="AD508" s="11" t="str">
        <f>IF($I508&lt;&gt;"",VLOOKUP($AC508,GEADRESSEERDE!$A$2:$E$4,2,),"")</f>
        <v>LUITHAGEN HAVEN 2 D</v>
      </c>
      <c r="AE508" s="11">
        <f>IF($I508&lt;&gt;"",VLOOKUP($AC508,GEADRESSEERDE!$A$2:$E$4,3,),"")</f>
        <v>2030</v>
      </c>
      <c r="AF508" s="11" t="str">
        <f>IF($I508&lt;&gt;"",VLOOKUP($AC508,GEADRESSEERDE!$A$2:$E$4,4,),"")</f>
        <v>ANTWERPEN</v>
      </c>
      <c r="AG508" s="11" t="str">
        <f>IF($I508&lt;&gt;"",VLOOKUP($AC508,GEADRESSEERDE!$A$2:$E$4,5,),"")</f>
        <v>BE</v>
      </c>
      <c r="AH508" s="11" t="str">
        <f>IF(I508&lt;&gt;"",VLOOKUP(AP508,KvB!$A$2:$B$3,2,FALSE),"")</f>
        <v>BE101000</v>
      </c>
      <c r="AI508" s="11" t="s">
        <v>55</v>
      </c>
      <c r="AJ508" s="11"/>
      <c r="AK508" s="11"/>
      <c r="AL508" s="11"/>
      <c r="AM508" s="11"/>
      <c r="AN508" s="11"/>
      <c r="AO508" s="11"/>
      <c r="AP508" s="2" t="s">
        <v>70</v>
      </c>
      <c r="AQ508" s="11" t="str">
        <f>IF(I508&lt;&gt;"",DATA!D507,"")</f>
        <v>8422300000</v>
      </c>
    </row>
    <row r="509" spans="1:43" ht="15.75" x14ac:dyDescent="0.25">
      <c r="A509" s="11" t="s">
        <v>57</v>
      </c>
      <c r="B509" s="11" t="s">
        <v>56</v>
      </c>
      <c r="C509" s="22">
        <f t="shared" si="34"/>
        <v>25001620</v>
      </c>
      <c r="D509" s="11" t="str">
        <f t="shared" si="35"/>
        <v>SKIIFM_AT</v>
      </c>
      <c r="E509" s="11" t="str">
        <f>IF(I509&lt;&gt;"",VLOOKUP(F509,OPDRACHTGEVER!$A$2:$B$4,2,FALSE),"")</f>
        <v>SKIIFM_AT</v>
      </c>
      <c r="F509" s="11" t="s">
        <v>58</v>
      </c>
      <c r="I509" s="11" t="str">
        <f>IF(DATA!B508&lt;&gt;"",DATA!B508,"")</f>
        <v>CARU9985689</v>
      </c>
      <c r="J509" s="12">
        <v>0</v>
      </c>
      <c r="K509" s="11" t="s">
        <v>53</v>
      </c>
      <c r="L509" s="11" t="str">
        <f t="shared" si="36"/>
        <v>820510</v>
      </c>
      <c r="M509" s="11" t="str">
        <f>IF(I509&lt;&gt;"",DATA!E508,"")</f>
        <v>MANUAL THREADER</v>
      </c>
      <c r="N509" s="12">
        <v>0</v>
      </c>
      <c r="O509" s="11">
        <f>IF(I509&lt;&gt;"",DATA!C508,"")</f>
        <v>15.6</v>
      </c>
      <c r="P509" s="2">
        <v>294094</v>
      </c>
      <c r="Q509" s="2" t="s">
        <v>1304</v>
      </c>
      <c r="R509" s="2" t="s">
        <v>1316</v>
      </c>
      <c r="S509" s="2">
        <v>207</v>
      </c>
      <c r="T509" s="2">
        <v>1</v>
      </c>
      <c r="U509" s="2" t="s">
        <v>141</v>
      </c>
      <c r="Y509" s="2">
        <v>1700</v>
      </c>
      <c r="Z509" s="11" t="s">
        <v>54</v>
      </c>
      <c r="AA509" s="11" t="str">
        <f t="shared" si="37"/>
        <v>1700 - TBN</v>
      </c>
      <c r="AC509" s="2" t="s">
        <v>145</v>
      </c>
      <c r="AD509" s="11" t="str">
        <f>IF($I509&lt;&gt;"",VLOOKUP($AC509,GEADRESSEERDE!$A$2:$E$4,2,),"")</f>
        <v>LUITHAGEN HAVEN 2 D</v>
      </c>
      <c r="AE509" s="11">
        <f>IF($I509&lt;&gt;"",VLOOKUP($AC509,GEADRESSEERDE!$A$2:$E$4,3,),"")</f>
        <v>2030</v>
      </c>
      <c r="AF509" s="11" t="str">
        <f>IF($I509&lt;&gt;"",VLOOKUP($AC509,GEADRESSEERDE!$A$2:$E$4,4,),"")</f>
        <v>ANTWERPEN</v>
      </c>
      <c r="AG509" s="11" t="str">
        <f>IF($I509&lt;&gt;"",VLOOKUP($AC509,GEADRESSEERDE!$A$2:$E$4,5,),"")</f>
        <v>BE</v>
      </c>
      <c r="AH509" s="11" t="str">
        <f>IF(I509&lt;&gt;"",VLOOKUP(AP509,KvB!$A$2:$B$3,2,FALSE),"")</f>
        <v>BE101000</v>
      </c>
      <c r="AI509" s="11" t="s">
        <v>55</v>
      </c>
      <c r="AJ509" s="11"/>
      <c r="AK509" s="11"/>
      <c r="AL509" s="11"/>
      <c r="AM509" s="11"/>
      <c r="AN509" s="11"/>
      <c r="AO509" s="11"/>
      <c r="AP509" s="2" t="s">
        <v>70</v>
      </c>
      <c r="AQ509" s="11" t="str">
        <f>IF(I509&lt;&gt;"",DATA!D508,"")</f>
        <v>8205100000</v>
      </c>
    </row>
    <row r="510" spans="1:43" ht="15.75" x14ac:dyDescent="0.25">
      <c r="A510" s="11" t="s">
        <v>57</v>
      </c>
      <c r="B510" s="11" t="s">
        <v>56</v>
      </c>
      <c r="C510" s="22">
        <f t="shared" si="34"/>
        <v>25001620</v>
      </c>
      <c r="D510" s="11" t="str">
        <f t="shared" si="35"/>
        <v>SKIIFM_AT</v>
      </c>
      <c r="E510" s="11" t="str">
        <f>IF(I510&lt;&gt;"",VLOOKUP(F510,OPDRACHTGEVER!$A$2:$B$4,2,FALSE),"")</f>
        <v>SKIIFM_AT</v>
      </c>
      <c r="F510" s="11" t="s">
        <v>58</v>
      </c>
      <c r="I510" s="11" t="str">
        <f>IF(DATA!B509&lt;&gt;"",DATA!B509,"")</f>
        <v>CARU9985689</v>
      </c>
      <c r="J510" s="12">
        <v>0</v>
      </c>
      <c r="K510" s="11" t="s">
        <v>53</v>
      </c>
      <c r="L510" s="11" t="str">
        <f t="shared" si="36"/>
        <v>851529</v>
      </c>
      <c r="M510" s="11" t="str">
        <f>IF(I510&lt;&gt;"",DATA!E509,"")</f>
        <v>MANUAL TILE CUTTER</v>
      </c>
      <c r="N510" s="12">
        <v>0</v>
      </c>
      <c r="O510" s="11">
        <f>IF(I510&lt;&gt;"",DATA!C509,"")</f>
        <v>87.45</v>
      </c>
      <c r="P510" s="2">
        <v>294094</v>
      </c>
      <c r="Q510" s="2" t="s">
        <v>1304</v>
      </c>
      <c r="R510" s="2" t="s">
        <v>1316</v>
      </c>
      <c r="S510" s="2">
        <v>207</v>
      </c>
      <c r="T510" s="2">
        <v>1</v>
      </c>
      <c r="U510" s="2" t="s">
        <v>141</v>
      </c>
      <c r="Y510" s="2">
        <v>1700</v>
      </c>
      <c r="Z510" s="11" t="s">
        <v>54</v>
      </c>
      <c r="AA510" s="11" t="str">
        <f t="shared" si="37"/>
        <v>1700 - TBN</v>
      </c>
      <c r="AC510" s="2" t="s">
        <v>145</v>
      </c>
      <c r="AD510" s="11" t="str">
        <f>IF($I510&lt;&gt;"",VLOOKUP($AC510,GEADRESSEERDE!$A$2:$E$4,2,),"")</f>
        <v>LUITHAGEN HAVEN 2 D</v>
      </c>
      <c r="AE510" s="11">
        <f>IF($I510&lt;&gt;"",VLOOKUP($AC510,GEADRESSEERDE!$A$2:$E$4,3,),"")</f>
        <v>2030</v>
      </c>
      <c r="AF510" s="11" t="str">
        <f>IF($I510&lt;&gt;"",VLOOKUP($AC510,GEADRESSEERDE!$A$2:$E$4,4,),"")</f>
        <v>ANTWERPEN</v>
      </c>
      <c r="AG510" s="11" t="str">
        <f>IF($I510&lt;&gt;"",VLOOKUP($AC510,GEADRESSEERDE!$A$2:$E$4,5,),"")</f>
        <v>BE</v>
      </c>
      <c r="AH510" s="11" t="str">
        <f>IF(I510&lt;&gt;"",VLOOKUP(AP510,KvB!$A$2:$B$3,2,FALSE),"")</f>
        <v>BE101000</v>
      </c>
      <c r="AI510" s="11" t="s">
        <v>55</v>
      </c>
      <c r="AJ510" s="11"/>
      <c r="AK510" s="11"/>
      <c r="AL510" s="11"/>
      <c r="AM510" s="11"/>
      <c r="AN510" s="11"/>
      <c r="AO510" s="11"/>
      <c r="AP510" s="2" t="s">
        <v>70</v>
      </c>
      <c r="AQ510" s="11" t="str">
        <f>IF(I510&lt;&gt;"",DATA!D509,"")</f>
        <v>8515290000</v>
      </c>
    </row>
    <row r="511" spans="1:43" ht="15.75" x14ac:dyDescent="0.25">
      <c r="A511" s="11" t="s">
        <v>57</v>
      </c>
      <c r="B511" s="11" t="s">
        <v>56</v>
      </c>
      <c r="C511" s="22">
        <f t="shared" si="34"/>
        <v>25001620</v>
      </c>
      <c r="D511" s="11" t="str">
        <f t="shared" si="35"/>
        <v>SKIIFM_AT</v>
      </c>
      <c r="E511" s="11" t="str">
        <f>IF(I511&lt;&gt;"",VLOOKUP(F511,OPDRACHTGEVER!$A$2:$B$4,2,FALSE),"")</f>
        <v>SKIIFM_AT</v>
      </c>
      <c r="F511" s="11" t="s">
        <v>58</v>
      </c>
      <c r="I511" s="11" t="str">
        <f>IF(DATA!B510&lt;&gt;"",DATA!B510,"")</f>
        <v>CARU9985689</v>
      </c>
      <c r="J511" s="12">
        <v>0</v>
      </c>
      <c r="K511" s="11" t="s">
        <v>53</v>
      </c>
      <c r="L511" s="11" t="str">
        <f t="shared" si="36"/>
        <v>854370</v>
      </c>
      <c r="M511" s="11" t="str">
        <f>IF(I511&lt;&gt;"",DATA!E510,"")</f>
        <v>METAL CHICKEN NEST BOX</v>
      </c>
      <c r="N511" s="12">
        <v>0</v>
      </c>
      <c r="O511" s="11">
        <f>IF(I511&lt;&gt;"",DATA!C510,"")</f>
        <v>145.55000000000001</v>
      </c>
      <c r="P511" s="2">
        <v>294094</v>
      </c>
      <c r="Q511" s="2" t="s">
        <v>1304</v>
      </c>
      <c r="R511" s="2" t="s">
        <v>1316</v>
      </c>
      <c r="S511" s="2">
        <v>207</v>
      </c>
      <c r="T511" s="2">
        <v>1</v>
      </c>
      <c r="U511" s="2" t="s">
        <v>141</v>
      </c>
      <c r="Y511" s="2">
        <v>1700</v>
      </c>
      <c r="Z511" s="11" t="s">
        <v>54</v>
      </c>
      <c r="AA511" s="11" t="str">
        <f t="shared" si="37"/>
        <v>1700 - TBN</v>
      </c>
      <c r="AC511" s="2" t="s">
        <v>145</v>
      </c>
      <c r="AD511" s="11" t="str">
        <f>IF($I511&lt;&gt;"",VLOOKUP($AC511,GEADRESSEERDE!$A$2:$E$4,2,),"")</f>
        <v>LUITHAGEN HAVEN 2 D</v>
      </c>
      <c r="AE511" s="11">
        <f>IF($I511&lt;&gt;"",VLOOKUP($AC511,GEADRESSEERDE!$A$2:$E$4,3,),"")</f>
        <v>2030</v>
      </c>
      <c r="AF511" s="11" t="str">
        <f>IF($I511&lt;&gt;"",VLOOKUP($AC511,GEADRESSEERDE!$A$2:$E$4,4,),"")</f>
        <v>ANTWERPEN</v>
      </c>
      <c r="AG511" s="11" t="str">
        <f>IF($I511&lt;&gt;"",VLOOKUP($AC511,GEADRESSEERDE!$A$2:$E$4,5,),"")</f>
        <v>BE</v>
      </c>
      <c r="AH511" s="11" t="str">
        <f>IF(I511&lt;&gt;"",VLOOKUP(AP511,KvB!$A$2:$B$3,2,FALSE),"")</f>
        <v>BE101000</v>
      </c>
      <c r="AI511" s="11" t="s">
        <v>55</v>
      </c>
      <c r="AJ511" s="11"/>
      <c r="AK511" s="11"/>
      <c r="AL511" s="11"/>
      <c r="AM511" s="11"/>
      <c r="AN511" s="11"/>
      <c r="AO511" s="11"/>
      <c r="AP511" s="2" t="s">
        <v>70</v>
      </c>
      <c r="AQ511" s="11" t="str">
        <f>IF(I511&lt;&gt;"",DATA!D510,"")</f>
        <v>8543709099</v>
      </c>
    </row>
    <row r="512" spans="1:43" ht="15.75" x14ac:dyDescent="0.25">
      <c r="A512" s="11" t="s">
        <v>57</v>
      </c>
      <c r="B512" s="11" t="s">
        <v>56</v>
      </c>
      <c r="C512" s="22">
        <f t="shared" si="34"/>
        <v>25001620</v>
      </c>
      <c r="D512" s="11" t="str">
        <f t="shared" si="35"/>
        <v>SKIIFM_AT</v>
      </c>
      <c r="E512" s="11" t="str">
        <f>IF(I512&lt;&gt;"",VLOOKUP(F512,OPDRACHTGEVER!$A$2:$B$4,2,FALSE),"")</f>
        <v>SKIIFM_AT</v>
      </c>
      <c r="F512" s="11" t="s">
        <v>58</v>
      </c>
      <c r="I512" s="11" t="str">
        <f>IF(DATA!B511&lt;&gt;"",DATA!B511,"")</f>
        <v>CARU9985689</v>
      </c>
      <c r="J512" s="12">
        <v>0</v>
      </c>
      <c r="K512" s="11" t="s">
        <v>53</v>
      </c>
      <c r="L512" s="11" t="str">
        <f t="shared" si="36"/>
        <v>854370</v>
      </c>
      <c r="M512" s="11" t="str">
        <f>IF(I512&lt;&gt;"",DATA!E511,"")</f>
        <v>METAL DETECTOR</v>
      </c>
      <c r="N512" s="12">
        <v>0</v>
      </c>
      <c r="O512" s="11">
        <f>IF(I512&lt;&gt;"",DATA!C511,"")</f>
        <v>33</v>
      </c>
      <c r="P512" s="2">
        <v>294094</v>
      </c>
      <c r="Q512" s="2" t="s">
        <v>1304</v>
      </c>
      <c r="R512" s="2" t="s">
        <v>1316</v>
      </c>
      <c r="S512" s="2">
        <v>207</v>
      </c>
      <c r="T512" s="2">
        <v>1</v>
      </c>
      <c r="U512" s="2" t="s">
        <v>141</v>
      </c>
      <c r="Y512" s="2">
        <v>1700</v>
      </c>
      <c r="Z512" s="11" t="s">
        <v>54</v>
      </c>
      <c r="AA512" s="11" t="str">
        <f t="shared" si="37"/>
        <v>1700 - TBN</v>
      </c>
      <c r="AC512" s="2" t="s">
        <v>145</v>
      </c>
      <c r="AD512" s="11" t="str">
        <f>IF($I512&lt;&gt;"",VLOOKUP($AC512,GEADRESSEERDE!$A$2:$E$4,2,),"")</f>
        <v>LUITHAGEN HAVEN 2 D</v>
      </c>
      <c r="AE512" s="11">
        <f>IF($I512&lt;&gt;"",VLOOKUP($AC512,GEADRESSEERDE!$A$2:$E$4,3,),"")</f>
        <v>2030</v>
      </c>
      <c r="AF512" s="11" t="str">
        <f>IF($I512&lt;&gt;"",VLOOKUP($AC512,GEADRESSEERDE!$A$2:$E$4,4,),"")</f>
        <v>ANTWERPEN</v>
      </c>
      <c r="AG512" s="11" t="str">
        <f>IF($I512&lt;&gt;"",VLOOKUP($AC512,GEADRESSEERDE!$A$2:$E$4,5,),"")</f>
        <v>BE</v>
      </c>
      <c r="AH512" s="11" t="str">
        <f>IF(I512&lt;&gt;"",VLOOKUP(AP512,KvB!$A$2:$B$3,2,FALSE),"")</f>
        <v>BE101000</v>
      </c>
      <c r="AI512" s="11" t="s">
        <v>55</v>
      </c>
      <c r="AJ512" s="11"/>
      <c r="AK512" s="11"/>
      <c r="AL512" s="11"/>
      <c r="AM512" s="11"/>
      <c r="AN512" s="11"/>
      <c r="AO512" s="11"/>
      <c r="AP512" s="2" t="s">
        <v>70</v>
      </c>
      <c r="AQ512" s="11" t="str">
        <f>IF(I512&lt;&gt;"",DATA!D511,"")</f>
        <v>8543709099</v>
      </c>
    </row>
    <row r="513" spans="1:43" ht="15.75" x14ac:dyDescent="0.25">
      <c r="A513" s="11" t="s">
        <v>57</v>
      </c>
      <c r="B513" s="11" t="s">
        <v>56</v>
      </c>
      <c r="C513" s="22">
        <f t="shared" si="34"/>
        <v>25001620</v>
      </c>
      <c r="D513" s="11" t="str">
        <f t="shared" si="35"/>
        <v>SKIIFM_AT</v>
      </c>
      <c r="E513" s="11" t="str">
        <f>IF(I513&lt;&gt;"",VLOOKUP(F513,OPDRACHTGEVER!$A$2:$B$4,2,FALSE),"")</f>
        <v>SKIIFM_AT</v>
      </c>
      <c r="F513" s="11" t="s">
        <v>58</v>
      </c>
      <c r="I513" s="11" t="str">
        <f>IF(DATA!B512&lt;&gt;"",DATA!B512,"")</f>
        <v>CARU9985689</v>
      </c>
      <c r="J513" s="12">
        <v>0</v>
      </c>
      <c r="K513" s="11" t="s">
        <v>53</v>
      </c>
      <c r="L513" s="11" t="str">
        <f t="shared" si="36"/>
        <v>821000</v>
      </c>
      <c r="M513" s="11" t="str">
        <f>IF(I513&lt;&gt;"",DATA!E512,"")</f>
        <v>MINCER</v>
      </c>
      <c r="N513" s="12">
        <v>0</v>
      </c>
      <c r="O513" s="11">
        <f>IF(I513&lt;&gt;"",DATA!C512,"")</f>
        <v>69</v>
      </c>
      <c r="P513" s="2">
        <v>294094</v>
      </c>
      <c r="Q513" s="2" t="s">
        <v>1304</v>
      </c>
      <c r="R513" s="2" t="s">
        <v>1316</v>
      </c>
      <c r="S513" s="2">
        <v>207</v>
      </c>
      <c r="T513" s="2">
        <v>1</v>
      </c>
      <c r="U513" s="2" t="s">
        <v>141</v>
      </c>
      <c r="Y513" s="2">
        <v>1700</v>
      </c>
      <c r="Z513" s="11" t="s">
        <v>54</v>
      </c>
      <c r="AA513" s="11" t="str">
        <f t="shared" si="37"/>
        <v>1700 - TBN</v>
      </c>
      <c r="AC513" s="2" t="s">
        <v>145</v>
      </c>
      <c r="AD513" s="11" t="str">
        <f>IF($I513&lt;&gt;"",VLOOKUP($AC513,GEADRESSEERDE!$A$2:$E$4,2,),"")</f>
        <v>LUITHAGEN HAVEN 2 D</v>
      </c>
      <c r="AE513" s="11">
        <f>IF($I513&lt;&gt;"",VLOOKUP($AC513,GEADRESSEERDE!$A$2:$E$4,3,),"")</f>
        <v>2030</v>
      </c>
      <c r="AF513" s="11" t="str">
        <f>IF($I513&lt;&gt;"",VLOOKUP($AC513,GEADRESSEERDE!$A$2:$E$4,4,),"")</f>
        <v>ANTWERPEN</v>
      </c>
      <c r="AG513" s="11" t="str">
        <f>IF($I513&lt;&gt;"",VLOOKUP($AC513,GEADRESSEERDE!$A$2:$E$4,5,),"")</f>
        <v>BE</v>
      </c>
      <c r="AH513" s="11" t="str">
        <f>IF(I513&lt;&gt;"",VLOOKUP(AP513,KvB!$A$2:$B$3,2,FALSE),"")</f>
        <v>BE101000</v>
      </c>
      <c r="AI513" s="11" t="s">
        <v>55</v>
      </c>
      <c r="AJ513" s="11"/>
      <c r="AK513" s="11"/>
      <c r="AL513" s="11"/>
      <c r="AM513" s="11"/>
      <c r="AN513" s="11"/>
      <c r="AO513" s="11"/>
      <c r="AP513" s="2" t="s">
        <v>70</v>
      </c>
      <c r="AQ513" s="11" t="str">
        <f>IF(I513&lt;&gt;"",DATA!D512,"")</f>
        <v>8210000000</v>
      </c>
    </row>
    <row r="514" spans="1:43" ht="15.75" x14ac:dyDescent="0.25">
      <c r="A514" s="11" t="s">
        <v>57</v>
      </c>
      <c r="B514" s="11" t="s">
        <v>56</v>
      </c>
      <c r="C514" s="22">
        <f t="shared" si="34"/>
        <v>25001620</v>
      </c>
      <c r="D514" s="11" t="str">
        <f t="shared" si="35"/>
        <v>SKIIFM_AT</v>
      </c>
      <c r="E514" s="11" t="str">
        <f>IF(I514&lt;&gt;"",VLOOKUP(F514,OPDRACHTGEVER!$A$2:$B$4,2,FALSE),"")</f>
        <v>SKIIFM_AT</v>
      </c>
      <c r="F514" s="11" t="s">
        <v>58</v>
      </c>
      <c r="I514" s="11" t="str">
        <f>IF(DATA!B513&lt;&gt;"",DATA!B513,"")</f>
        <v>CARU9985689</v>
      </c>
      <c r="J514" s="12">
        <v>0</v>
      </c>
      <c r="K514" s="11" t="s">
        <v>53</v>
      </c>
      <c r="L514" s="11" t="str">
        <f t="shared" si="36"/>
        <v>840999</v>
      </c>
      <c r="M514" s="11" t="str">
        <f>IF(I514&lt;&gt;"",DATA!E513,"")</f>
        <v>MOTORCYCLE BRACKET</v>
      </c>
      <c r="N514" s="12">
        <v>0</v>
      </c>
      <c r="O514" s="11">
        <f>IF(I514&lt;&gt;"",DATA!C513,"")</f>
        <v>48.8</v>
      </c>
      <c r="P514" s="2">
        <v>294094</v>
      </c>
      <c r="Q514" s="2" t="s">
        <v>1304</v>
      </c>
      <c r="R514" s="2" t="s">
        <v>1316</v>
      </c>
      <c r="S514" s="2">
        <v>207</v>
      </c>
      <c r="T514" s="2">
        <v>1</v>
      </c>
      <c r="U514" s="2" t="s">
        <v>141</v>
      </c>
      <c r="Y514" s="2">
        <v>1700</v>
      </c>
      <c r="Z514" s="11" t="s">
        <v>54</v>
      </c>
      <c r="AA514" s="11" t="str">
        <f t="shared" si="37"/>
        <v>1700 - TBN</v>
      </c>
      <c r="AC514" s="2" t="s">
        <v>145</v>
      </c>
      <c r="AD514" s="11" t="str">
        <f>IF($I514&lt;&gt;"",VLOOKUP($AC514,GEADRESSEERDE!$A$2:$E$4,2,),"")</f>
        <v>LUITHAGEN HAVEN 2 D</v>
      </c>
      <c r="AE514" s="11">
        <f>IF($I514&lt;&gt;"",VLOOKUP($AC514,GEADRESSEERDE!$A$2:$E$4,3,),"")</f>
        <v>2030</v>
      </c>
      <c r="AF514" s="11" t="str">
        <f>IF($I514&lt;&gt;"",VLOOKUP($AC514,GEADRESSEERDE!$A$2:$E$4,4,),"")</f>
        <v>ANTWERPEN</v>
      </c>
      <c r="AG514" s="11" t="str">
        <f>IF($I514&lt;&gt;"",VLOOKUP($AC514,GEADRESSEERDE!$A$2:$E$4,5,),"")</f>
        <v>BE</v>
      </c>
      <c r="AH514" s="11" t="str">
        <f>IF(I514&lt;&gt;"",VLOOKUP(AP514,KvB!$A$2:$B$3,2,FALSE),"")</f>
        <v>BE101000</v>
      </c>
      <c r="AI514" s="11" t="s">
        <v>55</v>
      </c>
      <c r="AJ514" s="11"/>
      <c r="AK514" s="11"/>
      <c r="AL514" s="11"/>
      <c r="AM514" s="11"/>
      <c r="AN514" s="11"/>
      <c r="AO514" s="11"/>
      <c r="AP514" s="2" t="s">
        <v>70</v>
      </c>
      <c r="AQ514" s="11" t="str">
        <f>IF(I514&lt;&gt;"",DATA!D513,"")</f>
        <v>8409990090</v>
      </c>
    </row>
    <row r="515" spans="1:43" ht="15.75" x14ac:dyDescent="0.25">
      <c r="A515" s="11" t="s">
        <v>57</v>
      </c>
      <c r="B515" s="11" t="s">
        <v>56</v>
      </c>
      <c r="C515" s="22">
        <f t="shared" si="34"/>
        <v>25001620</v>
      </c>
      <c r="D515" s="11" t="str">
        <f t="shared" si="35"/>
        <v>SKIIFM_AT</v>
      </c>
      <c r="E515" s="11" t="str">
        <f>IF(I515&lt;&gt;"",VLOOKUP(F515,OPDRACHTGEVER!$A$2:$B$4,2,FALSE),"")</f>
        <v>SKIIFM_AT</v>
      </c>
      <c r="F515" s="11" t="s">
        <v>58</v>
      </c>
      <c r="I515" s="11" t="str">
        <f>IF(DATA!B514&lt;&gt;"",DATA!B514,"")</f>
        <v>CARU9985689</v>
      </c>
      <c r="J515" s="12">
        <v>0</v>
      </c>
      <c r="K515" s="11" t="s">
        <v>53</v>
      </c>
      <c r="L515" s="11" t="str">
        <f t="shared" si="36"/>
        <v>961700</v>
      </c>
      <c r="M515" s="11" t="str">
        <f>IF(I515&lt;&gt;"",DATA!E514,"")</f>
        <v>MUG HEAT PRESS ACCESSORIES</v>
      </c>
      <c r="N515" s="12">
        <v>0</v>
      </c>
      <c r="O515" s="11">
        <f>IF(I515&lt;&gt;"",DATA!C514,"")</f>
        <v>38</v>
      </c>
      <c r="P515" s="2">
        <v>294094</v>
      </c>
      <c r="Q515" s="2" t="s">
        <v>1304</v>
      </c>
      <c r="R515" s="2" t="s">
        <v>1316</v>
      </c>
      <c r="S515" s="2">
        <v>207</v>
      </c>
      <c r="T515" s="2">
        <v>1</v>
      </c>
      <c r="U515" s="2" t="s">
        <v>141</v>
      </c>
      <c r="Y515" s="2">
        <v>1700</v>
      </c>
      <c r="Z515" s="11" t="s">
        <v>54</v>
      </c>
      <c r="AA515" s="11" t="str">
        <f t="shared" si="37"/>
        <v>1700 - TBN</v>
      </c>
      <c r="AC515" s="2" t="s">
        <v>145</v>
      </c>
      <c r="AD515" s="11" t="str">
        <f>IF($I515&lt;&gt;"",VLOOKUP($AC515,GEADRESSEERDE!$A$2:$E$4,2,),"")</f>
        <v>LUITHAGEN HAVEN 2 D</v>
      </c>
      <c r="AE515" s="11">
        <f>IF($I515&lt;&gt;"",VLOOKUP($AC515,GEADRESSEERDE!$A$2:$E$4,3,),"")</f>
        <v>2030</v>
      </c>
      <c r="AF515" s="11" t="str">
        <f>IF($I515&lt;&gt;"",VLOOKUP($AC515,GEADRESSEERDE!$A$2:$E$4,4,),"")</f>
        <v>ANTWERPEN</v>
      </c>
      <c r="AG515" s="11" t="str">
        <f>IF($I515&lt;&gt;"",VLOOKUP($AC515,GEADRESSEERDE!$A$2:$E$4,5,),"")</f>
        <v>BE</v>
      </c>
      <c r="AH515" s="11" t="str">
        <f>IF(I515&lt;&gt;"",VLOOKUP(AP515,KvB!$A$2:$B$3,2,FALSE),"")</f>
        <v>BE101000</v>
      </c>
      <c r="AI515" s="11" t="s">
        <v>55</v>
      </c>
      <c r="AJ515" s="11"/>
      <c r="AK515" s="11"/>
      <c r="AL515" s="11"/>
      <c r="AM515" s="11"/>
      <c r="AN515" s="11"/>
      <c r="AO515" s="11"/>
      <c r="AP515" s="2" t="s">
        <v>70</v>
      </c>
      <c r="AQ515" s="11" t="str">
        <f>IF(I515&lt;&gt;"",DATA!D514,"")</f>
        <v>9617000000</v>
      </c>
    </row>
    <row r="516" spans="1:43" ht="15.75" x14ac:dyDescent="0.25">
      <c r="A516" s="11" t="s">
        <v>57</v>
      </c>
      <c r="B516" s="11" t="s">
        <v>56</v>
      </c>
      <c r="C516" s="22">
        <f t="shared" si="34"/>
        <v>25001620</v>
      </c>
      <c r="D516" s="11" t="str">
        <f t="shared" si="35"/>
        <v>SKIIFM_AT</v>
      </c>
      <c r="E516" s="11" t="str">
        <f>IF(I516&lt;&gt;"",VLOOKUP(F516,OPDRACHTGEVER!$A$2:$B$4,2,FALSE),"")</f>
        <v>SKIIFM_AT</v>
      </c>
      <c r="F516" s="11" t="s">
        <v>58</v>
      </c>
      <c r="I516" s="11" t="str">
        <f>IF(DATA!B515&lt;&gt;"",DATA!B515,"")</f>
        <v>CARU9985689</v>
      </c>
      <c r="J516" s="12">
        <v>0</v>
      </c>
      <c r="K516" s="11" t="s">
        <v>53</v>
      </c>
      <c r="L516" s="11" t="str">
        <f t="shared" si="36"/>
        <v>841311</v>
      </c>
      <c r="M516" s="11" t="str">
        <f>IF(I516&lt;&gt;"",DATA!E515,"")</f>
        <v>OIL PUMP</v>
      </c>
      <c r="N516" s="12">
        <v>0</v>
      </c>
      <c r="O516" s="11">
        <f>IF(I516&lt;&gt;"",DATA!C515,"")</f>
        <v>197.3</v>
      </c>
      <c r="P516" s="2">
        <v>294094</v>
      </c>
      <c r="Q516" s="2" t="s">
        <v>1304</v>
      </c>
      <c r="R516" s="2" t="s">
        <v>1316</v>
      </c>
      <c r="S516" s="2">
        <v>207</v>
      </c>
      <c r="T516" s="2">
        <v>1</v>
      </c>
      <c r="U516" s="2" t="s">
        <v>141</v>
      </c>
      <c r="Y516" s="2">
        <v>1700</v>
      </c>
      <c r="Z516" s="11" t="s">
        <v>54</v>
      </c>
      <c r="AA516" s="11" t="str">
        <f t="shared" si="37"/>
        <v>1700 - TBN</v>
      </c>
      <c r="AC516" s="2" t="s">
        <v>145</v>
      </c>
      <c r="AD516" s="11" t="str">
        <f>IF($I516&lt;&gt;"",VLOOKUP($AC516,GEADRESSEERDE!$A$2:$E$4,2,),"")</f>
        <v>LUITHAGEN HAVEN 2 D</v>
      </c>
      <c r="AE516" s="11">
        <f>IF($I516&lt;&gt;"",VLOOKUP($AC516,GEADRESSEERDE!$A$2:$E$4,3,),"")</f>
        <v>2030</v>
      </c>
      <c r="AF516" s="11" t="str">
        <f>IF($I516&lt;&gt;"",VLOOKUP($AC516,GEADRESSEERDE!$A$2:$E$4,4,),"")</f>
        <v>ANTWERPEN</v>
      </c>
      <c r="AG516" s="11" t="str">
        <f>IF($I516&lt;&gt;"",VLOOKUP($AC516,GEADRESSEERDE!$A$2:$E$4,5,),"")</f>
        <v>BE</v>
      </c>
      <c r="AH516" s="11" t="str">
        <f>IF(I516&lt;&gt;"",VLOOKUP(AP516,KvB!$A$2:$B$3,2,FALSE),"")</f>
        <v>BE101000</v>
      </c>
      <c r="AI516" s="11" t="s">
        <v>55</v>
      </c>
      <c r="AJ516" s="11"/>
      <c r="AK516" s="11"/>
      <c r="AL516" s="11"/>
      <c r="AM516" s="11"/>
      <c r="AN516" s="11"/>
      <c r="AO516" s="11"/>
      <c r="AP516" s="2" t="s">
        <v>70</v>
      </c>
      <c r="AQ516" s="11" t="str">
        <f>IF(I516&lt;&gt;"",DATA!D515,"")</f>
        <v>8413110000</v>
      </c>
    </row>
    <row r="517" spans="1:43" ht="15.75" x14ac:dyDescent="0.25">
      <c r="A517" s="11" t="s">
        <v>57</v>
      </c>
      <c r="B517" s="11" t="s">
        <v>56</v>
      </c>
      <c r="C517" s="22">
        <f t="shared" ref="C517:C580" si="38">C516</f>
        <v>25001620</v>
      </c>
      <c r="D517" s="11" t="str">
        <f t="shared" si="35"/>
        <v>SKIIFM_AT</v>
      </c>
      <c r="E517" s="11" t="str">
        <f>IF(I517&lt;&gt;"",VLOOKUP(F517,OPDRACHTGEVER!$A$2:$B$4,2,FALSE),"")</f>
        <v>SKIIFM_AT</v>
      </c>
      <c r="F517" s="11" t="s">
        <v>58</v>
      </c>
      <c r="I517" s="11" t="str">
        <f>IF(DATA!B516&lt;&gt;"",DATA!B516,"")</f>
        <v>CARU9985689</v>
      </c>
      <c r="J517" s="12">
        <v>0</v>
      </c>
      <c r="K517" s="11" t="s">
        <v>53</v>
      </c>
      <c r="L517" s="11" t="str">
        <f t="shared" si="36"/>
        <v>741920</v>
      </c>
      <c r="M517" s="11" t="str">
        <f>IF(I517&lt;&gt;"",DATA!E516,"")</f>
        <v>PHOTOGRAPHY LAMP HOLDER</v>
      </c>
      <c r="N517" s="12">
        <v>0</v>
      </c>
      <c r="O517" s="11">
        <f>IF(I517&lt;&gt;"",DATA!C516,"")</f>
        <v>14.1</v>
      </c>
      <c r="P517" s="2">
        <v>294094</v>
      </c>
      <c r="Q517" s="2" t="s">
        <v>1304</v>
      </c>
      <c r="R517" s="2" t="s">
        <v>1316</v>
      </c>
      <c r="S517" s="2">
        <v>207</v>
      </c>
      <c r="T517" s="2">
        <v>1</v>
      </c>
      <c r="U517" s="2" t="s">
        <v>141</v>
      </c>
      <c r="Y517" s="2">
        <v>1700</v>
      </c>
      <c r="Z517" s="11" t="s">
        <v>54</v>
      </c>
      <c r="AA517" s="11" t="str">
        <f t="shared" si="37"/>
        <v>1700 - TBN</v>
      </c>
      <c r="AC517" s="2" t="s">
        <v>145</v>
      </c>
      <c r="AD517" s="11" t="str">
        <f>IF($I517&lt;&gt;"",VLOOKUP($AC517,GEADRESSEERDE!$A$2:$E$4,2,),"")</f>
        <v>LUITHAGEN HAVEN 2 D</v>
      </c>
      <c r="AE517" s="11">
        <f>IF($I517&lt;&gt;"",VLOOKUP($AC517,GEADRESSEERDE!$A$2:$E$4,3,),"")</f>
        <v>2030</v>
      </c>
      <c r="AF517" s="11" t="str">
        <f>IF($I517&lt;&gt;"",VLOOKUP($AC517,GEADRESSEERDE!$A$2:$E$4,4,),"")</f>
        <v>ANTWERPEN</v>
      </c>
      <c r="AG517" s="11" t="str">
        <f>IF($I517&lt;&gt;"",VLOOKUP($AC517,GEADRESSEERDE!$A$2:$E$4,5,),"")</f>
        <v>BE</v>
      </c>
      <c r="AH517" s="11" t="str">
        <f>IF(I517&lt;&gt;"",VLOOKUP(AP517,KvB!$A$2:$B$3,2,FALSE),"")</f>
        <v>BE101000</v>
      </c>
      <c r="AI517" s="11" t="s">
        <v>55</v>
      </c>
      <c r="AJ517" s="11"/>
      <c r="AK517" s="11"/>
      <c r="AL517" s="11"/>
      <c r="AM517" s="11"/>
      <c r="AN517" s="11"/>
      <c r="AO517" s="11"/>
      <c r="AP517" s="2" t="s">
        <v>70</v>
      </c>
      <c r="AQ517" s="11" t="str">
        <f>IF(I517&lt;&gt;"",DATA!D516,"")</f>
        <v>7419200090</v>
      </c>
    </row>
    <row r="518" spans="1:43" ht="15.75" x14ac:dyDescent="0.25">
      <c r="A518" s="11" t="s">
        <v>57</v>
      </c>
      <c r="B518" s="11" t="s">
        <v>56</v>
      </c>
      <c r="C518" s="22">
        <f t="shared" si="38"/>
        <v>25001620</v>
      </c>
      <c r="D518" s="11" t="str">
        <f t="shared" si="35"/>
        <v>SKIIFM_AT</v>
      </c>
      <c r="E518" s="11" t="str">
        <f>IF(I518&lt;&gt;"",VLOOKUP(F518,OPDRACHTGEVER!$A$2:$B$4,2,FALSE),"")</f>
        <v>SKIIFM_AT</v>
      </c>
      <c r="F518" s="11" t="s">
        <v>58</v>
      </c>
      <c r="I518" s="11" t="str">
        <f>IF(DATA!B517&lt;&gt;"",DATA!B517,"")</f>
        <v>CARU9985689</v>
      </c>
      <c r="J518" s="12">
        <v>0</v>
      </c>
      <c r="K518" s="11" t="s">
        <v>53</v>
      </c>
      <c r="L518" s="11" t="str">
        <f t="shared" si="36"/>
        <v>950691</v>
      </c>
      <c r="M518" s="11" t="str">
        <f>IF(I518&lt;&gt;"",DATA!E517,"")</f>
        <v>PILATES REFORMER</v>
      </c>
      <c r="N518" s="12">
        <v>0</v>
      </c>
      <c r="O518" s="11">
        <f>IF(I518&lt;&gt;"",DATA!C517,"")</f>
        <v>33.799999999999997</v>
      </c>
      <c r="P518" s="2">
        <v>294094</v>
      </c>
      <c r="Q518" s="2" t="s">
        <v>1304</v>
      </c>
      <c r="R518" s="2" t="s">
        <v>1316</v>
      </c>
      <c r="S518" s="2">
        <v>207</v>
      </c>
      <c r="T518" s="2">
        <v>1</v>
      </c>
      <c r="U518" s="2" t="s">
        <v>141</v>
      </c>
      <c r="Y518" s="2">
        <v>1700</v>
      </c>
      <c r="Z518" s="11" t="s">
        <v>54</v>
      </c>
      <c r="AA518" s="11" t="str">
        <f t="shared" si="37"/>
        <v>1700 - TBN</v>
      </c>
      <c r="AC518" s="2" t="s">
        <v>145</v>
      </c>
      <c r="AD518" s="11" t="str">
        <f>IF($I518&lt;&gt;"",VLOOKUP($AC518,GEADRESSEERDE!$A$2:$E$4,2,),"")</f>
        <v>LUITHAGEN HAVEN 2 D</v>
      </c>
      <c r="AE518" s="11">
        <f>IF($I518&lt;&gt;"",VLOOKUP($AC518,GEADRESSEERDE!$A$2:$E$4,3,),"")</f>
        <v>2030</v>
      </c>
      <c r="AF518" s="11" t="str">
        <f>IF($I518&lt;&gt;"",VLOOKUP($AC518,GEADRESSEERDE!$A$2:$E$4,4,),"")</f>
        <v>ANTWERPEN</v>
      </c>
      <c r="AG518" s="11" t="str">
        <f>IF($I518&lt;&gt;"",VLOOKUP($AC518,GEADRESSEERDE!$A$2:$E$4,5,),"")</f>
        <v>BE</v>
      </c>
      <c r="AH518" s="11" t="str">
        <f>IF(I518&lt;&gt;"",VLOOKUP(AP518,KvB!$A$2:$B$3,2,FALSE),"")</f>
        <v>BE101000</v>
      </c>
      <c r="AI518" s="11" t="s">
        <v>55</v>
      </c>
      <c r="AJ518" s="11"/>
      <c r="AK518" s="11"/>
      <c r="AL518" s="11"/>
      <c r="AM518" s="11"/>
      <c r="AN518" s="11"/>
      <c r="AO518" s="11"/>
      <c r="AP518" s="2" t="s">
        <v>70</v>
      </c>
      <c r="AQ518" s="11" t="str">
        <f>IF(I518&lt;&gt;"",DATA!D517,"")</f>
        <v>9506911000</v>
      </c>
    </row>
    <row r="519" spans="1:43" ht="15.75" x14ac:dyDescent="0.25">
      <c r="A519" s="11" t="s">
        <v>57</v>
      </c>
      <c r="B519" s="11" t="s">
        <v>56</v>
      </c>
      <c r="C519" s="22">
        <f t="shared" si="38"/>
        <v>25001620</v>
      </c>
      <c r="D519" s="11" t="str">
        <f t="shared" si="35"/>
        <v>SKIIFM_AT</v>
      </c>
      <c r="E519" s="11" t="str">
        <f>IF(I519&lt;&gt;"",VLOOKUP(F519,OPDRACHTGEVER!$A$2:$B$4,2,FALSE),"")</f>
        <v>SKIIFM_AT</v>
      </c>
      <c r="F519" s="11" t="s">
        <v>58</v>
      </c>
      <c r="I519" s="11" t="str">
        <f>IF(DATA!B518&lt;&gt;"",DATA!B518,"")</f>
        <v>CARU9985689</v>
      </c>
      <c r="J519" s="12">
        <v>0</v>
      </c>
      <c r="K519" s="11" t="s">
        <v>53</v>
      </c>
      <c r="L519" s="11" t="str">
        <f t="shared" si="36"/>
        <v>392590</v>
      </c>
      <c r="M519" s="11" t="str">
        <f>IF(I519&lt;&gt;"",DATA!E518,"")</f>
        <v>PLASTIC ESCALATOR</v>
      </c>
      <c r="N519" s="12">
        <v>0</v>
      </c>
      <c r="O519" s="11">
        <f>IF(I519&lt;&gt;"",DATA!C518,"")</f>
        <v>10.85</v>
      </c>
      <c r="P519" s="2">
        <v>294094</v>
      </c>
      <c r="Q519" s="2" t="s">
        <v>1304</v>
      </c>
      <c r="R519" s="2" t="s">
        <v>1316</v>
      </c>
      <c r="S519" s="2">
        <v>207</v>
      </c>
      <c r="T519" s="2">
        <v>1</v>
      </c>
      <c r="U519" s="2" t="s">
        <v>141</v>
      </c>
      <c r="Y519" s="2">
        <v>1700</v>
      </c>
      <c r="Z519" s="11" t="s">
        <v>54</v>
      </c>
      <c r="AA519" s="11" t="str">
        <f t="shared" si="37"/>
        <v>1700 - TBN</v>
      </c>
      <c r="AC519" s="2" t="s">
        <v>145</v>
      </c>
      <c r="AD519" s="11" t="str">
        <f>IF($I519&lt;&gt;"",VLOOKUP($AC519,GEADRESSEERDE!$A$2:$E$4,2,),"")</f>
        <v>LUITHAGEN HAVEN 2 D</v>
      </c>
      <c r="AE519" s="11">
        <f>IF($I519&lt;&gt;"",VLOOKUP($AC519,GEADRESSEERDE!$A$2:$E$4,3,),"")</f>
        <v>2030</v>
      </c>
      <c r="AF519" s="11" t="str">
        <f>IF($I519&lt;&gt;"",VLOOKUP($AC519,GEADRESSEERDE!$A$2:$E$4,4,),"")</f>
        <v>ANTWERPEN</v>
      </c>
      <c r="AG519" s="11" t="str">
        <f>IF($I519&lt;&gt;"",VLOOKUP($AC519,GEADRESSEERDE!$A$2:$E$4,5,),"")</f>
        <v>BE</v>
      </c>
      <c r="AH519" s="11" t="str">
        <f>IF(I519&lt;&gt;"",VLOOKUP(AP519,KvB!$A$2:$B$3,2,FALSE),"")</f>
        <v>BE101000</v>
      </c>
      <c r="AI519" s="11" t="s">
        <v>55</v>
      </c>
      <c r="AJ519" s="11"/>
      <c r="AK519" s="11"/>
      <c r="AL519" s="11"/>
      <c r="AM519" s="11"/>
      <c r="AN519" s="11"/>
      <c r="AO519" s="11"/>
      <c r="AP519" s="2" t="s">
        <v>70</v>
      </c>
      <c r="AQ519" s="11" t="str">
        <f>IF(I519&lt;&gt;"",DATA!D518,"")</f>
        <v>3925908000</v>
      </c>
    </row>
    <row r="520" spans="1:43" ht="15.75" x14ac:dyDescent="0.25">
      <c r="A520" s="11" t="s">
        <v>57</v>
      </c>
      <c r="B520" s="11" t="s">
        <v>56</v>
      </c>
      <c r="C520" s="22">
        <f t="shared" si="38"/>
        <v>25001620</v>
      </c>
      <c r="D520" s="11" t="str">
        <f t="shared" si="35"/>
        <v>SKIIFM_AT</v>
      </c>
      <c r="E520" s="11" t="str">
        <f>IF(I520&lt;&gt;"",VLOOKUP(F520,OPDRACHTGEVER!$A$2:$B$4,2,FALSE),"")</f>
        <v>SKIIFM_AT</v>
      </c>
      <c r="F520" s="11" t="s">
        <v>58</v>
      </c>
      <c r="I520" s="11" t="str">
        <f>IF(DATA!B519&lt;&gt;"",DATA!B519,"")</f>
        <v>CARU9985689</v>
      </c>
      <c r="J520" s="12">
        <v>0</v>
      </c>
      <c r="K520" s="11" t="s">
        <v>53</v>
      </c>
      <c r="L520" s="11" t="str">
        <f t="shared" si="36"/>
        <v>841981</v>
      </c>
      <c r="M520" s="11" t="str">
        <f>IF(I520&lt;&gt;"",DATA!E519,"")</f>
        <v>PLASTIC HOT CHOCOLATE DISPENSER</v>
      </c>
      <c r="N520" s="12">
        <v>0</v>
      </c>
      <c r="O520" s="11">
        <f>IF(I520&lt;&gt;"",DATA!C519,"")</f>
        <v>44</v>
      </c>
      <c r="P520" s="2">
        <v>294094</v>
      </c>
      <c r="Q520" s="2" t="s">
        <v>1304</v>
      </c>
      <c r="R520" s="2" t="s">
        <v>1316</v>
      </c>
      <c r="S520" s="2">
        <v>207</v>
      </c>
      <c r="T520" s="2">
        <v>1</v>
      </c>
      <c r="U520" s="2" t="s">
        <v>141</v>
      </c>
      <c r="Y520" s="2">
        <v>1700</v>
      </c>
      <c r="Z520" s="11" t="s">
        <v>54</v>
      </c>
      <c r="AA520" s="11" t="str">
        <f t="shared" si="37"/>
        <v>1700 - TBN</v>
      </c>
      <c r="AC520" s="2" t="s">
        <v>145</v>
      </c>
      <c r="AD520" s="11" t="str">
        <f>IF($I520&lt;&gt;"",VLOOKUP($AC520,GEADRESSEERDE!$A$2:$E$4,2,),"")</f>
        <v>LUITHAGEN HAVEN 2 D</v>
      </c>
      <c r="AE520" s="11">
        <f>IF($I520&lt;&gt;"",VLOOKUP($AC520,GEADRESSEERDE!$A$2:$E$4,3,),"")</f>
        <v>2030</v>
      </c>
      <c r="AF520" s="11" t="str">
        <f>IF($I520&lt;&gt;"",VLOOKUP($AC520,GEADRESSEERDE!$A$2:$E$4,4,),"")</f>
        <v>ANTWERPEN</v>
      </c>
      <c r="AG520" s="11" t="str">
        <f>IF($I520&lt;&gt;"",VLOOKUP($AC520,GEADRESSEERDE!$A$2:$E$4,5,),"")</f>
        <v>BE</v>
      </c>
      <c r="AH520" s="11" t="str">
        <f>IF(I520&lt;&gt;"",VLOOKUP(AP520,KvB!$A$2:$B$3,2,FALSE),"")</f>
        <v>BE101000</v>
      </c>
      <c r="AI520" s="11" t="s">
        <v>55</v>
      </c>
      <c r="AJ520" s="11"/>
      <c r="AK520" s="11"/>
      <c r="AL520" s="11"/>
      <c r="AM520" s="11"/>
      <c r="AN520" s="11"/>
      <c r="AO520" s="11"/>
      <c r="AP520" s="2" t="s">
        <v>70</v>
      </c>
      <c r="AQ520" s="11" t="str">
        <f>IF(I520&lt;&gt;"",DATA!D519,"")</f>
        <v>8419818090</v>
      </c>
    </row>
    <row r="521" spans="1:43" ht="15.75" x14ac:dyDescent="0.25">
      <c r="A521" s="11" t="s">
        <v>57</v>
      </c>
      <c r="B521" s="11" t="s">
        <v>56</v>
      </c>
      <c r="C521" s="22">
        <f t="shared" si="38"/>
        <v>25001620</v>
      </c>
      <c r="D521" s="11" t="str">
        <f t="shared" si="35"/>
        <v>SKIIFM_AT</v>
      </c>
      <c r="E521" s="11" t="str">
        <f>IF(I521&lt;&gt;"",VLOOKUP(F521,OPDRACHTGEVER!$A$2:$B$4,2,FALSE),"")</f>
        <v>SKIIFM_AT</v>
      </c>
      <c r="F521" s="11" t="s">
        <v>58</v>
      </c>
      <c r="I521" s="11" t="str">
        <f>IF(DATA!B520&lt;&gt;"",DATA!B520,"")</f>
        <v>CARU9985689</v>
      </c>
      <c r="J521" s="12">
        <v>0</v>
      </c>
      <c r="K521" s="11" t="s">
        <v>53</v>
      </c>
      <c r="L521" s="11" t="str">
        <f t="shared" si="36"/>
        <v>842420</v>
      </c>
      <c r="M521" s="11" t="str">
        <f>IF(I521&lt;&gt;"",DATA!E520,"")</f>
        <v>PNEUMATIC CEMENT MORTAR GUN</v>
      </c>
      <c r="N521" s="12">
        <v>0</v>
      </c>
      <c r="O521" s="11">
        <f>IF(I521&lt;&gt;"",DATA!C520,"")</f>
        <v>17.5</v>
      </c>
      <c r="P521" s="2">
        <v>294094</v>
      </c>
      <c r="Q521" s="2" t="s">
        <v>1304</v>
      </c>
      <c r="R521" s="2" t="s">
        <v>1316</v>
      </c>
      <c r="S521" s="2">
        <v>207</v>
      </c>
      <c r="T521" s="2">
        <v>1</v>
      </c>
      <c r="U521" s="2" t="s">
        <v>141</v>
      </c>
      <c r="Y521" s="2">
        <v>1700</v>
      </c>
      <c r="Z521" s="11" t="s">
        <v>54</v>
      </c>
      <c r="AA521" s="11" t="str">
        <f t="shared" si="37"/>
        <v>1700 - TBN</v>
      </c>
      <c r="AC521" s="2" t="s">
        <v>145</v>
      </c>
      <c r="AD521" s="11" t="str">
        <f>IF($I521&lt;&gt;"",VLOOKUP($AC521,GEADRESSEERDE!$A$2:$E$4,2,),"")</f>
        <v>LUITHAGEN HAVEN 2 D</v>
      </c>
      <c r="AE521" s="11">
        <f>IF($I521&lt;&gt;"",VLOOKUP($AC521,GEADRESSEERDE!$A$2:$E$4,3,),"")</f>
        <v>2030</v>
      </c>
      <c r="AF521" s="11" t="str">
        <f>IF($I521&lt;&gt;"",VLOOKUP($AC521,GEADRESSEERDE!$A$2:$E$4,4,),"")</f>
        <v>ANTWERPEN</v>
      </c>
      <c r="AG521" s="11" t="str">
        <f>IF($I521&lt;&gt;"",VLOOKUP($AC521,GEADRESSEERDE!$A$2:$E$4,5,),"")</f>
        <v>BE</v>
      </c>
      <c r="AH521" s="11" t="str">
        <f>IF(I521&lt;&gt;"",VLOOKUP(AP521,KvB!$A$2:$B$3,2,FALSE),"")</f>
        <v>BE101000</v>
      </c>
      <c r="AI521" s="11" t="s">
        <v>55</v>
      </c>
      <c r="AJ521" s="11"/>
      <c r="AK521" s="11"/>
      <c r="AL521" s="11"/>
      <c r="AM521" s="11"/>
      <c r="AN521" s="11"/>
      <c r="AO521" s="11"/>
      <c r="AP521" s="2" t="s">
        <v>70</v>
      </c>
      <c r="AQ521" s="11" t="str">
        <f>IF(I521&lt;&gt;"",DATA!D520,"")</f>
        <v>8424200000</v>
      </c>
    </row>
    <row r="522" spans="1:43" ht="15.75" x14ac:dyDescent="0.25">
      <c r="A522" s="11" t="s">
        <v>57</v>
      </c>
      <c r="B522" s="11" t="s">
        <v>56</v>
      </c>
      <c r="C522" s="22">
        <f t="shared" si="38"/>
        <v>25001620</v>
      </c>
      <c r="D522" s="11" t="str">
        <f t="shared" si="35"/>
        <v>SKIIFM_AT</v>
      </c>
      <c r="E522" s="11" t="str">
        <f>IF(I522&lt;&gt;"",VLOOKUP(F522,OPDRACHTGEVER!$A$2:$B$4,2,FALSE),"")</f>
        <v>SKIIFM_AT</v>
      </c>
      <c r="F522" s="11" t="s">
        <v>58</v>
      </c>
      <c r="I522" s="11" t="str">
        <f>IF(DATA!B521&lt;&gt;"",DATA!B521,"")</f>
        <v>CARU9985689</v>
      </c>
      <c r="J522" s="12">
        <v>0</v>
      </c>
      <c r="K522" s="11" t="s">
        <v>53</v>
      </c>
      <c r="L522" s="11" t="str">
        <f t="shared" si="36"/>
        <v>841360</v>
      </c>
      <c r="M522" s="11" t="str">
        <f>IF(I522&lt;&gt;"",DATA!E521,"")</f>
        <v>POOL PUMP</v>
      </c>
      <c r="N522" s="12">
        <v>0</v>
      </c>
      <c r="O522" s="11">
        <f>IF(I522&lt;&gt;"",DATA!C521,"")</f>
        <v>48.5</v>
      </c>
      <c r="P522" s="2">
        <v>294094</v>
      </c>
      <c r="Q522" s="2" t="s">
        <v>1304</v>
      </c>
      <c r="R522" s="2" t="s">
        <v>1316</v>
      </c>
      <c r="S522" s="2">
        <v>207</v>
      </c>
      <c r="T522" s="2">
        <v>1</v>
      </c>
      <c r="U522" s="2" t="s">
        <v>141</v>
      </c>
      <c r="Y522" s="2">
        <v>1700</v>
      </c>
      <c r="Z522" s="11" t="s">
        <v>54</v>
      </c>
      <c r="AA522" s="11" t="str">
        <f t="shared" si="37"/>
        <v>1700 - TBN</v>
      </c>
      <c r="AC522" s="2" t="s">
        <v>145</v>
      </c>
      <c r="AD522" s="11" t="str">
        <f>IF($I522&lt;&gt;"",VLOOKUP($AC522,GEADRESSEERDE!$A$2:$E$4,2,),"")</f>
        <v>LUITHAGEN HAVEN 2 D</v>
      </c>
      <c r="AE522" s="11">
        <f>IF($I522&lt;&gt;"",VLOOKUP($AC522,GEADRESSEERDE!$A$2:$E$4,3,),"")</f>
        <v>2030</v>
      </c>
      <c r="AF522" s="11" t="str">
        <f>IF($I522&lt;&gt;"",VLOOKUP($AC522,GEADRESSEERDE!$A$2:$E$4,4,),"")</f>
        <v>ANTWERPEN</v>
      </c>
      <c r="AG522" s="11" t="str">
        <f>IF($I522&lt;&gt;"",VLOOKUP($AC522,GEADRESSEERDE!$A$2:$E$4,5,),"")</f>
        <v>BE</v>
      </c>
      <c r="AH522" s="11" t="str">
        <f>IF(I522&lt;&gt;"",VLOOKUP(AP522,KvB!$A$2:$B$3,2,FALSE),"")</f>
        <v>BE101000</v>
      </c>
      <c r="AI522" s="11" t="s">
        <v>55</v>
      </c>
      <c r="AJ522" s="11"/>
      <c r="AK522" s="11"/>
      <c r="AL522" s="11"/>
      <c r="AM522" s="11"/>
      <c r="AN522" s="11"/>
      <c r="AO522" s="11"/>
      <c r="AP522" s="2" t="s">
        <v>70</v>
      </c>
      <c r="AQ522" s="11" t="str">
        <f>IF(I522&lt;&gt;"",DATA!D521,"")</f>
        <v>8413608090</v>
      </c>
    </row>
    <row r="523" spans="1:43" ht="15.75" x14ac:dyDescent="0.25">
      <c r="A523" s="11" t="s">
        <v>57</v>
      </c>
      <c r="B523" s="11" t="s">
        <v>56</v>
      </c>
      <c r="C523" s="22">
        <f t="shared" si="38"/>
        <v>25001620</v>
      </c>
      <c r="D523" s="11" t="str">
        <f t="shared" si="35"/>
        <v>SKIIFM_AT</v>
      </c>
      <c r="E523" s="11" t="str">
        <f>IF(I523&lt;&gt;"",VLOOKUP(F523,OPDRACHTGEVER!$A$2:$B$4,2,FALSE),"")</f>
        <v>SKIIFM_AT</v>
      </c>
      <c r="F523" s="11" t="s">
        <v>58</v>
      </c>
      <c r="I523" s="11" t="str">
        <f>IF(DATA!B522&lt;&gt;"",DATA!B522,"")</f>
        <v>CARU9985689</v>
      </c>
      <c r="J523" s="12">
        <v>0</v>
      </c>
      <c r="K523" s="11" t="s">
        <v>53</v>
      </c>
      <c r="L523" s="11" t="str">
        <f t="shared" si="36"/>
        <v>843810</v>
      </c>
      <c r="M523" s="11" t="str">
        <f>IF(I523&lt;&gt;"",DATA!E522,"")</f>
        <v>POPCORN MACHINE</v>
      </c>
      <c r="N523" s="12">
        <v>0</v>
      </c>
      <c r="O523" s="11">
        <f>IF(I523&lt;&gt;"",DATA!C522,"")</f>
        <v>8.9499999999999993</v>
      </c>
      <c r="P523" s="2">
        <v>294094</v>
      </c>
      <c r="Q523" s="2" t="s">
        <v>1304</v>
      </c>
      <c r="R523" s="2" t="s">
        <v>1316</v>
      </c>
      <c r="S523" s="2">
        <v>207</v>
      </c>
      <c r="T523" s="2">
        <v>1</v>
      </c>
      <c r="U523" s="2" t="s">
        <v>141</v>
      </c>
      <c r="Y523" s="2">
        <v>1700</v>
      </c>
      <c r="Z523" s="11" t="s">
        <v>54</v>
      </c>
      <c r="AA523" s="11" t="str">
        <f t="shared" si="37"/>
        <v>1700 - TBN</v>
      </c>
      <c r="AC523" s="2" t="s">
        <v>145</v>
      </c>
      <c r="AD523" s="11" t="str">
        <f>IF($I523&lt;&gt;"",VLOOKUP($AC523,GEADRESSEERDE!$A$2:$E$4,2,),"")</f>
        <v>LUITHAGEN HAVEN 2 D</v>
      </c>
      <c r="AE523" s="11">
        <f>IF($I523&lt;&gt;"",VLOOKUP($AC523,GEADRESSEERDE!$A$2:$E$4,3,),"")</f>
        <v>2030</v>
      </c>
      <c r="AF523" s="11" t="str">
        <f>IF($I523&lt;&gt;"",VLOOKUP($AC523,GEADRESSEERDE!$A$2:$E$4,4,),"")</f>
        <v>ANTWERPEN</v>
      </c>
      <c r="AG523" s="11" t="str">
        <f>IF($I523&lt;&gt;"",VLOOKUP($AC523,GEADRESSEERDE!$A$2:$E$4,5,),"")</f>
        <v>BE</v>
      </c>
      <c r="AH523" s="11" t="str">
        <f>IF(I523&lt;&gt;"",VLOOKUP(AP523,KvB!$A$2:$B$3,2,FALSE),"")</f>
        <v>BE101000</v>
      </c>
      <c r="AI523" s="11" t="s">
        <v>55</v>
      </c>
      <c r="AJ523" s="11"/>
      <c r="AK523" s="11"/>
      <c r="AL523" s="11"/>
      <c r="AM523" s="11"/>
      <c r="AN523" s="11"/>
      <c r="AO523" s="11"/>
      <c r="AP523" s="2" t="s">
        <v>70</v>
      </c>
      <c r="AQ523" s="11" t="str">
        <f>IF(I523&lt;&gt;"",DATA!D522,"")</f>
        <v>8438101000</v>
      </c>
    </row>
    <row r="524" spans="1:43" ht="15.75" x14ac:dyDescent="0.25">
      <c r="A524" s="11" t="s">
        <v>57</v>
      </c>
      <c r="B524" s="11" t="s">
        <v>56</v>
      </c>
      <c r="C524" s="22">
        <f t="shared" si="38"/>
        <v>25001620</v>
      </c>
      <c r="D524" s="11" t="str">
        <f t="shared" si="35"/>
        <v>SKIIFM_AT</v>
      </c>
      <c r="E524" s="11" t="str">
        <f>IF(I524&lt;&gt;"",VLOOKUP(F524,OPDRACHTGEVER!$A$2:$B$4,2,FALSE),"")</f>
        <v>SKIIFM_AT</v>
      </c>
      <c r="F524" s="11" t="s">
        <v>58</v>
      </c>
      <c r="I524" s="11" t="str">
        <f>IF(DATA!B523&lt;&gt;"",DATA!B523,"")</f>
        <v>CARU9985689</v>
      </c>
      <c r="J524" s="12">
        <v>0</v>
      </c>
      <c r="K524" s="11" t="s">
        <v>53</v>
      </c>
      <c r="L524" s="11" t="str">
        <f t="shared" si="36"/>
        <v>392390</v>
      </c>
      <c r="M524" s="11" t="str">
        <f>IF(I524&lt;&gt;"",DATA!E523,"")</f>
        <v>PORTABLE FUEL TANK</v>
      </c>
      <c r="N524" s="12">
        <v>0</v>
      </c>
      <c r="O524" s="11">
        <f>IF(I524&lt;&gt;"",DATA!C523,"")</f>
        <v>8.5500000000000007</v>
      </c>
      <c r="P524" s="2">
        <v>294094</v>
      </c>
      <c r="Q524" s="2" t="s">
        <v>1304</v>
      </c>
      <c r="R524" s="2" t="s">
        <v>1316</v>
      </c>
      <c r="S524" s="2">
        <v>207</v>
      </c>
      <c r="T524" s="2">
        <v>1</v>
      </c>
      <c r="U524" s="2" t="s">
        <v>141</v>
      </c>
      <c r="Y524" s="2">
        <v>1700</v>
      </c>
      <c r="Z524" s="11" t="s">
        <v>54</v>
      </c>
      <c r="AA524" s="11" t="str">
        <f t="shared" si="37"/>
        <v>1700 - TBN</v>
      </c>
      <c r="AC524" s="2" t="s">
        <v>145</v>
      </c>
      <c r="AD524" s="11" t="str">
        <f>IF($I524&lt;&gt;"",VLOOKUP($AC524,GEADRESSEERDE!$A$2:$E$4,2,),"")</f>
        <v>LUITHAGEN HAVEN 2 D</v>
      </c>
      <c r="AE524" s="11">
        <f>IF($I524&lt;&gt;"",VLOOKUP($AC524,GEADRESSEERDE!$A$2:$E$4,3,),"")</f>
        <v>2030</v>
      </c>
      <c r="AF524" s="11" t="str">
        <f>IF($I524&lt;&gt;"",VLOOKUP($AC524,GEADRESSEERDE!$A$2:$E$4,4,),"")</f>
        <v>ANTWERPEN</v>
      </c>
      <c r="AG524" s="11" t="str">
        <f>IF($I524&lt;&gt;"",VLOOKUP($AC524,GEADRESSEERDE!$A$2:$E$4,5,),"")</f>
        <v>BE</v>
      </c>
      <c r="AH524" s="11" t="str">
        <f>IF(I524&lt;&gt;"",VLOOKUP(AP524,KvB!$A$2:$B$3,2,FALSE),"")</f>
        <v>BE101000</v>
      </c>
      <c r="AI524" s="11" t="s">
        <v>55</v>
      </c>
      <c r="AJ524" s="11"/>
      <c r="AK524" s="11"/>
      <c r="AL524" s="11"/>
      <c r="AM524" s="11"/>
      <c r="AN524" s="11"/>
      <c r="AO524" s="11"/>
      <c r="AP524" s="2" t="s">
        <v>70</v>
      </c>
      <c r="AQ524" s="11" t="str">
        <f>IF(I524&lt;&gt;"",DATA!D523,"")</f>
        <v>3923900000</v>
      </c>
    </row>
    <row r="525" spans="1:43" ht="15.75" x14ac:dyDescent="0.25">
      <c r="A525" s="11" t="s">
        <v>57</v>
      </c>
      <c r="B525" s="11" t="s">
        <v>56</v>
      </c>
      <c r="C525" s="22">
        <f t="shared" si="38"/>
        <v>25001620</v>
      </c>
      <c r="D525" s="11" t="str">
        <f t="shared" si="35"/>
        <v>SKIIFM_AT</v>
      </c>
      <c r="E525" s="11" t="str">
        <f>IF(I525&lt;&gt;"",VLOOKUP(F525,OPDRACHTGEVER!$A$2:$B$4,2,FALSE),"")</f>
        <v>SKIIFM_AT</v>
      </c>
      <c r="F525" s="11" t="s">
        <v>58</v>
      </c>
      <c r="I525" s="11" t="str">
        <f>IF(DATA!B524&lt;&gt;"",DATA!B524,"")</f>
        <v>CARU9985689</v>
      </c>
      <c r="J525" s="12">
        <v>0</v>
      </c>
      <c r="K525" s="11" t="s">
        <v>53</v>
      </c>
      <c r="L525" s="11" t="str">
        <f t="shared" si="36"/>
        <v>392290</v>
      </c>
      <c r="M525" s="11" t="str">
        <f>IF(I525&lt;&gt;"",DATA!E524,"")</f>
        <v>PORTABLE TOILET</v>
      </c>
      <c r="N525" s="12">
        <v>0</v>
      </c>
      <c r="O525" s="11">
        <f>IF(I525&lt;&gt;"",DATA!C524,"")</f>
        <v>5.7</v>
      </c>
      <c r="P525" s="2">
        <v>294094</v>
      </c>
      <c r="Q525" s="2" t="s">
        <v>1304</v>
      </c>
      <c r="R525" s="2" t="s">
        <v>1316</v>
      </c>
      <c r="S525" s="2">
        <v>207</v>
      </c>
      <c r="T525" s="2">
        <v>1</v>
      </c>
      <c r="U525" s="2" t="s">
        <v>141</v>
      </c>
      <c r="Y525" s="2">
        <v>1700</v>
      </c>
      <c r="Z525" s="11" t="s">
        <v>54</v>
      </c>
      <c r="AA525" s="11" t="str">
        <f t="shared" si="37"/>
        <v>1700 - TBN</v>
      </c>
      <c r="AC525" s="2" t="s">
        <v>145</v>
      </c>
      <c r="AD525" s="11" t="str">
        <f>IF($I525&lt;&gt;"",VLOOKUP($AC525,GEADRESSEERDE!$A$2:$E$4,2,),"")</f>
        <v>LUITHAGEN HAVEN 2 D</v>
      </c>
      <c r="AE525" s="11">
        <f>IF($I525&lt;&gt;"",VLOOKUP($AC525,GEADRESSEERDE!$A$2:$E$4,3,),"")</f>
        <v>2030</v>
      </c>
      <c r="AF525" s="11" t="str">
        <f>IF($I525&lt;&gt;"",VLOOKUP($AC525,GEADRESSEERDE!$A$2:$E$4,4,),"")</f>
        <v>ANTWERPEN</v>
      </c>
      <c r="AG525" s="11" t="str">
        <f>IF($I525&lt;&gt;"",VLOOKUP($AC525,GEADRESSEERDE!$A$2:$E$4,5,),"")</f>
        <v>BE</v>
      </c>
      <c r="AH525" s="11" t="str">
        <f>IF(I525&lt;&gt;"",VLOOKUP(AP525,KvB!$A$2:$B$3,2,FALSE),"")</f>
        <v>BE101000</v>
      </c>
      <c r="AI525" s="11" t="s">
        <v>55</v>
      </c>
      <c r="AJ525" s="11"/>
      <c r="AK525" s="11"/>
      <c r="AL525" s="11"/>
      <c r="AM525" s="11"/>
      <c r="AN525" s="11"/>
      <c r="AO525" s="11"/>
      <c r="AP525" s="2" t="s">
        <v>70</v>
      </c>
      <c r="AQ525" s="11" t="str">
        <f>IF(I525&lt;&gt;"",DATA!D524,"")</f>
        <v>3922900000</v>
      </c>
    </row>
    <row r="526" spans="1:43" ht="15.75" x14ac:dyDescent="0.25">
      <c r="A526" s="11" t="s">
        <v>57</v>
      </c>
      <c r="B526" s="11" t="s">
        <v>56</v>
      </c>
      <c r="C526" s="22">
        <f t="shared" si="38"/>
        <v>25001620</v>
      </c>
      <c r="D526" s="11" t="str">
        <f t="shared" si="35"/>
        <v>SKIIFM_AT</v>
      </c>
      <c r="E526" s="11" t="str">
        <f>IF(I526&lt;&gt;"",VLOOKUP(F526,OPDRACHTGEVER!$A$2:$B$4,2,FALSE),"")</f>
        <v>SKIIFM_AT</v>
      </c>
      <c r="F526" s="11" t="s">
        <v>58</v>
      </c>
      <c r="I526" s="11" t="str">
        <f>IF(DATA!B525&lt;&gt;"",DATA!B525,"")</f>
        <v>CARU9985689</v>
      </c>
      <c r="J526" s="12">
        <v>0</v>
      </c>
      <c r="K526" s="11" t="s">
        <v>53</v>
      </c>
      <c r="L526" s="11" t="str">
        <f t="shared" si="36"/>
        <v>902620</v>
      </c>
      <c r="M526" s="11" t="str">
        <f>IF(I526&lt;&gt;"",DATA!E525,"")</f>
        <v>PRESSURE GAUGE</v>
      </c>
      <c r="N526" s="12">
        <v>0</v>
      </c>
      <c r="O526" s="11">
        <f>IF(I526&lt;&gt;"",DATA!C525,"")</f>
        <v>23.8</v>
      </c>
      <c r="P526" s="2">
        <v>294094</v>
      </c>
      <c r="Q526" s="2" t="s">
        <v>1304</v>
      </c>
      <c r="R526" s="2" t="s">
        <v>1316</v>
      </c>
      <c r="S526" s="2">
        <v>207</v>
      </c>
      <c r="T526" s="2">
        <v>1</v>
      </c>
      <c r="U526" s="2" t="s">
        <v>141</v>
      </c>
      <c r="Y526" s="2">
        <v>1700</v>
      </c>
      <c r="Z526" s="11" t="s">
        <v>54</v>
      </c>
      <c r="AA526" s="11" t="str">
        <f t="shared" si="37"/>
        <v>1700 - TBN</v>
      </c>
      <c r="AC526" s="2" t="s">
        <v>145</v>
      </c>
      <c r="AD526" s="11" t="str">
        <f>IF($I526&lt;&gt;"",VLOOKUP($AC526,GEADRESSEERDE!$A$2:$E$4,2,),"")</f>
        <v>LUITHAGEN HAVEN 2 D</v>
      </c>
      <c r="AE526" s="11">
        <f>IF($I526&lt;&gt;"",VLOOKUP($AC526,GEADRESSEERDE!$A$2:$E$4,3,),"")</f>
        <v>2030</v>
      </c>
      <c r="AF526" s="11" t="str">
        <f>IF($I526&lt;&gt;"",VLOOKUP($AC526,GEADRESSEERDE!$A$2:$E$4,4,),"")</f>
        <v>ANTWERPEN</v>
      </c>
      <c r="AG526" s="11" t="str">
        <f>IF($I526&lt;&gt;"",VLOOKUP($AC526,GEADRESSEERDE!$A$2:$E$4,5,),"")</f>
        <v>BE</v>
      </c>
      <c r="AH526" s="11" t="str">
        <f>IF(I526&lt;&gt;"",VLOOKUP(AP526,KvB!$A$2:$B$3,2,FALSE),"")</f>
        <v>BE101000</v>
      </c>
      <c r="AI526" s="11" t="s">
        <v>55</v>
      </c>
      <c r="AJ526" s="11"/>
      <c r="AK526" s="11"/>
      <c r="AL526" s="11"/>
      <c r="AM526" s="11"/>
      <c r="AN526" s="11"/>
      <c r="AO526" s="11"/>
      <c r="AP526" s="2" t="s">
        <v>70</v>
      </c>
      <c r="AQ526" s="11" t="str">
        <f>IF(I526&lt;&gt;"",DATA!D525,"")</f>
        <v>9026202000</v>
      </c>
    </row>
    <row r="527" spans="1:43" ht="15.75" x14ac:dyDescent="0.25">
      <c r="A527" s="11" t="s">
        <v>57</v>
      </c>
      <c r="B527" s="11" t="s">
        <v>56</v>
      </c>
      <c r="C527" s="22">
        <f t="shared" si="38"/>
        <v>25001620</v>
      </c>
      <c r="D527" s="11" t="str">
        <f t="shared" si="35"/>
        <v>SKIIFM_AT</v>
      </c>
      <c r="E527" s="11" t="str">
        <f>IF(I527&lt;&gt;"",VLOOKUP(F527,OPDRACHTGEVER!$A$2:$B$4,2,FALSE),"")</f>
        <v>SKIIFM_AT</v>
      </c>
      <c r="F527" s="11" t="s">
        <v>58</v>
      </c>
      <c r="I527" s="11" t="str">
        <f>IF(DATA!B526&lt;&gt;"",DATA!B526,"")</f>
        <v>CARU9985689</v>
      </c>
      <c r="J527" s="12">
        <v>0</v>
      </c>
      <c r="K527" s="11" t="s">
        <v>53</v>
      </c>
      <c r="L527" s="11" t="str">
        <f t="shared" si="36"/>
        <v>847989</v>
      </c>
      <c r="M527" s="11" t="str">
        <f>IF(I527&lt;&gt;"",DATA!E526,"")</f>
        <v>RECOVERY MACHINE</v>
      </c>
      <c r="N527" s="12">
        <v>0</v>
      </c>
      <c r="O527" s="11">
        <f>IF(I527&lt;&gt;"",DATA!C526,"")</f>
        <v>76.7</v>
      </c>
      <c r="P527" s="2">
        <v>294094</v>
      </c>
      <c r="Q527" s="2" t="s">
        <v>1304</v>
      </c>
      <c r="R527" s="2" t="s">
        <v>1316</v>
      </c>
      <c r="S527" s="2">
        <v>207</v>
      </c>
      <c r="T527" s="2">
        <v>1</v>
      </c>
      <c r="U527" s="2" t="s">
        <v>141</v>
      </c>
      <c r="Y527" s="2">
        <v>1700</v>
      </c>
      <c r="Z527" s="11" t="s">
        <v>54</v>
      </c>
      <c r="AA527" s="11" t="str">
        <f t="shared" si="37"/>
        <v>1700 - TBN</v>
      </c>
      <c r="AC527" s="2" t="s">
        <v>145</v>
      </c>
      <c r="AD527" s="11" t="str">
        <f>IF($I527&lt;&gt;"",VLOOKUP($AC527,GEADRESSEERDE!$A$2:$E$4,2,),"")</f>
        <v>LUITHAGEN HAVEN 2 D</v>
      </c>
      <c r="AE527" s="11">
        <f>IF($I527&lt;&gt;"",VLOOKUP($AC527,GEADRESSEERDE!$A$2:$E$4,3,),"")</f>
        <v>2030</v>
      </c>
      <c r="AF527" s="11" t="str">
        <f>IF($I527&lt;&gt;"",VLOOKUP($AC527,GEADRESSEERDE!$A$2:$E$4,4,),"")</f>
        <v>ANTWERPEN</v>
      </c>
      <c r="AG527" s="11" t="str">
        <f>IF($I527&lt;&gt;"",VLOOKUP($AC527,GEADRESSEERDE!$A$2:$E$4,5,),"")</f>
        <v>BE</v>
      </c>
      <c r="AH527" s="11" t="str">
        <f>IF(I527&lt;&gt;"",VLOOKUP(AP527,KvB!$A$2:$B$3,2,FALSE),"")</f>
        <v>BE101000</v>
      </c>
      <c r="AI527" s="11" t="s">
        <v>55</v>
      </c>
      <c r="AJ527" s="11"/>
      <c r="AK527" s="11"/>
      <c r="AL527" s="11"/>
      <c r="AM527" s="11"/>
      <c r="AN527" s="11"/>
      <c r="AO527" s="11"/>
      <c r="AP527" s="2" t="s">
        <v>70</v>
      </c>
      <c r="AQ527" s="11" t="str">
        <f>IF(I527&lt;&gt;"",DATA!D526,"")</f>
        <v>8479899790</v>
      </c>
    </row>
    <row r="528" spans="1:43" ht="15.75" x14ac:dyDescent="0.25">
      <c r="A528" s="11" t="s">
        <v>57</v>
      </c>
      <c r="B528" s="11" t="s">
        <v>56</v>
      </c>
      <c r="C528" s="22">
        <f t="shared" si="38"/>
        <v>25001620</v>
      </c>
      <c r="D528" s="11" t="str">
        <f t="shared" si="35"/>
        <v>SKIIFM_AT</v>
      </c>
      <c r="E528" s="11" t="str">
        <f>IF(I528&lt;&gt;"",VLOOKUP(F528,OPDRACHTGEVER!$A$2:$B$4,2,FALSE),"")</f>
        <v>SKIIFM_AT</v>
      </c>
      <c r="F528" s="11" t="s">
        <v>58</v>
      </c>
      <c r="I528" s="11" t="str">
        <f>IF(DATA!B527&lt;&gt;"",DATA!B527,"")</f>
        <v>CARU9985689</v>
      </c>
      <c r="J528" s="12">
        <v>0</v>
      </c>
      <c r="K528" s="11" t="s">
        <v>53</v>
      </c>
      <c r="L528" s="11" t="str">
        <f t="shared" si="36"/>
        <v>830300</v>
      </c>
      <c r="M528" s="11" t="str">
        <f>IF(I528&lt;&gt;"",DATA!E527,"")</f>
        <v>SAFE DEPOSIT BOX</v>
      </c>
      <c r="N528" s="12">
        <v>0</v>
      </c>
      <c r="O528" s="11">
        <f>IF(I528&lt;&gt;"",DATA!C527,"")</f>
        <v>1206.7</v>
      </c>
      <c r="P528" s="2">
        <v>294094</v>
      </c>
      <c r="Q528" s="2" t="s">
        <v>1304</v>
      </c>
      <c r="R528" s="2" t="s">
        <v>1316</v>
      </c>
      <c r="S528" s="2">
        <v>207</v>
      </c>
      <c r="T528" s="2">
        <v>1</v>
      </c>
      <c r="U528" s="2" t="s">
        <v>141</v>
      </c>
      <c r="Y528" s="2">
        <v>1700</v>
      </c>
      <c r="Z528" s="11" t="s">
        <v>54</v>
      </c>
      <c r="AA528" s="11" t="str">
        <f t="shared" si="37"/>
        <v>1700 - TBN</v>
      </c>
      <c r="AC528" s="2" t="s">
        <v>145</v>
      </c>
      <c r="AD528" s="11" t="str">
        <f>IF($I528&lt;&gt;"",VLOOKUP($AC528,GEADRESSEERDE!$A$2:$E$4,2,),"")</f>
        <v>LUITHAGEN HAVEN 2 D</v>
      </c>
      <c r="AE528" s="11">
        <f>IF($I528&lt;&gt;"",VLOOKUP($AC528,GEADRESSEERDE!$A$2:$E$4,3,),"")</f>
        <v>2030</v>
      </c>
      <c r="AF528" s="11" t="str">
        <f>IF($I528&lt;&gt;"",VLOOKUP($AC528,GEADRESSEERDE!$A$2:$E$4,4,),"")</f>
        <v>ANTWERPEN</v>
      </c>
      <c r="AG528" s="11" t="str">
        <f>IF($I528&lt;&gt;"",VLOOKUP($AC528,GEADRESSEERDE!$A$2:$E$4,5,),"")</f>
        <v>BE</v>
      </c>
      <c r="AH528" s="11" t="str">
        <f>IF(I528&lt;&gt;"",VLOOKUP(AP528,KvB!$A$2:$B$3,2,FALSE),"")</f>
        <v>BE101000</v>
      </c>
      <c r="AI528" s="11" t="s">
        <v>55</v>
      </c>
      <c r="AJ528" s="11"/>
      <c r="AK528" s="11"/>
      <c r="AL528" s="11"/>
      <c r="AM528" s="11"/>
      <c r="AN528" s="11"/>
      <c r="AO528" s="11"/>
      <c r="AP528" s="2" t="s">
        <v>70</v>
      </c>
      <c r="AQ528" s="11" t="str">
        <f>IF(I528&lt;&gt;"",DATA!D527,"")</f>
        <v>8303009000</v>
      </c>
    </row>
    <row r="529" spans="1:43" ht="15.75" x14ac:dyDescent="0.25">
      <c r="A529" s="11" t="s">
        <v>57</v>
      </c>
      <c r="B529" s="11" t="s">
        <v>56</v>
      </c>
      <c r="C529" s="22">
        <f t="shared" si="38"/>
        <v>25001620</v>
      </c>
      <c r="D529" s="11" t="str">
        <f t="shared" si="35"/>
        <v>SKIIFM_AT</v>
      </c>
      <c r="E529" s="11" t="str">
        <f>IF(I529&lt;&gt;"",VLOOKUP(F529,OPDRACHTGEVER!$A$2:$B$4,2,FALSE),"")</f>
        <v>SKIIFM_AT</v>
      </c>
      <c r="F529" s="11" t="s">
        <v>58</v>
      </c>
      <c r="I529" s="11" t="str">
        <f>IF(DATA!B528&lt;&gt;"",DATA!B528,"")</f>
        <v>CARU9985689</v>
      </c>
      <c r="J529" s="12">
        <v>0</v>
      </c>
      <c r="K529" s="11" t="s">
        <v>53</v>
      </c>
      <c r="L529" s="11" t="str">
        <f t="shared" si="36"/>
        <v>940180</v>
      </c>
      <c r="M529" s="11" t="str">
        <f>IF(I529&lt;&gt;"",DATA!E528,"")</f>
        <v>SHOWER SEATS</v>
      </c>
      <c r="N529" s="12">
        <v>0</v>
      </c>
      <c r="O529" s="11">
        <f>IF(I529&lt;&gt;"",DATA!C528,"")</f>
        <v>47</v>
      </c>
      <c r="P529" s="2">
        <v>294094</v>
      </c>
      <c r="Q529" s="2" t="s">
        <v>1304</v>
      </c>
      <c r="R529" s="2" t="s">
        <v>1316</v>
      </c>
      <c r="S529" s="2">
        <v>207</v>
      </c>
      <c r="T529" s="2">
        <v>1</v>
      </c>
      <c r="U529" s="2" t="s">
        <v>141</v>
      </c>
      <c r="Y529" s="2">
        <v>1700</v>
      </c>
      <c r="Z529" s="11" t="s">
        <v>54</v>
      </c>
      <c r="AA529" s="11" t="str">
        <f t="shared" si="37"/>
        <v>1700 - TBN</v>
      </c>
      <c r="AC529" s="2" t="s">
        <v>145</v>
      </c>
      <c r="AD529" s="11" t="str">
        <f>IF($I529&lt;&gt;"",VLOOKUP($AC529,GEADRESSEERDE!$A$2:$E$4,2,),"")</f>
        <v>LUITHAGEN HAVEN 2 D</v>
      </c>
      <c r="AE529" s="11">
        <f>IF($I529&lt;&gt;"",VLOOKUP($AC529,GEADRESSEERDE!$A$2:$E$4,3,),"")</f>
        <v>2030</v>
      </c>
      <c r="AF529" s="11" t="str">
        <f>IF($I529&lt;&gt;"",VLOOKUP($AC529,GEADRESSEERDE!$A$2:$E$4,4,),"")</f>
        <v>ANTWERPEN</v>
      </c>
      <c r="AG529" s="11" t="str">
        <f>IF($I529&lt;&gt;"",VLOOKUP($AC529,GEADRESSEERDE!$A$2:$E$4,5,),"")</f>
        <v>BE</v>
      </c>
      <c r="AH529" s="11" t="str">
        <f>IF(I529&lt;&gt;"",VLOOKUP(AP529,KvB!$A$2:$B$3,2,FALSE),"")</f>
        <v>BE101000</v>
      </c>
      <c r="AI529" s="11" t="s">
        <v>55</v>
      </c>
      <c r="AJ529" s="11"/>
      <c r="AK529" s="11"/>
      <c r="AL529" s="11"/>
      <c r="AM529" s="11"/>
      <c r="AN529" s="11"/>
      <c r="AO529" s="11"/>
      <c r="AP529" s="2" t="s">
        <v>70</v>
      </c>
      <c r="AQ529" s="11" t="str">
        <f>IF(I529&lt;&gt;"",DATA!D528,"")</f>
        <v>9401800000</v>
      </c>
    </row>
    <row r="530" spans="1:43" ht="15.75" x14ac:dyDescent="0.25">
      <c r="A530" s="11" t="s">
        <v>57</v>
      </c>
      <c r="B530" s="11" t="s">
        <v>56</v>
      </c>
      <c r="C530" s="22">
        <f t="shared" si="38"/>
        <v>25001620</v>
      </c>
      <c r="D530" s="11" t="str">
        <f t="shared" si="35"/>
        <v>SKIIFM_AT</v>
      </c>
      <c r="E530" s="11" t="str">
        <f>IF(I530&lt;&gt;"",VLOOKUP(F530,OPDRACHTGEVER!$A$2:$B$4,2,FALSE),"")</f>
        <v>SKIIFM_AT</v>
      </c>
      <c r="F530" s="11" t="s">
        <v>58</v>
      </c>
      <c r="I530" s="11" t="str">
        <f>IF(DATA!B529&lt;&gt;"",DATA!B529,"")</f>
        <v>CARU9985689</v>
      </c>
      <c r="J530" s="12">
        <v>0</v>
      </c>
      <c r="K530" s="11" t="s">
        <v>53</v>
      </c>
      <c r="L530" s="11" t="str">
        <f t="shared" si="36"/>
        <v>841869</v>
      </c>
      <c r="M530" s="11" t="str">
        <f>IF(I530&lt;&gt;"",DATA!E529,"")</f>
        <v>SNOW MELT MACHINE</v>
      </c>
      <c r="N530" s="12">
        <v>0</v>
      </c>
      <c r="O530" s="11">
        <f>IF(I530&lt;&gt;"",DATA!C529,"")</f>
        <v>2847.2</v>
      </c>
      <c r="P530" s="2">
        <v>294094</v>
      </c>
      <c r="Q530" s="2" t="s">
        <v>1304</v>
      </c>
      <c r="R530" s="2" t="s">
        <v>1316</v>
      </c>
      <c r="S530" s="2">
        <v>207</v>
      </c>
      <c r="T530" s="2">
        <v>1</v>
      </c>
      <c r="U530" s="2" t="s">
        <v>141</v>
      </c>
      <c r="Y530" s="2">
        <v>1700</v>
      </c>
      <c r="Z530" s="11" t="s">
        <v>54</v>
      </c>
      <c r="AA530" s="11" t="str">
        <f t="shared" si="37"/>
        <v>1700 - TBN</v>
      </c>
      <c r="AC530" s="2" t="s">
        <v>145</v>
      </c>
      <c r="AD530" s="11" t="str">
        <f>IF($I530&lt;&gt;"",VLOOKUP($AC530,GEADRESSEERDE!$A$2:$E$4,2,),"")</f>
        <v>LUITHAGEN HAVEN 2 D</v>
      </c>
      <c r="AE530" s="11">
        <f>IF($I530&lt;&gt;"",VLOOKUP($AC530,GEADRESSEERDE!$A$2:$E$4,3,),"")</f>
        <v>2030</v>
      </c>
      <c r="AF530" s="11" t="str">
        <f>IF($I530&lt;&gt;"",VLOOKUP($AC530,GEADRESSEERDE!$A$2:$E$4,4,),"")</f>
        <v>ANTWERPEN</v>
      </c>
      <c r="AG530" s="11" t="str">
        <f>IF($I530&lt;&gt;"",VLOOKUP($AC530,GEADRESSEERDE!$A$2:$E$4,5,),"")</f>
        <v>BE</v>
      </c>
      <c r="AH530" s="11" t="str">
        <f>IF(I530&lt;&gt;"",VLOOKUP(AP530,KvB!$A$2:$B$3,2,FALSE),"")</f>
        <v>BE101000</v>
      </c>
      <c r="AI530" s="11" t="s">
        <v>55</v>
      </c>
      <c r="AJ530" s="11"/>
      <c r="AK530" s="11"/>
      <c r="AL530" s="11"/>
      <c r="AM530" s="11"/>
      <c r="AN530" s="11"/>
      <c r="AO530" s="11"/>
      <c r="AP530" s="2" t="s">
        <v>70</v>
      </c>
      <c r="AQ530" s="11" t="str">
        <f>IF(I530&lt;&gt;"",DATA!D529,"")</f>
        <v>8418690099</v>
      </c>
    </row>
    <row r="531" spans="1:43" ht="15.75" x14ac:dyDescent="0.25">
      <c r="A531" s="11" t="s">
        <v>57</v>
      </c>
      <c r="B531" s="11" t="s">
        <v>56</v>
      </c>
      <c r="C531" s="22">
        <f t="shared" si="38"/>
        <v>25001620</v>
      </c>
      <c r="D531" s="11" t="str">
        <f t="shared" si="35"/>
        <v>SKIIFM_AT</v>
      </c>
      <c r="E531" s="11" t="str">
        <f>IF(I531&lt;&gt;"",VLOOKUP(F531,OPDRACHTGEVER!$A$2:$B$4,2,FALSE),"")</f>
        <v>SKIIFM_AT</v>
      </c>
      <c r="F531" s="11" t="s">
        <v>58</v>
      </c>
      <c r="I531" s="11" t="str">
        <f>IF(DATA!B530&lt;&gt;"",DATA!B530,"")</f>
        <v>CARU9985689</v>
      </c>
      <c r="J531" s="12">
        <v>0</v>
      </c>
      <c r="K531" s="11" t="s">
        <v>53</v>
      </c>
      <c r="L531" s="11" t="str">
        <f t="shared" si="36"/>
        <v>420292</v>
      </c>
      <c r="M531" s="11" t="str">
        <f>IF(I531&lt;&gt;"",DATA!E530,"")</f>
        <v>STORAGE CASE</v>
      </c>
      <c r="N531" s="12">
        <v>0</v>
      </c>
      <c r="O531" s="11">
        <f>IF(I531&lt;&gt;"",DATA!C530,"")</f>
        <v>32.450000000000003</v>
      </c>
      <c r="P531" s="2">
        <v>294094</v>
      </c>
      <c r="Q531" s="2" t="s">
        <v>1304</v>
      </c>
      <c r="R531" s="2" t="s">
        <v>1316</v>
      </c>
      <c r="S531" s="2">
        <v>207</v>
      </c>
      <c r="T531" s="2">
        <v>1</v>
      </c>
      <c r="U531" s="2" t="s">
        <v>141</v>
      </c>
      <c r="Y531" s="2">
        <v>1700</v>
      </c>
      <c r="Z531" s="11" t="s">
        <v>54</v>
      </c>
      <c r="AA531" s="11" t="str">
        <f t="shared" si="37"/>
        <v>1700 - TBN</v>
      </c>
      <c r="AC531" s="2" t="s">
        <v>145</v>
      </c>
      <c r="AD531" s="11" t="str">
        <f>IF($I531&lt;&gt;"",VLOOKUP($AC531,GEADRESSEERDE!$A$2:$E$4,2,),"")</f>
        <v>LUITHAGEN HAVEN 2 D</v>
      </c>
      <c r="AE531" s="11">
        <f>IF($I531&lt;&gt;"",VLOOKUP($AC531,GEADRESSEERDE!$A$2:$E$4,3,),"")</f>
        <v>2030</v>
      </c>
      <c r="AF531" s="11" t="str">
        <f>IF($I531&lt;&gt;"",VLOOKUP($AC531,GEADRESSEERDE!$A$2:$E$4,4,),"")</f>
        <v>ANTWERPEN</v>
      </c>
      <c r="AG531" s="11" t="str">
        <f>IF($I531&lt;&gt;"",VLOOKUP($AC531,GEADRESSEERDE!$A$2:$E$4,5,),"")</f>
        <v>BE</v>
      </c>
      <c r="AH531" s="11" t="str">
        <f>IF(I531&lt;&gt;"",VLOOKUP(AP531,KvB!$A$2:$B$3,2,FALSE),"")</f>
        <v>BE101000</v>
      </c>
      <c r="AI531" s="11" t="s">
        <v>55</v>
      </c>
      <c r="AJ531" s="11"/>
      <c r="AK531" s="11"/>
      <c r="AL531" s="11"/>
      <c r="AM531" s="11"/>
      <c r="AN531" s="11"/>
      <c r="AO531" s="11"/>
      <c r="AP531" s="2" t="s">
        <v>70</v>
      </c>
      <c r="AQ531" s="11" t="str">
        <f>IF(I531&lt;&gt;"",DATA!D530,"")</f>
        <v>4202929890</v>
      </c>
    </row>
    <row r="532" spans="1:43" ht="15.75" x14ac:dyDescent="0.25">
      <c r="A532" s="11" t="s">
        <v>57</v>
      </c>
      <c r="B532" s="11" t="s">
        <v>56</v>
      </c>
      <c r="C532" s="22">
        <f t="shared" si="38"/>
        <v>25001620</v>
      </c>
      <c r="D532" s="11" t="str">
        <f t="shared" si="35"/>
        <v>SKIIFM_AT</v>
      </c>
      <c r="E532" s="11" t="str">
        <f>IF(I532&lt;&gt;"",VLOOKUP(F532,OPDRACHTGEVER!$A$2:$B$4,2,FALSE),"")</f>
        <v>SKIIFM_AT</v>
      </c>
      <c r="F532" s="11" t="s">
        <v>58</v>
      </c>
      <c r="I532" s="11" t="str">
        <f>IF(DATA!B531&lt;&gt;"",DATA!B531,"")</f>
        <v>CARU9985689</v>
      </c>
      <c r="J532" s="12">
        <v>0</v>
      </c>
      <c r="K532" s="11" t="s">
        <v>53</v>
      </c>
      <c r="L532" s="11" t="str">
        <f t="shared" si="36"/>
        <v>830220</v>
      </c>
      <c r="M532" s="11" t="str">
        <f>IF(I532&lt;&gt;"",DATA!E531,"")</f>
        <v>SWIVEL CASTERS WHEEL</v>
      </c>
      <c r="N532" s="12">
        <v>0</v>
      </c>
      <c r="O532" s="11">
        <f>IF(I532&lt;&gt;"",DATA!C531,"")</f>
        <v>33.200000000000003</v>
      </c>
      <c r="P532" s="2">
        <v>294094</v>
      </c>
      <c r="Q532" s="2" t="s">
        <v>1304</v>
      </c>
      <c r="R532" s="2" t="s">
        <v>1316</v>
      </c>
      <c r="S532" s="2">
        <v>207</v>
      </c>
      <c r="T532" s="2">
        <v>1</v>
      </c>
      <c r="U532" s="2" t="s">
        <v>141</v>
      </c>
      <c r="Y532" s="2">
        <v>1700</v>
      </c>
      <c r="Z532" s="11" t="s">
        <v>54</v>
      </c>
      <c r="AA532" s="11" t="str">
        <f t="shared" si="37"/>
        <v>1700 - TBN</v>
      </c>
      <c r="AC532" s="2" t="s">
        <v>145</v>
      </c>
      <c r="AD532" s="11" t="str">
        <f>IF($I532&lt;&gt;"",VLOOKUP($AC532,GEADRESSEERDE!$A$2:$E$4,2,),"")</f>
        <v>LUITHAGEN HAVEN 2 D</v>
      </c>
      <c r="AE532" s="11">
        <f>IF($I532&lt;&gt;"",VLOOKUP($AC532,GEADRESSEERDE!$A$2:$E$4,3,),"")</f>
        <v>2030</v>
      </c>
      <c r="AF532" s="11" t="str">
        <f>IF($I532&lt;&gt;"",VLOOKUP($AC532,GEADRESSEERDE!$A$2:$E$4,4,),"")</f>
        <v>ANTWERPEN</v>
      </c>
      <c r="AG532" s="11" t="str">
        <f>IF($I532&lt;&gt;"",VLOOKUP($AC532,GEADRESSEERDE!$A$2:$E$4,5,),"")</f>
        <v>BE</v>
      </c>
      <c r="AH532" s="11" t="str">
        <f>IF(I532&lt;&gt;"",VLOOKUP(AP532,KvB!$A$2:$B$3,2,FALSE),"")</f>
        <v>BE101000</v>
      </c>
      <c r="AI532" s="11" t="s">
        <v>55</v>
      </c>
      <c r="AJ532" s="11"/>
      <c r="AK532" s="11"/>
      <c r="AL532" s="11"/>
      <c r="AM532" s="11"/>
      <c r="AN532" s="11"/>
      <c r="AO532" s="11"/>
      <c r="AP532" s="2" t="s">
        <v>70</v>
      </c>
      <c r="AQ532" s="11" t="str">
        <f>IF(I532&lt;&gt;"",DATA!D531,"")</f>
        <v>8302200090</v>
      </c>
    </row>
    <row r="533" spans="1:43" ht="15.75" x14ac:dyDescent="0.25">
      <c r="A533" s="11" t="s">
        <v>57</v>
      </c>
      <c r="B533" s="11" t="s">
        <v>56</v>
      </c>
      <c r="C533" s="22">
        <f t="shared" si="38"/>
        <v>25001620</v>
      </c>
      <c r="D533" s="11" t="str">
        <f t="shared" si="35"/>
        <v>SKIIFM_AT</v>
      </c>
      <c r="E533" s="11" t="str">
        <f>IF(I533&lt;&gt;"",VLOOKUP(F533,OPDRACHTGEVER!$A$2:$B$4,2,FALSE),"")</f>
        <v>SKIIFM_AT</v>
      </c>
      <c r="F533" s="11" t="s">
        <v>58</v>
      </c>
      <c r="I533" s="11" t="str">
        <f>IF(DATA!B532&lt;&gt;"",DATA!B532,"")</f>
        <v>CARU9985689</v>
      </c>
      <c r="J533" s="12">
        <v>0</v>
      </c>
      <c r="K533" s="11" t="s">
        <v>53</v>
      </c>
      <c r="L533" s="11" t="str">
        <f t="shared" si="36"/>
        <v>741920</v>
      </c>
      <c r="M533" s="11" t="str">
        <f>IF(I533&lt;&gt;"",DATA!E532,"")</f>
        <v>TELESCOPIC ALUMINUM LADDER</v>
      </c>
      <c r="N533" s="12">
        <v>0</v>
      </c>
      <c r="O533" s="11">
        <f>IF(I533&lt;&gt;"",DATA!C532,"")</f>
        <v>61.95</v>
      </c>
      <c r="P533" s="2">
        <v>294094</v>
      </c>
      <c r="Q533" s="2" t="s">
        <v>1304</v>
      </c>
      <c r="R533" s="2" t="s">
        <v>1316</v>
      </c>
      <c r="S533" s="2">
        <v>207</v>
      </c>
      <c r="T533" s="2">
        <v>1</v>
      </c>
      <c r="U533" s="2" t="s">
        <v>141</v>
      </c>
      <c r="Y533" s="2">
        <v>1700</v>
      </c>
      <c r="Z533" s="11" t="s">
        <v>54</v>
      </c>
      <c r="AA533" s="11" t="str">
        <f t="shared" si="37"/>
        <v>1700 - TBN</v>
      </c>
      <c r="AC533" s="2" t="s">
        <v>145</v>
      </c>
      <c r="AD533" s="11" t="str">
        <f>IF($I533&lt;&gt;"",VLOOKUP($AC533,GEADRESSEERDE!$A$2:$E$4,2,),"")</f>
        <v>LUITHAGEN HAVEN 2 D</v>
      </c>
      <c r="AE533" s="11">
        <f>IF($I533&lt;&gt;"",VLOOKUP($AC533,GEADRESSEERDE!$A$2:$E$4,3,),"")</f>
        <v>2030</v>
      </c>
      <c r="AF533" s="11" t="str">
        <f>IF($I533&lt;&gt;"",VLOOKUP($AC533,GEADRESSEERDE!$A$2:$E$4,4,),"")</f>
        <v>ANTWERPEN</v>
      </c>
      <c r="AG533" s="11" t="str">
        <f>IF($I533&lt;&gt;"",VLOOKUP($AC533,GEADRESSEERDE!$A$2:$E$4,5,),"")</f>
        <v>BE</v>
      </c>
      <c r="AH533" s="11" t="str">
        <f>IF(I533&lt;&gt;"",VLOOKUP(AP533,KvB!$A$2:$B$3,2,FALSE),"")</f>
        <v>BE101000</v>
      </c>
      <c r="AI533" s="11" t="s">
        <v>55</v>
      </c>
      <c r="AJ533" s="11"/>
      <c r="AK533" s="11"/>
      <c r="AL533" s="11"/>
      <c r="AM533" s="11"/>
      <c r="AN533" s="11"/>
      <c r="AO533" s="11"/>
      <c r="AP533" s="2" t="s">
        <v>70</v>
      </c>
      <c r="AQ533" s="11" t="str">
        <f>IF(I533&lt;&gt;"",DATA!D532,"")</f>
        <v>7419200090</v>
      </c>
    </row>
    <row r="534" spans="1:43" ht="15.75" x14ac:dyDescent="0.25">
      <c r="A534" s="11" t="s">
        <v>57</v>
      </c>
      <c r="B534" s="11" t="s">
        <v>56</v>
      </c>
      <c r="C534" s="22">
        <f t="shared" si="38"/>
        <v>25001620</v>
      </c>
      <c r="D534" s="11" t="str">
        <f t="shared" si="35"/>
        <v>SKIIFM_AT</v>
      </c>
      <c r="E534" s="11" t="str">
        <f>IF(I534&lt;&gt;"",VLOOKUP(F534,OPDRACHTGEVER!$A$2:$B$4,2,FALSE),"")</f>
        <v>SKIIFM_AT</v>
      </c>
      <c r="F534" s="11" t="s">
        <v>58</v>
      </c>
      <c r="I534" s="11" t="str">
        <f>IF(DATA!B533&lt;&gt;"",DATA!B533,"")</f>
        <v>CARU9985689</v>
      </c>
      <c r="J534" s="12">
        <v>0</v>
      </c>
      <c r="K534" s="11" t="s">
        <v>53</v>
      </c>
      <c r="L534" s="11" t="str">
        <f t="shared" si="36"/>
        <v>741920</v>
      </c>
      <c r="M534" s="11" t="str">
        <f>IF(I534&lt;&gt;"",DATA!E533,"")</f>
        <v>TELESCOPIC LADDER</v>
      </c>
      <c r="N534" s="12">
        <v>0</v>
      </c>
      <c r="O534" s="11">
        <f>IF(I534&lt;&gt;"",DATA!C533,"")</f>
        <v>740.45</v>
      </c>
      <c r="P534" s="2">
        <v>294094</v>
      </c>
      <c r="Q534" s="2" t="s">
        <v>1304</v>
      </c>
      <c r="R534" s="2" t="s">
        <v>1316</v>
      </c>
      <c r="S534" s="2">
        <v>207</v>
      </c>
      <c r="T534" s="2">
        <v>1</v>
      </c>
      <c r="U534" s="2" t="s">
        <v>141</v>
      </c>
      <c r="Y534" s="2">
        <v>1700</v>
      </c>
      <c r="Z534" s="11" t="s">
        <v>54</v>
      </c>
      <c r="AA534" s="11" t="str">
        <f t="shared" si="37"/>
        <v>1700 - TBN</v>
      </c>
      <c r="AC534" s="2" t="s">
        <v>145</v>
      </c>
      <c r="AD534" s="11" t="str">
        <f>IF($I534&lt;&gt;"",VLOOKUP($AC534,GEADRESSEERDE!$A$2:$E$4,2,),"")</f>
        <v>LUITHAGEN HAVEN 2 D</v>
      </c>
      <c r="AE534" s="11">
        <f>IF($I534&lt;&gt;"",VLOOKUP($AC534,GEADRESSEERDE!$A$2:$E$4,3,),"")</f>
        <v>2030</v>
      </c>
      <c r="AF534" s="11" t="str">
        <f>IF($I534&lt;&gt;"",VLOOKUP($AC534,GEADRESSEERDE!$A$2:$E$4,4,),"")</f>
        <v>ANTWERPEN</v>
      </c>
      <c r="AG534" s="11" t="str">
        <f>IF($I534&lt;&gt;"",VLOOKUP($AC534,GEADRESSEERDE!$A$2:$E$4,5,),"")</f>
        <v>BE</v>
      </c>
      <c r="AH534" s="11" t="str">
        <f>IF(I534&lt;&gt;"",VLOOKUP(AP534,KvB!$A$2:$B$3,2,FALSE),"")</f>
        <v>BE101000</v>
      </c>
      <c r="AI534" s="11" t="s">
        <v>55</v>
      </c>
      <c r="AJ534" s="11"/>
      <c r="AK534" s="11"/>
      <c r="AL534" s="11"/>
      <c r="AM534" s="11"/>
      <c r="AN534" s="11"/>
      <c r="AO534" s="11"/>
      <c r="AP534" s="2" t="s">
        <v>70</v>
      </c>
      <c r="AQ534" s="11" t="str">
        <f>IF(I534&lt;&gt;"",DATA!D533,"")</f>
        <v>7419200090</v>
      </c>
    </row>
    <row r="535" spans="1:43" ht="15.75" x14ac:dyDescent="0.25">
      <c r="A535" s="11" t="s">
        <v>57</v>
      </c>
      <c r="B535" s="11" t="s">
        <v>56</v>
      </c>
      <c r="C535" s="22">
        <f t="shared" si="38"/>
        <v>25001620</v>
      </c>
      <c r="D535" s="11" t="str">
        <f t="shared" si="35"/>
        <v>SKIIFM_AT</v>
      </c>
      <c r="E535" s="11" t="str">
        <f>IF(I535&lt;&gt;"",VLOOKUP(F535,OPDRACHTGEVER!$A$2:$B$4,2,FALSE),"")</f>
        <v>SKIIFM_AT</v>
      </c>
      <c r="F535" s="11" t="s">
        <v>58</v>
      </c>
      <c r="I535" s="11" t="str">
        <f>IF(DATA!B534&lt;&gt;"",DATA!B534,"")</f>
        <v>CARU9985689</v>
      </c>
      <c r="J535" s="12">
        <v>0</v>
      </c>
      <c r="K535" s="11" t="s">
        <v>53</v>
      </c>
      <c r="L535" s="11" t="str">
        <f t="shared" si="36"/>
        <v>902620</v>
      </c>
      <c r="M535" s="11" t="str">
        <f>IF(I535&lt;&gt;"",DATA!E534,"")</f>
        <v>TEST PRESSURE GAUGE SET</v>
      </c>
      <c r="N535" s="12">
        <v>0</v>
      </c>
      <c r="O535" s="11">
        <f>IF(I535&lt;&gt;"",DATA!C534,"")</f>
        <v>51.7</v>
      </c>
      <c r="P535" s="2">
        <v>294094</v>
      </c>
      <c r="Q535" s="2" t="s">
        <v>1304</v>
      </c>
      <c r="R535" s="2" t="s">
        <v>1316</v>
      </c>
      <c r="S535" s="2">
        <v>207</v>
      </c>
      <c r="T535" s="2">
        <v>1</v>
      </c>
      <c r="U535" s="2" t="s">
        <v>141</v>
      </c>
      <c r="Y535" s="2">
        <v>1700</v>
      </c>
      <c r="Z535" s="11" t="s">
        <v>54</v>
      </c>
      <c r="AA535" s="11" t="str">
        <f t="shared" si="37"/>
        <v>1700 - TBN</v>
      </c>
      <c r="AC535" s="2" t="s">
        <v>145</v>
      </c>
      <c r="AD535" s="11" t="str">
        <f>IF($I535&lt;&gt;"",VLOOKUP($AC535,GEADRESSEERDE!$A$2:$E$4,2,),"")</f>
        <v>LUITHAGEN HAVEN 2 D</v>
      </c>
      <c r="AE535" s="11">
        <f>IF($I535&lt;&gt;"",VLOOKUP($AC535,GEADRESSEERDE!$A$2:$E$4,3,),"")</f>
        <v>2030</v>
      </c>
      <c r="AF535" s="11" t="str">
        <f>IF($I535&lt;&gt;"",VLOOKUP($AC535,GEADRESSEERDE!$A$2:$E$4,4,),"")</f>
        <v>ANTWERPEN</v>
      </c>
      <c r="AG535" s="11" t="str">
        <f>IF($I535&lt;&gt;"",VLOOKUP($AC535,GEADRESSEERDE!$A$2:$E$4,5,),"")</f>
        <v>BE</v>
      </c>
      <c r="AH535" s="11" t="str">
        <f>IF(I535&lt;&gt;"",VLOOKUP(AP535,KvB!$A$2:$B$3,2,FALSE),"")</f>
        <v>BE101000</v>
      </c>
      <c r="AI535" s="11" t="s">
        <v>55</v>
      </c>
      <c r="AJ535" s="11"/>
      <c r="AK535" s="11"/>
      <c r="AL535" s="11"/>
      <c r="AM535" s="11"/>
      <c r="AN535" s="11"/>
      <c r="AO535" s="11"/>
      <c r="AP535" s="2" t="s">
        <v>70</v>
      </c>
      <c r="AQ535" s="11" t="str">
        <f>IF(I535&lt;&gt;"",DATA!D534,"")</f>
        <v>9026208000</v>
      </c>
    </row>
    <row r="536" spans="1:43" ht="15.75" x14ac:dyDescent="0.25">
      <c r="A536" s="11" t="s">
        <v>57</v>
      </c>
      <c r="B536" s="11" t="s">
        <v>56</v>
      </c>
      <c r="C536" s="22">
        <f t="shared" si="38"/>
        <v>25001620</v>
      </c>
      <c r="D536" s="11" t="str">
        <f t="shared" si="35"/>
        <v>SKIIFM_AT</v>
      </c>
      <c r="E536" s="11" t="str">
        <f>IF(I536&lt;&gt;"",VLOOKUP(F536,OPDRACHTGEVER!$A$2:$B$4,2,FALSE),"")</f>
        <v>SKIIFM_AT</v>
      </c>
      <c r="F536" s="11" t="s">
        <v>58</v>
      </c>
      <c r="I536" s="11" t="str">
        <f>IF(DATA!B535&lt;&gt;"",DATA!B535,"")</f>
        <v>CARU9985689</v>
      </c>
      <c r="J536" s="12">
        <v>0</v>
      </c>
      <c r="K536" s="11" t="s">
        <v>53</v>
      </c>
      <c r="L536" s="11" t="str">
        <f t="shared" si="36"/>
        <v>847989</v>
      </c>
      <c r="M536" s="11" t="str">
        <f>IF(I536&lt;&gt;"",DATA!E535,"")</f>
        <v>THREADING DEVICE</v>
      </c>
      <c r="N536" s="12">
        <v>0</v>
      </c>
      <c r="O536" s="11">
        <f>IF(I536&lt;&gt;"",DATA!C535,"")</f>
        <v>27.6</v>
      </c>
      <c r="P536" s="2">
        <v>294094</v>
      </c>
      <c r="Q536" s="2" t="s">
        <v>1304</v>
      </c>
      <c r="R536" s="2" t="s">
        <v>1316</v>
      </c>
      <c r="S536" s="2">
        <v>207</v>
      </c>
      <c r="T536" s="2">
        <v>1</v>
      </c>
      <c r="U536" s="2" t="s">
        <v>141</v>
      </c>
      <c r="Y536" s="2">
        <v>1700</v>
      </c>
      <c r="Z536" s="11" t="s">
        <v>54</v>
      </c>
      <c r="AA536" s="11" t="str">
        <f t="shared" si="37"/>
        <v>1700 - TBN</v>
      </c>
      <c r="AC536" s="2" t="s">
        <v>145</v>
      </c>
      <c r="AD536" s="11" t="str">
        <f>IF($I536&lt;&gt;"",VLOOKUP($AC536,GEADRESSEERDE!$A$2:$E$4,2,),"")</f>
        <v>LUITHAGEN HAVEN 2 D</v>
      </c>
      <c r="AE536" s="11">
        <f>IF($I536&lt;&gt;"",VLOOKUP($AC536,GEADRESSEERDE!$A$2:$E$4,3,),"")</f>
        <v>2030</v>
      </c>
      <c r="AF536" s="11" t="str">
        <f>IF($I536&lt;&gt;"",VLOOKUP($AC536,GEADRESSEERDE!$A$2:$E$4,4,),"")</f>
        <v>ANTWERPEN</v>
      </c>
      <c r="AG536" s="11" t="str">
        <f>IF($I536&lt;&gt;"",VLOOKUP($AC536,GEADRESSEERDE!$A$2:$E$4,5,),"")</f>
        <v>BE</v>
      </c>
      <c r="AH536" s="11" t="str">
        <f>IF(I536&lt;&gt;"",VLOOKUP(AP536,KvB!$A$2:$B$3,2,FALSE),"")</f>
        <v>BE101000</v>
      </c>
      <c r="AI536" s="11" t="s">
        <v>55</v>
      </c>
      <c r="AJ536" s="11"/>
      <c r="AK536" s="11"/>
      <c r="AL536" s="11"/>
      <c r="AM536" s="11"/>
      <c r="AN536" s="11"/>
      <c r="AO536" s="11"/>
      <c r="AP536" s="2" t="s">
        <v>70</v>
      </c>
      <c r="AQ536" s="11" t="str">
        <f>IF(I536&lt;&gt;"",DATA!D535,"")</f>
        <v>8479899790</v>
      </c>
    </row>
    <row r="537" spans="1:43" ht="15.75" x14ac:dyDescent="0.25">
      <c r="A537" s="11" t="s">
        <v>57</v>
      </c>
      <c r="B537" s="11" t="s">
        <v>56</v>
      </c>
      <c r="C537" s="22">
        <f t="shared" si="38"/>
        <v>25001620</v>
      </c>
      <c r="D537" s="11" t="str">
        <f t="shared" si="35"/>
        <v>SKIIFM_AT</v>
      </c>
      <c r="E537" s="11" t="str">
        <f>IF(I537&lt;&gt;"",VLOOKUP(F537,OPDRACHTGEVER!$A$2:$B$4,2,FALSE),"")</f>
        <v>SKIIFM_AT</v>
      </c>
      <c r="F537" s="11" t="s">
        <v>58</v>
      </c>
      <c r="I537" s="11" t="str">
        <f>IF(DATA!B536&lt;&gt;"",DATA!B536,"")</f>
        <v>CARU9985689</v>
      </c>
      <c r="J537" s="12">
        <v>0</v>
      </c>
      <c r="K537" s="11" t="s">
        <v>53</v>
      </c>
      <c r="L537" s="11" t="str">
        <f t="shared" si="36"/>
        <v>820559</v>
      </c>
      <c r="M537" s="11" t="str">
        <f>IF(I537&lt;&gt;"",DATA!E536,"")</f>
        <v>TIGHTENER</v>
      </c>
      <c r="N537" s="12">
        <v>0</v>
      </c>
      <c r="O537" s="11">
        <f>IF(I537&lt;&gt;"",DATA!C536,"")</f>
        <v>37</v>
      </c>
      <c r="P537" s="2">
        <v>294094</v>
      </c>
      <c r="Q537" s="2" t="s">
        <v>1304</v>
      </c>
      <c r="R537" s="2" t="s">
        <v>1316</v>
      </c>
      <c r="S537" s="2">
        <v>207</v>
      </c>
      <c r="T537" s="2">
        <v>1</v>
      </c>
      <c r="U537" s="2" t="s">
        <v>141</v>
      </c>
      <c r="Y537" s="2">
        <v>1700</v>
      </c>
      <c r="Z537" s="11" t="s">
        <v>54</v>
      </c>
      <c r="AA537" s="11" t="str">
        <f t="shared" si="37"/>
        <v>1700 - TBN</v>
      </c>
      <c r="AC537" s="2" t="s">
        <v>145</v>
      </c>
      <c r="AD537" s="11" t="str">
        <f>IF($I537&lt;&gt;"",VLOOKUP($AC537,GEADRESSEERDE!$A$2:$E$4,2,),"")</f>
        <v>LUITHAGEN HAVEN 2 D</v>
      </c>
      <c r="AE537" s="11">
        <f>IF($I537&lt;&gt;"",VLOOKUP($AC537,GEADRESSEERDE!$A$2:$E$4,3,),"")</f>
        <v>2030</v>
      </c>
      <c r="AF537" s="11" t="str">
        <f>IF($I537&lt;&gt;"",VLOOKUP($AC537,GEADRESSEERDE!$A$2:$E$4,4,),"")</f>
        <v>ANTWERPEN</v>
      </c>
      <c r="AG537" s="11" t="str">
        <f>IF($I537&lt;&gt;"",VLOOKUP($AC537,GEADRESSEERDE!$A$2:$E$4,5,),"")</f>
        <v>BE</v>
      </c>
      <c r="AH537" s="11" t="str">
        <f>IF(I537&lt;&gt;"",VLOOKUP(AP537,KvB!$A$2:$B$3,2,FALSE),"")</f>
        <v>BE101000</v>
      </c>
      <c r="AI537" s="11" t="s">
        <v>55</v>
      </c>
      <c r="AJ537" s="11"/>
      <c r="AK537" s="11"/>
      <c r="AL537" s="11"/>
      <c r="AM537" s="11"/>
      <c r="AN537" s="11"/>
      <c r="AO537" s="11"/>
      <c r="AP537" s="2" t="s">
        <v>70</v>
      </c>
      <c r="AQ537" s="11" t="str">
        <f>IF(I537&lt;&gt;"",DATA!D536,"")</f>
        <v>8205598000</v>
      </c>
    </row>
    <row r="538" spans="1:43" ht="15.75" x14ac:dyDescent="0.25">
      <c r="A538" s="11" t="s">
        <v>57</v>
      </c>
      <c r="B538" s="11" t="s">
        <v>56</v>
      </c>
      <c r="C538" s="22">
        <f t="shared" si="38"/>
        <v>25001620</v>
      </c>
      <c r="D538" s="11" t="str">
        <f t="shared" si="35"/>
        <v>SKIIFM_AT</v>
      </c>
      <c r="E538" s="11" t="str">
        <f>IF(I538&lt;&gt;"",VLOOKUP(F538,OPDRACHTGEVER!$A$2:$B$4,2,FALSE),"")</f>
        <v>SKIIFM_AT</v>
      </c>
      <c r="F538" s="11" t="s">
        <v>58</v>
      </c>
      <c r="I538" s="11" t="str">
        <f>IF(DATA!B537&lt;&gt;"",DATA!B537,"")</f>
        <v>CARU9985689</v>
      </c>
      <c r="J538" s="12">
        <v>0</v>
      </c>
      <c r="K538" s="11" t="s">
        <v>53</v>
      </c>
      <c r="L538" s="11" t="str">
        <f t="shared" si="36"/>
        <v>820559</v>
      </c>
      <c r="M538" s="11" t="str">
        <f>IF(I538&lt;&gt;"",DATA!E537,"")</f>
        <v>TILES CUTTER</v>
      </c>
      <c r="N538" s="12">
        <v>0</v>
      </c>
      <c r="O538" s="11">
        <f>IF(I538&lt;&gt;"",DATA!C537,"")</f>
        <v>434.4</v>
      </c>
      <c r="P538" s="2">
        <v>294094</v>
      </c>
      <c r="Q538" s="2" t="s">
        <v>1304</v>
      </c>
      <c r="R538" s="2" t="s">
        <v>1316</v>
      </c>
      <c r="S538" s="2">
        <v>207</v>
      </c>
      <c r="T538" s="2">
        <v>1</v>
      </c>
      <c r="U538" s="2" t="s">
        <v>141</v>
      </c>
      <c r="Y538" s="2">
        <v>1700</v>
      </c>
      <c r="Z538" s="11" t="s">
        <v>54</v>
      </c>
      <c r="AA538" s="11" t="str">
        <f t="shared" si="37"/>
        <v>1700 - TBN</v>
      </c>
      <c r="AC538" s="2" t="s">
        <v>145</v>
      </c>
      <c r="AD538" s="11" t="str">
        <f>IF($I538&lt;&gt;"",VLOOKUP($AC538,GEADRESSEERDE!$A$2:$E$4,2,),"")</f>
        <v>LUITHAGEN HAVEN 2 D</v>
      </c>
      <c r="AE538" s="11">
        <f>IF($I538&lt;&gt;"",VLOOKUP($AC538,GEADRESSEERDE!$A$2:$E$4,3,),"")</f>
        <v>2030</v>
      </c>
      <c r="AF538" s="11" t="str">
        <f>IF($I538&lt;&gt;"",VLOOKUP($AC538,GEADRESSEERDE!$A$2:$E$4,4,),"")</f>
        <v>ANTWERPEN</v>
      </c>
      <c r="AG538" s="11" t="str">
        <f>IF($I538&lt;&gt;"",VLOOKUP($AC538,GEADRESSEERDE!$A$2:$E$4,5,),"")</f>
        <v>BE</v>
      </c>
      <c r="AH538" s="11" t="str">
        <f>IF(I538&lt;&gt;"",VLOOKUP(AP538,KvB!$A$2:$B$3,2,FALSE),"")</f>
        <v>BE101000</v>
      </c>
      <c r="AI538" s="11" t="s">
        <v>55</v>
      </c>
      <c r="AJ538" s="11"/>
      <c r="AK538" s="11"/>
      <c r="AL538" s="11"/>
      <c r="AM538" s="11"/>
      <c r="AN538" s="11"/>
      <c r="AO538" s="11"/>
      <c r="AP538" s="2" t="s">
        <v>70</v>
      </c>
      <c r="AQ538" s="11" t="str">
        <f>IF(I538&lt;&gt;"",DATA!D537,"")</f>
        <v>8205598000</v>
      </c>
    </row>
    <row r="539" spans="1:43" ht="15.75" x14ac:dyDescent="0.25">
      <c r="A539" s="11" t="s">
        <v>57</v>
      </c>
      <c r="B539" s="11" t="s">
        <v>56</v>
      </c>
      <c r="C539" s="22">
        <f t="shared" si="38"/>
        <v>25001620</v>
      </c>
      <c r="D539" s="11" t="str">
        <f t="shared" si="35"/>
        <v>SKIIFM_AT</v>
      </c>
      <c r="E539" s="11" t="str">
        <f>IF(I539&lt;&gt;"",VLOOKUP(F539,OPDRACHTGEVER!$A$2:$B$4,2,FALSE),"")</f>
        <v>SKIIFM_AT</v>
      </c>
      <c r="F539" s="11" t="s">
        <v>58</v>
      </c>
      <c r="I539" s="11" t="str">
        <f>IF(DATA!B538&lt;&gt;"",DATA!B538,"")</f>
        <v>CARU9985689</v>
      </c>
      <c r="J539" s="12">
        <v>0</v>
      </c>
      <c r="K539" s="11" t="s">
        <v>53</v>
      </c>
      <c r="L539" s="11" t="str">
        <f t="shared" si="36"/>
        <v>841382</v>
      </c>
      <c r="M539" s="11" t="str">
        <f>IF(I539&lt;&gt;"",DATA!E538,"")</f>
        <v>TRANSFER PUMP</v>
      </c>
      <c r="N539" s="12">
        <v>0</v>
      </c>
      <c r="O539" s="11">
        <f>IF(I539&lt;&gt;"",DATA!C538,"")</f>
        <v>8.1</v>
      </c>
      <c r="P539" s="2">
        <v>294094</v>
      </c>
      <c r="Q539" s="2" t="s">
        <v>1304</v>
      </c>
      <c r="R539" s="2" t="s">
        <v>1316</v>
      </c>
      <c r="S539" s="2">
        <v>207</v>
      </c>
      <c r="T539" s="2">
        <v>1</v>
      </c>
      <c r="U539" s="2" t="s">
        <v>141</v>
      </c>
      <c r="Y539" s="2">
        <v>1700</v>
      </c>
      <c r="Z539" s="11" t="s">
        <v>54</v>
      </c>
      <c r="AA539" s="11" t="str">
        <f t="shared" si="37"/>
        <v>1700 - TBN</v>
      </c>
      <c r="AC539" s="2" t="s">
        <v>145</v>
      </c>
      <c r="AD539" s="11" t="str">
        <f>IF($I539&lt;&gt;"",VLOOKUP($AC539,GEADRESSEERDE!$A$2:$E$4,2,),"")</f>
        <v>LUITHAGEN HAVEN 2 D</v>
      </c>
      <c r="AE539" s="11">
        <f>IF($I539&lt;&gt;"",VLOOKUP($AC539,GEADRESSEERDE!$A$2:$E$4,3,),"")</f>
        <v>2030</v>
      </c>
      <c r="AF539" s="11" t="str">
        <f>IF($I539&lt;&gt;"",VLOOKUP($AC539,GEADRESSEERDE!$A$2:$E$4,4,),"")</f>
        <v>ANTWERPEN</v>
      </c>
      <c r="AG539" s="11" t="str">
        <f>IF($I539&lt;&gt;"",VLOOKUP($AC539,GEADRESSEERDE!$A$2:$E$4,5,),"")</f>
        <v>BE</v>
      </c>
      <c r="AH539" s="11" t="str">
        <f>IF(I539&lt;&gt;"",VLOOKUP(AP539,KvB!$A$2:$B$3,2,FALSE),"")</f>
        <v>BE101000</v>
      </c>
      <c r="AI539" s="11" t="s">
        <v>55</v>
      </c>
      <c r="AJ539" s="11"/>
      <c r="AK539" s="11"/>
      <c r="AL539" s="11"/>
      <c r="AM539" s="11"/>
      <c r="AN539" s="11"/>
      <c r="AO539" s="11"/>
      <c r="AP539" s="2" t="s">
        <v>70</v>
      </c>
      <c r="AQ539" s="11" t="str">
        <f>IF(I539&lt;&gt;"",DATA!D538,"")</f>
        <v>8413820000</v>
      </c>
    </row>
    <row r="540" spans="1:43" ht="15.75" x14ac:dyDescent="0.25">
      <c r="A540" s="11" t="s">
        <v>57</v>
      </c>
      <c r="B540" s="11" t="s">
        <v>56</v>
      </c>
      <c r="C540" s="22">
        <f t="shared" si="38"/>
        <v>25001620</v>
      </c>
      <c r="D540" s="11" t="str">
        <f t="shared" si="35"/>
        <v>SKIIFM_AT</v>
      </c>
      <c r="E540" s="11" t="str">
        <f>IF(I540&lt;&gt;"",VLOOKUP(F540,OPDRACHTGEVER!$A$2:$B$4,2,FALSE),"")</f>
        <v>SKIIFM_AT</v>
      </c>
      <c r="F540" s="11" t="s">
        <v>58</v>
      </c>
      <c r="I540" s="11" t="str">
        <f>IF(DATA!B539&lt;&gt;"",DATA!B539,"")</f>
        <v>CARU9985689</v>
      </c>
      <c r="J540" s="12">
        <v>0</v>
      </c>
      <c r="K540" s="11" t="s">
        <v>53</v>
      </c>
      <c r="L540" s="11" t="str">
        <f t="shared" si="36"/>
        <v>871680</v>
      </c>
      <c r="M540" s="11" t="str">
        <f>IF(I540&lt;&gt;"",DATA!E539,"")</f>
        <v>TROLLEY STAIR CLIMBING CART</v>
      </c>
      <c r="N540" s="12">
        <v>0</v>
      </c>
      <c r="O540" s="11">
        <f>IF(I540&lt;&gt;"",DATA!C539,"")</f>
        <v>159.5</v>
      </c>
      <c r="P540" s="2">
        <v>294094</v>
      </c>
      <c r="Q540" s="2" t="s">
        <v>1304</v>
      </c>
      <c r="R540" s="2" t="s">
        <v>1316</v>
      </c>
      <c r="S540" s="2">
        <v>207</v>
      </c>
      <c r="T540" s="2">
        <v>1</v>
      </c>
      <c r="U540" s="2" t="s">
        <v>141</v>
      </c>
      <c r="Y540" s="2">
        <v>1700</v>
      </c>
      <c r="Z540" s="11" t="s">
        <v>54</v>
      </c>
      <c r="AA540" s="11" t="str">
        <f t="shared" si="37"/>
        <v>1700 - TBN</v>
      </c>
      <c r="AC540" s="2" t="s">
        <v>145</v>
      </c>
      <c r="AD540" s="11" t="str">
        <f>IF($I540&lt;&gt;"",VLOOKUP($AC540,GEADRESSEERDE!$A$2:$E$4,2,),"")</f>
        <v>LUITHAGEN HAVEN 2 D</v>
      </c>
      <c r="AE540" s="11">
        <f>IF($I540&lt;&gt;"",VLOOKUP($AC540,GEADRESSEERDE!$A$2:$E$4,3,),"")</f>
        <v>2030</v>
      </c>
      <c r="AF540" s="11" t="str">
        <f>IF($I540&lt;&gt;"",VLOOKUP($AC540,GEADRESSEERDE!$A$2:$E$4,4,),"")</f>
        <v>ANTWERPEN</v>
      </c>
      <c r="AG540" s="11" t="str">
        <f>IF($I540&lt;&gt;"",VLOOKUP($AC540,GEADRESSEERDE!$A$2:$E$4,5,),"")</f>
        <v>BE</v>
      </c>
      <c r="AH540" s="11" t="str">
        <f>IF(I540&lt;&gt;"",VLOOKUP(AP540,KvB!$A$2:$B$3,2,FALSE),"")</f>
        <v>BE101000</v>
      </c>
      <c r="AI540" s="11" t="s">
        <v>55</v>
      </c>
      <c r="AJ540" s="11"/>
      <c r="AK540" s="11"/>
      <c r="AL540" s="11"/>
      <c r="AM540" s="11"/>
      <c r="AN540" s="11"/>
      <c r="AO540" s="11"/>
      <c r="AP540" s="2" t="s">
        <v>70</v>
      </c>
      <c r="AQ540" s="11" t="str">
        <f>IF(I540&lt;&gt;"",DATA!D539,"")</f>
        <v>8716800000</v>
      </c>
    </row>
    <row r="541" spans="1:43" ht="15.75" x14ac:dyDescent="0.25">
      <c r="A541" s="11" t="s">
        <v>57</v>
      </c>
      <c r="B541" s="11" t="s">
        <v>56</v>
      </c>
      <c r="C541" s="22">
        <f t="shared" si="38"/>
        <v>25001620</v>
      </c>
      <c r="D541" s="11" t="str">
        <f t="shared" si="35"/>
        <v>SKIIFM_AT</v>
      </c>
      <c r="E541" s="11" t="str">
        <f>IF(I541&lt;&gt;"",VLOOKUP(F541,OPDRACHTGEVER!$A$2:$B$4,2,FALSE),"")</f>
        <v>SKIIFM_AT</v>
      </c>
      <c r="F541" s="11" t="s">
        <v>58</v>
      </c>
      <c r="I541" s="11" t="str">
        <f>IF(DATA!B540&lt;&gt;"",DATA!B540,"")</f>
        <v>CARU9985689</v>
      </c>
      <c r="J541" s="12">
        <v>0</v>
      </c>
      <c r="K541" s="11" t="s">
        <v>53</v>
      </c>
      <c r="L541" s="11" t="str">
        <f t="shared" si="36"/>
        <v>392690</v>
      </c>
      <c r="M541" s="11" t="str">
        <f>IF(I541&lt;&gt;"",DATA!E540,"")</f>
        <v>TURNTABLE</v>
      </c>
      <c r="N541" s="12">
        <v>0</v>
      </c>
      <c r="O541" s="11">
        <f>IF(I541&lt;&gt;"",DATA!C540,"")</f>
        <v>28.13</v>
      </c>
      <c r="P541" s="2">
        <v>294094</v>
      </c>
      <c r="Q541" s="2" t="s">
        <v>1304</v>
      </c>
      <c r="R541" s="2" t="s">
        <v>1316</v>
      </c>
      <c r="S541" s="2">
        <v>207</v>
      </c>
      <c r="T541" s="2">
        <v>1</v>
      </c>
      <c r="U541" s="2" t="s">
        <v>141</v>
      </c>
      <c r="Y541" s="2">
        <v>1700</v>
      </c>
      <c r="Z541" s="11" t="s">
        <v>54</v>
      </c>
      <c r="AA541" s="11" t="str">
        <f t="shared" si="37"/>
        <v>1700 - TBN</v>
      </c>
      <c r="AC541" s="2" t="s">
        <v>145</v>
      </c>
      <c r="AD541" s="11" t="str">
        <f>IF($I541&lt;&gt;"",VLOOKUP($AC541,GEADRESSEERDE!$A$2:$E$4,2,),"")</f>
        <v>LUITHAGEN HAVEN 2 D</v>
      </c>
      <c r="AE541" s="11">
        <f>IF($I541&lt;&gt;"",VLOOKUP($AC541,GEADRESSEERDE!$A$2:$E$4,3,),"")</f>
        <v>2030</v>
      </c>
      <c r="AF541" s="11" t="str">
        <f>IF($I541&lt;&gt;"",VLOOKUP($AC541,GEADRESSEERDE!$A$2:$E$4,4,),"")</f>
        <v>ANTWERPEN</v>
      </c>
      <c r="AG541" s="11" t="str">
        <f>IF($I541&lt;&gt;"",VLOOKUP($AC541,GEADRESSEERDE!$A$2:$E$4,5,),"")</f>
        <v>BE</v>
      </c>
      <c r="AH541" s="11" t="str">
        <f>IF(I541&lt;&gt;"",VLOOKUP(AP541,KvB!$A$2:$B$3,2,FALSE),"")</f>
        <v>BE101000</v>
      </c>
      <c r="AI541" s="11" t="s">
        <v>55</v>
      </c>
      <c r="AJ541" s="11"/>
      <c r="AK541" s="11"/>
      <c r="AL541" s="11"/>
      <c r="AM541" s="11"/>
      <c r="AN541" s="11"/>
      <c r="AO541" s="11"/>
      <c r="AP541" s="2" t="s">
        <v>70</v>
      </c>
      <c r="AQ541" s="11" t="str">
        <f>IF(I541&lt;&gt;"",DATA!D540,"")</f>
        <v>3926909790</v>
      </c>
    </row>
    <row r="542" spans="1:43" ht="15.75" x14ac:dyDescent="0.25">
      <c r="A542" s="11" t="s">
        <v>57</v>
      </c>
      <c r="B542" s="11" t="s">
        <v>56</v>
      </c>
      <c r="C542" s="22">
        <f t="shared" si="38"/>
        <v>25001620</v>
      </c>
      <c r="D542" s="11" t="str">
        <f t="shared" si="35"/>
        <v>SKIIFM_AT</v>
      </c>
      <c r="E542" s="11" t="str">
        <f>IF(I542&lt;&gt;"",VLOOKUP(F542,OPDRACHTGEVER!$A$2:$B$4,2,FALSE),"")</f>
        <v>SKIIFM_AT</v>
      </c>
      <c r="F542" s="11" t="s">
        <v>58</v>
      </c>
      <c r="I542" s="11" t="str">
        <f>IF(DATA!B541&lt;&gt;"",DATA!B541,"")</f>
        <v>CARU9985689</v>
      </c>
      <c r="J542" s="12">
        <v>0</v>
      </c>
      <c r="K542" s="11" t="s">
        <v>53</v>
      </c>
      <c r="L542" s="11" t="str">
        <f t="shared" si="36"/>
        <v>761699</v>
      </c>
      <c r="M542" s="11" t="str">
        <f>IF(I542&lt;&gt;"",DATA!E541,"")</f>
        <v>UNDERBODY TRUCK KIT</v>
      </c>
      <c r="N542" s="12">
        <v>0</v>
      </c>
      <c r="O542" s="11">
        <f>IF(I542&lt;&gt;"",DATA!C541,"")</f>
        <v>14.9</v>
      </c>
      <c r="P542" s="2">
        <v>294094</v>
      </c>
      <c r="Q542" s="2" t="s">
        <v>1304</v>
      </c>
      <c r="R542" s="2" t="s">
        <v>1316</v>
      </c>
      <c r="S542" s="2">
        <v>207</v>
      </c>
      <c r="T542" s="2">
        <v>1</v>
      </c>
      <c r="U542" s="2" t="s">
        <v>141</v>
      </c>
      <c r="Y542" s="2">
        <v>1700</v>
      </c>
      <c r="Z542" s="11" t="s">
        <v>54</v>
      </c>
      <c r="AA542" s="11" t="str">
        <f t="shared" si="37"/>
        <v>1700 - TBN</v>
      </c>
      <c r="AC542" s="2" t="s">
        <v>145</v>
      </c>
      <c r="AD542" s="11" t="str">
        <f>IF($I542&lt;&gt;"",VLOOKUP($AC542,GEADRESSEERDE!$A$2:$E$4,2,),"")</f>
        <v>LUITHAGEN HAVEN 2 D</v>
      </c>
      <c r="AE542" s="11">
        <f>IF($I542&lt;&gt;"",VLOOKUP($AC542,GEADRESSEERDE!$A$2:$E$4,3,),"")</f>
        <v>2030</v>
      </c>
      <c r="AF542" s="11" t="str">
        <f>IF($I542&lt;&gt;"",VLOOKUP($AC542,GEADRESSEERDE!$A$2:$E$4,4,),"")</f>
        <v>ANTWERPEN</v>
      </c>
      <c r="AG542" s="11" t="str">
        <f>IF($I542&lt;&gt;"",VLOOKUP($AC542,GEADRESSEERDE!$A$2:$E$4,5,),"")</f>
        <v>BE</v>
      </c>
      <c r="AH542" s="11" t="str">
        <f>IF(I542&lt;&gt;"",VLOOKUP(AP542,KvB!$A$2:$B$3,2,FALSE),"")</f>
        <v>BE101000</v>
      </c>
      <c r="AI542" s="11" t="s">
        <v>55</v>
      </c>
      <c r="AJ542" s="11"/>
      <c r="AK542" s="11"/>
      <c r="AL542" s="11"/>
      <c r="AM542" s="11"/>
      <c r="AN542" s="11"/>
      <c r="AO542" s="11"/>
      <c r="AP542" s="2" t="s">
        <v>70</v>
      </c>
      <c r="AQ542" s="11" t="str">
        <f>IF(I542&lt;&gt;"",DATA!D541,"")</f>
        <v>7616999009</v>
      </c>
    </row>
    <row r="543" spans="1:43" ht="15.75" x14ac:dyDescent="0.25">
      <c r="A543" s="11" t="s">
        <v>57</v>
      </c>
      <c r="B543" s="11" t="s">
        <v>56</v>
      </c>
      <c r="C543" s="22">
        <f t="shared" si="38"/>
        <v>25001620</v>
      </c>
      <c r="D543" s="11" t="str">
        <f t="shared" si="35"/>
        <v>SKIIFM_AT</v>
      </c>
      <c r="E543" s="11" t="str">
        <f>IF(I543&lt;&gt;"",VLOOKUP(F543,OPDRACHTGEVER!$A$2:$B$4,2,FALSE),"")</f>
        <v>SKIIFM_AT</v>
      </c>
      <c r="F543" s="11" t="s">
        <v>58</v>
      </c>
      <c r="I543" s="11" t="str">
        <f>IF(DATA!B542&lt;&gt;"",DATA!B542,"")</f>
        <v>CARU9985689</v>
      </c>
      <c r="J543" s="12">
        <v>0</v>
      </c>
      <c r="K543" s="11" t="s">
        <v>53</v>
      </c>
      <c r="L543" s="11" t="str">
        <f t="shared" si="36"/>
        <v>850819</v>
      </c>
      <c r="M543" s="11" t="str">
        <f>IF(I543&lt;&gt;"",DATA!E542,"")</f>
        <v>VACUUM CLEANER</v>
      </c>
      <c r="N543" s="12">
        <v>0</v>
      </c>
      <c r="O543" s="11">
        <f>IF(I543&lt;&gt;"",DATA!C542,"")</f>
        <v>42.2</v>
      </c>
      <c r="P543" s="2">
        <v>294094</v>
      </c>
      <c r="Q543" s="2" t="s">
        <v>1304</v>
      </c>
      <c r="R543" s="2" t="s">
        <v>1316</v>
      </c>
      <c r="S543" s="2">
        <v>207</v>
      </c>
      <c r="T543" s="2">
        <v>1</v>
      </c>
      <c r="U543" s="2" t="s">
        <v>141</v>
      </c>
      <c r="Y543" s="2">
        <v>1700</v>
      </c>
      <c r="Z543" s="11" t="s">
        <v>54</v>
      </c>
      <c r="AA543" s="11" t="str">
        <f t="shared" si="37"/>
        <v>1700 - TBN</v>
      </c>
      <c r="AC543" s="2" t="s">
        <v>145</v>
      </c>
      <c r="AD543" s="11" t="str">
        <f>IF($I543&lt;&gt;"",VLOOKUP($AC543,GEADRESSEERDE!$A$2:$E$4,2,),"")</f>
        <v>LUITHAGEN HAVEN 2 D</v>
      </c>
      <c r="AE543" s="11">
        <f>IF($I543&lt;&gt;"",VLOOKUP($AC543,GEADRESSEERDE!$A$2:$E$4,3,),"")</f>
        <v>2030</v>
      </c>
      <c r="AF543" s="11" t="str">
        <f>IF($I543&lt;&gt;"",VLOOKUP($AC543,GEADRESSEERDE!$A$2:$E$4,4,),"")</f>
        <v>ANTWERPEN</v>
      </c>
      <c r="AG543" s="11" t="str">
        <f>IF($I543&lt;&gt;"",VLOOKUP($AC543,GEADRESSEERDE!$A$2:$E$4,5,),"")</f>
        <v>BE</v>
      </c>
      <c r="AH543" s="11" t="str">
        <f>IF(I543&lt;&gt;"",VLOOKUP(AP543,KvB!$A$2:$B$3,2,FALSE),"")</f>
        <v>BE101000</v>
      </c>
      <c r="AI543" s="11" t="s">
        <v>55</v>
      </c>
      <c r="AJ543" s="11"/>
      <c r="AK543" s="11"/>
      <c r="AL543" s="11"/>
      <c r="AM543" s="11"/>
      <c r="AN543" s="11"/>
      <c r="AO543" s="11"/>
      <c r="AP543" s="2" t="s">
        <v>70</v>
      </c>
      <c r="AQ543" s="11" t="str">
        <f>IF(I543&lt;&gt;"",DATA!D542,"")</f>
        <v>8508190000</v>
      </c>
    </row>
    <row r="544" spans="1:43" ht="15.75" x14ac:dyDescent="0.25">
      <c r="A544" s="11" t="s">
        <v>57</v>
      </c>
      <c r="B544" s="11" t="s">
        <v>56</v>
      </c>
      <c r="C544" s="22">
        <f t="shared" si="38"/>
        <v>25001620</v>
      </c>
      <c r="D544" s="11" t="str">
        <f t="shared" si="35"/>
        <v>SKIIFM_AT</v>
      </c>
      <c r="E544" s="11" t="str">
        <f>IF(I544&lt;&gt;"",VLOOKUP(F544,OPDRACHTGEVER!$A$2:$B$4,2,FALSE),"")</f>
        <v>SKIIFM_AT</v>
      </c>
      <c r="F544" s="11" t="s">
        <v>58</v>
      </c>
      <c r="I544" s="11" t="str">
        <f>IF(DATA!B543&lt;&gt;"",DATA!B543,"")</f>
        <v>CARU9985689</v>
      </c>
      <c r="J544" s="12">
        <v>0</v>
      </c>
      <c r="K544" s="11" t="s">
        <v>53</v>
      </c>
      <c r="L544" s="11" t="str">
        <f t="shared" si="36"/>
        <v>841410</v>
      </c>
      <c r="M544" s="11" t="str">
        <f>IF(I544&lt;&gt;"",DATA!E543,"")</f>
        <v>VACUUM PUMP</v>
      </c>
      <c r="N544" s="12">
        <v>0</v>
      </c>
      <c r="O544" s="11">
        <f>IF(I544&lt;&gt;"",DATA!C543,"")</f>
        <v>424.56</v>
      </c>
      <c r="P544" s="2">
        <v>294094</v>
      </c>
      <c r="Q544" s="2" t="s">
        <v>1304</v>
      </c>
      <c r="R544" s="2" t="s">
        <v>1316</v>
      </c>
      <c r="S544" s="2">
        <v>207</v>
      </c>
      <c r="T544" s="2">
        <v>1</v>
      </c>
      <c r="U544" s="2" t="s">
        <v>141</v>
      </c>
      <c r="Y544" s="2">
        <v>1700</v>
      </c>
      <c r="Z544" s="11" t="s">
        <v>54</v>
      </c>
      <c r="AA544" s="11" t="str">
        <f t="shared" si="37"/>
        <v>1700 - TBN</v>
      </c>
      <c r="AC544" s="2" t="s">
        <v>145</v>
      </c>
      <c r="AD544" s="11" t="str">
        <f>IF($I544&lt;&gt;"",VLOOKUP($AC544,GEADRESSEERDE!$A$2:$E$4,2,),"")</f>
        <v>LUITHAGEN HAVEN 2 D</v>
      </c>
      <c r="AE544" s="11">
        <f>IF($I544&lt;&gt;"",VLOOKUP($AC544,GEADRESSEERDE!$A$2:$E$4,3,),"")</f>
        <v>2030</v>
      </c>
      <c r="AF544" s="11" t="str">
        <f>IF($I544&lt;&gt;"",VLOOKUP($AC544,GEADRESSEERDE!$A$2:$E$4,4,),"")</f>
        <v>ANTWERPEN</v>
      </c>
      <c r="AG544" s="11" t="str">
        <f>IF($I544&lt;&gt;"",VLOOKUP($AC544,GEADRESSEERDE!$A$2:$E$4,5,),"")</f>
        <v>BE</v>
      </c>
      <c r="AH544" s="11" t="str">
        <f>IF(I544&lt;&gt;"",VLOOKUP(AP544,KvB!$A$2:$B$3,2,FALSE),"")</f>
        <v>BE101000</v>
      </c>
      <c r="AI544" s="11" t="s">
        <v>55</v>
      </c>
      <c r="AJ544" s="11"/>
      <c r="AK544" s="11"/>
      <c r="AL544" s="11"/>
      <c r="AM544" s="11"/>
      <c r="AN544" s="11"/>
      <c r="AO544" s="11"/>
      <c r="AP544" s="2" t="s">
        <v>70</v>
      </c>
      <c r="AQ544" s="11" t="str">
        <f>IF(I544&lt;&gt;"",DATA!D543,"")</f>
        <v>8414108990</v>
      </c>
    </row>
    <row r="545" spans="1:43" ht="15.75" x14ac:dyDescent="0.25">
      <c r="A545" s="11" t="s">
        <v>57</v>
      </c>
      <c r="B545" s="11" t="s">
        <v>56</v>
      </c>
      <c r="C545" s="22">
        <f t="shared" si="38"/>
        <v>25001620</v>
      </c>
      <c r="D545" s="11" t="str">
        <f t="shared" si="35"/>
        <v>SKIIFM_AT</v>
      </c>
      <c r="E545" s="11" t="str">
        <f>IF(I545&lt;&gt;"",VLOOKUP(F545,OPDRACHTGEVER!$A$2:$B$4,2,FALSE),"")</f>
        <v>SKIIFM_AT</v>
      </c>
      <c r="F545" s="11" t="s">
        <v>58</v>
      </c>
      <c r="I545" s="11" t="str">
        <f>IF(DATA!B544&lt;&gt;"",DATA!B544,"")</f>
        <v>CARU9985689</v>
      </c>
      <c r="J545" s="12">
        <v>0</v>
      </c>
      <c r="K545" s="11" t="s">
        <v>53</v>
      </c>
      <c r="L545" s="11" t="str">
        <f t="shared" si="36"/>
        <v>442090</v>
      </c>
      <c r="M545" s="11" t="str">
        <f>IF(I545&lt;&gt;"",DATA!E544,"")</f>
        <v>WATCH WINDER</v>
      </c>
      <c r="N545" s="12">
        <v>0</v>
      </c>
      <c r="O545" s="11">
        <f>IF(I545&lt;&gt;"",DATA!C544,"")</f>
        <v>9.3000000000000007</v>
      </c>
      <c r="P545" s="2">
        <v>294094</v>
      </c>
      <c r="Q545" s="2" t="s">
        <v>1304</v>
      </c>
      <c r="R545" s="2" t="s">
        <v>1316</v>
      </c>
      <c r="S545" s="2">
        <v>207</v>
      </c>
      <c r="T545" s="2">
        <v>1</v>
      </c>
      <c r="U545" s="2" t="s">
        <v>141</v>
      </c>
      <c r="Y545" s="2">
        <v>1700</v>
      </c>
      <c r="Z545" s="11" t="s">
        <v>54</v>
      </c>
      <c r="AA545" s="11" t="str">
        <f t="shared" si="37"/>
        <v>1700 - TBN</v>
      </c>
      <c r="AC545" s="2" t="s">
        <v>145</v>
      </c>
      <c r="AD545" s="11" t="str">
        <f>IF($I545&lt;&gt;"",VLOOKUP($AC545,GEADRESSEERDE!$A$2:$E$4,2,),"")</f>
        <v>LUITHAGEN HAVEN 2 D</v>
      </c>
      <c r="AE545" s="11">
        <f>IF($I545&lt;&gt;"",VLOOKUP($AC545,GEADRESSEERDE!$A$2:$E$4,3,),"")</f>
        <v>2030</v>
      </c>
      <c r="AF545" s="11" t="str">
        <f>IF($I545&lt;&gt;"",VLOOKUP($AC545,GEADRESSEERDE!$A$2:$E$4,4,),"")</f>
        <v>ANTWERPEN</v>
      </c>
      <c r="AG545" s="11" t="str">
        <f>IF($I545&lt;&gt;"",VLOOKUP($AC545,GEADRESSEERDE!$A$2:$E$4,5,),"")</f>
        <v>BE</v>
      </c>
      <c r="AH545" s="11" t="str">
        <f>IF(I545&lt;&gt;"",VLOOKUP(AP545,KvB!$A$2:$B$3,2,FALSE),"")</f>
        <v>BE101000</v>
      </c>
      <c r="AI545" s="11" t="s">
        <v>55</v>
      </c>
      <c r="AJ545" s="11"/>
      <c r="AK545" s="11"/>
      <c r="AL545" s="11"/>
      <c r="AM545" s="11"/>
      <c r="AN545" s="11"/>
      <c r="AO545" s="11"/>
      <c r="AP545" s="2" t="s">
        <v>70</v>
      </c>
      <c r="AQ545" s="11" t="str">
        <f>IF(I545&lt;&gt;"",DATA!D544,"")</f>
        <v>4420909990</v>
      </c>
    </row>
    <row r="546" spans="1:43" ht="15.75" x14ac:dyDescent="0.25">
      <c r="A546" s="11" t="s">
        <v>57</v>
      </c>
      <c r="B546" s="11" t="s">
        <v>56</v>
      </c>
      <c r="C546" s="22">
        <f t="shared" si="38"/>
        <v>25001620</v>
      </c>
      <c r="D546" s="11" t="str">
        <f t="shared" si="35"/>
        <v>SKIIFM_AT</v>
      </c>
      <c r="E546" s="11" t="str">
        <f>IF(I546&lt;&gt;"",VLOOKUP(F546,OPDRACHTGEVER!$A$2:$B$4,2,FALSE),"")</f>
        <v>SKIIFM_AT</v>
      </c>
      <c r="F546" s="11" t="s">
        <v>58</v>
      </c>
      <c r="I546" s="11" t="str">
        <f>IF(DATA!B545&lt;&gt;"",DATA!B545,"")</f>
        <v>CARU9985689</v>
      </c>
      <c r="J546" s="12">
        <v>0</v>
      </c>
      <c r="K546" s="11" t="s">
        <v>53</v>
      </c>
      <c r="L546" s="11" t="str">
        <f t="shared" si="36"/>
        <v>841350</v>
      </c>
      <c r="M546" s="11" t="str">
        <f>IF(I546&lt;&gt;"",DATA!E545,"")</f>
        <v>WATER PUMP</v>
      </c>
      <c r="N546" s="12">
        <v>0</v>
      </c>
      <c r="O546" s="11">
        <f>IF(I546&lt;&gt;"",DATA!C545,"")</f>
        <v>410.65</v>
      </c>
      <c r="P546" s="2">
        <v>294094</v>
      </c>
      <c r="Q546" s="2" t="s">
        <v>1304</v>
      </c>
      <c r="R546" s="2" t="s">
        <v>1316</v>
      </c>
      <c r="S546" s="2">
        <v>207</v>
      </c>
      <c r="T546" s="2">
        <v>1</v>
      </c>
      <c r="U546" s="2" t="s">
        <v>141</v>
      </c>
      <c r="Y546" s="2">
        <v>1700</v>
      </c>
      <c r="Z546" s="11" t="s">
        <v>54</v>
      </c>
      <c r="AA546" s="11" t="str">
        <f t="shared" si="37"/>
        <v>1700 - TBN</v>
      </c>
      <c r="AC546" s="2" t="s">
        <v>145</v>
      </c>
      <c r="AD546" s="11" t="str">
        <f>IF($I546&lt;&gt;"",VLOOKUP($AC546,GEADRESSEERDE!$A$2:$E$4,2,),"")</f>
        <v>LUITHAGEN HAVEN 2 D</v>
      </c>
      <c r="AE546" s="11">
        <f>IF($I546&lt;&gt;"",VLOOKUP($AC546,GEADRESSEERDE!$A$2:$E$4,3,),"")</f>
        <v>2030</v>
      </c>
      <c r="AF546" s="11" t="str">
        <f>IF($I546&lt;&gt;"",VLOOKUP($AC546,GEADRESSEERDE!$A$2:$E$4,4,),"")</f>
        <v>ANTWERPEN</v>
      </c>
      <c r="AG546" s="11" t="str">
        <f>IF($I546&lt;&gt;"",VLOOKUP($AC546,GEADRESSEERDE!$A$2:$E$4,5,),"")</f>
        <v>BE</v>
      </c>
      <c r="AH546" s="11" t="str">
        <f>IF(I546&lt;&gt;"",VLOOKUP(AP546,KvB!$A$2:$B$3,2,FALSE),"")</f>
        <v>BE101000</v>
      </c>
      <c r="AI546" s="11" t="s">
        <v>55</v>
      </c>
      <c r="AJ546" s="11"/>
      <c r="AK546" s="11"/>
      <c r="AL546" s="11"/>
      <c r="AM546" s="11"/>
      <c r="AN546" s="11"/>
      <c r="AO546" s="11"/>
      <c r="AP546" s="2" t="s">
        <v>70</v>
      </c>
      <c r="AQ546" s="11" t="str">
        <f>IF(I546&lt;&gt;"",DATA!D545,"")</f>
        <v>8413502090</v>
      </c>
    </row>
    <row r="547" spans="1:43" ht="15.75" x14ac:dyDescent="0.25">
      <c r="A547" s="11" t="s">
        <v>57</v>
      </c>
      <c r="B547" s="11" t="s">
        <v>56</v>
      </c>
      <c r="C547" s="22">
        <f t="shared" si="38"/>
        <v>25001620</v>
      </c>
      <c r="D547" s="11" t="str">
        <f t="shared" si="35"/>
        <v>SKIIFM_AT</v>
      </c>
      <c r="E547" s="11" t="str">
        <f>IF(I547&lt;&gt;"",VLOOKUP(F547,OPDRACHTGEVER!$A$2:$B$4,2,FALSE),"")</f>
        <v>SKIIFM_AT</v>
      </c>
      <c r="F547" s="11" t="s">
        <v>58</v>
      </c>
      <c r="I547" s="11" t="str">
        <f>IF(DATA!B546&lt;&gt;"",DATA!B546,"")</f>
        <v>CARU9985689</v>
      </c>
      <c r="J547" s="12">
        <v>0</v>
      </c>
      <c r="K547" s="11" t="s">
        <v>53</v>
      </c>
      <c r="L547" s="11" t="str">
        <f t="shared" si="36"/>
        <v>940320</v>
      </c>
      <c r="M547" s="11" t="str">
        <f>IF(I547&lt;&gt;"",DATA!E546,"")</f>
        <v>WELDING WORKBENCH</v>
      </c>
      <c r="N547" s="12">
        <v>0</v>
      </c>
      <c r="O547" s="11">
        <f>IF(I547&lt;&gt;"",DATA!C546,"")</f>
        <v>20.95</v>
      </c>
      <c r="P547" s="2">
        <v>294094</v>
      </c>
      <c r="Q547" s="2" t="s">
        <v>1304</v>
      </c>
      <c r="R547" s="2" t="s">
        <v>1316</v>
      </c>
      <c r="S547" s="2">
        <v>207</v>
      </c>
      <c r="T547" s="2">
        <v>1</v>
      </c>
      <c r="U547" s="2" t="s">
        <v>141</v>
      </c>
      <c r="Y547" s="2">
        <v>1700</v>
      </c>
      <c r="Z547" s="11" t="s">
        <v>54</v>
      </c>
      <c r="AA547" s="11" t="str">
        <f t="shared" si="37"/>
        <v>1700 - TBN</v>
      </c>
      <c r="AC547" s="2" t="s">
        <v>145</v>
      </c>
      <c r="AD547" s="11" t="str">
        <f>IF($I547&lt;&gt;"",VLOOKUP($AC547,GEADRESSEERDE!$A$2:$E$4,2,),"")</f>
        <v>LUITHAGEN HAVEN 2 D</v>
      </c>
      <c r="AE547" s="11">
        <f>IF($I547&lt;&gt;"",VLOOKUP($AC547,GEADRESSEERDE!$A$2:$E$4,3,),"")</f>
        <v>2030</v>
      </c>
      <c r="AF547" s="11" t="str">
        <f>IF($I547&lt;&gt;"",VLOOKUP($AC547,GEADRESSEERDE!$A$2:$E$4,4,),"")</f>
        <v>ANTWERPEN</v>
      </c>
      <c r="AG547" s="11" t="str">
        <f>IF($I547&lt;&gt;"",VLOOKUP($AC547,GEADRESSEERDE!$A$2:$E$4,5,),"")</f>
        <v>BE</v>
      </c>
      <c r="AH547" s="11" t="str">
        <f>IF(I547&lt;&gt;"",VLOOKUP(AP547,KvB!$A$2:$B$3,2,FALSE),"")</f>
        <v>BE101000</v>
      </c>
      <c r="AI547" s="11" t="s">
        <v>55</v>
      </c>
      <c r="AJ547" s="11"/>
      <c r="AK547" s="11"/>
      <c r="AL547" s="11"/>
      <c r="AM547" s="11"/>
      <c r="AN547" s="11"/>
      <c r="AO547" s="11"/>
      <c r="AP547" s="2" t="s">
        <v>70</v>
      </c>
      <c r="AQ547" s="11" t="str">
        <f>IF(I547&lt;&gt;"",DATA!D546,"")</f>
        <v>9403208000</v>
      </c>
    </row>
    <row r="548" spans="1:43" ht="15.75" x14ac:dyDescent="0.25">
      <c r="A548" s="11" t="s">
        <v>57</v>
      </c>
      <c r="B548" s="11" t="s">
        <v>56</v>
      </c>
      <c r="C548" s="22">
        <f t="shared" si="38"/>
        <v>25001620</v>
      </c>
      <c r="D548" s="11" t="str">
        <f t="shared" si="35"/>
        <v>SKIIFM_AT</v>
      </c>
      <c r="E548" s="11" t="str">
        <f>IF(I548&lt;&gt;"",VLOOKUP(F548,OPDRACHTGEVER!$A$2:$B$4,2,FALSE),"")</f>
        <v>SKIIFM_AT</v>
      </c>
      <c r="F548" s="11" t="s">
        <v>58</v>
      </c>
      <c r="I548" s="11" t="str">
        <f>IF(DATA!B547&lt;&gt;"",DATA!B547,"")</f>
        <v>CRXU9943805</v>
      </c>
      <c r="J548" s="12">
        <v>2029</v>
      </c>
      <c r="K548" s="11" t="s">
        <v>53</v>
      </c>
      <c r="L548" s="11" t="str">
        <f t="shared" si="36"/>
        <v>842121</v>
      </c>
      <c r="M548" s="11" t="str">
        <f>IF(I548&lt;&gt;"",DATA!E547,"")</f>
        <v>AQUARIUM FILTER</v>
      </c>
      <c r="N548" s="12">
        <v>9466</v>
      </c>
      <c r="O548" s="11">
        <f>IF(I548&lt;&gt;"",DATA!C547,"")</f>
        <v>901.6</v>
      </c>
      <c r="P548" s="2">
        <v>294094</v>
      </c>
      <c r="Q548" s="2" t="s">
        <v>1304</v>
      </c>
      <c r="R548" s="2" t="s">
        <v>1317</v>
      </c>
      <c r="S548" s="2">
        <v>565</v>
      </c>
      <c r="T548" s="2">
        <v>1</v>
      </c>
      <c r="U548" s="2" t="s">
        <v>141</v>
      </c>
      <c r="Y548" s="2">
        <v>1700</v>
      </c>
      <c r="Z548" s="11" t="s">
        <v>54</v>
      </c>
      <c r="AA548" s="11" t="str">
        <f t="shared" si="37"/>
        <v>1700 - TBN</v>
      </c>
      <c r="AC548" s="2" t="s">
        <v>145</v>
      </c>
      <c r="AD548" s="11" t="str">
        <f>IF($I548&lt;&gt;"",VLOOKUP($AC548,GEADRESSEERDE!$A$2:$E$4,2,),"")</f>
        <v>LUITHAGEN HAVEN 2 D</v>
      </c>
      <c r="AE548" s="11">
        <f>IF($I548&lt;&gt;"",VLOOKUP($AC548,GEADRESSEERDE!$A$2:$E$4,3,),"")</f>
        <v>2030</v>
      </c>
      <c r="AF548" s="11" t="str">
        <f>IF($I548&lt;&gt;"",VLOOKUP($AC548,GEADRESSEERDE!$A$2:$E$4,4,),"")</f>
        <v>ANTWERPEN</v>
      </c>
      <c r="AG548" s="11" t="str">
        <f>IF($I548&lt;&gt;"",VLOOKUP($AC548,GEADRESSEERDE!$A$2:$E$4,5,),"")</f>
        <v>BE</v>
      </c>
      <c r="AH548" s="11" t="str">
        <f>IF(I548&lt;&gt;"",VLOOKUP(AP548,KvB!$A$2:$B$3,2,FALSE),"")</f>
        <v>BE101000</v>
      </c>
      <c r="AI548" s="11" t="s">
        <v>55</v>
      </c>
      <c r="AJ548" s="11"/>
      <c r="AK548" s="11"/>
      <c r="AL548" s="11"/>
      <c r="AM548" s="11"/>
      <c r="AN548" s="11"/>
      <c r="AO548" s="11"/>
      <c r="AP548" s="2" t="s">
        <v>70</v>
      </c>
      <c r="AQ548" s="11" t="str">
        <f>IF(I548&lt;&gt;"",DATA!D547,"")</f>
        <v>8421210090</v>
      </c>
    </row>
    <row r="549" spans="1:43" ht="15.75" x14ac:dyDescent="0.25">
      <c r="A549" s="11" t="s">
        <v>57</v>
      </c>
      <c r="B549" s="11" t="s">
        <v>56</v>
      </c>
      <c r="C549" s="22">
        <f t="shared" si="38"/>
        <v>25001620</v>
      </c>
      <c r="D549" s="11" t="str">
        <f t="shared" si="35"/>
        <v>SKIIFM_AT</v>
      </c>
      <c r="E549" s="11" t="str">
        <f>IF(I549&lt;&gt;"",VLOOKUP(F549,OPDRACHTGEVER!$A$2:$B$4,2,FALSE),"")</f>
        <v>SKIIFM_AT</v>
      </c>
      <c r="F549" s="11" t="s">
        <v>58</v>
      </c>
      <c r="I549" s="11" t="str">
        <f>IF(DATA!B548&lt;&gt;"",DATA!B548,"")</f>
        <v>CRXU9943805</v>
      </c>
      <c r="J549" s="12">
        <v>0</v>
      </c>
      <c r="K549" s="11" t="s">
        <v>53</v>
      </c>
      <c r="L549" s="11" t="str">
        <f t="shared" si="36"/>
        <v>850980</v>
      </c>
      <c r="M549" s="11" t="str">
        <f>IF(I549&lt;&gt;"",DATA!E548,"")</f>
        <v>AROMA DIFFUSER</v>
      </c>
      <c r="N549" s="12">
        <v>0</v>
      </c>
      <c r="O549" s="11">
        <f>IF(I549&lt;&gt;"",DATA!C548,"")</f>
        <v>102.4</v>
      </c>
      <c r="P549" s="2">
        <v>294094</v>
      </c>
      <c r="Q549" s="2" t="s">
        <v>1304</v>
      </c>
      <c r="R549" s="2" t="s">
        <v>1317</v>
      </c>
      <c r="S549" s="2">
        <v>565</v>
      </c>
      <c r="T549" s="2">
        <v>1</v>
      </c>
      <c r="U549" s="2" t="s">
        <v>141</v>
      </c>
      <c r="Y549" s="2">
        <v>1700</v>
      </c>
      <c r="Z549" s="11" t="s">
        <v>54</v>
      </c>
      <c r="AA549" s="11" t="str">
        <f t="shared" si="37"/>
        <v>1700 - TBN</v>
      </c>
      <c r="AC549" s="2" t="s">
        <v>145</v>
      </c>
      <c r="AD549" s="11" t="str">
        <f>IF($I549&lt;&gt;"",VLOOKUP($AC549,GEADRESSEERDE!$A$2:$E$4,2,),"")</f>
        <v>LUITHAGEN HAVEN 2 D</v>
      </c>
      <c r="AE549" s="11">
        <f>IF($I549&lt;&gt;"",VLOOKUP($AC549,GEADRESSEERDE!$A$2:$E$4,3,),"")</f>
        <v>2030</v>
      </c>
      <c r="AF549" s="11" t="str">
        <f>IF($I549&lt;&gt;"",VLOOKUP($AC549,GEADRESSEERDE!$A$2:$E$4,4,),"")</f>
        <v>ANTWERPEN</v>
      </c>
      <c r="AG549" s="11" t="str">
        <f>IF($I549&lt;&gt;"",VLOOKUP($AC549,GEADRESSEERDE!$A$2:$E$4,5,),"")</f>
        <v>BE</v>
      </c>
      <c r="AH549" s="11" t="str">
        <f>IF(I549&lt;&gt;"",VLOOKUP(AP549,KvB!$A$2:$B$3,2,FALSE),"")</f>
        <v>BE101000</v>
      </c>
      <c r="AI549" s="11" t="s">
        <v>55</v>
      </c>
      <c r="AJ549" s="11"/>
      <c r="AK549" s="11"/>
      <c r="AL549" s="11"/>
      <c r="AM549" s="11"/>
      <c r="AN549" s="11"/>
      <c r="AO549" s="11"/>
      <c r="AP549" s="2" t="s">
        <v>70</v>
      </c>
      <c r="AQ549" s="11" t="str">
        <f>IF(I549&lt;&gt;"",DATA!D548,"")</f>
        <v>8509800000</v>
      </c>
    </row>
    <row r="550" spans="1:43" ht="15.75" x14ac:dyDescent="0.25">
      <c r="A550" s="11" t="s">
        <v>57</v>
      </c>
      <c r="B550" s="11" t="s">
        <v>56</v>
      </c>
      <c r="C550" s="22">
        <f t="shared" si="38"/>
        <v>25001620</v>
      </c>
      <c r="D550" s="11" t="str">
        <f t="shared" si="35"/>
        <v>SKIIFM_AT</v>
      </c>
      <c r="E550" s="11" t="str">
        <f>IF(I550&lt;&gt;"",VLOOKUP(F550,OPDRACHTGEVER!$A$2:$B$4,2,FALSE),"")</f>
        <v>SKIIFM_AT</v>
      </c>
      <c r="F550" s="11" t="s">
        <v>58</v>
      </c>
      <c r="I550" s="11" t="str">
        <f>IF(DATA!B549&lt;&gt;"",DATA!B549,"")</f>
        <v>CRXU9943805</v>
      </c>
      <c r="J550" s="12">
        <v>0</v>
      </c>
      <c r="K550" s="11" t="s">
        <v>53</v>
      </c>
      <c r="L550" s="11" t="str">
        <f t="shared" si="36"/>
        <v>830220</v>
      </c>
      <c r="M550" s="11" t="str">
        <f>IF(I550&lt;&gt;"",DATA!E549,"")</f>
        <v>CASTERS</v>
      </c>
      <c r="N550" s="12">
        <v>0</v>
      </c>
      <c r="O550" s="11">
        <f>IF(I550&lt;&gt;"",DATA!C549,"")</f>
        <v>1615.55</v>
      </c>
      <c r="P550" s="2">
        <v>294094</v>
      </c>
      <c r="Q550" s="2" t="s">
        <v>1304</v>
      </c>
      <c r="R550" s="2" t="s">
        <v>1317</v>
      </c>
      <c r="S550" s="2">
        <v>565</v>
      </c>
      <c r="T550" s="2">
        <v>1</v>
      </c>
      <c r="U550" s="2" t="s">
        <v>141</v>
      </c>
      <c r="Y550" s="2">
        <v>1700</v>
      </c>
      <c r="Z550" s="11" t="s">
        <v>54</v>
      </c>
      <c r="AA550" s="11" t="str">
        <f t="shared" si="37"/>
        <v>1700 - TBN</v>
      </c>
      <c r="AC550" s="2" t="s">
        <v>145</v>
      </c>
      <c r="AD550" s="11" t="str">
        <f>IF($I550&lt;&gt;"",VLOOKUP($AC550,GEADRESSEERDE!$A$2:$E$4,2,),"")</f>
        <v>LUITHAGEN HAVEN 2 D</v>
      </c>
      <c r="AE550" s="11">
        <f>IF($I550&lt;&gt;"",VLOOKUP($AC550,GEADRESSEERDE!$A$2:$E$4,3,),"")</f>
        <v>2030</v>
      </c>
      <c r="AF550" s="11" t="str">
        <f>IF($I550&lt;&gt;"",VLOOKUP($AC550,GEADRESSEERDE!$A$2:$E$4,4,),"")</f>
        <v>ANTWERPEN</v>
      </c>
      <c r="AG550" s="11" t="str">
        <f>IF($I550&lt;&gt;"",VLOOKUP($AC550,GEADRESSEERDE!$A$2:$E$4,5,),"")</f>
        <v>BE</v>
      </c>
      <c r="AH550" s="11" t="str">
        <f>IF(I550&lt;&gt;"",VLOOKUP(AP550,KvB!$A$2:$B$3,2,FALSE),"")</f>
        <v>BE101000</v>
      </c>
      <c r="AI550" s="11" t="s">
        <v>55</v>
      </c>
      <c r="AJ550" s="11"/>
      <c r="AK550" s="11"/>
      <c r="AL550" s="11"/>
      <c r="AM550" s="11"/>
      <c r="AN550" s="11"/>
      <c r="AO550" s="11"/>
      <c r="AP550" s="2" t="s">
        <v>70</v>
      </c>
      <c r="AQ550" s="11" t="str">
        <f>IF(I550&lt;&gt;"",DATA!D549,"")</f>
        <v>8302200090</v>
      </c>
    </row>
    <row r="551" spans="1:43" ht="15.75" x14ac:dyDescent="0.25">
      <c r="A551" s="11" t="s">
        <v>57</v>
      </c>
      <c r="B551" s="11" t="s">
        <v>56</v>
      </c>
      <c r="C551" s="22">
        <f t="shared" si="38"/>
        <v>25001620</v>
      </c>
      <c r="D551" s="11" t="str">
        <f t="shared" si="35"/>
        <v>SKIIFM_AT</v>
      </c>
      <c r="E551" s="11" t="str">
        <f>IF(I551&lt;&gt;"",VLOOKUP(F551,OPDRACHTGEVER!$A$2:$B$4,2,FALSE),"")</f>
        <v>SKIIFM_AT</v>
      </c>
      <c r="F551" s="11" t="s">
        <v>58</v>
      </c>
      <c r="I551" s="11" t="str">
        <f>IF(DATA!B550&lt;&gt;"",DATA!B550,"")</f>
        <v>CRXU9943805</v>
      </c>
      <c r="J551" s="12">
        <v>0</v>
      </c>
      <c r="K551" s="11" t="s">
        <v>53</v>
      </c>
      <c r="L551" s="11" t="str">
        <f t="shared" si="36"/>
        <v>903210</v>
      </c>
      <c r="M551" s="11" t="str">
        <f>IF(I551&lt;&gt;"",DATA!E550,"")</f>
        <v>CONTROLLER</v>
      </c>
      <c r="N551" s="12">
        <v>0</v>
      </c>
      <c r="O551" s="11">
        <f>IF(I551&lt;&gt;"",DATA!C550,"")</f>
        <v>321.3</v>
      </c>
      <c r="P551" s="2">
        <v>294094</v>
      </c>
      <c r="Q551" s="2" t="s">
        <v>1304</v>
      </c>
      <c r="R551" s="2" t="s">
        <v>1317</v>
      </c>
      <c r="S551" s="2">
        <v>565</v>
      </c>
      <c r="T551" s="2">
        <v>1</v>
      </c>
      <c r="U551" s="2" t="s">
        <v>141</v>
      </c>
      <c r="Y551" s="2">
        <v>1700</v>
      </c>
      <c r="Z551" s="11" t="s">
        <v>54</v>
      </c>
      <c r="AA551" s="11" t="str">
        <f t="shared" si="37"/>
        <v>1700 - TBN</v>
      </c>
      <c r="AC551" s="2" t="s">
        <v>145</v>
      </c>
      <c r="AD551" s="11" t="str">
        <f>IF($I551&lt;&gt;"",VLOOKUP($AC551,GEADRESSEERDE!$A$2:$E$4,2,),"")</f>
        <v>LUITHAGEN HAVEN 2 D</v>
      </c>
      <c r="AE551" s="11">
        <f>IF($I551&lt;&gt;"",VLOOKUP($AC551,GEADRESSEERDE!$A$2:$E$4,3,),"")</f>
        <v>2030</v>
      </c>
      <c r="AF551" s="11" t="str">
        <f>IF($I551&lt;&gt;"",VLOOKUP($AC551,GEADRESSEERDE!$A$2:$E$4,4,),"")</f>
        <v>ANTWERPEN</v>
      </c>
      <c r="AG551" s="11" t="str">
        <f>IF($I551&lt;&gt;"",VLOOKUP($AC551,GEADRESSEERDE!$A$2:$E$4,5,),"")</f>
        <v>BE</v>
      </c>
      <c r="AH551" s="11" t="str">
        <f>IF(I551&lt;&gt;"",VLOOKUP(AP551,KvB!$A$2:$B$3,2,FALSE),"")</f>
        <v>BE101000</v>
      </c>
      <c r="AI551" s="11" t="s">
        <v>55</v>
      </c>
      <c r="AJ551" s="11"/>
      <c r="AK551" s="11"/>
      <c r="AL551" s="11"/>
      <c r="AM551" s="11"/>
      <c r="AN551" s="11"/>
      <c r="AO551" s="11"/>
      <c r="AP551" s="2" t="s">
        <v>70</v>
      </c>
      <c r="AQ551" s="11" t="str">
        <f>IF(I551&lt;&gt;"",DATA!D550,"")</f>
        <v>9032102090</v>
      </c>
    </row>
    <row r="552" spans="1:43" ht="15.75" x14ac:dyDescent="0.25">
      <c r="A552" s="11" t="s">
        <v>57</v>
      </c>
      <c r="B552" s="11" t="s">
        <v>56</v>
      </c>
      <c r="C552" s="22">
        <f t="shared" si="38"/>
        <v>25001620</v>
      </c>
      <c r="D552" s="11" t="str">
        <f t="shared" si="35"/>
        <v>SKIIFM_AT</v>
      </c>
      <c r="E552" s="11" t="str">
        <f>IF(I552&lt;&gt;"",VLOOKUP(F552,OPDRACHTGEVER!$A$2:$B$4,2,FALSE),"")</f>
        <v>SKIIFM_AT</v>
      </c>
      <c r="F552" s="11" t="s">
        <v>58</v>
      </c>
      <c r="I552" s="11" t="str">
        <f>IF(DATA!B551&lt;&gt;"",DATA!B551,"")</f>
        <v>CRXU9943805</v>
      </c>
      <c r="J552" s="12">
        <v>0</v>
      </c>
      <c r="K552" s="11" t="s">
        <v>53</v>
      </c>
      <c r="L552" s="11" t="str">
        <f t="shared" si="36"/>
        <v>843880</v>
      </c>
      <c r="M552" s="11" t="str">
        <f>IF(I552&lt;&gt;"",DATA!E551,"")</f>
        <v>COTTON CANDY MACHINE</v>
      </c>
      <c r="N552" s="12">
        <v>0</v>
      </c>
      <c r="O552" s="11">
        <f>IF(I552&lt;&gt;"",DATA!C551,"")</f>
        <v>59.25</v>
      </c>
      <c r="P552" s="2">
        <v>294094</v>
      </c>
      <c r="Q552" s="2" t="s">
        <v>1304</v>
      </c>
      <c r="R552" s="2" t="s">
        <v>1317</v>
      </c>
      <c r="S552" s="2">
        <v>565</v>
      </c>
      <c r="T552" s="2">
        <v>1</v>
      </c>
      <c r="U552" s="2" t="s">
        <v>141</v>
      </c>
      <c r="Y552" s="2">
        <v>1700</v>
      </c>
      <c r="Z552" s="11" t="s">
        <v>54</v>
      </c>
      <c r="AA552" s="11" t="str">
        <f t="shared" si="37"/>
        <v>1700 - TBN</v>
      </c>
      <c r="AC552" s="2" t="s">
        <v>145</v>
      </c>
      <c r="AD552" s="11" t="str">
        <f>IF($I552&lt;&gt;"",VLOOKUP($AC552,GEADRESSEERDE!$A$2:$E$4,2,),"")</f>
        <v>LUITHAGEN HAVEN 2 D</v>
      </c>
      <c r="AE552" s="11">
        <f>IF($I552&lt;&gt;"",VLOOKUP($AC552,GEADRESSEERDE!$A$2:$E$4,3,),"")</f>
        <v>2030</v>
      </c>
      <c r="AF552" s="11" t="str">
        <f>IF($I552&lt;&gt;"",VLOOKUP($AC552,GEADRESSEERDE!$A$2:$E$4,4,),"")</f>
        <v>ANTWERPEN</v>
      </c>
      <c r="AG552" s="11" t="str">
        <f>IF($I552&lt;&gt;"",VLOOKUP($AC552,GEADRESSEERDE!$A$2:$E$4,5,),"")</f>
        <v>BE</v>
      </c>
      <c r="AH552" s="11" t="str">
        <f>IF(I552&lt;&gt;"",VLOOKUP(AP552,KvB!$A$2:$B$3,2,FALSE),"")</f>
        <v>BE101000</v>
      </c>
      <c r="AI552" s="11" t="s">
        <v>55</v>
      </c>
      <c r="AJ552" s="11"/>
      <c r="AK552" s="11"/>
      <c r="AL552" s="11"/>
      <c r="AM552" s="11"/>
      <c r="AN552" s="11"/>
      <c r="AO552" s="11"/>
      <c r="AP552" s="2" t="s">
        <v>70</v>
      </c>
      <c r="AQ552" s="11" t="str">
        <f>IF(I552&lt;&gt;"",DATA!D551,"")</f>
        <v>8438809900</v>
      </c>
    </row>
    <row r="553" spans="1:43" ht="15.75" x14ac:dyDescent="0.25">
      <c r="A553" s="11" t="s">
        <v>57</v>
      </c>
      <c r="B553" s="11" t="s">
        <v>56</v>
      </c>
      <c r="C553" s="22">
        <f t="shared" si="38"/>
        <v>25001620</v>
      </c>
      <c r="D553" s="11" t="str">
        <f t="shared" si="35"/>
        <v>SKIIFM_AT</v>
      </c>
      <c r="E553" s="11" t="str">
        <f>IF(I553&lt;&gt;"",VLOOKUP(F553,OPDRACHTGEVER!$A$2:$B$4,2,FALSE),"")</f>
        <v>SKIIFM_AT</v>
      </c>
      <c r="F553" s="11" t="s">
        <v>58</v>
      </c>
      <c r="I553" s="11" t="str">
        <f>IF(DATA!B552&lt;&gt;"",DATA!B552,"")</f>
        <v>CRXU9943805</v>
      </c>
      <c r="J553" s="12">
        <v>0</v>
      </c>
      <c r="K553" s="11" t="s">
        <v>53</v>
      </c>
      <c r="L553" s="11" t="str">
        <f t="shared" si="36"/>
        <v>830140</v>
      </c>
      <c r="M553" s="11" t="str">
        <f>IF(I553&lt;&gt;"",DATA!E552,"")</f>
        <v>DIGITAL DOOR LOCK</v>
      </c>
      <c r="N553" s="12">
        <v>0</v>
      </c>
      <c r="O553" s="11">
        <f>IF(I553&lt;&gt;"",DATA!C552,"")</f>
        <v>2.8</v>
      </c>
      <c r="P553" s="2">
        <v>294094</v>
      </c>
      <c r="Q553" s="2" t="s">
        <v>1304</v>
      </c>
      <c r="R553" s="2" t="s">
        <v>1317</v>
      </c>
      <c r="S553" s="2">
        <v>565</v>
      </c>
      <c r="T553" s="2">
        <v>1</v>
      </c>
      <c r="U553" s="2" t="s">
        <v>141</v>
      </c>
      <c r="Y553" s="2">
        <v>1700</v>
      </c>
      <c r="Z553" s="11" t="s">
        <v>54</v>
      </c>
      <c r="AA553" s="11" t="str">
        <f t="shared" si="37"/>
        <v>1700 - TBN</v>
      </c>
      <c r="AC553" s="2" t="s">
        <v>145</v>
      </c>
      <c r="AD553" s="11" t="str">
        <f>IF($I553&lt;&gt;"",VLOOKUP($AC553,GEADRESSEERDE!$A$2:$E$4,2,),"")</f>
        <v>LUITHAGEN HAVEN 2 D</v>
      </c>
      <c r="AE553" s="11">
        <f>IF($I553&lt;&gt;"",VLOOKUP($AC553,GEADRESSEERDE!$A$2:$E$4,3,),"")</f>
        <v>2030</v>
      </c>
      <c r="AF553" s="11" t="str">
        <f>IF($I553&lt;&gt;"",VLOOKUP($AC553,GEADRESSEERDE!$A$2:$E$4,4,),"")</f>
        <v>ANTWERPEN</v>
      </c>
      <c r="AG553" s="11" t="str">
        <f>IF($I553&lt;&gt;"",VLOOKUP($AC553,GEADRESSEERDE!$A$2:$E$4,5,),"")</f>
        <v>BE</v>
      </c>
      <c r="AH553" s="11" t="str">
        <f>IF(I553&lt;&gt;"",VLOOKUP(AP553,KvB!$A$2:$B$3,2,FALSE),"")</f>
        <v>BE101000</v>
      </c>
      <c r="AI553" s="11" t="s">
        <v>55</v>
      </c>
      <c r="AJ553" s="11"/>
      <c r="AK553" s="11"/>
      <c r="AL553" s="11"/>
      <c r="AM553" s="11"/>
      <c r="AN553" s="11"/>
      <c r="AO553" s="11"/>
      <c r="AP553" s="2" t="s">
        <v>70</v>
      </c>
      <c r="AQ553" s="11" t="str">
        <f>IF(I553&lt;&gt;"",DATA!D552,"")</f>
        <v>8301401900</v>
      </c>
    </row>
    <row r="554" spans="1:43" ht="15.75" x14ac:dyDescent="0.25">
      <c r="A554" s="11" t="s">
        <v>57</v>
      </c>
      <c r="B554" s="11" t="s">
        <v>56</v>
      </c>
      <c r="C554" s="22">
        <f t="shared" si="38"/>
        <v>25001620</v>
      </c>
      <c r="D554" s="11" t="str">
        <f t="shared" si="35"/>
        <v>SKIIFM_AT</v>
      </c>
      <c r="E554" s="11" t="str">
        <f>IF(I554&lt;&gt;"",VLOOKUP(F554,OPDRACHTGEVER!$A$2:$B$4,2,FALSE),"")</f>
        <v>SKIIFM_AT</v>
      </c>
      <c r="F554" s="11" t="s">
        <v>58</v>
      </c>
      <c r="I554" s="11" t="str">
        <f>IF(DATA!B553&lt;&gt;"",DATA!B553,"")</f>
        <v>CRXU9943805</v>
      </c>
      <c r="J554" s="12">
        <v>0</v>
      </c>
      <c r="K554" s="11" t="s">
        <v>53</v>
      </c>
      <c r="L554" s="11" t="str">
        <f t="shared" si="36"/>
        <v>903149</v>
      </c>
      <c r="M554" s="11" t="str">
        <f>IF(I554&lt;&gt;"",DATA!E553,"")</f>
        <v>DIGITAL READOUT FOR LATHE</v>
      </c>
      <c r="N554" s="12">
        <v>0</v>
      </c>
      <c r="O554" s="11">
        <f>IF(I554&lt;&gt;"",DATA!C553,"")</f>
        <v>26.45</v>
      </c>
      <c r="P554" s="2">
        <v>294094</v>
      </c>
      <c r="Q554" s="2" t="s">
        <v>1304</v>
      </c>
      <c r="R554" s="2" t="s">
        <v>1317</v>
      </c>
      <c r="S554" s="2">
        <v>565</v>
      </c>
      <c r="T554" s="2">
        <v>1</v>
      </c>
      <c r="U554" s="2" t="s">
        <v>141</v>
      </c>
      <c r="Y554" s="2">
        <v>1700</v>
      </c>
      <c r="Z554" s="11" t="s">
        <v>54</v>
      </c>
      <c r="AA554" s="11" t="str">
        <f t="shared" si="37"/>
        <v>1700 - TBN</v>
      </c>
      <c r="AC554" s="2" t="s">
        <v>145</v>
      </c>
      <c r="AD554" s="11" t="str">
        <f>IF($I554&lt;&gt;"",VLOOKUP($AC554,GEADRESSEERDE!$A$2:$E$4,2,),"")</f>
        <v>LUITHAGEN HAVEN 2 D</v>
      </c>
      <c r="AE554" s="11">
        <f>IF($I554&lt;&gt;"",VLOOKUP($AC554,GEADRESSEERDE!$A$2:$E$4,3,),"")</f>
        <v>2030</v>
      </c>
      <c r="AF554" s="11" t="str">
        <f>IF($I554&lt;&gt;"",VLOOKUP($AC554,GEADRESSEERDE!$A$2:$E$4,4,),"")</f>
        <v>ANTWERPEN</v>
      </c>
      <c r="AG554" s="11" t="str">
        <f>IF($I554&lt;&gt;"",VLOOKUP($AC554,GEADRESSEERDE!$A$2:$E$4,5,),"")</f>
        <v>BE</v>
      </c>
      <c r="AH554" s="11" t="str">
        <f>IF(I554&lt;&gt;"",VLOOKUP(AP554,KvB!$A$2:$B$3,2,FALSE),"")</f>
        <v>BE101000</v>
      </c>
      <c r="AI554" s="11" t="s">
        <v>55</v>
      </c>
      <c r="AJ554" s="11"/>
      <c r="AK554" s="11"/>
      <c r="AL554" s="11"/>
      <c r="AM554" s="11"/>
      <c r="AN554" s="11"/>
      <c r="AO554" s="11"/>
      <c r="AP554" s="2" t="s">
        <v>70</v>
      </c>
      <c r="AQ554" s="11" t="str">
        <f>IF(I554&lt;&gt;"",DATA!D553,"")</f>
        <v>9031499000</v>
      </c>
    </row>
    <row r="555" spans="1:43" ht="15.75" x14ac:dyDescent="0.25">
      <c r="A555" s="11" t="s">
        <v>57</v>
      </c>
      <c r="B555" s="11" t="s">
        <v>56</v>
      </c>
      <c r="C555" s="22">
        <f t="shared" si="38"/>
        <v>25001620</v>
      </c>
      <c r="D555" s="11" t="str">
        <f t="shared" si="35"/>
        <v>SKIIFM_AT</v>
      </c>
      <c r="E555" s="11" t="str">
        <f>IF(I555&lt;&gt;"",VLOOKUP(F555,OPDRACHTGEVER!$A$2:$B$4,2,FALSE),"")</f>
        <v>SKIIFM_AT</v>
      </c>
      <c r="F555" s="11" t="s">
        <v>58</v>
      </c>
      <c r="I555" s="11" t="str">
        <f>IF(DATA!B554&lt;&gt;"",DATA!B554,"")</f>
        <v>CRXU9943805</v>
      </c>
      <c r="J555" s="12">
        <v>0</v>
      </c>
      <c r="K555" s="11" t="s">
        <v>53</v>
      </c>
      <c r="L555" s="11" t="str">
        <f t="shared" si="36"/>
        <v>830242</v>
      </c>
      <c r="M555" s="11" t="str">
        <f>IF(I555&lt;&gt;"",DATA!E554,"")</f>
        <v>DRAWER SLIDES</v>
      </c>
      <c r="N555" s="12">
        <v>0</v>
      </c>
      <c r="O555" s="11">
        <f>IF(I555&lt;&gt;"",DATA!C554,"")</f>
        <v>2.3199999999999998</v>
      </c>
      <c r="P555" s="2">
        <v>294094</v>
      </c>
      <c r="Q555" s="2" t="s">
        <v>1304</v>
      </c>
      <c r="R555" s="2" t="s">
        <v>1317</v>
      </c>
      <c r="S555" s="2">
        <v>565</v>
      </c>
      <c r="T555" s="2">
        <v>1</v>
      </c>
      <c r="U555" s="2" t="s">
        <v>141</v>
      </c>
      <c r="Y555" s="2">
        <v>1700</v>
      </c>
      <c r="Z555" s="11" t="s">
        <v>54</v>
      </c>
      <c r="AA555" s="11" t="str">
        <f t="shared" si="37"/>
        <v>1700 - TBN</v>
      </c>
      <c r="AC555" s="2" t="s">
        <v>145</v>
      </c>
      <c r="AD555" s="11" t="str">
        <f>IF($I555&lt;&gt;"",VLOOKUP($AC555,GEADRESSEERDE!$A$2:$E$4,2,),"")</f>
        <v>LUITHAGEN HAVEN 2 D</v>
      </c>
      <c r="AE555" s="11">
        <f>IF($I555&lt;&gt;"",VLOOKUP($AC555,GEADRESSEERDE!$A$2:$E$4,3,),"")</f>
        <v>2030</v>
      </c>
      <c r="AF555" s="11" t="str">
        <f>IF($I555&lt;&gt;"",VLOOKUP($AC555,GEADRESSEERDE!$A$2:$E$4,4,),"")</f>
        <v>ANTWERPEN</v>
      </c>
      <c r="AG555" s="11" t="str">
        <f>IF($I555&lt;&gt;"",VLOOKUP($AC555,GEADRESSEERDE!$A$2:$E$4,5,),"")</f>
        <v>BE</v>
      </c>
      <c r="AH555" s="11" t="str">
        <f>IF(I555&lt;&gt;"",VLOOKUP(AP555,KvB!$A$2:$B$3,2,FALSE),"")</f>
        <v>BE101000</v>
      </c>
      <c r="AI555" s="11" t="s">
        <v>55</v>
      </c>
      <c r="AJ555" s="11"/>
      <c r="AK555" s="11"/>
      <c r="AL555" s="11"/>
      <c r="AM555" s="11"/>
      <c r="AN555" s="11"/>
      <c r="AO555" s="11"/>
      <c r="AP555" s="2" t="s">
        <v>70</v>
      </c>
      <c r="AQ555" s="11" t="str">
        <f>IF(I555&lt;&gt;"",DATA!D554,"")</f>
        <v>8302420090</v>
      </c>
    </row>
    <row r="556" spans="1:43" ht="15.75" x14ac:dyDescent="0.25">
      <c r="A556" s="11" t="s">
        <v>57</v>
      </c>
      <c r="B556" s="11" t="s">
        <v>56</v>
      </c>
      <c r="C556" s="22">
        <f t="shared" si="38"/>
        <v>25001620</v>
      </c>
      <c r="D556" s="11" t="str">
        <f t="shared" si="35"/>
        <v>SKIIFM_AT</v>
      </c>
      <c r="E556" s="11" t="str">
        <f>IF(I556&lt;&gt;"",VLOOKUP(F556,OPDRACHTGEVER!$A$2:$B$4,2,FALSE),"")</f>
        <v>SKIIFM_AT</v>
      </c>
      <c r="F556" s="11" t="s">
        <v>58</v>
      </c>
      <c r="I556" s="11" t="str">
        <f>IF(DATA!B555&lt;&gt;"",DATA!B555,"")</f>
        <v>CRXU9943805</v>
      </c>
      <c r="J556" s="12">
        <v>0</v>
      </c>
      <c r="K556" s="11" t="s">
        <v>53</v>
      </c>
      <c r="L556" s="11" t="str">
        <f t="shared" si="36"/>
        <v>392490</v>
      </c>
      <c r="M556" s="11" t="str">
        <f>IF(I556&lt;&gt;"",DATA!E555,"")</f>
        <v>ENCLOSED CAT LITTER BOX</v>
      </c>
      <c r="N556" s="12">
        <v>0</v>
      </c>
      <c r="O556" s="11">
        <f>IF(I556&lt;&gt;"",DATA!C555,"")</f>
        <v>176.4</v>
      </c>
      <c r="P556" s="2">
        <v>294094</v>
      </c>
      <c r="Q556" s="2" t="s">
        <v>1304</v>
      </c>
      <c r="R556" s="2" t="s">
        <v>1317</v>
      </c>
      <c r="S556" s="2">
        <v>565</v>
      </c>
      <c r="T556" s="2">
        <v>1</v>
      </c>
      <c r="U556" s="2" t="s">
        <v>141</v>
      </c>
      <c r="Y556" s="2">
        <v>1700</v>
      </c>
      <c r="Z556" s="11" t="s">
        <v>54</v>
      </c>
      <c r="AA556" s="11" t="str">
        <f t="shared" si="37"/>
        <v>1700 - TBN</v>
      </c>
      <c r="AC556" s="2" t="s">
        <v>145</v>
      </c>
      <c r="AD556" s="11" t="str">
        <f>IF($I556&lt;&gt;"",VLOOKUP($AC556,GEADRESSEERDE!$A$2:$E$4,2,),"")</f>
        <v>LUITHAGEN HAVEN 2 D</v>
      </c>
      <c r="AE556" s="11">
        <f>IF($I556&lt;&gt;"",VLOOKUP($AC556,GEADRESSEERDE!$A$2:$E$4,3,),"")</f>
        <v>2030</v>
      </c>
      <c r="AF556" s="11" t="str">
        <f>IF($I556&lt;&gt;"",VLOOKUP($AC556,GEADRESSEERDE!$A$2:$E$4,4,),"")</f>
        <v>ANTWERPEN</v>
      </c>
      <c r="AG556" s="11" t="str">
        <f>IF($I556&lt;&gt;"",VLOOKUP($AC556,GEADRESSEERDE!$A$2:$E$4,5,),"")</f>
        <v>BE</v>
      </c>
      <c r="AH556" s="11" t="str">
        <f>IF(I556&lt;&gt;"",VLOOKUP(AP556,KvB!$A$2:$B$3,2,FALSE),"")</f>
        <v>BE101000</v>
      </c>
      <c r="AI556" s="11" t="s">
        <v>55</v>
      </c>
      <c r="AJ556" s="11"/>
      <c r="AK556" s="11"/>
      <c r="AL556" s="11"/>
      <c r="AM556" s="11"/>
      <c r="AN556" s="11"/>
      <c r="AO556" s="11"/>
      <c r="AP556" s="2" t="s">
        <v>70</v>
      </c>
      <c r="AQ556" s="11" t="str">
        <f>IF(I556&lt;&gt;"",DATA!D555,"")</f>
        <v>3924900090</v>
      </c>
    </row>
    <row r="557" spans="1:43" ht="15.75" x14ac:dyDescent="0.25">
      <c r="A557" s="11" t="s">
        <v>57</v>
      </c>
      <c r="B557" s="11" t="s">
        <v>56</v>
      </c>
      <c r="C557" s="22">
        <f t="shared" si="38"/>
        <v>25001620</v>
      </c>
      <c r="D557" s="11" t="str">
        <f t="shared" si="35"/>
        <v>SKIIFM_AT</v>
      </c>
      <c r="E557" s="11" t="str">
        <f>IF(I557&lt;&gt;"",VLOOKUP(F557,OPDRACHTGEVER!$A$2:$B$4,2,FALSE),"")</f>
        <v>SKIIFM_AT</v>
      </c>
      <c r="F557" s="11" t="s">
        <v>58</v>
      </c>
      <c r="I557" s="11" t="str">
        <f>IF(DATA!B556&lt;&gt;"",DATA!B556,"")</f>
        <v>CRXU9943805</v>
      </c>
      <c r="J557" s="12">
        <v>0</v>
      </c>
      <c r="K557" s="11" t="s">
        <v>53</v>
      </c>
      <c r="L557" s="11" t="str">
        <f t="shared" si="36"/>
        <v>854442</v>
      </c>
      <c r="M557" s="11" t="str">
        <f>IF(I557&lt;&gt;"",DATA!E556,"")</f>
        <v>EXTENSION CORD WITH PLUG</v>
      </c>
      <c r="N557" s="12">
        <v>0</v>
      </c>
      <c r="O557" s="11">
        <f>IF(I557&lt;&gt;"",DATA!C556,"")</f>
        <v>1.77</v>
      </c>
      <c r="P557" s="2">
        <v>294094</v>
      </c>
      <c r="Q557" s="2" t="s">
        <v>1304</v>
      </c>
      <c r="R557" s="2" t="s">
        <v>1317</v>
      </c>
      <c r="S557" s="2">
        <v>565</v>
      </c>
      <c r="T557" s="2">
        <v>1</v>
      </c>
      <c r="U557" s="2" t="s">
        <v>141</v>
      </c>
      <c r="Y557" s="2">
        <v>1700</v>
      </c>
      <c r="Z557" s="11" t="s">
        <v>54</v>
      </c>
      <c r="AA557" s="11" t="str">
        <f t="shared" si="37"/>
        <v>1700 - TBN</v>
      </c>
      <c r="AC557" s="2" t="s">
        <v>145</v>
      </c>
      <c r="AD557" s="11" t="str">
        <f>IF($I557&lt;&gt;"",VLOOKUP($AC557,GEADRESSEERDE!$A$2:$E$4,2,),"")</f>
        <v>LUITHAGEN HAVEN 2 D</v>
      </c>
      <c r="AE557" s="11">
        <f>IF($I557&lt;&gt;"",VLOOKUP($AC557,GEADRESSEERDE!$A$2:$E$4,3,),"")</f>
        <v>2030</v>
      </c>
      <c r="AF557" s="11" t="str">
        <f>IF($I557&lt;&gt;"",VLOOKUP($AC557,GEADRESSEERDE!$A$2:$E$4,4,),"")</f>
        <v>ANTWERPEN</v>
      </c>
      <c r="AG557" s="11" t="str">
        <f>IF($I557&lt;&gt;"",VLOOKUP($AC557,GEADRESSEERDE!$A$2:$E$4,5,),"")</f>
        <v>BE</v>
      </c>
      <c r="AH557" s="11" t="str">
        <f>IF(I557&lt;&gt;"",VLOOKUP(AP557,KvB!$A$2:$B$3,2,FALSE),"")</f>
        <v>BE101000</v>
      </c>
      <c r="AI557" s="11" t="s">
        <v>55</v>
      </c>
      <c r="AJ557" s="11"/>
      <c r="AK557" s="11"/>
      <c r="AL557" s="11"/>
      <c r="AM557" s="11"/>
      <c r="AN557" s="11"/>
      <c r="AO557" s="11"/>
      <c r="AP557" s="2" t="s">
        <v>70</v>
      </c>
      <c r="AQ557" s="11" t="str">
        <f>IF(I557&lt;&gt;"",DATA!D556,"")</f>
        <v>8544429090</v>
      </c>
    </row>
    <row r="558" spans="1:43" ht="15.75" x14ac:dyDescent="0.25">
      <c r="A558" s="11" t="s">
        <v>57</v>
      </c>
      <c r="B558" s="11" t="s">
        <v>56</v>
      </c>
      <c r="C558" s="22">
        <f t="shared" si="38"/>
        <v>25001620</v>
      </c>
      <c r="D558" s="11" t="str">
        <f t="shared" si="35"/>
        <v>SKIIFM_AT</v>
      </c>
      <c r="E558" s="11" t="str">
        <f>IF(I558&lt;&gt;"",VLOOKUP(F558,OPDRACHTGEVER!$A$2:$B$4,2,FALSE),"")</f>
        <v>SKIIFM_AT</v>
      </c>
      <c r="F558" s="11" t="s">
        <v>58</v>
      </c>
      <c r="I558" s="11" t="str">
        <f>IF(DATA!B557&lt;&gt;"",DATA!B557,"")</f>
        <v>CRXU9943805</v>
      </c>
      <c r="J558" s="12">
        <v>0</v>
      </c>
      <c r="K558" s="11" t="s">
        <v>53</v>
      </c>
      <c r="L558" s="11" t="str">
        <f t="shared" si="36"/>
        <v>842230</v>
      </c>
      <c r="M558" s="11" t="str">
        <f>IF(I558&lt;&gt;"",DATA!E557,"")</f>
        <v>FILM SEALING MACHINE</v>
      </c>
      <c r="N558" s="12">
        <v>0</v>
      </c>
      <c r="O558" s="11">
        <f>IF(I558&lt;&gt;"",DATA!C557,"")</f>
        <v>950.3</v>
      </c>
      <c r="P558" s="2">
        <v>294094</v>
      </c>
      <c r="Q558" s="2" t="s">
        <v>1304</v>
      </c>
      <c r="R558" s="2" t="s">
        <v>1317</v>
      </c>
      <c r="S558" s="2">
        <v>565</v>
      </c>
      <c r="T558" s="2">
        <v>1</v>
      </c>
      <c r="U558" s="2" t="s">
        <v>141</v>
      </c>
      <c r="Y558" s="2">
        <v>1700</v>
      </c>
      <c r="Z558" s="11" t="s">
        <v>54</v>
      </c>
      <c r="AA558" s="11" t="str">
        <f t="shared" si="37"/>
        <v>1700 - TBN</v>
      </c>
      <c r="AC558" s="2" t="s">
        <v>145</v>
      </c>
      <c r="AD558" s="11" t="str">
        <f>IF($I558&lt;&gt;"",VLOOKUP($AC558,GEADRESSEERDE!$A$2:$E$4,2,),"")</f>
        <v>LUITHAGEN HAVEN 2 D</v>
      </c>
      <c r="AE558" s="11">
        <f>IF($I558&lt;&gt;"",VLOOKUP($AC558,GEADRESSEERDE!$A$2:$E$4,3,),"")</f>
        <v>2030</v>
      </c>
      <c r="AF558" s="11" t="str">
        <f>IF($I558&lt;&gt;"",VLOOKUP($AC558,GEADRESSEERDE!$A$2:$E$4,4,),"")</f>
        <v>ANTWERPEN</v>
      </c>
      <c r="AG558" s="11" t="str">
        <f>IF($I558&lt;&gt;"",VLOOKUP($AC558,GEADRESSEERDE!$A$2:$E$4,5,),"")</f>
        <v>BE</v>
      </c>
      <c r="AH558" s="11" t="str">
        <f>IF(I558&lt;&gt;"",VLOOKUP(AP558,KvB!$A$2:$B$3,2,FALSE),"")</f>
        <v>BE101000</v>
      </c>
      <c r="AI558" s="11" t="s">
        <v>55</v>
      </c>
      <c r="AJ558" s="11"/>
      <c r="AK558" s="11"/>
      <c r="AL558" s="11"/>
      <c r="AM558" s="11"/>
      <c r="AN558" s="11"/>
      <c r="AO558" s="11"/>
      <c r="AP558" s="2" t="s">
        <v>70</v>
      </c>
      <c r="AQ558" s="11" t="str">
        <f>IF(I558&lt;&gt;"",DATA!D557,"")</f>
        <v>8422300000</v>
      </c>
    </row>
    <row r="559" spans="1:43" ht="15.75" x14ac:dyDescent="0.25">
      <c r="A559" s="11" t="s">
        <v>57</v>
      </c>
      <c r="B559" s="11" t="s">
        <v>56</v>
      </c>
      <c r="C559" s="22">
        <f t="shared" si="38"/>
        <v>25001620</v>
      </c>
      <c r="D559" s="11" t="str">
        <f t="shared" si="35"/>
        <v>SKIIFM_AT</v>
      </c>
      <c r="E559" s="11" t="str">
        <f>IF(I559&lt;&gt;"",VLOOKUP(F559,OPDRACHTGEVER!$A$2:$B$4,2,FALSE),"")</f>
        <v>SKIIFM_AT</v>
      </c>
      <c r="F559" s="11" t="s">
        <v>58</v>
      </c>
      <c r="I559" s="11" t="str">
        <f>IF(DATA!B558&lt;&gt;"",DATA!B558,"")</f>
        <v>CRXU9943805</v>
      </c>
      <c r="J559" s="12">
        <v>0</v>
      </c>
      <c r="K559" s="11" t="s">
        <v>53</v>
      </c>
      <c r="L559" s="11" t="str">
        <f t="shared" si="36"/>
        <v>850440</v>
      </c>
      <c r="M559" s="11" t="str">
        <f>IF(I559&lt;&gt;"",DATA!E558,"")</f>
        <v>FREQUENCY CONVERTER</v>
      </c>
      <c r="N559" s="12">
        <v>0</v>
      </c>
      <c r="O559" s="11">
        <f>IF(I559&lt;&gt;"",DATA!C558,"")</f>
        <v>151.5</v>
      </c>
      <c r="P559" s="2">
        <v>294094</v>
      </c>
      <c r="Q559" s="2" t="s">
        <v>1304</v>
      </c>
      <c r="R559" s="2" t="s">
        <v>1317</v>
      </c>
      <c r="S559" s="2">
        <v>565</v>
      </c>
      <c r="T559" s="2">
        <v>1</v>
      </c>
      <c r="U559" s="2" t="s">
        <v>141</v>
      </c>
      <c r="Y559" s="2">
        <v>1700</v>
      </c>
      <c r="Z559" s="11" t="s">
        <v>54</v>
      </c>
      <c r="AA559" s="11" t="str">
        <f t="shared" si="37"/>
        <v>1700 - TBN</v>
      </c>
      <c r="AC559" s="2" t="s">
        <v>145</v>
      </c>
      <c r="AD559" s="11" t="str">
        <f>IF($I559&lt;&gt;"",VLOOKUP($AC559,GEADRESSEERDE!$A$2:$E$4,2,),"")</f>
        <v>LUITHAGEN HAVEN 2 D</v>
      </c>
      <c r="AE559" s="11">
        <f>IF($I559&lt;&gt;"",VLOOKUP($AC559,GEADRESSEERDE!$A$2:$E$4,3,),"")</f>
        <v>2030</v>
      </c>
      <c r="AF559" s="11" t="str">
        <f>IF($I559&lt;&gt;"",VLOOKUP($AC559,GEADRESSEERDE!$A$2:$E$4,4,),"")</f>
        <v>ANTWERPEN</v>
      </c>
      <c r="AG559" s="11" t="str">
        <f>IF($I559&lt;&gt;"",VLOOKUP($AC559,GEADRESSEERDE!$A$2:$E$4,5,),"")</f>
        <v>BE</v>
      </c>
      <c r="AH559" s="11" t="str">
        <f>IF(I559&lt;&gt;"",VLOOKUP(AP559,KvB!$A$2:$B$3,2,FALSE),"")</f>
        <v>BE101000</v>
      </c>
      <c r="AI559" s="11" t="s">
        <v>55</v>
      </c>
      <c r="AJ559" s="11"/>
      <c r="AK559" s="11"/>
      <c r="AL559" s="11"/>
      <c r="AM559" s="11"/>
      <c r="AN559" s="11"/>
      <c r="AO559" s="11"/>
      <c r="AP559" s="2" t="s">
        <v>70</v>
      </c>
      <c r="AQ559" s="11" t="str">
        <f>IF(I559&lt;&gt;"",DATA!D558,"")</f>
        <v>8504406090</v>
      </c>
    </row>
    <row r="560" spans="1:43" ht="15.75" x14ac:dyDescent="0.25">
      <c r="A560" s="11" t="s">
        <v>57</v>
      </c>
      <c r="B560" s="11" t="s">
        <v>56</v>
      </c>
      <c r="C560" s="22">
        <f t="shared" si="38"/>
        <v>25001620</v>
      </c>
      <c r="D560" s="11" t="str">
        <f t="shared" si="35"/>
        <v>SKIIFM_AT</v>
      </c>
      <c r="E560" s="11" t="str">
        <f>IF(I560&lt;&gt;"",VLOOKUP(F560,OPDRACHTGEVER!$A$2:$B$4,2,FALSE),"")</f>
        <v>SKIIFM_AT</v>
      </c>
      <c r="F560" s="11" t="s">
        <v>58</v>
      </c>
      <c r="I560" s="11" t="str">
        <f>IF(DATA!B559&lt;&gt;"",DATA!B559,"")</f>
        <v>CRXU9943805</v>
      </c>
      <c r="J560" s="12">
        <v>0</v>
      </c>
      <c r="K560" s="11" t="s">
        <v>53</v>
      </c>
      <c r="L560" s="11" t="str">
        <f t="shared" si="36"/>
        <v>490590</v>
      </c>
      <c r="M560" s="11" t="str">
        <f>IF(I560&lt;&gt;"",DATA!E559,"")</f>
        <v>GEOGRAPHIC GLOBES</v>
      </c>
      <c r="N560" s="12">
        <v>0</v>
      </c>
      <c r="O560" s="11">
        <f>IF(I560&lt;&gt;"",DATA!C559,"")</f>
        <v>367.2</v>
      </c>
      <c r="P560" s="2">
        <v>294094</v>
      </c>
      <c r="Q560" s="2" t="s">
        <v>1304</v>
      </c>
      <c r="R560" s="2" t="s">
        <v>1317</v>
      </c>
      <c r="S560" s="2">
        <v>565</v>
      </c>
      <c r="T560" s="2">
        <v>1</v>
      </c>
      <c r="U560" s="2" t="s">
        <v>141</v>
      </c>
      <c r="Y560" s="2">
        <v>1700</v>
      </c>
      <c r="Z560" s="11" t="s">
        <v>54</v>
      </c>
      <c r="AA560" s="11" t="str">
        <f t="shared" si="37"/>
        <v>1700 - TBN</v>
      </c>
      <c r="AC560" s="2" t="s">
        <v>145</v>
      </c>
      <c r="AD560" s="11" t="str">
        <f>IF($I560&lt;&gt;"",VLOOKUP($AC560,GEADRESSEERDE!$A$2:$E$4,2,),"")</f>
        <v>LUITHAGEN HAVEN 2 D</v>
      </c>
      <c r="AE560" s="11">
        <f>IF($I560&lt;&gt;"",VLOOKUP($AC560,GEADRESSEERDE!$A$2:$E$4,3,),"")</f>
        <v>2030</v>
      </c>
      <c r="AF560" s="11" t="str">
        <f>IF($I560&lt;&gt;"",VLOOKUP($AC560,GEADRESSEERDE!$A$2:$E$4,4,),"")</f>
        <v>ANTWERPEN</v>
      </c>
      <c r="AG560" s="11" t="str">
        <f>IF($I560&lt;&gt;"",VLOOKUP($AC560,GEADRESSEERDE!$A$2:$E$4,5,),"")</f>
        <v>BE</v>
      </c>
      <c r="AH560" s="11" t="str">
        <f>IF(I560&lt;&gt;"",VLOOKUP(AP560,KvB!$A$2:$B$3,2,FALSE),"")</f>
        <v>BE101000</v>
      </c>
      <c r="AI560" s="11" t="s">
        <v>55</v>
      </c>
      <c r="AJ560" s="11"/>
      <c r="AK560" s="11"/>
      <c r="AL560" s="11"/>
      <c r="AM560" s="11"/>
      <c r="AN560" s="11"/>
      <c r="AO560" s="11"/>
      <c r="AP560" s="2" t="s">
        <v>70</v>
      </c>
      <c r="AQ560" s="11" t="str">
        <f>IF(I560&lt;&gt;"",DATA!D559,"")</f>
        <v>4905900010</v>
      </c>
    </row>
    <row r="561" spans="1:43" ht="15.75" x14ac:dyDescent="0.25">
      <c r="A561" s="11" t="s">
        <v>57</v>
      </c>
      <c r="B561" s="11" t="s">
        <v>56</v>
      </c>
      <c r="C561" s="22">
        <f t="shared" si="38"/>
        <v>25001620</v>
      </c>
      <c r="D561" s="11" t="str">
        <f t="shared" si="35"/>
        <v>SKIIFM_AT</v>
      </c>
      <c r="E561" s="11" t="str">
        <f>IF(I561&lt;&gt;"",VLOOKUP(F561,OPDRACHTGEVER!$A$2:$B$4,2,FALSE),"")</f>
        <v>SKIIFM_AT</v>
      </c>
      <c r="F561" s="11" t="s">
        <v>58</v>
      </c>
      <c r="I561" s="11" t="str">
        <f>IF(DATA!B560&lt;&gt;"",DATA!B560,"")</f>
        <v>CRXU9943805</v>
      </c>
      <c r="J561" s="12">
        <v>0</v>
      </c>
      <c r="K561" s="11" t="s">
        <v>53</v>
      </c>
      <c r="L561" s="11" t="str">
        <f t="shared" si="36"/>
        <v>841950</v>
      </c>
      <c r="M561" s="11" t="str">
        <f>IF(I561&lt;&gt;"",DATA!E560,"")</f>
        <v>HEAT EXCHANGER</v>
      </c>
      <c r="N561" s="12">
        <v>0</v>
      </c>
      <c r="O561" s="11">
        <f>IF(I561&lt;&gt;"",DATA!C560,"")</f>
        <v>8.24</v>
      </c>
      <c r="P561" s="2">
        <v>294094</v>
      </c>
      <c r="Q561" s="2" t="s">
        <v>1304</v>
      </c>
      <c r="R561" s="2" t="s">
        <v>1317</v>
      </c>
      <c r="S561" s="2">
        <v>565</v>
      </c>
      <c r="T561" s="2">
        <v>1</v>
      </c>
      <c r="U561" s="2" t="s">
        <v>141</v>
      </c>
      <c r="Y561" s="2">
        <v>1700</v>
      </c>
      <c r="Z561" s="11" t="s">
        <v>54</v>
      </c>
      <c r="AA561" s="11" t="str">
        <f t="shared" si="37"/>
        <v>1700 - TBN</v>
      </c>
      <c r="AC561" s="2" t="s">
        <v>145</v>
      </c>
      <c r="AD561" s="11" t="str">
        <f>IF($I561&lt;&gt;"",VLOOKUP($AC561,GEADRESSEERDE!$A$2:$E$4,2,),"")</f>
        <v>LUITHAGEN HAVEN 2 D</v>
      </c>
      <c r="AE561" s="11">
        <f>IF($I561&lt;&gt;"",VLOOKUP($AC561,GEADRESSEERDE!$A$2:$E$4,3,),"")</f>
        <v>2030</v>
      </c>
      <c r="AF561" s="11" t="str">
        <f>IF($I561&lt;&gt;"",VLOOKUP($AC561,GEADRESSEERDE!$A$2:$E$4,4,),"")</f>
        <v>ANTWERPEN</v>
      </c>
      <c r="AG561" s="11" t="str">
        <f>IF($I561&lt;&gt;"",VLOOKUP($AC561,GEADRESSEERDE!$A$2:$E$4,5,),"")</f>
        <v>BE</v>
      </c>
      <c r="AH561" s="11" t="str">
        <f>IF(I561&lt;&gt;"",VLOOKUP(AP561,KvB!$A$2:$B$3,2,FALSE),"")</f>
        <v>BE101000</v>
      </c>
      <c r="AI561" s="11" t="s">
        <v>55</v>
      </c>
      <c r="AJ561" s="11"/>
      <c r="AK561" s="11"/>
      <c r="AL561" s="11"/>
      <c r="AM561" s="11"/>
      <c r="AN561" s="11"/>
      <c r="AO561" s="11"/>
      <c r="AP561" s="2" t="s">
        <v>70</v>
      </c>
      <c r="AQ561" s="11" t="str">
        <f>IF(I561&lt;&gt;"",DATA!D560,"")</f>
        <v>8419508090</v>
      </c>
    </row>
    <row r="562" spans="1:43" ht="15.75" x14ac:dyDescent="0.25">
      <c r="A562" s="11" t="s">
        <v>57</v>
      </c>
      <c r="B562" s="11" t="s">
        <v>56</v>
      </c>
      <c r="C562" s="22">
        <f t="shared" si="38"/>
        <v>25001620</v>
      </c>
      <c r="D562" s="11" t="str">
        <f t="shared" si="35"/>
        <v>SKIIFM_AT</v>
      </c>
      <c r="E562" s="11" t="str">
        <f>IF(I562&lt;&gt;"",VLOOKUP(F562,OPDRACHTGEVER!$A$2:$B$4,2,FALSE),"")</f>
        <v>SKIIFM_AT</v>
      </c>
      <c r="F562" s="11" t="s">
        <v>58</v>
      </c>
      <c r="I562" s="11" t="str">
        <f>IF(DATA!B561&lt;&gt;"",DATA!B561,"")</f>
        <v>CRXU9943805</v>
      </c>
      <c r="J562" s="12">
        <v>0</v>
      </c>
      <c r="K562" s="11" t="s">
        <v>53</v>
      </c>
      <c r="L562" s="11" t="str">
        <f t="shared" si="36"/>
        <v>902750</v>
      </c>
      <c r="M562" s="11" t="str">
        <f>IF(I562&lt;&gt;"",DATA!E561,"")</f>
        <v>INFRARED THERMAL IMAGER</v>
      </c>
      <c r="N562" s="12">
        <v>0</v>
      </c>
      <c r="O562" s="11">
        <f>IF(I562&lt;&gt;"",DATA!C561,"")</f>
        <v>0.25</v>
      </c>
      <c r="P562" s="2">
        <v>294094</v>
      </c>
      <c r="Q562" s="2" t="s">
        <v>1304</v>
      </c>
      <c r="R562" s="2" t="s">
        <v>1317</v>
      </c>
      <c r="S562" s="2">
        <v>565</v>
      </c>
      <c r="T562" s="2">
        <v>1</v>
      </c>
      <c r="U562" s="2" t="s">
        <v>141</v>
      </c>
      <c r="Y562" s="2">
        <v>1700</v>
      </c>
      <c r="Z562" s="11" t="s">
        <v>54</v>
      </c>
      <c r="AA562" s="11" t="str">
        <f t="shared" si="37"/>
        <v>1700 - TBN</v>
      </c>
      <c r="AC562" s="2" t="s">
        <v>145</v>
      </c>
      <c r="AD562" s="11" t="str">
        <f>IF($I562&lt;&gt;"",VLOOKUP($AC562,GEADRESSEERDE!$A$2:$E$4,2,),"")</f>
        <v>LUITHAGEN HAVEN 2 D</v>
      </c>
      <c r="AE562" s="11">
        <f>IF($I562&lt;&gt;"",VLOOKUP($AC562,GEADRESSEERDE!$A$2:$E$4,3,),"")</f>
        <v>2030</v>
      </c>
      <c r="AF562" s="11" t="str">
        <f>IF($I562&lt;&gt;"",VLOOKUP($AC562,GEADRESSEERDE!$A$2:$E$4,4,),"")</f>
        <v>ANTWERPEN</v>
      </c>
      <c r="AG562" s="11" t="str">
        <f>IF($I562&lt;&gt;"",VLOOKUP($AC562,GEADRESSEERDE!$A$2:$E$4,5,),"")</f>
        <v>BE</v>
      </c>
      <c r="AH562" s="11" t="str">
        <f>IF(I562&lt;&gt;"",VLOOKUP(AP562,KvB!$A$2:$B$3,2,FALSE),"")</f>
        <v>BE101000</v>
      </c>
      <c r="AI562" s="11" t="s">
        <v>55</v>
      </c>
      <c r="AJ562" s="11"/>
      <c r="AK562" s="11"/>
      <c r="AL562" s="11"/>
      <c r="AM562" s="11"/>
      <c r="AN562" s="11"/>
      <c r="AO562" s="11"/>
      <c r="AP562" s="2" t="s">
        <v>70</v>
      </c>
      <c r="AQ562" s="11" t="str">
        <f>IF(I562&lt;&gt;"",DATA!D561,"")</f>
        <v>9027500000</v>
      </c>
    </row>
    <row r="563" spans="1:43" ht="15.75" x14ac:dyDescent="0.25">
      <c r="A563" s="11" t="s">
        <v>57</v>
      </c>
      <c r="B563" s="11" t="s">
        <v>56</v>
      </c>
      <c r="C563" s="22">
        <f t="shared" si="38"/>
        <v>25001620</v>
      </c>
      <c r="D563" s="11" t="str">
        <f t="shared" si="35"/>
        <v>SKIIFM_AT</v>
      </c>
      <c r="E563" s="11" t="str">
        <f>IF(I563&lt;&gt;"",VLOOKUP(F563,OPDRACHTGEVER!$A$2:$B$4,2,FALSE),"")</f>
        <v>SKIIFM_AT</v>
      </c>
      <c r="F563" s="11" t="s">
        <v>58</v>
      </c>
      <c r="I563" s="11" t="str">
        <f>IF(DATA!B562&lt;&gt;"",DATA!B562,"")</f>
        <v>CRXU9943805</v>
      </c>
      <c r="J563" s="12">
        <v>0</v>
      </c>
      <c r="K563" s="11" t="s">
        <v>53</v>
      </c>
      <c r="L563" s="11" t="str">
        <f t="shared" si="36"/>
        <v>902300</v>
      </c>
      <c r="M563" s="11" t="str">
        <f>IF(I563&lt;&gt;"",DATA!E562,"")</f>
        <v>INTUBATION MANIKIN STUDY TEACHING MODEL</v>
      </c>
      <c r="N563" s="12">
        <v>0</v>
      </c>
      <c r="O563" s="11">
        <f>IF(I563&lt;&gt;"",DATA!C562,"")</f>
        <v>0.6</v>
      </c>
      <c r="P563" s="2">
        <v>294094</v>
      </c>
      <c r="Q563" s="2" t="s">
        <v>1304</v>
      </c>
      <c r="R563" s="2" t="s">
        <v>1317</v>
      </c>
      <c r="S563" s="2">
        <v>565</v>
      </c>
      <c r="T563" s="2">
        <v>1</v>
      </c>
      <c r="U563" s="2" t="s">
        <v>141</v>
      </c>
      <c r="Y563" s="2">
        <v>1700</v>
      </c>
      <c r="Z563" s="11" t="s">
        <v>54</v>
      </c>
      <c r="AA563" s="11" t="str">
        <f t="shared" si="37"/>
        <v>1700 - TBN</v>
      </c>
      <c r="AC563" s="2" t="s">
        <v>145</v>
      </c>
      <c r="AD563" s="11" t="str">
        <f>IF($I563&lt;&gt;"",VLOOKUP($AC563,GEADRESSEERDE!$A$2:$E$4,2,),"")</f>
        <v>LUITHAGEN HAVEN 2 D</v>
      </c>
      <c r="AE563" s="11">
        <f>IF($I563&lt;&gt;"",VLOOKUP($AC563,GEADRESSEERDE!$A$2:$E$4,3,),"")</f>
        <v>2030</v>
      </c>
      <c r="AF563" s="11" t="str">
        <f>IF($I563&lt;&gt;"",VLOOKUP($AC563,GEADRESSEERDE!$A$2:$E$4,4,),"")</f>
        <v>ANTWERPEN</v>
      </c>
      <c r="AG563" s="11" t="str">
        <f>IF($I563&lt;&gt;"",VLOOKUP($AC563,GEADRESSEERDE!$A$2:$E$4,5,),"")</f>
        <v>BE</v>
      </c>
      <c r="AH563" s="11" t="str">
        <f>IF(I563&lt;&gt;"",VLOOKUP(AP563,KvB!$A$2:$B$3,2,FALSE),"")</f>
        <v>BE101000</v>
      </c>
      <c r="AI563" s="11" t="s">
        <v>55</v>
      </c>
      <c r="AJ563" s="11"/>
      <c r="AK563" s="11"/>
      <c r="AL563" s="11"/>
      <c r="AM563" s="11"/>
      <c r="AN563" s="11"/>
      <c r="AO563" s="11"/>
      <c r="AP563" s="2" t="s">
        <v>70</v>
      </c>
      <c r="AQ563" s="11" t="str">
        <f>IF(I563&lt;&gt;"",DATA!D562,"")</f>
        <v>9023008000</v>
      </c>
    </row>
    <row r="564" spans="1:43" ht="15.75" x14ac:dyDescent="0.25">
      <c r="A564" s="11" t="s">
        <v>57</v>
      </c>
      <c r="B564" s="11" t="s">
        <v>56</v>
      </c>
      <c r="C564" s="22">
        <f t="shared" si="38"/>
        <v>25001620</v>
      </c>
      <c r="D564" s="11" t="str">
        <f t="shared" ref="D564:D627" si="39">E564</f>
        <v>SKIIFM_AT</v>
      </c>
      <c r="E564" s="11" t="str">
        <f>IF(I564&lt;&gt;"",VLOOKUP(F564,OPDRACHTGEVER!$A$2:$B$4,2,FALSE),"")</f>
        <v>SKIIFM_AT</v>
      </c>
      <c r="F564" s="11" t="s">
        <v>58</v>
      </c>
      <c r="I564" s="11" t="str">
        <f>IF(DATA!B563&lt;&gt;"",DATA!B563,"")</f>
        <v>CRXU9943805</v>
      </c>
      <c r="J564" s="12">
        <v>0</v>
      </c>
      <c r="K564" s="11" t="s">
        <v>53</v>
      </c>
      <c r="L564" s="11" t="str">
        <f t="shared" ref="L564:L627" si="40">LEFT(AQ564,6)</f>
        <v>741920</v>
      </c>
      <c r="M564" s="11" t="str">
        <f>IF(I564&lt;&gt;"",DATA!E563,"")</f>
        <v>PIZZA PLATE</v>
      </c>
      <c r="N564" s="12">
        <v>0</v>
      </c>
      <c r="O564" s="11">
        <f>IF(I564&lt;&gt;"",DATA!C563,"")</f>
        <v>5.9</v>
      </c>
      <c r="P564" s="2">
        <v>294094</v>
      </c>
      <c r="Q564" s="2" t="s">
        <v>1304</v>
      </c>
      <c r="R564" s="2" t="s">
        <v>1317</v>
      </c>
      <c r="S564" s="2">
        <v>565</v>
      </c>
      <c r="T564" s="2">
        <v>1</v>
      </c>
      <c r="U564" s="2" t="s">
        <v>141</v>
      </c>
      <c r="Y564" s="2">
        <v>1700</v>
      </c>
      <c r="Z564" s="11" t="s">
        <v>54</v>
      </c>
      <c r="AA564" s="11" t="str">
        <f t="shared" ref="AA564:AA627" si="41">IF(I564&lt;&gt;"",Y564&amp;" - "&amp;Z564,"")</f>
        <v>1700 - TBN</v>
      </c>
      <c r="AC564" s="2" t="s">
        <v>145</v>
      </c>
      <c r="AD564" s="11" t="str">
        <f>IF($I564&lt;&gt;"",VLOOKUP($AC564,GEADRESSEERDE!$A$2:$E$4,2,),"")</f>
        <v>LUITHAGEN HAVEN 2 D</v>
      </c>
      <c r="AE564" s="11">
        <f>IF($I564&lt;&gt;"",VLOOKUP($AC564,GEADRESSEERDE!$A$2:$E$4,3,),"")</f>
        <v>2030</v>
      </c>
      <c r="AF564" s="11" t="str">
        <f>IF($I564&lt;&gt;"",VLOOKUP($AC564,GEADRESSEERDE!$A$2:$E$4,4,),"")</f>
        <v>ANTWERPEN</v>
      </c>
      <c r="AG564" s="11" t="str">
        <f>IF($I564&lt;&gt;"",VLOOKUP($AC564,GEADRESSEERDE!$A$2:$E$4,5,),"")</f>
        <v>BE</v>
      </c>
      <c r="AH564" s="11" t="str">
        <f>IF(I564&lt;&gt;"",VLOOKUP(AP564,KvB!$A$2:$B$3,2,FALSE),"")</f>
        <v>BE101000</v>
      </c>
      <c r="AI564" s="11" t="s">
        <v>55</v>
      </c>
      <c r="AJ564" s="11"/>
      <c r="AK564" s="11"/>
      <c r="AL564" s="11"/>
      <c r="AM564" s="11"/>
      <c r="AN564" s="11"/>
      <c r="AO564" s="11"/>
      <c r="AP564" s="2" t="s">
        <v>70</v>
      </c>
      <c r="AQ564" s="11" t="str">
        <f>IF(I564&lt;&gt;"",DATA!D563,"")</f>
        <v>7419200090</v>
      </c>
    </row>
    <row r="565" spans="1:43" ht="15.75" x14ac:dyDescent="0.25">
      <c r="A565" s="11" t="s">
        <v>57</v>
      </c>
      <c r="B565" s="11" t="s">
        <v>56</v>
      </c>
      <c r="C565" s="22">
        <f t="shared" si="38"/>
        <v>25001620</v>
      </c>
      <c r="D565" s="11" t="str">
        <f t="shared" si="39"/>
        <v>SKIIFM_AT</v>
      </c>
      <c r="E565" s="11" t="str">
        <f>IF(I565&lt;&gt;"",VLOOKUP(F565,OPDRACHTGEVER!$A$2:$B$4,2,FALSE),"")</f>
        <v>SKIIFM_AT</v>
      </c>
      <c r="F565" s="11" t="s">
        <v>58</v>
      </c>
      <c r="I565" s="11" t="str">
        <f>IF(DATA!B564&lt;&gt;"",DATA!B564,"")</f>
        <v>CRXU9943805</v>
      </c>
      <c r="J565" s="12">
        <v>0</v>
      </c>
      <c r="K565" s="11" t="s">
        <v>53</v>
      </c>
      <c r="L565" s="11" t="str">
        <f t="shared" si="40"/>
        <v>851679</v>
      </c>
      <c r="M565" s="11" t="str">
        <f>IF(I565&lt;&gt;"",DATA!E564,"")</f>
        <v>SAUNA STOVE</v>
      </c>
      <c r="N565" s="12">
        <v>0</v>
      </c>
      <c r="O565" s="11">
        <f>IF(I565&lt;&gt;"",DATA!C564,"")</f>
        <v>2213.9699999999998</v>
      </c>
      <c r="P565" s="2">
        <v>294094</v>
      </c>
      <c r="Q565" s="2" t="s">
        <v>1304</v>
      </c>
      <c r="R565" s="2" t="s">
        <v>1317</v>
      </c>
      <c r="S565" s="2">
        <v>565</v>
      </c>
      <c r="T565" s="2">
        <v>1</v>
      </c>
      <c r="U565" s="2" t="s">
        <v>141</v>
      </c>
      <c r="Y565" s="2">
        <v>1700</v>
      </c>
      <c r="Z565" s="11" t="s">
        <v>54</v>
      </c>
      <c r="AA565" s="11" t="str">
        <f t="shared" si="41"/>
        <v>1700 - TBN</v>
      </c>
      <c r="AC565" s="2" t="s">
        <v>145</v>
      </c>
      <c r="AD565" s="11" t="str">
        <f>IF($I565&lt;&gt;"",VLOOKUP($AC565,GEADRESSEERDE!$A$2:$E$4,2,),"")</f>
        <v>LUITHAGEN HAVEN 2 D</v>
      </c>
      <c r="AE565" s="11">
        <f>IF($I565&lt;&gt;"",VLOOKUP($AC565,GEADRESSEERDE!$A$2:$E$4,3,),"")</f>
        <v>2030</v>
      </c>
      <c r="AF565" s="11" t="str">
        <f>IF($I565&lt;&gt;"",VLOOKUP($AC565,GEADRESSEERDE!$A$2:$E$4,4,),"")</f>
        <v>ANTWERPEN</v>
      </c>
      <c r="AG565" s="11" t="str">
        <f>IF($I565&lt;&gt;"",VLOOKUP($AC565,GEADRESSEERDE!$A$2:$E$4,5,),"")</f>
        <v>BE</v>
      </c>
      <c r="AH565" s="11" t="str">
        <f>IF(I565&lt;&gt;"",VLOOKUP(AP565,KvB!$A$2:$B$3,2,FALSE),"")</f>
        <v>BE101000</v>
      </c>
      <c r="AI565" s="11" t="s">
        <v>55</v>
      </c>
      <c r="AJ565" s="11"/>
      <c r="AK565" s="11"/>
      <c r="AL565" s="11"/>
      <c r="AM565" s="11"/>
      <c r="AN565" s="11"/>
      <c r="AO565" s="11"/>
      <c r="AP565" s="2" t="s">
        <v>70</v>
      </c>
      <c r="AQ565" s="11" t="str">
        <f>IF(I565&lt;&gt;"",DATA!D564,"")</f>
        <v>8516797090</v>
      </c>
    </row>
    <row r="566" spans="1:43" ht="15.75" x14ac:dyDescent="0.25">
      <c r="A566" s="11" t="s">
        <v>57</v>
      </c>
      <c r="B566" s="11" t="s">
        <v>56</v>
      </c>
      <c r="C566" s="22">
        <f t="shared" si="38"/>
        <v>25001620</v>
      </c>
      <c r="D566" s="11" t="str">
        <f t="shared" si="39"/>
        <v>SKIIFM_AT</v>
      </c>
      <c r="E566" s="11" t="str">
        <f>IF(I566&lt;&gt;"",VLOOKUP(F566,OPDRACHTGEVER!$A$2:$B$4,2,FALSE),"")</f>
        <v>SKIIFM_AT</v>
      </c>
      <c r="F566" s="11" t="s">
        <v>58</v>
      </c>
      <c r="I566" s="11" t="str">
        <f>IF(DATA!B565&lt;&gt;"",DATA!B565,"")</f>
        <v>CRXU9943805</v>
      </c>
      <c r="J566" s="12">
        <v>0</v>
      </c>
      <c r="K566" s="11" t="s">
        <v>53</v>
      </c>
      <c r="L566" s="11" t="str">
        <f t="shared" si="40"/>
        <v>854143</v>
      </c>
      <c r="M566" s="11" t="str">
        <f>IF(I566&lt;&gt;"",DATA!E565,"")</f>
        <v>SOLAR CONTROLLER</v>
      </c>
      <c r="N566" s="12">
        <v>0</v>
      </c>
      <c r="O566" s="11">
        <f>IF(I566&lt;&gt;"",DATA!C565,"")</f>
        <v>1.65</v>
      </c>
      <c r="P566" s="2">
        <v>294094</v>
      </c>
      <c r="Q566" s="2" t="s">
        <v>1304</v>
      </c>
      <c r="R566" s="2" t="s">
        <v>1317</v>
      </c>
      <c r="S566" s="2">
        <v>565</v>
      </c>
      <c r="T566" s="2">
        <v>1</v>
      </c>
      <c r="U566" s="2" t="s">
        <v>141</v>
      </c>
      <c r="Y566" s="2">
        <v>1700</v>
      </c>
      <c r="Z566" s="11" t="s">
        <v>54</v>
      </c>
      <c r="AA566" s="11" t="str">
        <f t="shared" si="41"/>
        <v>1700 - TBN</v>
      </c>
      <c r="AC566" s="2" t="s">
        <v>145</v>
      </c>
      <c r="AD566" s="11" t="str">
        <f>IF($I566&lt;&gt;"",VLOOKUP($AC566,GEADRESSEERDE!$A$2:$E$4,2,),"")</f>
        <v>LUITHAGEN HAVEN 2 D</v>
      </c>
      <c r="AE566" s="11">
        <f>IF($I566&lt;&gt;"",VLOOKUP($AC566,GEADRESSEERDE!$A$2:$E$4,3,),"")</f>
        <v>2030</v>
      </c>
      <c r="AF566" s="11" t="str">
        <f>IF($I566&lt;&gt;"",VLOOKUP($AC566,GEADRESSEERDE!$A$2:$E$4,4,),"")</f>
        <v>ANTWERPEN</v>
      </c>
      <c r="AG566" s="11" t="str">
        <f>IF($I566&lt;&gt;"",VLOOKUP($AC566,GEADRESSEERDE!$A$2:$E$4,5,),"")</f>
        <v>BE</v>
      </c>
      <c r="AH566" s="11" t="str">
        <f>IF(I566&lt;&gt;"",VLOOKUP(AP566,KvB!$A$2:$B$3,2,FALSE),"")</f>
        <v>BE101000</v>
      </c>
      <c r="AI566" s="11" t="s">
        <v>55</v>
      </c>
      <c r="AJ566" s="11"/>
      <c r="AK566" s="11"/>
      <c r="AL566" s="11"/>
      <c r="AM566" s="11"/>
      <c r="AN566" s="11"/>
      <c r="AO566" s="11"/>
      <c r="AP566" s="2" t="s">
        <v>70</v>
      </c>
      <c r="AQ566" s="11" t="str">
        <f>IF(I566&lt;&gt;"",DATA!D565,"")</f>
        <v>8541430000</v>
      </c>
    </row>
    <row r="567" spans="1:43" ht="15.75" x14ac:dyDescent="0.25">
      <c r="A567" s="11" t="s">
        <v>57</v>
      </c>
      <c r="B567" s="11" t="s">
        <v>56</v>
      </c>
      <c r="C567" s="22">
        <f t="shared" si="38"/>
        <v>25001620</v>
      </c>
      <c r="D567" s="11" t="str">
        <f t="shared" si="39"/>
        <v>SKIIFM_AT</v>
      </c>
      <c r="E567" s="11" t="str">
        <f>IF(I567&lt;&gt;"",VLOOKUP(F567,OPDRACHTGEVER!$A$2:$B$4,2,FALSE),"")</f>
        <v>SKIIFM_AT</v>
      </c>
      <c r="F567" s="11" t="s">
        <v>58</v>
      </c>
      <c r="I567" s="11" t="str">
        <f>IF(DATA!B566&lt;&gt;"",DATA!B566,"")</f>
        <v>CRXU9943805</v>
      </c>
      <c r="J567" s="12">
        <v>0</v>
      </c>
      <c r="K567" s="11" t="s">
        <v>53</v>
      </c>
      <c r="L567" s="11" t="str">
        <f t="shared" si="40"/>
        <v>420292</v>
      </c>
      <c r="M567" s="11" t="str">
        <f>IF(I567&lt;&gt;"",DATA!E566,"")</f>
        <v>SPORTS BACKPACK</v>
      </c>
      <c r="N567" s="12">
        <v>0</v>
      </c>
      <c r="O567" s="11">
        <f>IF(I567&lt;&gt;"",DATA!C566,"")</f>
        <v>0.9</v>
      </c>
      <c r="P567" s="2">
        <v>294094</v>
      </c>
      <c r="Q567" s="2" t="s">
        <v>1304</v>
      </c>
      <c r="R567" s="2" t="s">
        <v>1317</v>
      </c>
      <c r="S567" s="2">
        <v>565</v>
      </c>
      <c r="T567" s="2">
        <v>1</v>
      </c>
      <c r="U567" s="2" t="s">
        <v>141</v>
      </c>
      <c r="Y567" s="2">
        <v>1700</v>
      </c>
      <c r="Z567" s="11" t="s">
        <v>54</v>
      </c>
      <c r="AA567" s="11" t="str">
        <f t="shared" si="41"/>
        <v>1700 - TBN</v>
      </c>
      <c r="AC567" s="2" t="s">
        <v>145</v>
      </c>
      <c r="AD567" s="11" t="str">
        <f>IF($I567&lt;&gt;"",VLOOKUP($AC567,GEADRESSEERDE!$A$2:$E$4,2,),"")</f>
        <v>LUITHAGEN HAVEN 2 D</v>
      </c>
      <c r="AE567" s="11">
        <f>IF($I567&lt;&gt;"",VLOOKUP($AC567,GEADRESSEERDE!$A$2:$E$4,3,),"")</f>
        <v>2030</v>
      </c>
      <c r="AF567" s="11" t="str">
        <f>IF($I567&lt;&gt;"",VLOOKUP($AC567,GEADRESSEERDE!$A$2:$E$4,4,),"")</f>
        <v>ANTWERPEN</v>
      </c>
      <c r="AG567" s="11" t="str">
        <f>IF($I567&lt;&gt;"",VLOOKUP($AC567,GEADRESSEERDE!$A$2:$E$4,5,),"")</f>
        <v>BE</v>
      </c>
      <c r="AH567" s="11" t="str">
        <f>IF(I567&lt;&gt;"",VLOOKUP(AP567,KvB!$A$2:$B$3,2,FALSE),"")</f>
        <v>BE101000</v>
      </c>
      <c r="AI567" s="11" t="s">
        <v>55</v>
      </c>
      <c r="AJ567" s="11"/>
      <c r="AK567" s="11"/>
      <c r="AL567" s="11"/>
      <c r="AM567" s="11"/>
      <c r="AN567" s="11"/>
      <c r="AO567" s="11"/>
      <c r="AP567" s="2" t="s">
        <v>70</v>
      </c>
      <c r="AQ567" s="11" t="str">
        <f>IF(I567&lt;&gt;"",DATA!D566,"")</f>
        <v>4202929890</v>
      </c>
    </row>
    <row r="568" spans="1:43" ht="15.75" x14ac:dyDescent="0.25">
      <c r="A568" s="11" t="s">
        <v>57</v>
      </c>
      <c r="B568" s="11" t="s">
        <v>56</v>
      </c>
      <c r="C568" s="22">
        <f t="shared" si="38"/>
        <v>25001620</v>
      </c>
      <c r="D568" s="11" t="str">
        <f t="shared" si="39"/>
        <v>SKIIFM_AT</v>
      </c>
      <c r="E568" s="11" t="str">
        <f>IF(I568&lt;&gt;"",VLOOKUP(F568,OPDRACHTGEVER!$A$2:$B$4,2,FALSE),"")</f>
        <v>SKIIFM_AT</v>
      </c>
      <c r="F568" s="11" t="s">
        <v>58</v>
      </c>
      <c r="I568" s="11" t="str">
        <f>IF(DATA!B567&lt;&gt;"",DATA!B567,"")</f>
        <v>CRXU9943805</v>
      </c>
      <c r="J568" s="12">
        <v>0</v>
      </c>
      <c r="K568" s="11" t="s">
        <v>53</v>
      </c>
      <c r="L568" s="11" t="str">
        <f t="shared" si="40"/>
        <v>940180</v>
      </c>
      <c r="M568" s="11" t="str">
        <f>IF(I568&lt;&gt;"",DATA!E567,"")</f>
        <v>STEP STOOL</v>
      </c>
      <c r="N568" s="12">
        <v>0</v>
      </c>
      <c r="O568" s="11">
        <f>IF(I568&lt;&gt;"",DATA!C567,"")</f>
        <v>2.4</v>
      </c>
      <c r="P568" s="2">
        <v>294094</v>
      </c>
      <c r="Q568" s="2" t="s">
        <v>1304</v>
      </c>
      <c r="R568" s="2" t="s">
        <v>1317</v>
      </c>
      <c r="S568" s="2">
        <v>565</v>
      </c>
      <c r="T568" s="2">
        <v>1</v>
      </c>
      <c r="U568" s="2" t="s">
        <v>141</v>
      </c>
      <c r="Y568" s="2">
        <v>1700</v>
      </c>
      <c r="Z568" s="11" t="s">
        <v>54</v>
      </c>
      <c r="AA568" s="11" t="str">
        <f t="shared" si="41"/>
        <v>1700 - TBN</v>
      </c>
      <c r="AC568" s="2" t="s">
        <v>145</v>
      </c>
      <c r="AD568" s="11" t="str">
        <f>IF($I568&lt;&gt;"",VLOOKUP($AC568,GEADRESSEERDE!$A$2:$E$4,2,),"")</f>
        <v>LUITHAGEN HAVEN 2 D</v>
      </c>
      <c r="AE568" s="11">
        <f>IF($I568&lt;&gt;"",VLOOKUP($AC568,GEADRESSEERDE!$A$2:$E$4,3,),"")</f>
        <v>2030</v>
      </c>
      <c r="AF568" s="11" t="str">
        <f>IF($I568&lt;&gt;"",VLOOKUP($AC568,GEADRESSEERDE!$A$2:$E$4,4,),"")</f>
        <v>ANTWERPEN</v>
      </c>
      <c r="AG568" s="11" t="str">
        <f>IF($I568&lt;&gt;"",VLOOKUP($AC568,GEADRESSEERDE!$A$2:$E$4,5,),"")</f>
        <v>BE</v>
      </c>
      <c r="AH568" s="11" t="str">
        <f>IF(I568&lt;&gt;"",VLOOKUP(AP568,KvB!$A$2:$B$3,2,FALSE),"")</f>
        <v>BE101000</v>
      </c>
      <c r="AI568" s="11" t="s">
        <v>55</v>
      </c>
      <c r="AJ568" s="11"/>
      <c r="AK568" s="11"/>
      <c r="AL568" s="11"/>
      <c r="AM568" s="11"/>
      <c r="AN568" s="11"/>
      <c r="AO568" s="11"/>
      <c r="AP568" s="2" t="s">
        <v>70</v>
      </c>
      <c r="AQ568" s="11" t="str">
        <f>IF(I568&lt;&gt;"",DATA!D567,"")</f>
        <v>9401800000</v>
      </c>
    </row>
    <row r="569" spans="1:43" ht="15.75" x14ac:dyDescent="0.25">
      <c r="A569" s="11" t="s">
        <v>57</v>
      </c>
      <c r="B569" s="11" t="s">
        <v>56</v>
      </c>
      <c r="C569" s="22">
        <f t="shared" si="38"/>
        <v>25001620</v>
      </c>
      <c r="D569" s="11" t="str">
        <f t="shared" si="39"/>
        <v>SKIIFM_AT</v>
      </c>
      <c r="E569" s="11" t="str">
        <f>IF(I569&lt;&gt;"",VLOOKUP(F569,OPDRACHTGEVER!$A$2:$B$4,2,FALSE),"")</f>
        <v>SKIIFM_AT</v>
      </c>
      <c r="F569" s="11" t="s">
        <v>58</v>
      </c>
      <c r="I569" s="11" t="str">
        <f>IF(DATA!B568&lt;&gt;"",DATA!B568,"")</f>
        <v>CRXU9943805</v>
      </c>
      <c r="J569" s="12">
        <v>0</v>
      </c>
      <c r="K569" s="11" t="s">
        <v>53</v>
      </c>
      <c r="L569" s="11" t="str">
        <f t="shared" si="40"/>
        <v>820551</v>
      </c>
      <c r="M569" s="11" t="str">
        <f>IF(I569&lt;&gt;"",DATA!E568,"")</f>
        <v>SURFACE PRESS</v>
      </c>
      <c r="N569" s="12">
        <v>0</v>
      </c>
      <c r="O569" s="11">
        <f>IF(I569&lt;&gt;"",DATA!C568,"")</f>
        <v>1.1000000000000001</v>
      </c>
      <c r="P569" s="2">
        <v>294094</v>
      </c>
      <c r="Q569" s="2" t="s">
        <v>1304</v>
      </c>
      <c r="R569" s="2" t="s">
        <v>1317</v>
      </c>
      <c r="S569" s="2">
        <v>565</v>
      </c>
      <c r="T569" s="2">
        <v>1</v>
      </c>
      <c r="U569" s="2" t="s">
        <v>141</v>
      </c>
      <c r="Y569" s="2">
        <v>1700</v>
      </c>
      <c r="Z569" s="11" t="s">
        <v>54</v>
      </c>
      <c r="AA569" s="11" t="str">
        <f t="shared" si="41"/>
        <v>1700 - TBN</v>
      </c>
      <c r="AC569" s="2" t="s">
        <v>145</v>
      </c>
      <c r="AD569" s="11" t="str">
        <f>IF($I569&lt;&gt;"",VLOOKUP($AC569,GEADRESSEERDE!$A$2:$E$4,2,),"")</f>
        <v>LUITHAGEN HAVEN 2 D</v>
      </c>
      <c r="AE569" s="11">
        <f>IF($I569&lt;&gt;"",VLOOKUP($AC569,GEADRESSEERDE!$A$2:$E$4,3,),"")</f>
        <v>2030</v>
      </c>
      <c r="AF569" s="11" t="str">
        <f>IF($I569&lt;&gt;"",VLOOKUP($AC569,GEADRESSEERDE!$A$2:$E$4,4,),"")</f>
        <v>ANTWERPEN</v>
      </c>
      <c r="AG569" s="11" t="str">
        <f>IF($I569&lt;&gt;"",VLOOKUP($AC569,GEADRESSEERDE!$A$2:$E$4,5,),"")</f>
        <v>BE</v>
      </c>
      <c r="AH569" s="11" t="str">
        <f>IF(I569&lt;&gt;"",VLOOKUP(AP569,KvB!$A$2:$B$3,2,FALSE),"")</f>
        <v>BE101000</v>
      </c>
      <c r="AI569" s="11" t="s">
        <v>55</v>
      </c>
      <c r="AJ569" s="11"/>
      <c r="AK569" s="11"/>
      <c r="AL569" s="11"/>
      <c r="AM569" s="11"/>
      <c r="AN569" s="11"/>
      <c r="AO569" s="11"/>
      <c r="AP569" s="2" t="s">
        <v>70</v>
      </c>
      <c r="AQ569" s="11" t="str">
        <f>IF(I569&lt;&gt;"",DATA!D568,"")</f>
        <v>8205510000</v>
      </c>
    </row>
    <row r="570" spans="1:43" ht="15.75" x14ac:dyDescent="0.25">
      <c r="A570" s="11" t="s">
        <v>57</v>
      </c>
      <c r="B570" s="11" t="s">
        <v>56</v>
      </c>
      <c r="C570" s="22">
        <f t="shared" si="38"/>
        <v>25001620</v>
      </c>
      <c r="D570" s="11" t="str">
        <f t="shared" si="39"/>
        <v>SKIIFM_AT</v>
      </c>
      <c r="E570" s="11" t="str">
        <f>IF(I570&lt;&gt;"",VLOOKUP(F570,OPDRACHTGEVER!$A$2:$B$4,2,FALSE),"")</f>
        <v>SKIIFM_AT</v>
      </c>
      <c r="F570" s="11" t="s">
        <v>58</v>
      </c>
      <c r="I570" s="11" t="str">
        <f>IF(DATA!B569&lt;&gt;"",DATA!B569,"")</f>
        <v>CRXU9943805</v>
      </c>
      <c r="J570" s="12">
        <v>0</v>
      </c>
      <c r="K570" s="11" t="s">
        <v>53</v>
      </c>
      <c r="L570" s="11" t="str">
        <f t="shared" si="40"/>
        <v>820559</v>
      </c>
      <c r="M570" s="11" t="str">
        <f>IF(I570&lt;&gt;"",DATA!E569,"")</f>
        <v>TABLE SAW MITER GAUGE</v>
      </c>
      <c r="N570" s="12">
        <v>0</v>
      </c>
      <c r="O570" s="11">
        <f>IF(I570&lt;&gt;"",DATA!C569,"")</f>
        <v>199.5</v>
      </c>
      <c r="P570" s="2">
        <v>294094</v>
      </c>
      <c r="Q570" s="2" t="s">
        <v>1304</v>
      </c>
      <c r="R570" s="2" t="s">
        <v>1317</v>
      </c>
      <c r="S570" s="2">
        <v>565</v>
      </c>
      <c r="T570" s="2">
        <v>1</v>
      </c>
      <c r="U570" s="2" t="s">
        <v>141</v>
      </c>
      <c r="Y570" s="2">
        <v>1700</v>
      </c>
      <c r="Z570" s="11" t="s">
        <v>54</v>
      </c>
      <c r="AA570" s="11" t="str">
        <f t="shared" si="41"/>
        <v>1700 - TBN</v>
      </c>
      <c r="AC570" s="2" t="s">
        <v>145</v>
      </c>
      <c r="AD570" s="11" t="str">
        <f>IF($I570&lt;&gt;"",VLOOKUP($AC570,GEADRESSEERDE!$A$2:$E$4,2,),"")</f>
        <v>LUITHAGEN HAVEN 2 D</v>
      </c>
      <c r="AE570" s="11">
        <f>IF($I570&lt;&gt;"",VLOOKUP($AC570,GEADRESSEERDE!$A$2:$E$4,3,),"")</f>
        <v>2030</v>
      </c>
      <c r="AF570" s="11" t="str">
        <f>IF($I570&lt;&gt;"",VLOOKUP($AC570,GEADRESSEERDE!$A$2:$E$4,4,),"")</f>
        <v>ANTWERPEN</v>
      </c>
      <c r="AG570" s="11" t="str">
        <f>IF($I570&lt;&gt;"",VLOOKUP($AC570,GEADRESSEERDE!$A$2:$E$4,5,),"")</f>
        <v>BE</v>
      </c>
      <c r="AH570" s="11" t="str">
        <f>IF(I570&lt;&gt;"",VLOOKUP(AP570,KvB!$A$2:$B$3,2,FALSE),"")</f>
        <v>BE101000</v>
      </c>
      <c r="AI570" s="11" t="s">
        <v>55</v>
      </c>
      <c r="AJ570" s="11"/>
      <c r="AK570" s="11"/>
      <c r="AL570" s="11"/>
      <c r="AM570" s="11"/>
      <c r="AN570" s="11"/>
      <c r="AO570" s="11"/>
      <c r="AP570" s="2" t="s">
        <v>70</v>
      </c>
      <c r="AQ570" s="11" t="str">
        <f>IF(I570&lt;&gt;"",DATA!D569,"")</f>
        <v>8205598000</v>
      </c>
    </row>
    <row r="571" spans="1:43" ht="15.75" x14ac:dyDescent="0.25">
      <c r="A571" s="11" t="s">
        <v>57</v>
      </c>
      <c r="B571" s="11" t="s">
        <v>56</v>
      </c>
      <c r="C571" s="22">
        <f t="shared" si="38"/>
        <v>25001620</v>
      </c>
      <c r="D571" s="11" t="str">
        <f t="shared" si="39"/>
        <v>SKIIFM_AT</v>
      </c>
      <c r="E571" s="11" t="str">
        <f>IF(I571&lt;&gt;"",VLOOKUP(F571,OPDRACHTGEVER!$A$2:$B$4,2,FALSE),"")</f>
        <v>SKIIFM_AT</v>
      </c>
      <c r="F571" s="11" t="s">
        <v>58</v>
      </c>
      <c r="I571" s="11" t="str">
        <f>IF(DATA!B570&lt;&gt;"",DATA!B570,"")</f>
        <v>CRXU9943805</v>
      </c>
      <c r="J571" s="12">
        <v>0</v>
      </c>
      <c r="K571" s="11" t="s">
        <v>53</v>
      </c>
      <c r="L571" s="11" t="str">
        <f t="shared" si="40"/>
        <v>847989</v>
      </c>
      <c r="M571" s="11" t="str">
        <f>IF(I571&lt;&gt;"",DATA!E570,"")</f>
        <v>ULTRASONIC JEWELRY CLEANER</v>
      </c>
      <c r="N571" s="12">
        <v>0</v>
      </c>
      <c r="O571" s="11">
        <f>IF(I571&lt;&gt;"",DATA!C570,"")</f>
        <v>184.9</v>
      </c>
      <c r="P571" s="2">
        <v>294094</v>
      </c>
      <c r="Q571" s="2" t="s">
        <v>1304</v>
      </c>
      <c r="R571" s="2" t="s">
        <v>1317</v>
      </c>
      <c r="S571" s="2">
        <v>565</v>
      </c>
      <c r="T571" s="2">
        <v>1</v>
      </c>
      <c r="U571" s="2" t="s">
        <v>141</v>
      </c>
      <c r="Y571" s="2">
        <v>1700</v>
      </c>
      <c r="Z571" s="11" t="s">
        <v>54</v>
      </c>
      <c r="AA571" s="11" t="str">
        <f t="shared" si="41"/>
        <v>1700 - TBN</v>
      </c>
      <c r="AC571" s="2" t="s">
        <v>145</v>
      </c>
      <c r="AD571" s="11" t="str">
        <f>IF($I571&lt;&gt;"",VLOOKUP($AC571,GEADRESSEERDE!$A$2:$E$4,2,),"")</f>
        <v>LUITHAGEN HAVEN 2 D</v>
      </c>
      <c r="AE571" s="11">
        <f>IF($I571&lt;&gt;"",VLOOKUP($AC571,GEADRESSEERDE!$A$2:$E$4,3,),"")</f>
        <v>2030</v>
      </c>
      <c r="AF571" s="11" t="str">
        <f>IF($I571&lt;&gt;"",VLOOKUP($AC571,GEADRESSEERDE!$A$2:$E$4,4,),"")</f>
        <v>ANTWERPEN</v>
      </c>
      <c r="AG571" s="11" t="str">
        <f>IF($I571&lt;&gt;"",VLOOKUP($AC571,GEADRESSEERDE!$A$2:$E$4,5,),"")</f>
        <v>BE</v>
      </c>
      <c r="AH571" s="11" t="str">
        <f>IF(I571&lt;&gt;"",VLOOKUP(AP571,KvB!$A$2:$B$3,2,FALSE),"")</f>
        <v>BE101000</v>
      </c>
      <c r="AI571" s="11" t="s">
        <v>55</v>
      </c>
      <c r="AJ571" s="11"/>
      <c r="AK571" s="11"/>
      <c r="AL571" s="11"/>
      <c r="AM571" s="11"/>
      <c r="AN571" s="11"/>
      <c r="AO571" s="11"/>
      <c r="AP571" s="2" t="s">
        <v>70</v>
      </c>
      <c r="AQ571" s="11" t="str">
        <f>IF(I571&lt;&gt;"",DATA!D570,"")</f>
        <v>8479899790</v>
      </c>
    </row>
    <row r="572" spans="1:43" ht="15.75" x14ac:dyDescent="0.25">
      <c r="A572" s="11" t="s">
        <v>57</v>
      </c>
      <c r="B572" s="11" t="s">
        <v>56</v>
      </c>
      <c r="C572" s="22">
        <f t="shared" si="38"/>
        <v>25001620</v>
      </c>
      <c r="D572" s="11" t="str">
        <f t="shared" si="39"/>
        <v>SKIIFM_AT</v>
      </c>
      <c r="E572" s="11" t="str">
        <f>IF(I572&lt;&gt;"",VLOOKUP(F572,OPDRACHTGEVER!$A$2:$B$4,2,FALSE),"")</f>
        <v>SKIIFM_AT</v>
      </c>
      <c r="F572" s="11" t="s">
        <v>58</v>
      </c>
      <c r="I572" s="11" t="str">
        <f>IF(DATA!B571&lt;&gt;"",DATA!B571,"")</f>
        <v>CRXU9943805</v>
      </c>
      <c r="J572" s="12">
        <v>0</v>
      </c>
      <c r="K572" s="11" t="s">
        <v>53</v>
      </c>
      <c r="L572" s="11" t="str">
        <f t="shared" si="40"/>
        <v>741920</v>
      </c>
      <c r="M572" s="11" t="str">
        <f>IF(I572&lt;&gt;"",DATA!E571,"")</f>
        <v>UNIVERSAL DIAMOND SEAT</v>
      </c>
      <c r="N572" s="12">
        <v>0</v>
      </c>
      <c r="O572" s="11">
        <f>IF(I572&lt;&gt;"",DATA!C571,"")</f>
        <v>2.2999999999999998</v>
      </c>
      <c r="P572" s="2">
        <v>294094</v>
      </c>
      <c r="Q572" s="2" t="s">
        <v>1304</v>
      </c>
      <c r="R572" s="2" t="s">
        <v>1317</v>
      </c>
      <c r="S572" s="2">
        <v>565</v>
      </c>
      <c r="T572" s="2">
        <v>1</v>
      </c>
      <c r="U572" s="2" t="s">
        <v>141</v>
      </c>
      <c r="Y572" s="2">
        <v>1700</v>
      </c>
      <c r="Z572" s="11" t="s">
        <v>54</v>
      </c>
      <c r="AA572" s="11" t="str">
        <f t="shared" si="41"/>
        <v>1700 - TBN</v>
      </c>
      <c r="AC572" s="2" t="s">
        <v>145</v>
      </c>
      <c r="AD572" s="11" t="str">
        <f>IF($I572&lt;&gt;"",VLOOKUP($AC572,GEADRESSEERDE!$A$2:$E$4,2,),"")</f>
        <v>LUITHAGEN HAVEN 2 D</v>
      </c>
      <c r="AE572" s="11">
        <f>IF($I572&lt;&gt;"",VLOOKUP($AC572,GEADRESSEERDE!$A$2:$E$4,3,),"")</f>
        <v>2030</v>
      </c>
      <c r="AF572" s="11" t="str">
        <f>IF($I572&lt;&gt;"",VLOOKUP($AC572,GEADRESSEERDE!$A$2:$E$4,4,),"")</f>
        <v>ANTWERPEN</v>
      </c>
      <c r="AG572" s="11" t="str">
        <f>IF($I572&lt;&gt;"",VLOOKUP($AC572,GEADRESSEERDE!$A$2:$E$4,5,),"")</f>
        <v>BE</v>
      </c>
      <c r="AH572" s="11" t="str">
        <f>IF(I572&lt;&gt;"",VLOOKUP(AP572,KvB!$A$2:$B$3,2,FALSE),"")</f>
        <v>BE101000</v>
      </c>
      <c r="AI572" s="11" t="s">
        <v>55</v>
      </c>
      <c r="AJ572" s="11"/>
      <c r="AK572" s="11"/>
      <c r="AL572" s="11"/>
      <c r="AM572" s="11"/>
      <c r="AN572" s="11"/>
      <c r="AO572" s="11"/>
      <c r="AP572" s="2" t="s">
        <v>70</v>
      </c>
      <c r="AQ572" s="11" t="str">
        <f>IF(I572&lt;&gt;"",DATA!D571,"")</f>
        <v>7419200090</v>
      </c>
    </row>
    <row r="573" spans="1:43" ht="15.75" x14ac:dyDescent="0.25">
      <c r="A573" s="11" t="s">
        <v>57</v>
      </c>
      <c r="B573" s="11" t="s">
        <v>56</v>
      </c>
      <c r="C573" s="22">
        <f t="shared" si="38"/>
        <v>25001620</v>
      </c>
      <c r="D573" s="11" t="str">
        <f t="shared" si="39"/>
        <v>SKIIFM_AT</v>
      </c>
      <c r="E573" s="11" t="str">
        <f>IF(I573&lt;&gt;"",VLOOKUP(F573,OPDRACHTGEVER!$A$2:$B$4,2,FALSE),"")</f>
        <v>SKIIFM_AT</v>
      </c>
      <c r="F573" s="11" t="s">
        <v>58</v>
      </c>
      <c r="I573" s="11" t="str">
        <f>IF(DATA!B572&lt;&gt;"",DATA!B572,"")</f>
        <v>CRXU9943805</v>
      </c>
      <c r="J573" s="12">
        <v>0</v>
      </c>
      <c r="K573" s="11" t="s">
        <v>53</v>
      </c>
      <c r="L573" s="11" t="str">
        <f t="shared" si="40"/>
        <v>841830</v>
      </c>
      <c r="M573" s="11" t="str">
        <f>IF(I573&lt;&gt;"",DATA!E572,"")</f>
        <v>VEHICLE REFRIGERATOR</v>
      </c>
      <c r="N573" s="12">
        <v>0</v>
      </c>
      <c r="O573" s="11">
        <f>IF(I573&lt;&gt;"",DATA!C572,"")</f>
        <v>528</v>
      </c>
      <c r="P573" s="2">
        <v>294094</v>
      </c>
      <c r="Q573" s="2" t="s">
        <v>1304</v>
      </c>
      <c r="R573" s="2" t="s">
        <v>1317</v>
      </c>
      <c r="S573" s="2">
        <v>565</v>
      </c>
      <c r="T573" s="2">
        <v>1</v>
      </c>
      <c r="U573" s="2" t="s">
        <v>141</v>
      </c>
      <c r="Y573" s="2">
        <v>1700</v>
      </c>
      <c r="Z573" s="11" t="s">
        <v>54</v>
      </c>
      <c r="AA573" s="11" t="str">
        <f t="shared" si="41"/>
        <v>1700 - TBN</v>
      </c>
      <c r="AC573" s="2" t="s">
        <v>145</v>
      </c>
      <c r="AD573" s="11" t="str">
        <f>IF($I573&lt;&gt;"",VLOOKUP($AC573,GEADRESSEERDE!$A$2:$E$4,2,),"")</f>
        <v>LUITHAGEN HAVEN 2 D</v>
      </c>
      <c r="AE573" s="11">
        <f>IF($I573&lt;&gt;"",VLOOKUP($AC573,GEADRESSEERDE!$A$2:$E$4,3,),"")</f>
        <v>2030</v>
      </c>
      <c r="AF573" s="11" t="str">
        <f>IF($I573&lt;&gt;"",VLOOKUP($AC573,GEADRESSEERDE!$A$2:$E$4,4,),"")</f>
        <v>ANTWERPEN</v>
      </c>
      <c r="AG573" s="11" t="str">
        <f>IF($I573&lt;&gt;"",VLOOKUP($AC573,GEADRESSEERDE!$A$2:$E$4,5,),"")</f>
        <v>BE</v>
      </c>
      <c r="AH573" s="11" t="str">
        <f>IF(I573&lt;&gt;"",VLOOKUP(AP573,KvB!$A$2:$B$3,2,FALSE),"")</f>
        <v>BE101000</v>
      </c>
      <c r="AI573" s="11" t="s">
        <v>55</v>
      </c>
      <c r="AJ573" s="11"/>
      <c r="AK573" s="11"/>
      <c r="AL573" s="11"/>
      <c r="AM573" s="11"/>
      <c r="AN573" s="11"/>
      <c r="AO573" s="11"/>
      <c r="AP573" s="2" t="s">
        <v>70</v>
      </c>
      <c r="AQ573" s="11" t="str">
        <f>IF(I573&lt;&gt;"",DATA!D572,"")</f>
        <v>8418302099</v>
      </c>
    </row>
    <row r="574" spans="1:43" ht="15.75" x14ac:dyDescent="0.25">
      <c r="A574" s="11" t="s">
        <v>57</v>
      </c>
      <c r="B574" s="11" t="s">
        <v>56</v>
      </c>
      <c r="C574" s="22">
        <f t="shared" si="38"/>
        <v>25001620</v>
      </c>
      <c r="D574" s="11" t="str">
        <f t="shared" si="39"/>
        <v>SKIIFM_AT</v>
      </c>
      <c r="E574" s="11" t="str">
        <f>IF(I574&lt;&gt;"",VLOOKUP(F574,OPDRACHTGEVER!$A$2:$B$4,2,FALSE),"")</f>
        <v>SKIIFM_AT</v>
      </c>
      <c r="F574" s="11" t="s">
        <v>58</v>
      </c>
      <c r="I574" s="11" t="str">
        <f>IF(DATA!B573&lt;&gt;"",DATA!B573,"")</f>
        <v>CRXU9943805</v>
      </c>
      <c r="J574" s="12">
        <v>0</v>
      </c>
      <c r="K574" s="11" t="s">
        <v>53</v>
      </c>
      <c r="L574" s="11" t="str">
        <f t="shared" si="40"/>
        <v>851672</v>
      </c>
      <c r="M574" s="11" t="str">
        <f>IF(I574&lt;&gt;"",DATA!E573,"")</f>
        <v>WAFFLE MACHINE</v>
      </c>
      <c r="N574" s="12">
        <v>0</v>
      </c>
      <c r="O574" s="11">
        <f>IF(I574&lt;&gt;"",DATA!C573,"")</f>
        <v>383.2</v>
      </c>
      <c r="P574" s="2">
        <v>294094</v>
      </c>
      <c r="Q574" s="2" t="s">
        <v>1304</v>
      </c>
      <c r="R574" s="2" t="s">
        <v>1317</v>
      </c>
      <c r="S574" s="2">
        <v>565</v>
      </c>
      <c r="T574" s="2">
        <v>1</v>
      </c>
      <c r="U574" s="2" t="s">
        <v>141</v>
      </c>
      <c r="Y574" s="2">
        <v>1700</v>
      </c>
      <c r="Z574" s="11" t="s">
        <v>54</v>
      </c>
      <c r="AA574" s="11" t="str">
        <f t="shared" si="41"/>
        <v>1700 - TBN</v>
      </c>
      <c r="AC574" s="2" t="s">
        <v>145</v>
      </c>
      <c r="AD574" s="11" t="str">
        <f>IF($I574&lt;&gt;"",VLOOKUP($AC574,GEADRESSEERDE!$A$2:$E$4,2,),"")</f>
        <v>LUITHAGEN HAVEN 2 D</v>
      </c>
      <c r="AE574" s="11">
        <f>IF($I574&lt;&gt;"",VLOOKUP($AC574,GEADRESSEERDE!$A$2:$E$4,3,),"")</f>
        <v>2030</v>
      </c>
      <c r="AF574" s="11" t="str">
        <f>IF($I574&lt;&gt;"",VLOOKUP($AC574,GEADRESSEERDE!$A$2:$E$4,4,),"")</f>
        <v>ANTWERPEN</v>
      </c>
      <c r="AG574" s="11" t="str">
        <f>IF($I574&lt;&gt;"",VLOOKUP($AC574,GEADRESSEERDE!$A$2:$E$4,5,),"")</f>
        <v>BE</v>
      </c>
      <c r="AH574" s="11" t="str">
        <f>IF(I574&lt;&gt;"",VLOOKUP(AP574,KvB!$A$2:$B$3,2,FALSE),"")</f>
        <v>BE101000</v>
      </c>
      <c r="AI574" s="11" t="s">
        <v>55</v>
      </c>
      <c r="AJ574" s="11"/>
      <c r="AK574" s="11"/>
      <c r="AL574" s="11"/>
      <c r="AM574" s="11"/>
      <c r="AN574" s="11"/>
      <c r="AO574" s="11"/>
      <c r="AP574" s="2" t="s">
        <v>70</v>
      </c>
      <c r="AQ574" s="11" t="str">
        <f>IF(I574&lt;&gt;"",DATA!D573,"")</f>
        <v>8516720000</v>
      </c>
    </row>
    <row r="575" spans="1:43" ht="15.75" x14ac:dyDescent="0.25">
      <c r="A575" s="11" t="s">
        <v>57</v>
      </c>
      <c r="B575" s="11" t="s">
        <v>56</v>
      </c>
      <c r="C575" s="22">
        <f t="shared" si="38"/>
        <v>25001620</v>
      </c>
      <c r="D575" s="11" t="str">
        <f t="shared" si="39"/>
        <v>SKIIFM_AT</v>
      </c>
      <c r="E575" s="11" t="str">
        <f>IF(I575&lt;&gt;"",VLOOKUP(F575,OPDRACHTGEVER!$A$2:$B$4,2,FALSE),"")</f>
        <v>SKIIFM_AT</v>
      </c>
      <c r="F575" s="11" t="s">
        <v>58</v>
      </c>
      <c r="I575" s="11" t="str">
        <f>IF(DATA!B574&lt;&gt;"",DATA!B574,"")</f>
        <v>CRXU9943805</v>
      </c>
      <c r="J575" s="12">
        <v>0</v>
      </c>
      <c r="K575" s="11" t="s">
        <v>53</v>
      </c>
      <c r="L575" s="11" t="str">
        <f t="shared" si="40"/>
        <v>950691</v>
      </c>
      <c r="M575" s="11" t="str">
        <f>IF(I575&lt;&gt;"",DATA!E574,"")</f>
        <v>WALL-MOUNTED BOXING TARGET</v>
      </c>
      <c r="N575" s="12">
        <v>0</v>
      </c>
      <c r="O575" s="11">
        <f>IF(I575&lt;&gt;"",DATA!C574,"")</f>
        <v>901.2</v>
      </c>
      <c r="P575" s="2">
        <v>294094</v>
      </c>
      <c r="Q575" s="2" t="s">
        <v>1304</v>
      </c>
      <c r="R575" s="2" t="s">
        <v>1317</v>
      </c>
      <c r="S575" s="2">
        <v>565</v>
      </c>
      <c r="T575" s="2">
        <v>1</v>
      </c>
      <c r="U575" s="2" t="s">
        <v>141</v>
      </c>
      <c r="Y575" s="2">
        <v>1700</v>
      </c>
      <c r="Z575" s="11" t="s">
        <v>54</v>
      </c>
      <c r="AA575" s="11" t="str">
        <f t="shared" si="41"/>
        <v>1700 - TBN</v>
      </c>
      <c r="AC575" s="2" t="s">
        <v>145</v>
      </c>
      <c r="AD575" s="11" t="str">
        <f>IF($I575&lt;&gt;"",VLOOKUP($AC575,GEADRESSEERDE!$A$2:$E$4,2,),"")</f>
        <v>LUITHAGEN HAVEN 2 D</v>
      </c>
      <c r="AE575" s="11">
        <f>IF($I575&lt;&gt;"",VLOOKUP($AC575,GEADRESSEERDE!$A$2:$E$4,3,),"")</f>
        <v>2030</v>
      </c>
      <c r="AF575" s="11" t="str">
        <f>IF($I575&lt;&gt;"",VLOOKUP($AC575,GEADRESSEERDE!$A$2:$E$4,4,),"")</f>
        <v>ANTWERPEN</v>
      </c>
      <c r="AG575" s="11" t="str">
        <f>IF($I575&lt;&gt;"",VLOOKUP($AC575,GEADRESSEERDE!$A$2:$E$4,5,),"")</f>
        <v>BE</v>
      </c>
      <c r="AH575" s="11" t="str">
        <f>IF(I575&lt;&gt;"",VLOOKUP(AP575,KvB!$A$2:$B$3,2,FALSE),"")</f>
        <v>BE101000</v>
      </c>
      <c r="AI575" s="11" t="s">
        <v>55</v>
      </c>
      <c r="AJ575" s="11"/>
      <c r="AK575" s="11"/>
      <c r="AL575" s="11"/>
      <c r="AM575" s="11"/>
      <c r="AN575" s="11"/>
      <c r="AO575" s="11"/>
      <c r="AP575" s="2" t="s">
        <v>70</v>
      </c>
      <c r="AQ575" s="11" t="str">
        <f>IF(I575&lt;&gt;"",DATA!D574,"")</f>
        <v>9506919000</v>
      </c>
    </row>
    <row r="576" spans="1:43" ht="15.75" x14ac:dyDescent="0.25">
      <c r="A576" s="11" t="s">
        <v>57</v>
      </c>
      <c r="B576" s="11" t="s">
        <v>56</v>
      </c>
      <c r="C576" s="22">
        <f t="shared" si="38"/>
        <v>25001620</v>
      </c>
      <c r="D576" s="11" t="str">
        <f t="shared" si="39"/>
        <v>SKIIFM_AT</v>
      </c>
      <c r="E576" s="11" t="str">
        <f>IF(I576&lt;&gt;"",VLOOKUP(F576,OPDRACHTGEVER!$A$2:$B$4,2,FALSE),"")</f>
        <v>SKIIFM_AT</v>
      </c>
      <c r="F576" s="11" t="s">
        <v>58</v>
      </c>
      <c r="I576" s="11" t="str">
        <f>IF(DATA!B575&lt;&gt;"",DATA!B575,"")</f>
        <v>CRXU9943805</v>
      </c>
      <c r="J576" s="12">
        <v>0</v>
      </c>
      <c r="K576" s="11" t="s">
        <v>53</v>
      </c>
      <c r="L576" s="11" t="str">
        <f t="shared" si="40"/>
        <v>841360</v>
      </c>
      <c r="M576" s="11" t="str">
        <f>IF(I576&lt;&gt;"",DATA!E575,"")</f>
        <v>WATER PUMP</v>
      </c>
      <c r="N576" s="12">
        <v>0</v>
      </c>
      <c r="O576" s="11">
        <f>IF(I576&lt;&gt;"",DATA!C575,"")</f>
        <v>0.66</v>
      </c>
      <c r="P576" s="2">
        <v>294094</v>
      </c>
      <c r="Q576" s="2" t="s">
        <v>1304</v>
      </c>
      <c r="R576" s="2" t="s">
        <v>1317</v>
      </c>
      <c r="S576" s="2">
        <v>565</v>
      </c>
      <c r="T576" s="2">
        <v>1</v>
      </c>
      <c r="U576" s="2" t="s">
        <v>141</v>
      </c>
      <c r="Y576" s="2">
        <v>1700</v>
      </c>
      <c r="Z576" s="11" t="s">
        <v>54</v>
      </c>
      <c r="AA576" s="11" t="str">
        <f t="shared" si="41"/>
        <v>1700 - TBN</v>
      </c>
      <c r="AC576" s="2" t="s">
        <v>145</v>
      </c>
      <c r="AD576" s="11" t="str">
        <f>IF($I576&lt;&gt;"",VLOOKUP($AC576,GEADRESSEERDE!$A$2:$E$4,2,),"")</f>
        <v>LUITHAGEN HAVEN 2 D</v>
      </c>
      <c r="AE576" s="11">
        <f>IF($I576&lt;&gt;"",VLOOKUP($AC576,GEADRESSEERDE!$A$2:$E$4,3,),"")</f>
        <v>2030</v>
      </c>
      <c r="AF576" s="11" t="str">
        <f>IF($I576&lt;&gt;"",VLOOKUP($AC576,GEADRESSEERDE!$A$2:$E$4,4,),"")</f>
        <v>ANTWERPEN</v>
      </c>
      <c r="AG576" s="11" t="str">
        <f>IF($I576&lt;&gt;"",VLOOKUP($AC576,GEADRESSEERDE!$A$2:$E$4,5,),"")</f>
        <v>BE</v>
      </c>
      <c r="AH576" s="11" t="str">
        <f>IF(I576&lt;&gt;"",VLOOKUP(AP576,KvB!$A$2:$B$3,2,FALSE),"")</f>
        <v>BE101000</v>
      </c>
      <c r="AI576" s="11" t="s">
        <v>55</v>
      </c>
      <c r="AJ576" s="11"/>
      <c r="AK576" s="11"/>
      <c r="AL576" s="11"/>
      <c r="AM576" s="11"/>
      <c r="AN576" s="11"/>
      <c r="AO576" s="11"/>
      <c r="AP576" s="2" t="s">
        <v>70</v>
      </c>
      <c r="AQ576" s="11" t="str">
        <f>IF(I576&lt;&gt;"",DATA!D575,"")</f>
        <v>8413608090</v>
      </c>
    </row>
    <row r="577" spans="1:43" ht="15.75" x14ac:dyDescent="0.25">
      <c r="A577" s="11" t="s">
        <v>57</v>
      </c>
      <c r="B577" s="11" t="s">
        <v>56</v>
      </c>
      <c r="C577" s="22">
        <f t="shared" si="38"/>
        <v>25001620</v>
      </c>
      <c r="D577" s="11" t="str">
        <f t="shared" si="39"/>
        <v>SKIIFM_AT</v>
      </c>
      <c r="E577" s="11" t="str">
        <f>IF(I577&lt;&gt;"",VLOOKUP(F577,OPDRACHTGEVER!$A$2:$B$4,2,FALSE),"")</f>
        <v>SKIIFM_AT</v>
      </c>
      <c r="F577" s="11" t="s">
        <v>58</v>
      </c>
      <c r="I577" s="11" t="str">
        <f>IF(DATA!B576&lt;&gt;"",DATA!B576,"")</f>
        <v>CRXU9943805</v>
      </c>
      <c r="J577" s="12">
        <v>0</v>
      </c>
      <c r="K577" s="11" t="s">
        <v>53</v>
      </c>
      <c r="L577" s="11" t="str">
        <f t="shared" si="40"/>
        <v>392690</v>
      </c>
      <c r="M577" s="11" t="str">
        <f>IF(I577&lt;&gt;"",DATA!E576,"")</f>
        <v>WITH INFLATABLE RING</v>
      </c>
      <c r="N577" s="12">
        <v>0</v>
      </c>
      <c r="O577" s="11">
        <f>IF(I577&lt;&gt;"",DATA!C576,"")</f>
        <v>352.8</v>
      </c>
      <c r="P577" s="2">
        <v>294094</v>
      </c>
      <c r="Q577" s="2" t="s">
        <v>1304</v>
      </c>
      <c r="R577" s="2" t="s">
        <v>1317</v>
      </c>
      <c r="S577" s="2">
        <v>565</v>
      </c>
      <c r="T577" s="2">
        <v>1</v>
      </c>
      <c r="U577" s="2" t="s">
        <v>141</v>
      </c>
      <c r="Y577" s="2">
        <v>1700</v>
      </c>
      <c r="Z577" s="11" t="s">
        <v>54</v>
      </c>
      <c r="AA577" s="11" t="str">
        <f t="shared" si="41"/>
        <v>1700 - TBN</v>
      </c>
      <c r="AC577" s="2" t="s">
        <v>145</v>
      </c>
      <c r="AD577" s="11" t="str">
        <f>IF($I577&lt;&gt;"",VLOOKUP($AC577,GEADRESSEERDE!$A$2:$E$4,2,),"")</f>
        <v>LUITHAGEN HAVEN 2 D</v>
      </c>
      <c r="AE577" s="11">
        <f>IF($I577&lt;&gt;"",VLOOKUP($AC577,GEADRESSEERDE!$A$2:$E$4,3,),"")</f>
        <v>2030</v>
      </c>
      <c r="AF577" s="11" t="str">
        <f>IF($I577&lt;&gt;"",VLOOKUP($AC577,GEADRESSEERDE!$A$2:$E$4,4,),"")</f>
        <v>ANTWERPEN</v>
      </c>
      <c r="AG577" s="11" t="str">
        <f>IF($I577&lt;&gt;"",VLOOKUP($AC577,GEADRESSEERDE!$A$2:$E$4,5,),"")</f>
        <v>BE</v>
      </c>
      <c r="AH577" s="11" t="str">
        <f>IF(I577&lt;&gt;"",VLOOKUP(AP577,KvB!$A$2:$B$3,2,FALSE),"")</f>
        <v>BE101000</v>
      </c>
      <c r="AI577" s="11" t="s">
        <v>55</v>
      </c>
      <c r="AJ577" s="11"/>
      <c r="AK577" s="11"/>
      <c r="AL577" s="11"/>
      <c r="AM577" s="11"/>
      <c r="AN577" s="11"/>
      <c r="AO577" s="11"/>
      <c r="AP577" s="2" t="s">
        <v>70</v>
      </c>
      <c r="AQ577" s="11" t="str">
        <f>IF(I577&lt;&gt;"",DATA!D576,"")</f>
        <v>3926909790</v>
      </c>
    </row>
    <row r="578" spans="1:43" ht="15.75" x14ac:dyDescent="0.25">
      <c r="A578" s="11" t="s">
        <v>57</v>
      </c>
      <c r="B578" s="11" t="s">
        <v>56</v>
      </c>
      <c r="C578" s="22">
        <f t="shared" si="38"/>
        <v>25001620</v>
      </c>
      <c r="D578" s="11" t="str">
        <f t="shared" si="39"/>
        <v>SKIIFM_AT</v>
      </c>
      <c r="E578" s="11" t="str">
        <f>IF(I578&lt;&gt;"",VLOOKUP(F578,OPDRACHTGEVER!$A$2:$B$4,2,FALSE),"")</f>
        <v>SKIIFM_AT</v>
      </c>
      <c r="F578" s="11" t="s">
        <v>58</v>
      </c>
      <c r="I578" s="11" t="str">
        <f>IF(DATA!B577&lt;&gt;"",DATA!B577,"")</f>
        <v>CXDU2168102</v>
      </c>
      <c r="J578" s="12">
        <v>1499</v>
      </c>
      <c r="K578" s="11" t="s">
        <v>53</v>
      </c>
      <c r="L578" s="11" t="str">
        <f t="shared" si="40"/>
        <v>842121</v>
      </c>
      <c r="M578" s="11" t="str">
        <f>IF(I578&lt;&gt;"",DATA!E577,"")</f>
        <v>AQUARIUM FILTER</v>
      </c>
      <c r="N578" s="12">
        <v>10722</v>
      </c>
      <c r="O578" s="11">
        <f>IF(I578&lt;&gt;"",DATA!C577,"")</f>
        <v>317.45</v>
      </c>
      <c r="P578" s="2">
        <v>294094</v>
      </c>
      <c r="Q578" s="2" t="s">
        <v>1304</v>
      </c>
      <c r="R578" s="2" t="s">
        <v>1318</v>
      </c>
      <c r="S578" s="2">
        <v>582</v>
      </c>
      <c r="T578" s="2">
        <v>1</v>
      </c>
      <c r="U578" s="2" t="s">
        <v>141</v>
      </c>
      <c r="Y578" s="2">
        <v>1700</v>
      </c>
      <c r="Z578" s="11" t="s">
        <v>54</v>
      </c>
      <c r="AA578" s="11" t="str">
        <f t="shared" si="41"/>
        <v>1700 - TBN</v>
      </c>
      <c r="AC578" s="2" t="s">
        <v>145</v>
      </c>
      <c r="AD578" s="11" t="str">
        <f>IF($I578&lt;&gt;"",VLOOKUP($AC578,GEADRESSEERDE!$A$2:$E$4,2,),"")</f>
        <v>LUITHAGEN HAVEN 2 D</v>
      </c>
      <c r="AE578" s="11">
        <f>IF($I578&lt;&gt;"",VLOOKUP($AC578,GEADRESSEERDE!$A$2:$E$4,3,),"")</f>
        <v>2030</v>
      </c>
      <c r="AF578" s="11" t="str">
        <f>IF($I578&lt;&gt;"",VLOOKUP($AC578,GEADRESSEERDE!$A$2:$E$4,4,),"")</f>
        <v>ANTWERPEN</v>
      </c>
      <c r="AG578" s="11" t="str">
        <f>IF($I578&lt;&gt;"",VLOOKUP($AC578,GEADRESSEERDE!$A$2:$E$4,5,),"")</f>
        <v>BE</v>
      </c>
      <c r="AH578" s="11" t="str">
        <f>IF(I578&lt;&gt;"",VLOOKUP(AP578,KvB!$A$2:$B$3,2,FALSE),"")</f>
        <v>BE101000</v>
      </c>
      <c r="AI578" s="11" t="s">
        <v>55</v>
      </c>
      <c r="AJ578" s="11"/>
      <c r="AK578" s="11"/>
      <c r="AL578" s="11"/>
      <c r="AM578" s="11"/>
      <c r="AN578" s="11"/>
      <c r="AO578" s="11"/>
      <c r="AP578" s="2" t="s">
        <v>70</v>
      </c>
      <c r="AQ578" s="11" t="str">
        <f>IF(I578&lt;&gt;"",DATA!D577,"")</f>
        <v>8421210090</v>
      </c>
    </row>
    <row r="579" spans="1:43" ht="15.75" x14ac:dyDescent="0.25">
      <c r="A579" s="11" t="s">
        <v>57</v>
      </c>
      <c r="B579" s="11" t="s">
        <v>56</v>
      </c>
      <c r="C579" s="22">
        <f t="shared" si="38"/>
        <v>25001620</v>
      </c>
      <c r="D579" s="11" t="str">
        <f t="shared" si="39"/>
        <v>SKIIFM_AT</v>
      </c>
      <c r="E579" s="11" t="str">
        <f>IF(I579&lt;&gt;"",VLOOKUP(F579,OPDRACHTGEVER!$A$2:$B$4,2,FALSE),"")</f>
        <v>SKIIFM_AT</v>
      </c>
      <c r="F579" s="11" t="s">
        <v>58</v>
      </c>
      <c r="I579" s="11" t="str">
        <f>IF(DATA!B578&lt;&gt;"",DATA!B578,"")</f>
        <v>CXDU2168102</v>
      </c>
      <c r="J579" s="12">
        <v>0</v>
      </c>
      <c r="K579" s="11" t="s">
        <v>53</v>
      </c>
      <c r="L579" s="11" t="str">
        <f t="shared" si="40"/>
        <v>850980</v>
      </c>
      <c r="M579" s="11" t="str">
        <f>IF(I579&lt;&gt;"",DATA!E578,"")</f>
        <v>AROMA DIFFUSER</v>
      </c>
      <c r="N579" s="12">
        <v>0</v>
      </c>
      <c r="O579" s="11">
        <f>IF(I579&lt;&gt;"",DATA!C578,"")</f>
        <v>117.2</v>
      </c>
      <c r="P579" s="2">
        <v>294094</v>
      </c>
      <c r="Q579" s="2" t="s">
        <v>1304</v>
      </c>
      <c r="R579" s="2" t="s">
        <v>1318</v>
      </c>
      <c r="S579" s="2">
        <v>582</v>
      </c>
      <c r="T579" s="2">
        <v>1</v>
      </c>
      <c r="U579" s="2" t="s">
        <v>141</v>
      </c>
      <c r="Y579" s="2">
        <v>1700</v>
      </c>
      <c r="Z579" s="11" t="s">
        <v>54</v>
      </c>
      <c r="AA579" s="11" t="str">
        <f t="shared" si="41"/>
        <v>1700 - TBN</v>
      </c>
      <c r="AC579" s="2" t="s">
        <v>145</v>
      </c>
      <c r="AD579" s="11" t="str">
        <f>IF($I579&lt;&gt;"",VLOOKUP($AC579,GEADRESSEERDE!$A$2:$E$4,2,),"")</f>
        <v>LUITHAGEN HAVEN 2 D</v>
      </c>
      <c r="AE579" s="11">
        <f>IF($I579&lt;&gt;"",VLOOKUP($AC579,GEADRESSEERDE!$A$2:$E$4,3,),"")</f>
        <v>2030</v>
      </c>
      <c r="AF579" s="11" t="str">
        <f>IF($I579&lt;&gt;"",VLOOKUP($AC579,GEADRESSEERDE!$A$2:$E$4,4,),"")</f>
        <v>ANTWERPEN</v>
      </c>
      <c r="AG579" s="11" t="str">
        <f>IF($I579&lt;&gt;"",VLOOKUP($AC579,GEADRESSEERDE!$A$2:$E$4,5,),"")</f>
        <v>BE</v>
      </c>
      <c r="AH579" s="11" t="str">
        <f>IF(I579&lt;&gt;"",VLOOKUP(AP579,KvB!$A$2:$B$3,2,FALSE),"")</f>
        <v>BE101000</v>
      </c>
      <c r="AI579" s="11" t="s">
        <v>55</v>
      </c>
      <c r="AJ579" s="11"/>
      <c r="AK579" s="11"/>
      <c r="AL579" s="11"/>
      <c r="AM579" s="11"/>
      <c r="AN579" s="11"/>
      <c r="AO579" s="11"/>
      <c r="AP579" s="2" t="s">
        <v>70</v>
      </c>
      <c r="AQ579" s="11" t="str">
        <f>IF(I579&lt;&gt;"",DATA!D578,"")</f>
        <v>8509800000</v>
      </c>
    </row>
    <row r="580" spans="1:43" ht="15.75" x14ac:dyDescent="0.25">
      <c r="A580" s="11" t="s">
        <v>57</v>
      </c>
      <c r="B580" s="11" t="s">
        <v>56</v>
      </c>
      <c r="C580" s="22">
        <f t="shared" si="38"/>
        <v>25001620</v>
      </c>
      <c r="D580" s="11" t="str">
        <f t="shared" si="39"/>
        <v>SKIIFM_AT</v>
      </c>
      <c r="E580" s="11" t="str">
        <f>IF(I580&lt;&gt;"",VLOOKUP(F580,OPDRACHTGEVER!$A$2:$B$4,2,FALSE),"")</f>
        <v>SKIIFM_AT</v>
      </c>
      <c r="F580" s="11" t="s">
        <v>58</v>
      </c>
      <c r="I580" s="11" t="str">
        <f>IF(DATA!B579&lt;&gt;"",DATA!B579,"")</f>
        <v>CXDU2168102</v>
      </c>
      <c r="J580" s="12">
        <v>0</v>
      </c>
      <c r="K580" s="11" t="s">
        <v>53</v>
      </c>
      <c r="L580" s="11" t="str">
        <f t="shared" si="40"/>
        <v>741920</v>
      </c>
      <c r="M580" s="11" t="str">
        <f>IF(I580&lt;&gt;"",DATA!E579,"")</f>
        <v>AV MEDIA STAND</v>
      </c>
      <c r="N580" s="12">
        <v>0</v>
      </c>
      <c r="O580" s="11">
        <f>IF(I580&lt;&gt;"",DATA!C579,"")</f>
        <v>244.8</v>
      </c>
      <c r="P580" s="2">
        <v>294094</v>
      </c>
      <c r="Q580" s="2" t="s">
        <v>1304</v>
      </c>
      <c r="R580" s="2" t="s">
        <v>1318</v>
      </c>
      <c r="S580" s="2">
        <v>582</v>
      </c>
      <c r="T580" s="2">
        <v>1</v>
      </c>
      <c r="U580" s="2" t="s">
        <v>141</v>
      </c>
      <c r="Y580" s="2">
        <v>1700</v>
      </c>
      <c r="Z580" s="11" t="s">
        <v>54</v>
      </c>
      <c r="AA580" s="11" t="str">
        <f t="shared" si="41"/>
        <v>1700 - TBN</v>
      </c>
      <c r="AC580" s="2" t="s">
        <v>145</v>
      </c>
      <c r="AD580" s="11" t="str">
        <f>IF($I580&lt;&gt;"",VLOOKUP($AC580,GEADRESSEERDE!$A$2:$E$4,2,),"")</f>
        <v>LUITHAGEN HAVEN 2 D</v>
      </c>
      <c r="AE580" s="11">
        <f>IF($I580&lt;&gt;"",VLOOKUP($AC580,GEADRESSEERDE!$A$2:$E$4,3,),"")</f>
        <v>2030</v>
      </c>
      <c r="AF580" s="11" t="str">
        <f>IF($I580&lt;&gt;"",VLOOKUP($AC580,GEADRESSEERDE!$A$2:$E$4,4,),"")</f>
        <v>ANTWERPEN</v>
      </c>
      <c r="AG580" s="11" t="str">
        <f>IF($I580&lt;&gt;"",VLOOKUP($AC580,GEADRESSEERDE!$A$2:$E$4,5,),"")</f>
        <v>BE</v>
      </c>
      <c r="AH580" s="11" t="str">
        <f>IF(I580&lt;&gt;"",VLOOKUP(AP580,KvB!$A$2:$B$3,2,FALSE),"")</f>
        <v>BE101000</v>
      </c>
      <c r="AI580" s="11" t="s">
        <v>55</v>
      </c>
      <c r="AJ580" s="11"/>
      <c r="AK580" s="11"/>
      <c r="AL580" s="11"/>
      <c r="AM580" s="11"/>
      <c r="AN580" s="11"/>
      <c r="AO580" s="11"/>
      <c r="AP580" s="2" t="s">
        <v>70</v>
      </c>
      <c r="AQ580" s="11" t="str">
        <f>IF(I580&lt;&gt;"",DATA!D579,"")</f>
        <v>7419200090</v>
      </c>
    </row>
    <row r="581" spans="1:43" ht="15.75" x14ac:dyDescent="0.25">
      <c r="A581" s="11" t="s">
        <v>57</v>
      </c>
      <c r="B581" s="11" t="s">
        <v>56</v>
      </c>
      <c r="C581" s="22">
        <f t="shared" ref="C581:C644" si="42">C580</f>
        <v>25001620</v>
      </c>
      <c r="D581" s="11" t="str">
        <f t="shared" si="39"/>
        <v>SKIIFM_AT</v>
      </c>
      <c r="E581" s="11" t="str">
        <f>IF(I581&lt;&gt;"",VLOOKUP(F581,OPDRACHTGEVER!$A$2:$B$4,2,FALSE),"")</f>
        <v>SKIIFM_AT</v>
      </c>
      <c r="F581" s="11" t="s">
        <v>58</v>
      </c>
      <c r="I581" s="11" t="str">
        <f>IF(DATA!B580&lt;&gt;"",DATA!B580,"")</f>
        <v>CXDU2168102</v>
      </c>
      <c r="J581" s="12">
        <v>0</v>
      </c>
      <c r="K581" s="11" t="s">
        <v>53</v>
      </c>
      <c r="L581" s="11" t="str">
        <f t="shared" si="40"/>
        <v>940320</v>
      </c>
      <c r="M581" s="11" t="str">
        <f>IF(I581&lt;&gt;"",DATA!E580,"")</f>
        <v>BEDSTEAD</v>
      </c>
      <c r="N581" s="12">
        <v>0</v>
      </c>
      <c r="O581" s="11">
        <f>IF(I581&lt;&gt;"",DATA!C580,"")</f>
        <v>110.5</v>
      </c>
      <c r="P581" s="2">
        <v>294094</v>
      </c>
      <c r="Q581" s="2" t="s">
        <v>1304</v>
      </c>
      <c r="R581" s="2" t="s">
        <v>1318</v>
      </c>
      <c r="S581" s="2">
        <v>582</v>
      </c>
      <c r="T581" s="2">
        <v>1</v>
      </c>
      <c r="U581" s="2" t="s">
        <v>141</v>
      </c>
      <c r="Y581" s="2">
        <v>1700</v>
      </c>
      <c r="Z581" s="11" t="s">
        <v>54</v>
      </c>
      <c r="AA581" s="11" t="str">
        <f t="shared" si="41"/>
        <v>1700 - TBN</v>
      </c>
      <c r="AC581" s="2" t="s">
        <v>145</v>
      </c>
      <c r="AD581" s="11" t="str">
        <f>IF($I581&lt;&gt;"",VLOOKUP($AC581,GEADRESSEERDE!$A$2:$E$4,2,),"")</f>
        <v>LUITHAGEN HAVEN 2 D</v>
      </c>
      <c r="AE581" s="11">
        <f>IF($I581&lt;&gt;"",VLOOKUP($AC581,GEADRESSEERDE!$A$2:$E$4,3,),"")</f>
        <v>2030</v>
      </c>
      <c r="AF581" s="11" t="str">
        <f>IF($I581&lt;&gt;"",VLOOKUP($AC581,GEADRESSEERDE!$A$2:$E$4,4,),"")</f>
        <v>ANTWERPEN</v>
      </c>
      <c r="AG581" s="11" t="str">
        <f>IF($I581&lt;&gt;"",VLOOKUP($AC581,GEADRESSEERDE!$A$2:$E$4,5,),"")</f>
        <v>BE</v>
      </c>
      <c r="AH581" s="11" t="str">
        <f>IF(I581&lt;&gt;"",VLOOKUP(AP581,KvB!$A$2:$B$3,2,FALSE),"")</f>
        <v>BE101000</v>
      </c>
      <c r="AI581" s="11" t="s">
        <v>55</v>
      </c>
      <c r="AJ581" s="11"/>
      <c r="AK581" s="11"/>
      <c r="AL581" s="11"/>
      <c r="AM581" s="11"/>
      <c r="AN581" s="11"/>
      <c r="AO581" s="11"/>
      <c r="AP581" s="2" t="s">
        <v>70</v>
      </c>
      <c r="AQ581" s="11" t="str">
        <f>IF(I581&lt;&gt;"",DATA!D580,"")</f>
        <v>9403208000</v>
      </c>
    </row>
    <row r="582" spans="1:43" ht="15.75" x14ac:dyDescent="0.25">
      <c r="A582" s="11" t="s">
        <v>57</v>
      </c>
      <c r="B582" s="11" t="s">
        <v>56</v>
      </c>
      <c r="C582" s="22">
        <f t="shared" si="42"/>
        <v>25001620</v>
      </c>
      <c r="D582" s="11" t="str">
        <f t="shared" si="39"/>
        <v>SKIIFM_AT</v>
      </c>
      <c r="E582" s="11" t="str">
        <f>IF(I582&lt;&gt;"",VLOOKUP(F582,OPDRACHTGEVER!$A$2:$B$4,2,FALSE),"")</f>
        <v>SKIIFM_AT</v>
      </c>
      <c r="F582" s="11" t="s">
        <v>58</v>
      </c>
      <c r="I582" s="11" t="str">
        <f>IF(DATA!B581&lt;&gt;"",DATA!B581,"")</f>
        <v>CXDU2168102</v>
      </c>
      <c r="J582" s="12">
        <v>0</v>
      </c>
      <c r="K582" s="11" t="s">
        <v>53</v>
      </c>
      <c r="L582" s="11" t="str">
        <f t="shared" si="40"/>
        <v>391890</v>
      </c>
      <c r="M582" s="11" t="str">
        <f>IF(I582&lt;&gt;"",DATA!E581,"")</f>
        <v>BOAT FLOORING</v>
      </c>
      <c r="N582" s="12">
        <v>0</v>
      </c>
      <c r="O582" s="11">
        <f>IF(I582&lt;&gt;"",DATA!C581,"")</f>
        <v>141.85</v>
      </c>
      <c r="P582" s="2">
        <v>294094</v>
      </c>
      <c r="Q582" s="2" t="s">
        <v>1304</v>
      </c>
      <c r="R582" s="2" t="s">
        <v>1318</v>
      </c>
      <c r="S582" s="2">
        <v>582</v>
      </c>
      <c r="T582" s="2">
        <v>1</v>
      </c>
      <c r="U582" s="2" t="s">
        <v>141</v>
      </c>
      <c r="Y582" s="2">
        <v>1700</v>
      </c>
      <c r="Z582" s="11" t="s">
        <v>54</v>
      </c>
      <c r="AA582" s="11" t="str">
        <f t="shared" si="41"/>
        <v>1700 - TBN</v>
      </c>
      <c r="AC582" s="2" t="s">
        <v>145</v>
      </c>
      <c r="AD582" s="11" t="str">
        <f>IF($I582&lt;&gt;"",VLOOKUP($AC582,GEADRESSEERDE!$A$2:$E$4,2,),"")</f>
        <v>LUITHAGEN HAVEN 2 D</v>
      </c>
      <c r="AE582" s="11">
        <f>IF($I582&lt;&gt;"",VLOOKUP($AC582,GEADRESSEERDE!$A$2:$E$4,3,),"")</f>
        <v>2030</v>
      </c>
      <c r="AF582" s="11" t="str">
        <f>IF($I582&lt;&gt;"",VLOOKUP($AC582,GEADRESSEERDE!$A$2:$E$4,4,),"")</f>
        <v>ANTWERPEN</v>
      </c>
      <c r="AG582" s="11" t="str">
        <f>IF($I582&lt;&gt;"",VLOOKUP($AC582,GEADRESSEERDE!$A$2:$E$4,5,),"")</f>
        <v>BE</v>
      </c>
      <c r="AH582" s="11" t="str">
        <f>IF(I582&lt;&gt;"",VLOOKUP(AP582,KvB!$A$2:$B$3,2,FALSE),"")</f>
        <v>BE101000</v>
      </c>
      <c r="AI582" s="11" t="s">
        <v>55</v>
      </c>
      <c r="AJ582" s="11"/>
      <c r="AK582" s="11"/>
      <c r="AL582" s="11"/>
      <c r="AM582" s="11"/>
      <c r="AN582" s="11"/>
      <c r="AO582" s="11"/>
      <c r="AP582" s="2" t="s">
        <v>70</v>
      </c>
      <c r="AQ582" s="11" t="str">
        <f>IF(I582&lt;&gt;"",DATA!D581,"")</f>
        <v>3918900090</v>
      </c>
    </row>
    <row r="583" spans="1:43" ht="15.75" x14ac:dyDescent="0.25">
      <c r="A583" s="11" t="s">
        <v>57</v>
      </c>
      <c r="B583" s="11" t="s">
        <v>56</v>
      </c>
      <c r="C583" s="22">
        <f t="shared" si="42"/>
        <v>25001620</v>
      </c>
      <c r="D583" s="11" t="str">
        <f t="shared" si="39"/>
        <v>SKIIFM_AT</v>
      </c>
      <c r="E583" s="11" t="str">
        <f>IF(I583&lt;&gt;"",VLOOKUP(F583,OPDRACHTGEVER!$A$2:$B$4,2,FALSE),"")</f>
        <v>SKIIFM_AT</v>
      </c>
      <c r="F583" s="11" t="s">
        <v>58</v>
      </c>
      <c r="I583" s="11" t="str">
        <f>IF(DATA!B582&lt;&gt;"",DATA!B582,"")</f>
        <v>CXDU2168102</v>
      </c>
      <c r="J583" s="12">
        <v>0</v>
      </c>
      <c r="K583" s="11" t="s">
        <v>53</v>
      </c>
      <c r="L583" s="11" t="str">
        <f t="shared" si="40"/>
        <v>841950</v>
      </c>
      <c r="M583" s="11" t="str">
        <f>IF(I583&lt;&gt;"",DATA!E582,"")</f>
        <v>BRAZING PLATE HEAT EXCHANGERS</v>
      </c>
      <c r="N583" s="12">
        <v>0</v>
      </c>
      <c r="O583" s="11">
        <f>IF(I583&lt;&gt;"",DATA!C582,"")</f>
        <v>86.8</v>
      </c>
      <c r="P583" s="2">
        <v>294094</v>
      </c>
      <c r="Q583" s="2" t="s">
        <v>1304</v>
      </c>
      <c r="R583" s="2" t="s">
        <v>1318</v>
      </c>
      <c r="S583" s="2">
        <v>582</v>
      </c>
      <c r="T583" s="2">
        <v>1</v>
      </c>
      <c r="U583" s="2" t="s">
        <v>141</v>
      </c>
      <c r="Y583" s="2">
        <v>1700</v>
      </c>
      <c r="Z583" s="11" t="s">
        <v>54</v>
      </c>
      <c r="AA583" s="11" t="str">
        <f t="shared" si="41"/>
        <v>1700 - TBN</v>
      </c>
      <c r="AC583" s="2" t="s">
        <v>145</v>
      </c>
      <c r="AD583" s="11" t="str">
        <f>IF($I583&lt;&gt;"",VLOOKUP($AC583,GEADRESSEERDE!$A$2:$E$4,2,),"")</f>
        <v>LUITHAGEN HAVEN 2 D</v>
      </c>
      <c r="AE583" s="11">
        <f>IF($I583&lt;&gt;"",VLOOKUP($AC583,GEADRESSEERDE!$A$2:$E$4,3,),"")</f>
        <v>2030</v>
      </c>
      <c r="AF583" s="11" t="str">
        <f>IF($I583&lt;&gt;"",VLOOKUP($AC583,GEADRESSEERDE!$A$2:$E$4,4,),"")</f>
        <v>ANTWERPEN</v>
      </c>
      <c r="AG583" s="11" t="str">
        <f>IF($I583&lt;&gt;"",VLOOKUP($AC583,GEADRESSEERDE!$A$2:$E$4,5,),"")</f>
        <v>BE</v>
      </c>
      <c r="AH583" s="11" t="str">
        <f>IF(I583&lt;&gt;"",VLOOKUP(AP583,KvB!$A$2:$B$3,2,FALSE),"")</f>
        <v>BE101000</v>
      </c>
      <c r="AI583" s="11" t="s">
        <v>55</v>
      </c>
      <c r="AJ583" s="11"/>
      <c r="AK583" s="11"/>
      <c r="AL583" s="11"/>
      <c r="AM583" s="11"/>
      <c r="AN583" s="11"/>
      <c r="AO583" s="11"/>
      <c r="AP583" s="2" t="s">
        <v>70</v>
      </c>
      <c r="AQ583" s="11" t="str">
        <f>IF(I583&lt;&gt;"",DATA!D582,"")</f>
        <v>8419508090</v>
      </c>
    </row>
    <row r="584" spans="1:43" ht="15.75" x14ac:dyDescent="0.25">
      <c r="A584" s="11" t="s">
        <v>57</v>
      </c>
      <c r="B584" s="11" t="s">
        <v>56</v>
      </c>
      <c r="C584" s="22">
        <f t="shared" si="42"/>
        <v>25001620</v>
      </c>
      <c r="D584" s="11" t="str">
        <f t="shared" si="39"/>
        <v>SKIIFM_AT</v>
      </c>
      <c r="E584" s="11" t="str">
        <f>IF(I584&lt;&gt;"",VLOOKUP(F584,OPDRACHTGEVER!$A$2:$B$4,2,FALSE),"")</f>
        <v>SKIIFM_AT</v>
      </c>
      <c r="F584" s="11" t="s">
        <v>58</v>
      </c>
      <c r="I584" s="11" t="str">
        <f>IF(DATA!B583&lt;&gt;"",DATA!B583,"")</f>
        <v>CXDU2168102</v>
      </c>
      <c r="J584" s="12">
        <v>0</v>
      </c>
      <c r="K584" s="11" t="s">
        <v>53</v>
      </c>
      <c r="L584" s="11" t="str">
        <f t="shared" si="40"/>
        <v>741920</v>
      </c>
      <c r="M584" s="11" t="str">
        <f>IF(I584&lt;&gt;"",DATA!E583,"")</f>
        <v>BUCKET</v>
      </c>
      <c r="N584" s="12">
        <v>0</v>
      </c>
      <c r="O584" s="11">
        <f>IF(I584&lt;&gt;"",DATA!C583,"")</f>
        <v>180.7</v>
      </c>
      <c r="P584" s="2">
        <v>294094</v>
      </c>
      <c r="Q584" s="2" t="s">
        <v>1304</v>
      </c>
      <c r="R584" s="2" t="s">
        <v>1318</v>
      </c>
      <c r="S584" s="2">
        <v>582</v>
      </c>
      <c r="T584" s="2">
        <v>1</v>
      </c>
      <c r="U584" s="2" t="s">
        <v>141</v>
      </c>
      <c r="Y584" s="2">
        <v>1700</v>
      </c>
      <c r="Z584" s="11" t="s">
        <v>54</v>
      </c>
      <c r="AA584" s="11" t="str">
        <f t="shared" si="41"/>
        <v>1700 - TBN</v>
      </c>
      <c r="AC584" s="2" t="s">
        <v>145</v>
      </c>
      <c r="AD584" s="11" t="str">
        <f>IF($I584&lt;&gt;"",VLOOKUP($AC584,GEADRESSEERDE!$A$2:$E$4,2,),"")</f>
        <v>LUITHAGEN HAVEN 2 D</v>
      </c>
      <c r="AE584" s="11">
        <f>IF($I584&lt;&gt;"",VLOOKUP($AC584,GEADRESSEERDE!$A$2:$E$4,3,),"")</f>
        <v>2030</v>
      </c>
      <c r="AF584" s="11" t="str">
        <f>IF($I584&lt;&gt;"",VLOOKUP($AC584,GEADRESSEERDE!$A$2:$E$4,4,),"")</f>
        <v>ANTWERPEN</v>
      </c>
      <c r="AG584" s="11" t="str">
        <f>IF($I584&lt;&gt;"",VLOOKUP($AC584,GEADRESSEERDE!$A$2:$E$4,5,),"")</f>
        <v>BE</v>
      </c>
      <c r="AH584" s="11" t="str">
        <f>IF(I584&lt;&gt;"",VLOOKUP(AP584,KvB!$A$2:$B$3,2,FALSE),"")</f>
        <v>BE101000</v>
      </c>
      <c r="AI584" s="11" t="s">
        <v>55</v>
      </c>
      <c r="AJ584" s="11"/>
      <c r="AK584" s="11"/>
      <c r="AL584" s="11"/>
      <c r="AM584" s="11"/>
      <c r="AN584" s="11"/>
      <c r="AO584" s="11"/>
      <c r="AP584" s="2" t="s">
        <v>70</v>
      </c>
      <c r="AQ584" s="11" t="str">
        <f>IF(I584&lt;&gt;"",DATA!D583,"")</f>
        <v>7419200090</v>
      </c>
    </row>
    <row r="585" spans="1:43" ht="15.75" x14ac:dyDescent="0.25">
      <c r="A585" s="11" t="s">
        <v>57</v>
      </c>
      <c r="B585" s="11" t="s">
        <v>56</v>
      </c>
      <c r="C585" s="22">
        <f t="shared" si="42"/>
        <v>25001620</v>
      </c>
      <c r="D585" s="11" t="str">
        <f t="shared" si="39"/>
        <v>SKIIFM_AT</v>
      </c>
      <c r="E585" s="11" t="str">
        <f>IF(I585&lt;&gt;"",VLOOKUP(F585,OPDRACHTGEVER!$A$2:$B$4,2,FALSE),"")</f>
        <v>SKIIFM_AT</v>
      </c>
      <c r="F585" s="11" t="s">
        <v>58</v>
      </c>
      <c r="I585" s="11" t="str">
        <f>IF(DATA!B584&lt;&gt;"",DATA!B584,"")</f>
        <v>CXDU2168102</v>
      </c>
      <c r="J585" s="12">
        <v>0</v>
      </c>
      <c r="K585" s="11" t="s">
        <v>53</v>
      </c>
      <c r="L585" s="11" t="str">
        <f t="shared" si="40"/>
        <v>871310</v>
      </c>
      <c r="M585" s="11" t="str">
        <f>IF(I585&lt;&gt;"",DATA!E584,"")</f>
        <v>COMMODE CHAIR</v>
      </c>
      <c r="N585" s="12">
        <v>0</v>
      </c>
      <c r="O585" s="11">
        <f>IF(I585&lt;&gt;"",DATA!C584,"")</f>
        <v>225.5</v>
      </c>
      <c r="P585" s="2">
        <v>294094</v>
      </c>
      <c r="Q585" s="2" t="s">
        <v>1304</v>
      </c>
      <c r="R585" s="2" t="s">
        <v>1318</v>
      </c>
      <c r="S585" s="2">
        <v>582</v>
      </c>
      <c r="T585" s="2">
        <v>1</v>
      </c>
      <c r="U585" s="2" t="s">
        <v>141</v>
      </c>
      <c r="Y585" s="2">
        <v>1700</v>
      </c>
      <c r="Z585" s="11" t="s">
        <v>54</v>
      </c>
      <c r="AA585" s="11" t="str">
        <f t="shared" si="41"/>
        <v>1700 - TBN</v>
      </c>
      <c r="AC585" s="2" t="s">
        <v>145</v>
      </c>
      <c r="AD585" s="11" t="str">
        <f>IF($I585&lt;&gt;"",VLOOKUP($AC585,GEADRESSEERDE!$A$2:$E$4,2,),"")</f>
        <v>LUITHAGEN HAVEN 2 D</v>
      </c>
      <c r="AE585" s="11">
        <f>IF($I585&lt;&gt;"",VLOOKUP($AC585,GEADRESSEERDE!$A$2:$E$4,3,),"")</f>
        <v>2030</v>
      </c>
      <c r="AF585" s="11" t="str">
        <f>IF($I585&lt;&gt;"",VLOOKUP($AC585,GEADRESSEERDE!$A$2:$E$4,4,),"")</f>
        <v>ANTWERPEN</v>
      </c>
      <c r="AG585" s="11" t="str">
        <f>IF($I585&lt;&gt;"",VLOOKUP($AC585,GEADRESSEERDE!$A$2:$E$4,5,),"")</f>
        <v>BE</v>
      </c>
      <c r="AH585" s="11" t="str">
        <f>IF(I585&lt;&gt;"",VLOOKUP(AP585,KvB!$A$2:$B$3,2,FALSE),"")</f>
        <v>BE101000</v>
      </c>
      <c r="AI585" s="11" t="s">
        <v>55</v>
      </c>
      <c r="AJ585" s="11"/>
      <c r="AK585" s="11"/>
      <c r="AL585" s="11"/>
      <c r="AM585" s="11"/>
      <c r="AN585" s="11"/>
      <c r="AO585" s="11"/>
      <c r="AP585" s="2" t="s">
        <v>70</v>
      </c>
      <c r="AQ585" s="11" t="str">
        <f>IF(I585&lt;&gt;"",DATA!D584,"")</f>
        <v>8713100000</v>
      </c>
    </row>
    <row r="586" spans="1:43" ht="15.75" x14ac:dyDescent="0.25">
      <c r="A586" s="11" t="s">
        <v>57</v>
      </c>
      <c r="B586" s="11" t="s">
        <v>56</v>
      </c>
      <c r="C586" s="22">
        <f t="shared" si="42"/>
        <v>25001620</v>
      </c>
      <c r="D586" s="11" t="str">
        <f t="shared" si="39"/>
        <v>SKIIFM_AT</v>
      </c>
      <c r="E586" s="11" t="str">
        <f>IF(I586&lt;&gt;"",VLOOKUP(F586,OPDRACHTGEVER!$A$2:$B$4,2,FALSE),"")</f>
        <v>SKIIFM_AT</v>
      </c>
      <c r="F586" s="11" t="s">
        <v>58</v>
      </c>
      <c r="I586" s="11" t="str">
        <f>IF(DATA!B585&lt;&gt;"",DATA!B585,"")</f>
        <v>CXDU2168102</v>
      </c>
      <c r="J586" s="12">
        <v>0</v>
      </c>
      <c r="K586" s="11" t="s">
        <v>53</v>
      </c>
      <c r="L586" s="11" t="str">
        <f t="shared" si="40"/>
        <v>903210</v>
      </c>
      <c r="M586" s="11" t="str">
        <f>IF(I586&lt;&gt;"",DATA!E585,"")</f>
        <v>CONTROLLER</v>
      </c>
      <c r="N586" s="12">
        <v>0</v>
      </c>
      <c r="O586" s="11">
        <f>IF(I586&lt;&gt;"",DATA!C585,"")</f>
        <v>21</v>
      </c>
      <c r="P586" s="2">
        <v>294094</v>
      </c>
      <c r="Q586" s="2" t="s">
        <v>1304</v>
      </c>
      <c r="R586" s="2" t="s">
        <v>1318</v>
      </c>
      <c r="S586" s="2">
        <v>582</v>
      </c>
      <c r="T586" s="2">
        <v>1</v>
      </c>
      <c r="U586" s="2" t="s">
        <v>141</v>
      </c>
      <c r="Y586" s="2">
        <v>1700</v>
      </c>
      <c r="Z586" s="11" t="s">
        <v>54</v>
      </c>
      <c r="AA586" s="11" t="str">
        <f t="shared" si="41"/>
        <v>1700 - TBN</v>
      </c>
      <c r="AC586" s="2" t="s">
        <v>145</v>
      </c>
      <c r="AD586" s="11" t="str">
        <f>IF($I586&lt;&gt;"",VLOOKUP($AC586,GEADRESSEERDE!$A$2:$E$4,2,),"")</f>
        <v>LUITHAGEN HAVEN 2 D</v>
      </c>
      <c r="AE586" s="11">
        <f>IF($I586&lt;&gt;"",VLOOKUP($AC586,GEADRESSEERDE!$A$2:$E$4,3,),"")</f>
        <v>2030</v>
      </c>
      <c r="AF586" s="11" t="str">
        <f>IF($I586&lt;&gt;"",VLOOKUP($AC586,GEADRESSEERDE!$A$2:$E$4,4,),"")</f>
        <v>ANTWERPEN</v>
      </c>
      <c r="AG586" s="11" t="str">
        <f>IF($I586&lt;&gt;"",VLOOKUP($AC586,GEADRESSEERDE!$A$2:$E$4,5,),"")</f>
        <v>BE</v>
      </c>
      <c r="AH586" s="11" t="str">
        <f>IF(I586&lt;&gt;"",VLOOKUP(AP586,KvB!$A$2:$B$3,2,FALSE),"")</f>
        <v>BE101000</v>
      </c>
      <c r="AI586" s="11" t="s">
        <v>55</v>
      </c>
      <c r="AJ586" s="11"/>
      <c r="AK586" s="11"/>
      <c r="AL586" s="11"/>
      <c r="AM586" s="11"/>
      <c r="AN586" s="11"/>
      <c r="AO586" s="11"/>
      <c r="AP586" s="2" t="s">
        <v>70</v>
      </c>
      <c r="AQ586" s="11" t="str">
        <f>IF(I586&lt;&gt;"",DATA!D585,"")</f>
        <v>9032102090</v>
      </c>
    </row>
    <row r="587" spans="1:43" ht="15.75" x14ac:dyDescent="0.25">
      <c r="A587" s="11" t="s">
        <v>57</v>
      </c>
      <c r="B587" s="11" t="s">
        <v>56</v>
      </c>
      <c r="C587" s="22">
        <f t="shared" si="42"/>
        <v>25001620</v>
      </c>
      <c r="D587" s="11" t="str">
        <f t="shared" si="39"/>
        <v>SKIIFM_AT</v>
      </c>
      <c r="E587" s="11" t="str">
        <f>IF(I587&lt;&gt;"",VLOOKUP(F587,OPDRACHTGEVER!$A$2:$B$4,2,FALSE),"")</f>
        <v>SKIIFM_AT</v>
      </c>
      <c r="F587" s="11" t="s">
        <v>58</v>
      </c>
      <c r="I587" s="11" t="str">
        <f>IF(DATA!B586&lt;&gt;"",DATA!B586,"")</f>
        <v>CXDU2168102</v>
      </c>
      <c r="J587" s="12">
        <v>0</v>
      </c>
      <c r="K587" s="11" t="s">
        <v>53</v>
      </c>
      <c r="L587" s="11" t="str">
        <f t="shared" si="40"/>
        <v>761699</v>
      </c>
      <c r="M587" s="11" t="str">
        <f>IF(I587&lt;&gt;"",DATA!E586,"")</f>
        <v>CRADLE</v>
      </c>
      <c r="N587" s="12">
        <v>0</v>
      </c>
      <c r="O587" s="11">
        <f>IF(I587&lt;&gt;"",DATA!C586,"")</f>
        <v>46.8</v>
      </c>
      <c r="P587" s="2">
        <v>294094</v>
      </c>
      <c r="Q587" s="2" t="s">
        <v>1304</v>
      </c>
      <c r="R587" s="2" t="s">
        <v>1318</v>
      </c>
      <c r="S587" s="2">
        <v>582</v>
      </c>
      <c r="T587" s="2">
        <v>1</v>
      </c>
      <c r="U587" s="2" t="s">
        <v>141</v>
      </c>
      <c r="Y587" s="2">
        <v>1700</v>
      </c>
      <c r="Z587" s="11" t="s">
        <v>54</v>
      </c>
      <c r="AA587" s="11" t="str">
        <f t="shared" si="41"/>
        <v>1700 - TBN</v>
      </c>
      <c r="AC587" s="2" t="s">
        <v>145</v>
      </c>
      <c r="AD587" s="11" t="str">
        <f>IF($I587&lt;&gt;"",VLOOKUP($AC587,GEADRESSEERDE!$A$2:$E$4,2,),"")</f>
        <v>LUITHAGEN HAVEN 2 D</v>
      </c>
      <c r="AE587" s="11">
        <f>IF($I587&lt;&gt;"",VLOOKUP($AC587,GEADRESSEERDE!$A$2:$E$4,3,),"")</f>
        <v>2030</v>
      </c>
      <c r="AF587" s="11" t="str">
        <f>IF($I587&lt;&gt;"",VLOOKUP($AC587,GEADRESSEERDE!$A$2:$E$4,4,),"")</f>
        <v>ANTWERPEN</v>
      </c>
      <c r="AG587" s="11" t="str">
        <f>IF($I587&lt;&gt;"",VLOOKUP($AC587,GEADRESSEERDE!$A$2:$E$4,5,),"")</f>
        <v>BE</v>
      </c>
      <c r="AH587" s="11" t="str">
        <f>IF(I587&lt;&gt;"",VLOOKUP(AP587,KvB!$A$2:$B$3,2,FALSE),"")</f>
        <v>BE101000</v>
      </c>
      <c r="AI587" s="11" t="s">
        <v>55</v>
      </c>
      <c r="AJ587" s="11"/>
      <c r="AK587" s="11"/>
      <c r="AL587" s="11"/>
      <c r="AM587" s="11"/>
      <c r="AN587" s="11"/>
      <c r="AO587" s="11"/>
      <c r="AP587" s="2" t="s">
        <v>70</v>
      </c>
      <c r="AQ587" s="11" t="str">
        <f>IF(I587&lt;&gt;"",DATA!D586,"")</f>
        <v>7616999009</v>
      </c>
    </row>
    <row r="588" spans="1:43" ht="15.75" x14ac:dyDescent="0.25">
      <c r="A588" s="11" t="s">
        <v>57</v>
      </c>
      <c r="B588" s="11" t="s">
        <v>56</v>
      </c>
      <c r="C588" s="22">
        <f t="shared" si="42"/>
        <v>25001620</v>
      </c>
      <c r="D588" s="11" t="str">
        <f t="shared" si="39"/>
        <v>SKIIFM_AT</v>
      </c>
      <c r="E588" s="11" t="str">
        <f>IF(I588&lt;&gt;"",VLOOKUP(F588,OPDRACHTGEVER!$A$2:$B$4,2,FALSE),"")</f>
        <v>SKIIFM_AT</v>
      </c>
      <c r="F588" s="11" t="s">
        <v>58</v>
      </c>
      <c r="I588" s="11" t="str">
        <f>IF(DATA!B587&lt;&gt;"",DATA!B587,"")</f>
        <v>CXDU2168102</v>
      </c>
      <c r="J588" s="12">
        <v>0</v>
      </c>
      <c r="K588" s="11" t="s">
        <v>53</v>
      </c>
      <c r="L588" s="11" t="str">
        <f t="shared" si="40"/>
        <v>848190</v>
      </c>
      <c r="M588" s="11" t="str">
        <f>IF(I588&lt;&gt;"",DATA!E587,"")</f>
        <v>DECK MOUNTED PRE-RINSE FAUCET</v>
      </c>
      <c r="N588" s="12">
        <v>0</v>
      </c>
      <c r="O588" s="11">
        <f>IF(I588&lt;&gt;"",DATA!C587,"")</f>
        <v>130</v>
      </c>
      <c r="P588" s="2">
        <v>294094</v>
      </c>
      <c r="Q588" s="2" t="s">
        <v>1304</v>
      </c>
      <c r="R588" s="2" t="s">
        <v>1318</v>
      </c>
      <c r="S588" s="2">
        <v>582</v>
      </c>
      <c r="T588" s="2">
        <v>1</v>
      </c>
      <c r="U588" s="2" t="s">
        <v>141</v>
      </c>
      <c r="Y588" s="2">
        <v>1700</v>
      </c>
      <c r="Z588" s="11" t="s">
        <v>54</v>
      </c>
      <c r="AA588" s="11" t="str">
        <f t="shared" si="41"/>
        <v>1700 - TBN</v>
      </c>
      <c r="AC588" s="2" t="s">
        <v>145</v>
      </c>
      <c r="AD588" s="11" t="str">
        <f>IF($I588&lt;&gt;"",VLOOKUP($AC588,GEADRESSEERDE!$A$2:$E$4,2,),"")</f>
        <v>LUITHAGEN HAVEN 2 D</v>
      </c>
      <c r="AE588" s="11">
        <f>IF($I588&lt;&gt;"",VLOOKUP($AC588,GEADRESSEERDE!$A$2:$E$4,3,),"")</f>
        <v>2030</v>
      </c>
      <c r="AF588" s="11" t="str">
        <f>IF($I588&lt;&gt;"",VLOOKUP($AC588,GEADRESSEERDE!$A$2:$E$4,4,),"")</f>
        <v>ANTWERPEN</v>
      </c>
      <c r="AG588" s="11" t="str">
        <f>IF($I588&lt;&gt;"",VLOOKUP($AC588,GEADRESSEERDE!$A$2:$E$4,5,),"")</f>
        <v>BE</v>
      </c>
      <c r="AH588" s="11" t="str">
        <f>IF(I588&lt;&gt;"",VLOOKUP(AP588,KvB!$A$2:$B$3,2,FALSE),"")</f>
        <v>BE101000</v>
      </c>
      <c r="AI588" s="11" t="s">
        <v>55</v>
      </c>
      <c r="AJ588" s="11"/>
      <c r="AK588" s="11"/>
      <c r="AL588" s="11"/>
      <c r="AM588" s="11"/>
      <c r="AN588" s="11"/>
      <c r="AO588" s="11"/>
      <c r="AP588" s="2" t="s">
        <v>70</v>
      </c>
      <c r="AQ588" s="11" t="str">
        <f>IF(I588&lt;&gt;"",DATA!D587,"")</f>
        <v>8481900090</v>
      </c>
    </row>
    <row r="589" spans="1:43" ht="15.75" x14ac:dyDescent="0.25">
      <c r="A589" s="11" t="s">
        <v>57</v>
      </c>
      <c r="B589" s="11" t="s">
        <v>56</v>
      </c>
      <c r="C589" s="22">
        <f t="shared" si="42"/>
        <v>25001620</v>
      </c>
      <c r="D589" s="11" t="str">
        <f t="shared" si="39"/>
        <v>SKIIFM_AT</v>
      </c>
      <c r="E589" s="11" t="str">
        <f>IF(I589&lt;&gt;"",VLOOKUP(F589,OPDRACHTGEVER!$A$2:$B$4,2,FALSE),"")</f>
        <v>SKIIFM_AT</v>
      </c>
      <c r="F589" s="11" t="s">
        <v>58</v>
      </c>
      <c r="I589" s="11" t="str">
        <f>IF(DATA!B588&lt;&gt;"",DATA!B588,"")</f>
        <v>CXDU2168102</v>
      </c>
      <c r="J589" s="12">
        <v>0</v>
      </c>
      <c r="K589" s="11" t="s">
        <v>53</v>
      </c>
      <c r="L589" s="11" t="str">
        <f t="shared" si="40"/>
        <v>820559</v>
      </c>
      <c r="M589" s="11" t="str">
        <f>IF(I589&lt;&gt;"",DATA!E588,"")</f>
        <v>DENT REPAIR KIT</v>
      </c>
      <c r="N589" s="12">
        <v>0</v>
      </c>
      <c r="O589" s="11">
        <f>IF(I589&lt;&gt;"",DATA!C588,"")</f>
        <v>69.599999999999994</v>
      </c>
      <c r="P589" s="2">
        <v>294094</v>
      </c>
      <c r="Q589" s="2" t="s">
        <v>1304</v>
      </c>
      <c r="R589" s="2" t="s">
        <v>1318</v>
      </c>
      <c r="S589" s="2">
        <v>582</v>
      </c>
      <c r="T589" s="2">
        <v>1</v>
      </c>
      <c r="U589" s="2" t="s">
        <v>141</v>
      </c>
      <c r="Y589" s="2">
        <v>1700</v>
      </c>
      <c r="Z589" s="11" t="s">
        <v>54</v>
      </c>
      <c r="AA589" s="11" t="str">
        <f t="shared" si="41"/>
        <v>1700 - TBN</v>
      </c>
      <c r="AC589" s="2" t="s">
        <v>145</v>
      </c>
      <c r="AD589" s="11" t="str">
        <f>IF($I589&lt;&gt;"",VLOOKUP($AC589,GEADRESSEERDE!$A$2:$E$4,2,),"")</f>
        <v>LUITHAGEN HAVEN 2 D</v>
      </c>
      <c r="AE589" s="11">
        <f>IF($I589&lt;&gt;"",VLOOKUP($AC589,GEADRESSEERDE!$A$2:$E$4,3,),"")</f>
        <v>2030</v>
      </c>
      <c r="AF589" s="11" t="str">
        <f>IF($I589&lt;&gt;"",VLOOKUP($AC589,GEADRESSEERDE!$A$2:$E$4,4,),"")</f>
        <v>ANTWERPEN</v>
      </c>
      <c r="AG589" s="11" t="str">
        <f>IF($I589&lt;&gt;"",VLOOKUP($AC589,GEADRESSEERDE!$A$2:$E$4,5,),"")</f>
        <v>BE</v>
      </c>
      <c r="AH589" s="11" t="str">
        <f>IF(I589&lt;&gt;"",VLOOKUP(AP589,KvB!$A$2:$B$3,2,FALSE),"")</f>
        <v>BE101000</v>
      </c>
      <c r="AI589" s="11" t="s">
        <v>55</v>
      </c>
      <c r="AJ589" s="11"/>
      <c r="AK589" s="11"/>
      <c r="AL589" s="11"/>
      <c r="AM589" s="11"/>
      <c r="AN589" s="11"/>
      <c r="AO589" s="11"/>
      <c r="AP589" s="2" t="s">
        <v>70</v>
      </c>
      <c r="AQ589" s="11" t="str">
        <f>IF(I589&lt;&gt;"",DATA!D588,"")</f>
        <v>8205598000</v>
      </c>
    </row>
    <row r="590" spans="1:43" ht="15.75" x14ac:dyDescent="0.25">
      <c r="A590" s="11" t="s">
        <v>57</v>
      </c>
      <c r="B590" s="11" t="s">
        <v>56</v>
      </c>
      <c r="C590" s="22">
        <f t="shared" si="42"/>
        <v>25001620</v>
      </c>
      <c r="D590" s="11" t="str">
        <f t="shared" si="39"/>
        <v>SKIIFM_AT</v>
      </c>
      <c r="E590" s="11" t="str">
        <f>IF(I590&lt;&gt;"",VLOOKUP(F590,OPDRACHTGEVER!$A$2:$B$4,2,FALSE),"")</f>
        <v>SKIIFM_AT</v>
      </c>
      <c r="F590" s="11" t="s">
        <v>58</v>
      </c>
      <c r="I590" s="11" t="str">
        <f>IF(DATA!B589&lt;&gt;"",DATA!B589,"")</f>
        <v>CXDU2168102</v>
      </c>
      <c r="J590" s="12">
        <v>0</v>
      </c>
      <c r="K590" s="11" t="s">
        <v>53</v>
      </c>
      <c r="L590" s="11" t="str">
        <f t="shared" si="40"/>
        <v>841451</v>
      </c>
      <c r="M590" s="11" t="str">
        <f>IF(I590&lt;&gt;"",DATA!E589,"")</f>
        <v>DESK FAN</v>
      </c>
      <c r="N590" s="12">
        <v>0</v>
      </c>
      <c r="O590" s="11">
        <f>IF(I590&lt;&gt;"",DATA!C589,"")</f>
        <v>184.8</v>
      </c>
      <c r="P590" s="2">
        <v>294094</v>
      </c>
      <c r="Q590" s="2" t="s">
        <v>1304</v>
      </c>
      <c r="R590" s="2" t="s">
        <v>1318</v>
      </c>
      <c r="S590" s="2">
        <v>582</v>
      </c>
      <c r="T590" s="2">
        <v>1</v>
      </c>
      <c r="U590" s="2" t="s">
        <v>141</v>
      </c>
      <c r="Y590" s="2">
        <v>1700</v>
      </c>
      <c r="Z590" s="11" t="s">
        <v>54</v>
      </c>
      <c r="AA590" s="11" t="str">
        <f t="shared" si="41"/>
        <v>1700 - TBN</v>
      </c>
      <c r="AC590" s="2" t="s">
        <v>145</v>
      </c>
      <c r="AD590" s="11" t="str">
        <f>IF($I590&lt;&gt;"",VLOOKUP($AC590,GEADRESSEERDE!$A$2:$E$4,2,),"")</f>
        <v>LUITHAGEN HAVEN 2 D</v>
      </c>
      <c r="AE590" s="11">
        <f>IF($I590&lt;&gt;"",VLOOKUP($AC590,GEADRESSEERDE!$A$2:$E$4,3,),"")</f>
        <v>2030</v>
      </c>
      <c r="AF590" s="11" t="str">
        <f>IF($I590&lt;&gt;"",VLOOKUP($AC590,GEADRESSEERDE!$A$2:$E$4,4,),"")</f>
        <v>ANTWERPEN</v>
      </c>
      <c r="AG590" s="11" t="str">
        <f>IF($I590&lt;&gt;"",VLOOKUP($AC590,GEADRESSEERDE!$A$2:$E$4,5,),"")</f>
        <v>BE</v>
      </c>
      <c r="AH590" s="11" t="str">
        <f>IF(I590&lt;&gt;"",VLOOKUP(AP590,KvB!$A$2:$B$3,2,FALSE),"")</f>
        <v>BE101000</v>
      </c>
      <c r="AI590" s="11" t="s">
        <v>55</v>
      </c>
      <c r="AJ590" s="11"/>
      <c r="AK590" s="11"/>
      <c r="AL590" s="11"/>
      <c r="AM590" s="11"/>
      <c r="AN590" s="11"/>
      <c r="AO590" s="11"/>
      <c r="AP590" s="2" t="s">
        <v>70</v>
      </c>
      <c r="AQ590" s="11" t="str">
        <f>IF(I590&lt;&gt;"",DATA!D589,"")</f>
        <v>8414510090</v>
      </c>
    </row>
    <row r="591" spans="1:43" ht="15.75" x14ac:dyDescent="0.25">
      <c r="A591" s="11" t="s">
        <v>57</v>
      </c>
      <c r="B591" s="11" t="s">
        <v>56</v>
      </c>
      <c r="C591" s="22">
        <f t="shared" si="42"/>
        <v>25001620</v>
      </c>
      <c r="D591" s="11" t="str">
        <f t="shared" si="39"/>
        <v>SKIIFM_AT</v>
      </c>
      <c r="E591" s="11" t="str">
        <f>IF(I591&lt;&gt;"",VLOOKUP(F591,OPDRACHTGEVER!$A$2:$B$4,2,FALSE),"")</f>
        <v>SKIIFM_AT</v>
      </c>
      <c r="F591" s="11" t="s">
        <v>58</v>
      </c>
      <c r="I591" s="11" t="str">
        <f>IF(DATA!B590&lt;&gt;"",DATA!B590,"")</f>
        <v>CXDU2168102</v>
      </c>
      <c r="J591" s="12">
        <v>0</v>
      </c>
      <c r="K591" s="11" t="s">
        <v>53</v>
      </c>
      <c r="L591" s="11" t="str">
        <f t="shared" si="40"/>
        <v>741920</v>
      </c>
      <c r="M591" s="11" t="str">
        <f>IF(I591&lt;&gt;"",DATA!E590,"")</f>
        <v>DINING STOVE</v>
      </c>
      <c r="N591" s="12">
        <v>0</v>
      </c>
      <c r="O591" s="11">
        <f>IF(I591&lt;&gt;"",DATA!C590,"")</f>
        <v>550.91999999999996</v>
      </c>
      <c r="P591" s="2">
        <v>294094</v>
      </c>
      <c r="Q591" s="2" t="s">
        <v>1304</v>
      </c>
      <c r="R591" s="2" t="s">
        <v>1318</v>
      </c>
      <c r="S591" s="2">
        <v>582</v>
      </c>
      <c r="T591" s="2">
        <v>1</v>
      </c>
      <c r="U591" s="2" t="s">
        <v>141</v>
      </c>
      <c r="Y591" s="2">
        <v>1700</v>
      </c>
      <c r="Z591" s="11" t="s">
        <v>54</v>
      </c>
      <c r="AA591" s="11" t="str">
        <f t="shared" si="41"/>
        <v>1700 - TBN</v>
      </c>
      <c r="AC591" s="2" t="s">
        <v>145</v>
      </c>
      <c r="AD591" s="11" t="str">
        <f>IF($I591&lt;&gt;"",VLOOKUP($AC591,GEADRESSEERDE!$A$2:$E$4,2,),"")</f>
        <v>LUITHAGEN HAVEN 2 D</v>
      </c>
      <c r="AE591" s="11">
        <f>IF($I591&lt;&gt;"",VLOOKUP($AC591,GEADRESSEERDE!$A$2:$E$4,3,),"")</f>
        <v>2030</v>
      </c>
      <c r="AF591" s="11" t="str">
        <f>IF($I591&lt;&gt;"",VLOOKUP($AC591,GEADRESSEERDE!$A$2:$E$4,4,),"")</f>
        <v>ANTWERPEN</v>
      </c>
      <c r="AG591" s="11" t="str">
        <f>IF($I591&lt;&gt;"",VLOOKUP($AC591,GEADRESSEERDE!$A$2:$E$4,5,),"")</f>
        <v>BE</v>
      </c>
      <c r="AH591" s="11" t="str">
        <f>IF(I591&lt;&gt;"",VLOOKUP(AP591,KvB!$A$2:$B$3,2,FALSE),"")</f>
        <v>BE101000</v>
      </c>
      <c r="AI591" s="11" t="s">
        <v>55</v>
      </c>
      <c r="AJ591" s="11"/>
      <c r="AK591" s="11"/>
      <c r="AL591" s="11"/>
      <c r="AM591" s="11"/>
      <c r="AN591" s="11"/>
      <c r="AO591" s="11"/>
      <c r="AP591" s="2" t="s">
        <v>70</v>
      </c>
      <c r="AQ591" s="11" t="str">
        <f>IF(I591&lt;&gt;"",DATA!D590,"")</f>
        <v>7419200090</v>
      </c>
    </row>
    <row r="592" spans="1:43" ht="15.75" x14ac:dyDescent="0.25">
      <c r="A592" s="11" t="s">
        <v>57</v>
      </c>
      <c r="B592" s="11" t="s">
        <v>56</v>
      </c>
      <c r="C592" s="22">
        <f t="shared" si="42"/>
        <v>25001620</v>
      </c>
      <c r="D592" s="11" t="str">
        <f t="shared" si="39"/>
        <v>SKIIFM_AT</v>
      </c>
      <c r="E592" s="11" t="str">
        <f>IF(I592&lt;&gt;"",VLOOKUP(F592,OPDRACHTGEVER!$A$2:$B$4,2,FALSE),"")</f>
        <v>SKIIFM_AT</v>
      </c>
      <c r="F592" s="11" t="s">
        <v>58</v>
      </c>
      <c r="I592" s="11" t="str">
        <f>IF(DATA!B591&lt;&gt;"",DATA!B591,"")</f>
        <v>CXDU2168102</v>
      </c>
      <c r="J592" s="12">
        <v>0</v>
      </c>
      <c r="K592" s="11" t="s">
        <v>53</v>
      </c>
      <c r="L592" s="11" t="str">
        <f t="shared" si="40"/>
        <v>950629</v>
      </c>
      <c r="M592" s="11" t="str">
        <f>IF(I592&lt;&gt;"",DATA!E591,"")</f>
        <v>DIVING RESPIRATOR</v>
      </c>
      <c r="N592" s="12">
        <v>0</v>
      </c>
      <c r="O592" s="11">
        <f>IF(I592&lt;&gt;"",DATA!C591,"")</f>
        <v>41.01</v>
      </c>
      <c r="P592" s="2">
        <v>294094</v>
      </c>
      <c r="Q592" s="2" t="s">
        <v>1304</v>
      </c>
      <c r="R592" s="2" t="s">
        <v>1318</v>
      </c>
      <c r="S592" s="2">
        <v>582</v>
      </c>
      <c r="T592" s="2">
        <v>1</v>
      </c>
      <c r="U592" s="2" t="s">
        <v>141</v>
      </c>
      <c r="Y592" s="2">
        <v>1700</v>
      </c>
      <c r="Z592" s="11" t="s">
        <v>54</v>
      </c>
      <c r="AA592" s="11" t="str">
        <f t="shared" si="41"/>
        <v>1700 - TBN</v>
      </c>
      <c r="AC592" s="2" t="s">
        <v>145</v>
      </c>
      <c r="AD592" s="11" t="str">
        <f>IF($I592&lt;&gt;"",VLOOKUP($AC592,GEADRESSEERDE!$A$2:$E$4,2,),"")</f>
        <v>LUITHAGEN HAVEN 2 D</v>
      </c>
      <c r="AE592" s="11">
        <f>IF($I592&lt;&gt;"",VLOOKUP($AC592,GEADRESSEERDE!$A$2:$E$4,3,),"")</f>
        <v>2030</v>
      </c>
      <c r="AF592" s="11" t="str">
        <f>IF($I592&lt;&gt;"",VLOOKUP($AC592,GEADRESSEERDE!$A$2:$E$4,4,),"")</f>
        <v>ANTWERPEN</v>
      </c>
      <c r="AG592" s="11" t="str">
        <f>IF($I592&lt;&gt;"",VLOOKUP($AC592,GEADRESSEERDE!$A$2:$E$4,5,),"")</f>
        <v>BE</v>
      </c>
      <c r="AH592" s="11" t="str">
        <f>IF(I592&lt;&gt;"",VLOOKUP(AP592,KvB!$A$2:$B$3,2,FALSE),"")</f>
        <v>BE101000</v>
      </c>
      <c r="AI592" s="11" t="s">
        <v>55</v>
      </c>
      <c r="AJ592" s="11"/>
      <c r="AK592" s="11"/>
      <c r="AL592" s="11"/>
      <c r="AM592" s="11"/>
      <c r="AN592" s="11"/>
      <c r="AO592" s="11"/>
      <c r="AP592" s="2" t="s">
        <v>70</v>
      </c>
      <c r="AQ592" s="11" t="str">
        <f>IF(I592&lt;&gt;"",DATA!D591,"")</f>
        <v>9506290000</v>
      </c>
    </row>
    <row r="593" spans="1:43" ht="15.75" x14ac:dyDescent="0.25">
      <c r="A593" s="11" t="s">
        <v>57</v>
      </c>
      <c r="B593" s="11" t="s">
        <v>56</v>
      </c>
      <c r="C593" s="22">
        <f t="shared" si="42"/>
        <v>25001620</v>
      </c>
      <c r="D593" s="11" t="str">
        <f t="shared" si="39"/>
        <v>SKIIFM_AT</v>
      </c>
      <c r="E593" s="11" t="str">
        <f>IF(I593&lt;&gt;"",VLOOKUP(F593,OPDRACHTGEVER!$A$2:$B$4,2,FALSE),"")</f>
        <v>SKIIFM_AT</v>
      </c>
      <c r="F593" s="11" t="s">
        <v>58</v>
      </c>
      <c r="I593" s="11" t="str">
        <f>IF(DATA!B592&lt;&gt;"",DATA!B592,"")</f>
        <v>CXDU2168102</v>
      </c>
      <c r="J593" s="12">
        <v>0</v>
      </c>
      <c r="K593" s="11" t="s">
        <v>53</v>
      </c>
      <c r="L593" s="11" t="str">
        <f t="shared" si="40"/>
        <v>851660</v>
      </c>
      <c r="M593" s="11" t="str">
        <f>IF(I593&lt;&gt;"",DATA!E592,"")</f>
        <v>ELECTRIC FRYER</v>
      </c>
      <c r="N593" s="12">
        <v>0</v>
      </c>
      <c r="O593" s="11">
        <f>IF(I593&lt;&gt;"",DATA!C592,"")</f>
        <v>513.58000000000004</v>
      </c>
      <c r="P593" s="2">
        <v>294094</v>
      </c>
      <c r="Q593" s="2" t="s">
        <v>1304</v>
      </c>
      <c r="R593" s="2" t="s">
        <v>1318</v>
      </c>
      <c r="S593" s="2">
        <v>582</v>
      </c>
      <c r="T593" s="2">
        <v>1</v>
      </c>
      <c r="U593" s="2" t="s">
        <v>141</v>
      </c>
      <c r="Y593" s="2">
        <v>1700</v>
      </c>
      <c r="Z593" s="11" t="s">
        <v>54</v>
      </c>
      <c r="AA593" s="11" t="str">
        <f t="shared" si="41"/>
        <v>1700 - TBN</v>
      </c>
      <c r="AC593" s="2" t="s">
        <v>145</v>
      </c>
      <c r="AD593" s="11" t="str">
        <f>IF($I593&lt;&gt;"",VLOOKUP($AC593,GEADRESSEERDE!$A$2:$E$4,2,),"")</f>
        <v>LUITHAGEN HAVEN 2 D</v>
      </c>
      <c r="AE593" s="11">
        <f>IF($I593&lt;&gt;"",VLOOKUP($AC593,GEADRESSEERDE!$A$2:$E$4,3,),"")</f>
        <v>2030</v>
      </c>
      <c r="AF593" s="11" t="str">
        <f>IF($I593&lt;&gt;"",VLOOKUP($AC593,GEADRESSEERDE!$A$2:$E$4,4,),"")</f>
        <v>ANTWERPEN</v>
      </c>
      <c r="AG593" s="11" t="str">
        <f>IF($I593&lt;&gt;"",VLOOKUP($AC593,GEADRESSEERDE!$A$2:$E$4,5,),"")</f>
        <v>BE</v>
      </c>
      <c r="AH593" s="11" t="str">
        <f>IF(I593&lt;&gt;"",VLOOKUP(AP593,KvB!$A$2:$B$3,2,FALSE),"")</f>
        <v>BE101000</v>
      </c>
      <c r="AI593" s="11" t="s">
        <v>55</v>
      </c>
      <c r="AJ593" s="11"/>
      <c r="AK593" s="11"/>
      <c r="AL593" s="11"/>
      <c r="AM593" s="11"/>
      <c r="AN593" s="11"/>
      <c r="AO593" s="11"/>
      <c r="AP593" s="2" t="s">
        <v>70</v>
      </c>
      <c r="AQ593" s="11" t="str">
        <f>IF(I593&lt;&gt;"",DATA!D592,"")</f>
        <v>8516609000</v>
      </c>
    </row>
    <row r="594" spans="1:43" ht="15.75" x14ac:dyDescent="0.25">
      <c r="A594" s="11" t="s">
        <v>57</v>
      </c>
      <c r="B594" s="11" t="s">
        <v>56</v>
      </c>
      <c r="C594" s="22">
        <f t="shared" si="42"/>
        <v>25001620</v>
      </c>
      <c r="D594" s="11" t="str">
        <f t="shared" si="39"/>
        <v>SKIIFM_AT</v>
      </c>
      <c r="E594" s="11" t="str">
        <f>IF(I594&lt;&gt;"",VLOOKUP(F594,OPDRACHTGEVER!$A$2:$B$4,2,FALSE),"")</f>
        <v>SKIIFM_AT</v>
      </c>
      <c r="F594" s="11" t="s">
        <v>58</v>
      </c>
      <c r="I594" s="11" t="str">
        <f>IF(DATA!B593&lt;&gt;"",DATA!B593,"")</f>
        <v>CXDU2168102</v>
      </c>
      <c r="J594" s="12">
        <v>0</v>
      </c>
      <c r="K594" s="11" t="s">
        <v>53</v>
      </c>
      <c r="L594" s="11" t="str">
        <f t="shared" si="40"/>
        <v>841981</v>
      </c>
      <c r="M594" s="11" t="str">
        <f>IF(I594&lt;&gt;"",DATA!E593,"")</f>
        <v>ELECTRIC FOOD WARMER</v>
      </c>
      <c r="N594" s="12">
        <v>0</v>
      </c>
      <c r="O594" s="11">
        <f>IF(I594&lt;&gt;"",DATA!C593,"")</f>
        <v>232.5</v>
      </c>
      <c r="P594" s="2">
        <v>294094</v>
      </c>
      <c r="Q594" s="2" t="s">
        <v>1304</v>
      </c>
      <c r="R594" s="2" t="s">
        <v>1318</v>
      </c>
      <c r="S594" s="2">
        <v>582</v>
      </c>
      <c r="T594" s="2">
        <v>1</v>
      </c>
      <c r="U594" s="2" t="s">
        <v>141</v>
      </c>
      <c r="Y594" s="2">
        <v>1700</v>
      </c>
      <c r="Z594" s="11" t="s">
        <v>54</v>
      </c>
      <c r="AA594" s="11" t="str">
        <f t="shared" si="41"/>
        <v>1700 - TBN</v>
      </c>
      <c r="AC594" s="2" t="s">
        <v>145</v>
      </c>
      <c r="AD594" s="11" t="str">
        <f>IF($I594&lt;&gt;"",VLOOKUP($AC594,GEADRESSEERDE!$A$2:$E$4,2,),"")</f>
        <v>LUITHAGEN HAVEN 2 D</v>
      </c>
      <c r="AE594" s="11">
        <f>IF($I594&lt;&gt;"",VLOOKUP($AC594,GEADRESSEERDE!$A$2:$E$4,3,),"")</f>
        <v>2030</v>
      </c>
      <c r="AF594" s="11" t="str">
        <f>IF($I594&lt;&gt;"",VLOOKUP($AC594,GEADRESSEERDE!$A$2:$E$4,4,),"")</f>
        <v>ANTWERPEN</v>
      </c>
      <c r="AG594" s="11" t="str">
        <f>IF($I594&lt;&gt;"",VLOOKUP($AC594,GEADRESSEERDE!$A$2:$E$4,5,),"")</f>
        <v>BE</v>
      </c>
      <c r="AH594" s="11" t="str">
        <f>IF(I594&lt;&gt;"",VLOOKUP(AP594,KvB!$A$2:$B$3,2,FALSE),"")</f>
        <v>BE101000</v>
      </c>
      <c r="AI594" s="11" t="s">
        <v>55</v>
      </c>
      <c r="AJ594" s="11"/>
      <c r="AK594" s="11"/>
      <c r="AL594" s="11"/>
      <c r="AM594" s="11"/>
      <c r="AN594" s="11"/>
      <c r="AO594" s="11"/>
      <c r="AP594" s="2" t="s">
        <v>70</v>
      </c>
      <c r="AQ594" s="11" t="str">
        <f>IF(I594&lt;&gt;"",DATA!D593,"")</f>
        <v>8419818090</v>
      </c>
    </row>
    <row r="595" spans="1:43" ht="15.75" x14ac:dyDescent="0.25">
      <c r="A595" s="11" t="s">
        <v>57</v>
      </c>
      <c r="B595" s="11" t="s">
        <v>56</v>
      </c>
      <c r="C595" s="22">
        <f t="shared" si="42"/>
        <v>25001620</v>
      </c>
      <c r="D595" s="11" t="str">
        <f t="shared" si="39"/>
        <v>SKIIFM_AT</v>
      </c>
      <c r="E595" s="11" t="str">
        <f>IF(I595&lt;&gt;"",VLOOKUP(F595,OPDRACHTGEVER!$A$2:$B$4,2,FALSE),"")</f>
        <v>SKIIFM_AT</v>
      </c>
      <c r="F595" s="11" t="s">
        <v>58</v>
      </c>
      <c r="I595" s="11" t="str">
        <f>IF(DATA!B594&lt;&gt;"",DATA!B594,"")</f>
        <v>CXDU2168102</v>
      </c>
      <c r="J595" s="12">
        <v>0</v>
      </c>
      <c r="K595" s="11" t="s">
        <v>53</v>
      </c>
      <c r="L595" s="11" t="str">
        <f t="shared" si="40"/>
        <v>741920</v>
      </c>
      <c r="M595" s="11" t="str">
        <f>IF(I595&lt;&gt;"",DATA!E594,"")</f>
        <v>FIXED PAYMENT</v>
      </c>
      <c r="N595" s="12">
        <v>0</v>
      </c>
      <c r="O595" s="11">
        <f>IF(I595&lt;&gt;"",DATA!C594,"")</f>
        <v>256.7</v>
      </c>
      <c r="P595" s="2">
        <v>294094</v>
      </c>
      <c r="Q595" s="2" t="s">
        <v>1304</v>
      </c>
      <c r="R595" s="2" t="s">
        <v>1318</v>
      </c>
      <c r="S595" s="2">
        <v>582</v>
      </c>
      <c r="T595" s="2">
        <v>1</v>
      </c>
      <c r="U595" s="2" t="s">
        <v>141</v>
      </c>
      <c r="Y595" s="2">
        <v>1700</v>
      </c>
      <c r="Z595" s="11" t="s">
        <v>54</v>
      </c>
      <c r="AA595" s="11" t="str">
        <f t="shared" si="41"/>
        <v>1700 - TBN</v>
      </c>
      <c r="AC595" s="2" t="s">
        <v>145</v>
      </c>
      <c r="AD595" s="11" t="str">
        <f>IF($I595&lt;&gt;"",VLOOKUP($AC595,GEADRESSEERDE!$A$2:$E$4,2,),"")</f>
        <v>LUITHAGEN HAVEN 2 D</v>
      </c>
      <c r="AE595" s="11">
        <f>IF($I595&lt;&gt;"",VLOOKUP($AC595,GEADRESSEERDE!$A$2:$E$4,3,),"")</f>
        <v>2030</v>
      </c>
      <c r="AF595" s="11" t="str">
        <f>IF($I595&lt;&gt;"",VLOOKUP($AC595,GEADRESSEERDE!$A$2:$E$4,4,),"")</f>
        <v>ANTWERPEN</v>
      </c>
      <c r="AG595" s="11" t="str">
        <f>IF($I595&lt;&gt;"",VLOOKUP($AC595,GEADRESSEERDE!$A$2:$E$4,5,),"")</f>
        <v>BE</v>
      </c>
      <c r="AH595" s="11" t="str">
        <f>IF(I595&lt;&gt;"",VLOOKUP(AP595,KvB!$A$2:$B$3,2,FALSE),"")</f>
        <v>BE101000</v>
      </c>
      <c r="AI595" s="11" t="s">
        <v>55</v>
      </c>
      <c r="AJ595" s="11"/>
      <c r="AK595" s="11"/>
      <c r="AL595" s="11"/>
      <c r="AM595" s="11"/>
      <c r="AN595" s="11"/>
      <c r="AO595" s="11"/>
      <c r="AP595" s="2" t="s">
        <v>70</v>
      </c>
      <c r="AQ595" s="11" t="str">
        <f>IF(I595&lt;&gt;"",DATA!D594,"")</f>
        <v>7419200090</v>
      </c>
    </row>
    <row r="596" spans="1:43" ht="15.75" x14ac:dyDescent="0.25">
      <c r="A596" s="11" t="s">
        <v>57</v>
      </c>
      <c r="B596" s="11" t="s">
        <v>56</v>
      </c>
      <c r="C596" s="22">
        <f t="shared" si="42"/>
        <v>25001620</v>
      </c>
      <c r="D596" s="11" t="str">
        <f t="shared" si="39"/>
        <v>SKIIFM_AT</v>
      </c>
      <c r="E596" s="11" t="str">
        <f>IF(I596&lt;&gt;"",VLOOKUP(F596,OPDRACHTGEVER!$A$2:$B$4,2,FALSE),"")</f>
        <v>SKIIFM_AT</v>
      </c>
      <c r="F596" s="11" t="s">
        <v>58</v>
      </c>
      <c r="I596" s="11" t="str">
        <f>IF(DATA!B595&lt;&gt;"",DATA!B595,"")</f>
        <v>CXDU2168102</v>
      </c>
      <c r="J596" s="12">
        <v>0</v>
      </c>
      <c r="K596" s="11" t="s">
        <v>53</v>
      </c>
      <c r="L596" s="11" t="str">
        <f t="shared" si="40"/>
        <v>950691</v>
      </c>
      <c r="M596" s="11" t="str">
        <f>IF(I596&lt;&gt;"",DATA!E595,"")</f>
        <v>FOOTBALL REBOUND DEVICE</v>
      </c>
      <c r="N596" s="12">
        <v>0</v>
      </c>
      <c r="O596" s="11">
        <f>IF(I596&lt;&gt;"",DATA!C595,"")</f>
        <v>108</v>
      </c>
      <c r="P596" s="2">
        <v>294094</v>
      </c>
      <c r="Q596" s="2" t="s">
        <v>1304</v>
      </c>
      <c r="R596" s="2" t="s">
        <v>1318</v>
      </c>
      <c r="S596" s="2">
        <v>582</v>
      </c>
      <c r="T596" s="2">
        <v>1</v>
      </c>
      <c r="U596" s="2" t="s">
        <v>141</v>
      </c>
      <c r="Y596" s="2">
        <v>1700</v>
      </c>
      <c r="Z596" s="11" t="s">
        <v>54</v>
      </c>
      <c r="AA596" s="11" t="str">
        <f t="shared" si="41"/>
        <v>1700 - TBN</v>
      </c>
      <c r="AC596" s="2" t="s">
        <v>145</v>
      </c>
      <c r="AD596" s="11" t="str">
        <f>IF($I596&lt;&gt;"",VLOOKUP($AC596,GEADRESSEERDE!$A$2:$E$4,2,),"")</f>
        <v>LUITHAGEN HAVEN 2 D</v>
      </c>
      <c r="AE596" s="11">
        <f>IF($I596&lt;&gt;"",VLOOKUP($AC596,GEADRESSEERDE!$A$2:$E$4,3,),"")</f>
        <v>2030</v>
      </c>
      <c r="AF596" s="11" t="str">
        <f>IF($I596&lt;&gt;"",VLOOKUP($AC596,GEADRESSEERDE!$A$2:$E$4,4,),"")</f>
        <v>ANTWERPEN</v>
      </c>
      <c r="AG596" s="11" t="str">
        <f>IF($I596&lt;&gt;"",VLOOKUP($AC596,GEADRESSEERDE!$A$2:$E$4,5,),"")</f>
        <v>BE</v>
      </c>
      <c r="AH596" s="11" t="str">
        <f>IF(I596&lt;&gt;"",VLOOKUP(AP596,KvB!$A$2:$B$3,2,FALSE),"")</f>
        <v>BE101000</v>
      </c>
      <c r="AI596" s="11" t="s">
        <v>55</v>
      </c>
      <c r="AJ596" s="11"/>
      <c r="AK596" s="11"/>
      <c r="AL596" s="11"/>
      <c r="AM596" s="11"/>
      <c r="AN596" s="11"/>
      <c r="AO596" s="11"/>
      <c r="AP596" s="2" t="s">
        <v>70</v>
      </c>
      <c r="AQ596" s="11" t="str">
        <f>IF(I596&lt;&gt;"",DATA!D595,"")</f>
        <v>9506919000</v>
      </c>
    </row>
    <row r="597" spans="1:43" ht="15.75" x14ac:dyDescent="0.25">
      <c r="A597" s="11" t="s">
        <v>57</v>
      </c>
      <c r="B597" s="11" t="s">
        <v>56</v>
      </c>
      <c r="C597" s="22">
        <f t="shared" si="42"/>
        <v>25001620</v>
      </c>
      <c r="D597" s="11" t="str">
        <f t="shared" si="39"/>
        <v>SKIIFM_AT</v>
      </c>
      <c r="E597" s="11" t="str">
        <f>IF(I597&lt;&gt;"",VLOOKUP(F597,OPDRACHTGEVER!$A$2:$B$4,2,FALSE),"")</f>
        <v>SKIIFM_AT</v>
      </c>
      <c r="F597" s="11" t="s">
        <v>58</v>
      </c>
      <c r="I597" s="11" t="str">
        <f>IF(DATA!B596&lt;&gt;"",DATA!B596,"")</f>
        <v>CXDU2168102</v>
      </c>
      <c r="J597" s="12">
        <v>0</v>
      </c>
      <c r="K597" s="11" t="s">
        <v>53</v>
      </c>
      <c r="L597" s="11" t="str">
        <f t="shared" si="40"/>
        <v>950300</v>
      </c>
      <c r="M597" s="11" t="str">
        <f>IF(I597&lt;&gt;"",DATA!E596,"")</f>
        <v>FORT BUILDING KIT（BEAD）</v>
      </c>
      <c r="N597" s="12">
        <v>0</v>
      </c>
      <c r="O597" s="11">
        <f>IF(I597&lt;&gt;"",DATA!C596,"")</f>
        <v>40.799999999999997</v>
      </c>
      <c r="P597" s="2">
        <v>294094</v>
      </c>
      <c r="Q597" s="2" t="s">
        <v>1304</v>
      </c>
      <c r="R597" s="2" t="s">
        <v>1318</v>
      </c>
      <c r="S597" s="2">
        <v>582</v>
      </c>
      <c r="T597" s="2">
        <v>1</v>
      </c>
      <c r="U597" s="2" t="s">
        <v>141</v>
      </c>
      <c r="Y597" s="2">
        <v>1700</v>
      </c>
      <c r="Z597" s="11" t="s">
        <v>54</v>
      </c>
      <c r="AA597" s="11" t="str">
        <f t="shared" si="41"/>
        <v>1700 - TBN</v>
      </c>
      <c r="AC597" s="2" t="s">
        <v>145</v>
      </c>
      <c r="AD597" s="11" t="str">
        <f>IF($I597&lt;&gt;"",VLOOKUP($AC597,GEADRESSEERDE!$A$2:$E$4,2,),"")</f>
        <v>LUITHAGEN HAVEN 2 D</v>
      </c>
      <c r="AE597" s="11">
        <f>IF($I597&lt;&gt;"",VLOOKUP($AC597,GEADRESSEERDE!$A$2:$E$4,3,),"")</f>
        <v>2030</v>
      </c>
      <c r="AF597" s="11" t="str">
        <f>IF($I597&lt;&gt;"",VLOOKUP($AC597,GEADRESSEERDE!$A$2:$E$4,4,),"")</f>
        <v>ANTWERPEN</v>
      </c>
      <c r="AG597" s="11" t="str">
        <f>IF($I597&lt;&gt;"",VLOOKUP($AC597,GEADRESSEERDE!$A$2:$E$4,5,),"")</f>
        <v>BE</v>
      </c>
      <c r="AH597" s="11" t="str">
        <f>IF(I597&lt;&gt;"",VLOOKUP(AP597,KvB!$A$2:$B$3,2,FALSE),"")</f>
        <v>BE101000</v>
      </c>
      <c r="AI597" s="11" t="s">
        <v>55</v>
      </c>
      <c r="AJ597" s="11"/>
      <c r="AK597" s="11"/>
      <c r="AL597" s="11"/>
      <c r="AM597" s="11"/>
      <c r="AN597" s="11"/>
      <c r="AO597" s="11"/>
      <c r="AP597" s="2" t="s">
        <v>70</v>
      </c>
      <c r="AQ597" s="11" t="str">
        <f>IF(I597&lt;&gt;"",DATA!D596,"")</f>
        <v>9503008190</v>
      </c>
    </row>
    <row r="598" spans="1:43" ht="15.75" x14ac:dyDescent="0.25">
      <c r="A598" s="11" t="s">
        <v>57</v>
      </c>
      <c r="B598" s="11" t="s">
        <v>56</v>
      </c>
      <c r="C598" s="22">
        <f t="shared" si="42"/>
        <v>25001620</v>
      </c>
      <c r="D598" s="11" t="str">
        <f t="shared" si="39"/>
        <v>SKIIFM_AT</v>
      </c>
      <c r="E598" s="11" t="str">
        <f>IF(I598&lt;&gt;"",VLOOKUP(F598,OPDRACHTGEVER!$A$2:$B$4,2,FALSE),"")</f>
        <v>SKIIFM_AT</v>
      </c>
      <c r="F598" s="11" t="s">
        <v>58</v>
      </c>
      <c r="I598" s="11" t="str">
        <f>IF(DATA!B597&lt;&gt;"",DATA!B597,"")</f>
        <v>CXDU2168102</v>
      </c>
      <c r="J598" s="12">
        <v>0</v>
      </c>
      <c r="K598" s="11" t="s">
        <v>53</v>
      </c>
      <c r="L598" s="11" t="str">
        <f t="shared" si="40"/>
        <v>940320</v>
      </c>
      <c r="M598" s="11" t="str">
        <f>IF(I598&lt;&gt;"",DATA!E597,"")</f>
        <v>GARAGE TOOL CABINET</v>
      </c>
      <c r="N598" s="12">
        <v>0</v>
      </c>
      <c r="O598" s="11">
        <f>IF(I598&lt;&gt;"",DATA!C597,"")</f>
        <v>442.9</v>
      </c>
      <c r="P598" s="2">
        <v>294094</v>
      </c>
      <c r="Q598" s="2" t="s">
        <v>1304</v>
      </c>
      <c r="R598" s="2" t="s">
        <v>1318</v>
      </c>
      <c r="S598" s="2">
        <v>582</v>
      </c>
      <c r="T598" s="2">
        <v>1</v>
      </c>
      <c r="U598" s="2" t="s">
        <v>141</v>
      </c>
      <c r="Y598" s="2">
        <v>1700</v>
      </c>
      <c r="Z598" s="11" t="s">
        <v>54</v>
      </c>
      <c r="AA598" s="11" t="str">
        <f t="shared" si="41"/>
        <v>1700 - TBN</v>
      </c>
      <c r="AC598" s="2" t="s">
        <v>145</v>
      </c>
      <c r="AD598" s="11" t="str">
        <f>IF($I598&lt;&gt;"",VLOOKUP($AC598,GEADRESSEERDE!$A$2:$E$4,2,),"")</f>
        <v>LUITHAGEN HAVEN 2 D</v>
      </c>
      <c r="AE598" s="11">
        <f>IF($I598&lt;&gt;"",VLOOKUP($AC598,GEADRESSEERDE!$A$2:$E$4,3,),"")</f>
        <v>2030</v>
      </c>
      <c r="AF598" s="11" t="str">
        <f>IF($I598&lt;&gt;"",VLOOKUP($AC598,GEADRESSEERDE!$A$2:$E$4,4,),"")</f>
        <v>ANTWERPEN</v>
      </c>
      <c r="AG598" s="11" t="str">
        <f>IF($I598&lt;&gt;"",VLOOKUP($AC598,GEADRESSEERDE!$A$2:$E$4,5,),"")</f>
        <v>BE</v>
      </c>
      <c r="AH598" s="11" t="str">
        <f>IF(I598&lt;&gt;"",VLOOKUP(AP598,KvB!$A$2:$B$3,2,FALSE),"")</f>
        <v>BE101000</v>
      </c>
      <c r="AI598" s="11" t="s">
        <v>55</v>
      </c>
      <c r="AJ598" s="11"/>
      <c r="AK598" s="11"/>
      <c r="AL598" s="11"/>
      <c r="AM598" s="11"/>
      <c r="AN598" s="11"/>
      <c r="AO598" s="11"/>
      <c r="AP598" s="2" t="s">
        <v>70</v>
      </c>
      <c r="AQ598" s="11" t="str">
        <f>IF(I598&lt;&gt;"",DATA!D597,"")</f>
        <v>9403208000</v>
      </c>
    </row>
    <row r="599" spans="1:43" ht="15.75" x14ac:dyDescent="0.25">
      <c r="A599" s="11" t="s">
        <v>57</v>
      </c>
      <c r="B599" s="11" t="s">
        <v>56</v>
      </c>
      <c r="C599" s="22">
        <f t="shared" si="42"/>
        <v>25001620</v>
      </c>
      <c r="D599" s="11" t="str">
        <f t="shared" si="39"/>
        <v>SKIIFM_AT</v>
      </c>
      <c r="E599" s="11" t="str">
        <f>IF(I599&lt;&gt;"",VLOOKUP(F599,OPDRACHTGEVER!$A$2:$B$4,2,FALSE),"")</f>
        <v>SKIIFM_AT</v>
      </c>
      <c r="F599" s="11" t="s">
        <v>58</v>
      </c>
      <c r="I599" s="11" t="str">
        <f>IF(DATA!B598&lt;&gt;"",DATA!B598,"")</f>
        <v>CXDU2168102</v>
      </c>
      <c r="J599" s="12">
        <v>0</v>
      </c>
      <c r="K599" s="11" t="s">
        <v>53</v>
      </c>
      <c r="L599" s="11" t="str">
        <f t="shared" si="40"/>
        <v>820140</v>
      </c>
      <c r="M599" s="11" t="str">
        <f>IF(I599&lt;&gt;"",DATA!E598,"")</f>
        <v>GARDEN TOOLS</v>
      </c>
      <c r="N599" s="12">
        <v>0</v>
      </c>
      <c r="O599" s="11">
        <f>IF(I599&lt;&gt;"",DATA!C598,"")</f>
        <v>65.8</v>
      </c>
      <c r="P599" s="2">
        <v>294094</v>
      </c>
      <c r="Q599" s="2" t="s">
        <v>1304</v>
      </c>
      <c r="R599" s="2" t="s">
        <v>1318</v>
      </c>
      <c r="S599" s="2">
        <v>582</v>
      </c>
      <c r="T599" s="2">
        <v>1</v>
      </c>
      <c r="U599" s="2" t="s">
        <v>141</v>
      </c>
      <c r="Y599" s="2">
        <v>1700</v>
      </c>
      <c r="Z599" s="11" t="s">
        <v>54</v>
      </c>
      <c r="AA599" s="11" t="str">
        <f t="shared" si="41"/>
        <v>1700 - TBN</v>
      </c>
      <c r="AC599" s="2" t="s">
        <v>145</v>
      </c>
      <c r="AD599" s="11" t="str">
        <f>IF($I599&lt;&gt;"",VLOOKUP($AC599,GEADRESSEERDE!$A$2:$E$4,2,),"")</f>
        <v>LUITHAGEN HAVEN 2 D</v>
      </c>
      <c r="AE599" s="11">
        <f>IF($I599&lt;&gt;"",VLOOKUP($AC599,GEADRESSEERDE!$A$2:$E$4,3,),"")</f>
        <v>2030</v>
      </c>
      <c r="AF599" s="11" t="str">
        <f>IF($I599&lt;&gt;"",VLOOKUP($AC599,GEADRESSEERDE!$A$2:$E$4,4,),"")</f>
        <v>ANTWERPEN</v>
      </c>
      <c r="AG599" s="11" t="str">
        <f>IF($I599&lt;&gt;"",VLOOKUP($AC599,GEADRESSEERDE!$A$2:$E$4,5,),"")</f>
        <v>BE</v>
      </c>
      <c r="AH599" s="11" t="str">
        <f>IF(I599&lt;&gt;"",VLOOKUP(AP599,KvB!$A$2:$B$3,2,FALSE),"")</f>
        <v>BE101000</v>
      </c>
      <c r="AI599" s="11" t="s">
        <v>55</v>
      </c>
      <c r="AJ599" s="11"/>
      <c r="AK599" s="11"/>
      <c r="AL599" s="11"/>
      <c r="AM599" s="11"/>
      <c r="AN599" s="11"/>
      <c r="AO599" s="11"/>
      <c r="AP599" s="2" t="s">
        <v>70</v>
      </c>
      <c r="AQ599" s="11" t="str">
        <f>IF(I599&lt;&gt;"",DATA!D598,"")</f>
        <v>8201400000</v>
      </c>
    </row>
    <row r="600" spans="1:43" ht="15.75" x14ac:dyDescent="0.25">
      <c r="A600" s="11" t="s">
        <v>57</v>
      </c>
      <c r="B600" s="11" t="s">
        <v>56</v>
      </c>
      <c r="C600" s="22">
        <f t="shared" si="42"/>
        <v>25001620</v>
      </c>
      <c r="D600" s="11" t="str">
        <f t="shared" si="39"/>
        <v>SKIIFM_AT</v>
      </c>
      <c r="E600" s="11" t="str">
        <f>IF(I600&lt;&gt;"",VLOOKUP(F600,OPDRACHTGEVER!$A$2:$B$4,2,FALSE),"")</f>
        <v>SKIIFM_AT</v>
      </c>
      <c r="F600" s="11" t="s">
        <v>58</v>
      </c>
      <c r="I600" s="11" t="str">
        <f>IF(DATA!B599&lt;&gt;"",DATA!B599,"")</f>
        <v>CXDU2168102</v>
      </c>
      <c r="J600" s="12">
        <v>0</v>
      </c>
      <c r="K600" s="11" t="s">
        <v>53</v>
      </c>
      <c r="L600" s="11" t="str">
        <f t="shared" si="40"/>
        <v>420292</v>
      </c>
      <c r="M600" s="11" t="str">
        <f>IF(I600&lt;&gt;"",DATA!E599,"")</f>
        <v>GRADED CARD STORAGE BOX</v>
      </c>
      <c r="N600" s="12">
        <v>0</v>
      </c>
      <c r="O600" s="11">
        <f>IF(I600&lt;&gt;"",DATA!C599,"")</f>
        <v>29</v>
      </c>
      <c r="P600" s="2">
        <v>294094</v>
      </c>
      <c r="Q600" s="2" t="s">
        <v>1304</v>
      </c>
      <c r="R600" s="2" t="s">
        <v>1318</v>
      </c>
      <c r="S600" s="2">
        <v>582</v>
      </c>
      <c r="T600" s="2">
        <v>1</v>
      </c>
      <c r="U600" s="2" t="s">
        <v>141</v>
      </c>
      <c r="Y600" s="2">
        <v>1700</v>
      </c>
      <c r="Z600" s="11" t="s">
        <v>54</v>
      </c>
      <c r="AA600" s="11" t="str">
        <f t="shared" si="41"/>
        <v>1700 - TBN</v>
      </c>
      <c r="AC600" s="2" t="s">
        <v>145</v>
      </c>
      <c r="AD600" s="11" t="str">
        <f>IF($I600&lt;&gt;"",VLOOKUP($AC600,GEADRESSEERDE!$A$2:$E$4,2,),"")</f>
        <v>LUITHAGEN HAVEN 2 D</v>
      </c>
      <c r="AE600" s="11">
        <f>IF($I600&lt;&gt;"",VLOOKUP($AC600,GEADRESSEERDE!$A$2:$E$4,3,),"")</f>
        <v>2030</v>
      </c>
      <c r="AF600" s="11" t="str">
        <f>IF($I600&lt;&gt;"",VLOOKUP($AC600,GEADRESSEERDE!$A$2:$E$4,4,),"")</f>
        <v>ANTWERPEN</v>
      </c>
      <c r="AG600" s="11" t="str">
        <f>IF($I600&lt;&gt;"",VLOOKUP($AC600,GEADRESSEERDE!$A$2:$E$4,5,),"")</f>
        <v>BE</v>
      </c>
      <c r="AH600" s="11" t="str">
        <f>IF(I600&lt;&gt;"",VLOOKUP(AP600,KvB!$A$2:$B$3,2,FALSE),"")</f>
        <v>BE101000</v>
      </c>
      <c r="AI600" s="11" t="s">
        <v>55</v>
      </c>
      <c r="AJ600" s="11"/>
      <c r="AK600" s="11"/>
      <c r="AL600" s="11"/>
      <c r="AM600" s="11"/>
      <c r="AN600" s="11"/>
      <c r="AO600" s="11"/>
      <c r="AP600" s="2" t="s">
        <v>70</v>
      </c>
      <c r="AQ600" s="11" t="str">
        <f>IF(I600&lt;&gt;"",DATA!D599,"")</f>
        <v>4202929890</v>
      </c>
    </row>
    <row r="601" spans="1:43" ht="15.75" x14ac:dyDescent="0.25">
      <c r="A601" s="11" t="s">
        <v>57</v>
      </c>
      <c r="B601" s="11" t="s">
        <v>56</v>
      </c>
      <c r="C601" s="22">
        <f t="shared" si="42"/>
        <v>25001620</v>
      </c>
      <c r="D601" s="11" t="str">
        <f t="shared" si="39"/>
        <v>SKIIFM_AT</v>
      </c>
      <c r="E601" s="11" t="str">
        <f>IF(I601&lt;&gt;"",VLOOKUP(F601,OPDRACHTGEVER!$A$2:$B$4,2,FALSE),"")</f>
        <v>SKIIFM_AT</v>
      </c>
      <c r="F601" s="11" t="s">
        <v>58</v>
      </c>
      <c r="I601" s="11" t="str">
        <f>IF(DATA!B600&lt;&gt;"",DATA!B600,"")</f>
        <v>CXDU2168102</v>
      </c>
      <c r="J601" s="12">
        <v>0</v>
      </c>
      <c r="K601" s="11" t="s">
        <v>53</v>
      </c>
      <c r="L601" s="11" t="str">
        <f t="shared" si="40"/>
        <v>851989</v>
      </c>
      <c r="M601" s="11" t="str">
        <f>IF(I601&lt;&gt;"",DATA!E600,"")</f>
        <v>GRAMOPHONE</v>
      </c>
      <c r="N601" s="12">
        <v>0</v>
      </c>
      <c r="O601" s="11">
        <f>IF(I601&lt;&gt;"",DATA!C600,"")</f>
        <v>37.5</v>
      </c>
      <c r="P601" s="2">
        <v>294094</v>
      </c>
      <c r="Q601" s="2" t="s">
        <v>1304</v>
      </c>
      <c r="R601" s="2" t="s">
        <v>1318</v>
      </c>
      <c r="S601" s="2">
        <v>582</v>
      </c>
      <c r="T601" s="2">
        <v>1</v>
      </c>
      <c r="U601" s="2" t="s">
        <v>141</v>
      </c>
      <c r="Y601" s="2">
        <v>1700</v>
      </c>
      <c r="Z601" s="11" t="s">
        <v>54</v>
      </c>
      <c r="AA601" s="11" t="str">
        <f t="shared" si="41"/>
        <v>1700 - TBN</v>
      </c>
      <c r="AC601" s="2" t="s">
        <v>145</v>
      </c>
      <c r="AD601" s="11" t="str">
        <f>IF($I601&lt;&gt;"",VLOOKUP($AC601,GEADRESSEERDE!$A$2:$E$4,2,),"")</f>
        <v>LUITHAGEN HAVEN 2 D</v>
      </c>
      <c r="AE601" s="11">
        <f>IF($I601&lt;&gt;"",VLOOKUP($AC601,GEADRESSEERDE!$A$2:$E$4,3,),"")</f>
        <v>2030</v>
      </c>
      <c r="AF601" s="11" t="str">
        <f>IF($I601&lt;&gt;"",VLOOKUP($AC601,GEADRESSEERDE!$A$2:$E$4,4,),"")</f>
        <v>ANTWERPEN</v>
      </c>
      <c r="AG601" s="11" t="str">
        <f>IF($I601&lt;&gt;"",VLOOKUP($AC601,GEADRESSEERDE!$A$2:$E$4,5,),"")</f>
        <v>BE</v>
      </c>
      <c r="AH601" s="11" t="str">
        <f>IF(I601&lt;&gt;"",VLOOKUP(AP601,KvB!$A$2:$B$3,2,FALSE),"")</f>
        <v>BE101000</v>
      </c>
      <c r="AI601" s="11" t="s">
        <v>55</v>
      </c>
      <c r="AJ601" s="11"/>
      <c r="AK601" s="11"/>
      <c r="AL601" s="11"/>
      <c r="AM601" s="11"/>
      <c r="AN601" s="11"/>
      <c r="AO601" s="11"/>
      <c r="AP601" s="2" t="s">
        <v>70</v>
      </c>
      <c r="AQ601" s="11" t="str">
        <f>IF(I601&lt;&gt;"",DATA!D600,"")</f>
        <v>8519890000</v>
      </c>
    </row>
    <row r="602" spans="1:43" ht="15.75" x14ac:dyDescent="0.25">
      <c r="A602" s="11" t="s">
        <v>57</v>
      </c>
      <c r="B602" s="11" t="s">
        <v>56</v>
      </c>
      <c r="C602" s="22">
        <f t="shared" si="42"/>
        <v>25001620</v>
      </c>
      <c r="D602" s="11" t="str">
        <f t="shared" si="39"/>
        <v>SKIIFM_AT</v>
      </c>
      <c r="E602" s="11" t="str">
        <f>IF(I602&lt;&gt;"",VLOOKUP(F602,OPDRACHTGEVER!$A$2:$B$4,2,FALSE),"")</f>
        <v>SKIIFM_AT</v>
      </c>
      <c r="F602" s="11" t="s">
        <v>58</v>
      </c>
      <c r="I602" s="11" t="str">
        <f>IF(DATA!B601&lt;&gt;"",DATA!B601,"")</f>
        <v>CXDU2168102</v>
      </c>
      <c r="J602" s="12">
        <v>0</v>
      </c>
      <c r="K602" s="11" t="s">
        <v>53</v>
      </c>
      <c r="L602" s="11" t="str">
        <f t="shared" si="40"/>
        <v>741920</v>
      </c>
      <c r="M602" s="11" t="str">
        <f>IF(I602&lt;&gt;"",DATA!E601,"")</f>
        <v>HANDLE</v>
      </c>
      <c r="N602" s="12">
        <v>0</v>
      </c>
      <c r="O602" s="11">
        <f>IF(I602&lt;&gt;"",DATA!C601,"")</f>
        <v>105.7</v>
      </c>
      <c r="P602" s="2">
        <v>294094</v>
      </c>
      <c r="Q602" s="2" t="s">
        <v>1304</v>
      </c>
      <c r="R602" s="2" t="s">
        <v>1318</v>
      </c>
      <c r="S602" s="2">
        <v>582</v>
      </c>
      <c r="T602" s="2">
        <v>1</v>
      </c>
      <c r="U602" s="2" t="s">
        <v>141</v>
      </c>
      <c r="Y602" s="2">
        <v>1700</v>
      </c>
      <c r="Z602" s="11" t="s">
        <v>54</v>
      </c>
      <c r="AA602" s="11" t="str">
        <f t="shared" si="41"/>
        <v>1700 - TBN</v>
      </c>
      <c r="AC602" s="2" t="s">
        <v>145</v>
      </c>
      <c r="AD602" s="11" t="str">
        <f>IF($I602&lt;&gt;"",VLOOKUP($AC602,GEADRESSEERDE!$A$2:$E$4,2,),"")</f>
        <v>LUITHAGEN HAVEN 2 D</v>
      </c>
      <c r="AE602" s="11">
        <f>IF($I602&lt;&gt;"",VLOOKUP($AC602,GEADRESSEERDE!$A$2:$E$4,3,),"")</f>
        <v>2030</v>
      </c>
      <c r="AF602" s="11" t="str">
        <f>IF($I602&lt;&gt;"",VLOOKUP($AC602,GEADRESSEERDE!$A$2:$E$4,4,),"")</f>
        <v>ANTWERPEN</v>
      </c>
      <c r="AG602" s="11" t="str">
        <f>IF($I602&lt;&gt;"",VLOOKUP($AC602,GEADRESSEERDE!$A$2:$E$4,5,),"")</f>
        <v>BE</v>
      </c>
      <c r="AH602" s="11" t="str">
        <f>IF(I602&lt;&gt;"",VLOOKUP(AP602,KvB!$A$2:$B$3,2,FALSE),"")</f>
        <v>BE101000</v>
      </c>
      <c r="AI602" s="11" t="s">
        <v>55</v>
      </c>
      <c r="AJ602" s="11"/>
      <c r="AK602" s="11"/>
      <c r="AL602" s="11"/>
      <c r="AM602" s="11"/>
      <c r="AN602" s="11"/>
      <c r="AO602" s="11"/>
      <c r="AP602" s="2" t="s">
        <v>70</v>
      </c>
      <c r="AQ602" s="11" t="str">
        <f>IF(I602&lt;&gt;"",DATA!D601,"")</f>
        <v>7419200090</v>
      </c>
    </row>
    <row r="603" spans="1:43" ht="15.75" x14ac:dyDescent="0.25">
      <c r="A603" s="11" t="s">
        <v>57</v>
      </c>
      <c r="B603" s="11" t="s">
        <v>56</v>
      </c>
      <c r="C603" s="22">
        <f t="shared" si="42"/>
        <v>25001620</v>
      </c>
      <c r="D603" s="11" t="str">
        <f t="shared" si="39"/>
        <v>SKIIFM_AT</v>
      </c>
      <c r="E603" s="11" t="str">
        <f>IF(I603&lt;&gt;"",VLOOKUP(F603,OPDRACHTGEVER!$A$2:$B$4,2,FALSE),"")</f>
        <v>SKIIFM_AT</v>
      </c>
      <c r="F603" s="11" t="s">
        <v>58</v>
      </c>
      <c r="I603" s="11" t="str">
        <f>IF(DATA!B602&lt;&gt;"",DATA!B602,"")</f>
        <v>CXDU2168102</v>
      </c>
      <c r="J603" s="12">
        <v>0</v>
      </c>
      <c r="K603" s="11" t="s">
        <v>53</v>
      </c>
      <c r="L603" s="11" t="str">
        <f t="shared" si="40"/>
        <v>741920</v>
      </c>
      <c r="M603" s="11" t="str">
        <f>IF(I603&lt;&gt;"",DATA!E602,"")</f>
        <v>HANDRAIL</v>
      </c>
      <c r="N603" s="12">
        <v>0</v>
      </c>
      <c r="O603" s="11">
        <f>IF(I603&lt;&gt;"",DATA!C602,"")</f>
        <v>161.1</v>
      </c>
      <c r="P603" s="2">
        <v>294094</v>
      </c>
      <c r="Q603" s="2" t="s">
        <v>1304</v>
      </c>
      <c r="R603" s="2" t="s">
        <v>1318</v>
      </c>
      <c r="S603" s="2">
        <v>582</v>
      </c>
      <c r="T603" s="2">
        <v>1</v>
      </c>
      <c r="U603" s="2" t="s">
        <v>141</v>
      </c>
      <c r="Y603" s="2">
        <v>1700</v>
      </c>
      <c r="Z603" s="11" t="s">
        <v>54</v>
      </c>
      <c r="AA603" s="11" t="str">
        <f t="shared" si="41"/>
        <v>1700 - TBN</v>
      </c>
      <c r="AC603" s="2" t="s">
        <v>145</v>
      </c>
      <c r="AD603" s="11" t="str">
        <f>IF($I603&lt;&gt;"",VLOOKUP($AC603,GEADRESSEERDE!$A$2:$E$4,2,),"")</f>
        <v>LUITHAGEN HAVEN 2 D</v>
      </c>
      <c r="AE603" s="11">
        <f>IF($I603&lt;&gt;"",VLOOKUP($AC603,GEADRESSEERDE!$A$2:$E$4,3,),"")</f>
        <v>2030</v>
      </c>
      <c r="AF603" s="11" t="str">
        <f>IF($I603&lt;&gt;"",VLOOKUP($AC603,GEADRESSEERDE!$A$2:$E$4,4,),"")</f>
        <v>ANTWERPEN</v>
      </c>
      <c r="AG603" s="11" t="str">
        <f>IF($I603&lt;&gt;"",VLOOKUP($AC603,GEADRESSEERDE!$A$2:$E$4,5,),"")</f>
        <v>BE</v>
      </c>
      <c r="AH603" s="11" t="str">
        <f>IF(I603&lt;&gt;"",VLOOKUP(AP603,KvB!$A$2:$B$3,2,FALSE),"")</f>
        <v>BE101000</v>
      </c>
      <c r="AI603" s="11" t="s">
        <v>55</v>
      </c>
      <c r="AJ603" s="11"/>
      <c r="AK603" s="11"/>
      <c r="AL603" s="11"/>
      <c r="AM603" s="11"/>
      <c r="AN603" s="11"/>
      <c r="AO603" s="11"/>
      <c r="AP603" s="2" t="s">
        <v>70</v>
      </c>
      <c r="AQ603" s="11" t="str">
        <f>IF(I603&lt;&gt;"",DATA!D602,"")</f>
        <v>7419200090</v>
      </c>
    </row>
    <row r="604" spans="1:43" ht="15.75" x14ac:dyDescent="0.25">
      <c r="A604" s="11" t="s">
        <v>57</v>
      </c>
      <c r="B604" s="11" t="s">
        <v>56</v>
      </c>
      <c r="C604" s="22">
        <f t="shared" si="42"/>
        <v>25001620</v>
      </c>
      <c r="D604" s="11" t="str">
        <f t="shared" si="39"/>
        <v>SKIIFM_AT</v>
      </c>
      <c r="E604" s="11" t="str">
        <f>IF(I604&lt;&gt;"",VLOOKUP(F604,OPDRACHTGEVER!$A$2:$B$4,2,FALSE),"")</f>
        <v>SKIIFM_AT</v>
      </c>
      <c r="F604" s="11" t="s">
        <v>58</v>
      </c>
      <c r="I604" s="11" t="str">
        <f>IF(DATA!B603&lt;&gt;"",DATA!B603,"")</f>
        <v>CXDU2168102</v>
      </c>
      <c r="J604" s="12">
        <v>0</v>
      </c>
      <c r="K604" s="11" t="s">
        <v>53</v>
      </c>
      <c r="L604" s="11" t="str">
        <f t="shared" si="40"/>
        <v>392690</v>
      </c>
      <c r="M604" s="11" t="str">
        <f>IF(I604&lt;&gt;"",DATA!E603,"")</f>
        <v>HOUSE STYLE FABRIC CAT SHELTER</v>
      </c>
      <c r="N604" s="12">
        <v>0</v>
      </c>
      <c r="O604" s="11">
        <f>IF(I604&lt;&gt;"",DATA!C603,"")</f>
        <v>76.7</v>
      </c>
      <c r="P604" s="2">
        <v>294094</v>
      </c>
      <c r="Q604" s="2" t="s">
        <v>1304</v>
      </c>
      <c r="R604" s="2" t="s">
        <v>1318</v>
      </c>
      <c r="S604" s="2">
        <v>582</v>
      </c>
      <c r="T604" s="2">
        <v>1</v>
      </c>
      <c r="U604" s="2" t="s">
        <v>141</v>
      </c>
      <c r="Y604" s="2">
        <v>1700</v>
      </c>
      <c r="Z604" s="11" t="s">
        <v>54</v>
      </c>
      <c r="AA604" s="11" t="str">
        <f t="shared" si="41"/>
        <v>1700 - TBN</v>
      </c>
      <c r="AC604" s="2" t="s">
        <v>145</v>
      </c>
      <c r="AD604" s="11" t="str">
        <f>IF($I604&lt;&gt;"",VLOOKUP($AC604,GEADRESSEERDE!$A$2:$E$4,2,),"")</f>
        <v>LUITHAGEN HAVEN 2 D</v>
      </c>
      <c r="AE604" s="11">
        <f>IF($I604&lt;&gt;"",VLOOKUP($AC604,GEADRESSEERDE!$A$2:$E$4,3,),"")</f>
        <v>2030</v>
      </c>
      <c r="AF604" s="11" t="str">
        <f>IF($I604&lt;&gt;"",VLOOKUP($AC604,GEADRESSEERDE!$A$2:$E$4,4,),"")</f>
        <v>ANTWERPEN</v>
      </c>
      <c r="AG604" s="11" t="str">
        <f>IF($I604&lt;&gt;"",VLOOKUP($AC604,GEADRESSEERDE!$A$2:$E$4,5,),"")</f>
        <v>BE</v>
      </c>
      <c r="AH604" s="11" t="str">
        <f>IF(I604&lt;&gt;"",VLOOKUP(AP604,KvB!$A$2:$B$3,2,FALSE),"")</f>
        <v>BE101000</v>
      </c>
      <c r="AI604" s="11" t="s">
        <v>55</v>
      </c>
      <c r="AJ604" s="11"/>
      <c r="AK604" s="11"/>
      <c r="AL604" s="11"/>
      <c r="AM604" s="11"/>
      <c r="AN604" s="11"/>
      <c r="AO604" s="11"/>
      <c r="AP604" s="2" t="s">
        <v>70</v>
      </c>
      <c r="AQ604" s="11" t="str">
        <f>IF(I604&lt;&gt;"",DATA!D603,"")</f>
        <v>3926909790</v>
      </c>
    </row>
    <row r="605" spans="1:43" ht="15.75" x14ac:dyDescent="0.25">
      <c r="A605" s="11" t="s">
        <v>57</v>
      </c>
      <c r="B605" s="11" t="s">
        <v>56</v>
      </c>
      <c r="C605" s="22">
        <f t="shared" si="42"/>
        <v>25001620</v>
      </c>
      <c r="D605" s="11" t="str">
        <f t="shared" si="39"/>
        <v>SKIIFM_AT</v>
      </c>
      <c r="E605" s="11" t="str">
        <f>IF(I605&lt;&gt;"",VLOOKUP(F605,OPDRACHTGEVER!$A$2:$B$4,2,FALSE),"")</f>
        <v>SKIIFM_AT</v>
      </c>
      <c r="F605" s="11" t="s">
        <v>58</v>
      </c>
      <c r="I605" s="11" t="str">
        <f>IF(DATA!B604&lt;&gt;"",DATA!B604,"")</f>
        <v>CXDU2168102</v>
      </c>
      <c r="J605" s="12">
        <v>0</v>
      </c>
      <c r="K605" s="11" t="s">
        <v>53</v>
      </c>
      <c r="L605" s="11" t="str">
        <f t="shared" si="40"/>
        <v>847989</v>
      </c>
      <c r="M605" s="11" t="str">
        <f>IF(I605&lt;&gt;"",DATA!E604,"")</f>
        <v>HUMIDIFIER</v>
      </c>
      <c r="N605" s="12">
        <v>0</v>
      </c>
      <c r="O605" s="11">
        <f>IF(I605&lt;&gt;"",DATA!C604,"")</f>
        <v>53.4</v>
      </c>
      <c r="P605" s="2">
        <v>294094</v>
      </c>
      <c r="Q605" s="2" t="s">
        <v>1304</v>
      </c>
      <c r="R605" s="2" t="s">
        <v>1318</v>
      </c>
      <c r="S605" s="2">
        <v>582</v>
      </c>
      <c r="T605" s="2">
        <v>1</v>
      </c>
      <c r="U605" s="2" t="s">
        <v>141</v>
      </c>
      <c r="Y605" s="2">
        <v>1700</v>
      </c>
      <c r="Z605" s="11" t="s">
        <v>54</v>
      </c>
      <c r="AA605" s="11" t="str">
        <f t="shared" si="41"/>
        <v>1700 - TBN</v>
      </c>
      <c r="AC605" s="2" t="s">
        <v>145</v>
      </c>
      <c r="AD605" s="11" t="str">
        <f>IF($I605&lt;&gt;"",VLOOKUP($AC605,GEADRESSEERDE!$A$2:$E$4,2,),"")</f>
        <v>LUITHAGEN HAVEN 2 D</v>
      </c>
      <c r="AE605" s="11">
        <f>IF($I605&lt;&gt;"",VLOOKUP($AC605,GEADRESSEERDE!$A$2:$E$4,3,),"")</f>
        <v>2030</v>
      </c>
      <c r="AF605" s="11" t="str">
        <f>IF($I605&lt;&gt;"",VLOOKUP($AC605,GEADRESSEERDE!$A$2:$E$4,4,),"")</f>
        <v>ANTWERPEN</v>
      </c>
      <c r="AG605" s="11" t="str">
        <f>IF($I605&lt;&gt;"",VLOOKUP($AC605,GEADRESSEERDE!$A$2:$E$4,5,),"")</f>
        <v>BE</v>
      </c>
      <c r="AH605" s="11" t="str">
        <f>IF(I605&lt;&gt;"",VLOOKUP(AP605,KvB!$A$2:$B$3,2,FALSE),"")</f>
        <v>BE101000</v>
      </c>
      <c r="AI605" s="11" t="s">
        <v>55</v>
      </c>
      <c r="AJ605" s="11"/>
      <c r="AK605" s="11"/>
      <c r="AL605" s="11"/>
      <c r="AM605" s="11"/>
      <c r="AN605" s="11"/>
      <c r="AO605" s="11"/>
      <c r="AP605" s="2" t="s">
        <v>70</v>
      </c>
      <c r="AQ605" s="11" t="str">
        <f>IF(I605&lt;&gt;"",DATA!D604,"")</f>
        <v>8479899790</v>
      </c>
    </row>
    <row r="606" spans="1:43" ht="15.75" x14ac:dyDescent="0.25">
      <c r="A606" s="11" t="s">
        <v>57</v>
      </c>
      <c r="B606" s="11" t="s">
        <v>56</v>
      </c>
      <c r="C606" s="22">
        <f t="shared" si="42"/>
        <v>25001620</v>
      </c>
      <c r="D606" s="11" t="str">
        <f t="shared" si="39"/>
        <v>SKIIFM_AT</v>
      </c>
      <c r="E606" s="11" t="str">
        <f>IF(I606&lt;&gt;"",VLOOKUP(F606,OPDRACHTGEVER!$A$2:$B$4,2,FALSE),"")</f>
        <v>SKIIFM_AT</v>
      </c>
      <c r="F606" s="11" t="s">
        <v>58</v>
      </c>
      <c r="I606" s="11" t="str">
        <f>IF(DATA!B605&lt;&gt;"",DATA!B605,"")</f>
        <v>CXDU2168102</v>
      </c>
      <c r="J606" s="12">
        <v>0</v>
      </c>
      <c r="K606" s="11" t="s">
        <v>53</v>
      </c>
      <c r="L606" s="11" t="str">
        <f t="shared" si="40"/>
        <v>841459</v>
      </c>
      <c r="M606" s="11" t="str">
        <f>IF(I606&lt;&gt;"",DATA!E605,"")</f>
        <v>INFLATABLE BLOWER</v>
      </c>
      <c r="N606" s="12">
        <v>0</v>
      </c>
      <c r="O606" s="11">
        <f>IF(I606&lt;&gt;"",DATA!C605,"")</f>
        <v>213.6</v>
      </c>
      <c r="P606" s="2">
        <v>294094</v>
      </c>
      <c r="Q606" s="2" t="s">
        <v>1304</v>
      </c>
      <c r="R606" s="2" t="s">
        <v>1318</v>
      </c>
      <c r="S606" s="2">
        <v>582</v>
      </c>
      <c r="T606" s="2">
        <v>1</v>
      </c>
      <c r="U606" s="2" t="s">
        <v>141</v>
      </c>
      <c r="Y606" s="2">
        <v>1700</v>
      </c>
      <c r="Z606" s="11" t="s">
        <v>54</v>
      </c>
      <c r="AA606" s="11" t="str">
        <f t="shared" si="41"/>
        <v>1700 - TBN</v>
      </c>
      <c r="AC606" s="2" t="s">
        <v>145</v>
      </c>
      <c r="AD606" s="11" t="str">
        <f>IF($I606&lt;&gt;"",VLOOKUP($AC606,GEADRESSEERDE!$A$2:$E$4,2,),"")</f>
        <v>LUITHAGEN HAVEN 2 D</v>
      </c>
      <c r="AE606" s="11">
        <f>IF($I606&lt;&gt;"",VLOOKUP($AC606,GEADRESSEERDE!$A$2:$E$4,3,),"")</f>
        <v>2030</v>
      </c>
      <c r="AF606" s="11" t="str">
        <f>IF($I606&lt;&gt;"",VLOOKUP($AC606,GEADRESSEERDE!$A$2:$E$4,4,),"")</f>
        <v>ANTWERPEN</v>
      </c>
      <c r="AG606" s="11" t="str">
        <f>IF($I606&lt;&gt;"",VLOOKUP($AC606,GEADRESSEERDE!$A$2:$E$4,5,),"")</f>
        <v>BE</v>
      </c>
      <c r="AH606" s="11" t="str">
        <f>IF(I606&lt;&gt;"",VLOOKUP(AP606,KvB!$A$2:$B$3,2,FALSE),"")</f>
        <v>BE101000</v>
      </c>
      <c r="AI606" s="11" t="s">
        <v>55</v>
      </c>
      <c r="AJ606" s="11"/>
      <c r="AK606" s="11"/>
      <c r="AL606" s="11"/>
      <c r="AM606" s="11"/>
      <c r="AN606" s="11"/>
      <c r="AO606" s="11"/>
      <c r="AP606" s="2" t="s">
        <v>70</v>
      </c>
      <c r="AQ606" s="11" t="str">
        <f>IF(I606&lt;&gt;"",DATA!D605,"")</f>
        <v>8414599590</v>
      </c>
    </row>
    <row r="607" spans="1:43" ht="15.75" x14ac:dyDescent="0.25">
      <c r="A607" s="11" t="s">
        <v>57</v>
      </c>
      <c r="B607" s="11" t="s">
        <v>56</v>
      </c>
      <c r="C607" s="22">
        <f t="shared" si="42"/>
        <v>25001620</v>
      </c>
      <c r="D607" s="11" t="str">
        <f t="shared" si="39"/>
        <v>SKIIFM_AT</v>
      </c>
      <c r="E607" s="11" t="str">
        <f>IF(I607&lt;&gt;"",VLOOKUP(F607,OPDRACHTGEVER!$A$2:$B$4,2,FALSE),"")</f>
        <v>SKIIFM_AT</v>
      </c>
      <c r="F607" s="11" t="s">
        <v>58</v>
      </c>
      <c r="I607" s="11" t="str">
        <f>IF(DATA!B606&lt;&gt;"",DATA!B606,"")</f>
        <v>CXDU2168102</v>
      </c>
      <c r="J607" s="12">
        <v>0</v>
      </c>
      <c r="K607" s="11" t="s">
        <v>53</v>
      </c>
      <c r="L607" s="11" t="str">
        <f t="shared" si="40"/>
        <v>392690</v>
      </c>
      <c r="M607" s="11" t="str">
        <f>IF(I607&lt;&gt;"",DATA!E606,"")</f>
        <v>INFLATABLE PAINT BOOTH WITH CENTRE DOOR</v>
      </c>
      <c r="N607" s="12">
        <v>0</v>
      </c>
      <c r="O607" s="11">
        <f>IF(I607&lt;&gt;"",DATA!C606,"")</f>
        <v>1258</v>
      </c>
      <c r="P607" s="2">
        <v>294094</v>
      </c>
      <c r="Q607" s="2" t="s">
        <v>1304</v>
      </c>
      <c r="R607" s="2" t="s">
        <v>1318</v>
      </c>
      <c r="S607" s="2">
        <v>582</v>
      </c>
      <c r="T607" s="2">
        <v>1</v>
      </c>
      <c r="U607" s="2" t="s">
        <v>141</v>
      </c>
      <c r="Y607" s="2">
        <v>1700</v>
      </c>
      <c r="Z607" s="11" t="s">
        <v>54</v>
      </c>
      <c r="AA607" s="11" t="str">
        <f t="shared" si="41"/>
        <v>1700 - TBN</v>
      </c>
      <c r="AC607" s="2" t="s">
        <v>145</v>
      </c>
      <c r="AD607" s="11" t="str">
        <f>IF($I607&lt;&gt;"",VLOOKUP($AC607,GEADRESSEERDE!$A$2:$E$4,2,),"")</f>
        <v>LUITHAGEN HAVEN 2 D</v>
      </c>
      <c r="AE607" s="11">
        <f>IF($I607&lt;&gt;"",VLOOKUP($AC607,GEADRESSEERDE!$A$2:$E$4,3,),"")</f>
        <v>2030</v>
      </c>
      <c r="AF607" s="11" t="str">
        <f>IF($I607&lt;&gt;"",VLOOKUP($AC607,GEADRESSEERDE!$A$2:$E$4,4,),"")</f>
        <v>ANTWERPEN</v>
      </c>
      <c r="AG607" s="11" t="str">
        <f>IF($I607&lt;&gt;"",VLOOKUP($AC607,GEADRESSEERDE!$A$2:$E$4,5,),"")</f>
        <v>BE</v>
      </c>
      <c r="AH607" s="11" t="str">
        <f>IF(I607&lt;&gt;"",VLOOKUP(AP607,KvB!$A$2:$B$3,2,FALSE),"")</f>
        <v>BE101000</v>
      </c>
      <c r="AI607" s="11" t="s">
        <v>55</v>
      </c>
      <c r="AJ607" s="11"/>
      <c r="AK607" s="11"/>
      <c r="AL607" s="11"/>
      <c r="AM607" s="11"/>
      <c r="AN607" s="11"/>
      <c r="AO607" s="11"/>
      <c r="AP607" s="2" t="s">
        <v>70</v>
      </c>
      <c r="AQ607" s="11" t="str">
        <f>IF(I607&lt;&gt;"",DATA!D606,"")</f>
        <v>3926909790</v>
      </c>
    </row>
    <row r="608" spans="1:43" ht="15.75" x14ac:dyDescent="0.25">
      <c r="A608" s="11" t="s">
        <v>57</v>
      </c>
      <c r="B608" s="11" t="s">
        <v>56</v>
      </c>
      <c r="C608" s="22">
        <f t="shared" si="42"/>
        <v>25001620</v>
      </c>
      <c r="D608" s="11" t="str">
        <f t="shared" si="39"/>
        <v>SKIIFM_AT</v>
      </c>
      <c r="E608" s="11" t="str">
        <f>IF(I608&lt;&gt;"",VLOOKUP(F608,OPDRACHTGEVER!$A$2:$B$4,2,FALSE),"")</f>
        <v>SKIIFM_AT</v>
      </c>
      <c r="F608" s="11" t="s">
        <v>58</v>
      </c>
      <c r="I608" s="11" t="str">
        <f>IF(DATA!B607&lt;&gt;"",DATA!B607,"")</f>
        <v>CXDU2168102</v>
      </c>
      <c r="J608" s="12">
        <v>0</v>
      </c>
      <c r="K608" s="11" t="s">
        <v>53</v>
      </c>
      <c r="L608" s="11" t="str">
        <f t="shared" si="40"/>
        <v>401691</v>
      </c>
      <c r="M608" s="11" t="str">
        <f>IF(I608&lt;&gt;"",DATA!E607,"")</f>
        <v>INSULATING COTTON</v>
      </c>
      <c r="N608" s="12">
        <v>0</v>
      </c>
      <c r="O608" s="11">
        <f>IF(I608&lt;&gt;"",DATA!C607,"")</f>
        <v>252</v>
      </c>
      <c r="P608" s="2">
        <v>294094</v>
      </c>
      <c r="Q608" s="2" t="s">
        <v>1304</v>
      </c>
      <c r="R608" s="2" t="s">
        <v>1318</v>
      </c>
      <c r="S608" s="2">
        <v>582</v>
      </c>
      <c r="T608" s="2">
        <v>1</v>
      </c>
      <c r="U608" s="2" t="s">
        <v>141</v>
      </c>
      <c r="Y608" s="2">
        <v>1700</v>
      </c>
      <c r="Z608" s="11" t="s">
        <v>54</v>
      </c>
      <c r="AA608" s="11" t="str">
        <f t="shared" si="41"/>
        <v>1700 - TBN</v>
      </c>
      <c r="AC608" s="2" t="s">
        <v>145</v>
      </c>
      <c r="AD608" s="11" t="str">
        <f>IF($I608&lt;&gt;"",VLOOKUP($AC608,GEADRESSEERDE!$A$2:$E$4,2,),"")</f>
        <v>LUITHAGEN HAVEN 2 D</v>
      </c>
      <c r="AE608" s="11">
        <f>IF($I608&lt;&gt;"",VLOOKUP($AC608,GEADRESSEERDE!$A$2:$E$4,3,),"")</f>
        <v>2030</v>
      </c>
      <c r="AF608" s="11" t="str">
        <f>IF($I608&lt;&gt;"",VLOOKUP($AC608,GEADRESSEERDE!$A$2:$E$4,4,),"")</f>
        <v>ANTWERPEN</v>
      </c>
      <c r="AG608" s="11" t="str">
        <f>IF($I608&lt;&gt;"",VLOOKUP($AC608,GEADRESSEERDE!$A$2:$E$4,5,),"")</f>
        <v>BE</v>
      </c>
      <c r="AH608" s="11" t="str">
        <f>IF(I608&lt;&gt;"",VLOOKUP(AP608,KvB!$A$2:$B$3,2,FALSE),"")</f>
        <v>BE101000</v>
      </c>
      <c r="AI608" s="11" t="s">
        <v>55</v>
      </c>
      <c r="AJ608" s="11"/>
      <c r="AK608" s="11"/>
      <c r="AL608" s="11"/>
      <c r="AM608" s="11"/>
      <c r="AN608" s="11"/>
      <c r="AO608" s="11"/>
      <c r="AP608" s="2" t="s">
        <v>70</v>
      </c>
      <c r="AQ608" s="11" t="str">
        <f>IF(I608&lt;&gt;"",DATA!D607,"")</f>
        <v>4016910000</v>
      </c>
    </row>
    <row r="609" spans="1:43" ht="15.75" x14ac:dyDescent="0.25">
      <c r="A609" s="11" t="s">
        <v>57</v>
      </c>
      <c r="B609" s="11" t="s">
        <v>56</v>
      </c>
      <c r="C609" s="22">
        <f t="shared" si="42"/>
        <v>25001620</v>
      </c>
      <c r="D609" s="11" t="str">
        <f t="shared" si="39"/>
        <v>SKIIFM_AT</v>
      </c>
      <c r="E609" s="11" t="str">
        <f>IF(I609&lt;&gt;"",VLOOKUP(F609,OPDRACHTGEVER!$A$2:$B$4,2,FALSE),"")</f>
        <v>SKIIFM_AT</v>
      </c>
      <c r="F609" s="11" t="s">
        <v>58</v>
      </c>
      <c r="I609" s="11" t="str">
        <f>IF(DATA!B608&lt;&gt;"",DATA!B608,"")</f>
        <v>CXDU2168102</v>
      </c>
      <c r="J609" s="12">
        <v>0</v>
      </c>
      <c r="K609" s="11" t="s">
        <v>53</v>
      </c>
      <c r="L609" s="11" t="str">
        <f t="shared" si="40"/>
        <v>902300</v>
      </c>
      <c r="M609" s="11" t="str">
        <f>IF(I609&lt;&gt;"",DATA!E608,"")</f>
        <v>INTUBATION MANIKIN STUDY TEACHING MODEL</v>
      </c>
      <c r="N609" s="12">
        <v>0</v>
      </c>
      <c r="O609" s="11">
        <f>IF(I609&lt;&gt;"",DATA!C608,"")</f>
        <v>17.600000000000001</v>
      </c>
      <c r="P609" s="2">
        <v>294094</v>
      </c>
      <c r="Q609" s="2" t="s">
        <v>1304</v>
      </c>
      <c r="R609" s="2" t="s">
        <v>1318</v>
      </c>
      <c r="S609" s="2">
        <v>582</v>
      </c>
      <c r="T609" s="2">
        <v>1</v>
      </c>
      <c r="U609" s="2" t="s">
        <v>141</v>
      </c>
      <c r="Y609" s="2">
        <v>1700</v>
      </c>
      <c r="Z609" s="11" t="s">
        <v>54</v>
      </c>
      <c r="AA609" s="11" t="str">
        <f t="shared" si="41"/>
        <v>1700 - TBN</v>
      </c>
      <c r="AC609" s="2" t="s">
        <v>145</v>
      </c>
      <c r="AD609" s="11" t="str">
        <f>IF($I609&lt;&gt;"",VLOOKUP($AC609,GEADRESSEERDE!$A$2:$E$4,2,),"")</f>
        <v>LUITHAGEN HAVEN 2 D</v>
      </c>
      <c r="AE609" s="11">
        <f>IF($I609&lt;&gt;"",VLOOKUP($AC609,GEADRESSEERDE!$A$2:$E$4,3,),"")</f>
        <v>2030</v>
      </c>
      <c r="AF609" s="11" t="str">
        <f>IF($I609&lt;&gt;"",VLOOKUP($AC609,GEADRESSEERDE!$A$2:$E$4,4,),"")</f>
        <v>ANTWERPEN</v>
      </c>
      <c r="AG609" s="11" t="str">
        <f>IF($I609&lt;&gt;"",VLOOKUP($AC609,GEADRESSEERDE!$A$2:$E$4,5,),"")</f>
        <v>BE</v>
      </c>
      <c r="AH609" s="11" t="str">
        <f>IF(I609&lt;&gt;"",VLOOKUP(AP609,KvB!$A$2:$B$3,2,FALSE),"")</f>
        <v>BE101000</v>
      </c>
      <c r="AI609" s="11" t="s">
        <v>55</v>
      </c>
      <c r="AJ609" s="11"/>
      <c r="AK609" s="11"/>
      <c r="AL609" s="11"/>
      <c r="AM609" s="11"/>
      <c r="AN609" s="11"/>
      <c r="AO609" s="11"/>
      <c r="AP609" s="2" t="s">
        <v>70</v>
      </c>
      <c r="AQ609" s="11" t="str">
        <f>IF(I609&lt;&gt;"",DATA!D608,"")</f>
        <v>9023008000</v>
      </c>
    </row>
    <row r="610" spans="1:43" ht="15.75" x14ac:dyDescent="0.25">
      <c r="A610" s="11" t="s">
        <v>57</v>
      </c>
      <c r="B610" s="11" t="s">
        <v>56</v>
      </c>
      <c r="C610" s="22">
        <f t="shared" si="42"/>
        <v>25001620</v>
      </c>
      <c r="D610" s="11" t="str">
        <f t="shared" si="39"/>
        <v>SKIIFM_AT</v>
      </c>
      <c r="E610" s="11" t="str">
        <f>IF(I610&lt;&gt;"",VLOOKUP(F610,OPDRACHTGEVER!$A$2:$B$4,2,FALSE),"")</f>
        <v>SKIIFM_AT</v>
      </c>
      <c r="F610" s="11" t="s">
        <v>58</v>
      </c>
      <c r="I610" s="11" t="str">
        <f>IF(DATA!B609&lt;&gt;"",DATA!B609,"")</f>
        <v>CXDU2168102</v>
      </c>
      <c r="J610" s="12">
        <v>0</v>
      </c>
      <c r="K610" s="11" t="s">
        <v>53</v>
      </c>
      <c r="L610" s="11" t="str">
        <f t="shared" si="40"/>
        <v>830220</v>
      </c>
      <c r="M610" s="11" t="str">
        <f>IF(I610&lt;&gt;"",DATA!E609,"")</f>
        <v>IRON SWIVEL CASTER WHEELS</v>
      </c>
      <c r="N610" s="12">
        <v>0</v>
      </c>
      <c r="O610" s="11">
        <f>IF(I610&lt;&gt;"",DATA!C609,"")</f>
        <v>212.85</v>
      </c>
      <c r="P610" s="2">
        <v>294094</v>
      </c>
      <c r="Q610" s="2" t="s">
        <v>1304</v>
      </c>
      <c r="R610" s="2" t="s">
        <v>1318</v>
      </c>
      <c r="S610" s="2">
        <v>582</v>
      </c>
      <c r="T610" s="2">
        <v>1</v>
      </c>
      <c r="U610" s="2" t="s">
        <v>141</v>
      </c>
      <c r="Y610" s="2">
        <v>1700</v>
      </c>
      <c r="Z610" s="11" t="s">
        <v>54</v>
      </c>
      <c r="AA610" s="11" t="str">
        <f t="shared" si="41"/>
        <v>1700 - TBN</v>
      </c>
      <c r="AC610" s="2" t="s">
        <v>145</v>
      </c>
      <c r="AD610" s="11" t="str">
        <f>IF($I610&lt;&gt;"",VLOOKUP($AC610,GEADRESSEERDE!$A$2:$E$4,2,),"")</f>
        <v>LUITHAGEN HAVEN 2 D</v>
      </c>
      <c r="AE610" s="11">
        <f>IF($I610&lt;&gt;"",VLOOKUP($AC610,GEADRESSEERDE!$A$2:$E$4,3,),"")</f>
        <v>2030</v>
      </c>
      <c r="AF610" s="11" t="str">
        <f>IF($I610&lt;&gt;"",VLOOKUP($AC610,GEADRESSEERDE!$A$2:$E$4,4,),"")</f>
        <v>ANTWERPEN</v>
      </c>
      <c r="AG610" s="11" t="str">
        <f>IF($I610&lt;&gt;"",VLOOKUP($AC610,GEADRESSEERDE!$A$2:$E$4,5,),"")</f>
        <v>BE</v>
      </c>
      <c r="AH610" s="11" t="str">
        <f>IF(I610&lt;&gt;"",VLOOKUP(AP610,KvB!$A$2:$B$3,2,FALSE),"")</f>
        <v>BE101000</v>
      </c>
      <c r="AI610" s="11" t="s">
        <v>55</v>
      </c>
      <c r="AJ610" s="11"/>
      <c r="AK610" s="11"/>
      <c r="AL610" s="11"/>
      <c r="AM610" s="11"/>
      <c r="AN610" s="11"/>
      <c r="AO610" s="11"/>
      <c r="AP610" s="2" t="s">
        <v>70</v>
      </c>
      <c r="AQ610" s="11" t="str">
        <f>IF(I610&lt;&gt;"",DATA!D609,"")</f>
        <v>8302200090</v>
      </c>
    </row>
    <row r="611" spans="1:43" ht="15.75" x14ac:dyDescent="0.25">
      <c r="A611" s="11" t="s">
        <v>57</v>
      </c>
      <c r="B611" s="11" t="s">
        <v>56</v>
      </c>
      <c r="C611" s="22">
        <f t="shared" si="42"/>
        <v>25001620</v>
      </c>
      <c r="D611" s="11" t="str">
        <f t="shared" si="39"/>
        <v>SKIIFM_AT</v>
      </c>
      <c r="E611" s="11" t="str">
        <f>IF(I611&lt;&gt;"",VLOOKUP(F611,OPDRACHTGEVER!$A$2:$B$4,2,FALSE),"")</f>
        <v>SKIIFM_AT</v>
      </c>
      <c r="F611" s="11" t="s">
        <v>58</v>
      </c>
      <c r="I611" s="11" t="str">
        <f>IF(DATA!B610&lt;&gt;"",DATA!B610,"")</f>
        <v>CXDU2168102</v>
      </c>
      <c r="J611" s="12">
        <v>0</v>
      </c>
      <c r="K611" s="11" t="s">
        <v>53</v>
      </c>
      <c r="L611" s="11" t="str">
        <f t="shared" si="40"/>
        <v>871680</v>
      </c>
      <c r="M611" s="11" t="str">
        <f>IF(I611&lt;&gt;"",DATA!E610,"")</f>
        <v>KNEE SCOOTER</v>
      </c>
      <c r="N611" s="12">
        <v>0</v>
      </c>
      <c r="O611" s="11">
        <f>IF(I611&lt;&gt;"",DATA!C610,"")</f>
        <v>120.8</v>
      </c>
      <c r="P611" s="2">
        <v>294094</v>
      </c>
      <c r="Q611" s="2" t="s">
        <v>1304</v>
      </c>
      <c r="R611" s="2" t="s">
        <v>1318</v>
      </c>
      <c r="S611" s="2">
        <v>582</v>
      </c>
      <c r="T611" s="2">
        <v>1</v>
      </c>
      <c r="U611" s="2" t="s">
        <v>141</v>
      </c>
      <c r="Y611" s="2">
        <v>1700</v>
      </c>
      <c r="Z611" s="11" t="s">
        <v>54</v>
      </c>
      <c r="AA611" s="11" t="str">
        <f t="shared" si="41"/>
        <v>1700 - TBN</v>
      </c>
      <c r="AC611" s="2" t="s">
        <v>145</v>
      </c>
      <c r="AD611" s="11" t="str">
        <f>IF($I611&lt;&gt;"",VLOOKUP($AC611,GEADRESSEERDE!$A$2:$E$4,2,),"")</f>
        <v>LUITHAGEN HAVEN 2 D</v>
      </c>
      <c r="AE611" s="11">
        <f>IF($I611&lt;&gt;"",VLOOKUP($AC611,GEADRESSEERDE!$A$2:$E$4,3,),"")</f>
        <v>2030</v>
      </c>
      <c r="AF611" s="11" t="str">
        <f>IF($I611&lt;&gt;"",VLOOKUP($AC611,GEADRESSEERDE!$A$2:$E$4,4,),"")</f>
        <v>ANTWERPEN</v>
      </c>
      <c r="AG611" s="11" t="str">
        <f>IF($I611&lt;&gt;"",VLOOKUP($AC611,GEADRESSEERDE!$A$2:$E$4,5,),"")</f>
        <v>BE</v>
      </c>
      <c r="AH611" s="11" t="str">
        <f>IF(I611&lt;&gt;"",VLOOKUP(AP611,KvB!$A$2:$B$3,2,FALSE),"")</f>
        <v>BE101000</v>
      </c>
      <c r="AI611" s="11" t="s">
        <v>55</v>
      </c>
      <c r="AJ611" s="11"/>
      <c r="AK611" s="11"/>
      <c r="AL611" s="11"/>
      <c r="AM611" s="11"/>
      <c r="AN611" s="11"/>
      <c r="AO611" s="11"/>
      <c r="AP611" s="2" t="s">
        <v>70</v>
      </c>
      <c r="AQ611" s="11" t="str">
        <f>IF(I611&lt;&gt;"",DATA!D610,"")</f>
        <v>8716800000</v>
      </c>
    </row>
    <row r="612" spans="1:43" ht="15.75" x14ac:dyDescent="0.25">
      <c r="A612" s="11" t="s">
        <v>57</v>
      </c>
      <c r="B612" s="11" t="s">
        <v>56</v>
      </c>
      <c r="C612" s="22">
        <f t="shared" si="42"/>
        <v>25001620</v>
      </c>
      <c r="D612" s="11" t="str">
        <f t="shared" si="39"/>
        <v>SKIIFM_AT</v>
      </c>
      <c r="E612" s="11" t="str">
        <f>IF(I612&lt;&gt;"",VLOOKUP(F612,OPDRACHTGEVER!$A$2:$B$4,2,FALSE),"")</f>
        <v>SKIIFM_AT</v>
      </c>
      <c r="F612" s="11" t="s">
        <v>58</v>
      </c>
      <c r="I612" s="11" t="str">
        <f>IF(DATA!B611&lt;&gt;"",DATA!B611,"")</f>
        <v>CXDU2168102</v>
      </c>
      <c r="J612" s="12">
        <v>0</v>
      </c>
      <c r="K612" s="11" t="s">
        <v>53</v>
      </c>
      <c r="L612" s="11" t="str">
        <f t="shared" si="40"/>
        <v>392690</v>
      </c>
      <c r="M612" s="11" t="str">
        <f>IF(I612&lt;&gt;"",DATA!E611,"")</f>
        <v>LOCKING ON BOTH SIDES RAISED TOILET SEAT</v>
      </c>
      <c r="N612" s="12">
        <v>0</v>
      </c>
      <c r="O612" s="11">
        <f>IF(I612&lt;&gt;"",DATA!C611,"")</f>
        <v>22.5</v>
      </c>
      <c r="P612" s="2">
        <v>294094</v>
      </c>
      <c r="Q612" s="2" t="s">
        <v>1304</v>
      </c>
      <c r="R612" s="2" t="s">
        <v>1318</v>
      </c>
      <c r="S612" s="2">
        <v>582</v>
      </c>
      <c r="T612" s="2">
        <v>1</v>
      </c>
      <c r="U612" s="2" t="s">
        <v>141</v>
      </c>
      <c r="Y612" s="2">
        <v>1700</v>
      </c>
      <c r="Z612" s="11" t="s">
        <v>54</v>
      </c>
      <c r="AA612" s="11" t="str">
        <f t="shared" si="41"/>
        <v>1700 - TBN</v>
      </c>
      <c r="AC612" s="2" t="s">
        <v>145</v>
      </c>
      <c r="AD612" s="11" t="str">
        <f>IF($I612&lt;&gt;"",VLOOKUP($AC612,GEADRESSEERDE!$A$2:$E$4,2,),"")</f>
        <v>LUITHAGEN HAVEN 2 D</v>
      </c>
      <c r="AE612" s="11">
        <f>IF($I612&lt;&gt;"",VLOOKUP($AC612,GEADRESSEERDE!$A$2:$E$4,3,),"")</f>
        <v>2030</v>
      </c>
      <c r="AF612" s="11" t="str">
        <f>IF($I612&lt;&gt;"",VLOOKUP($AC612,GEADRESSEERDE!$A$2:$E$4,4,),"")</f>
        <v>ANTWERPEN</v>
      </c>
      <c r="AG612" s="11" t="str">
        <f>IF($I612&lt;&gt;"",VLOOKUP($AC612,GEADRESSEERDE!$A$2:$E$4,5,),"")</f>
        <v>BE</v>
      </c>
      <c r="AH612" s="11" t="str">
        <f>IF(I612&lt;&gt;"",VLOOKUP(AP612,KvB!$A$2:$B$3,2,FALSE),"")</f>
        <v>BE101000</v>
      </c>
      <c r="AI612" s="11" t="s">
        <v>55</v>
      </c>
      <c r="AJ612" s="11"/>
      <c r="AK612" s="11"/>
      <c r="AL612" s="11"/>
      <c r="AM612" s="11"/>
      <c r="AN612" s="11"/>
      <c r="AO612" s="11"/>
      <c r="AP612" s="2" t="s">
        <v>70</v>
      </c>
      <c r="AQ612" s="11" t="str">
        <f>IF(I612&lt;&gt;"",DATA!D611,"")</f>
        <v>3926909790</v>
      </c>
    </row>
    <row r="613" spans="1:43" ht="15.75" x14ac:dyDescent="0.25">
      <c r="A613" s="11" t="s">
        <v>57</v>
      </c>
      <c r="B613" s="11" t="s">
        <v>56</v>
      </c>
      <c r="C613" s="22">
        <f t="shared" si="42"/>
        <v>25001620</v>
      </c>
      <c r="D613" s="11" t="str">
        <f t="shared" si="39"/>
        <v>SKIIFM_AT</v>
      </c>
      <c r="E613" s="11" t="str">
        <f>IF(I613&lt;&gt;"",VLOOKUP(F613,OPDRACHTGEVER!$A$2:$B$4,2,FALSE),"")</f>
        <v>SKIIFM_AT</v>
      </c>
      <c r="F613" s="11" t="s">
        <v>58</v>
      </c>
      <c r="I613" s="11" t="str">
        <f>IF(DATA!B612&lt;&gt;"",DATA!B612,"")</f>
        <v>CXDU2168102</v>
      </c>
      <c r="J613" s="12">
        <v>0</v>
      </c>
      <c r="K613" s="11" t="s">
        <v>53</v>
      </c>
      <c r="L613" s="11" t="str">
        <f t="shared" si="40"/>
        <v>851420</v>
      </c>
      <c r="M613" s="11" t="str">
        <f>IF(I613&lt;&gt;"",DATA!E612,"")</f>
        <v>MELTING FURNACE</v>
      </c>
      <c r="N613" s="12">
        <v>0</v>
      </c>
      <c r="O613" s="11">
        <f>IF(I613&lt;&gt;"",DATA!C612,"")</f>
        <v>65.099999999999994</v>
      </c>
      <c r="P613" s="2">
        <v>294094</v>
      </c>
      <c r="Q613" s="2" t="s">
        <v>1304</v>
      </c>
      <c r="R613" s="2" t="s">
        <v>1318</v>
      </c>
      <c r="S613" s="2">
        <v>582</v>
      </c>
      <c r="T613" s="2">
        <v>1</v>
      </c>
      <c r="U613" s="2" t="s">
        <v>141</v>
      </c>
      <c r="Y613" s="2">
        <v>1700</v>
      </c>
      <c r="Z613" s="11" t="s">
        <v>54</v>
      </c>
      <c r="AA613" s="11" t="str">
        <f t="shared" si="41"/>
        <v>1700 - TBN</v>
      </c>
      <c r="AC613" s="2" t="s">
        <v>145</v>
      </c>
      <c r="AD613" s="11" t="str">
        <f>IF($I613&lt;&gt;"",VLOOKUP($AC613,GEADRESSEERDE!$A$2:$E$4,2,),"")</f>
        <v>LUITHAGEN HAVEN 2 D</v>
      </c>
      <c r="AE613" s="11">
        <f>IF($I613&lt;&gt;"",VLOOKUP($AC613,GEADRESSEERDE!$A$2:$E$4,3,),"")</f>
        <v>2030</v>
      </c>
      <c r="AF613" s="11" t="str">
        <f>IF($I613&lt;&gt;"",VLOOKUP($AC613,GEADRESSEERDE!$A$2:$E$4,4,),"")</f>
        <v>ANTWERPEN</v>
      </c>
      <c r="AG613" s="11" t="str">
        <f>IF($I613&lt;&gt;"",VLOOKUP($AC613,GEADRESSEERDE!$A$2:$E$4,5,),"")</f>
        <v>BE</v>
      </c>
      <c r="AH613" s="11" t="str">
        <f>IF(I613&lt;&gt;"",VLOOKUP(AP613,KvB!$A$2:$B$3,2,FALSE),"")</f>
        <v>BE101000</v>
      </c>
      <c r="AI613" s="11" t="s">
        <v>55</v>
      </c>
      <c r="AJ613" s="11"/>
      <c r="AK613" s="11"/>
      <c r="AL613" s="11"/>
      <c r="AM613" s="11"/>
      <c r="AN613" s="11"/>
      <c r="AO613" s="11"/>
      <c r="AP613" s="2" t="s">
        <v>70</v>
      </c>
      <c r="AQ613" s="11" t="str">
        <f>IF(I613&lt;&gt;"",DATA!D612,"")</f>
        <v>8514208000</v>
      </c>
    </row>
    <row r="614" spans="1:43" ht="15.75" x14ac:dyDescent="0.25">
      <c r="A614" s="11" t="s">
        <v>57</v>
      </c>
      <c r="B614" s="11" t="s">
        <v>56</v>
      </c>
      <c r="C614" s="22">
        <f t="shared" si="42"/>
        <v>25001620</v>
      </c>
      <c r="D614" s="11" t="str">
        <f t="shared" si="39"/>
        <v>SKIIFM_AT</v>
      </c>
      <c r="E614" s="11" t="str">
        <f>IF(I614&lt;&gt;"",VLOOKUP(F614,OPDRACHTGEVER!$A$2:$B$4,2,FALSE),"")</f>
        <v>SKIIFM_AT</v>
      </c>
      <c r="F614" s="11" t="s">
        <v>58</v>
      </c>
      <c r="I614" s="11" t="str">
        <f>IF(DATA!B613&lt;&gt;"",DATA!B613,"")</f>
        <v>CXDU2168102</v>
      </c>
      <c r="J614" s="12">
        <v>0</v>
      </c>
      <c r="K614" s="11" t="s">
        <v>53</v>
      </c>
      <c r="L614" s="11" t="str">
        <f t="shared" si="40"/>
        <v>741920</v>
      </c>
      <c r="M614" s="11" t="str">
        <f>IF(I614&lt;&gt;"",DATA!E613,"")</f>
        <v>METAL DISPLAY RACK</v>
      </c>
      <c r="N614" s="12">
        <v>0</v>
      </c>
      <c r="O614" s="11">
        <f>IF(I614&lt;&gt;"",DATA!C613,"")</f>
        <v>186.3</v>
      </c>
      <c r="P614" s="2">
        <v>294094</v>
      </c>
      <c r="Q614" s="2" t="s">
        <v>1304</v>
      </c>
      <c r="R614" s="2" t="s">
        <v>1318</v>
      </c>
      <c r="S614" s="2">
        <v>582</v>
      </c>
      <c r="T614" s="2">
        <v>1</v>
      </c>
      <c r="U614" s="2" t="s">
        <v>141</v>
      </c>
      <c r="Y614" s="2">
        <v>1700</v>
      </c>
      <c r="Z614" s="11" t="s">
        <v>54</v>
      </c>
      <c r="AA614" s="11" t="str">
        <f t="shared" si="41"/>
        <v>1700 - TBN</v>
      </c>
      <c r="AC614" s="2" t="s">
        <v>145</v>
      </c>
      <c r="AD614" s="11" t="str">
        <f>IF($I614&lt;&gt;"",VLOOKUP($AC614,GEADRESSEERDE!$A$2:$E$4,2,),"")</f>
        <v>LUITHAGEN HAVEN 2 D</v>
      </c>
      <c r="AE614" s="11">
        <f>IF($I614&lt;&gt;"",VLOOKUP($AC614,GEADRESSEERDE!$A$2:$E$4,3,),"")</f>
        <v>2030</v>
      </c>
      <c r="AF614" s="11" t="str">
        <f>IF($I614&lt;&gt;"",VLOOKUP($AC614,GEADRESSEERDE!$A$2:$E$4,4,),"")</f>
        <v>ANTWERPEN</v>
      </c>
      <c r="AG614" s="11" t="str">
        <f>IF($I614&lt;&gt;"",VLOOKUP($AC614,GEADRESSEERDE!$A$2:$E$4,5,),"")</f>
        <v>BE</v>
      </c>
      <c r="AH614" s="11" t="str">
        <f>IF(I614&lt;&gt;"",VLOOKUP(AP614,KvB!$A$2:$B$3,2,FALSE),"")</f>
        <v>BE101000</v>
      </c>
      <c r="AI614" s="11" t="s">
        <v>55</v>
      </c>
      <c r="AJ614" s="11"/>
      <c r="AK614" s="11"/>
      <c r="AL614" s="11"/>
      <c r="AM614" s="11"/>
      <c r="AN614" s="11"/>
      <c r="AO614" s="11"/>
      <c r="AP614" s="2" t="s">
        <v>70</v>
      </c>
      <c r="AQ614" s="11" t="str">
        <f>IF(I614&lt;&gt;"",DATA!D613,"")</f>
        <v>7419200090</v>
      </c>
    </row>
    <row r="615" spans="1:43" ht="15.75" x14ac:dyDescent="0.25">
      <c r="A615" s="11" t="s">
        <v>57</v>
      </c>
      <c r="B615" s="11" t="s">
        <v>56</v>
      </c>
      <c r="C615" s="22">
        <f t="shared" si="42"/>
        <v>25001620</v>
      </c>
      <c r="D615" s="11" t="str">
        <f t="shared" si="39"/>
        <v>SKIIFM_AT</v>
      </c>
      <c r="E615" s="11" t="str">
        <f>IF(I615&lt;&gt;"",VLOOKUP(F615,OPDRACHTGEVER!$A$2:$B$4,2,FALSE),"")</f>
        <v>SKIIFM_AT</v>
      </c>
      <c r="F615" s="11" t="s">
        <v>58</v>
      </c>
      <c r="I615" s="11" t="str">
        <f>IF(DATA!B614&lt;&gt;"",DATA!B614,"")</f>
        <v>CXDU2168102</v>
      </c>
      <c r="J615" s="12">
        <v>0</v>
      </c>
      <c r="K615" s="11" t="s">
        <v>53</v>
      </c>
      <c r="L615" s="11" t="str">
        <f t="shared" si="40"/>
        <v>920710</v>
      </c>
      <c r="M615" s="11" t="str">
        <f>IF(I615&lt;&gt;"",DATA!E614,"")</f>
        <v>MUSIC ELECTRIC KEYBOARD</v>
      </c>
      <c r="N615" s="12">
        <v>0</v>
      </c>
      <c r="O615" s="11">
        <f>IF(I615&lt;&gt;"",DATA!C614,"")</f>
        <v>494.5</v>
      </c>
      <c r="P615" s="2">
        <v>294094</v>
      </c>
      <c r="Q615" s="2" t="s">
        <v>1304</v>
      </c>
      <c r="R615" s="2" t="s">
        <v>1318</v>
      </c>
      <c r="S615" s="2">
        <v>582</v>
      </c>
      <c r="T615" s="2">
        <v>1</v>
      </c>
      <c r="U615" s="2" t="s">
        <v>141</v>
      </c>
      <c r="Y615" s="2">
        <v>1700</v>
      </c>
      <c r="Z615" s="11" t="s">
        <v>54</v>
      </c>
      <c r="AA615" s="11" t="str">
        <f t="shared" si="41"/>
        <v>1700 - TBN</v>
      </c>
      <c r="AC615" s="2" t="s">
        <v>145</v>
      </c>
      <c r="AD615" s="11" t="str">
        <f>IF($I615&lt;&gt;"",VLOOKUP($AC615,GEADRESSEERDE!$A$2:$E$4,2,),"")</f>
        <v>LUITHAGEN HAVEN 2 D</v>
      </c>
      <c r="AE615" s="11">
        <f>IF($I615&lt;&gt;"",VLOOKUP($AC615,GEADRESSEERDE!$A$2:$E$4,3,),"")</f>
        <v>2030</v>
      </c>
      <c r="AF615" s="11" t="str">
        <f>IF($I615&lt;&gt;"",VLOOKUP($AC615,GEADRESSEERDE!$A$2:$E$4,4,),"")</f>
        <v>ANTWERPEN</v>
      </c>
      <c r="AG615" s="11" t="str">
        <f>IF($I615&lt;&gt;"",VLOOKUP($AC615,GEADRESSEERDE!$A$2:$E$4,5,),"")</f>
        <v>BE</v>
      </c>
      <c r="AH615" s="11" t="str">
        <f>IF(I615&lt;&gt;"",VLOOKUP(AP615,KvB!$A$2:$B$3,2,FALSE),"")</f>
        <v>BE101000</v>
      </c>
      <c r="AI615" s="11" t="s">
        <v>55</v>
      </c>
      <c r="AJ615" s="11"/>
      <c r="AK615" s="11"/>
      <c r="AL615" s="11"/>
      <c r="AM615" s="11"/>
      <c r="AN615" s="11"/>
      <c r="AO615" s="11"/>
      <c r="AP615" s="2" t="s">
        <v>70</v>
      </c>
      <c r="AQ615" s="11" t="str">
        <f>IF(I615&lt;&gt;"",DATA!D614,"")</f>
        <v>9207108000</v>
      </c>
    </row>
    <row r="616" spans="1:43" ht="15.75" x14ac:dyDescent="0.25">
      <c r="A616" s="11" t="s">
        <v>57</v>
      </c>
      <c r="B616" s="11" t="s">
        <v>56</v>
      </c>
      <c r="C616" s="22">
        <f t="shared" si="42"/>
        <v>25001620</v>
      </c>
      <c r="D616" s="11" t="str">
        <f t="shared" si="39"/>
        <v>SKIIFM_AT</v>
      </c>
      <c r="E616" s="11" t="str">
        <f>IF(I616&lt;&gt;"",VLOOKUP(F616,OPDRACHTGEVER!$A$2:$B$4,2,FALSE),"")</f>
        <v>SKIIFM_AT</v>
      </c>
      <c r="F616" s="11" t="s">
        <v>58</v>
      </c>
      <c r="I616" s="11" t="str">
        <f>IF(DATA!B615&lt;&gt;"",DATA!B615,"")</f>
        <v>CXDU2168102</v>
      </c>
      <c r="J616" s="12">
        <v>0</v>
      </c>
      <c r="K616" s="11" t="s">
        <v>53</v>
      </c>
      <c r="L616" s="11" t="str">
        <f t="shared" si="40"/>
        <v>392590</v>
      </c>
      <c r="M616" s="11" t="str">
        <f>IF(I616&lt;&gt;"",DATA!E615,"")</f>
        <v>PLASTIC WALLBOARD</v>
      </c>
      <c r="N616" s="12">
        <v>0</v>
      </c>
      <c r="O616" s="11">
        <f>IF(I616&lt;&gt;"",DATA!C615,"")</f>
        <v>71.400000000000006</v>
      </c>
      <c r="P616" s="2">
        <v>294094</v>
      </c>
      <c r="Q616" s="2" t="s">
        <v>1304</v>
      </c>
      <c r="R616" s="2" t="s">
        <v>1318</v>
      </c>
      <c r="S616" s="2">
        <v>582</v>
      </c>
      <c r="T616" s="2">
        <v>1</v>
      </c>
      <c r="U616" s="2" t="s">
        <v>141</v>
      </c>
      <c r="Y616" s="2">
        <v>1700</v>
      </c>
      <c r="Z616" s="11" t="s">
        <v>54</v>
      </c>
      <c r="AA616" s="11" t="str">
        <f t="shared" si="41"/>
        <v>1700 - TBN</v>
      </c>
      <c r="AC616" s="2" t="s">
        <v>145</v>
      </c>
      <c r="AD616" s="11" t="str">
        <f>IF($I616&lt;&gt;"",VLOOKUP($AC616,GEADRESSEERDE!$A$2:$E$4,2,),"")</f>
        <v>LUITHAGEN HAVEN 2 D</v>
      </c>
      <c r="AE616" s="11">
        <f>IF($I616&lt;&gt;"",VLOOKUP($AC616,GEADRESSEERDE!$A$2:$E$4,3,),"")</f>
        <v>2030</v>
      </c>
      <c r="AF616" s="11" t="str">
        <f>IF($I616&lt;&gt;"",VLOOKUP($AC616,GEADRESSEERDE!$A$2:$E$4,4,),"")</f>
        <v>ANTWERPEN</v>
      </c>
      <c r="AG616" s="11" t="str">
        <f>IF($I616&lt;&gt;"",VLOOKUP($AC616,GEADRESSEERDE!$A$2:$E$4,5,),"")</f>
        <v>BE</v>
      </c>
      <c r="AH616" s="11" t="str">
        <f>IF(I616&lt;&gt;"",VLOOKUP(AP616,KvB!$A$2:$B$3,2,FALSE),"")</f>
        <v>BE101000</v>
      </c>
      <c r="AI616" s="11" t="s">
        <v>55</v>
      </c>
      <c r="AJ616" s="11"/>
      <c r="AK616" s="11"/>
      <c r="AL616" s="11"/>
      <c r="AM616" s="11"/>
      <c r="AN616" s="11"/>
      <c r="AO616" s="11"/>
      <c r="AP616" s="2" t="s">
        <v>70</v>
      </c>
      <c r="AQ616" s="11" t="str">
        <f>IF(I616&lt;&gt;"",DATA!D615,"")</f>
        <v>3925908000</v>
      </c>
    </row>
    <row r="617" spans="1:43" ht="15.75" x14ac:dyDescent="0.25">
      <c r="A617" s="11" t="s">
        <v>57</v>
      </c>
      <c r="B617" s="11" t="s">
        <v>56</v>
      </c>
      <c r="C617" s="22">
        <f t="shared" si="42"/>
        <v>25001620</v>
      </c>
      <c r="D617" s="11" t="str">
        <f t="shared" si="39"/>
        <v>SKIIFM_AT</v>
      </c>
      <c r="E617" s="11" t="str">
        <f>IF(I617&lt;&gt;"",VLOOKUP(F617,OPDRACHTGEVER!$A$2:$B$4,2,FALSE),"")</f>
        <v>SKIIFM_AT</v>
      </c>
      <c r="F617" s="11" t="s">
        <v>58</v>
      </c>
      <c r="I617" s="11" t="str">
        <f>IF(DATA!B616&lt;&gt;"",DATA!B616,"")</f>
        <v>CXDU2168102</v>
      </c>
      <c r="J617" s="12">
        <v>0</v>
      </c>
      <c r="K617" s="11" t="s">
        <v>53</v>
      </c>
      <c r="L617" s="11" t="str">
        <f t="shared" si="40"/>
        <v>841582</v>
      </c>
      <c r="M617" s="11" t="str">
        <f>IF(I617&lt;&gt;"",DATA!E616,"")</f>
        <v>PORTABLE AIR CONDITIONER</v>
      </c>
      <c r="N617" s="12">
        <v>0</v>
      </c>
      <c r="O617" s="11">
        <f>IF(I617&lt;&gt;"",DATA!C616,"")</f>
        <v>196.8</v>
      </c>
      <c r="P617" s="2">
        <v>294094</v>
      </c>
      <c r="Q617" s="2" t="s">
        <v>1304</v>
      </c>
      <c r="R617" s="2" t="s">
        <v>1318</v>
      </c>
      <c r="S617" s="2">
        <v>582</v>
      </c>
      <c r="T617" s="2">
        <v>1</v>
      </c>
      <c r="U617" s="2" t="s">
        <v>141</v>
      </c>
      <c r="Y617" s="2">
        <v>1700</v>
      </c>
      <c r="Z617" s="11" t="s">
        <v>54</v>
      </c>
      <c r="AA617" s="11" t="str">
        <f t="shared" si="41"/>
        <v>1700 - TBN</v>
      </c>
      <c r="AC617" s="2" t="s">
        <v>145</v>
      </c>
      <c r="AD617" s="11" t="str">
        <f>IF($I617&lt;&gt;"",VLOOKUP($AC617,GEADRESSEERDE!$A$2:$E$4,2,),"")</f>
        <v>LUITHAGEN HAVEN 2 D</v>
      </c>
      <c r="AE617" s="11">
        <f>IF($I617&lt;&gt;"",VLOOKUP($AC617,GEADRESSEERDE!$A$2:$E$4,3,),"")</f>
        <v>2030</v>
      </c>
      <c r="AF617" s="11" t="str">
        <f>IF($I617&lt;&gt;"",VLOOKUP($AC617,GEADRESSEERDE!$A$2:$E$4,4,),"")</f>
        <v>ANTWERPEN</v>
      </c>
      <c r="AG617" s="11" t="str">
        <f>IF($I617&lt;&gt;"",VLOOKUP($AC617,GEADRESSEERDE!$A$2:$E$4,5,),"")</f>
        <v>BE</v>
      </c>
      <c r="AH617" s="11" t="str">
        <f>IF(I617&lt;&gt;"",VLOOKUP(AP617,KvB!$A$2:$B$3,2,FALSE),"")</f>
        <v>BE101000</v>
      </c>
      <c r="AI617" s="11" t="s">
        <v>55</v>
      </c>
      <c r="AJ617" s="11"/>
      <c r="AK617" s="11"/>
      <c r="AL617" s="11"/>
      <c r="AM617" s="11"/>
      <c r="AN617" s="11"/>
      <c r="AO617" s="11"/>
      <c r="AP617" s="2" t="s">
        <v>70</v>
      </c>
      <c r="AQ617" s="11" t="str">
        <f>IF(I617&lt;&gt;"",DATA!D616,"")</f>
        <v>8415820099</v>
      </c>
    </row>
    <row r="618" spans="1:43" ht="15.75" x14ac:dyDescent="0.25">
      <c r="A618" s="11" t="s">
        <v>57</v>
      </c>
      <c r="B618" s="11" t="s">
        <v>56</v>
      </c>
      <c r="C618" s="22">
        <f t="shared" si="42"/>
        <v>25001620</v>
      </c>
      <c r="D618" s="11" t="str">
        <f t="shared" si="39"/>
        <v>SKIIFM_AT</v>
      </c>
      <c r="E618" s="11" t="str">
        <f>IF(I618&lt;&gt;"",VLOOKUP(F618,OPDRACHTGEVER!$A$2:$B$4,2,FALSE),"")</f>
        <v>SKIIFM_AT</v>
      </c>
      <c r="F618" s="11" t="s">
        <v>58</v>
      </c>
      <c r="I618" s="11" t="str">
        <f>IF(DATA!B617&lt;&gt;"",DATA!B617,"")</f>
        <v>CXDU2168102</v>
      </c>
      <c r="J618" s="12">
        <v>0</v>
      </c>
      <c r="K618" s="11" t="s">
        <v>53</v>
      </c>
      <c r="L618" s="11" t="str">
        <f t="shared" si="40"/>
        <v>741920</v>
      </c>
      <c r="M618" s="11" t="str">
        <f>IF(I618&lt;&gt;"",DATA!E617,"")</f>
        <v>PULL BASKET</v>
      </c>
      <c r="N618" s="12">
        <v>0</v>
      </c>
      <c r="O618" s="11">
        <f>IF(I618&lt;&gt;"",DATA!C617,"")</f>
        <v>152.69999999999999</v>
      </c>
      <c r="P618" s="2">
        <v>294094</v>
      </c>
      <c r="Q618" s="2" t="s">
        <v>1304</v>
      </c>
      <c r="R618" s="2" t="s">
        <v>1318</v>
      </c>
      <c r="S618" s="2">
        <v>582</v>
      </c>
      <c r="T618" s="2">
        <v>1</v>
      </c>
      <c r="U618" s="2" t="s">
        <v>141</v>
      </c>
      <c r="Y618" s="2">
        <v>1700</v>
      </c>
      <c r="Z618" s="11" t="s">
        <v>54</v>
      </c>
      <c r="AA618" s="11" t="str">
        <f t="shared" si="41"/>
        <v>1700 - TBN</v>
      </c>
      <c r="AC618" s="2" t="s">
        <v>145</v>
      </c>
      <c r="AD618" s="11" t="str">
        <f>IF($I618&lt;&gt;"",VLOOKUP($AC618,GEADRESSEERDE!$A$2:$E$4,2,),"")</f>
        <v>LUITHAGEN HAVEN 2 D</v>
      </c>
      <c r="AE618" s="11">
        <f>IF($I618&lt;&gt;"",VLOOKUP($AC618,GEADRESSEERDE!$A$2:$E$4,3,),"")</f>
        <v>2030</v>
      </c>
      <c r="AF618" s="11" t="str">
        <f>IF($I618&lt;&gt;"",VLOOKUP($AC618,GEADRESSEERDE!$A$2:$E$4,4,),"")</f>
        <v>ANTWERPEN</v>
      </c>
      <c r="AG618" s="11" t="str">
        <f>IF($I618&lt;&gt;"",VLOOKUP($AC618,GEADRESSEERDE!$A$2:$E$4,5,),"")</f>
        <v>BE</v>
      </c>
      <c r="AH618" s="11" t="str">
        <f>IF(I618&lt;&gt;"",VLOOKUP(AP618,KvB!$A$2:$B$3,2,FALSE),"")</f>
        <v>BE101000</v>
      </c>
      <c r="AI618" s="11" t="s">
        <v>55</v>
      </c>
      <c r="AJ618" s="11"/>
      <c r="AK618" s="11"/>
      <c r="AL618" s="11"/>
      <c r="AM618" s="11"/>
      <c r="AN618" s="11"/>
      <c r="AO618" s="11"/>
      <c r="AP618" s="2" t="s">
        <v>70</v>
      </c>
      <c r="AQ618" s="11" t="str">
        <f>IF(I618&lt;&gt;"",DATA!D617,"")</f>
        <v>7419200090</v>
      </c>
    </row>
    <row r="619" spans="1:43" ht="15.75" x14ac:dyDescent="0.25">
      <c r="A619" s="11" t="s">
        <v>57</v>
      </c>
      <c r="B619" s="11" t="s">
        <v>56</v>
      </c>
      <c r="C619" s="22">
        <f t="shared" si="42"/>
        <v>25001620</v>
      </c>
      <c r="D619" s="11" t="str">
        <f t="shared" si="39"/>
        <v>SKIIFM_AT</v>
      </c>
      <c r="E619" s="11" t="str">
        <f>IF(I619&lt;&gt;"",VLOOKUP(F619,OPDRACHTGEVER!$A$2:$B$4,2,FALSE),"")</f>
        <v>SKIIFM_AT</v>
      </c>
      <c r="F619" s="11" t="s">
        <v>58</v>
      </c>
      <c r="I619" s="11" t="str">
        <f>IF(DATA!B618&lt;&gt;"",DATA!B618,"")</f>
        <v>CXDU2168102</v>
      </c>
      <c r="J619" s="12">
        <v>0</v>
      </c>
      <c r="K619" s="11" t="s">
        <v>53</v>
      </c>
      <c r="L619" s="11" t="str">
        <f t="shared" si="40"/>
        <v>851679</v>
      </c>
      <c r="M619" s="11" t="str">
        <f>IF(I619&lt;&gt;"",DATA!E618,"")</f>
        <v>SAUNA STOVE</v>
      </c>
      <c r="N619" s="12">
        <v>0</v>
      </c>
      <c r="O619" s="11">
        <f>IF(I619&lt;&gt;"",DATA!C618,"")</f>
        <v>363.26</v>
      </c>
      <c r="P619" s="2">
        <v>294094</v>
      </c>
      <c r="Q619" s="2" t="s">
        <v>1304</v>
      </c>
      <c r="R619" s="2" t="s">
        <v>1318</v>
      </c>
      <c r="S619" s="2">
        <v>582</v>
      </c>
      <c r="T619" s="2">
        <v>1</v>
      </c>
      <c r="U619" s="2" t="s">
        <v>141</v>
      </c>
      <c r="Y619" s="2">
        <v>1700</v>
      </c>
      <c r="Z619" s="11" t="s">
        <v>54</v>
      </c>
      <c r="AA619" s="11" t="str">
        <f t="shared" si="41"/>
        <v>1700 - TBN</v>
      </c>
      <c r="AC619" s="2" t="s">
        <v>145</v>
      </c>
      <c r="AD619" s="11" t="str">
        <f>IF($I619&lt;&gt;"",VLOOKUP($AC619,GEADRESSEERDE!$A$2:$E$4,2,),"")</f>
        <v>LUITHAGEN HAVEN 2 D</v>
      </c>
      <c r="AE619" s="11">
        <f>IF($I619&lt;&gt;"",VLOOKUP($AC619,GEADRESSEERDE!$A$2:$E$4,3,),"")</f>
        <v>2030</v>
      </c>
      <c r="AF619" s="11" t="str">
        <f>IF($I619&lt;&gt;"",VLOOKUP($AC619,GEADRESSEERDE!$A$2:$E$4,4,),"")</f>
        <v>ANTWERPEN</v>
      </c>
      <c r="AG619" s="11" t="str">
        <f>IF($I619&lt;&gt;"",VLOOKUP($AC619,GEADRESSEERDE!$A$2:$E$4,5,),"")</f>
        <v>BE</v>
      </c>
      <c r="AH619" s="11" t="str">
        <f>IF(I619&lt;&gt;"",VLOOKUP(AP619,KvB!$A$2:$B$3,2,FALSE),"")</f>
        <v>BE101000</v>
      </c>
      <c r="AI619" s="11" t="s">
        <v>55</v>
      </c>
      <c r="AJ619" s="11"/>
      <c r="AK619" s="11"/>
      <c r="AL619" s="11"/>
      <c r="AM619" s="11"/>
      <c r="AN619" s="11"/>
      <c r="AO619" s="11"/>
      <c r="AP619" s="2" t="s">
        <v>70</v>
      </c>
      <c r="AQ619" s="11" t="str">
        <f>IF(I619&lt;&gt;"",DATA!D618,"")</f>
        <v>8516797090</v>
      </c>
    </row>
    <row r="620" spans="1:43" ht="15.75" x14ac:dyDescent="0.25">
      <c r="A620" s="11" t="s">
        <v>57</v>
      </c>
      <c r="B620" s="11" t="s">
        <v>56</v>
      </c>
      <c r="C620" s="22">
        <f t="shared" si="42"/>
        <v>25001620</v>
      </c>
      <c r="D620" s="11" t="str">
        <f t="shared" si="39"/>
        <v>SKIIFM_AT</v>
      </c>
      <c r="E620" s="11" t="str">
        <f>IF(I620&lt;&gt;"",VLOOKUP(F620,OPDRACHTGEVER!$A$2:$B$4,2,FALSE),"")</f>
        <v>SKIIFM_AT</v>
      </c>
      <c r="F620" s="11" t="s">
        <v>58</v>
      </c>
      <c r="I620" s="11" t="str">
        <f>IF(DATA!B619&lt;&gt;"",DATA!B619,"")</f>
        <v>CXDU2168102</v>
      </c>
      <c r="J620" s="12">
        <v>0</v>
      </c>
      <c r="K620" s="11" t="s">
        <v>53</v>
      </c>
      <c r="L620" s="11" t="str">
        <f t="shared" si="40"/>
        <v>392113</v>
      </c>
      <c r="M620" s="11" t="str">
        <f>IF(I620&lt;&gt;"",DATA!E619,"")</f>
        <v>SELF-ADHESIVE ACOUSTIC FOAM PANELS</v>
      </c>
      <c r="N620" s="12">
        <v>0</v>
      </c>
      <c r="O620" s="11">
        <f>IF(I620&lt;&gt;"",DATA!C619,"")</f>
        <v>105.6</v>
      </c>
      <c r="P620" s="2">
        <v>294094</v>
      </c>
      <c r="Q620" s="2" t="s">
        <v>1304</v>
      </c>
      <c r="R620" s="2" t="s">
        <v>1318</v>
      </c>
      <c r="S620" s="2">
        <v>582</v>
      </c>
      <c r="T620" s="2">
        <v>1</v>
      </c>
      <c r="U620" s="2" t="s">
        <v>141</v>
      </c>
      <c r="Y620" s="2">
        <v>1700</v>
      </c>
      <c r="Z620" s="11" t="s">
        <v>54</v>
      </c>
      <c r="AA620" s="11" t="str">
        <f t="shared" si="41"/>
        <v>1700 - TBN</v>
      </c>
      <c r="AC620" s="2" t="s">
        <v>145</v>
      </c>
      <c r="AD620" s="11" t="str">
        <f>IF($I620&lt;&gt;"",VLOOKUP($AC620,GEADRESSEERDE!$A$2:$E$4,2,),"")</f>
        <v>LUITHAGEN HAVEN 2 D</v>
      </c>
      <c r="AE620" s="11">
        <f>IF($I620&lt;&gt;"",VLOOKUP($AC620,GEADRESSEERDE!$A$2:$E$4,3,),"")</f>
        <v>2030</v>
      </c>
      <c r="AF620" s="11" t="str">
        <f>IF($I620&lt;&gt;"",VLOOKUP($AC620,GEADRESSEERDE!$A$2:$E$4,4,),"")</f>
        <v>ANTWERPEN</v>
      </c>
      <c r="AG620" s="11" t="str">
        <f>IF($I620&lt;&gt;"",VLOOKUP($AC620,GEADRESSEERDE!$A$2:$E$4,5,),"")</f>
        <v>BE</v>
      </c>
      <c r="AH620" s="11" t="str">
        <f>IF(I620&lt;&gt;"",VLOOKUP(AP620,KvB!$A$2:$B$3,2,FALSE),"")</f>
        <v>BE101000</v>
      </c>
      <c r="AI620" s="11" t="s">
        <v>55</v>
      </c>
      <c r="AJ620" s="11"/>
      <c r="AK620" s="11"/>
      <c r="AL620" s="11"/>
      <c r="AM620" s="11"/>
      <c r="AN620" s="11"/>
      <c r="AO620" s="11"/>
      <c r="AP620" s="2" t="s">
        <v>70</v>
      </c>
      <c r="AQ620" s="11" t="str">
        <f>IF(I620&lt;&gt;"",DATA!D619,"")</f>
        <v>3921139000</v>
      </c>
    </row>
    <row r="621" spans="1:43" ht="15.75" x14ac:dyDescent="0.25">
      <c r="A621" s="11" t="s">
        <v>57</v>
      </c>
      <c r="B621" s="11" t="s">
        <v>56</v>
      </c>
      <c r="C621" s="22">
        <f t="shared" si="42"/>
        <v>25001620</v>
      </c>
      <c r="D621" s="11" t="str">
        <f t="shared" si="39"/>
        <v>SKIIFM_AT</v>
      </c>
      <c r="E621" s="11" t="str">
        <f>IF(I621&lt;&gt;"",VLOOKUP(F621,OPDRACHTGEVER!$A$2:$B$4,2,FALSE),"")</f>
        <v>SKIIFM_AT</v>
      </c>
      <c r="F621" s="11" t="s">
        <v>58</v>
      </c>
      <c r="I621" s="11" t="str">
        <f>IF(DATA!B620&lt;&gt;"",DATA!B620,"")</f>
        <v>CXDU2168102</v>
      </c>
      <c r="J621" s="12">
        <v>0</v>
      </c>
      <c r="K621" s="11" t="s">
        <v>53</v>
      </c>
      <c r="L621" s="11" t="str">
        <f t="shared" si="40"/>
        <v>670210</v>
      </c>
      <c r="M621" s="11" t="str">
        <f>IF(I621&lt;&gt;"",DATA!E620,"")</f>
        <v>SIMULATION TREE</v>
      </c>
      <c r="N621" s="12">
        <v>0</v>
      </c>
      <c r="O621" s="11">
        <f>IF(I621&lt;&gt;"",DATA!C620,"")</f>
        <v>348.2</v>
      </c>
      <c r="P621" s="2">
        <v>294094</v>
      </c>
      <c r="Q621" s="2" t="s">
        <v>1304</v>
      </c>
      <c r="R621" s="2" t="s">
        <v>1318</v>
      </c>
      <c r="S621" s="2">
        <v>582</v>
      </c>
      <c r="T621" s="2">
        <v>1</v>
      </c>
      <c r="U621" s="2" t="s">
        <v>141</v>
      </c>
      <c r="Y621" s="2">
        <v>1700</v>
      </c>
      <c r="Z621" s="11" t="s">
        <v>54</v>
      </c>
      <c r="AA621" s="11" t="str">
        <f t="shared" si="41"/>
        <v>1700 - TBN</v>
      </c>
      <c r="AC621" s="2" t="s">
        <v>145</v>
      </c>
      <c r="AD621" s="11" t="str">
        <f>IF($I621&lt;&gt;"",VLOOKUP($AC621,GEADRESSEERDE!$A$2:$E$4,2,),"")</f>
        <v>LUITHAGEN HAVEN 2 D</v>
      </c>
      <c r="AE621" s="11">
        <f>IF($I621&lt;&gt;"",VLOOKUP($AC621,GEADRESSEERDE!$A$2:$E$4,3,),"")</f>
        <v>2030</v>
      </c>
      <c r="AF621" s="11" t="str">
        <f>IF($I621&lt;&gt;"",VLOOKUP($AC621,GEADRESSEERDE!$A$2:$E$4,4,),"")</f>
        <v>ANTWERPEN</v>
      </c>
      <c r="AG621" s="11" t="str">
        <f>IF($I621&lt;&gt;"",VLOOKUP($AC621,GEADRESSEERDE!$A$2:$E$4,5,),"")</f>
        <v>BE</v>
      </c>
      <c r="AH621" s="11" t="str">
        <f>IF(I621&lt;&gt;"",VLOOKUP(AP621,KvB!$A$2:$B$3,2,FALSE),"")</f>
        <v>BE101000</v>
      </c>
      <c r="AI621" s="11" t="s">
        <v>55</v>
      </c>
      <c r="AJ621" s="11"/>
      <c r="AK621" s="11"/>
      <c r="AL621" s="11"/>
      <c r="AM621" s="11"/>
      <c r="AN621" s="11"/>
      <c r="AO621" s="11"/>
      <c r="AP621" s="2" t="s">
        <v>70</v>
      </c>
      <c r="AQ621" s="11" t="str">
        <f>IF(I621&lt;&gt;"",DATA!D620,"")</f>
        <v>6702100000</v>
      </c>
    </row>
    <row r="622" spans="1:43" ht="15.75" x14ac:dyDescent="0.25">
      <c r="A622" s="11" t="s">
        <v>57</v>
      </c>
      <c r="B622" s="11" t="s">
        <v>56</v>
      </c>
      <c r="C622" s="22">
        <f t="shared" si="42"/>
        <v>25001620</v>
      </c>
      <c r="D622" s="11" t="str">
        <f t="shared" si="39"/>
        <v>SKIIFM_AT</v>
      </c>
      <c r="E622" s="11" t="str">
        <f>IF(I622&lt;&gt;"",VLOOKUP(F622,OPDRACHTGEVER!$A$2:$B$4,2,FALSE),"")</f>
        <v>SKIIFM_AT</v>
      </c>
      <c r="F622" s="11" t="s">
        <v>58</v>
      </c>
      <c r="I622" s="11" t="str">
        <f>IF(DATA!B621&lt;&gt;"",DATA!B621,"")</f>
        <v>CXDU2168102</v>
      </c>
      <c r="J622" s="12">
        <v>0</v>
      </c>
      <c r="K622" s="11" t="s">
        <v>53</v>
      </c>
      <c r="L622" s="11" t="str">
        <f t="shared" si="40"/>
        <v>420212</v>
      </c>
      <c r="M622" s="11" t="str">
        <f>IF(I622&lt;&gt;"",DATA!E621,"")</f>
        <v>SOFT PISTOL CASES</v>
      </c>
      <c r="N622" s="12">
        <v>0</v>
      </c>
      <c r="O622" s="11">
        <f>IF(I622&lt;&gt;"",DATA!C621,"")</f>
        <v>35.700000000000003</v>
      </c>
      <c r="P622" s="2">
        <v>294094</v>
      </c>
      <c r="Q622" s="2" t="s">
        <v>1304</v>
      </c>
      <c r="R622" s="2" t="s">
        <v>1318</v>
      </c>
      <c r="S622" s="2">
        <v>582</v>
      </c>
      <c r="T622" s="2">
        <v>1</v>
      </c>
      <c r="U622" s="2" t="s">
        <v>141</v>
      </c>
      <c r="Y622" s="2">
        <v>1700</v>
      </c>
      <c r="Z622" s="11" t="s">
        <v>54</v>
      </c>
      <c r="AA622" s="11" t="str">
        <f t="shared" si="41"/>
        <v>1700 - TBN</v>
      </c>
      <c r="AC622" s="2" t="s">
        <v>145</v>
      </c>
      <c r="AD622" s="11" t="str">
        <f>IF($I622&lt;&gt;"",VLOOKUP($AC622,GEADRESSEERDE!$A$2:$E$4,2,),"")</f>
        <v>LUITHAGEN HAVEN 2 D</v>
      </c>
      <c r="AE622" s="11">
        <f>IF($I622&lt;&gt;"",VLOOKUP($AC622,GEADRESSEERDE!$A$2:$E$4,3,),"")</f>
        <v>2030</v>
      </c>
      <c r="AF622" s="11" t="str">
        <f>IF($I622&lt;&gt;"",VLOOKUP($AC622,GEADRESSEERDE!$A$2:$E$4,4,),"")</f>
        <v>ANTWERPEN</v>
      </c>
      <c r="AG622" s="11" t="str">
        <f>IF($I622&lt;&gt;"",VLOOKUP($AC622,GEADRESSEERDE!$A$2:$E$4,5,),"")</f>
        <v>BE</v>
      </c>
      <c r="AH622" s="11" t="str">
        <f>IF(I622&lt;&gt;"",VLOOKUP(AP622,KvB!$A$2:$B$3,2,FALSE),"")</f>
        <v>BE101000</v>
      </c>
      <c r="AI622" s="11" t="s">
        <v>55</v>
      </c>
      <c r="AJ622" s="11"/>
      <c r="AK622" s="11"/>
      <c r="AL622" s="11"/>
      <c r="AM622" s="11"/>
      <c r="AN622" s="11"/>
      <c r="AO622" s="11"/>
      <c r="AP622" s="2" t="s">
        <v>70</v>
      </c>
      <c r="AQ622" s="11" t="str">
        <f>IF(I622&lt;&gt;"",DATA!D621,"")</f>
        <v>4202129190</v>
      </c>
    </row>
    <row r="623" spans="1:43" ht="15.75" x14ac:dyDescent="0.25">
      <c r="A623" s="11" t="s">
        <v>57</v>
      </c>
      <c r="B623" s="11" t="s">
        <v>56</v>
      </c>
      <c r="C623" s="22">
        <f t="shared" si="42"/>
        <v>25001620</v>
      </c>
      <c r="D623" s="11" t="str">
        <f t="shared" si="39"/>
        <v>SKIIFM_AT</v>
      </c>
      <c r="E623" s="11" t="str">
        <f>IF(I623&lt;&gt;"",VLOOKUP(F623,OPDRACHTGEVER!$A$2:$B$4,2,FALSE),"")</f>
        <v>SKIIFM_AT</v>
      </c>
      <c r="F623" s="11" t="s">
        <v>58</v>
      </c>
      <c r="I623" s="11" t="str">
        <f>IF(DATA!B622&lt;&gt;"",DATA!B622,"")</f>
        <v>CXDU2168102</v>
      </c>
      <c r="J623" s="12">
        <v>0</v>
      </c>
      <c r="K623" s="11" t="s">
        <v>53</v>
      </c>
      <c r="L623" s="11" t="str">
        <f t="shared" si="40"/>
        <v>854143</v>
      </c>
      <c r="M623" s="11" t="str">
        <f>IF(I623&lt;&gt;"",DATA!E622,"")</f>
        <v>SOLAR CONTROLLER</v>
      </c>
      <c r="N623" s="12">
        <v>0</v>
      </c>
      <c r="O623" s="11">
        <f>IF(I623&lt;&gt;"",DATA!C622,"")</f>
        <v>15.6</v>
      </c>
      <c r="P623" s="2">
        <v>294094</v>
      </c>
      <c r="Q623" s="2" t="s">
        <v>1304</v>
      </c>
      <c r="R623" s="2" t="s">
        <v>1318</v>
      </c>
      <c r="S623" s="2">
        <v>582</v>
      </c>
      <c r="T623" s="2">
        <v>1</v>
      </c>
      <c r="U623" s="2" t="s">
        <v>141</v>
      </c>
      <c r="Y623" s="2">
        <v>1700</v>
      </c>
      <c r="Z623" s="11" t="s">
        <v>54</v>
      </c>
      <c r="AA623" s="11" t="str">
        <f t="shared" si="41"/>
        <v>1700 - TBN</v>
      </c>
      <c r="AC623" s="2" t="s">
        <v>145</v>
      </c>
      <c r="AD623" s="11" t="str">
        <f>IF($I623&lt;&gt;"",VLOOKUP($AC623,GEADRESSEERDE!$A$2:$E$4,2,),"")</f>
        <v>LUITHAGEN HAVEN 2 D</v>
      </c>
      <c r="AE623" s="11">
        <f>IF($I623&lt;&gt;"",VLOOKUP($AC623,GEADRESSEERDE!$A$2:$E$4,3,),"")</f>
        <v>2030</v>
      </c>
      <c r="AF623" s="11" t="str">
        <f>IF($I623&lt;&gt;"",VLOOKUP($AC623,GEADRESSEERDE!$A$2:$E$4,4,),"")</f>
        <v>ANTWERPEN</v>
      </c>
      <c r="AG623" s="11" t="str">
        <f>IF($I623&lt;&gt;"",VLOOKUP($AC623,GEADRESSEERDE!$A$2:$E$4,5,),"")</f>
        <v>BE</v>
      </c>
      <c r="AH623" s="11" t="str">
        <f>IF(I623&lt;&gt;"",VLOOKUP(AP623,KvB!$A$2:$B$3,2,FALSE),"")</f>
        <v>BE101000</v>
      </c>
      <c r="AI623" s="11" t="s">
        <v>55</v>
      </c>
      <c r="AJ623" s="11"/>
      <c r="AK623" s="11"/>
      <c r="AL623" s="11"/>
      <c r="AM623" s="11"/>
      <c r="AN623" s="11"/>
      <c r="AO623" s="11"/>
      <c r="AP623" s="2" t="s">
        <v>70</v>
      </c>
      <c r="AQ623" s="11" t="str">
        <f>IF(I623&lt;&gt;"",DATA!D622,"")</f>
        <v>8541430000</v>
      </c>
    </row>
    <row r="624" spans="1:43" ht="15.75" x14ac:dyDescent="0.25">
      <c r="A624" s="11" t="s">
        <v>57</v>
      </c>
      <c r="B624" s="11" t="s">
        <v>56</v>
      </c>
      <c r="C624" s="22">
        <f t="shared" si="42"/>
        <v>25001620</v>
      </c>
      <c r="D624" s="11" t="str">
        <f t="shared" si="39"/>
        <v>SKIIFM_AT</v>
      </c>
      <c r="E624" s="11" t="str">
        <f>IF(I624&lt;&gt;"",VLOOKUP(F624,OPDRACHTGEVER!$A$2:$B$4,2,FALSE),"")</f>
        <v>SKIIFM_AT</v>
      </c>
      <c r="F624" s="11" t="s">
        <v>58</v>
      </c>
      <c r="I624" s="11" t="str">
        <f>IF(DATA!B623&lt;&gt;"",DATA!B623,"")</f>
        <v>CXDU2168102</v>
      </c>
      <c r="J624" s="12">
        <v>0</v>
      </c>
      <c r="K624" s="11" t="s">
        <v>53</v>
      </c>
      <c r="L624" s="11" t="str">
        <f t="shared" si="40"/>
        <v>940549</v>
      </c>
      <c r="M624" s="11" t="str">
        <f>IF(I624&lt;&gt;"",DATA!E623,"")</f>
        <v>SPLICED GARAGE LIGHTS</v>
      </c>
      <c r="N624" s="12">
        <v>0</v>
      </c>
      <c r="O624" s="11">
        <f>IF(I624&lt;&gt;"",DATA!C623,"")</f>
        <v>35</v>
      </c>
      <c r="P624" s="2">
        <v>294094</v>
      </c>
      <c r="Q624" s="2" t="s">
        <v>1304</v>
      </c>
      <c r="R624" s="2" t="s">
        <v>1318</v>
      </c>
      <c r="S624" s="2">
        <v>582</v>
      </c>
      <c r="T624" s="2">
        <v>1</v>
      </c>
      <c r="U624" s="2" t="s">
        <v>141</v>
      </c>
      <c r="Y624" s="2">
        <v>1700</v>
      </c>
      <c r="Z624" s="11" t="s">
        <v>54</v>
      </c>
      <c r="AA624" s="11" t="str">
        <f t="shared" si="41"/>
        <v>1700 - TBN</v>
      </c>
      <c r="AC624" s="2" t="s">
        <v>145</v>
      </c>
      <c r="AD624" s="11" t="str">
        <f>IF($I624&lt;&gt;"",VLOOKUP($AC624,GEADRESSEERDE!$A$2:$E$4,2,),"")</f>
        <v>LUITHAGEN HAVEN 2 D</v>
      </c>
      <c r="AE624" s="11">
        <f>IF($I624&lt;&gt;"",VLOOKUP($AC624,GEADRESSEERDE!$A$2:$E$4,3,),"")</f>
        <v>2030</v>
      </c>
      <c r="AF624" s="11" t="str">
        <f>IF($I624&lt;&gt;"",VLOOKUP($AC624,GEADRESSEERDE!$A$2:$E$4,4,),"")</f>
        <v>ANTWERPEN</v>
      </c>
      <c r="AG624" s="11" t="str">
        <f>IF($I624&lt;&gt;"",VLOOKUP($AC624,GEADRESSEERDE!$A$2:$E$4,5,),"")</f>
        <v>BE</v>
      </c>
      <c r="AH624" s="11" t="str">
        <f>IF(I624&lt;&gt;"",VLOOKUP(AP624,KvB!$A$2:$B$3,2,FALSE),"")</f>
        <v>BE101000</v>
      </c>
      <c r="AI624" s="11" t="s">
        <v>55</v>
      </c>
      <c r="AJ624" s="11"/>
      <c r="AK624" s="11"/>
      <c r="AL624" s="11"/>
      <c r="AM624" s="11"/>
      <c r="AN624" s="11"/>
      <c r="AO624" s="11"/>
      <c r="AP624" s="2" t="s">
        <v>70</v>
      </c>
      <c r="AQ624" s="11" t="str">
        <f>IF(I624&lt;&gt;"",DATA!D623,"")</f>
        <v>9405499090</v>
      </c>
    </row>
    <row r="625" spans="1:43" ht="15.75" x14ac:dyDescent="0.25">
      <c r="A625" s="11" t="s">
        <v>57</v>
      </c>
      <c r="B625" s="11" t="s">
        <v>56</v>
      </c>
      <c r="C625" s="22">
        <f t="shared" si="42"/>
        <v>25001620</v>
      </c>
      <c r="D625" s="11" t="str">
        <f t="shared" si="39"/>
        <v>SKIIFM_AT</v>
      </c>
      <c r="E625" s="11" t="str">
        <f>IF(I625&lt;&gt;"",VLOOKUP(F625,OPDRACHTGEVER!$A$2:$B$4,2,FALSE),"")</f>
        <v>SKIIFM_AT</v>
      </c>
      <c r="F625" s="11" t="s">
        <v>58</v>
      </c>
      <c r="I625" s="11" t="str">
        <f>IF(DATA!B624&lt;&gt;"",DATA!B624,"")</f>
        <v>CXDU2168102</v>
      </c>
      <c r="J625" s="12">
        <v>0</v>
      </c>
      <c r="K625" s="11" t="s">
        <v>53</v>
      </c>
      <c r="L625" s="11" t="str">
        <f t="shared" si="40"/>
        <v>741920</v>
      </c>
      <c r="M625" s="11" t="str">
        <f>IF(I625&lt;&gt;"",DATA!E624,"")</f>
        <v>STEAMER</v>
      </c>
      <c r="N625" s="12">
        <v>0</v>
      </c>
      <c r="O625" s="11">
        <f>IF(I625&lt;&gt;"",DATA!C624,"")</f>
        <v>114.2</v>
      </c>
      <c r="P625" s="2">
        <v>294094</v>
      </c>
      <c r="Q625" s="2" t="s">
        <v>1304</v>
      </c>
      <c r="R625" s="2" t="s">
        <v>1318</v>
      </c>
      <c r="S625" s="2">
        <v>582</v>
      </c>
      <c r="T625" s="2">
        <v>1</v>
      </c>
      <c r="U625" s="2" t="s">
        <v>141</v>
      </c>
      <c r="Y625" s="2">
        <v>1700</v>
      </c>
      <c r="Z625" s="11" t="s">
        <v>54</v>
      </c>
      <c r="AA625" s="11" t="str">
        <f t="shared" si="41"/>
        <v>1700 - TBN</v>
      </c>
      <c r="AC625" s="2" t="s">
        <v>145</v>
      </c>
      <c r="AD625" s="11" t="str">
        <f>IF($I625&lt;&gt;"",VLOOKUP($AC625,GEADRESSEERDE!$A$2:$E$4,2,),"")</f>
        <v>LUITHAGEN HAVEN 2 D</v>
      </c>
      <c r="AE625" s="11">
        <f>IF($I625&lt;&gt;"",VLOOKUP($AC625,GEADRESSEERDE!$A$2:$E$4,3,),"")</f>
        <v>2030</v>
      </c>
      <c r="AF625" s="11" t="str">
        <f>IF($I625&lt;&gt;"",VLOOKUP($AC625,GEADRESSEERDE!$A$2:$E$4,4,),"")</f>
        <v>ANTWERPEN</v>
      </c>
      <c r="AG625" s="11" t="str">
        <f>IF($I625&lt;&gt;"",VLOOKUP($AC625,GEADRESSEERDE!$A$2:$E$4,5,),"")</f>
        <v>BE</v>
      </c>
      <c r="AH625" s="11" t="str">
        <f>IF(I625&lt;&gt;"",VLOOKUP(AP625,KvB!$A$2:$B$3,2,FALSE),"")</f>
        <v>BE101000</v>
      </c>
      <c r="AI625" s="11" t="s">
        <v>55</v>
      </c>
      <c r="AJ625" s="11"/>
      <c r="AK625" s="11"/>
      <c r="AL625" s="11"/>
      <c r="AM625" s="11"/>
      <c r="AN625" s="11"/>
      <c r="AO625" s="11"/>
      <c r="AP625" s="2" t="s">
        <v>70</v>
      </c>
      <c r="AQ625" s="11" t="str">
        <f>IF(I625&lt;&gt;"",DATA!D624,"")</f>
        <v>7419200090</v>
      </c>
    </row>
    <row r="626" spans="1:43" ht="15.75" x14ac:dyDescent="0.25">
      <c r="A626" s="11" t="s">
        <v>57</v>
      </c>
      <c r="B626" s="11" t="s">
        <v>56</v>
      </c>
      <c r="C626" s="22">
        <f t="shared" si="42"/>
        <v>25001620</v>
      </c>
      <c r="D626" s="11" t="str">
        <f t="shared" si="39"/>
        <v>SKIIFM_AT</v>
      </c>
      <c r="E626" s="11" t="str">
        <f>IF(I626&lt;&gt;"",VLOOKUP(F626,OPDRACHTGEVER!$A$2:$B$4,2,FALSE),"")</f>
        <v>SKIIFM_AT</v>
      </c>
      <c r="F626" s="11" t="s">
        <v>58</v>
      </c>
      <c r="I626" s="11" t="str">
        <f>IF(DATA!B625&lt;&gt;"",DATA!B625,"")</f>
        <v>CXDU2168102</v>
      </c>
      <c r="J626" s="12">
        <v>0</v>
      </c>
      <c r="K626" s="11" t="s">
        <v>53</v>
      </c>
      <c r="L626" s="11" t="str">
        <f t="shared" si="40"/>
        <v>420212</v>
      </c>
      <c r="M626" s="11" t="str">
        <f>IF(I626&lt;&gt;"",DATA!E625,"")</f>
        <v>STORAGE BAG</v>
      </c>
      <c r="N626" s="12">
        <v>0</v>
      </c>
      <c r="O626" s="11">
        <f>IF(I626&lt;&gt;"",DATA!C625,"")</f>
        <v>42</v>
      </c>
      <c r="P626" s="2">
        <v>294094</v>
      </c>
      <c r="Q626" s="2" t="s">
        <v>1304</v>
      </c>
      <c r="R626" s="2" t="s">
        <v>1318</v>
      </c>
      <c r="S626" s="2">
        <v>582</v>
      </c>
      <c r="T626" s="2">
        <v>1</v>
      </c>
      <c r="U626" s="2" t="s">
        <v>141</v>
      </c>
      <c r="Y626" s="2">
        <v>1700</v>
      </c>
      <c r="Z626" s="11" t="s">
        <v>54</v>
      </c>
      <c r="AA626" s="11" t="str">
        <f t="shared" si="41"/>
        <v>1700 - TBN</v>
      </c>
      <c r="AC626" s="2" t="s">
        <v>145</v>
      </c>
      <c r="AD626" s="11" t="str">
        <f>IF($I626&lt;&gt;"",VLOOKUP($AC626,GEADRESSEERDE!$A$2:$E$4,2,),"")</f>
        <v>LUITHAGEN HAVEN 2 D</v>
      </c>
      <c r="AE626" s="11">
        <f>IF($I626&lt;&gt;"",VLOOKUP($AC626,GEADRESSEERDE!$A$2:$E$4,3,),"")</f>
        <v>2030</v>
      </c>
      <c r="AF626" s="11" t="str">
        <f>IF($I626&lt;&gt;"",VLOOKUP($AC626,GEADRESSEERDE!$A$2:$E$4,4,),"")</f>
        <v>ANTWERPEN</v>
      </c>
      <c r="AG626" s="11" t="str">
        <f>IF($I626&lt;&gt;"",VLOOKUP($AC626,GEADRESSEERDE!$A$2:$E$4,5,),"")</f>
        <v>BE</v>
      </c>
      <c r="AH626" s="11" t="str">
        <f>IF(I626&lt;&gt;"",VLOOKUP(AP626,KvB!$A$2:$B$3,2,FALSE),"")</f>
        <v>BE101000</v>
      </c>
      <c r="AI626" s="11" t="s">
        <v>55</v>
      </c>
      <c r="AJ626" s="11"/>
      <c r="AK626" s="11"/>
      <c r="AL626" s="11"/>
      <c r="AM626" s="11"/>
      <c r="AN626" s="11"/>
      <c r="AO626" s="11"/>
      <c r="AP626" s="2" t="s">
        <v>70</v>
      </c>
      <c r="AQ626" s="11" t="str">
        <f>IF(I626&lt;&gt;"",DATA!D625,"")</f>
        <v>4202129990</v>
      </c>
    </row>
    <row r="627" spans="1:43" ht="15.75" x14ac:dyDescent="0.25">
      <c r="A627" s="11" t="s">
        <v>57</v>
      </c>
      <c r="B627" s="11" t="s">
        <v>56</v>
      </c>
      <c r="C627" s="22">
        <f t="shared" si="42"/>
        <v>25001620</v>
      </c>
      <c r="D627" s="11" t="str">
        <f t="shared" si="39"/>
        <v>SKIIFM_AT</v>
      </c>
      <c r="E627" s="11" t="str">
        <f>IF(I627&lt;&gt;"",VLOOKUP(F627,OPDRACHTGEVER!$A$2:$B$4,2,FALSE),"")</f>
        <v>SKIIFM_AT</v>
      </c>
      <c r="F627" s="11" t="s">
        <v>58</v>
      </c>
      <c r="I627" s="11" t="str">
        <f>IF(DATA!B626&lt;&gt;"",DATA!B626,"")</f>
        <v>CXDU2168102</v>
      </c>
      <c r="J627" s="12">
        <v>0</v>
      </c>
      <c r="K627" s="11" t="s">
        <v>53</v>
      </c>
      <c r="L627" s="11" t="str">
        <f t="shared" si="40"/>
        <v>820559</v>
      </c>
      <c r="M627" s="11" t="str">
        <f>IF(I627&lt;&gt;"",DATA!E626,"")</f>
        <v>TABLE SAW MITER GAUGE</v>
      </c>
      <c r="N627" s="12">
        <v>0</v>
      </c>
      <c r="O627" s="11">
        <f>IF(I627&lt;&gt;"",DATA!C626,"")</f>
        <v>43.7</v>
      </c>
      <c r="P627" s="2">
        <v>294094</v>
      </c>
      <c r="Q627" s="2" t="s">
        <v>1304</v>
      </c>
      <c r="R627" s="2" t="s">
        <v>1318</v>
      </c>
      <c r="S627" s="2">
        <v>582</v>
      </c>
      <c r="T627" s="2">
        <v>1</v>
      </c>
      <c r="U627" s="2" t="s">
        <v>141</v>
      </c>
      <c r="Y627" s="2">
        <v>1700</v>
      </c>
      <c r="Z627" s="11" t="s">
        <v>54</v>
      </c>
      <c r="AA627" s="11" t="str">
        <f t="shared" si="41"/>
        <v>1700 - TBN</v>
      </c>
      <c r="AC627" s="2" t="s">
        <v>145</v>
      </c>
      <c r="AD627" s="11" t="str">
        <f>IF($I627&lt;&gt;"",VLOOKUP($AC627,GEADRESSEERDE!$A$2:$E$4,2,),"")</f>
        <v>LUITHAGEN HAVEN 2 D</v>
      </c>
      <c r="AE627" s="11">
        <f>IF($I627&lt;&gt;"",VLOOKUP($AC627,GEADRESSEERDE!$A$2:$E$4,3,),"")</f>
        <v>2030</v>
      </c>
      <c r="AF627" s="11" t="str">
        <f>IF($I627&lt;&gt;"",VLOOKUP($AC627,GEADRESSEERDE!$A$2:$E$4,4,),"")</f>
        <v>ANTWERPEN</v>
      </c>
      <c r="AG627" s="11" t="str">
        <f>IF($I627&lt;&gt;"",VLOOKUP($AC627,GEADRESSEERDE!$A$2:$E$4,5,),"")</f>
        <v>BE</v>
      </c>
      <c r="AH627" s="11" t="str">
        <f>IF(I627&lt;&gt;"",VLOOKUP(AP627,KvB!$A$2:$B$3,2,FALSE),"")</f>
        <v>BE101000</v>
      </c>
      <c r="AI627" s="11" t="s">
        <v>55</v>
      </c>
      <c r="AJ627" s="11"/>
      <c r="AK627" s="11"/>
      <c r="AL627" s="11"/>
      <c r="AM627" s="11"/>
      <c r="AN627" s="11"/>
      <c r="AO627" s="11"/>
      <c r="AP627" s="2" t="s">
        <v>70</v>
      </c>
      <c r="AQ627" s="11" t="str">
        <f>IF(I627&lt;&gt;"",DATA!D626,"")</f>
        <v>8205598000</v>
      </c>
    </row>
    <row r="628" spans="1:43" ht="15.75" x14ac:dyDescent="0.25">
      <c r="A628" s="11" t="s">
        <v>57</v>
      </c>
      <c r="B628" s="11" t="s">
        <v>56</v>
      </c>
      <c r="C628" s="22">
        <f t="shared" si="42"/>
        <v>25001620</v>
      </c>
      <c r="D628" s="11" t="str">
        <f t="shared" ref="D628:D691" si="43">E628</f>
        <v>SKIIFM_AT</v>
      </c>
      <c r="E628" s="11" t="str">
        <f>IF(I628&lt;&gt;"",VLOOKUP(F628,OPDRACHTGEVER!$A$2:$B$4,2,FALSE),"")</f>
        <v>SKIIFM_AT</v>
      </c>
      <c r="F628" s="11" t="s">
        <v>58</v>
      </c>
      <c r="I628" s="11" t="str">
        <f>IF(DATA!B627&lt;&gt;"",DATA!B627,"")</f>
        <v>CXDU2168102</v>
      </c>
      <c r="J628" s="12">
        <v>0</v>
      </c>
      <c r="K628" s="11" t="s">
        <v>53</v>
      </c>
      <c r="L628" s="11" t="str">
        <f t="shared" ref="L628:L691" si="44">LEFT(AQ628,6)</f>
        <v>950691</v>
      </c>
      <c r="M628" s="11" t="str">
        <f>IF(I628&lt;&gt;"",DATA!E627,"")</f>
        <v>TUMBLING MAT</v>
      </c>
      <c r="N628" s="12">
        <v>0</v>
      </c>
      <c r="O628" s="11">
        <f>IF(I628&lt;&gt;"",DATA!C627,"")</f>
        <v>175.2</v>
      </c>
      <c r="P628" s="2">
        <v>294094</v>
      </c>
      <c r="Q628" s="2" t="s">
        <v>1304</v>
      </c>
      <c r="R628" s="2" t="s">
        <v>1318</v>
      </c>
      <c r="S628" s="2">
        <v>582</v>
      </c>
      <c r="T628" s="2">
        <v>1</v>
      </c>
      <c r="U628" s="2" t="s">
        <v>141</v>
      </c>
      <c r="Y628" s="2">
        <v>1700</v>
      </c>
      <c r="Z628" s="11" t="s">
        <v>54</v>
      </c>
      <c r="AA628" s="11" t="str">
        <f t="shared" ref="AA628:AA691" si="45">IF(I628&lt;&gt;"",Y628&amp;" - "&amp;Z628,"")</f>
        <v>1700 - TBN</v>
      </c>
      <c r="AC628" s="2" t="s">
        <v>145</v>
      </c>
      <c r="AD628" s="11" t="str">
        <f>IF($I628&lt;&gt;"",VLOOKUP($AC628,GEADRESSEERDE!$A$2:$E$4,2,),"")</f>
        <v>LUITHAGEN HAVEN 2 D</v>
      </c>
      <c r="AE628" s="11">
        <f>IF($I628&lt;&gt;"",VLOOKUP($AC628,GEADRESSEERDE!$A$2:$E$4,3,),"")</f>
        <v>2030</v>
      </c>
      <c r="AF628" s="11" t="str">
        <f>IF($I628&lt;&gt;"",VLOOKUP($AC628,GEADRESSEERDE!$A$2:$E$4,4,),"")</f>
        <v>ANTWERPEN</v>
      </c>
      <c r="AG628" s="11" t="str">
        <f>IF($I628&lt;&gt;"",VLOOKUP($AC628,GEADRESSEERDE!$A$2:$E$4,5,),"")</f>
        <v>BE</v>
      </c>
      <c r="AH628" s="11" t="str">
        <f>IF(I628&lt;&gt;"",VLOOKUP(AP628,KvB!$A$2:$B$3,2,FALSE),"")</f>
        <v>BE101000</v>
      </c>
      <c r="AI628" s="11" t="s">
        <v>55</v>
      </c>
      <c r="AJ628" s="11"/>
      <c r="AK628" s="11"/>
      <c r="AL628" s="11"/>
      <c r="AM628" s="11"/>
      <c r="AN628" s="11"/>
      <c r="AO628" s="11"/>
      <c r="AP628" s="2" t="s">
        <v>70</v>
      </c>
      <c r="AQ628" s="11" t="str">
        <f>IF(I628&lt;&gt;"",DATA!D627,"")</f>
        <v>9506919000</v>
      </c>
    </row>
    <row r="629" spans="1:43" ht="15.75" x14ac:dyDescent="0.25">
      <c r="A629" s="11" t="s">
        <v>57</v>
      </c>
      <c r="B629" s="11" t="s">
        <v>56</v>
      </c>
      <c r="C629" s="22">
        <f t="shared" si="42"/>
        <v>25001620</v>
      </c>
      <c r="D629" s="11" t="str">
        <f t="shared" si="43"/>
        <v>SKIIFM_AT</v>
      </c>
      <c r="E629" s="11" t="str">
        <f>IF(I629&lt;&gt;"",VLOOKUP(F629,OPDRACHTGEVER!$A$2:$B$4,2,FALSE),"")</f>
        <v>SKIIFM_AT</v>
      </c>
      <c r="F629" s="11" t="s">
        <v>58</v>
      </c>
      <c r="I629" s="11" t="str">
        <f>IF(DATA!B628&lt;&gt;"",DATA!B628,"")</f>
        <v>CXDU2168102</v>
      </c>
      <c r="J629" s="12">
        <v>0</v>
      </c>
      <c r="K629" s="11" t="s">
        <v>53</v>
      </c>
      <c r="L629" s="11" t="str">
        <f t="shared" si="44"/>
        <v>841830</v>
      </c>
      <c r="M629" s="11" t="str">
        <f>IF(I629&lt;&gt;"",DATA!E628,"")</f>
        <v>VEHICLE REFRIGERATOR</v>
      </c>
      <c r="N629" s="12">
        <v>0</v>
      </c>
      <c r="O629" s="11">
        <f>IF(I629&lt;&gt;"",DATA!C628,"")</f>
        <v>979.6</v>
      </c>
      <c r="P629" s="2">
        <v>294094</v>
      </c>
      <c r="Q629" s="2" t="s">
        <v>1304</v>
      </c>
      <c r="R629" s="2" t="s">
        <v>1318</v>
      </c>
      <c r="S629" s="2">
        <v>582</v>
      </c>
      <c r="T629" s="2">
        <v>1</v>
      </c>
      <c r="U629" s="2" t="s">
        <v>141</v>
      </c>
      <c r="Y629" s="2">
        <v>1700</v>
      </c>
      <c r="Z629" s="11" t="s">
        <v>54</v>
      </c>
      <c r="AA629" s="11" t="str">
        <f t="shared" si="45"/>
        <v>1700 - TBN</v>
      </c>
      <c r="AC629" s="2" t="s">
        <v>145</v>
      </c>
      <c r="AD629" s="11" t="str">
        <f>IF($I629&lt;&gt;"",VLOOKUP($AC629,GEADRESSEERDE!$A$2:$E$4,2,),"")</f>
        <v>LUITHAGEN HAVEN 2 D</v>
      </c>
      <c r="AE629" s="11">
        <f>IF($I629&lt;&gt;"",VLOOKUP($AC629,GEADRESSEERDE!$A$2:$E$4,3,),"")</f>
        <v>2030</v>
      </c>
      <c r="AF629" s="11" t="str">
        <f>IF($I629&lt;&gt;"",VLOOKUP($AC629,GEADRESSEERDE!$A$2:$E$4,4,),"")</f>
        <v>ANTWERPEN</v>
      </c>
      <c r="AG629" s="11" t="str">
        <f>IF($I629&lt;&gt;"",VLOOKUP($AC629,GEADRESSEERDE!$A$2:$E$4,5,),"")</f>
        <v>BE</v>
      </c>
      <c r="AH629" s="11" t="str">
        <f>IF(I629&lt;&gt;"",VLOOKUP(AP629,KvB!$A$2:$B$3,2,FALSE),"")</f>
        <v>BE101000</v>
      </c>
      <c r="AI629" s="11" t="s">
        <v>55</v>
      </c>
      <c r="AJ629" s="11"/>
      <c r="AK629" s="11"/>
      <c r="AL629" s="11"/>
      <c r="AM629" s="11"/>
      <c r="AN629" s="11"/>
      <c r="AO629" s="11"/>
      <c r="AP629" s="2" t="s">
        <v>70</v>
      </c>
      <c r="AQ629" s="11" t="str">
        <f>IF(I629&lt;&gt;"",DATA!D628,"")</f>
        <v>8418302099</v>
      </c>
    </row>
    <row r="630" spans="1:43" ht="15.75" x14ac:dyDescent="0.25">
      <c r="A630" s="11" t="s">
        <v>57</v>
      </c>
      <c r="B630" s="11" t="s">
        <v>56</v>
      </c>
      <c r="C630" s="22">
        <f t="shared" si="42"/>
        <v>25001620</v>
      </c>
      <c r="D630" s="11" t="str">
        <f t="shared" si="43"/>
        <v>SKIIFM_AT</v>
      </c>
      <c r="E630" s="11" t="str">
        <f>IF(I630&lt;&gt;"",VLOOKUP(F630,OPDRACHTGEVER!$A$2:$B$4,2,FALSE),"")</f>
        <v>SKIIFM_AT</v>
      </c>
      <c r="F630" s="11" t="s">
        <v>58</v>
      </c>
      <c r="I630" s="11" t="str">
        <f>IF(DATA!B629&lt;&gt;"",DATA!B629,"")</f>
        <v>CXDU2168102</v>
      </c>
      <c r="J630" s="12">
        <v>0</v>
      </c>
      <c r="K630" s="11" t="s">
        <v>53</v>
      </c>
      <c r="L630" s="11" t="str">
        <f t="shared" si="44"/>
        <v>851672</v>
      </c>
      <c r="M630" s="11" t="str">
        <f>IF(I630&lt;&gt;"",DATA!E629,"")</f>
        <v>WAFFLE CAKE MACHINE</v>
      </c>
      <c r="N630" s="12">
        <v>0</v>
      </c>
      <c r="O630" s="11">
        <f>IF(I630&lt;&gt;"",DATA!C629,"")</f>
        <v>353.6</v>
      </c>
      <c r="P630" s="2">
        <v>294094</v>
      </c>
      <c r="Q630" s="2" t="s">
        <v>1304</v>
      </c>
      <c r="R630" s="2" t="s">
        <v>1318</v>
      </c>
      <c r="S630" s="2">
        <v>582</v>
      </c>
      <c r="T630" s="2">
        <v>1</v>
      </c>
      <c r="U630" s="2" t="s">
        <v>141</v>
      </c>
      <c r="Y630" s="2">
        <v>1700</v>
      </c>
      <c r="Z630" s="11" t="s">
        <v>54</v>
      </c>
      <c r="AA630" s="11" t="str">
        <f t="shared" si="45"/>
        <v>1700 - TBN</v>
      </c>
      <c r="AC630" s="2" t="s">
        <v>145</v>
      </c>
      <c r="AD630" s="11" t="str">
        <f>IF($I630&lt;&gt;"",VLOOKUP($AC630,GEADRESSEERDE!$A$2:$E$4,2,),"")</f>
        <v>LUITHAGEN HAVEN 2 D</v>
      </c>
      <c r="AE630" s="11">
        <f>IF($I630&lt;&gt;"",VLOOKUP($AC630,GEADRESSEERDE!$A$2:$E$4,3,),"")</f>
        <v>2030</v>
      </c>
      <c r="AF630" s="11" t="str">
        <f>IF($I630&lt;&gt;"",VLOOKUP($AC630,GEADRESSEERDE!$A$2:$E$4,4,),"")</f>
        <v>ANTWERPEN</v>
      </c>
      <c r="AG630" s="11" t="str">
        <f>IF($I630&lt;&gt;"",VLOOKUP($AC630,GEADRESSEERDE!$A$2:$E$4,5,),"")</f>
        <v>BE</v>
      </c>
      <c r="AH630" s="11" t="str">
        <f>IF(I630&lt;&gt;"",VLOOKUP(AP630,KvB!$A$2:$B$3,2,FALSE),"")</f>
        <v>BE101000</v>
      </c>
      <c r="AI630" s="11" t="s">
        <v>55</v>
      </c>
      <c r="AJ630" s="11"/>
      <c r="AK630" s="11"/>
      <c r="AL630" s="11"/>
      <c r="AM630" s="11"/>
      <c r="AN630" s="11"/>
      <c r="AO630" s="11"/>
      <c r="AP630" s="2" t="s">
        <v>70</v>
      </c>
      <c r="AQ630" s="11" t="str">
        <f>IF(I630&lt;&gt;"",DATA!D629,"")</f>
        <v>8516720000</v>
      </c>
    </row>
    <row r="631" spans="1:43" ht="15.75" x14ac:dyDescent="0.25">
      <c r="A631" s="11" t="s">
        <v>57</v>
      </c>
      <c r="B631" s="11" t="s">
        <v>56</v>
      </c>
      <c r="C631" s="22">
        <f t="shared" si="42"/>
        <v>25001620</v>
      </c>
      <c r="D631" s="11" t="str">
        <f t="shared" si="43"/>
        <v>SKIIFM_AT</v>
      </c>
      <c r="E631" s="11" t="str">
        <f>IF(I631&lt;&gt;"",VLOOKUP(F631,OPDRACHTGEVER!$A$2:$B$4,2,FALSE),"")</f>
        <v>SKIIFM_AT</v>
      </c>
      <c r="F631" s="11" t="s">
        <v>58</v>
      </c>
      <c r="I631" s="11" t="str">
        <f>IF(DATA!B630&lt;&gt;"",DATA!B630,"")</f>
        <v>CXDU2168102</v>
      </c>
      <c r="J631" s="12">
        <v>0</v>
      </c>
      <c r="K631" s="11" t="s">
        <v>53</v>
      </c>
      <c r="L631" s="11" t="str">
        <f t="shared" si="44"/>
        <v>841350</v>
      </c>
      <c r="M631" s="11" t="str">
        <f>IF(I631&lt;&gt;"",DATA!E630,"")</f>
        <v>WATER PUMP</v>
      </c>
      <c r="N631" s="12">
        <v>0</v>
      </c>
      <c r="O631" s="11">
        <f>IF(I631&lt;&gt;"",DATA!C630,"")</f>
        <v>91.3</v>
      </c>
      <c r="P631" s="2">
        <v>294094</v>
      </c>
      <c r="Q631" s="2" t="s">
        <v>1304</v>
      </c>
      <c r="R631" s="2" t="s">
        <v>1318</v>
      </c>
      <c r="S631" s="2">
        <v>582</v>
      </c>
      <c r="T631" s="2">
        <v>1</v>
      </c>
      <c r="U631" s="2" t="s">
        <v>141</v>
      </c>
      <c r="Y631" s="2">
        <v>1700</v>
      </c>
      <c r="Z631" s="11" t="s">
        <v>54</v>
      </c>
      <c r="AA631" s="11" t="str">
        <f t="shared" si="45"/>
        <v>1700 - TBN</v>
      </c>
      <c r="AC631" s="2" t="s">
        <v>145</v>
      </c>
      <c r="AD631" s="11" t="str">
        <f>IF($I631&lt;&gt;"",VLOOKUP($AC631,GEADRESSEERDE!$A$2:$E$4,2,),"")</f>
        <v>LUITHAGEN HAVEN 2 D</v>
      </c>
      <c r="AE631" s="11">
        <f>IF($I631&lt;&gt;"",VLOOKUP($AC631,GEADRESSEERDE!$A$2:$E$4,3,),"")</f>
        <v>2030</v>
      </c>
      <c r="AF631" s="11" t="str">
        <f>IF($I631&lt;&gt;"",VLOOKUP($AC631,GEADRESSEERDE!$A$2:$E$4,4,),"")</f>
        <v>ANTWERPEN</v>
      </c>
      <c r="AG631" s="11" t="str">
        <f>IF($I631&lt;&gt;"",VLOOKUP($AC631,GEADRESSEERDE!$A$2:$E$4,5,),"")</f>
        <v>BE</v>
      </c>
      <c r="AH631" s="11" t="str">
        <f>IF(I631&lt;&gt;"",VLOOKUP(AP631,KvB!$A$2:$B$3,2,FALSE),"")</f>
        <v>BE101000</v>
      </c>
      <c r="AI631" s="11" t="s">
        <v>55</v>
      </c>
      <c r="AJ631" s="11"/>
      <c r="AK631" s="11"/>
      <c r="AL631" s="11"/>
      <c r="AM631" s="11"/>
      <c r="AN631" s="11"/>
      <c r="AO631" s="11"/>
      <c r="AP631" s="2" t="s">
        <v>70</v>
      </c>
      <c r="AQ631" s="11" t="str">
        <f>IF(I631&lt;&gt;"",DATA!D630,"")</f>
        <v>8413502090</v>
      </c>
    </row>
    <row r="632" spans="1:43" ht="15.75" x14ac:dyDescent="0.25">
      <c r="A632" s="11" t="s">
        <v>57</v>
      </c>
      <c r="B632" s="11" t="s">
        <v>56</v>
      </c>
      <c r="C632" s="22">
        <f t="shared" si="42"/>
        <v>25001620</v>
      </c>
      <c r="D632" s="11" t="str">
        <f t="shared" si="43"/>
        <v>SKIIFM_AT</v>
      </c>
      <c r="E632" s="11" t="str">
        <f>IF(I632&lt;&gt;"",VLOOKUP(F632,OPDRACHTGEVER!$A$2:$B$4,2,FALSE),"")</f>
        <v>SKIIFM_AT</v>
      </c>
      <c r="F632" s="11" t="s">
        <v>58</v>
      </c>
      <c r="I632" s="11" t="str">
        <f>IF(DATA!B631&lt;&gt;"",DATA!B631,"")</f>
        <v>CXDU2168102</v>
      </c>
      <c r="J632" s="12">
        <v>0</v>
      </c>
      <c r="K632" s="11" t="s">
        <v>53</v>
      </c>
      <c r="L632" s="11" t="str">
        <f t="shared" si="44"/>
        <v>420212</v>
      </c>
      <c r="M632" s="11" t="str">
        <f>IF(I632&lt;&gt;"",DATA!E631,"")</f>
        <v>WEATHERPROOF TROLLEY BOX</v>
      </c>
      <c r="N632" s="12">
        <v>0</v>
      </c>
      <c r="O632" s="11">
        <f>IF(I632&lt;&gt;"",DATA!C631,"")</f>
        <v>66</v>
      </c>
      <c r="P632" s="2">
        <v>294094</v>
      </c>
      <c r="Q632" s="2" t="s">
        <v>1304</v>
      </c>
      <c r="R632" s="2" t="s">
        <v>1318</v>
      </c>
      <c r="S632" s="2">
        <v>582</v>
      </c>
      <c r="T632" s="2">
        <v>1</v>
      </c>
      <c r="U632" s="2" t="s">
        <v>141</v>
      </c>
      <c r="Y632" s="2">
        <v>1700</v>
      </c>
      <c r="Z632" s="11" t="s">
        <v>54</v>
      </c>
      <c r="AA632" s="11" t="str">
        <f t="shared" si="45"/>
        <v>1700 - TBN</v>
      </c>
      <c r="AC632" s="2" t="s">
        <v>145</v>
      </c>
      <c r="AD632" s="11" t="str">
        <f>IF($I632&lt;&gt;"",VLOOKUP($AC632,GEADRESSEERDE!$A$2:$E$4,2,),"")</f>
        <v>LUITHAGEN HAVEN 2 D</v>
      </c>
      <c r="AE632" s="11">
        <f>IF($I632&lt;&gt;"",VLOOKUP($AC632,GEADRESSEERDE!$A$2:$E$4,3,),"")</f>
        <v>2030</v>
      </c>
      <c r="AF632" s="11" t="str">
        <f>IF($I632&lt;&gt;"",VLOOKUP($AC632,GEADRESSEERDE!$A$2:$E$4,4,),"")</f>
        <v>ANTWERPEN</v>
      </c>
      <c r="AG632" s="11" t="str">
        <f>IF($I632&lt;&gt;"",VLOOKUP($AC632,GEADRESSEERDE!$A$2:$E$4,5,),"")</f>
        <v>BE</v>
      </c>
      <c r="AH632" s="11" t="str">
        <f>IF(I632&lt;&gt;"",VLOOKUP(AP632,KvB!$A$2:$B$3,2,FALSE),"")</f>
        <v>BE101000</v>
      </c>
      <c r="AI632" s="11" t="s">
        <v>55</v>
      </c>
      <c r="AJ632" s="11"/>
      <c r="AK632" s="11"/>
      <c r="AL632" s="11"/>
      <c r="AM632" s="11"/>
      <c r="AN632" s="11"/>
      <c r="AO632" s="11"/>
      <c r="AP632" s="2" t="s">
        <v>70</v>
      </c>
      <c r="AQ632" s="11" t="str">
        <f>IF(I632&lt;&gt;"",DATA!D631,"")</f>
        <v>4202125000</v>
      </c>
    </row>
    <row r="633" spans="1:43" ht="15.75" x14ac:dyDescent="0.25">
      <c r="A633" s="11" t="s">
        <v>57</v>
      </c>
      <c r="B633" s="11" t="s">
        <v>56</v>
      </c>
      <c r="C633" s="22">
        <f t="shared" si="42"/>
        <v>25001620</v>
      </c>
      <c r="D633" s="11" t="str">
        <f t="shared" si="43"/>
        <v>SKIIFM_AT</v>
      </c>
      <c r="E633" s="11" t="str">
        <f>IF(I633&lt;&gt;"",VLOOKUP(F633,OPDRACHTGEVER!$A$2:$B$4,2,FALSE),"")</f>
        <v>SKIIFM_AT</v>
      </c>
      <c r="F633" s="11" t="s">
        <v>58</v>
      </c>
      <c r="I633" s="11" t="str">
        <f>IF(DATA!B632&lt;&gt;"",DATA!B632,"")</f>
        <v>CXDU2168102</v>
      </c>
      <c r="J633" s="12">
        <v>0</v>
      </c>
      <c r="K633" s="11" t="s">
        <v>53</v>
      </c>
      <c r="L633" s="11" t="str">
        <f t="shared" si="44"/>
        <v>392690</v>
      </c>
      <c r="M633" s="11" t="str">
        <f>IF(I633&lt;&gt;"",DATA!E632,"")</f>
        <v>WITH INFLATABLE RING</v>
      </c>
      <c r="N633" s="12">
        <v>0</v>
      </c>
      <c r="O633" s="11">
        <f>IF(I633&lt;&gt;"",DATA!C632,"")</f>
        <v>96.6</v>
      </c>
      <c r="P633" s="2">
        <v>294094</v>
      </c>
      <c r="Q633" s="2" t="s">
        <v>1304</v>
      </c>
      <c r="R633" s="2" t="s">
        <v>1318</v>
      </c>
      <c r="S633" s="2">
        <v>582</v>
      </c>
      <c r="T633" s="2">
        <v>1</v>
      </c>
      <c r="U633" s="2" t="s">
        <v>141</v>
      </c>
      <c r="Y633" s="2">
        <v>1700</v>
      </c>
      <c r="Z633" s="11" t="s">
        <v>54</v>
      </c>
      <c r="AA633" s="11" t="str">
        <f t="shared" si="45"/>
        <v>1700 - TBN</v>
      </c>
      <c r="AC633" s="2" t="s">
        <v>145</v>
      </c>
      <c r="AD633" s="11" t="str">
        <f>IF($I633&lt;&gt;"",VLOOKUP($AC633,GEADRESSEERDE!$A$2:$E$4,2,),"")</f>
        <v>LUITHAGEN HAVEN 2 D</v>
      </c>
      <c r="AE633" s="11">
        <f>IF($I633&lt;&gt;"",VLOOKUP($AC633,GEADRESSEERDE!$A$2:$E$4,3,),"")</f>
        <v>2030</v>
      </c>
      <c r="AF633" s="11" t="str">
        <f>IF($I633&lt;&gt;"",VLOOKUP($AC633,GEADRESSEERDE!$A$2:$E$4,4,),"")</f>
        <v>ANTWERPEN</v>
      </c>
      <c r="AG633" s="11" t="str">
        <f>IF($I633&lt;&gt;"",VLOOKUP($AC633,GEADRESSEERDE!$A$2:$E$4,5,),"")</f>
        <v>BE</v>
      </c>
      <c r="AH633" s="11" t="str">
        <f>IF(I633&lt;&gt;"",VLOOKUP(AP633,KvB!$A$2:$B$3,2,FALSE),"")</f>
        <v>BE101000</v>
      </c>
      <c r="AI633" s="11" t="s">
        <v>55</v>
      </c>
      <c r="AJ633" s="11"/>
      <c r="AK633" s="11"/>
      <c r="AL633" s="11"/>
      <c r="AM633" s="11"/>
      <c r="AN633" s="11"/>
      <c r="AO633" s="11"/>
      <c r="AP633" s="2" t="s">
        <v>70</v>
      </c>
      <c r="AQ633" s="11" t="str">
        <f>IF(I633&lt;&gt;"",DATA!D632,"")</f>
        <v>3926909790</v>
      </c>
    </row>
    <row r="634" spans="1:43" ht="15.75" x14ac:dyDescent="0.25">
      <c r="A634" s="11" t="s">
        <v>57</v>
      </c>
      <c r="B634" s="11" t="s">
        <v>56</v>
      </c>
      <c r="C634" s="22">
        <f t="shared" si="42"/>
        <v>25001620</v>
      </c>
      <c r="D634" s="11" t="str">
        <f t="shared" si="43"/>
        <v>SKIIFM_AT</v>
      </c>
      <c r="E634" s="11" t="str">
        <f>IF(I634&lt;&gt;"",VLOOKUP(F634,OPDRACHTGEVER!$A$2:$B$4,2,FALSE),"")</f>
        <v>SKIIFM_AT</v>
      </c>
      <c r="F634" s="11" t="s">
        <v>58</v>
      </c>
      <c r="I634" s="11" t="str">
        <f>IF(DATA!B633&lt;&gt;"",DATA!B633,"")</f>
        <v>DRYU9369693</v>
      </c>
      <c r="J634" s="12">
        <v>1499</v>
      </c>
      <c r="K634" s="11" t="s">
        <v>53</v>
      </c>
      <c r="L634" s="11" t="str">
        <f t="shared" si="44"/>
        <v>940370</v>
      </c>
      <c r="M634" s="11" t="str">
        <f>IF(I634&lt;&gt;"",DATA!E633,"")</f>
        <v>ACRYLIC MOBILE PHONE CASE</v>
      </c>
      <c r="N634" s="12">
        <v>13566</v>
      </c>
      <c r="O634" s="11">
        <f>IF(I634&lt;&gt;"",DATA!C633,"")</f>
        <v>171.1</v>
      </c>
      <c r="P634" s="2">
        <v>294094</v>
      </c>
      <c r="Q634" s="2" t="s">
        <v>1304</v>
      </c>
      <c r="R634" s="2" t="s">
        <v>1319</v>
      </c>
      <c r="S634" s="2">
        <v>341</v>
      </c>
      <c r="T634" s="2">
        <v>1</v>
      </c>
      <c r="U634" s="2" t="s">
        <v>141</v>
      </c>
      <c r="Y634" s="2">
        <v>1700</v>
      </c>
      <c r="Z634" s="11" t="s">
        <v>54</v>
      </c>
      <c r="AA634" s="11" t="str">
        <f t="shared" si="45"/>
        <v>1700 - TBN</v>
      </c>
      <c r="AC634" s="2" t="s">
        <v>145</v>
      </c>
      <c r="AD634" s="11" t="str">
        <f>IF($I634&lt;&gt;"",VLOOKUP($AC634,GEADRESSEERDE!$A$2:$E$4,2,),"")</f>
        <v>LUITHAGEN HAVEN 2 D</v>
      </c>
      <c r="AE634" s="11">
        <f>IF($I634&lt;&gt;"",VLOOKUP($AC634,GEADRESSEERDE!$A$2:$E$4,3,),"")</f>
        <v>2030</v>
      </c>
      <c r="AF634" s="11" t="str">
        <f>IF($I634&lt;&gt;"",VLOOKUP($AC634,GEADRESSEERDE!$A$2:$E$4,4,),"")</f>
        <v>ANTWERPEN</v>
      </c>
      <c r="AG634" s="11" t="str">
        <f>IF($I634&lt;&gt;"",VLOOKUP($AC634,GEADRESSEERDE!$A$2:$E$4,5,),"")</f>
        <v>BE</v>
      </c>
      <c r="AH634" s="11" t="str">
        <f>IF(I634&lt;&gt;"",VLOOKUP(AP634,KvB!$A$2:$B$3,2,FALSE),"")</f>
        <v>BE101000</v>
      </c>
      <c r="AI634" s="11" t="s">
        <v>55</v>
      </c>
      <c r="AJ634" s="11"/>
      <c r="AK634" s="11"/>
      <c r="AL634" s="11"/>
      <c r="AM634" s="11"/>
      <c r="AN634" s="11"/>
      <c r="AO634" s="11"/>
      <c r="AP634" s="2" t="s">
        <v>70</v>
      </c>
      <c r="AQ634" s="11" t="str">
        <f>IF(I634&lt;&gt;"",DATA!D633,"")</f>
        <v>9403700000</v>
      </c>
    </row>
    <row r="635" spans="1:43" ht="15.75" x14ac:dyDescent="0.25">
      <c r="A635" s="11" t="s">
        <v>57</v>
      </c>
      <c r="B635" s="11" t="s">
        <v>56</v>
      </c>
      <c r="C635" s="22">
        <f t="shared" si="42"/>
        <v>25001620</v>
      </c>
      <c r="D635" s="11" t="str">
        <f t="shared" si="43"/>
        <v>SKIIFM_AT</v>
      </c>
      <c r="E635" s="11" t="str">
        <f>IF(I635&lt;&gt;"",VLOOKUP(F635,OPDRACHTGEVER!$A$2:$B$4,2,FALSE),"")</f>
        <v>SKIIFM_AT</v>
      </c>
      <c r="F635" s="11" t="s">
        <v>58</v>
      </c>
      <c r="I635" s="11" t="str">
        <f>IF(DATA!B634&lt;&gt;"",DATA!B634,"")</f>
        <v>DRYU9369693</v>
      </c>
      <c r="J635" s="12">
        <v>0</v>
      </c>
      <c r="K635" s="11" t="s">
        <v>53</v>
      </c>
      <c r="L635" s="11" t="str">
        <f t="shared" si="44"/>
        <v>848180</v>
      </c>
      <c r="M635" s="11" t="str">
        <f>IF(I635&lt;&gt;"",DATA!E634,"")</f>
        <v>ANTIFREEZE FAUCET</v>
      </c>
      <c r="N635" s="12">
        <v>0</v>
      </c>
      <c r="O635" s="11">
        <f>IF(I635&lt;&gt;"",DATA!C634,"")</f>
        <v>2.2000000000000002</v>
      </c>
      <c r="P635" s="2">
        <v>294094</v>
      </c>
      <c r="Q635" s="2" t="s">
        <v>1304</v>
      </c>
      <c r="R635" s="2" t="s">
        <v>1319</v>
      </c>
      <c r="S635" s="2">
        <v>341</v>
      </c>
      <c r="T635" s="2">
        <v>1</v>
      </c>
      <c r="U635" s="2" t="s">
        <v>141</v>
      </c>
      <c r="Y635" s="2">
        <v>1700</v>
      </c>
      <c r="Z635" s="11" t="s">
        <v>54</v>
      </c>
      <c r="AA635" s="11" t="str">
        <f t="shared" si="45"/>
        <v>1700 - TBN</v>
      </c>
      <c r="AC635" s="2" t="s">
        <v>145</v>
      </c>
      <c r="AD635" s="11" t="str">
        <f>IF($I635&lt;&gt;"",VLOOKUP($AC635,GEADRESSEERDE!$A$2:$E$4,2,),"")</f>
        <v>LUITHAGEN HAVEN 2 D</v>
      </c>
      <c r="AE635" s="11">
        <f>IF($I635&lt;&gt;"",VLOOKUP($AC635,GEADRESSEERDE!$A$2:$E$4,3,),"")</f>
        <v>2030</v>
      </c>
      <c r="AF635" s="11" t="str">
        <f>IF($I635&lt;&gt;"",VLOOKUP($AC635,GEADRESSEERDE!$A$2:$E$4,4,),"")</f>
        <v>ANTWERPEN</v>
      </c>
      <c r="AG635" s="11" t="str">
        <f>IF($I635&lt;&gt;"",VLOOKUP($AC635,GEADRESSEERDE!$A$2:$E$4,5,),"")</f>
        <v>BE</v>
      </c>
      <c r="AH635" s="11" t="str">
        <f>IF(I635&lt;&gt;"",VLOOKUP(AP635,KvB!$A$2:$B$3,2,FALSE),"")</f>
        <v>BE101000</v>
      </c>
      <c r="AI635" s="11" t="s">
        <v>55</v>
      </c>
      <c r="AJ635" s="11"/>
      <c r="AK635" s="11"/>
      <c r="AL635" s="11"/>
      <c r="AM635" s="11"/>
      <c r="AN635" s="11"/>
      <c r="AO635" s="11"/>
      <c r="AP635" s="2" t="s">
        <v>70</v>
      </c>
      <c r="AQ635" s="11" t="str">
        <f>IF(I635&lt;&gt;"",DATA!D634,"")</f>
        <v>8481809990</v>
      </c>
    </row>
    <row r="636" spans="1:43" ht="15.75" x14ac:dyDescent="0.25">
      <c r="A636" s="11" t="s">
        <v>57</v>
      </c>
      <c r="B636" s="11" t="s">
        <v>56</v>
      </c>
      <c r="C636" s="22">
        <f t="shared" si="42"/>
        <v>25001620</v>
      </c>
      <c r="D636" s="11" t="str">
        <f t="shared" si="43"/>
        <v>SKIIFM_AT</v>
      </c>
      <c r="E636" s="11" t="str">
        <f>IF(I636&lt;&gt;"",VLOOKUP(F636,OPDRACHTGEVER!$A$2:$B$4,2,FALSE),"")</f>
        <v>SKIIFM_AT</v>
      </c>
      <c r="F636" s="11" t="s">
        <v>58</v>
      </c>
      <c r="I636" s="11" t="str">
        <f>IF(DATA!B635&lt;&gt;"",DATA!B635,"")</f>
        <v>DRYU9369693</v>
      </c>
      <c r="J636" s="12">
        <v>0</v>
      </c>
      <c r="K636" s="11" t="s">
        <v>53</v>
      </c>
      <c r="L636" s="11" t="str">
        <f t="shared" si="44"/>
        <v>851660</v>
      </c>
      <c r="M636" s="11" t="str">
        <f>IF(I636&lt;&gt;"",DATA!E635,"")</f>
        <v>BARBECUE ACCESSORIES</v>
      </c>
      <c r="N636" s="12">
        <v>0</v>
      </c>
      <c r="O636" s="11">
        <f>IF(I636&lt;&gt;"",DATA!C635,"")</f>
        <v>509.5</v>
      </c>
      <c r="P636" s="2">
        <v>294094</v>
      </c>
      <c r="Q636" s="2" t="s">
        <v>1304</v>
      </c>
      <c r="R636" s="2" t="s">
        <v>1319</v>
      </c>
      <c r="S636" s="2">
        <v>341</v>
      </c>
      <c r="T636" s="2">
        <v>1</v>
      </c>
      <c r="U636" s="2" t="s">
        <v>141</v>
      </c>
      <c r="Y636" s="2">
        <v>1700</v>
      </c>
      <c r="Z636" s="11" t="s">
        <v>54</v>
      </c>
      <c r="AA636" s="11" t="str">
        <f t="shared" si="45"/>
        <v>1700 - TBN</v>
      </c>
      <c r="AC636" s="2" t="s">
        <v>145</v>
      </c>
      <c r="AD636" s="11" t="str">
        <f>IF($I636&lt;&gt;"",VLOOKUP($AC636,GEADRESSEERDE!$A$2:$E$4,2,),"")</f>
        <v>LUITHAGEN HAVEN 2 D</v>
      </c>
      <c r="AE636" s="11">
        <f>IF($I636&lt;&gt;"",VLOOKUP($AC636,GEADRESSEERDE!$A$2:$E$4,3,),"")</f>
        <v>2030</v>
      </c>
      <c r="AF636" s="11" t="str">
        <f>IF($I636&lt;&gt;"",VLOOKUP($AC636,GEADRESSEERDE!$A$2:$E$4,4,),"")</f>
        <v>ANTWERPEN</v>
      </c>
      <c r="AG636" s="11" t="str">
        <f>IF($I636&lt;&gt;"",VLOOKUP($AC636,GEADRESSEERDE!$A$2:$E$4,5,),"")</f>
        <v>BE</v>
      </c>
      <c r="AH636" s="11" t="str">
        <f>IF(I636&lt;&gt;"",VLOOKUP(AP636,KvB!$A$2:$B$3,2,FALSE),"")</f>
        <v>BE101000</v>
      </c>
      <c r="AI636" s="11" t="s">
        <v>55</v>
      </c>
      <c r="AJ636" s="11"/>
      <c r="AK636" s="11"/>
      <c r="AL636" s="11"/>
      <c r="AM636" s="11"/>
      <c r="AN636" s="11"/>
      <c r="AO636" s="11"/>
      <c r="AP636" s="2" t="s">
        <v>70</v>
      </c>
      <c r="AQ636" s="11" t="str">
        <f>IF(I636&lt;&gt;"",DATA!D635,"")</f>
        <v>8516609000</v>
      </c>
    </row>
    <row r="637" spans="1:43" ht="15.75" x14ac:dyDescent="0.25">
      <c r="A637" s="11" t="s">
        <v>57</v>
      </c>
      <c r="B637" s="11" t="s">
        <v>56</v>
      </c>
      <c r="C637" s="22">
        <f t="shared" si="42"/>
        <v>25001620</v>
      </c>
      <c r="D637" s="11" t="str">
        <f t="shared" si="43"/>
        <v>SKIIFM_AT</v>
      </c>
      <c r="E637" s="11" t="str">
        <f>IF(I637&lt;&gt;"",VLOOKUP(F637,OPDRACHTGEVER!$A$2:$B$4,2,FALSE),"")</f>
        <v>SKIIFM_AT</v>
      </c>
      <c r="F637" s="11" t="s">
        <v>58</v>
      </c>
      <c r="I637" s="11" t="str">
        <f>IF(DATA!B636&lt;&gt;"",DATA!B636,"")</f>
        <v>DRYU9369693</v>
      </c>
      <c r="J637" s="12">
        <v>0</v>
      </c>
      <c r="K637" s="11" t="s">
        <v>53</v>
      </c>
      <c r="L637" s="11" t="str">
        <f t="shared" si="44"/>
        <v>940490</v>
      </c>
      <c r="M637" s="11" t="str">
        <f>IF(I637&lt;&gt;"",DATA!E636,"")</f>
        <v>BED PADS</v>
      </c>
      <c r="N637" s="12">
        <v>0</v>
      </c>
      <c r="O637" s="11">
        <f>IF(I637&lt;&gt;"",DATA!C636,"")</f>
        <v>209.65</v>
      </c>
      <c r="P637" s="2">
        <v>294094</v>
      </c>
      <c r="Q637" s="2" t="s">
        <v>1304</v>
      </c>
      <c r="R637" s="2" t="s">
        <v>1319</v>
      </c>
      <c r="S637" s="2">
        <v>341</v>
      </c>
      <c r="T637" s="2">
        <v>1</v>
      </c>
      <c r="U637" s="2" t="s">
        <v>141</v>
      </c>
      <c r="Y637" s="2">
        <v>1700</v>
      </c>
      <c r="Z637" s="11" t="s">
        <v>54</v>
      </c>
      <c r="AA637" s="11" t="str">
        <f t="shared" si="45"/>
        <v>1700 - TBN</v>
      </c>
      <c r="AC637" s="2" t="s">
        <v>145</v>
      </c>
      <c r="AD637" s="11" t="str">
        <f>IF($I637&lt;&gt;"",VLOOKUP($AC637,GEADRESSEERDE!$A$2:$E$4,2,),"")</f>
        <v>LUITHAGEN HAVEN 2 D</v>
      </c>
      <c r="AE637" s="11">
        <f>IF($I637&lt;&gt;"",VLOOKUP($AC637,GEADRESSEERDE!$A$2:$E$4,3,),"")</f>
        <v>2030</v>
      </c>
      <c r="AF637" s="11" t="str">
        <f>IF($I637&lt;&gt;"",VLOOKUP($AC637,GEADRESSEERDE!$A$2:$E$4,4,),"")</f>
        <v>ANTWERPEN</v>
      </c>
      <c r="AG637" s="11" t="str">
        <f>IF($I637&lt;&gt;"",VLOOKUP($AC637,GEADRESSEERDE!$A$2:$E$4,5,),"")</f>
        <v>BE</v>
      </c>
      <c r="AH637" s="11" t="str">
        <f>IF(I637&lt;&gt;"",VLOOKUP(AP637,KvB!$A$2:$B$3,2,FALSE),"")</f>
        <v>BE101000</v>
      </c>
      <c r="AI637" s="11" t="s">
        <v>55</v>
      </c>
      <c r="AJ637" s="11"/>
      <c r="AK637" s="11"/>
      <c r="AL637" s="11"/>
      <c r="AM637" s="11"/>
      <c r="AN637" s="11"/>
      <c r="AO637" s="11"/>
      <c r="AP637" s="2" t="s">
        <v>70</v>
      </c>
      <c r="AQ637" s="11" t="str">
        <f>IF(I637&lt;&gt;"",DATA!D636,"")</f>
        <v>9404909000</v>
      </c>
    </row>
    <row r="638" spans="1:43" ht="15.75" x14ac:dyDescent="0.25">
      <c r="A638" s="11" t="s">
        <v>57</v>
      </c>
      <c r="B638" s="11" t="s">
        <v>56</v>
      </c>
      <c r="C638" s="22">
        <f t="shared" si="42"/>
        <v>25001620</v>
      </c>
      <c r="D638" s="11" t="str">
        <f t="shared" si="43"/>
        <v>SKIIFM_AT</v>
      </c>
      <c r="E638" s="11" t="str">
        <f>IF(I638&lt;&gt;"",VLOOKUP(F638,OPDRACHTGEVER!$A$2:$B$4,2,FALSE),"")</f>
        <v>SKIIFM_AT</v>
      </c>
      <c r="F638" s="11" t="s">
        <v>58</v>
      </c>
      <c r="I638" s="11" t="str">
        <f>IF(DATA!B637&lt;&gt;"",DATA!B637,"")</f>
        <v>DRYU9369693</v>
      </c>
      <c r="J638" s="12">
        <v>0</v>
      </c>
      <c r="K638" s="11" t="s">
        <v>53</v>
      </c>
      <c r="L638" s="11" t="str">
        <f t="shared" si="44"/>
        <v>820890</v>
      </c>
      <c r="M638" s="11" t="str">
        <f>IF(I638&lt;&gt;"",DATA!E637,"")</f>
        <v>BLADE</v>
      </c>
      <c r="N638" s="12">
        <v>0</v>
      </c>
      <c r="O638" s="11">
        <f>IF(I638&lt;&gt;"",DATA!C637,"")</f>
        <v>0.7</v>
      </c>
      <c r="P638" s="2">
        <v>294094</v>
      </c>
      <c r="Q638" s="2" t="s">
        <v>1304</v>
      </c>
      <c r="R638" s="2" t="s">
        <v>1319</v>
      </c>
      <c r="S638" s="2">
        <v>341</v>
      </c>
      <c r="T638" s="2">
        <v>1</v>
      </c>
      <c r="U638" s="2" t="s">
        <v>141</v>
      </c>
      <c r="Y638" s="2">
        <v>1700</v>
      </c>
      <c r="Z638" s="11" t="s">
        <v>54</v>
      </c>
      <c r="AA638" s="11" t="str">
        <f t="shared" si="45"/>
        <v>1700 - TBN</v>
      </c>
      <c r="AC638" s="2" t="s">
        <v>145</v>
      </c>
      <c r="AD638" s="11" t="str">
        <f>IF($I638&lt;&gt;"",VLOOKUP($AC638,GEADRESSEERDE!$A$2:$E$4,2,),"")</f>
        <v>LUITHAGEN HAVEN 2 D</v>
      </c>
      <c r="AE638" s="11">
        <f>IF($I638&lt;&gt;"",VLOOKUP($AC638,GEADRESSEERDE!$A$2:$E$4,3,),"")</f>
        <v>2030</v>
      </c>
      <c r="AF638" s="11" t="str">
        <f>IF($I638&lt;&gt;"",VLOOKUP($AC638,GEADRESSEERDE!$A$2:$E$4,4,),"")</f>
        <v>ANTWERPEN</v>
      </c>
      <c r="AG638" s="11" t="str">
        <f>IF($I638&lt;&gt;"",VLOOKUP($AC638,GEADRESSEERDE!$A$2:$E$4,5,),"")</f>
        <v>BE</v>
      </c>
      <c r="AH638" s="11" t="str">
        <f>IF(I638&lt;&gt;"",VLOOKUP(AP638,KvB!$A$2:$B$3,2,FALSE),"")</f>
        <v>BE101000</v>
      </c>
      <c r="AI638" s="11" t="s">
        <v>55</v>
      </c>
      <c r="AJ638" s="11"/>
      <c r="AK638" s="11"/>
      <c r="AL638" s="11"/>
      <c r="AM638" s="11"/>
      <c r="AN638" s="11"/>
      <c r="AO638" s="11"/>
      <c r="AP638" s="2" t="s">
        <v>70</v>
      </c>
      <c r="AQ638" s="11" t="str">
        <f>IF(I638&lt;&gt;"",DATA!D637,"")</f>
        <v>8208900000</v>
      </c>
    </row>
    <row r="639" spans="1:43" ht="15.75" x14ac:dyDescent="0.25">
      <c r="A639" s="11" t="s">
        <v>57</v>
      </c>
      <c r="B639" s="11" t="s">
        <v>56</v>
      </c>
      <c r="C639" s="22">
        <f t="shared" si="42"/>
        <v>25001620</v>
      </c>
      <c r="D639" s="11" t="str">
        <f t="shared" si="43"/>
        <v>SKIIFM_AT</v>
      </c>
      <c r="E639" s="11" t="str">
        <f>IF(I639&lt;&gt;"",VLOOKUP(F639,OPDRACHTGEVER!$A$2:$B$4,2,FALSE),"")</f>
        <v>SKIIFM_AT</v>
      </c>
      <c r="F639" s="11" t="s">
        <v>58</v>
      </c>
      <c r="I639" s="11" t="str">
        <f>IF(DATA!B638&lt;&gt;"",DATA!B638,"")</f>
        <v>DRYU9369693</v>
      </c>
      <c r="J639" s="12">
        <v>0</v>
      </c>
      <c r="K639" s="11" t="s">
        <v>53</v>
      </c>
      <c r="L639" s="11" t="str">
        <f t="shared" si="44"/>
        <v>854442</v>
      </c>
      <c r="M639" s="11" t="str">
        <f>IF(I639&lt;&gt;"",DATA!E638,"")</f>
        <v>CABLE WITH CONNECTOR</v>
      </c>
      <c r="N639" s="12">
        <v>0</v>
      </c>
      <c r="O639" s="11">
        <f>IF(I639&lt;&gt;"",DATA!C638,"")</f>
        <v>252</v>
      </c>
      <c r="P639" s="2">
        <v>294094</v>
      </c>
      <c r="Q639" s="2" t="s">
        <v>1304</v>
      </c>
      <c r="R639" s="2" t="s">
        <v>1319</v>
      </c>
      <c r="S639" s="2">
        <v>341</v>
      </c>
      <c r="T639" s="2">
        <v>1</v>
      </c>
      <c r="U639" s="2" t="s">
        <v>141</v>
      </c>
      <c r="Y639" s="2">
        <v>1700</v>
      </c>
      <c r="Z639" s="11" t="s">
        <v>54</v>
      </c>
      <c r="AA639" s="11" t="str">
        <f t="shared" si="45"/>
        <v>1700 - TBN</v>
      </c>
      <c r="AC639" s="2" t="s">
        <v>145</v>
      </c>
      <c r="AD639" s="11" t="str">
        <f>IF($I639&lt;&gt;"",VLOOKUP($AC639,GEADRESSEERDE!$A$2:$E$4,2,),"")</f>
        <v>LUITHAGEN HAVEN 2 D</v>
      </c>
      <c r="AE639" s="11">
        <f>IF($I639&lt;&gt;"",VLOOKUP($AC639,GEADRESSEERDE!$A$2:$E$4,3,),"")</f>
        <v>2030</v>
      </c>
      <c r="AF639" s="11" t="str">
        <f>IF($I639&lt;&gt;"",VLOOKUP($AC639,GEADRESSEERDE!$A$2:$E$4,4,),"")</f>
        <v>ANTWERPEN</v>
      </c>
      <c r="AG639" s="11" t="str">
        <f>IF($I639&lt;&gt;"",VLOOKUP($AC639,GEADRESSEERDE!$A$2:$E$4,5,),"")</f>
        <v>BE</v>
      </c>
      <c r="AH639" s="11" t="str">
        <f>IF(I639&lt;&gt;"",VLOOKUP(AP639,KvB!$A$2:$B$3,2,FALSE),"")</f>
        <v>BE101000</v>
      </c>
      <c r="AI639" s="11" t="s">
        <v>55</v>
      </c>
      <c r="AJ639" s="11"/>
      <c r="AK639" s="11"/>
      <c r="AL639" s="11"/>
      <c r="AM639" s="11"/>
      <c r="AN639" s="11"/>
      <c r="AO639" s="11"/>
      <c r="AP639" s="2" t="s">
        <v>70</v>
      </c>
      <c r="AQ639" s="11" t="str">
        <f>IF(I639&lt;&gt;"",DATA!D638,"")</f>
        <v>8544429090</v>
      </c>
    </row>
    <row r="640" spans="1:43" ht="15.75" x14ac:dyDescent="0.25">
      <c r="A640" s="11" t="s">
        <v>57</v>
      </c>
      <c r="B640" s="11" t="s">
        <v>56</v>
      </c>
      <c r="C640" s="22">
        <f t="shared" si="42"/>
        <v>25001620</v>
      </c>
      <c r="D640" s="11" t="str">
        <f t="shared" si="43"/>
        <v>SKIIFM_AT</v>
      </c>
      <c r="E640" s="11" t="str">
        <f>IF(I640&lt;&gt;"",VLOOKUP(F640,OPDRACHTGEVER!$A$2:$B$4,2,FALSE),"")</f>
        <v>SKIIFM_AT</v>
      </c>
      <c r="F640" s="11" t="s">
        <v>58</v>
      </c>
      <c r="I640" s="11" t="str">
        <f>IF(DATA!B639&lt;&gt;"",DATA!B639,"")</f>
        <v>DRYU9369693</v>
      </c>
      <c r="J640" s="12">
        <v>0</v>
      </c>
      <c r="K640" s="11" t="s">
        <v>53</v>
      </c>
      <c r="L640" s="11" t="str">
        <f t="shared" si="44"/>
        <v>850980</v>
      </c>
      <c r="M640" s="11" t="str">
        <f>IF(I640&lt;&gt;"",DATA!E639,"")</f>
        <v>CARPET MOP</v>
      </c>
      <c r="N640" s="12">
        <v>0</v>
      </c>
      <c r="O640" s="11">
        <f>IF(I640&lt;&gt;"",DATA!C639,"")</f>
        <v>0.9</v>
      </c>
      <c r="P640" s="2">
        <v>294094</v>
      </c>
      <c r="Q640" s="2" t="s">
        <v>1304</v>
      </c>
      <c r="R640" s="2" t="s">
        <v>1319</v>
      </c>
      <c r="S640" s="2">
        <v>341</v>
      </c>
      <c r="T640" s="2">
        <v>1</v>
      </c>
      <c r="U640" s="2" t="s">
        <v>141</v>
      </c>
      <c r="Y640" s="2">
        <v>1700</v>
      </c>
      <c r="Z640" s="11" t="s">
        <v>54</v>
      </c>
      <c r="AA640" s="11" t="str">
        <f t="shared" si="45"/>
        <v>1700 - TBN</v>
      </c>
      <c r="AC640" s="2" t="s">
        <v>145</v>
      </c>
      <c r="AD640" s="11" t="str">
        <f>IF($I640&lt;&gt;"",VLOOKUP($AC640,GEADRESSEERDE!$A$2:$E$4,2,),"")</f>
        <v>LUITHAGEN HAVEN 2 D</v>
      </c>
      <c r="AE640" s="11">
        <f>IF($I640&lt;&gt;"",VLOOKUP($AC640,GEADRESSEERDE!$A$2:$E$4,3,),"")</f>
        <v>2030</v>
      </c>
      <c r="AF640" s="11" t="str">
        <f>IF($I640&lt;&gt;"",VLOOKUP($AC640,GEADRESSEERDE!$A$2:$E$4,4,),"")</f>
        <v>ANTWERPEN</v>
      </c>
      <c r="AG640" s="11" t="str">
        <f>IF($I640&lt;&gt;"",VLOOKUP($AC640,GEADRESSEERDE!$A$2:$E$4,5,),"")</f>
        <v>BE</v>
      </c>
      <c r="AH640" s="11" t="str">
        <f>IF(I640&lt;&gt;"",VLOOKUP(AP640,KvB!$A$2:$B$3,2,FALSE),"")</f>
        <v>BE101000</v>
      </c>
      <c r="AI640" s="11" t="s">
        <v>55</v>
      </c>
      <c r="AJ640" s="11"/>
      <c r="AK640" s="11"/>
      <c r="AL640" s="11"/>
      <c r="AM640" s="11"/>
      <c r="AN640" s="11"/>
      <c r="AO640" s="11"/>
      <c r="AP640" s="2" t="s">
        <v>70</v>
      </c>
      <c r="AQ640" s="11" t="str">
        <f>IF(I640&lt;&gt;"",DATA!D639,"")</f>
        <v>8509800000</v>
      </c>
    </row>
    <row r="641" spans="1:43" ht="15.75" x14ac:dyDescent="0.25">
      <c r="A641" s="11" t="s">
        <v>57</v>
      </c>
      <c r="B641" s="11" t="s">
        <v>56</v>
      </c>
      <c r="C641" s="22">
        <f t="shared" si="42"/>
        <v>25001620</v>
      </c>
      <c r="D641" s="11" t="str">
        <f t="shared" si="43"/>
        <v>SKIIFM_AT</v>
      </c>
      <c r="E641" s="11" t="str">
        <f>IF(I641&lt;&gt;"",VLOOKUP(F641,OPDRACHTGEVER!$A$2:$B$4,2,FALSE),"")</f>
        <v>SKIIFM_AT</v>
      </c>
      <c r="F641" s="11" t="s">
        <v>58</v>
      </c>
      <c r="I641" s="11" t="str">
        <f>IF(DATA!B640&lt;&gt;"",DATA!B640,"")</f>
        <v>DRYU9369693</v>
      </c>
      <c r="J641" s="12">
        <v>0</v>
      </c>
      <c r="K641" s="11" t="s">
        <v>53</v>
      </c>
      <c r="L641" s="11" t="str">
        <f t="shared" si="44"/>
        <v>846729</v>
      </c>
      <c r="M641" s="11" t="str">
        <f>IF(I641&lt;&gt;"",DATA!E640,"")</f>
        <v>CARPET TRIMMER</v>
      </c>
      <c r="N641" s="12">
        <v>0</v>
      </c>
      <c r="O641" s="11">
        <f>IF(I641&lt;&gt;"",DATA!C640,"")</f>
        <v>14.4</v>
      </c>
      <c r="P641" s="2">
        <v>294094</v>
      </c>
      <c r="Q641" s="2" t="s">
        <v>1304</v>
      </c>
      <c r="R641" s="2" t="s">
        <v>1319</v>
      </c>
      <c r="S641" s="2">
        <v>341</v>
      </c>
      <c r="T641" s="2">
        <v>1</v>
      </c>
      <c r="U641" s="2" t="s">
        <v>141</v>
      </c>
      <c r="Y641" s="2">
        <v>1700</v>
      </c>
      <c r="Z641" s="11" t="s">
        <v>54</v>
      </c>
      <c r="AA641" s="11" t="str">
        <f t="shared" si="45"/>
        <v>1700 - TBN</v>
      </c>
      <c r="AC641" s="2" t="s">
        <v>145</v>
      </c>
      <c r="AD641" s="11" t="str">
        <f>IF($I641&lt;&gt;"",VLOOKUP($AC641,GEADRESSEERDE!$A$2:$E$4,2,),"")</f>
        <v>LUITHAGEN HAVEN 2 D</v>
      </c>
      <c r="AE641" s="11">
        <f>IF($I641&lt;&gt;"",VLOOKUP($AC641,GEADRESSEERDE!$A$2:$E$4,3,),"")</f>
        <v>2030</v>
      </c>
      <c r="AF641" s="11" t="str">
        <f>IF($I641&lt;&gt;"",VLOOKUP($AC641,GEADRESSEERDE!$A$2:$E$4,4,),"")</f>
        <v>ANTWERPEN</v>
      </c>
      <c r="AG641" s="11" t="str">
        <f>IF($I641&lt;&gt;"",VLOOKUP($AC641,GEADRESSEERDE!$A$2:$E$4,5,),"")</f>
        <v>BE</v>
      </c>
      <c r="AH641" s="11" t="str">
        <f>IF(I641&lt;&gt;"",VLOOKUP(AP641,KvB!$A$2:$B$3,2,FALSE),"")</f>
        <v>BE101000</v>
      </c>
      <c r="AI641" s="11" t="s">
        <v>55</v>
      </c>
      <c r="AJ641" s="11"/>
      <c r="AK641" s="11"/>
      <c r="AL641" s="11"/>
      <c r="AM641" s="11"/>
      <c r="AN641" s="11"/>
      <c r="AO641" s="11"/>
      <c r="AP641" s="2" t="s">
        <v>70</v>
      </c>
      <c r="AQ641" s="11" t="str">
        <f>IF(I641&lt;&gt;"",DATA!D640,"")</f>
        <v>8467298500</v>
      </c>
    </row>
    <row r="642" spans="1:43" ht="15.75" x14ac:dyDescent="0.25">
      <c r="A642" s="11" t="s">
        <v>57</v>
      </c>
      <c r="B642" s="11" t="s">
        <v>56</v>
      </c>
      <c r="C642" s="22">
        <f t="shared" si="42"/>
        <v>25001620</v>
      </c>
      <c r="D642" s="11" t="str">
        <f t="shared" si="43"/>
        <v>SKIIFM_AT</v>
      </c>
      <c r="E642" s="11" t="str">
        <f>IF(I642&lt;&gt;"",VLOOKUP(F642,OPDRACHTGEVER!$A$2:$B$4,2,FALSE),"")</f>
        <v>SKIIFM_AT</v>
      </c>
      <c r="F642" s="11" t="s">
        <v>58</v>
      </c>
      <c r="I642" s="11" t="str">
        <f>IF(DATA!B641&lt;&gt;"",DATA!B641,"")</f>
        <v>DRYU9369693</v>
      </c>
      <c r="J642" s="12">
        <v>0</v>
      </c>
      <c r="K642" s="11" t="s">
        <v>53</v>
      </c>
      <c r="L642" s="11" t="str">
        <f t="shared" si="44"/>
        <v>741920</v>
      </c>
      <c r="M642" s="11" t="str">
        <f>IF(I642&lt;&gt;"",DATA!E641,"")</f>
        <v>CHAIN WITH HOOK</v>
      </c>
      <c r="N642" s="12">
        <v>0</v>
      </c>
      <c r="O642" s="11">
        <f>IF(I642&lt;&gt;"",DATA!C641,"")</f>
        <v>30.25</v>
      </c>
      <c r="P642" s="2">
        <v>294094</v>
      </c>
      <c r="Q642" s="2" t="s">
        <v>1304</v>
      </c>
      <c r="R642" s="2" t="s">
        <v>1319</v>
      </c>
      <c r="S642" s="2">
        <v>341</v>
      </c>
      <c r="T642" s="2">
        <v>1</v>
      </c>
      <c r="U642" s="2" t="s">
        <v>141</v>
      </c>
      <c r="Y642" s="2">
        <v>1700</v>
      </c>
      <c r="Z642" s="11" t="s">
        <v>54</v>
      </c>
      <c r="AA642" s="11" t="str">
        <f t="shared" si="45"/>
        <v>1700 - TBN</v>
      </c>
      <c r="AC642" s="2" t="s">
        <v>145</v>
      </c>
      <c r="AD642" s="11" t="str">
        <f>IF($I642&lt;&gt;"",VLOOKUP($AC642,GEADRESSEERDE!$A$2:$E$4,2,),"")</f>
        <v>LUITHAGEN HAVEN 2 D</v>
      </c>
      <c r="AE642" s="11">
        <f>IF($I642&lt;&gt;"",VLOOKUP($AC642,GEADRESSEERDE!$A$2:$E$4,3,),"")</f>
        <v>2030</v>
      </c>
      <c r="AF642" s="11" t="str">
        <f>IF($I642&lt;&gt;"",VLOOKUP($AC642,GEADRESSEERDE!$A$2:$E$4,4,),"")</f>
        <v>ANTWERPEN</v>
      </c>
      <c r="AG642" s="11" t="str">
        <f>IF($I642&lt;&gt;"",VLOOKUP($AC642,GEADRESSEERDE!$A$2:$E$4,5,),"")</f>
        <v>BE</v>
      </c>
      <c r="AH642" s="11" t="str">
        <f>IF(I642&lt;&gt;"",VLOOKUP(AP642,KvB!$A$2:$B$3,2,FALSE),"")</f>
        <v>BE101000</v>
      </c>
      <c r="AI642" s="11" t="s">
        <v>55</v>
      </c>
      <c r="AJ642" s="11"/>
      <c r="AK642" s="11"/>
      <c r="AL642" s="11"/>
      <c r="AM642" s="11"/>
      <c r="AN642" s="11"/>
      <c r="AO642" s="11"/>
      <c r="AP642" s="2" t="s">
        <v>70</v>
      </c>
      <c r="AQ642" s="11" t="str">
        <f>IF(I642&lt;&gt;"",DATA!D641,"")</f>
        <v>7419200090</v>
      </c>
    </row>
    <row r="643" spans="1:43" ht="15.75" x14ac:dyDescent="0.25">
      <c r="A643" s="11" t="s">
        <v>57</v>
      </c>
      <c r="B643" s="11" t="s">
        <v>56</v>
      </c>
      <c r="C643" s="22">
        <f t="shared" si="42"/>
        <v>25001620</v>
      </c>
      <c r="D643" s="11" t="str">
        <f t="shared" si="43"/>
        <v>SKIIFM_AT</v>
      </c>
      <c r="E643" s="11" t="str">
        <f>IF(I643&lt;&gt;"",VLOOKUP(F643,OPDRACHTGEVER!$A$2:$B$4,2,FALSE),"")</f>
        <v>SKIIFM_AT</v>
      </c>
      <c r="F643" s="11" t="s">
        <v>58</v>
      </c>
      <c r="I643" s="11" t="str">
        <f>IF(DATA!B642&lt;&gt;"",DATA!B642,"")</f>
        <v>DRYU9369693</v>
      </c>
      <c r="J643" s="12">
        <v>0</v>
      </c>
      <c r="K643" s="11" t="s">
        <v>53</v>
      </c>
      <c r="L643" s="11" t="str">
        <f t="shared" si="44"/>
        <v>848071</v>
      </c>
      <c r="M643" s="11" t="str">
        <f>IF(I643&lt;&gt;"",DATA!E642,"")</f>
        <v>CONCRETE STAMP</v>
      </c>
      <c r="N643" s="12">
        <v>0</v>
      </c>
      <c r="O643" s="11">
        <f>IF(I643&lt;&gt;"",DATA!C642,"")</f>
        <v>1.45</v>
      </c>
      <c r="P643" s="2">
        <v>294094</v>
      </c>
      <c r="Q643" s="2" t="s">
        <v>1304</v>
      </c>
      <c r="R643" s="2" t="s">
        <v>1319</v>
      </c>
      <c r="S643" s="2">
        <v>341</v>
      </c>
      <c r="T643" s="2">
        <v>1</v>
      </c>
      <c r="U643" s="2" t="s">
        <v>141</v>
      </c>
      <c r="Y643" s="2">
        <v>1700</v>
      </c>
      <c r="Z643" s="11" t="s">
        <v>54</v>
      </c>
      <c r="AA643" s="11" t="str">
        <f t="shared" si="45"/>
        <v>1700 - TBN</v>
      </c>
      <c r="AC643" s="2" t="s">
        <v>145</v>
      </c>
      <c r="AD643" s="11" t="str">
        <f>IF($I643&lt;&gt;"",VLOOKUP($AC643,GEADRESSEERDE!$A$2:$E$4,2,),"")</f>
        <v>LUITHAGEN HAVEN 2 D</v>
      </c>
      <c r="AE643" s="11">
        <f>IF($I643&lt;&gt;"",VLOOKUP($AC643,GEADRESSEERDE!$A$2:$E$4,3,),"")</f>
        <v>2030</v>
      </c>
      <c r="AF643" s="11" t="str">
        <f>IF($I643&lt;&gt;"",VLOOKUP($AC643,GEADRESSEERDE!$A$2:$E$4,4,),"")</f>
        <v>ANTWERPEN</v>
      </c>
      <c r="AG643" s="11" t="str">
        <f>IF($I643&lt;&gt;"",VLOOKUP($AC643,GEADRESSEERDE!$A$2:$E$4,5,),"")</f>
        <v>BE</v>
      </c>
      <c r="AH643" s="11" t="str">
        <f>IF(I643&lt;&gt;"",VLOOKUP(AP643,KvB!$A$2:$B$3,2,FALSE),"")</f>
        <v>BE101000</v>
      </c>
      <c r="AI643" s="11" t="s">
        <v>55</v>
      </c>
      <c r="AJ643" s="11"/>
      <c r="AK643" s="11"/>
      <c r="AL643" s="11"/>
      <c r="AM643" s="11"/>
      <c r="AN643" s="11"/>
      <c r="AO643" s="11"/>
      <c r="AP643" s="2" t="s">
        <v>70</v>
      </c>
      <c r="AQ643" s="11" t="str">
        <f>IF(I643&lt;&gt;"",DATA!D642,"")</f>
        <v>8480710000</v>
      </c>
    </row>
    <row r="644" spans="1:43" ht="15.75" x14ac:dyDescent="0.25">
      <c r="A644" s="11" t="s">
        <v>57</v>
      </c>
      <c r="B644" s="11" t="s">
        <v>56</v>
      </c>
      <c r="C644" s="22">
        <f t="shared" si="42"/>
        <v>25001620</v>
      </c>
      <c r="D644" s="11" t="str">
        <f t="shared" si="43"/>
        <v>SKIIFM_AT</v>
      </c>
      <c r="E644" s="11" t="str">
        <f>IF(I644&lt;&gt;"",VLOOKUP(F644,OPDRACHTGEVER!$A$2:$B$4,2,FALSE),"")</f>
        <v>SKIIFM_AT</v>
      </c>
      <c r="F644" s="11" t="s">
        <v>58</v>
      </c>
      <c r="I644" s="11" t="str">
        <f>IF(DATA!B643&lt;&gt;"",DATA!B643,"")</f>
        <v>DRYU9369693</v>
      </c>
      <c r="J644" s="12">
        <v>0</v>
      </c>
      <c r="K644" s="11" t="s">
        <v>53</v>
      </c>
      <c r="L644" s="11" t="str">
        <f t="shared" si="44"/>
        <v>761699</v>
      </c>
      <c r="M644" s="11" t="str">
        <f>IF(I644&lt;&gt;"",DATA!E643,"")</f>
        <v>CONNECTOR</v>
      </c>
      <c r="N644" s="12">
        <v>0</v>
      </c>
      <c r="O644" s="11">
        <f>IF(I644&lt;&gt;"",DATA!C643,"")</f>
        <v>1.7</v>
      </c>
      <c r="P644" s="2">
        <v>294094</v>
      </c>
      <c r="Q644" s="2" t="s">
        <v>1304</v>
      </c>
      <c r="R644" s="2" t="s">
        <v>1319</v>
      </c>
      <c r="S644" s="2">
        <v>341</v>
      </c>
      <c r="T644" s="2">
        <v>1</v>
      </c>
      <c r="U644" s="2" t="s">
        <v>141</v>
      </c>
      <c r="Y644" s="2">
        <v>1700</v>
      </c>
      <c r="Z644" s="11" t="s">
        <v>54</v>
      </c>
      <c r="AA644" s="11" t="str">
        <f t="shared" si="45"/>
        <v>1700 - TBN</v>
      </c>
      <c r="AC644" s="2" t="s">
        <v>145</v>
      </c>
      <c r="AD644" s="11" t="str">
        <f>IF($I644&lt;&gt;"",VLOOKUP($AC644,GEADRESSEERDE!$A$2:$E$4,2,),"")</f>
        <v>LUITHAGEN HAVEN 2 D</v>
      </c>
      <c r="AE644" s="11">
        <f>IF($I644&lt;&gt;"",VLOOKUP($AC644,GEADRESSEERDE!$A$2:$E$4,3,),"")</f>
        <v>2030</v>
      </c>
      <c r="AF644" s="11" t="str">
        <f>IF($I644&lt;&gt;"",VLOOKUP($AC644,GEADRESSEERDE!$A$2:$E$4,4,),"")</f>
        <v>ANTWERPEN</v>
      </c>
      <c r="AG644" s="11" t="str">
        <f>IF($I644&lt;&gt;"",VLOOKUP($AC644,GEADRESSEERDE!$A$2:$E$4,5,),"")</f>
        <v>BE</v>
      </c>
      <c r="AH644" s="11" t="str">
        <f>IF(I644&lt;&gt;"",VLOOKUP(AP644,KvB!$A$2:$B$3,2,FALSE),"")</f>
        <v>BE101000</v>
      </c>
      <c r="AI644" s="11" t="s">
        <v>55</v>
      </c>
      <c r="AJ644" s="11"/>
      <c r="AK644" s="11"/>
      <c r="AL644" s="11"/>
      <c r="AM644" s="11"/>
      <c r="AN644" s="11"/>
      <c r="AO644" s="11"/>
      <c r="AP644" s="2" t="s">
        <v>70</v>
      </c>
      <c r="AQ644" s="11" t="str">
        <f>IF(I644&lt;&gt;"",DATA!D643,"")</f>
        <v>7616999009</v>
      </c>
    </row>
    <row r="645" spans="1:43" ht="15.75" x14ac:dyDescent="0.25">
      <c r="A645" s="11" t="s">
        <v>57</v>
      </c>
      <c r="B645" s="11" t="s">
        <v>56</v>
      </c>
      <c r="C645" s="22">
        <f t="shared" ref="C645:C708" si="46">C644</f>
        <v>25001620</v>
      </c>
      <c r="D645" s="11" t="str">
        <f t="shared" si="43"/>
        <v>SKIIFM_AT</v>
      </c>
      <c r="E645" s="11" t="str">
        <f>IF(I645&lt;&gt;"",VLOOKUP(F645,OPDRACHTGEVER!$A$2:$B$4,2,FALSE),"")</f>
        <v>SKIIFM_AT</v>
      </c>
      <c r="F645" s="11" t="s">
        <v>58</v>
      </c>
      <c r="I645" s="11" t="str">
        <f>IF(DATA!B644&lt;&gt;"",DATA!B644,"")</f>
        <v>DRYU9369693</v>
      </c>
      <c r="J645" s="12">
        <v>0</v>
      </c>
      <c r="K645" s="11" t="s">
        <v>53</v>
      </c>
      <c r="L645" s="11" t="str">
        <f t="shared" si="44"/>
        <v>842810</v>
      </c>
      <c r="M645" s="11" t="str">
        <f>IF(I645&lt;&gt;"",DATA!E644,"")</f>
        <v>CRANE</v>
      </c>
      <c r="N645" s="12">
        <v>0</v>
      </c>
      <c r="O645" s="11">
        <f>IF(I645&lt;&gt;"",DATA!C644,"")</f>
        <v>370.75</v>
      </c>
      <c r="P645" s="2">
        <v>294094</v>
      </c>
      <c r="Q645" s="2" t="s">
        <v>1304</v>
      </c>
      <c r="R645" s="2" t="s">
        <v>1319</v>
      </c>
      <c r="S645" s="2">
        <v>341</v>
      </c>
      <c r="T645" s="2">
        <v>1</v>
      </c>
      <c r="U645" s="2" t="s">
        <v>141</v>
      </c>
      <c r="Y645" s="2">
        <v>1700</v>
      </c>
      <c r="Z645" s="11" t="s">
        <v>54</v>
      </c>
      <c r="AA645" s="11" t="str">
        <f t="shared" si="45"/>
        <v>1700 - TBN</v>
      </c>
      <c r="AC645" s="2" t="s">
        <v>145</v>
      </c>
      <c r="AD645" s="11" t="str">
        <f>IF($I645&lt;&gt;"",VLOOKUP($AC645,GEADRESSEERDE!$A$2:$E$4,2,),"")</f>
        <v>LUITHAGEN HAVEN 2 D</v>
      </c>
      <c r="AE645" s="11">
        <f>IF($I645&lt;&gt;"",VLOOKUP($AC645,GEADRESSEERDE!$A$2:$E$4,3,),"")</f>
        <v>2030</v>
      </c>
      <c r="AF645" s="11" t="str">
        <f>IF($I645&lt;&gt;"",VLOOKUP($AC645,GEADRESSEERDE!$A$2:$E$4,4,),"")</f>
        <v>ANTWERPEN</v>
      </c>
      <c r="AG645" s="11" t="str">
        <f>IF($I645&lt;&gt;"",VLOOKUP($AC645,GEADRESSEERDE!$A$2:$E$4,5,),"")</f>
        <v>BE</v>
      </c>
      <c r="AH645" s="11" t="str">
        <f>IF(I645&lt;&gt;"",VLOOKUP(AP645,KvB!$A$2:$B$3,2,FALSE),"")</f>
        <v>BE101000</v>
      </c>
      <c r="AI645" s="11" t="s">
        <v>55</v>
      </c>
      <c r="AJ645" s="11"/>
      <c r="AK645" s="11"/>
      <c r="AL645" s="11"/>
      <c r="AM645" s="11"/>
      <c r="AN645" s="11"/>
      <c r="AO645" s="11"/>
      <c r="AP645" s="2" t="s">
        <v>70</v>
      </c>
      <c r="AQ645" s="11" t="str">
        <f>IF(I645&lt;&gt;"",DATA!D644,"")</f>
        <v>8428102000</v>
      </c>
    </row>
    <row r="646" spans="1:43" ht="15.75" x14ac:dyDescent="0.25">
      <c r="A646" s="11" t="s">
        <v>57</v>
      </c>
      <c r="B646" s="11" t="s">
        <v>56</v>
      </c>
      <c r="C646" s="22">
        <f t="shared" si="46"/>
        <v>25001620</v>
      </c>
      <c r="D646" s="11" t="str">
        <f t="shared" si="43"/>
        <v>SKIIFM_AT</v>
      </c>
      <c r="E646" s="11" t="str">
        <f>IF(I646&lt;&gt;"",VLOOKUP(F646,OPDRACHTGEVER!$A$2:$B$4,2,FALSE),"")</f>
        <v>SKIIFM_AT</v>
      </c>
      <c r="F646" s="11" t="s">
        <v>58</v>
      </c>
      <c r="I646" s="11" t="str">
        <f>IF(DATA!B645&lt;&gt;"",DATA!B645,"")</f>
        <v>DRYU9369693</v>
      </c>
      <c r="J646" s="12">
        <v>0</v>
      </c>
      <c r="K646" s="11" t="s">
        <v>53</v>
      </c>
      <c r="L646" s="11" t="str">
        <f t="shared" si="44"/>
        <v>844110</v>
      </c>
      <c r="M646" s="11" t="str">
        <f>IF(I646&lt;&gt;"",DATA!E645,"")</f>
        <v>DIE-CUTTING MACHINE</v>
      </c>
      <c r="N646" s="12">
        <v>0</v>
      </c>
      <c r="O646" s="11">
        <f>IF(I646&lt;&gt;"",DATA!C645,"")</f>
        <v>227.5</v>
      </c>
      <c r="P646" s="2">
        <v>294094</v>
      </c>
      <c r="Q646" s="2" t="s">
        <v>1304</v>
      </c>
      <c r="R646" s="2" t="s">
        <v>1319</v>
      </c>
      <c r="S646" s="2">
        <v>341</v>
      </c>
      <c r="T646" s="2">
        <v>1</v>
      </c>
      <c r="U646" s="2" t="s">
        <v>141</v>
      </c>
      <c r="Y646" s="2">
        <v>1700</v>
      </c>
      <c r="Z646" s="11" t="s">
        <v>54</v>
      </c>
      <c r="AA646" s="11" t="str">
        <f t="shared" si="45"/>
        <v>1700 - TBN</v>
      </c>
      <c r="AC646" s="2" t="s">
        <v>145</v>
      </c>
      <c r="AD646" s="11" t="str">
        <f>IF($I646&lt;&gt;"",VLOOKUP($AC646,GEADRESSEERDE!$A$2:$E$4,2,),"")</f>
        <v>LUITHAGEN HAVEN 2 D</v>
      </c>
      <c r="AE646" s="11">
        <f>IF($I646&lt;&gt;"",VLOOKUP($AC646,GEADRESSEERDE!$A$2:$E$4,3,),"")</f>
        <v>2030</v>
      </c>
      <c r="AF646" s="11" t="str">
        <f>IF($I646&lt;&gt;"",VLOOKUP($AC646,GEADRESSEERDE!$A$2:$E$4,4,),"")</f>
        <v>ANTWERPEN</v>
      </c>
      <c r="AG646" s="11" t="str">
        <f>IF($I646&lt;&gt;"",VLOOKUP($AC646,GEADRESSEERDE!$A$2:$E$4,5,),"")</f>
        <v>BE</v>
      </c>
      <c r="AH646" s="11" t="str">
        <f>IF(I646&lt;&gt;"",VLOOKUP(AP646,KvB!$A$2:$B$3,2,FALSE),"")</f>
        <v>BE101000</v>
      </c>
      <c r="AI646" s="11" t="s">
        <v>55</v>
      </c>
      <c r="AJ646" s="11"/>
      <c r="AK646" s="11"/>
      <c r="AL646" s="11"/>
      <c r="AM646" s="11"/>
      <c r="AN646" s="11"/>
      <c r="AO646" s="11"/>
      <c r="AP646" s="2" t="s">
        <v>70</v>
      </c>
      <c r="AQ646" s="11" t="str">
        <f>IF(I646&lt;&gt;"",DATA!D645,"")</f>
        <v>8441107000</v>
      </c>
    </row>
    <row r="647" spans="1:43" ht="15.75" x14ac:dyDescent="0.25">
      <c r="A647" s="11" t="s">
        <v>57</v>
      </c>
      <c r="B647" s="11" t="s">
        <v>56</v>
      </c>
      <c r="C647" s="22">
        <f t="shared" si="46"/>
        <v>25001620</v>
      </c>
      <c r="D647" s="11" t="str">
        <f t="shared" si="43"/>
        <v>SKIIFM_AT</v>
      </c>
      <c r="E647" s="11" t="str">
        <f>IF(I647&lt;&gt;"",VLOOKUP(F647,OPDRACHTGEVER!$A$2:$B$4,2,FALSE),"")</f>
        <v>SKIIFM_AT</v>
      </c>
      <c r="F647" s="11" t="s">
        <v>58</v>
      </c>
      <c r="I647" s="11" t="str">
        <f>IF(DATA!B646&lt;&gt;"",DATA!B646,"")</f>
        <v>DRYU9369693</v>
      </c>
      <c r="J647" s="12">
        <v>0</v>
      </c>
      <c r="K647" s="11" t="s">
        <v>53</v>
      </c>
      <c r="L647" s="11" t="str">
        <f t="shared" si="44"/>
        <v>850231</v>
      </c>
      <c r="M647" s="11" t="str">
        <f>IF(I647&lt;&gt;"",DATA!E646,"")</f>
        <v>FAN TYPE WIND TURBINE GENERATOR</v>
      </c>
      <c r="N647" s="12">
        <v>0</v>
      </c>
      <c r="O647" s="11">
        <f>IF(I647&lt;&gt;"",DATA!C646,"")</f>
        <v>149</v>
      </c>
      <c r="P647" s="2">
        <v>294094</v>
      </c>
      <c r="Q647" s="2" t="s">
        <v>1304</v>
      </c>
      <c r="R647" s="2" t="s">
        <v>1319</v>
      </c>
      <c r="S647" s="2">
        <v>341</v>
      </c>
      <c r="T647" s="2">
        <v>1</v>
      </c>
      <c r="U647" s="2" t="s">
        <v>141</v>
      </c>
      <c r="Y647" s="2">
        <v>1700</v>
      </c>
      <c r="Z647" s="11" t="s">
        <v>54</v>
      </c>
      <c r="AA647" s="11" t="str">
        <f t="shared" si="45"/>
        <v>1700 - TBN</v>
      </c>
      <c r="AC647" s="2" t="s">
        <v>145</v>
      </c>
      <c r="AD647" s="11" t="str">
        <f>IF($I647&lt;&gt;"",VLOOKUP($AC647,GEADRESSEERDE!$A$2:$E$4,2,),"")</f>
        <v>LUITHAGEN HAVEN 2 D</v>
      </c>
      <c r="AE647" s="11">
        <f>IF($I647&lt;&gt;"",VLOOKUP($AC647,GEADRESSEERDE!$A$2:$E$4,3,),"")</f>
        <v>2030</v>
      </c>
      <c r="AF647" s="11" t="str">
        <f>IF($I647&lt;&gt;"",VLOOKUP($AC647,GEADRESSEERDE!$A$2:$E$4,4,),"")</f>
        <v>ANTWERPEN</v>
      </c>
      <c r="AG647" s="11" t="str">
        <f>IF($I647&lt;&gt;"",VLOOKUP($AC647,GEADRESSEERDE!$A$2:$E$4,5,),"")</f>
        <v>BE</v>
      </c>
      <c r="AH647" s="11" t="str">
        <f>IF(I647&lt;&gt;"",VLOOKUP(AP647,KvB!$A$2:$B$3,2,FALSE),"")</f>
        <v>BE101000</v>
      </c>
      <c r="AI647" s="11" t="s">
        <v>55</v>
      </c>
      <c r="AJ647" s="11"/>
      <c r="AK647" s="11"/>
      <c r="AL647" s="11"/>
      <c r="AM647" s="11"/>
      <c r="AN647" s="11"/>
      <c r="AO647" s="11"/>
      <c r="AP647" s="2" t="s">
        <v>70</v>
      </c>
      <c r="AQ647" s="11" t="str">
        <f>IF(I647&lt;&gt;"",DATA!D646,"")</f>
        <v>8502310097</v>
      </c>
    </row>
    <row r="648" spans="1:43" ht="15.75" x14ac:dyDescent="0.25">
      <c r="A648" s="11" t="s">
        <v>57</v>
      </c>
      <c r="B648" s="11" t="s">
        <v>56</v>
      </c>
      <c r="C648" s="22">
        <f t="shared" si="46"/>
        <v>25001620</v>
      </c>
      <c r="D648" s="11" t="str">
        <f t="shared" si="43"/>
        <v>SKIIFM_AT</v>
      </c>
      <c r="E648" s="11" t="str">
        <f>IF(I648&lt;&gt;"",VLOOKUP(F648,OPDRACHTGEVER!$A$2:$B$4,2,FALSE),"")</f>
        <v>SKIIFM_AT</v>
      </c>
      <c r="F648" s="11" t="s">
        <v>58</v>
      </c>
      <c r="I648" s="11" t="str">
        <f>IF(DATA!B647&lt;&gt;"",DATA!B647,"")</f>
        <v>DRYU9369693</v>
      </c>
      <c r="J648" s="12">
        <v>0</v>
      </c>
      <c r="K648" s="11" t="s">
        <v>53</v>
      </c>
      <c r="L648" s="11" t="str">
        <f t="shared" si="44"/>
        <v>842199</v>
      </c>
      <c r="M648" s="11" t="str">
        <f>IF(I648&lt;&gt;"",DATA!E647,"")</f>
        <v>FIBER FILTER BALL</v>
      </c>
      <c r="N648" s="12">
        <v>0</v>
      </c>
      <c r="O648" s="11">
        <f>IF(I648&lt;&gt;"",DATA!C647,"")</f>
        <v>2.5</v>
      </c>
      <c r="P648" s="2">
        <v>294094</v>
      </c>
      <c r="Q648" s="2" t="s">
        <v>1304</v>
      </c>
      <c r="R648" s="2" t="s">
        <v>1319</v>
      </c>
      <c r="S648" s="2">
        <v>341</v>
      </c>
      <c r="T648" s="2">
        <v>1</v>
      </c>
      <c r="U648" s="2" t="s">
        <v>141</v>
      </c>
      <c r="Y648" s="2">
        <v>1700</v>
      </c>
      <c r="Z648" s="11" t="s">
        <v>54</v>
      </c>
      <c r="AA648" s="11" t="str">
        <f t="shared" si="45"/>
        <v>1700 - TBN</v>
      </c>
      <c r="AC648" s="2" t="s">
        <v>145</v>
      </c>
      <c r="AD648" s="11" t="str">
        <f>IF($I648&lt;&gt;"",VLOOKUP($AC648,GEADRESSEERDE!$A$2:$E$4,2,),"")</f>
        <v>LUITHAGEN HAVEN 2 D</v>
      </c>
      <c r="AE648" s="11">
        <f>IF($I648&lt;&gt;"",VLOOKUP($AC648,GEADRESSEERDE!$A$2:$E$4,3,),"")</f>
        <v>2030</v>
      </c>
      <c r="AF648" s="11" t="str">
        <f>IF($I648&lt;&gt;"",VLOOKUP($AC648,GEADRESSEERDE!$A$2:$E$4,4,),"")</f>
        <v>ANTWERPEN</v>
      </c>
      <c r="AG648" s="11" t="str">
        <f>IF($I648&lt;&gt;"",VLOOKUP($AC648,GEADRESSEERDE!$A$2:$E$4,5,),"")</f>
        <v>BE</v>
      </c>
      <c r="AH648" s="11" t="str">
        <f>IF(I648&lt;&gt;"",VLOOKUP(AP648,KvB!$A$2:$B$3,2,FALSE),"")</f>
        <v>BE101000</v>
      </c>
      <c r="AI648" s="11" t="s">
        <v>55</v>
      </c>
      <c r="AJ648" s="11"/>
      <c r="AK648" s="11"/>
      <c r="AL648" s="11"/>
      <c r="AM648" s="11"/>
      <c r="AN648" s="11"/>
      <c r="AO648" s="11"/>
      <c r="AP648" s="2" t="s">
        <v>70</v>
      </c>
      <c r="AQ648" s="11" t="str">
        <f>IF(I648&lt;&gt;"",DATA!D647,"")</f>
        <v>8421999099</v>
      </c>
    </row>
    <row r="649" spans="1:43" ht="15.75" x14ac:dyDescent="0.25">
      <c r="A649" s="11" t="s">
        <v>57</v>
      </c>
      <c r="B649" s="11" t="s">
        <v>56</v>
      </c>
      <c r="C649" s="22">
        <f t="shared" si="46"/>
        <v>25001620</v>
      </c>
      <c r="D649" s="11" t="str">
        <f t="shared" si="43"/>
        <v>SKIIFM_AT</v>
      </c>
      <c r="E649" s="11" t="str">
        <f>IF(I649&lt;&gt;"",VLOOKUP(F649,OPDRACHTGEVER!$A$2:$B$4,2,FALSE),"")</f>
        <v>SKIIFM_AT</v>
      </c>
      <c r="F649" s="11" t="s">
        <v>58</v>
      </c>
      <c r="I649" s="11" t="str">
        <f>IF(DATA!B648&lt;&gt;"",DATA!B648,"")</f>
        <v>DRYU9369693</v>
      </c>
      <c r="J649" s="12">
        <v>0</v>
      </c>
      <c r="K649" s="11" t="s">
        <v>53</v>
      </c>
      <c r="L649" s="11" t="str">
        <f t="shared" si="44"/>
        <v>950691</v>
      </c>
      <c r="M649" s="11" t="str">
        <f>IF(I649&lt;&gt;"",DATA!E648,"")</f>
        <v>FITNESS PRESS MACHINE</v>
      </c>
      <c r="N649" s="12">
        <v>0</v>
      </c>
      <c r="O649" s="11">
        <f>IF(I649&lt;&gt;"",DATA!C648,"")</f>
        <v>731.75</v>
      </c>
      <c r="P649" s="2">
        <v>294094</v>
      </c>
      <c r="Q649" s="2" t="s">
        <v>1304</v>
      </c>
      <c r="R649" s="2" t="s">
        <v>1319</v>
      </c>
      <c r="S649" s="2">
        <v>341</v>
      </c>
      <c r="T649" s="2">
        <v>1</v>
      </c>
      <c r="U649" s="2" t="s">
        <v>141</v>
      </c>
      <c r="Y649" s="2">
        <v>1700</v>
      </c>
      <c r="Z649" s="11" t="s">
        <v>54</v>
      </c>
      <c r="AA649" s="11" t="str">
        <f t="shared" si="45"/>
        <v>1700 - TBN</v>
      </c>
      <c r="AC649" s="2" t="s">
        <v>145</v>
      </c>
      <c r="AD649" s="11" t="str">
        <f>IF($I649&lt;&gt;"",VLOOKUP($AC649,GEADRESSEERDE!$A$2:$E$4,2,),"")</f>
        <v>LUITHAGEN HAVEN 2 D</v>
      </c>
      <c r="AE649" s="11">
        <f>IF($I649&lt;&gt;"",VLOOKUP($AC649,GEADRESSEERDE!$A$2:$E$4,3,),"")</f>
        <v>2030</v>
      </c>
      <c r="AF649" s="11" t="str">
        <f>IF($I649&lt;&gt;"",VLOOKUP($AC649,GEADRESSEERDE!$A$2:$E$4,4,),"")</f>
        <v>ANTWERPEN</v>
      </c>
      <c r="AG649" s="11" t="str">
        <f>IF($I649&lt;&gt;"",VLOOKUP($AC649,GEADRESSEERDE!$A$2:$E$4,5,),"")</f>
        <v>BE</v>
      </c>
      <c r="AH649" s="11" t="str">
        <f>IF(I649&lt;&gt;"",VLOOKUP(AP649,KvB!$A$2:$B$3,2,FALSE),"")</f>
        <v>BE101000</v>
      </c>
      <c r="AI649" s="11" t="s">
        <v>55</v>
      </c>
      <c r="AJ649" s="11"/>
      <c r="AK649" s="11"/>
      <c r="AL649" s="11"/>
      <c r="AM649" s="11"/>
      <c r="AN649" s="11"/>
      <c r="AO649" s="11"/>
      <c r="AP649" s="2" t="s">
        <v>70</v>
      </c>
      <c r="AQ649" s="11" t="str">
        <f>IF(I649&lt;&gt;"",DATA!D648,"")</f>
        <v>9506911000</v>
      </c>
    </row>
    <row r="650" spans="1:43" ht="15.75" x14ac:dyDescent="0.25">
      <c r="A650" s="11" t="s">
        <v>57</v>
      </c>
      <c r="B650" s="11" t="s">
        <v>56</v>
      </c>
      <c r="C650" s="22">
        <f t="shared" si="46"/>
        <v>25001620</v>
      </c>
      <c r="D650" s="11" t="str">
        <f t="shared" si="43"/>
        <v>SKIIFM_AT</v>
      </c>
      <c r="E650" s="11" t="str">
        <f>IF(I650&lt;&gt;"",VLOOKUP(F650,OPDRACHTGEVER!$A$2:$B$4,2,FALSE),"")</f>
        <v>SKIIFM_AT</v>
      </c>
      <c r="F650" s="11" t="s">
        <v>58</v>
      </c>
      <c r="I650" s="11" t="str">
        <f>IF(DATA!B649&lt;&gt;"",DATA!B649,"")</f>
        <v>DRYU9369693</v>
      </c>
      <c r="J650" s="12">
        <v>0</v>
      </c>
      <c r="K650" s="11" t="s">
        <v>53</v>
      </c>
      <c r="L650" s="11" t="str">
        <f t="shared" si="44"/>
        <v>741920</v>
      </c>
      <c r="M650" s="11" t="str">
        <f>IF(I650&lt;&gt;"",DATA!E649,"")</f>
        <v>FORKLIFT WORKING PLATFORM</v>
      </c>
      <c r="N650" s="12">
        <v>0</v>
      </c>
      <c r="O650" s="11">
        <f>IF(I650&lt;&gt;"",DATA!C649,"")</f>
        <v>186.6</v>
      </c>
      <c r="P650" s="2">
        <v>294094</v>
      </c>
      <c r="Q650" s="2" t="s">
        <v>1304</v>
      </c>
      <c r="R650" s="2" t="s">
        <v>1319</v>
      </c>
      <c r="S650" s="2">
        <v>341</v>
      </c>
      <c r="T650" s="2">
        <v>1</v>
      </c>
      <c r="U650" s="2" t="s">
        <v>141</v>
      </c>
      <c r="Y650" s="2">
        <v>1700</v>
      </c>
      <c r="Z650" s="11" t="s">
        <v>54</v>
      </c>
      <c r="AA650" s="11" t="str">
        <f t="shared" si="45"/>
        <v>1700 - TBN</v>
      </c>
      <c r="AC650" s="2" t="s">
        <v>145</v>
      </c>
      <c r="AD650" s="11" t="str">
        <f>IF($I650&lt;&gt;"",VLOOKUP($AC650,GEADRESSEERDE!$A$2:$E$4,2,),"")</f>
        <v>LUITHAGEN HAVEN 2 D</v>
      </c>
      <c r="AE650" s="11">
        <f>IF($I650&lt;&gt;"",VLOOKUP($AC650,GEADRESSEERDE!$A$2:$E$4,3,),"")</f>
        <v>2030</v>
      </c>
      <c r="AF650" s="11" t="str">
        <f>IF($I650&lt;&gt;"",VLOOKUP($AC650,GEADRESSEERDE!$A$2:$E$4,4,),"")</f>
        <v>ANTWERPEN</v>
      </c>
      <c r="AG650" s="11" t="str">
        <f>IF($I650&lt;&gt;"",VLOOKUP($AC650,GEADRESSEERDE!$A$2:$E$4,5,),"")</f>
        <v>BE</v>
      </c>
      <c r="AH650" s="11" t="str">
        <f>IF(I650&lt;&gt;"",VLOOKUP(AP650,KvB!$A$2:$B$3,2,FALSE),"")</f>
        <v>BE101000</v>
      </c>
      <c r="AI650" s="11" t="s">
        <v>55</v>
      </c>
      <c r="AJ650" s="11"/>
      <c r="AK650" s="11"/>
      <c r="AL650" s="11"/>
      <c r="AM650" s="11"/>
      <c r="AN650" s="11"/>
      <c r="AO650" s="11"/>
      <c r="AP650" s="2" t="s">
        <v>70</v>
      </c>
      <c r="AQ650" s="11" t="str">
        <f>IF(I650&lt;&gt;"",DATA!D649,"")</f>
        <v>7419200090</v>
      </c>
    </row>
    <row r="651" spans="1:43" ht="15.75" x14ac:dyDescent="0.25">
      <c r="A651" s="11" t="s">
        <v>57</v>
      </c>
      <c r="B651" s="11" t="s">
        <v>56</v>
      </c>
      <c r="C651" s="22">
        <f t="shared" si="46"/>
        <v>25001620</v>
      </c>
      <c r="D651" s="11" t="str">
        <f t="shared" si="43"/>
        <v>SKIIFM_AT</v>
      </c>
      <c r="E651" s="11" t="str">
        <f>IF(I651&lt;&gt;"",VLOOKUP(F651,OPDRACHTGEVER!$A$2:$B$4,2,FALSE),"")</f>
        <v>SKIIFM_AT</v>
      </c>
      <c r="F651" s="11" t="s">
        <v>58</v>
      </c>
      <c r="I651" s="11" t="str">
        <f>IF(DATA!B650&lt;&gt;"",DATA!B650,"")</f>
        <v>DRYU9369693</v>
      </c>
      <c r="J651" s="12">
        <v>0</v>
      </c>
      <c r="K651" s="11" t="s">
        <v>53</v>
      </c>
      <c r="L651" s="11" t="str">
        <f t="shared" si="44"/>
        <v>392020</v>
      </c>
      <c r="M651" s="11" t="str">
        <f>IF(I651&lt;&gt;"",DATA!E650,"")</f>
        <v>GARAGE FLOOR MATS</v>
      </c>
      <c r="N651" s="12">
        <v>0</v>
      </c>
      <c r="O651" s="11">
        <f>IF(I651&lt;&gt;"",DATA!C650,"")</f>
        <v>137.69999999999999</v>
      </c>
      <c r="P651" s="2">
        <v>294094</v>
      </c>
      <c r="Q651" s="2" t="s">
        <v>1304</v>
      </c>
      <c r="R651" s="2" t="s">
        <v>1319</v>
      </c>
      <c r="S651" s="2">
        <v>341</v>
      </c>
      <c r="T651" s="2">
        <v>1</v>
      </c>
      <c r="U651" s="2" t="s">
        <v>141</v>
      </c>
      <c r="Y651" s="2">
        <v>1700</v>
      </c>
      <c r="Z651" s="11" t="s">
        <v>54</v>
      </c>
      <c r="AA651" s="11" t="str">
        <f t="shared" si="45"/>
        <v>1700 - TBN</v>
      </c>
      <c r="AC651" s="2" t="s">
        <v>145</v>
      </c>
      <c r="AD651" s="11" t="str">
        <f>IF($I651&lt;&gt;"",VLOOKUP($AC651,GEADRESSEERDE!$A$2:$E$4,2,),"")</f>
        <v>LUITHAGEN HAVEN 2 D</v>
      </c>
      <c r="AE651" s="11">
        <f>IF($I651&lt;&gt;"",VLOOKUP($AC651,GEADRESSEERDE!$A$2:$E$4,3,),"")</f>
        <v>2030</v>
      </c>
      <c r="AF651" s="11" t="str">
        <f>IF($I651&lt;&gt;"",VLOOKUP($AC651,GEADRESSEERDE!$A$2:$E$4,4,),"")</f>
        <v>ANTWERPEN</v>
      </c>
      <c r="AG651" s="11" t="str">
        <f>IF($I651&lt;&gt;"",VLOOKUP($AC651,GEADRESSEERDE!$A$2:$E$4,5,),"")</f>
        <v>BE</v>
      </c>
      <c r="AH651" s="11" t="str">
        <f>IF(I651&lt;&gt;"",VLOOKUP(AP651,KvB!$A$2:$B$3,2,FALSE),"")</f>
        <v>BE101000</v>
      </c>
      <c r="AI651" s="11" t="s">
        <v>55</v>
      </c>
      <c r="AJ651" s="11"/>
      <c r="AK651" s="11"/>
      <c r="AL651" s="11"/>
      <c r="AM651" s="11"/>
      <c r="AN651" s="11"/>
      <c r="AO651" s="11"/>
      <c r="AP651" s="2" t="s">
        <v>70</v>
      </c>
      <c r="AQ651" s="11" t="str">
        <f>IF(I651&lt;&gt;"",DATA!D650,"")</f>
        <v>3920208090</v>
      </c>
    </row>
    <row r="652" spans="1:43" ht="15.75" x14ac:dyDescent="0.25">
      <c r="A652" s="11" t="s">
        <v>57</v>
      </c>
      <c r="B652" s="11" t="s">
        <v>56</v>
      </c>
      <c r="C652" s="22">
        <f t="shared" si="46"/>
        <v>25001620</v>
      </c>
      <c r="D652" s="11" t="str">
        <f t="shared" si="43"/>
        <v>SKIIFM_AT</v>
      </c>
      <c r="E652" s="11" t="str">
        <f>IF(I652&lt;&gt;"",VLOOKUP(F652,OPDRACHTGEVER!$A$2:$B$4,2,FALSE),"")</f>
        <v>SKIIFM_AT</v>
      </c>
      <c r="F652" s="11" t="s">
        <v>58</v>
      </c>
      <c r="I652" s="11" t="str">
        <f>IF(DATA!B651&lt;&gt;"",DATA!B651,"")</f>
        <v>DRYU9369693</v>
      </c>
      <c r="J652" s="12">
        <v>0</v>
      </c>
      <c r="K652" s="11" t="s">
        <v>53</v>
      </c>
      <c r="L652" s="11" t="str">
        <f t="shared" si="44"/>
        <v>950699</v>
      </c>
      <c r="M652" s="11" t="str">
        <f>IF(I652&lt;&gt;"",DATA!E651,"")</f>
        <v>GEOMETRIC CLIMBER PLAY</v>
      </c>
      <c r="N652" s="12">
        <v>0</v>
      </c>
      <c r="O652" s="11">
        <f>IF(I652&lt;&gt;"",DATA!C651,"")</f>
        <v>110.6</v>
      </c>
      <c r="P652" s="2">
        <v>294094</v>
      </c>
      <c r="Q652" s="2" t="s">
        <v>1304</v>
      </c>
      <c r="R652" s="2" t="s">
        <v>1319</v>
      </c>
      <c r="S652" s="2">
        <v>341</v>
      </c>
      <c r="T652" s="2">
        <v>1</v>
      </c>
      <c r="U652" s="2" t="s">
        <v>141</v>
      </c>
      <c r="Y652" s="2">
        <v>1700</v>
      </c>
      <c r="Z652" s="11" t="s">
        <v>54</v>
      </c>
      <c r="AA652" s="11" t="str">
        <f t="shared" si="45"/>
        <v>1700 - TBN</v>
      </c>
      <c r="AC652" s="2" t="s">
        <v>145</v>
      </c>
      <c r="AD652" s="11" t="str">
        <f>IF($I652&lt;&gt;"",VLOOKUP($AC652,GEADRESSEERDE!$A$2:$E$4,2,),"")</f>
        <v>LUITHAGEN HAVEN 2 D</v>
      </c>
      <c r="AE652" s="11">
        <f>IF($I652&lt;&gt;"",VLOOKUP($AC652,GEADRESSEERDE!$A$2:$E$4,3,),"")</f>
        <v>2030</v>
      </c>
      <c r="AF652" s="11" t="str">
        <f>IF($I652&lt;&gt;"",VLOOKUP($AC652,GEADRESSEERDE!$A$2:$E$4,4,),"")</f>
        <v>ANTWERPEN</v>
      </c>
      <c r="AG652" s="11" t="str">
        <f>IF($I652&lt;&gt;"",VLOOKUP($AC652,GEADRESSEERDE!$A$2:$E$4,5,),"")</f>
        <v>BE</v>
      </c>
      <c r="AH652" s="11" t="str">
        <f>IF(I652&lt;&gt;"",VLOOKUP(AP652,KvB!$A$2:$B$3,2,FALSE),"")</f>
        <v>BE101000</v>
      </c>
      <c r="AI652" s="11" t="s">
        <v>55</v>
      </c>
      <c r="AJ652" s="11"/>
      <c r="AK652" s="11"/>
      <c r="AL652" s="11"/>
      <c r="AM652" s="11"/>
      <c r="AN652" s="11"/>
      <c r="AO652" s="11"/>
      <c r="AP652" s="2" t="s">
        <v>70</v>
      </c>
      <c r="AQ652" s="11" t="str">
        <f>IF(I652&lt;&gt;"",DATA!D651,"")</f>
        <v>9506999000</v>
      </c>
    </row>
    <row r="653" spans="1:43" ht="15.75" x14ac:dyDescent="0.25">
      <c r="A653" s="11" t="s">
        <v>57</v>
      </c>
      <c r="B653" s="11" t="s">
        <v>56</v>
      </c>
      <c r="C653" s="22">
        <f t="shared" si="46"/>
        <v>25001620</v>
      </c>
      <c r="D653" s="11" t="str">
        <f t="shared" si="43"/>
        <v>SKIIFM_AT</v>
      </c>
      <c r="E653" s="11" t="str">
        <f>IF(I653&lt;&gt;"",VLOOKUP(F653,OPDRACHTGEVER!$A$2:$B$4,2,FALSE),"")</f>
        <v>SKIIFM_AT</v>
      </c>
      <c r="F653" s="11" t="s">
        <v>58</v>
      </c>
      <c r="I653" s="11" t="str">
        <f>IF(DATA!B652&lt;&gt;"",DATA!B652,"")</f>
        <v>DRYU9369693</v>
      </c>
      <c r="J653" s="12">
        <v>0</v>
      </c>
      <c r="K653" s="11" t="s">
        <v>53</v>
      </c>
      <c r="L653" s="11" t="str">
        <f t="shared" si="44"/>
        <v>741920</v>
      </c>
      <c r="M653" s="11" t="str">
        <f>IF(I653&lt;&gt;"",DATA!E652,"")</f>
        <v>HANDRAIL</v>
      </c>
      <c r="N653" s="12">
        <v>0</v>
      </c>
      <c r="O653" s="11">
        <f>IF(I653&lt;&gt;"",DATA!C652,"")</f>
        <v>137.69999999999999</v>
      </c>
      <c r="P653" s="2">
        <v>294094</v>
      </c>
      <c r="Q653" s="2" t="s">
        <v>1304</v>
      </c>
      <c r="R653" s="2" t="s">
        <v>1319</v>
      </c>
      <c r="S653" s="2">
        <v>341</v>
      </c>
      <c r="T653" s="2">
        <v>1</v>
      </c>
      <c r="U653" s="2" t="s">
        <v>141</v>
      </c>
      <c r="Y653" s="2">
        <v>1700</v>
      </c>
      <c r="Z653" s="11" t="s">
        <v>54</v>
      </c>
      <c r="AA653" s="11" t="str">
        <f t="shared" si="45"/>
        <v>1700 - TBN</v>
      </c>
      <c r="AC653" s="2" t="s">
        <v>145</v>
      </c>
      <c r="AD653" s="11" t="str">
        <f>IF($I653&lt;&gt;"",VLOOKUP($AC653,GEADRESSEERDE!$A$2:$E$4,2,),"")</f>
        <v>LUITHAGEN HAVEN 2 D</v>
      </c>
      <c r="AE653" s="11">
        <f>IF($I653&lt;&gt;"",VLOOKUP($AC653,GEADRESSEERDE!$A$2:$E$4,3,),"")</f>
        <v>2030</v>
      </c>
      <c r="AF653" s="11" t="str">
        <f>IF($I653&lt;&gt;"",VLOOKUP($AC653,GEADRESSEERDE!$A$2:$E$4,4,),"")</f>
        <v>ANTWERPEN</v>
      </c>
      <c r="AG653" s="11" t="str">
        <f>IF($I653&lt;&gt;"",VLOOKUP($AC653,GEADRESSEERDE!$A$2:$E$4,5,),"")</f>
        <v>BE</v>
      </c>
      <c r="AH653" s="11" t="str">
        <f>IF(I653&lt;&gt;"",VLOOKUP(AP653,KvB!$A$2:$B$3,2,FALSE),"")</f>
        <v>BE101000</v>
      </c>
      <c r="AI653" s="11" t="s">
        <v>55</v>
      </c>
      <c r="AJ653" s="11"/>
      <c r="AK653" s="11"/>
      <c r="AL653" s="11"/>
      <c r="AM653" s="11"/>
      <c r="AN653" s="11"/>
      <c r="AO653" s="11"/>
      <c r="AP653" s="2" t="s">
        <v>70</v>
      </c>
      <c r="AQ653" s="11" t="str">
        <f>IF(I653&lt;&gt;"",DATA!D652,"")</f>
        <v>7419200090</v>
      </c>
    </row>
    <row r="654" spans="1:43" ht="15.75" x14ac:dyDescent="0.25">
      <c r="A654" s="11" t="s">
        <v>57</v>
      </c>
      <c r="B654" s="11" t="s">
        <v>56</v>
      </c>
      <c r="C654" s="22">
        <f t="shared" si="46"/>
        <v>25001620</v>
      </c>
      <c r="D654" s="11" t="str">
        <f t="shared" si="43"/>
        <v>SKIIFM_AT</v>
      </c>
      <c r="E654" s="11" t="str">
        <f>IF(I654&lt;&gt;"",VLOOKUP(F654,OPDRACHTGEVER!$A$2:$B$4,2,FALSE),"")</f>
        <v>SKIIFM_AT</v>
      </c>
      <c r="F654" s="11" t="s">
        <v>58</v>
      </c>
      <c r="I654" s="11" t="str">
        <f>IF(DATA!B653&lt;&gt;"",DATA!B653,"")</f>
        <v>DRYU9369693</v>
      </c>
      <c r="J654" s="12">
        <v>0</v>
      </c>
      <c r="K654" s="11" t="s">
        <v>53</v>
      </c>
      <c r="L654" s="11" t="str">
        <f t="shared" si="44"/>
        <v>844339</v>
      </c>
      <c r="M654" s="11" t="str">
        <f>IF(I654&lt;&gt;"",DATA!E653,"")</f>
        <v>HEAT PRESS MACHINE</v>
      </c>
      <c r="N654" s="12">
        <v>0</v>
      </c>
      <c r="O654" s="11">
        <f>IF(I654&lt;&gt;"",DATA!C653,"")</f>
        <v>570.70000000000005</v>
      </c>
      <c r="P654" s="2">
        <v>294094</v>
      </c>
      <c r="Q654" s="2" t="s">
        <v>1304</v>
      </c>
      <c r="R654" s="2" t="s">
        <v>1319</v>
      </c>
      <c r="S654" s="2">
        <v>341</v>
      </c>
      <c r="T654" s="2">
        <v>1</v>
      </c>
      <c r="U654" s="2" t="s">
        <v>141</v>
      </c>
      <c r="Y654" s="2">
        <v>1700</v>
      </c>
      <c r="Z654" s="11" t="s">
        <v>54</v>
      </c>
      <c r="AA654" s="11" t="str">
        <f t="shared" si="45"/>
        <v>1700 - TBN</v>
      </c>
      <c r="AC654" s="2" t="s">
        <v>145</v>
      </c>
      <c r="AD654" s="11" t="str">
        <f>IF($I654&lt;&gt;"",VLOOKUP($AC654,GEADRESSEERDE!$A$2:$E$4,2,),"")</f>
        <v>LUITHAGEN HAVEN 2 D</v>
      </c>
      <c r="AE654" s="11">
        <f>IF($I654&lt;&gt;"",VLOOKUP($AC654,GEADRESSEERDE!$A$2:$E$4,3,),"")</f>
        <v>2030</v>
      </c>
      <c r="AF654" s="11" t="str">
        <f>IF($I654&lt;&gt;"",VLOOKUP($AC654,GEADRESSEERDE!$A$2:$E$4,4,),"")</f>
        <v>ANTWERPEN</v>
      </c>
      <c r="AG654" s="11" t="str">
        <f>IF($I654&lt;&gt;"",VLOOKUP($AC654,GEADRESSEERDE!$A$2:$E$4,5,),"")</f>
        <v>BE</v>
      </c>
      <c r="AH654" s="11" t="str">
        <f>IF(I654&lt;&gt;"",VLOOKUP(AP654,KvB!$A$2:$B$3,2,FALSE),"")</f>
        <v>BE101000</v>
      </c>
      <c r="AI654" s="11" t="s">
        <v>55</v>
      </c>
      <c r="AJ654" s="11"/>
      <c r="AK654" s="11"/>
      <c r="AL654" s="11"/>
      <c r="AM654" s="11"/>
      <c r="AN654" s="11"/>
      <c r="AO654" s="11"/>
      <c r="AP654" s="2" t="s">
        <v>70</v>
      </c>
      <c r="AQ654" s="11" t="str">
        <f>IF(I654&lt;&gt;"",DATA!D653,"")</f>
        <v>8443390000</v>
      </c>
    </row>
    <row r="655" spans="1:43" ht="15.75" x14ac:dyDescent="0.25">
      <c r="A655" s="11" t="s">
        <v>57</v>
      </c>
      <c r="B655" s="11" t="s">
        <v>56</v>
      </c>
      <c r="C655" s="22">
        <f t="shared" si="46"/>
        <v>25001620</v>
      </c>
      <c r="D655" s="11" t="str">
        <f t="shared" si="43"/>
        <v>SKIIFM_AT</v>
      </c>
      <c r="E655" s="11" t="str">
        <f>IF(I655&lt;&gt;"",VLOOKUP(F655,OPDRACHTGEVER!$A$2:$B$4,2,FALSE),"")</f>
        <v>SKIIFM_AT</v>
      </c>
      <c r="F655" s="11" t="s">
        <v>58</v>
      </c>
      <c r="I655" s="11" t="str">
        <f>IF(DATA!B654&lt;&gt;"",DATA!B654,"")</f>
        <v>DRYU9369693</v>
      </c>
      <c r="J655" s="12">
        <v>0</v>
      </c>
      <c r="K655" s="11" t="s">
        <v>53</v>
      </c>
      <c r="L655" s="11" t="str">
        <f t="shared" si="44"/>
        <v>848120</v>
      </c>
      <c r="M655" s="11" t="str">
        <f>IF(I655&lt;&gt;"",DATA!E654,"")</f>
        <v>HYDRAULIC CONTROL VALVE</v>
      </c>
      <c r="N655" s="12">
        <v>0</v>
      </c>
      <c r="O655" s="11">
        <f>IF(I655&lt;&gt;"",DATA!C654,"")</f>
        <v>4.9000000000000004</v>
      </c>
      <c r="P655" s="2">
        <v>294094</v>
      </c>
      <c r="Q655" s="2" t="s">
        <v>1304</v>
      </c>
      <c r="R655" s="2" t="s">
        <v>1319</v>
      </c>
      <c r="S655" s="2">
        <v>341</v>
      </c>
      <c r="T655" s="2">
        <v>1</v>
      </c>
      <c r="U655" s="2" t="s">
        <v>141</v>
      </c>
      <c r="Y655" s="2">
        <v>1700</v>
      </c>
      <c r="Z655" s="11" t="s">
        <v>54</v>
      </c>
      <c r="AA655" s="11" t="str">
        <f t="shared" si="45"/>
        <v>1700 - TBN</v>
      </c>
      <c r="AC655" s="2" t="s">
        <v>145</v>
      </c>
      <c r="AD655" s="11" t="str">
        <f>IF($I655&lt;&gt;"",VLOOKUP($AC655,GEADRESSEERDE!$A$2:$E$4,2,),"")</f>
        <v>LUITHAGEN HAVEN 2 D</v>
      </c>
      <c r="AE655" s="11">
        <f>IF($I655&lt;&gt;"",VLOOKUP($AC655,GEADRESSEERDE!$A$2:$E$4,3,),"")</f>
        <v>2030</v>
      </c>
      <c r="AF655" s="11" t="str">
        <f>IF($I655&lt;&gt;"",VLOOKUP($AC655,GEADRESSEERDE!$A$2:$E$4,4,),"")</f>
        <v>ANTWERPEN</v>
      </c>
      <c r="AG655" s="11" t="str">
        <f>IF($I655&lt;&gt;"",VLOOKUP($AC655,GEADRESSEERDE!$A$2:$E$4,5,),"")</f>
        <v>BE</v>
      </c>
      <c r="AH655" s="11" t="str">
        <f>IF(I655&lt;&gt;"",VLOOKUP(AP655,KvB!$A$2:$B$3,2,FALSE),"")</f>
        <v>BE101000</v>
      </c>
      <c r="AI655" s="11" t="s">
        <v>55</v>
      </c>
      <c r="AJ655" s="11"/>
      <c r="AK655" s="11"/>
      <c r="AL655" s="11"/>
      <c r="AM655" s="11"/>
      <c r="AN655" s="11"/>
      <c r="AO655" s="11"/>
      <c r="AP655" s="2" t="s">
        <v>70</v>
      </c>
      <c r="AQ655" s="11" t="str">
        <f>IF(I655&lt;&gt;"",DATA!D654,"")</f>
        <v>8481201090</v>
      </c>
    </row>
    <row r="656" spans="1:43" ht="15.75" x14ac:dyDescent="0.25">
      <c r="A656" s="11" t="s">
        <v>57</v>
      </c>
      <c r="B656" s="11" t="s">
        <v>56</v>
      </c>
      <c r="C656" s="22">
        <f t="shared" si="46"/>
        <v>25001620</v>
      </c>
      <c r="D656" s="11" t="str">
        <f t="shared" si="43"/>
        <v>SKIIFM_AT</v>
      </c>
      <c r="E656" s="11" t="str">
        <f>IF(I656&lt;&gt;"",VLOOKUP(F656,OPDRACHTGEVER!$A$2:$B$4,2,FALSE),"")</f>
        <v>SKIIFM_AT</v>
      </c>
      <c r="F656" s="11" t="s">
        <v>58</v>
      </c>
      <c r="I656" s="11" t="str">
        <f>IF(DATA!B655&lt;&gt;"",DATA!B655,"")</f>
        <v>DRYU9369693</v>
      </c>
      <c r="J656" s="12">
        <v>0</v>
      </c>
      <c r="K656" s="11" t="s">
        <v>53</v>
      </c>
      <c r="L656" s="11" t="str">
        <f t="shared" si="44"/>
        <v>846261</v>
      </c>
      <c r="M656" s="11" t="str">
        <f>IF(I656&lt;&gt;"",DATA!E655,"")</f>
        <v>HYDRAULIC PRESS</v>
      </c>
      <c r="N656" s="12">
        <v>0</v>
      </c>
      <c r="O656" s="11">
        <f>IF(I656&lt;&gt;"",DATA!C655,"")</f>
        <v>310.05</v>
      </c>
      <c r="P656" s="2">
        <v>294094</v>
      </c>
      <c r="Q656" s="2" t="s">
        <v>1304</v>
      </c>
      <c r="R656" s="2" t="s">
        <v>1319</v>
      </c>
      <c r="S656" s="2">
        <v>341</v>
      </c>
      <c r="T656" s="2">
        <v>1</v>
      </c>
      <c r="U656" s="2" t="s">
        <v>141</v>
      </c>
      <c r="Y656" s="2">
        <v>1700</v>
      </c>
      <c r="Z656" s="11" t="s">
        <v>54</v>
      </c>
      <c r="AA656" s="11" t="str">
        <f t="shared" si="45"/>
        <v>1700 - TBN</v>
      </c>
      <c r="AC656" s="2" t="s">
        <v>145</v>
      </c>
      <c r="AD656" s="11" t="str">
        <f>IF($I656&lt;&gt;"",VLOOKUP($AC656,GEADRESSEERDE!$A$2:$E$4,2,),"")</f>
        <v>LUITHAGEN HAVEN 2 D</v>
      </c>
      <c r="AE656" s="11">
        <f>IF($I656&lt;&gt;"",VLOOKUP($AC656,GEADRESSEERDE!$A$2:$E$4,3,),"")</f>
        <v>2030</v>
      </c>
      <c r="AF656" s="11" t="str">
        <f>IF($I656&lt;&gt;"",VLOOKUP($AC656,GEADRESSEERDE!$A$2:$E$4,4,),"")</f>
        <v>ANTWERPEN</v>
      </c>
      <c r="AG656" s="11" t="str">
        <f>IF($I656&lt;&gt;"",VLOOKUP($AC656,GEADRESSEERDE!$A$2:$E$4,5,),"")</f>
        <v>BE</v>
      </c>
      <c r="AH656" s="11" t="str">
        <f>IF(I656&lt;&gt;"",VLOOKUP(AP656,KvB!$A$2:$B$3,2,FALSE),"")</f>
        <v>BE101000</v>
      </c>
      <c r="AI656" s="11" t="s">
        <v>55</v>
      </c>
      <c r="AJ656" s="11"/>
      <c r="AK656" s="11"/>
      <c r="AL656" s="11"/>
      <c r="AM656" s="11"/>
      <c r="AN656" s="11"/>
      <c r="AO656" s="11"/>
      <c r="AP656" s="2" t="s">
        <v>70</v>
      </c>
      <c r="AQ656" s="11" t="str">
        <f>IF(I656&lt;&gt;"",DATA!D655,"")</f>
        <v>8462619000</v>
      </c>
    </row>
    <row r="657" spans="1:43" ht="15.75" x14ac:dyDescent="0.25">
      <c r="A657" s="11" t="s">
        <v>57</v>
      </c>
      <c r="B657" s="11" t="s">
        <v>56</v>
      </c>
      <c r="C657" s="22">
        <f t="shared" si="46"/>
        <v>25001620</v>
      </c>
      <c r="D657" s="11" t="str">
        <f t="shared" si="43"/>
        <v>SKIIFM_AT</v>
      </c>
      <c r="E657" s="11" t="str">
        <f>IF(I657&lt;&gt;"",VLOOKUP(F657,OPDRACHTGEVER!$A$2:$B$4,2,FALSE),"")</f>
        <v>SKIIFM_AT</v>
      </c>
      <c r="F657" s="11" t="s">
        <v>58</v>
      </c>
      <c r="I657" s="11" t="str">
        <f>IF(DATA!B656&lt;&gt;"",DATA!B656,"")</f>
        <v>DRYU9369693</v>
      </c>
      <c r="J657" s="12">
        <v>0</v>
      </c>
      <c r="K657" s="11" t="s">
        <v>53</v>
      </c>
      <c r="L657" s="11" t="str">
        <f t="shared" si="44"/>
        <v>901730</v>
      </c>
      <c r="M657" s="11" t="str">
        <f>IF(I657&lt;&gt;"",DATA!E656,"")</f>
        <v>IMPERIAL GRADE ROD</v>
      </c>
      <c r="N657" s="12">
        <v>0</v>
      </c>
      <c r="O657" s="11">
        <f>IF(I657&lt;&gt;"",DATA!C656,"")</f>
        <v>1.6</v>
      </c>
      <c r="P657" s="2">
        <v>294094</v>
      </c>
      <c r="Q657" s="2" t="s">
        <v>1304</v>
      </c>
      <c r="R657" s="2" t="s">
        <v>1319</v>
      </c>
      <c r="S657" s="2">
        <v>341</v>
      </c>
      <c r="T657" s="2">
        <v>1</v>
      </c>
      <c r="U657" s="2" t="s">
        <v>141</v>
      </c>
      <c r="Y657" s="2">
        <v>1700</v>
      </c>
      <c r="Z657" s="11" t="s">
        <v>54</v>
      </c>
      <c r="AA657" s="11" t="str">
        <f t="shared" si="45"/>
        <v>1700 - TBN</v>
      </c>
      <c r="AC657" s="2" t="s">
        <v>145</v>
      </c>
      <c r="AD657" s="11" t="str">
        <f>IF($I657&lt;&gt;"",VLOOKUP($AC657,GEADRESSEERDE!$A$2:$E$4,2,),"")</f>
        <v>LUITHAGEN HAVEN 2 D</v>
      </c>
      <c r="AE657" s="11">
        <f>IF($I657&lt;&gt;"",VLOOKUP($AC657,GEADRESSEERDE!$A$2:$E$4,3,),"")</f>
        <v>2030</v>
      </c>
      <c r="AF657" s="11" t="str">
        <f>IF($I657&lt;&gt;"",VLOOKUP($AC657,GEADRESSEERDE!$A$2:$E$4,4,),"")</f>
        <v>ANTWERPEN</v>
      </c>
      <c r="AG657" s="11" t="str">
        <f>IF($I657&lt;&gt;"",VLOOKUP($AC657,GEADRESSEERDE!$A$2:$E$4,5,),"")</f>
        <v>BE</v>
      </c>
      <c r="AH657" s="11" t="str">
        <f>IF(I657&lt;&gt;"",VLOOKUP(AP657,KvB!$A$2:$B$3,2,FALSE),"")</f>
        <v>BE101000</v>
      </c>
      <c r="AI657" s="11" t="s">
        <v>55</v>
      </c>
      <c r="AJ657" s="11"/>
      <c r="AK657" s="11"/>
      <c r="AL657" s="11"/>
      <c r="AM657" s="11"/>
      <c r="AN657" s="11"/>
      <c r="AO657" s="11"/>
      <c r="AP657" s="2" t="s">
        <v>70</v>
      </c>
      <c r="AQ657" s="11" t="str">
        <f>IF(I657&lt;&gt;"",DATA!D656,"")</f>
        <v>9017300000</v>
      </c>
    </row>
    <row r="658" spans="1:43" ht="15.75" x14ac:dyDescent="0.25">
      <c r="A658" s="11" t="s">
        <v>57</v>
      </c>
      <c r="B658" s="11" t="s">
        <v>56</v>
      </c>
      <c r="C658" s="22">
        <f t="shared" si="46"/>
        <v>25001620</v>
      </c>
      <c r="D658" s="11" t="str">
        <f t="shared" si="43"/>
        <v>SKIIFM_AT</v>
      </c>
      <c r="E658" s="11" t="str">
        <f>IF(I658&lt;&gt;"",VLOOKUP(F658,OPDRACHTGEVER!$A$2:$B$4,2,FALSE),"")</f>
        <v>SKIIFM_AT</v>
      </c>
      <c r="F658" s="11" t="s">
        <v>58</v>
      </c>
      <c r="I658" s="11" t="str">
        <f>IF(DATA!B657&lt;&gt;"",DATA!B657,"")</f>
        <v>DRYU9369693</v>
      </c>
      <c r="J658" s="12">
        <v>0</v>
      </c>
      <c r="K658" s="11" t="s">
        <v>53</v>
      </c>
      <c r="L658" s="11" t="str">
        <f t="shared" si="44"/>
        <v>850940</v>
      </c>
      <c r="M658" s="11" t="str">
        <f>IF(I658&lt;&gt;"",DATA!E657,"")</f>
        <v>JUICER</v>
      </c>
      <c r="N658" s="12">
        <v>0</v>
      </c>
      <c r="O658" s="11">
        <f>IF(I658&lt;&gt;"",DATA!C657,"")</f>
        <v>133.5</v>
      </c>
      <c r="P658" s="2">
        <v>294094</v>
      </c>
      <c r="Q658" s="2" t="s">
        <v>1304</v>
      </c>
      <c r="R658" s="2" t="s">
        <v>1319</v>
      </c>
      <c r="S658" s="2">
        <v>341</v>
      </c>
      <c r="T658" s="2">
        <v>1</v>
      </c>
      <c r="U658" s="2" t="s">
        <v>141</v>
      </c>
      <c r="Y658" s="2">
        <v>1700</v>
      </c>
      <c r="Z658" s="11" t="s">
        <v>54</v>
      </c>
      <c r="AA658" s="11" t="str">
        <f t="shared" si="45"/>
        <v>1700 - TBN</v>
      </c>
      <c r="AC658" s="2" t="s">
        <v>145</v>
      </c>
      <c r="AD658" s="11" t="str">
        <f>IF($I658&lt;&gt;"",VLOOKUP($AC658,GEADRESSEERDE!$A$2:$E$4,2,),"")</f>
        <v>LUITHAGEN HAVEN 2 D</v>
      </c>
      <c r="AE658" s="11">
        <f>IF($I658&lt;&gt;"",VLOOKUP($AC658,GEADRESSEERDE!$A$2:$E$4,3,),"")</f>
        <v>2030</v>
      </c>
      <c r="AF658" s="11" t="str">
        <f>IF($I658&lt;&gt;"",VLOOKUP($AC658,GEADRESSEERDE!$A$2:$E$4,4,),"")</f>
        <v>ANTWERPEN</v>
      </c>
      <c r="AG658" s="11" t="str">
        <f>IF($I658&lt;&gt;"",VLOOKUP($AC658,GEADRESSEERDE!$A$2:$E$4,5,),"")</f>
        <v>BE</v>
      </c>
      <c r="AH658" s="11" t="str">
        <f>IF(I658&lt;&gt;"",VLOOKUP(AP658,KvB!$A$2:$B$3,2,FALSE),"")</f>
        <v>BE101000</v>
      </c>
      <c r="AI658" s="11" t="s">
        <v>55</v>
      </c>
      <c r="AJ658" s="11"/>
      <c r="AK658" s="11"/>
      <c r="AL658" s="11"/>
      <c r="AM658" s="11"/>
      <c r="AN658" s="11"/>
      <c r="AO658" s="11"/>
      <c r="AP658" s="2" t="s">
        <v>70</v>
      </c>
      <c r="AQ658" s="11" t="str">
        <f>IF(I658&lt;&gt;"",DATA!D657,"")</f>
        <v>8509400000</v>
      </c>
    </row>
    <row r="659" spans="1:43" ht="15.75" x14ac:dyDescent="0.25">
      <c r="A659" s="11" t="s">
        <v>57</v>
      </c>
      <c r="B659" s="11" t="s">
        <v>56</v>
      </c>
      <c r="C659" s="22">
        <f t="shared" si="46"/>
        <v>25001620</v>
      </c>
      <c r="D659" s="11" t="str">
        <f t="shared" si="43"/>
        <v>SKIIFM_AT</v>
      </c>
      <c r="E659" s="11" t="str">
        <f>IF(I659&lt;&gt;"",VLOOKUP(F659,OPDRACHTGEVER!$A$2:$B$4,2,FALSE),"")</f>
        <v>SKIIFM_AT</v>
      </c>
      <c r="F659" s="11" t="s">
        <v>58</v>
      </c>
      <c r="I659" s="11" t="str">
        <f>IF(DATA!B658&lt;&gt;"",DATA!B658,"")</f>
        <v>DRYU9369693</v>
      </c>
      <c r="J659" s="12">
        <v>0</v>
      </c>
      <c r="K659" s="11" t="s">
        <v>53</v>
      </c>
      <c r="L659" s="11" t="str">
        <f t="shared" si="44"/>
        <v>901530</v>
      </c>
      <c r="M659" s="11" t="str">
        <f>IF(I659&lt;&gt;"",DATA!E658,"")</f>
        <v>LASER LEVELER</v>
      </c>
      <c r="N659" s="12">
        <v>0</v>
      </c>
      <c r="O659" s="11">
        <f>IF(I659&lt;&gt;"",DATA!C658,"")</f>
        <v>124.55</v>
      </c>
      <c r="P659" s="2">
        <v>294094</v>
      </c>
      <c r="Q659" s="2" t="s">
        <v>1304</v>
      </c>
      <c r="R659" s="2" t="s">
        <v>1319</v>
      </c>
      <c r="S659" s="2">
        <v>341</v>
      </c>
      <c r="T659" s="2">
        <v>1</v>
      </c>
      <c r="U659" s="2" t="s">
        <v>141</v>
      </c>
      <c r="Y659" s="2">
        <v>1700</v>
      </c>
      <c r="Z659" s="11" t="s">
        <v>54</v>
      </c>
      <c r="AA659" s="11" t="str">
        <f t="shared" si="45"/>
        <v>1700 - TBN</v>
      </c>
      <c r="AC659" s="2" t="s">
        <v>145</v>
      </c>
      <c r="AD659" s="11" t="str">
        <f>IF($I659&lt;&gt;"",VLOOKUP($AC659,GEADRESSEERDE!$A$2:$E$4,2,),"")</f>
        <v>LUITHAGEN HAVEN 2 D</v>
      </c>
      <c r="AE659" s="11">
        <f>IF($I659&lt;&gt;"",VLOOKUP($AC659,GEADRESSEERDE!$A$2:$E$4,3,),"")</f>
        <v>2030</v>
      </c>
      <c r="AF659" s="11" t="str">
        <f>IF($I659&lt;&gt;"",VLOOKUP($AC659,GEADRESSEERDE!$A$2:$E$4,4,),"")</f>
        <v>ANTWERPEN</v>
      </c>
      <c r="AG659" s="11" t="str">
        <f>IF($I659&lt;&gt;"",VLOOKUP($AC659,GEADRESSEERDE!$A$2:$E$4,5,),"")</f>
        <v>BE</v>
      </c>
      <c r="AH659" s="11" t="str">
        <f>IF(I659&lt;&gt;"",VLOOKUP(AP659,KvB!$A$2:$B$3,2,FALSE),"")</f>
        <v>BE101000</v>
      </c>
      <c r="AI659" s="11" t="s">
        <v>55</v>
      </c>
      <c r="AJ659" s="11"/>
      <c r="AK659" s="11"/>
      <c r="AL659" s="11"/>
      <c r="AM659" s="11"/>
      <c r="AN659" s="11"/>
      <c r="AO659" s="11"/>
      <c r="AP659" s="2" t="s">
        <v>70</v>
      </c>
      <c r="AQ659" s="11" t="str">
        <f>IF(I659&lt;&gt;"",DATA!D658,"")</f>
        <v>9015301000</v>
      </c>
    </row>
    <row r="660" spans="1:43" ht="15.75" x14ac:dyDescent="0.25">
      <c r="A660" s="11" t="s">
        <v>57</v>
      </c>
      <c r="B660" s="11" t="s">
        <v>56</v>
      </c>
      <c r="C660" s="22">
        <f t="shared" si="46"/>
        <v>25001620</v>
      </c>
      <c r="D660" s="11" t="str">
        <f t="shared" si="43"/>
        <v>SKIIFM_AT</v>
      </c>
      <c r="E660" s="11" t="str">
        <f>IF(I660&lt;&gt;"",VLOOKUP(F660,OPDRACHTGEVER!$A$2:$B$4,2,FALSE),"")</f>
        <v>SKIIFM_AT</v>
      </c>
      <c r="F660" s="11" t="s">
        <v>58</v>
      </c>
      <c r="I660" s="11" t="str">
        <f>IF(DATA!B659&lt;&gt;"",DATA!B659,"")</f>
        <v>DRYU9369693</v>
      </c>
      <c r="J660" s="12">
        <v>0</v>
      </c>
      <c r="K660" s="11" t="s">
        <v>53</v>
      </c>
      <c r="L660" s="11" t="str">
        <f t="shared" si="44"/>
        <v>741920</v>
      </c>
      <c r="M660" s="11" t="str">
        <f>IF(I660&lt;&gt;"",DATA!E659,"")</f>
        <v>LIFTING CHAIN</v>
      </c>
      <c r="N660" s="12">
        <v>0</v>
      </c>
      <c r="O660" s="11">
        <f>IF(I660&lt;&gt;"",DATA!C659,"")</f>
        <v>20.399999999999999</v>
      </c>
      <c r="P660" s="2">
        <v>294094</v>
      </c>
      <c r="Q660" s="2" t="s">
        <v>1304</v>
      </c>
      <c r="R660" s="2" t="s">
        <v>1319</v>
      </c>
      <c r="S660" s="2">
        <v>341</v>
      </c>
      <c r="T660" s="2">
        <v>1</v>
      </c>
      <c r="U660" s="2" t="s">
        <v>141</v>
      </c>
      <c r="Y660" s="2">
        <v>1700</v>
      </c>
      <c r="Z660" s="11" t="s">
        <v>54</v>
      </c>
      <c r="AA660" s="11" t="str">
        <f t="shared" si="45"/>
        <v>1700 - TBN</v>
      </c>
      <c r="AC660" s="2" t="s">
        <v>145</v>
      </c>
      <c r="AD660" s="11" t="str">
        <f>IF($I660&lt;&gt;"",VLOOKUP($AC660,GEADRESSEERDE!$A$2:$E$4,2,),"")</f>
        <v>LUITHAGEN HAVEN 2 D</v>
      </c>
      <c r="AE660" s="11">
        <f>IF($I660&lt;&gt;"",VLOOKUP($AC660,GEADRESSEERDE!$A$2:$E$4,3,),"")</f>
        <v>2030</v>
      </c>
      <c r="AF660" s="11" t="str">
        <f>IF($I660&lt;&gt;"",VLOOKUP($AC660,GEADRESSEERDE!$A$2:$E$4,4,),"")</f>
        <v>ANTWERPEN</v>
      </c>
      <c r="AG660" s="11" t="str">
        <f>IF($I660&lt;&gt;"",VLOOKUP($AC660,GEADRESSEERDE!$A$2:$E$4,5,),"")</f>
        <v>BE</v>
      </c>
      <c r="AH660" s="11" t="str">
        <f>IF(I660&lt;&gt;"",VLOOKUP(AP660,KvB!$A$2:$B$3,2,FALSE),"")</f>
        <v>BE101000</v>
      </c>
      <c r="AI660" s="11" t="s">
        <v>55</v>
      </c>
      <c r="AJ660" s="11"/>
      <c r="AK660" s="11"/>
      <c r="AL660" s="11"/>
      <c r="AM660" s="11"/>
      <c r="AN660" s="11"/>
      <c r="AO660" s="11"/>
      <c r="AP660" s="2" t="s">
        <v>70</v>
      </c>
      <c r="AQ660" s="11" t="str">
        <f>IF(I660&lt;&gt;"",DATA!D659,"")</f>
        <v>7419200090</v>
      </c>
    </row>
    <row r="661" spans="1:43" ht="15.75" x14ac:dyDescent="0.25">
      <c r="A661" s="11" t="s">
        <v>57</v>
      </c>
      <c r="B661" s="11" t="s">
        <v>56</v>
      </c>
      <c r="C661" s="22">
        <f t="shared" si="46"/>
        <v>25001620</v>
      </c>
      <c r="D661" s="11" t="str">
        <f t="shared" si="43"/>
        <v>SKIIFM_AT</v>
      </c>
      <c r="E661" s="11" t="str">
        <f>IF(I661&lt;&gt;"",VLOOKUP(F661,OPDRACHTGEVER!$A$2:$B$4,2,FALSE),"")</f>
        <v>SKIIFM_AT</v>
      </c>
      <c r="F661" s="11" t="s">
        <v>58</v>
      </c>
      <c r="I661" s="11" t="str">
        <f>IF(DATA!B660&lt;&gt;"",DATA!B660,"")</f>
        <v>DRYU9369693</v>
      </c>
      <c r="J661" s="12">
        <v>0</v>
      </c>
      <c r="K661" s="11" t="s">
        <v>53</v>
      </c>
      <c r="L661" s="11" t="str">
        <f t="shared" si="44"/>
        <v>830230</v>
      </c>
      <c r="M661" s="11" t="str">
        <f>IF(I661&lt;&gt;"",DATA!E660,"")</f>
        <v>LIFTING JACK</v>
      </c>
      <c r="N661" s="12">
        <v>0</v>
      </c>
      <c r="O661" s="11">
        <f>IF(I661&lt;&gt;"",DATA!C660,"")</f>
        <v>359.7</v>
      </c>
      <c r="P661" s="2">
        <v>294094</v>
      </c>
      <c r="Q661" s="2" t="s">
        <v>1304</v>
      </c>
      <c r="R661" s="2" t="s">
        <v>1319</v>
      </c>
      <c r="S661" s="2">
        <v>341</v>
      </c>
      <c r="T661" s="2">
        <v>1</v>
      </c>
      <c r="U661" s="2" t="s">
        <v>141</v>
      </c>
      <c r="Y661" s="2">
        <v>1700</v>
      </c>
      <c r="Z661" s="11" t="s">
        <v>54</v>
      </c>
      <c r="AA661" s="11" t="str">
        <f t="shared" si="45"/>
        <v>1700 - TBN</v>
      </c>
      <c r="AC661" s="2" t="s">
        <v>145</v>
      </c>
      <c r="AD661" s="11" t="str">
        <f>IF($I661&lt;&gt;"",VLOOKUP($AC661,GEADRESSEERDE!$A$2:$E$4,2,),"")</f>
        <v>LUITHAGEN HAVEN 2 D</v>
      </c>
      <c r="AE661" s="11">
        <f>IF($I661&lt;&gt;"",VLOOKUP($AC661,GEADRESSEERDE!$A$2:$E$4,3,),"")</f>
        <v>2030</v>
      </c>
      <c r="AF661" s="11" t="str">
        <f>IF($I661&lt;&gt;"",VLOOKUP($AC661,GEADRESSEERDE!$A$2:$E$4,4,),"")</f>
        <v>ANTWERPEN</v>
      </c>
      <c r="AG661" s="11" t="str">
        <f>IF($I661&lt;&gt;"",VLOOKUP($AC661,GEADRESSEERDE!$A$2:$E$4,5,),"")</f>
        <v>BE</v>
      </c>
      <c r="AH661" s="11" t="str">
        <f>IF(I661&lt;&gt;"",VLOOKUP(AP661,KvB!$A$2:$B$3,2,FALSE),"")</f>
        <v>BE101000</v>
      </c>
      <c r="AI661" s="11" t="s">
        <v>55</v>
      </c>
      <c r="AJ661" s="11"/>
      <c r="AK661" s="11"/>
      <c r="AL661" s="11"/>
      <c r="AM661" s="11"/>
      <c r="AN661" s="11"/>
      <c r="AO661" s="11"/>
      <c r="AP661" s="2" t="s">
        <v>70</v>
      </c>
      <c r="AQ661" s="11" t="str">
        <f>IF(I661&lt;&gt;"",DATA!D660,"")</f>
        <v>8302300020</v>
      </c>
    </row>
    <row r="662" spans="1:43" ht="15.75" x14ac:dyDescent="0.25">
      <c r="A662" s="11" t="s">
        <v>57</v>
      </c>
      <c r="B662" s="11" t="s">
        <v>56</v>
      </c>
      <c r="C662" s="22">
        <f t="shared" si="46"/>
        <v>25001620</v>
      </c>
      <c r="D662" s="11" t="str">
        <f t="shared" si="43"/>
        <v>SKIIFM_AT</v>
      </c>
      <c r="E662" s="11" t="str">
        <f>IF(I662&lt;&gt;"",VLOOKUP(F662,OPDRACHTGEVER!$A$2:$B$4,2,FALSE),"")</f>
        <v>SKIIFM_AT</v>
      </c>
      <c r="F662" s="11" t="s">
        <v>58</v>
      </c>
      <c r="I662" s="11" t="str">
        <f>IF(DATA!B661&lt;&gt;"",DATA!B661,"")</f>
        <v>DRYU9369693</v>
      </c>
      <c r="J662" s="12">
        <v>0</v>
      </c>
      <c r="K662" s="11" t="s">
        <v>53</v>
      </c>
      <c r="L662" s="11" t="str">
        <f t="shared" si="44"/>
        <v>850131</v>
      </c>
      <c r="M662" s="11" t="str">
        <f>IF(I662&lt;&gt;"",DATA!E661,"")</f>
        <v>LINEAR ACTUATOR</v>
      </c>
      <c r="N662" s="12">
        <v>0</v>
      </c>
      <c r="O662" s="11">
        <f>IF(I662&lt;&gt;"",DATA!C661,"")</f>
        <v>1.8</v>
      </c>
      <c r="P662" s="2">
        <v>294094</v>
      </c>
      <c r="Q662" s="2" t="s">
        <v>1304</v>
      </c>
      <c r="R662" s="2" t="s">
        <v>1319</v>
      </c>
      <c r="S662" s="2">
        <v>341</v>
      </c>
      <c r="T662" s="2">
        <v>1</v>
      </c>
      <c r="U662" s="2" t="s">
        <v>141</v>
      </c>
      <c r="Y662" s="2">
        <v>1700</v>
      </c>
      <c r="Z662" s="11" t="s">
        <v>54</v>
      </c>
      <c r="AA662" s="11" t="str">
        <f t="shared" si="45"/>
        <v>1700 - TBN</v>
      </c>
      <c r="AC662" s="2" t="s">
        <v>145</v>
      </c>
      <c r="AD662" s="11" t="str">
        <f>IF($I662&lt;&gt;"",VLOOKUP($AC662,GEADRESSEERDE!$A$2:$E$4,2,),"")</f>
        <v>LUITHAGEN HAVEN 2 D</v>
      </c>
      <c r="AE662" s="11">
        <f>IF($I662&lt;&gt;"",VLOOKUP($AC662,GEADRESSEERDE!$A$2:$E$4,3,),"")</f>
        <v>2030</v>
      </c>
      <c r="AF662" s="11" t="str">
        <f>IF($I662&lt;&gt;"",VLOOKUP($AC662,GEADRESSEERDE!$A$2:$E$4,4,),"")</f>
        <v>ANTWERPEN</v>
      </c>
      <c r="AG662" s="11" t="str">
        <f>IF($I662&lt;&gt;"",VLOOKUP($AC662,GEADRESSEERDE!$A$2:$E$4,5,),"")</f>
        <v>BE</v>
      </c>
      <c r="AH662" s="11" t="str">
        <f>IF(I662&lt;&gt;"",VLOOKUP(AP662,KvB!$A$2:$B$3,2,FALSE),"")</f>
        <v>BE101000</v>
      </c>
      <c r="AI662" s="11" t="s">
        <v>55</v>
      </c>
      <c r="AJ662" s="11"/>
      <c r="AK662" s="11"/>
      <c r="AL662" s="11"/>
      <c r="AM662" s="11"/>
      <c r="AN662" s="11"/>
      <c r="AO662" s="11"/>
      <c r="AP662" s="2" t="s">
        <v>70</v>
      </c>
      <c r="AQ662" s="11" t="str">
        <f>IF(I662&lt;&gt;"",DATA!D661,"")</f>
        <v>8501310099</v>
      </c>
    </row>
    <row r="663" spans="1:43" ht="15.75" x14ac:dyDescent="0.25">
      <c r="A663" s="11" t="s">
        <v>57</v>
      </c>
      <c r="B663" s="11" t="s">
        <v>56</v>
      </c>
      <c r="C663" s="22">
        <f t="shared" si="46"/>
        <v>25001620</v>
      </c>
      <c r="D663" s="11" t="str">
        <f t="shared" si="43"/>
        <v>SKIIFM_AT</v>
      </c>
      <c r="E663" s="11" t="str">
        <f>IF(I663&lt;&gt;"",VLOOKUP(F663,OPDRACHTGEVER!$A$2:$B$4,2,FALSE),"")</f>
        <v>SKIIFM_AT</v>
      </c>
      <c r="F663" s="11" t="s">
        <v>58</v>
      </c>
      <c r="I663" s="11" t="str">
        <f>IF(DATA!B662&lt;&gt;"",DATA!B662,"")</f>
        <v>DRYU9369693</v>
      </c>
      <c r="J663" s="12">
        <v>0</v>
      </c>
      <c r="K663" s="11" t="s">
        <v>53</v>
      </c>
      <c r="L663" s="11" t="str">
        <f t="shared" si="44"/>
        <v>820750</v>
      </c>
      <c r="M663" s="11" t="str">
        <f>IF(I663&lt;&gt;"",DATA!E662,"")</f>
        <v>MAGNETIC DRILL</v>
      </c>
      <c r="N663" s="12">
        <v>0</v>
      </c>
      <c r="O663" s="11">
        <f>IF(I663&lt;&gt;"",DATA!C662,"")</f>
        <v>1.4</v>
      </c>
      <c r="P663" s="2">
        <v>294094</v>
      </c>
      <c r="Q663" s="2" t="s">
        <v>1304</v>
      </c>
      <c r="R663" s="2" t="s">
        <v>1319</v>
      </c>
      <c r="S663" s="2">
        <v>341</v>
      </c>
      <c r="T663" s="2">
        <v>1</v>
      </c>
      <c r="U663" s="2" t="s">
        <v>141</v>
      </c>
      <c r="Y663" s="2">
        <v>1700</v>
      </c>
      <c r="Z663" s="11" t="s">
        <v>54</v>
      </c>
      <c r="AA663" s="11" t="str">
        <f t="shared" si="45"/>
        <v>1700 - TBN</v>
      </c>
      <c r="AC663" s="2" t="s">
        <v>145</v>
      </c>
      <c r="AD663" s="11" t="str">
        <f>IF($I663&lt;&gt;"",VLOOKUP($AC663,GEADRESSEERDE!$A$2:$E$4,2,),"")</f>
        <v>LUITHAGEN HAVEN 2 D</v>
      </c>
      <c r="AE663" s="11">
        <f>IF($I663&lt;&gt;"",VLOOKUP($AC663,GEADRESSEERDE!$A$2:$E$4,3,),"")</f>
        <v>2030</v>
      </c>
      <c r="AF663" s="11" t="str">
        <f>IF($I663&lt;&gt;"",VLOOKUP($AC663,GEADRESSEERDE!$A$2:$E$4,4,),"")</f>
        <v>ANTWERPEN</v>
      </c>
      <c r="AG663" s="11" t="str">
        <f>IF($I663&lt;&gt;"",VLOOKUP($AC663,GEADRESSEERDE!$A$2:$E$4,5,),"")</f>
        <v>BE</v>
      </c>
      <c r="AH663" s="11" t="str">
        <f>IF(I663&lt;&gt;"",VLOOKUP(AP663,KvB!$A$2:$B$3,2,FALSE),"")</f>
        <v>BE101000</v>
      </c>
      <c r="AI663" s="11" t="s">
        <v>55</v>
      </c>
      <c r="AJ663" s="11"/>
      <c r="AK663" s="11"/>
      <c r="AL663" s="11"/>
      <c r="AM663" s="11"/>
      <c r="AN663" s="11"/>
      <c r="AO663" s="11"/>
      <c r="AP663" s="2" t="s">
        <v>70</v>
      </c>
      <c r="AQ663" s="11" t="str">
        <f>IF(I663&lt;&gt;"",DATA!D662,"")</f>
        <v>8207509000</v>
      </c>
    </row>
    <row r="664" spans="1:43" ht="15.75" x14ac:dyDescent="0.25">
      <c r="A664" s="11" t="s">
        <v>57</v>
      </c>
      <c r="B664" s="11" t="s">
        <v>56</v>
      </c>
      <c r="C664" s="22">
        <f t="shared" si="46"/>
        <v>25001620</v>
      </c>
      <c r="D664" s="11" t="str">
        <f t="shared" si="43"/>
        <v>SKIIFM_AT</v>
      </c>
      <c r="E664" s="11" t="str">
        <f>IF(I664&lt;&gt;"",VLOOKUP(F664,OPDRACHTGEVER!$A$2:$B$4,2,FALSE),"")</f>
        <v>SKIIFM_AT</v>
      </c>
      <c r="F664" s="11" t="s">
        <v>58</v>
      </c>
      <c r="I664" s="11" t="str">
        <f>IF(DATA!B663&lt;&gt;"",DATA!B663,"")</f>
        <v>DRYU9369693</v>
      </c>
      <c r="J664" s="12">
        <v>0</v>
      </c>
      <c r="K664" s="11" t="s">
        <v>53</v>
      </c>
      <c r="L664" s="11" t="str">
        <f t="shared" si="44"/>
        <v>820559</v>
      </c>
      <c r="M664" s="11" t="str">
        <f>IF(I664&lt;&gt;"",DATA!E663,"")</f>
        <v>MANUAL PIPE BENDER</v>
      </c>
      <c r="N664" s="12">
        <v>0</v>
      </c>
      <c r="O664" s="11">
        <f>IF(I664&lt;&gt;"",DATA!C663,"")</f>
        <v>24.45</v>
      </c>
      <c r="P664" s="2">
        <v>294094</v>
      </c>
      <c r="Q664" s="2" t="s">
        <v>1304</v>
      </c>
      <c r="R664" s="2" t="s">
        <v>1319</v>
      </c>
      <c r="S664" s="2">
        <v>341</v>
      </c>
      <c r="T664" s="2">
        <v>1</v>
      </c>
      <c r="U664" s="2" t="s">
        <v>141</v>
      </c>
      <c r="Y664" s="2">
        <v>1700</v>
      </c>
      <c r="Z664" s="11" t="s">
        <v>54</v>
      </c>
      <c r="AA664" s="11" t="str">
        <f t="shared" si="45"/>
        <v>1700 - TBN</v>
      </c>
      <c r="AC664" s="2" t="s">
        <v>145</v>
      </c>
      <c r="AD664" s="11" t="str">
        <f>IF($I664&lt;&gt;"",VLOOKUP($AC664,GEADRESSEERDE!$A$2:$E$4,2,),"")</f>
        <v>LUITHAGEN HAVEN 2 D</v>
      </c>
      <c r="AE664" s="11">
        <f>IF($I664&lt;&gt;"",VLOOKUP($AC664,GEADRESSEERDE!$A$2:$E$4,3,),"")</f>
        <v>2030</v>
      </c>
      <c r="AF664" s="11" t="str">
        <f>IF($I664&lt;&gt;"",VLOOKUP($AC664,GEADRESSEERDE!$A$2:$E$4,4,),"")</f>
        <v>ANTWERPEN</v>
      </c>
      <c r="AG664" s="11" t="str">
        <f>IF($I664&lt;&gt;"",VLOOKUP($AC664,GEADRESSEERDE!$A$2:$E$4,5,),"")</f>
        <v>BE</v>
      </c>
      <c r="AH664" s="11" t="str">
        <f>IF(I664&lt;&gt;"",VLOOKUP(AP664,KvB!$A$2:$B$3,2,FALSE),"")</f>
        <v>BE101000</v>
      </c>
      <c r="AI664" s="11" t="s">
        <v>55</v>
      </c>
      <c r="AJ664" s="11"/>
      <c r="AK664" s="11"/>
      <c r="AL664" s="11"/>
      <c r="AM664" s="11"/>
      <c r="AN664" s="11"/>
      <c r="AO664" s="11"/>
      <c r="AP664" s="2" t="s">
        <v>70</v>
      </c>
      <c r="AQ664" s="11" t="str">
        <f>IF(I664&lt;&gt;"",DATA!D663,"")</f>
        <v>8205598000</v>
      </c>
    </row>
    <row r="665" spans="1:43" ht="15.75" x14ac:dyDescent="0.25">
      <c r="A665" s="11" t="s">
        <v>57</v>
      </c>
      <c r="B665" s="11" t="s">
        <v>56</v>
      </c>
      <c r="C665" s="22">
        <f t="shared" si="46"/>
        <v>25001620</v>
      </c>
      <c r="D665" s="11" t="str">
        <f t="shared" si="43"/>
        <v>SKIIFM_AT</v>
      </c>
      <c r="E665" s="11" t="str">
        <f>IF(I665&lt;&gt;"",VLOOKUP(F665,OPDRACHTGEVER!$A$2:$B$4,2,FALSE),"")</f>
        <v>SKIIFM_AT</v>
      </c>
      <c r="F665" s="11" t="s">
        <v>58</v>
      </c>
      <c r="I665" s="11" t="str">
        <f>IF(DATA!B664&lt;&gt;"",DATA!B664,"")</f>
        <v>DRYU9369693</v>
      </c>
      <c r="J665" s="12">
        <v>0</v>
      </c>
      <c r="K665" s="11" t="s">
        <v>53</v>
      </c>
      <c r="L665" s="11" t="str">
        <f t="shared" si="44"/>
        <v>846693</v>
      </c>
      <c r="M665" s="11" t="str">
        <f>IF(I665&lt;&gt;"",DATA!E664,"")</f>
        <v>MILLING MACHINE TABLE</v>
      </c>
      <c r="N665" s="12">
        <v>0</v>
      </c>
      <c r="O665" s="11">
        <f>IF(I665&lt;&gt;"",DATA!C664,"")</f>
        <v>6.6</v>
      </c>
      <c r="P665" s="2">
        <v>294094</v>
      </c>
      <c r="Q665" s="2" t="s">
        <v>1304</v>
      </c>
      <c r="R665" s="2" t="s">
        <v>1319</v>
      </c>
      <c r="S665" s="2">
        <v>341</v>
      </c>
      <c r="T665" s="2">
        <v>1</v>
      </c>
      <c r="U665" s="2" t="s">
        <v>141</v>
      </c>
      <c r="Y665" s="2">
        <v>1700</v>
      </c>
      <c r="Z665" s="11" t="s">
        <v>54</v>
      </c>
      <c r="AA665" s="11" t="str">
        <f t="shared" si="45"/>
        <v>1700 - TBN</v>
      </c>
      <c r="AC665" s="2" t="s">
        <v>145</v>
      </c>
      <c r="AD665" s="11" t="str">
        <f>IF($I665&lt;&gt;"",VLOOKUP($AC665,GEADRESSEERDE!$A$2:$E$4,2,),"")</f>
        <v>LUITHAGEN HAVEN 2 D</v>
      </c>
      <c r="AE665" s="11">
        <f>IF($I665&lt;&gt;"",VLOOKUP($AC665,GEADRESSEERDE!$A$2:$E$4,3,),"")</f>
        <v>2030</v>
      </c>
      <c r="AF665" s="11" t="str">
        <f>IF($I665&lt;&gt;"",VLOOKUP($AC665,GEADRESSEERDE!$A$2:$E$4,4,),"")</f>
        <v>ANTWERPEN</v>
      </c>
      <c r="AG665" s="11" t="str">
        <f>IF($I665&lt;&gt;"",VLOOKUP($AC665,GEADRESSEERDE!$A$2:$E$4,5,),"")</f>
        <v>BE</v>
      </c>
      <c r="AH665" s="11" t="str">
        <f>IF(I665&lt;&gt;"",VLOOKUP(AP665,KvB!$A$2:$B$3,2,FALSE),"")</f>
        <v>BE101000</v>
      </c>
      <c r="AI665" s="11" t="s">
        <v>55</v>
      </c>
      <c r="AJ665" s="11"/>
      <c r="AK665" s="11"/>
      <c r="AL665" s="11"/>
      <c r="AM665" s="11"/>
      <c r="AN665" s="11"/>
      <c r="AO665" s="11"/>
      <c r="AP665" s="2" t="s">
        <v>70</v>
      </c>
      <c r="AQ665" s="11" t="str">
        <f>IF(I665&lt;&gt;"",DATA!D664,"")</f>
        <v>8466936000</v>
      </c>
    </row>
    <row r="666" spans="1:43" ht="15.75" x14ac:dyDescent="0.25">
      <c r="A666" s="11" t="s">
        <v>57</v>
      </c>
      <c r="B666" s="11" t="s">
        <v>56</v>
      </c>
      <c r="C666" s="22">
        <f t="shared" si="46"/>
        <v>25001620</v>
      </c>
      <c r="D666" s="11" t="str">
        <f t="shared" si="43"/>
        <v>SKIIFM_AT</v>
      </c>
      <c r="E666" s="11" t="str">
        <f>IF(I666&lt;&gt;"",VLOOKUP(F666,OPDRACHTGEVER!$A$2:$B$4,2,FALSE),"")</f>
        <v>SKIIFM_AT</v>
      </c>
      <c r="F666" s="11" t="s">
        <v>58</v>
      </c>
      <c r="I666" s="11" t="str">
        <f>IF(DATA!B665&lt;&gt;"",DATA!B665,"")</f>
        <v>DRYU9369693</v>
      </c>
      <c r="J666" s="12">
        <v>0</v>
      </c>
      <c r="K666" s="11" t="s">
        <v>53</v>
      </c>
      <c r="L666" s="11" t="str">
        <f t="shared" si="44"/>
        <v>842820</v>
      </c>
      <c r="M666" s="11" t="str">
        <f>IF(I666&lt;&gt;"",DATA!E665,"")</f>
        <v>MOTORCYCLE LIFT STAND</v>
      </c>
      <c r="N666" s="12">
        <v>0</v>
      </c>
      <c r="O666" s="11">
        <f>IF(I666&lt;&gt;"",DATA!C665,"")</f>
        <v>288.45</v>
      </c>
      <c r="P666" s="2">
        <v>294094</v>
      </c>
      <c r="Q666" s="2" t="s">
        <v>1304</v>
      </c>
      <c r="R666" s="2" t="s">
        <v>1319</v>
      </c>
      <c r="S666" s="2">
        <v>341</v>
      </c>
      <c r="T666" s="2">
        <v>1</v>
      </c>
      <c r="U666" s="2" t="s">
        <v>141</v>
      </c>
      <c r="Y666" s="2">
        <v>1700</v>
      </c>
      <c r="Z666" s="11" t="s">
        <v>54</v>
      </c>
      <c r="AA666" s="11" t="str">
        <f t="shared" si="45"/>
        <v>1700 - TBN</v>
      </c>
      <c r="AC666" s="2" t="s">
        <v>145</v>
      </c>
      <c r="AD666" s="11" t="str">
        <f>IF($I666&lt;&gt;"",VLOOKUP($AC666,GEADRESSEERDE!$A$2:$E$4,2,),"")</f>
        <v>LUITHAGEN HAVEN 2 D</v>
      </c>
      <c r="AE666" s="11">
        <f>IF($I666&lt;&gt;"",VLOOKUP($AC666,GEADRESSEERDE!$A$2:$E$4,3,),"")</f>
        <v>2030</v>
      </c>
      <c r="AF666" s="11" t="str">
        <f>IF($I666&lt;&gt;"",VLOOKUP($AC666,GEADRESSEERDE!$A$2:$E$4,4,),"")</f>
        <v>ANTWERPEN</v>
      </c>
      <c r="AG666" s="11" t="str">
        <f>IF($I666&lt;&gt;"",VLOOKUP($AC666,GEADRESSEERDE!$A$2:$E$4,5,),"")</f>
        <v>BE</v>
      </c>
      <c r="AH666" s="11" t="str">
        <f>IF(I666&lt;&gt;"",VLOOKUP(AP666,KvB!$A$2:$B$3,2,FALSE),"")</f>
        <v>BE101000</v>
      </c>
      <c r="AI666" s="11" t="s">
        <v>55</v>
      </c>
      <c r="AJ666" s="11"/>
      <c r="AK666" s="11"/>
      <c r="AL666" s="11"/>
      <c r="AM666" s="11"/>
      <c r="AN666" s="11"/>
      <c r="AO666" s="11"/>
      <c r="AP666" s="2" t="s">
        <v>70</v>
      </c>
      <c r="AQ666" s="11" t="str">
        <f>IF(I666&lt;&gt;"",DATA!D665,"")</f>
        <v>8428208000</v>
      </c>
    </row>
    <row r="667" spans="1:43" ht="15.75" x14ac:dyDescent="0.25">
      <c r="A667" s="11" t="s">
        <v>57</v>
      </c>
      <c r="B667" s="11" t="s">
        <v>56</v>
      </c>
      <c r="C667" s="22">
        <f t="shared" si="46"/>
        <v>25001620</v>
      </c>
      <c r="D667" s="11" t="str">
        <f t="shared" si="43"/>
        <v>SKIIFM_AT</v>
      </c>
      <c r="E667" s="11" t="str">
        <f>IF(I667&lt;&gt;"",VLOOKUP(F667,OPDRACHTGEVER!$A$2:$B$4,2,FALSE),"")</f>
        <v>SKIIFM_AT</v>
      </c>
      <c r="F667" s="11" t="s">
        <v>58</v>
      </c>
      <c r="I667" s="11" t="str">
        <f>IF(DATA!B666&lt;&gt;"",DATA!B666,"")</f>
        <v>DRYU9369693</v>
      </c>
      <c r="J667" s="12">
        <v>0</v>
      </c>
      <c r="K667" s="11" t="s">
        <v>53</v>
      </c>
      <c r="L667" s="11" t="str">
        <f t="shared" si="44"/>
        <v>854370</v>
      </c>
      <c r="M667" s="11" t="str">
        <f>IF(I667&lt;&gt;"",DATA!E666,"")</f>
        <v>OZONE GENERATOR</v>
      </c>
      <c r="N667" s="12">
        <v>0</v>
      </c>
      <c r="O667" s="11">
        <f>IF(I667&lt;&gt;"",DATA!C666,"")</f>
        <v>192</v>
      </c>
      <c r="P667" s="2">
        <v>294094</v>
      </c>
      <c r="Q667" s="2" t="s">
        <v>1304</v>
      </c>
      <c r="R667" s="2" t="s">
        <v>1319</v>
      </c>
      <c r="S667" s="2">
        <v>341</v>
      </c>
      <c r="T667" s="2">
        <v>1</v>
      </c>
      <c r="U667" s="2" t="s">
        <v>141</v>
      </c>
      <c r="Y667" s="2">
        <v>1700</v>
      </c>
      <c r="Z667" s="11" t="s">
        <v>54</v>
      </c>
      <c r="AA667" s="11" t="str">
        <f t="shared" si="45"/>
        <v>1700 - TBN</v>
      </c>
      <c r="AC667" s="2" t="s">
        <v>145</v>
      </c>
      <c r="AD667" s="11" t="str">
        <f>IF($I667&lt;&gt;"",VLOOKUP($AC667,GEADRESSEERDE!$A$2:$E$4,2,),"")</f>
        <v>LUITHAGEN HAVEN 2 D</v>
      </c>
      <c r="AE667" s="11">
        <f>IF($I667&lt;&gt;"",VLOOKUP($AC667,GEADRESSEERDE!$A$2:$E$4,3,),"")</f>
        <v>2030</v>
      </c>
      <c r="AF667" s="11" t="str">
        <f>IF($I667&lt;&gt;"",VLOOKUP($AC667,GEADRESSEERDE!$A$2:$E$4,4,),"")</f>
        <v>ANTWERPEN</v>
      </c>
      <c r="AG667" s="11" t="str">
        <f>IF($I667&lt;&gt;"",VLOOKUP($AC667,GEADRESSEERDE!$A$2:$E$4,5,),"")</f>
        <v>BE</v>
      </c>
      <c r="AH667" s="11" t="str">
        <f>IF(I667&lt;&gt;"",VLOOKUP(AP667,KvB!$A$2:$B$3,2,FALSE),"")</f>
        <v>BE101000</v>
      </c>
      <c r="AI667" s="11" t="s">
        <v>55</v>
      </c>
      <c r="AJ667" s="11"/>
      <c r="AK667" s="11"/>
      <c r="AL667" s="11"/>
      <c r="AM667" s="11"/>
      <c r="AN667" s="11"/>
      <c r="AO667" s="11"/>
      <c r="AP667" s="2" t="s">
        <v>70</v>
      </c>
      <c r="AQ667" s="11" t="str">
        <f>IF(I667&lt;&gt;"",DATA!D666,"")</f>
        <v>8543709099</v>
      </c>
    </row>
    <row r="668" spans="1:43" ht="15.75" x14ac:dyDescent="0.25">
      <c r="A668" s="11" t="s">
        <v>57</v>
      </c>
      <c r="B668" s="11" t="s">
        <v>56</v>
      </c>
      <c r="C668" s="22">
        <f t="shared" si="46"/>
        <v>25001620</v>
      </c>
      <c r="D668" s="11" t="str">
        <f t="shared" si="43"/>
        <v>SKIIFM_AT</v>
      </c>
      <c r="E668" s="11" t="str">
        <f>IF(I668&lt;&gt;"",VLOOKUP(F668,OPDRACHTGEVER!$A$2:$B$4,2,FALSE),"")</f>
        <v>SKIIFM_AT</v>
      </c>
      <c r="F668" s="11" t="s">
        <v>58</v>
      </c>
      <c r="I668" s="11" t="str">
        <f>IF(DATA!B667&lt;&gt;"",DATA!B667,"")</f>
        <v>DRYU9369693</v>
      </c>
      <c r="J668" s="12">
        <v>0</v>
      </c>
      <c r="K668" s="11" t="s">
        <v>53</v>
      </c>
      <c r="L668" s="11" t="str">
        <f t="shared" si="44"/>
        <v>420292</v>
      </c>
      <c r="M668" s="11" t="str">
        <f>IF(I668&lt;&gt;"",DATA!E667,"")</f>
        <v>PET CARRIER WITH WHEELS</v>
      </c>
      <c r="N668" s="12">
        <v>0</v>
      </c>
      <c r="O668" s="11">
        <f>IF(I668&lt;&gt;"",DATA!C667,"")</f>
        <v>90.3</v>
      </c>
      <c r="P668" s="2">
        <v>294094</v>
      </c>
      <c r="Q668" s="2" t="s">
        <v>1304</v>
      </c>
      <c r="R668" s="2" t="s">
        <v>1319</v>
      </c>
      <c r="S668" s="2">
        <v>341</v>
      </c>
      <c r="T668" s="2">
        <v>1</v>
      </c>
      <c r="U668" s="2" t="s">
        <v>141</v>
      </c>
      <c r="Y668" s="2">
        <v>1700</v>
      </c>
      <c r="Z668" s="11" t="s">
        <v>54</v>
      </c>
      <c r="AA668" s="11" t="str">
        <f t="shared" si="45"/>
        <v>1700 - TBN</v>
      </c>
      <c r="AC668" s="2" t="s">
        <v>145</v>
      </c>
      <c r="AD668" s="11" t="str">
        <f>IF($I668&lt;&gt;"",VLOOKUP($AC668,GEADRESSEERDE!$A$2:$E$4,2,),"")</f>
        <v>LUITHAGEN HAVEN 2 D</v>
      </c>
      <c r="AE668" s="11">
        <f>IF($I668&lt;&gt;"",VLOOKUP($AC668,GEADRESSEERDE!$A$2:$E$4,3,),"")</f>
        <v>2030</v>
      </c>
      <c r="AF668" s="11" t="str">
        <f>IF($I668&lt;&gt;"",VLOOKUP($AC668,GEADRESSEERDE!$A$2:$E$4,4,),"")</f>
        <v>ANTWERPEN</v>
      </c>
      <c r="AG668" s="11" t="str">
        <f>IF($I668&lt;&gt;"",VLOOKUP($AC668,GEADRESSEERDE!$A$2:$E$4,5,),"")</f>
        <v>BE</v>
      </c>
      <c r="AH668" s="11" t="str">
        <f>IF(I668&lt;&gt;"",VLOOKUP(AP668,KvB!$A$2:$B$3,2,FALSE),"")</f>
        <v>BE101000</v>
      </c>
      <c r="AI668" s="11" t="s">
        <v>55</v>
      </c>
      <c r="AJ668" s="11"/>
      <c r="AK668" s="11"/>
      <c r="AL668" s="11"/>
      <c r="AM668" s="11"/>
      <c r="AN668" s="11"/>
      <c r="AO668" s="11"/>
      <c r="AP668" s="2" t="s">
        <v>70</v>
      </c>
      <c r="AQ668" s="11" t="str">
        <f>IF(I668&lt;&gt;"",DATA!D667,"")</f>
        <v>4202929890</v>
      </c>
    </row>
    <row r="669" spans="1:43" ht="15.75" x14ac:dyDescent="0.25">
      <c r="A669" s="11" t="s">
        <v>57</v>
      </c>
      <c r="B669" s="11" t="s">
        <v>56</v>
      </c>
      <c r="C669" s="22">
        <f t="shared" si="46"/>
        <v>25001620</v>
      </c>
      <c r="D669" s="11" t="str">
        <f t="shared" si="43"/>
        <v>SKIIFM_AT</v>
      </c>
      <c r="E669" s="11" t="str">
        <f>IF(I669&lt;&gt;"",VLOOKUP(F669,OPDRACHTGEVER!$A$2:$B$4,2,FALSE),"")</f>
        <v>SKIIFM_AT</v>
      </c>
      <c r="F669" s="11" t="s">
        <v>58</v>
      </c>
      <c r="I669" s="11" t="str">
        <f>IF(DATA!B668&lt;&gt;"",DATA!B668,"")</f>
        <v>DRYU9369693</v>
      </c>
      <c r="J669" s="12">
        <v>0</v>
      </c>
      <c r="K669" s="11" t="s">
        <v>53</v>
      </c>
      <c r="L669" s="11" t="str">
        <f t="shared" si="44"/>
        <v>820320</v>
      </c>
      <c r="M669" s="11" t="str">
        <f>IF(I669&lt;&gt;"",DATA!E668,"")</f>
        <v>PIPE CLAMP</v>
      </c>
      <c r="N669" s="12">
        <v>0</v>
      </c>
      <c r="O669" s="11">
        <f>IF(I669&lt;&gt;"",DATA!C668,"")</f>
        <v>10.45</v>
      </c>
      <c r="P669" s="2">
        <v>294094</v>
      </c>
      <c r="Q669" s="2" t="s">
        <v>1304</v>
      </c>
      <c r="R669" s="2" t="s">
        <v>1319</v>
      </c>
      <c r="S669" s="2">
        <v>341</v>
      </c>
      <c r="T669" s="2">
        <v>1</v>
      </c>
      <c r="U669" s="2" t="s">
        <v>141</v>
      </c>
      <c r="Y669" s="2">
        <v>1700</v>
      </c>
      <c r="Z669" s="11" t="s">
        <v>54</v>
      </c>
      <c r="AA669" s="11" t="str">
        <f t="shared" si="45"/>
        <v>1700 - TBN</v>
      </c>
      <c r="AC669" s="2" t="s">
        <v>145</v>
      </c>
      <c r="AD669" s="11" t="str">
        <f>IF($I669&lt;&gt;"",VLOOKUP($AC669,GEADRESSEERDE!$A$2:$E$4,2,),"")</f>
        <v>LUITHAGEN HAVEN 2 D</v>
      </c>
      <c r="AE669" s="11">
        <f>IF($I669&lt;&gt;"",VLOOKUP($AC669,GEADRESSEERDE!$A$2:$E$4,3,),"")</f>
        <v>2030</v>
      </c>
      <c r="AF669" s="11" t="str">
        <f>IF($I669&lt;&gt;"",VLOOKUP($AC669,GEADRESSEERDE!$A$2:$E$4,4,),"")</f>
        <v>ANTWERPEN</v>
      </c>
      <c r="AG669" s="11" t="str">
        <f>IF($I669&lt;&gt;"",VLOOKUP($AC669,GEADRESSEERDE!$A$2:$E$4,5,),"")</f>
        <v>BE</v>
      </c>
      <c r="AH669" s="11" t="str">
        <f>IF(I669&lt;&gt;"",VLOOKUP(AP669,KvB!$A$2:$B$3,2,FALSE),"")</f>
        <v>BE101000</v>
      </c>
      <c r="AI669" s="11" t="s">
        <v>55</v>
      </c>
      <c r="AJ669" s="11"/>
      <c r="AK669" s="11"/>
      <c r="AL669" s="11"/>
      <c r="AM669" s="11"/>
      <c r="AN669" s="11"/>
      <c r="AO669" s="11"/>
      <c r="AP669" s="2" t="s">
        <v>70</v>
      </c>
      <c r="AQ669" s="11" t="str">
        <f>IF(I669&lt;&gt;"",DATA!D668,"")</f>
        <v>8203200000</v>
      </c>
    </row>
    <row r="670" spans="1:43" ht="15.75" x14ac:dyDescent="0.25">
      <c r="A670" s="11" t="s">
        <v>57</v>
      </c>
      <c r="B670" s="11" t="s">
        <v>56</v>
      </c>
      <c r="C670" s="22">
        <f t="shared" si="46"/>
        <v>25001620</v>
      </c>
      <c r="D670" s="11" t="str">
        <f t="shared" si="43"/>
        <v>SKIIFM_AT</v>
      </c>
      <c r="E670" s="11" t="str">
        <f>IF(I670&lt;&gt;"",VLOOKUP(F670,OPDRACHTGEVER!$A$2:$B$4,2,FALSE),"")</f>
        <v>SKIIFM_AT</v>
      </c>
      <c r="F670" s="11" t="s">
        <v>58</v>
      </c>
      <c r="I670" s="11" t="str">
        <f>IF(DATA!B669&lt;&gt;"",DATA!B669,"")</f>
        <v>DRYU9369693</v>
      </c>
      <c r="J670" s="12">
        <v>0</v>
      </c>
      <c r="K670" s="11" t="s">
        <v>53</v>
      </c>
      <c r="L670" s="11" t="str">
        <f t="shared" si="44"/>
        <v>851660</v>
      </c>
      <c r="M670" s="11" t="str">
        <f>IF(I670&lt;&gt;"",DATA!E669,"")</f>
        <v>PIZZA OVEN</v>
      </c>
      <c r="N670" s="12">
        <v>0</v>
      </c>
      <c r="O670" s="11">
        <f>IF(I670&lt;&gt;"",DATA!C669,"")</f>
        <v>188</v>
      </c>
      <c r="P670" s="2">
        <v>294094</v>
      </c>
      <c r="Q670" s="2" t="s">
        <v>1304</v>
      </c>
      <c r="R670" s="2" t="s">
        <v>1319</v>
      </c>
      <c r="S670" s="2">
        <v>341</v>
      </c>
      <c r="T670" s="2">
        <v>1</v>
      </c>
      <c r="U670" s="2" t="s">
        <v>141</v>
      </c>
      <c r="Y670" s="2">
        <v>1700</v>
      </c>
      <c r="Z670" s="11" t="s">
        <v>54</v>
      </c>
      <c r="AA670" s="11" t="str">
        <f t="shared" si="45"/>
        <v>1700 - TBN</v>
      </c>
      <c r="AC670" s="2" t="s">
        <v>145</v>
      </c>
      <c r="AD670" s="11" t="str">
        <f>IF($I670&lt;&gt;"",VLOOKUP($AC670,GEADRESSEERDE!$A$2:$E$4,2,),"")</f>
        <v>LUITHAGEN HAVEN 2 D</v>
      </c>
      <c r="AE670" s="11">
        <f>IF($I670&lt;&gt;"",VLOOKUP($AC670,GEADRESSEERDE!$A$2:$E$4,3,),"")</f>
        <v>2030</v>
      </c>
      <c r="AF670" s="11" t="str">
        <f>IF($I670&lt;&gt;"",VLOOKUP($AC670,GEADRESSEERDE!$A$2:$E$4,4,),"")</f>
        <v>ANTWERPEN</v>
      </c>
      <c r="AG670" s="11" t="str">
        <f>IF($I670&lt;&gt;"",VLOOKUP($AC670,GEADRESSEERDE!$A$2:$E$4,5,),"")</f>
        <v>BE</v>
      </c>
      <c r="AH670" s="11" t="str">
        <f>IF(I670&lt;&gt;"",VLOOKUP(AP670,KvB!$A$2:$B$3,2,FALSE),"")</f>
        <v>BE101000</v>
      </c>
      <c r="AI670" s="11" t="s">
        <v>55</v>
      </c>
      <c r="AJ670" s="11"/>
      <c r="AK670" s="11"/>
      <c r="AL670" s="11"/>
      <c r="AM670" s="11"/>
      <c r="AN670" s="11"/>
      <c r="AO670" s="11"/>
      <c r="AP670" s="2" t="s">
        <v>70</v>
      </c>
      <c r="AQ670" s="11" t="str">
        <f>IF(I670&lt;&gt;"",DATA!D669,"")</f>
        <v>8516605000</v>
      </c>
    </row>
    <row r="671" spans="1:43" ht="15.75" x14ac:dyDescent="0.25">
      <c r="A671" s="11" t="s">
        <v>57</v>
      </c>
      <c r="B671" s="11" t="s">
        <v>56</v>
      </c>
      <c r="C671" s="22">
        <f t="shared" si="46"/>
        <v>25001620</v>
      </c>
      <c r="D671" s="11" t="str">
        <f t="shared" si="43"/>
        <v>SKIIFM_AT</v>
      </c>
      <c r="E671" s="11" t="str">
        <f>IF(I671&lt;&gt;"",VLOOKUP(F671,OPDRACHTGEVER!$A$2:$B$4,2,FALSE),"")</f>
        <v>SKIIFM_AT</v>
      </c>
      <c r="F671" s="11" t="s">
        <v>58</v>
      </c>
      <c r="I671" s="11" t="str">
        <f>IF(DATA!B670&lt;&gt;"",DATA!B670,"")</f>
        <v>DRYU9369693</v>
      </c>
      <c r="J671" s="12">
        <v>0</v>
      </c>
      <c r="K671" s="11" t="s">
        <v>53</v>
      </c>
      <c r="L671" s="11" t="str">
        <f t="shared" si="44"/>
        <v>940370</v>
      </c>
      <c r="M671" s="11" t="str">
        <f>IF(I671&lt;&gt;"",DATA!E670,"")</f>
        <v>PLATFORM</v>
      </c>
      <c r="N671" s="12">
        <v>0</v>
      </c>
      <c r="O671" s="11">
        <f>IF(I671&lt;&gt;"",DATA!C670,"")</f>
        <v>380.4</v>
      </c>
      <c r="P671" s="2">
        <v>294094</v>
      </c>
      <c r="Q671" s="2" t="s">
        <v>1304</v>
      </c>
      <c r="R671" s="2" t="s">
        <v>1319</v>
      </c>
      <c r="S671" s="2">
        <v>341</v>
      </c>
      <c r="T671" s="2">
        <v>1</v>
      </c>
      <c r="U671" s="2" t="s">
        <v>141</v>
      </c>
      <c r="Y671" s="2">
        <v>1700</v>
      </c>
      <c r="Z671" s="11" t="s">
        <v>54</v>
      </c>
      <c r="AA671" s="11" t="str">
        <f t="shared" si="45"/>
        <v>1700 - TBN</v>
      </c>
      <c r="AC671" s="2" t="s">
        <v>145</v>
      </c>
      <c r="AD671" s="11" t="str">
        <f>IF($I671&lt;&gt;"",VLOOKUP($AC671,GEADRESSEERDE!$A$2:$E$4,2,),"")</f>
        <v>LUITHAGEN HAVEN 2 D</v>
      </c>
      <c r="AE671" s="11">
        <f>IF($I671&lt;&gt;"",VLOOKUP($AC671,GEADRESSEERDE!$A$2:$E$4,3,),"")</f>
        <v>2030</v>
      </c>
      <c r="AF671" s="11" t="str">
        <f>IF($I671&lt;&gt;"",VLOOKUP($AC671,GEADRESSEERDE!$A$2:$E$4,4,),"")</f>
        <v>ANTWERPEN</v>
      </c>
      <c r="AG671" s="11" t="str">
        <f>IF($I671&lt;&gt;"",VLOOKUP($AC671,GEADRESSEERDE!$A$2:$E$4,5,),"")</f>
        <v>BE</v>
      </c>
      <c r="AH671" s="11" t="str">
        <f>IF(I671&lt;&gt;"",VLOOKUP(AP671,KvB!$A$2:$B$3,2,FALSE),"")</f>
        <v>BE101000</v>
      </c>
      <c r="AI671" s="11" t="s">
        <v>55</v>
      </c>
      <c r="AJ671" s="11"/>
      <c r="AK671" s="11"/>
      <c r="AL671" s="11"/>
      <c r="AM671" s="11"/>
      <c r="AN671" s="11"/>
      <c r="AO671" s="11"/>
      <c r="AP671" s="2" t="s">
        <v>70</v>
      </c>
      <c r="AQ671" s="11" t="str">
        <f>IF(I671&lt;&gt;"",DATA!D670,"")</f>
        <v>9403700000</v>
      </c>
    </row>
    <row r="672" spans="1:43" ht="15.75" x14ac:dyDescent="0.25">
      <c r="A672" s="11" t="s">
        <v>57</v>
      </c>
      <c r="B672" s="11" t="s">
        <v>56</v>
      </c>
      <c r="C672" s="22">
        <f t="shared" si="46"/>
        <v>25001620</v>
      </c>
      <c r="D672" s="11" t="str">
        <f t="shared" si="43"/>
        <v>SKIIFM_AT</v>
      </c>
      <c r="E672" s="11" t="str">
        <f>IF(I672&lt;&gt;"",VLOOKUP(F672,OPDRACHTGEVER!$A$2:$B$4,2,FALSE),"")</f>
        <v>SKIIFM_AT</v>
      </c>
      <c r="F672" s="11" t="s">
        <v>58</v>
      </c>
      <c r="I672" s="11" t="str">
        <f>IF(DATA!B671&lt;&gt;"",DATA!B671,"")</f>
        <v>DRYU9369693</v>
      </c>
      <c r="J672" s="12">
        <v>0</v>
      </c>
      <c r="K672" s="11" t="s">
        <v>53</v>
      </c>
      <c r="L672" s="11" t="str">
        <f t="shared" si="44"/>
        <v>842430</v>
      </c>
      <c r="M672" s="11" t="str">
        <f>IF(I672&lt;&gt;"",DATA!E671,"")</f>
        <v>POWDER COATING MACHINE</v>
      </c>
      <c r="N672" s="12">
        <v>0</v>
      </c>
      <c r="O672" s="11">
        <f>IF(I672&lt;&gt;"",DATA!C671,"")</f>
        <v>3444.85</v>
      </c>
      <c r="P672" s="2">
        <v>294094</v>
      </c>
      <c r="Q672" s="2" t="s">
        <v>1304</v>
      </c>
      <c r="R672" s="2" t="s">
        <v>1319</v>
      </c>
      <c r="S672" s="2">
        <v>341</v>
      </c>
      <c r="T672" s="2">
        <v>1</v>
      </c>
      <c r="U672" s="2" t="s">
        <v>141</v>
      </c>
      <c r="Y672" s="2">
        <v>1700</v>
      </c>
      <c r="Z672" s="11" t="s">
        <v>54</v>
      </c>
      <c r="AA672" s="11" t="str">
        <f t="shared" si="45"/>
        <v>1700 - TBN</v>
      </c>
      <c r="AC672" s="2" t="s">
        <v>145</v>
      </c>
      <c r="AD672" s="11" t="str">
        <f>IF($I672&lt;&gt;"",VLOOKUP($AC672,GEADRESSEERDE!$A$2:$E$4,2,),"")</f>
        <v>LUITHAGEN HAVEN 2 D</v>
      </c>
      <c r="AE672" s="11">
        <f>IF($I672&lt;&gt;"",VLOOKUP($AC672,GEADRESSEERDE!$A$2:$E$4,3,),"")</f>
        <v>2030</v>
      </c>
      <c r="AF672" s="11" t="str">
        <f>IF($I672&lt;&gt;"",VLOOKUP($AC672,GEADRESSEERDE!$A$2:$E$4,4,),"")</f>
        <v>ANTWERPEN</v>
      </c>
      <c r="AG672" s="11" t="str">
        <f>IF($I672&lt;&gt;"",VLOOKUP($AC672,GEADRESSEERDE!$A$2:$E$4,5,),"")</f>
        <v>BE</v>
      </c>
      <c r="AH672" s="11" t="str">
        <f>IF(I672&lt;&gt;"",VLOOKUP(AP672,KvB!$A$2:$B$3,2,FALSE),"")</f>
        <v>BE101000</v>
      </c>
      <c r="AI672" s="11" t="s">
        <v>55</v>
      </c>
      <c r="AJ672" s="11"/>
      <c r="AK672" s="11"/>
      <c r="AL672" s="11"/>
      <c r="AM672" s="11"/>
      <c r="AN672" s="11"/>
      <c r="AO672" s="11"/>
      <c r="AP672" s="2" t="s">
        <v>70</v>
      </c>
      <c r="AQ672" s="11" t="str">
        <f>IF(I672&lt;&gt;"",DATA!D671,"")</f>
        <v>8424301000</v>
      </c>
    </row>
    <row r="673" spans="1:43" ht="15.75" x14ac:dyDescent="0.25">
      <c r="A673" s="11" t="s">
        <v>57</v>
      </c>
      <c r="B673" s="11" t="s">
        <v>56</v>
      </c>
      <c r="C673" s="22">
        <f t="shared" si="46"/>
        <v>25001620</v>
      </c>
      <c r="D673" s="11" t="str">
        <f t="shared" si="43"/>
        <v>SKIIFM_AT</v>
      </c>
      <c r="E673" s="11" t="str">
        <f>IF(I673&lt;&gt;"",VLOOKUP(F673,OPDRACHTGEVER!$A$2:$B$4,2,FALSE),"")</f>
        <v>SKIIFM_AT</v>
      </c>
      <c r="F673" s="11" t="s">
        <v>58</v>
      </c>
      <c r="I673" s="11" t="str">
        <f>IF(DATA!B672&lt;&gt;"",DATA!B672,"")</f>
        <v>DRYU9369693</v>
      </c>
      <c r="J673" s="12">
        <v>0</v>
      </c>
      <c r="K673" s="11" t="s">
        <v>53</v>
      </c>
      <c r="L673" s="11" t="str">
        <f t="shared" si="44"/>
        <v>950691</v>
      </c>
      <c r="M673" s="11" t="str">
        <f>IF(I673&lt;&gt;"",DATA!E672,"")</f>
        <v>PROFESSIONAL CLIMBING ROPE</v>
      </c>
      <c r="N673" s="12">
        <v>0</v>
      </c>
      <c r="O673" s="11">
        <f>IF(I673&lt;&gt;"",DATA!C672,"")</f>
        <v>30.45</v>
      </c>
      <c r="P673" s="2">
        <v>294094</v>
      </c>
      <c r="Q673" s="2" t="s">
        <v>1304</v>
      </c>
      <c r="R673" s="2" t="s">
        <v>1319</v>
      </c>
      <c r="S673" s="2">
        <v>341</v>
      </c>
      <c r="T673" s="2">
        <v>1</v>
      </c>
      <c r="U673" s="2" t="s">
        <v>141</v>
      </c>
      <c r="Y673" s="2">
        <v>1700</v>
      </c>
      <c r="Z673" s="11" t="s">
        <v>54</v>
      </c>
      <c r="AA673" s="11" t="str">
        <f t="shared" si="45"/>
        <v>1700 - TBN</v>
      </c>
      <c r="AC673" s="2" t="s">
        <v>145</v>
      </c>
      <c r="AD673" s="11" t="str">
        <f>IF($I673&lt;&gt;"",VLOOKUP($AC673,GEADRESSEERDE!$A$2:$E$4,2,),"")</f>
        <v>LUITHAGEN HAVEN 2 D</v>
      </c>
      <c r="AE673" s="11">
        <f>IF($I673&lt;&gt;"",VLOOKUP($AC673,GEADRESSEERDE!$A$2:$E$4,3,),"")</f>
        <v>2030</v>
      </c>
      <c r="AF673" s="11" t="str">
        <f>IF($I673&lt;&gt;"",VLOOKUP($AC673,GEADRESSEERDE!$A$2:$E$4,4,),"")</f>
        <v>ANTWERPEN</v>
      </c>
      <c r="AG673" s="11" t="str">
        <f>IF($I673&lt;&gt;"",VLOOKUP($AC673,GEADRESSEERDE!$A$2:$E$4,5,),"")</f>
        <v>BE</v>
      </c>
      <c r="AH673" s="11" t="str">
        <f>IF(I673&lt;&gt;"",VLOOKUP(AP673,KvB!$A$2:$B$3,2,FALSE),"")</f>
        <v>BE101000</v>
      </c>
      <c r="AI673" s="11" t="s">
        <v>55</v>
      </c>
      <c r="AJ673" s="11"/>
      <c r="AK673" s="11"/>
      <c r="AL673" s="11"/>
      <c r="AM673" s="11"/>
      <c r="AN673" s="11"/>
      <c r="AO673" s="11"/>
      <c r="AP673" s="2" t="s">
        <v>70</v>
      </c>
      <c r="AQ673" s="11" t="str">
        <f>IF(I673&lt;&gt;"",DATA!D672,"")</f>
        <v>9506919000</v>
      </c>
    </row>
    <row r="674" spans="1:43" ht="15.75" x14ac:dyDescent="0.25">
      <c r="A674" s="11" t="s">
        <v>57</v>
      </c>
      <c r="B674" s="11" t="s">
        <v>56</v>
      </c>
      <c r="C674" s="22">
        <f t="shared" si="46"/>
        <v>25001620</v>
      </c>
      <c r="D674" s="11" t="str">
        <f t="shared" si="43"/>
        <v>SKIIFM_AT</v>
      </c>
      <c r="E674" s="11" t="str">
        <f>IF(I674&lt;&gt;"",VLOOKUP(F674,OPDRACHTGEVER!$A$2:$B$4,2,FALSE),"")</f>
        <v>SKIIFM_AT</v>
      </c>
      <c r="F674" s="11" t="s">
        <v>58</v>
      </c>
      <c r="I674" s="11" t="str">
        <f>IF(DATA!B673&lt;&gt;"",DATA!B673,"")</f>
        <v>DRYU9369693</v>
      </c>
      <c r="J674" s="12">
        <v>0</v>
      </c>
      <c r="K674" s="11" t="s">
        <v>53</v>
      </c>
      <c r="L674" s="11" t="str">
        <f t="shared" si="44"/>
        <v>848350</v>
      </c>
      <c r="M674" s="11" t="str">
        <f>IF(I674&lt;&gt;"",DATA!E673,"")</f>
        <v>PULLEY</v>
      </c>
      <c r="N674" s="12">
        <v>0</v>
      </c>
      <c r="O674" s="11">
        <f>IF(I674&lt;&gt;"",DATA!C673,"")</f>
        <v>11.25</v>
      </c>
      <c r="P674" s="2">
        <v>294094</v>
      </c>
      <c r="Q674" s="2" t="s">
        <v>1304</v>
      </c>
      <c r="R674" s="2" t="s">
        <v>1319</v>
      </c>
      <c r="S674" s="2">
        <v>341</v>
      </c>
      <c r="T674" s="2">
        <v>1</v>
      </c>
      <c r="U674" s="2" t="s">
        <v>141</v>
      </c>
      <c r="Y674" s="2">
        <v>1700</v>
      </c>
      <c r="Z674" s="11" t="s">
        <v>54</v>
      </c>
      <c r="AA674" s="11" t="str">
        <f t="shared" si="45"/>
        <v>1700 - TBN</v>
      </c>
      <c r="AC674" s="2" t="s">
        <v>145</v>
      </c>
      <c r="AD674" s="11" t="str">
        <f>IF($I674&lt;&gt;"",VLOOKUP($AC674,GEADRESSEERDE!$A$2:$E$4,2,),"")</f>
        <v>LUITHAGEN HAVEN 2 D</v>
      </c>
      <c r="AE674" s="11">
        <f>IF($I674&lt;&gt;"",VLOOKUP($AC674,GEADRESSEERDE!$A$2:$E$4,3,),"")</f>
        <v>2030</v>
      </c>
      <c r="AF674" s="11" t="str">
        <f>IF($I674&lt;&gt;"",VLOOKUP($AC674,GEADRESSEERDE!$A$2:$E$4,4,),"")</f>
        <v>ANTWERPEN</v>
      </c>
      <c r="AG674" s="11" t="str">
        <f>IF($I674&lt;&gt;"",VLOOKUP($AC674,GEADRESSEERDE!$A$2:$E$4,5,),"")</f>
        <v>BE</v>
      </c>
      <c r="AH674" s="11" t="str">
        <f>IF(I674&lt;&gt;"",VLOOKUP(AP674,KvB!$A$2:$B$3,2,FALSE),"")</f>
        <v>BE101000</v>
      </c>
      <c r="AI674" s="11" t="s">
        <v>55</v>
      </c>
      <c r="AJ674" s="11"/>
      <c r="AK674" s="11"/>
      <c r="AL674" s="11"/>
      <c r="AM674" s="11"/>
      <c r="AN674" s="11"/>
      <c r="AO674" s="11"/>
      <c r="AP674" s="2" t="s">
        <v>70</v>
      </c>
      <c r="AQ674" s="11" t="str">
        <f>IF(I674&lt;&gt;"",DATA!D673,"")</f>
        <v>8483508090</v>
      </c>
    </row>
    <row r="675" spans="1:43" ht="15.75" x14ac:dyDescent="0.25">
      <c r="A675" s="11" t="s">
        <v>57</v>
      </c>
      <c r="B675" s="11" t="s">
        <v>56</v>
      </c>
      <c r="C675" s="22">
        <f t="shared" si="46"/>
        <v>25001620</v>
      </c>
      <c r="D675" s="11" t="str">
        <f t="shared" si="43"/>
        <v>SKIIFM_AT</v>
      </c>
      <c r="E675" s="11" t="str">
        <f>IF(I675&lt;&gt;"",VLOOKUP(F675,OPDRACHTGEVER!$A$2:$B$4,2,FALSE),"")</f>
        <v>SKIIFM_AT</v>
      </c>
      <c r="F675" s="11" t="s">
        <v>58</v>
      </c>
      <c r="I675" s="11" t="str">
        <f>IF(DATA!B674&lt;&gt;"",DATA!B674,"")</f>
        <v>DRYU9369693</v>
      </c>
      <c r="J675" s="12">
        <v>0</v>
      </c>
      <c r="K675" s="11" t="s">
        <v>53</v>
      </c>
      <c r="L675" s="11" t="str">
        <f t="shared" si="44"/>
        <v>820510</v>
      </c>
      <c r="M675" s="11" t="str">
        <f>IF(I675&lt;&gt;"",DATA!E674,"")</f>
        <v>PUNCH LOCATOR</v>
      </c>
      <c r="N675" s="12">
        <v>0</v>
      </c>
      <c r="O675" s="11">
        <f>IF(I675&lt;&gt;"",DATA!C674,"")</f>
        <v>1.65</v>
      </c>
      <c r="P675" s="2">
        <v>294094</v>
      </c>
      <c r="Q675" s="2" t="s">
        <v>1304</v>
      </c>
      <c r="R675" s="2" t="s">
        <v>1319</v>
      </c>
      <c r="S675" s="2">
        <v>341</v>
      </c>
      <c r="T675" s="2">
        <v>1</v>
      </c>
      <c r="U675" s="2" t="s">
        <v>141</v>
      </c>
      <c r="Y675" s="2">
        <v>1700</v>
      </c>
      <c r="Z675" s="11" t="s">
        <v>54</v>
      </c>
      <c r="AA675" s="11" t="str">
        <f t="shared" si="45"/>
        <v>1700 - TBN</v>
      </c>
      <c r="AC675" s="2" t="s">
        <v>145</v>
      </c>
      <c r="AD675" s="11" t="str">
        <f>IF($I675&lt;&gt;"",VLOOKUP($AC675,GEADRESSEERDE!$A$2:$E$4,2,),"")</f>
        <v>LUITHAGEN HAVEN 2 D</v>
      </c>
      <c r="AE675" s="11">
        <f>IF($I675&lt;&gt;"",VLOOKUP($AC675,GEADRESSEERDE!$A$2:$E$4,3,),"")</f>
        <v>2030</v>
      </c>
      <c r="AF675" s="11" t="str">
        <f>IF($I675&lt;&gt;"",VLOOKUP($AC675,GEADRESSEERDE!$A$2:$E$4,4,),"")</f>
        <v>ANTWERPEN</v>
      </c>
      <c r="AG675" s="11" t="str">
        <f>IF($I675&lt;&gt;"",VLOOKUP($AC675,GEADRESSEERDE!$A$2:$E$4,5,),"")</f>
        <v>BE</v>
      </c>
      <c r="AH675" s="11" t="str">
        <f>IF(I675&lt;&gt;"",VLOOKUP(AP675,KvB!$A$2:$B$3,2,FALSE),"")</f>
        <v>BE101000</v>
      </c>
      <c r="AI675" s="11" t="s">
        <v>55</v>
      </c>
      <c r="AJ675" s="11"/>
      <c r="AK675" s="11"/>
      <c r="AL675" s="11"/>
      <c r="AM675" s="11"/>
      <c r="AN675" s="11"/>
      <c r="AO675" s="11"/>
      <c r="AP675" s="2" t="s">
        <v>70</v>
      </c>
      <c r="AQ675" s="11" t="str">
        <f>IF(I675&lt;&gt;"",DATA!D674,"")</f>
        <v>8205100000</v>
      </c>
    </row>
    <row r="676" spans="1:43" ht="15.75" x14ac:dyDescent="0.25">
      <c r="A676" s="11" t="s">
        <v>57</v>
      </c>
      <c r="B676" s="11" t="s">
        <v>56</v>
      </c>
      <c r="C676" s="22">
        <f t="shared" si="46"/>
        <v>25001620</v>
      </c>
      <c r="D676" s="11" t="str">
        <f t="shared" si="43"/>
        <v>SKIIFM_AT</v>
      </c>
      <c r="E676" s="11" t="str">
        <f>IF(I676&lt;&gt;"",VLOOKUP(F676,OPDRACHTGEVER!$A$2:$B$4,2,FALSE),"")</f>
        <v>SKIIFM_AT</v>
      </c>
      <c r="F676" s="11" t="s">
        <v>58</v>
      </c>
      <c r="I676" s="11" t="str">
        <f>IF(DATA!B675&lt;&gt;"",DATA!B675,"")</f>
        <v>DRYU9369693</v>
      </c>
      <c r="J676" s="12">
        <v>0</v>
      </c>
      <c r="K676" s="11" t="s">
        <v>53</v>
      </c>
      <c r="L676" s="11" t="str">
        <f t="shared" si="44"/>
        <v>848190</v>
      </c>
      <c r="M676" s="11" t="str">
        <f>IF(I676&lt;&gt;"",DATA!E675,"")</f>
        <v>RECTANGULAR WATERFALL POOL FOUNTAIN WITH LED</v>
      </c>
      <c r="N676" s="12">
        <v>0</v>
      </c>
      <c r="O676" s="11">
        <f>IF(I676&lt;&gt;"",DATA!C675,"")</f>
        <v>114.4</v>
      </c>
      <c r="P676" s="2">
        <v>294094</v>
      </c>
      <c r="Q676" s="2" t="s">
        <v>1304</v>
      </c>
      <c r="R676" s="2" t="s">
        <v>1319</v>
      </c>
      <c r="S676" s="2">
        <v>341</v>
      </c>
      <c r="T676" s="2">
        <v>1</v>
      </c>
      <c r="U676" s="2" t="s">
        <v>141</v>
      </c>
      <c r="Y676" s="2">
        <v>1700</v>
      </c>
      <c r="Z676" s="11" t="s">
        <v>54</v>
      </c>
      <c r="AA676" s="11" t="str">
        <f t="shared" si="45"/>
        <v>1700 - TBN</v>
      </c>
      <c r="AC676" s="2" t="s">
        <v>145</v>
      </c>
      <c r="AD676" s="11" t="str">
        <f>IF($I676&lt;&gt;"",VLOOKUP($AC676,GEADRESSEERDE!$A$2:$E$4,2,),"")</f>
        <v>LUITHAGEN HAVEN 2 D</v>
      </c>
      <c r="AE676" s="11">
        <f>IF($I676&lt;&gt;"",VLOOKUP($AC676,GEADRESSEERDE!$A$2:$E$4,3,),"")</f>
        <v>2030</v>
      </c>
      <c r="AF676" s="11" t="str">
        <f>IF($I676&lt;&gt;"",VLOOKUP($AC676,GEADRESSEERDE!$A$2:$E$4,4,),"")</f>
        <v>ANTWERPEN</v>
      </c>
      <c r="AG676" s="11" t="str">
        <f>IF($I676&lt;&gt;"",VLOOKUP($AC676,GEADRESSEERDE!$A$2:$E$4,5,),"")</f>
        <v>BE</v>
      </c>
      <c r="AH676" s="11" t="str">
        <f>IF(I676&lt;&gt;"",VLOOKUP(AP676,KvB!$A$2:$B$3,2,FALSE),"")</f>
        <v>BE101000</v>
      </c>
      <c r="AI676" s="11" t="s">
        <v>55</v>
      </c>
      <c r="AJ676" s="11"/>
      <c r="AK676" s="11"/>
      <c r="AL676" s="11"/>
      <c r="AM676" s="11"/>
      <c r="AN676" s="11"/>
      <c r="AO676" s="11"/>
      <c r="AP676" s="2" t="s">
        <v>70</v>
      </c>
      <c r="AQ676" s="11" t="str">
        <f>IF(I676&lt;&gt;"",DATA!D675,"")</f>
        <v>8481900090</v>
      </c>
    </row>
    <row r="677" spans="1:43" ht="15.75" x14ac:dyDescent="0.25">
      <c r="A677" s="11" t="s">
        <v>57</v>
      </c>
      <c r="B677" s="11" t="s">
        <v>56</v>
      </c>
      <c r="C677" s="22">
        <f t="shared" si="46"/>
        <v>25001620</v>
      </c>
      <c r="D677" s="11" t="str">
        <f t="shared" si="43"/>
        <v>SKIIFM_AT</v>
      </c>
      <c r="E677" s="11" t="str">
        <f>IF(I677&lt;&gt;"",VLOOKUP(F677,OPDRACHTGEVER!$A$2:$B$4,2,FALSE),"")</f>
        <v>SKIIFM_AT</v>
      </c>
      <c r="F677" s="11" t="s">
        <v>58</v>
      </c>
      <c r="I677" s="11" t="str">
        <f>IF(DATA!B676&lt;&gt;"",DATA!B676,"")</f>
        <v>DRYU9369693</v>
      </c>
      <c r="J677" s="12">
        <v>0</v>
      </c>
      <c r="K677" s="11" t="s">
        <v>53</v>
      </c>
      <c r="L677" s="11" t="str">
        <f t="shared" si="44"/>
        <v>871680</v>
      </c>
      <c r="M677" s="11" t="str">
        <f>IF(I677&lt;&gt;"",DATA!E676,"")</f>
        <v>REGULAR TYPE</v>
      </c>
      <c r="N677" s="12">
        <v>0</v>
      </c>
      <c r="O677" s="11">
        <f>IF(I677&lt;&gt;"",DATA!C676,"")</f>
        <v>161.05000000000001</v>
      </c>
      <c r="P677" s="2">
        <v>294094</v>
      </c>
      <c r="Q677" s="2" t="s">
        <v>1304</v>
      </c>
      <c r="R677" s="2" t="s">
        <v>1319</v>
      </c>
      <c r="S677" s="2">
        <v>341</v>
      </c>
      <c r="T677" s="2">
        <v>1</v>
      </c>
      <c r="U677" s="2" t="s">
        <v>141</v>
      </c>
      <c r="Y677" s="2">
        <v>1700</v>
      </c>
      <c r="Z677" s="11" t="s">
        <v>54</v>
      </c>
      <c r="AA677" s="11" t="str">
        <f t="shared" si="45"/>
        <v>1700 - TBN</v>
      </c>
      <c r="AC677" s="2" t="s">
        <v>145</v>
      </c>
      <c r="AD677" s="11" t="str">
        <f>IF($I677&lt;&gt;"",VLOOKUP($AC677,GEADRESSEERDE!$A$2:$E$4,2,),"")</f>
        <v>LUITHAGEN HAVEN 2 D</v>
      </c>
      <c r="AE677" s="11">
        <f>IF($I677&lt;&gt;"",VLOOKUP($AC677,GEADRESSEERDE!$A$2:$E$4,3,),"")</f>
        <v>2030</v>
      </c>
      <c r="AF677" s="11" t="str">
        <f>IF($I677&lt;&gt;"",VLOOKUP($AC677,GEADRESSEERDE!$A$2:$E$4,4,),"")</f>
        <v>ANTWERPEN</v>
      </c>
      <c r="AG677" s="11" t="str">
        <f>IF($I677&lt;&gt;"",VLOOKUP($AC677,GEADRESSEERDE!$A$2:$E$4,5,),"")</f>
        <v>BE</v>
      </c>
      <c r="AH677" s="11" t="str">
        <f>IF(I677&lt;&gt;"",VLOOKUP(AP677,KvB!$A$2:$B$3,2,FALSE),"")</f>
        <v>BE101000</v>
      </c>
      <c r="AI677" s="11" t="s">
        <v>55</v>
      </c>
      <c r="AJ677" s="11"/>
      <c r="AK677" s="11"/>
      <c r="AL677" s="11"/>
      <c r="AM677" s="11"/>
      <c r="AN677" s="11"/>
      <c r="AO677" s="11"/>
      <c r="AP677" s="2" t="s">
        <v>70</v>
      </c>
      <c r="AQ677" s="11" t="str">
        <f>IF(I677&lt;&gt;"",DATA!D676,"")</f>
        <v>8716800000</v>
      </c>
    </row>
    <row r="678" spans="1:43" ht="15.75" x14ac:dyDescent="0.25">
      <c r="A678" s="11" t="s">
        <v>57</v>
      </c>
      <c r="B678" s="11" t="s">
        <v>56</v>
      </c>
      <c r="C678" s="22">
        <f t="shared" si="46"/>
        <v>25001620</v>
      </c>
      <c r="D678" s="11" t="str">
        <f t="shared" si="43"/>
        <v>SKIIFM_AT</v>
      </c>
      <c r="E678" s="11" t="str">
        <f>IF(I678&lt;&gt;"",VLOOKUP(F678,OPDRACHTGEVER!$A$2:$B$4,2,FALSE),"")</f>
        <v>SKIIFM_AT</v>
      </c>
      <c r="F678" s="11" t="s">
        <v>58</v>
      </c>
      <c r="I678" s="11" t="str">
        <f>IF(DATA!B677&lt;&gt;"",DATA!B677,"")</f>
        <v>DRYU9369693</v>
      </c>
      <c r="J678" s="12">
        <v>0</v>
      </c>
      <c r="K678" s="11" t="s">
        <v>53</v>
      </c>
      <c r="L678" s="11" t="str">
        <f t="shared" si="44"/>
        <v>830242</v>
      </c>
      <c r="M678" s="11" t="str">
        <f>IF(I678&lt;&gt;"",DATA!E677,"")</f>
        <v>SHELF  BRACKETS</v>
      </c>
      <c r="N678" s="12">
        <v>0</v>
      </c>
      <c r="O678" s="11">
        <f>IF(I678&lt;&gt;"",DATA!C677,"")</f>
        <v>5.5</v>
      </c>
      <c r="P678" s="2">
        <v>294094</v>
      </c>
      <c r="Q678" s="2" t="s">
        <v>1304</v>
      </c>
      <c r="R678" s="2" t="s">
        <v>1319</v>
      </c>
      <c r="S678" s="2">
        <v>341</v>
      </c>
      <c r="T678" s="2">
        <v>1</v>
      </c>
      <c r="U678" s="2" t="s">
        <v>141</v>
      </c>
      <c r="Y678" s="2">
        <v>1700</v>
      </c>
      <c r="Z678" s="11" t="s">
        <v>54</v>
      </c>
      <c r="AA678" s="11" t="str">
        <f t="shared" si="45"/>
        <v>1700 - TBN</v>
      </c>
      <c r="AC678" s="2" t="s">
        <v>145</v>
      </c>
      <c r="AD678" s="11" t="str">
        <f>IF($I678&lt;&gt;"",VLOOKUP($AC678,GEADRESSEERDE!$A$2:$E$4,2,),"")</f>
        <v>LUITHAGEN HAVEN 2 D</v>
      </c>
      <c r="AE678" s="11">
        <f>IF($I678&lt;&gt;"",VLOOKUP($AC678,GEADRESSEERDE!$A$2:$E$4,3,),"")</f>
        <v>2030</v>
      </c>
      <c r="AF678" s="11" t="str">
        <f>IF($I678&lt;&gt;"",VLOOKUP($AC678,GEADRESSEERDE!$A$2:$E$4,4,),"")</f>
        <v>ANTWERPEN</v>
      </c>
      <c r="AG678" s="11" t="str">
        <f>IF($I678&lt;&gt;"",VLOOKUP($AC678,GEADRESSEERDE!$A$2:$E$4,5,),"")</f>
        <v>BE</v>
      </c>
      <c r="AH678" s="11" t="str">
        <f>IF(I678&lt;&gt;"",VLOOKUP(AP678,KvB!$A$2:$B$3,2,FALSE),"")</f>
        <v>BE101000</v>
      </c>
      <c r="AI678" s="11" t="s">
        <v>55</v>
      </c>
      <c r="AJ678" s="11"/>
      <c r="AK678" s="11"/>
      <c r="AL678" s="11"/>
      <c r="AM678" s="11"/>
      <c r="AN678" s="11"/>
      <c r="AO678" s="11"/>
      <c r="AP678" s="2" t="s">
        <v>70</v>
      </c>
      <c r="AQ678" s="11" t="str">
        <f>IF(I678&lt;&gt;"",DATA!D677,"")</f>
        <v>8302420090</v>
      </c>
    </row>
    <row r="679" spans="1:43" ht="15.75" x14ac:dyDescent="0.25">
      <c r="A679" s="11" t="s">
        <v>57</v>
      </c>
      <c r="B679" s="11" t="s">
        <v>56</v>
      </c>
      <c r="C679" s="22">
        <f t="shared" si="46"/>
        <v>25001620</v>
      </c>
      <c r="D679" s="11" t="str">
        <f t="shared" si="43"/>
        <v>SKIIFM_AT</v>
      </c>
      <c r="E679" s="11" t="str">
        <f>IF(I679&lt;&gt;"",VLOOKUP(F679,OPDRACHTGEVER!$A$2:$B$4,2,FALSE),"")</f>
        <v>SKIIFM_AT</v>
      </c>
      <c r="F679" s="11" t="s">
        <v>58</v>
      </c>
      <c r="I679" s="11" t="str">
        <f>IF(DATA!B678&lt;&gt;"",DATA!B678,"")</f>
        <v>DRYU9369693</v>
      </c>
      <c r="J679" s="12">
        <v>0</v>
      </c>
      <c r="K679" s="11" t="s">
        <v>53</v>
      </c>
      <c r="L679" s="11" t="str">
        <f t="shared" si="44"/>
        <v>741920</v>
      </c>
      <c r="M679" s="11" t="str">
        <f>IF(I679&lt;&gt;"",DATA!E678,"")</f>
        <v>BAKING PAN</v>
      </c>
      <c r="N679" s="12">
        <v>0</v>
      </c>
      <c r="O679" s="11">
        <f>IF(I679&lt;&gt;"",DATA!C678,"")</f>
        <v>3.45</v>
      </c>
      <c r="P679" s="2">
        <v>294094</v>
      </c>
      <c r="Q679" s="2" t="s">
        <v>1304</v>
      </c>
      <c r="R679" s="2" t="s">
        <v>1319</v>
      </c>
      <c r="S679" s="2">
        <v>341</v>
      </c>
      <c r="T679" s="2">
        <v>1</v>
      </c>
      <c r="U679" s="2" t="s">
        <v>141</v>
      </c>
      <c r="Y679" s="2">
        <v>1700</v>
      </c>
      <c r="Z679" s="11" t="s">
        <v>54</v>
      </c>
      <c r="AA679" s="11" t="str">
        <f t="shared" si="45"/>
        <v>1700 - TBN</v>
      </c>
      <c r="AC679" s="2" t="s">
        <v>145</v>
      </c>
      <c r="AD679" s="11" t="str">
        <f>IF($I679&lt;&gt;"",VLOOKUP($AC679,GEADRESSEERDE!$A$2:$E$4,2,),"")</f>
        <v>LUITHAGEN HAVEN 2 D</v>
      </c>
      <c r="AE679" s="11">
        <f>IF($I679&lt;&gt;"",VLOOKUP($AC679,GEADRESSEERDE!$A$2:$E$4,3,),"")</f>
        <v>2030</v>
      </c>
      <c r="AF679" s="11" t="str">
        <f>IF($I679&lt;&gt;"",VLOOKUP($AC679,GEADRESSEERDE!$A$2:$E$4,4,),"")</f>
        <v>ANTWERPEN</v>
      </c>
      <c r="AG679" s="11" t="str">
        <f>IF($I679&lt;&gt;"",VLOOKUP($AC679,GEADRESSEERDE!$A$2:$E$4,5,),"")</f>
        <v>BE</v>
      </c>
      <c r="AH679" s="11" t="str">
        <f>IF(I679&lt;&gt;"",VLOOKUP(AP679,KvB!$A$2:$B$3,2,FALSE),"")</f>
        <v>BE101000</v>
      </c>
      <c r="AI679" s="11" t="s">
        <v>55</v>
      </c>
      <c r="AJ679" s="11"/>
      <c r="AK679" s="11"/>
      <c r="AL679" s="11"/>
      <c r="AM679" s="11"/>
      <c r="AN679" s="11"/>
      <c r="AO679" s="11"/>
      <c r="AP679" s="2" t="s">
        <v>70</v>
      </c>
      <c r="AQ679" s="11" t="str">
        <f>IF(I679&lt;&gt;"",DATA!D678,"")</f>
        <v>7419200090</v>
      </c>
    </row>
    <row r="680" spans="1:43" ht="15.75" x14ac:dyDescent="0.25">
      <c r="A680" s="11" t="s">
        <v>57</v>
      </c>
      <c r="B680" s="11" t="s">
        <v>56</v>
      </c>
      <c r="C680" s="22">
        <f t="shared" si="46"/>
        <v>25001620</v>
      </c>
      <c r="D680" s="11" t="str">
        <f t="shared" si="43"/>
        <v>SKIIFM_AT</v>
      </c>
      <c r="E680" s="11" t="str">
        <f>IF(I680&lt;&gt;"",VLOOKUP(F680,OPDRACHTGEVER!$A$2:$B$4,2,FALSE),"")</f>
        <v>SKIIFM_AT</v>
      </c>
      <c r="F680" s="11" t="s">
        <v>58</v>
      </c>
      <c r="I680" s="11" t="str">
        <f>IF(DATA!B679&lt;&gt;"",DATA!B679,"")</f>
        <v>DRYU9369693</v>
      </c>
      <c r="J680" s="12">
        <v>0</v>
      </c>
      <c r="K680" s="11" t="s">
        <v>53</v>
      </c>
      <c r="L680" s="11" t="str">
        <f t="shared" si="44"/>
        <v>741920</v>
      </c>
      <c r="M680" s="11" t="str">
        <f>IF(I680&lt;&gt;"",DATA!E679,"")</f>
        <v>CASTINGS</v>
      </c>
      <c r="N680" s="12">
        <v>0</v>
      </c>
      <c r="O680" s="11">
        <f>IF(I680&lt;&gt;"",DATA!C679,"")</f>
        <v>757.3</v>
      </c>
      <c r="P680" s="2">
        <v>294094</v>
      </c>
      <c r="Q680" s="2" t="s">
        <v>1304</v>
      </c>
      <c r="R680" s="2" t="s">
        <v>1319</v>
      </c>
      <c r="S680" s="2">
        <v>341</v>
      </c>
      <c r="T680" s="2">
        <v>1</v>
      </c>
      <c r="U680" s="2" t="s">
        <v>141</v>
      </c>
      <c r="Y680" s="2">
        <v>1700</v>
      </c>
      <c r="Z680" s="11" t="s">
        <v>54</v>
      </c>
      <c r="AA680" s="11" t="str">
        <f t="shared" si="45"/>
        <v>1700 - TBN</v>
      </c>
      <c r="AC680" s="2" t="s">
        <v>145</v>
      </c>
      <c r="AD680" s="11" t="str">
        <f>IF($I680&lt;&gt;"",VLOOKUP($AC680,GEADRESSEERDE!$A$2:$E$4,2,),"")</f>
        <v>LUITHAGEN HAVEN 2 D</v>
      </c>
      <c r="AE680" s="11">
        <f>IF($I680&lt;&gt;"",VLOOKUP($AC680,GEADRESSEERDE!$A$2:$E$4,3,),"")</f>
        <v>2030</v>
      </c>
      <c r="AF680" s="11" t="str">
        <f>IF($I680&lt;&gt;"",VLOOKUP($AC680,GEADRESSEERDE!$A$2:$E$4,4,),"")</f>
        <v>ANTWERPEN</v>
      </c>
      <c r="AG680" s="11" t="str">
        <f>IF($I680&lt;&gt;"",VLOOKUP($AC680,GEADRESSEERDE!$A$2:$E$4,5,),"")</f>
        <v>BE</v>
      </c>
      <c r="AH680" s="11" t="str">
        <f>IF(I680&lt;&gt;"",VLOOKUP(AP680,KvB!$A$2:$B$3,2,FALSE),"")</f>
        <v>BE101000</v>
      </c>
      <c r="AI680" s="11" t="s">
        <v>55</v>
      </c>
      <c r="AJ680" s="11"/>
      <c r="AK680" s="11"/>
      <c r="AL680" s="11"/>
      <c r="AM680" s="11"/>
      <c r="AN680" s="11"/>
      <c r="AO680" s="11"/>
      <c r="AP680" s="2" t="s">
        <v>70</v>
      </c>
      <c r="AQ680" s="11" t="str">
        <f>IF(I680&lt;&gt;"",DATA!D679,"")</f>
        <v>7419200090</v>
      </c>
    </row>
    <row r="681" spans="1:43" ht="15.75" x14ac:dyDescent="0.25">
      <c r="A681" s="11" t="s">
        <v>57</v>
      </c>
      <c r="B681" s="11" t="s">
        <v>56</v>
      </c>
      <c r="C681" s="22">
        <f t="shared" si="46"/>
        <v>25001620</v>
      </c>
      <c r="D681" s="11" t="str">
        <f t="shared" si="43"/>
        <v>SKIIFM_AT</v>
      </c>
      <c r="E681" s="11" t="str">
        <f>IF(I681&lt;&gt;"",VLOOKUP(F681,OPDRACHTGEVER!$A$2:$B$4,2,FALSE),"")</f>
        <v>SKIIFM_AT</v>
      </c>
      <c r="F681" s="11" t="s">
        <v>58</v>
      </c>
      <c r="I681" s="11" t="str">
        <f>IF(DATA!B680&lt;&gt;"",DATA!B680,"")</f>
        <v>DRYU9369693</v>
      </c>
      <c r="J681" s="12">
        <v>0</v>
      </c>
      <c r="K681" s="11" t="s">
        <v>53</v>
      </c>
      <c r="L681" s="11" t="str">
        <f t="shared" si="44"/>
        <v>741920</v>
      </c>
      <c r="M681" s="11" t="str">
        <f>IF(I681&lt;&gt;"",DATA!E680,"")</f>
        <v>WIRE ROPE</v>
      </c>
      <c r="N681" s="12">
        <v>0</v>
      </c>
      <c r="O681" s="11">
        <f>IF(I681&lt;&gt;"",DATA!C680,"")</f>
        <v>5.45</v>
      </c>
      <c r="P681" s="2">
        <v>294094</v>
      </c>
      <c r="Q681" s="2" t="s">
        <v>1304</v>
      </c>
      <c r="R681" s="2" t="s">
        <v>1319</v>
      </c>
      <c r="S681" s="2">
        <v>341</v>
      </c>
      <c r="T681" s="2">
        <v>1</v>
      </c>
      <c r="U681" s="2" t="s">
        <v>141</v>
      </c>
      <c r="Y681" s="2">
        <v>1700</v>
      </c>
      <c r="Z681" s="11" t="s">
        <v>54</v>
      </c>
      <c r="AA681" s="11" t="str">
        <f t="shared" si="45"/>
        <v>1700 - TBN</v>
      </c>
      <c r="AC681" s="2" t="s">
        <v>145</v>
      </c>
      <c r="AD681" s="11" t="str">
        <f>IF($I681&lt;&gt;"",VLOOKUP($AC681,GEADRESSEERDE!$A$2:$E$4,2,),"")</f>
        <v>LUITHAGEN HAVEN 2 D</v>
      </c>
      <c r="AE681" s="11">
        <f>IF($I681&lt;&gt;"",VLOOKUP($AC681,GEADRESSEERDE!$A$2:$E$4,3,),"")</f>
        <v>2030</v>
      </c>
      <c r="AF681" s="11" t="str">
        <f>IF($I681&lt;&gt;"",VLOOKUP($AC681,GEADRESSEERDE!$A$2:$E$4,4,),"")</f>
        <v>ANTWERPEN</v>
      </c>
      <c r="AG681" s="11" t="str">
        <f>IF($I681&lt;&gt;"",VLOOKUP($AC681,GEADRESSEERDE!$A$2:$E$4,5,),"")</f>
        <v>BE</v>
      </c>
      <c r="AH681" s="11" t="str">
        <f>IF(I681&lt;&gt;"",VLOOKUP(AP681,KvB!$A$2:$B$3,2,FALSE),"")</f>
        <v>BE101000</v>
      </c>
      <c r="AI681" s="11" t="s">
        <v>55</v>
      </c>
      <c r="AJ681" s="11"/>
      <c r="AK681" s="11"/>
      <c r="AL681" s="11"/>
      <c r="AM681" s="11"/>
      <c r="AN681" s="11"/>
      <c r="AO681" s="11"/>
      <c r="AP681" s="2" t="s">
        <v>70</v>
      </c>
      <c r="AQ681" s="11" t="str">
        <f>IF(I681&lt;&gt;"",DATA!D680,"")</f>
        <v>7419200090</v>
      </c>
    </row>
    <row r="682" spans="1:43" ht="15.75" x14ac:dyDescent="0.25">
      <c r="A682" s="11" t="s">
        <v>57</v>
      </c>
      <c r="B682" s="11" t="s">
        <v>56</v>
      </c>
      <c r="C682" s="22">
        <f t="shared" si="46"/>
        <v>25001620</v>
      </c>
      <c r="D682" s="11" t="str">
        <f t="shared" si="43"/>
        <v>SKIIFM_AT</v>
      </c>
      <c r="E682" s="11" t="str">
        <f>IF(I682&lt;&gt;"",VLOOKUP(F682,OPDRACHTGEVER!$A$2:$B$4,2,FALSE),"")</f>
        <v>SKIIFM_AT</v>
      </c>
      <c r="F682" s="11" t="s">
        <v>58</v>
      </c>
      <c r="I682" s="11" t="str">
        <f>IF(DATA!B681&lt;&gt;"",DATA!B681,"")</f>
        <v>DRYU9369693</v>
      </c>
      <c r="J682" s="12">
        <v>0</v>
      </c>
      <c r="K682" s="11" t="s">
        <v>53</v>
      </c>
      <c r="L682" s="11" t="str">
        <f t="shared" si="44"/>
        <v>940290</v>
      </c>
      <c r="M682" s="11" t="str">
        <f>IF(I682&lt;&gt;"",DATA!E681,"")</f>
        <v>STAIRCASE STRETCHER</v>
      </c>
      <c r="N682" s="12">
        <v>0</v>
      </c>
      <c r="O682" s="11">
        <f>IF(I682&lt;&gt;"",DATA!C681,"")</f>
        <v>76.8</v>
      </c>
      <c r="P682" s="2">
        <v>294094</v>
      </c>
      <c r="Q682" s="2" t="s">
        <v>1304</v>
      </c>
      <c r="R682" s="2" t="s">
        <v>1319</v>
      </c>
      <c r="S682" s="2">
        <v>341</v>
      </c>
      <c r="T682" s="2">
        <v>1</v>
      </c>
      <c r="U682" s="2" t="s">
        <v>141</v>
      </c>
      <c r="Y682" s="2">
        <v>1700</v>
      </c>
      <c r="Z682" s="11" t="s">
        <v>54</v>
      </c>
      <c r="AA682" s="11" t="str">
        <f t="shared" si="45"/>
        <v>1700 - TBN</v>
      </c>
      <c r="AC682" s="2" t="s">
        <v>145</v>
      </c>
      <c r="AD682" s="11" t="str">
        <f>IF($I682&lt;&gt;"",VLOOKUP($AC682,GEADRESSEERDE!$A$2:$E$4,2,),"")</f>
        <v>LUITHAGEN HAVEN 2 D</v>
      </c>
      <c r="AE682" s="11">
        <f>IF($I682&lt;&gt;"",VLOOKUP($AC682,GEADRESSEERDE!$A$2:$E$4,3,),"")</f>
        <v>2030</v>
      </c>
      <c r="AF682" s="11" t="str">
        <f>IF($I682&lt;&gt;"",VLOOKUP($AC682,GEADRESSEERDE!$A$2:$E$4,4,),"")</f>
        <v>ANTWERPEN</v>
      </c>
      <c r="AG682" s="11" t="str">
        <f>IF($I682&lt;&gt;"",VLOOKUP($AC682,GEADRESSEERDE!$A$2:$E$4,5,),"")</f>
        <v>BE</v>
      </c>
      <c r="AH682" s="11" t="str">
        <f>IF(I682&lt;&gt;"",VLOOKUP(AP682,KvB!$A$2:$B$3,2,FALSE),"")</f>
        <v>BE101000</v>
      </c>
      <c r="AI682" s="11" t="s">
        <v>55</v>
      </c>
      <c r="AJ682" s="11"/>
      <c r="AK682" s="11"/>
      <c r="AL682" s="11"/>
      <c r="AM682" s="11"/>
      <c r="AN682" s="11"/>
      <c r="AO682" s="11"/>
      <c r="AP682" s="2" t="s">
        <v>70</v>
      </c>
      <c r="AQ682" s="11" t="str">
        <f>IF(I682&lt;&gt;"",DATA!D681,"")</f>
        <v>9402900000</v>
      </c>
    </row>
    <row r="683" spans="1:43" ht="15.75" x14ac:dyDescent="0.25">
      <c r="A683" s="11" t="s">
        <v>57</v>
      </c>
      <c r="B683" s="11" t="s">
        <v>56</v>
      </c>
      <c r="C683" s="22">
        <f t="shared" si="46"/>
        <v>25001620</v>
      </c>
      <c r="D683" s="11" t="str">
        <f t="shared" si="43"/>
        <v>SKIIFM_AT</v>
      </c>
      <c r="E683" s="11" t="str">
        <f>IF(I683&lt;&gt;"",VLOOKUP(F683,OPDRACHTGEVER!$A$2:$B$4,2,FALSE),"")</f>
        <v>SKIIFM_AT</v>
      </c>
      <c r="F683" s="11" t="s">
        <v>58</v>
      </c>
      <c r="I683" s="11" t="str">
        <f>IF(DATA!B682&lt;&gt;"",DATA!B682,"")</f>
        <v>DRYU9369693</v>
      </c>
      <c r="J683" s="12">
        <v>0</v>
      </c>
      <c r="K683" s="11" t="s">
        <v>53</v>
      </c>
      <c r="L683" s="11" t="str">
        <f t="shared" si="44"/>
        <v>870899</v>
      </c>
      <c r="M683" s="11" t="str">
        <f>IF(I683&lt;&gt;"",DATA!E682,"")</f>
        <v>STRAP</v>
      </c>
      <c r="N683" s="12">
        <v>0</v>
      </c>
      <c r="O683" s="11">
        <f>IF(I683&lt;&gt;"",DATA!C682,"")</f>
        <v>338.4</v>
      </c>
      <c r="P683" s="2">
        <v>294094</v>
      </c>
      <c r="Q683" s="2" t="s">
        <v>1304</v>
      </c>
      <c r="R683" s="2" t="s">
        <v>1319</v>
      </c>
      <c r="S683" s="2">
        <v>341</v>
      </c>
      <c r="T683" s="2">
        <v>1</v>
      </c>
      <c r="U683" s="2" t="s">
        <v>141</v>
      </c>
      <c r="Y683" s="2">
        <v>1700</v>
      </c>
      <c r="Z683" s="11" t="s">
        <v>54</v>
      </c>
      <c r="AA683" s="11" t="str">
        <f t="shared" si="45"/>
        <v>1700 - TBN</v>
      </c>
      <c r="AC683" s="2" t="s">
        <v>145</v>
      </c>
      <c r="AD683" s="11" t="str">
        <f>IF($I683&lt;&gt;"",VLOOKUP($AC683,GEADRESSEERDE!$A$2:$E$4,2,),"")</f>
        <v>LUITHAGEN HAVEN 2 D</v>
      </c>
      <c r="AE683" s="11">
        <f>IF($I683&lt;&gt;"",VLOOKUP($AC683,GEADRESSEERDE!$A$2:$E$4,3,),"")</f>
        <v>2030</v>
      </c>
      <c r="AF683" s="11" t="str">
        <f>IF($I683&lt;&gt;"",VLOOKUP($AC683,GEADRESSEERDE!$A$2:$E$4,4,),"")</f>
        <v>ANTWERPEN</v>
      </c>
      <c r="AG683" s="11" t="str">
        <f>IF($I683&lt;&gt;"",VLOOKUP($AC683,GEADRESSEERDE!$A$2:$E$4,5,),"")</f>
        <v>BE</v>
      </c>
      <c r="AH683" s="11" t="str">
        <f>IF(I683&lt;&gt;"",VLOOKUP(AP683,KvB!$A$2:$B$3,2,FALSE),"")</f>
        <v>BE101000</v>
      </c>
      <c r="AI683" s="11" t="s">
        <v>55</v>
      </c>
      <c r="AJ683" s="11"/>
      <c r="AK683" s="11"/>
      <c r="AL683" s="11"/>
      <c r="AM683" s="11"/>
      <c r="AN683" s="11"/>
      <c r="AO683" s="11"/>
      <c r="AP683" s="2" t="s">
        <v>70</v>
      </c>
      <c r="AQ683" s="11" t="str">
        <f>IF(I683&lt;&gt;"",DATA!D682,"")</f>
        <v>8708999790</v>
      </c>
    </row>
    <row r="684" spans="1:43" ht="15.75" x14ac:dyDescent="0.25">
      <c r="A684" s="11" t="s">
        <v>57</v>
      </c>
      <c r="B684" s="11" t="s">
        <v>56</v>
      </c>
      <c r="C684" s="22">
        <f t="shared" si="46"/>
        <v>25001620</v>
      </c>
      <c r="D684" s="11" t="str">
        <f t="shared" si="43"/>
        <v>SKIIFM_AT</v>
      </c>
      <c r="E684" s="11" t="str">
        <f>IF(I684&lt;&gt;"",VLOOKUP(F684,OPDRACHTGEVER!$A$2:$B$4,2,FALSE),"")</f>
        <v>SKIIFM_AT</v>
      </c>
      <c r="F684" s="11" t="s">
        <v>58</v>
      </c>
      <c r="I684" s="11" t="str">
        <f>IF(DATA!B683&lt;&gt;"",DATA!B683,"")</f>
        <v>DRYU9369693</v>
      </c>
      <c r="J684" s="12">
        <v>0</v>
      </c>
      <c r="K684" s="11" t="s">
        <v>53</v>
      </c>
      <c r="L684" s="11" t="str">
        <f t="shared" si="44"/>
        <v>820740</v>
      </c>
      <c r="M684" s="11" t="str">
        <f>IF(I684&lt;&gt;"",DATA!E683,"")</f>
        <v>TAP AND MOLD GROUP</v>
      </c>
      <c r="N684" s="12">
        <v>0</v>
      </c>
      <c r="O684" s="11">
        <f>IF(I684&lt;&gt;"",DATA!C683,"")</f>
        <v>3.05</v>
      </c>
      <c r="P684" s="2">
        <v>294094</v>
      </c>
      <c r="Q684" s="2" t="s">
        <v>1304</v>
      </c>
      <c r="R684" s="2" t="s">
        <v>1319</v>
      </c>
      <c r="S684" s="2">
        <v>341</v>
      </c>
      <c r="T684" s="2">
        <v>1</v>
      </c>
      <c r="U684" s="2" t="s">
        <v>141</v>
      </c>
      <c r="Y684" s="2">
        <v>1700</v>
      </c>
      <c r="Z684" s="11" t="s">
        <v>54</v>
      </c>
      <c r="AA684" s="11" t="str">
        <f t="shared" si="45"/>
        <v>1700 - TBN</v>
      </c>
      <c r="AC684" s="2" t="s">
        <v>145</v>
      </c>
      <c r="AD684" s="11" t="str">
        <f>IF($I684&lt;&gt;"",VLOOKUP($AC684,GEADRESSEERDE!$A$2:$E$4,2,),"")</f>
        <v>LUITHAGEN HAVEN 2 D</v>
      </c>
      <c r="AE684" s="11">
        <f>IF($I684&lt;&gt;"",VLOOKUP($AC684,GEADRESSEERDE!$A$2:$E$4,3,),"")</f>
        <v>2030</v>
      </c>
      <c r="AF684" s="11" t="str">
        <f>IF($I684&lt;&gt;"",VLOOKUP($AC684,GEADRESSEERDE!$A$2:$E$4,4,),"")</f>
        <v>ANTWERPEN</v>
      </c>
      <c r="AG684" s="11" t="str">
        <f>IF($I684&lt;&gt;"",VLOOKUP($AC684,GEADRESSEERDE!$A$2:$E$4,5,),"")</f>
        <v>BE</v>
      </c>
      <c r="AH684" s="11" t="str">
        <f>IF(I684&lt;&gt;"",VLOOKUP(AP684,KvB!$A$2:$B$3,2,FALSE),"")</f>
        <v>BE101000</v>
      </c>
      <c r="AI684" s="11" t="s">
        <v>55</v>
      </c>
      <c r="AJ684" s="11"/>
      <c r="AK684" s="11"/>
      <c r="AL684" s="11"/>
      <c r="AM684" s="11"/>
      <c r="AN684" s="11"/>
      <c r="AO684" s="11"/>
      <c r="AP684" s="2" t="s">
        <v>70</v>
      </c>
      <c r="AQ684" s="11" t="str">
        <f>IF(I684&lt;&gt;"",DATA!D683,"")</f>
        <v>8207409000</v>
      </c>
    </row>
    <row r="685" spans="1:43" ht="15.75" x14ac:dyDescent="0.25">
      <c r="A685" s="11" t="s">
        <v>57</v>
      </c>
      <c r="B685" s="11" t="s">
        <v>56</v>
      </c>
      <c r="C685" s="22">
        <f t="shared" si="46"/>
        <v>25001620</v>
      </c>
      <c r="D685" s="11" t="str">
        <f t="shared" si="43"/>
        <v>SKIIFM_AT</v>
      </c>
      <c r="E685" s="11" t="str">
        <f>IF(I685&lt;&gt;"",VLOOKUP(F685,OPDRACHTGEVER!$A$2:$B$4,2,FALSE),"")</f>
        <v>SKIIFM_AT</v>
      </c>
      <c r="F685" s="11" t="s">
        <v>58</v>
      </c>
      <c r="I685" s="11" t="str">
        <f>IF(DATA!B684&lt;&gt;"",DATA!B684,"")</f>
        <v>DRYU9369693</v>
      </c>
      <c r="J685" s="12">
        <v>0</v>
      </c>
      <c r="K685" s="11" t="s">
        <v>53</v>
      </c>
      <c r="L685" s="11" t="str">
        <f t="shared" si="44"/>
        <v>741920</v>
      </c>
      <c r="M685" s="11" t="str">
        <f>IF(I685&lt;&gt;"",DATA!E684,"")</f>
        <v>THREE POINT SUSPENSION DEVICE FOR TOWING AGRICULTURAL MACHINERY</v>
      </c>
      <c r="N685" s="12">
        <v>0</v>
      </c>
      <c r="O685" s="11">
        <f>IF(I685&lt;&gt;"",DATA!C684,"")</f>
        <v>137.25</v>
      </c>
      <c r="P685" s="2">
        <v>294094</v>
      </c>
      <c r="Q685" s="2" t="s">
        <v>1304</v>
      </c>
      <c r="R685" s="2" t="s">
        <v>1319</v>
      </c>
      <c r="S685" s="2">
        <v>341</v>
      </c>
      <c r="T685" s="2">
        <v>1</v>
      </c>
      <c r="U685" s="2" t="s">
        <v>141</v>
      </c>
      <c r="Y685" s="2">
        <v>1700</v>
      </c>
      <c r="Z685" s="11" t="s">
        <v>54</v>
      </c>
      <c r="AA685" s="11" t="str">
        <f t="shared" si="45"/>
        <v>1700 - TBN</v>
      </c>
      <c r="AC685" s="2" t="s">
        <v>145</v>
      </c>
      <c r="AD685" s="11" t="str">
        <f>IF($I685&lt;&gt;"",VLOOKUP($AC685,GEADRESSEERDE!$A$2:$E$4,2,),"")</f>
        <v>LUITHAGEN HAVEN 2 D</v>
      </c>
      <c r="AE685" s="11">
        <f>IF($I685&lt;&gt;"",VLOOKUP($AC685,GEADRESSEERDE!$A$2:$E$4,3,),"")</f>
        <v>2030</v>
      </c>
      <c r="AF685" s="11" t="str">
        <f>IF($I685&lt;&gt;"",VLOOKUP($AC685,GEADRESSEERDE!$A$2:$E$4,4,),"")</f>
        <v>ANTWERPEN</v>
      </c>
      <c r="AG685" s="11" t="str">
        <f>IF($I685&lt;&gt;"",VLOOKUP($AC685,GEADRESSEERDE!$A$2:$E$4,5,),"")</f>
        <v>BE</v>
      </c>
      <c r="AH685" s="11" t="str">
        <f>IF(I685&lt;&gt;"",VLOOKUP(AP685,KvB!$A$2:$B$3,2,FALSE),"")</f>
        <v>BE101000</v>
      </c>
      <c r="AI685" s="11" t="s">
        <v>55</v>
      </c>
      <c r="AJ685" s="11"/>
      <c r="AK685" s="11"/>
      <c r="AL685" s="11"/>
      <c r="AM685" s="11"/>
      <c r="AN685" s="11"/>
      <c r="AO685" s="11"/>
      <c r="AP685" s="2" t="s">
        <v>70</v>
      </c>
      <c r="AQ685" s="11" t="str">
        <f>IF(I685&lt;&gt;"",DATA!D684,"")</f>
        <v>7419200090</v>
      </c>
    </row>
    <row r="686" spans="1:43" ht="15.75" x14ac:dyDescent="0.25">
      <c r="A686" s="11" t="s">
        <v>57</v>
      </c>
      <c r="B686" s="11" t="s">
        <v>56</v>
      </c>
      <c r="C686" s="22">
        <f t="shared" si="46"/>
        <v>25001620</v>
      </c>
      <c r="D686" s="11" t="str">
        <f t="shared" si="43"/>
        <v>SKIIFM_AT</v>
      </c>
      <c r="E686" s="11" t="str">
        <f>IF(I686&lt;&gt;"",VLOOKUP(F686,OPDRACHTGEVER!$A$2:$B$4,2,FALSE),"")</f>
        <v>SKIIFM_AT</v>
      </c>
      <c r="F686" s="11" t="s">
        <v>58</v>
      </c>
      <c r="I686" s="11" t="str">
        <f>IF(DATA!B685&lt;&gt;"",DATA!B685,"")</f>
        <v>DRYU9369693</v>
      </c>
      <c r="J686" s="12">
        <v>0</v>
      </c>
      <c r="K686" s="11" t="s">
        <v>53</v>
      </c>
      <c r="L686" s="11" t="str">
        <f t="shared" si="44"/>
        <v>871680</v>
      </c>
      <c r="M686" s="11" t="str">
        <f>IF(I686&lt;&gt;"",DATA!E685,"")</f>
        <v>TRACTOR</v>
      </c>
      <c r="N686" s="12">
        <v>0</v>
      </c>
      <c r="O686" s="11">
        <f>IF(I686&lt;&gt;"",DATA!C685,"")</f>
        <v>1367.1</v>
      </c>
      <c r="P686" s="2">
        <v>294094</v>
      </c>
      <c r="Q686" s="2" t="s">
        <v>1304</v>
      </c>
      <c r="R686" s="2" t="s">
        <v>1319</v>
      </c>
      <c r="S686" s="2">
        <v>341</v>
      </c>
      <c r="T686" s="2">
        <v>1</v>
      </c>
      <c r="U686" s="2" t="s">
        <v>141</v>
      </c>
      <c r="Y686" s="2">
        <v>1700</v>
      </c>
      <c r="Z686" s="11" t="s">
        <v>54</v>
      </c>
      <c r="AA686" s="11" t="str">
        <f t="shared" si="45"/>
        <v>1700 - TBN</v>
      </c>
      <c r="AC686" s="2" t="s">
        <v>145</v>
      </c>
      <c r="AD686" s="11" t="str">
        <f>IF($I686&lt;&gt;"",VLOOKUP($AC686,GEADRESSEERDE!$A$2:$E$4,2,),"")</f>
        <v>LUITHAGEN HAVEN 2 D</v>
      </c>
      <c r="AE686" s="11">
        <f>IF($I686&lt;&gt;"",VLOOKUP($AC686,GEADRESSEERDE!$A$2:$E$4,3,),"")</f>
        <v>2030</v>
      </c>
      <c r="AF686" s="11" t="str">
        <f>IF($I686&lt;&gt;"",VLOOKUP($AC686,GEADRESSEERDE!$A$2:$E$4,4,),"")</f>
        <v>ANTWERPEN</v>
      </c>
      <c r="AG686" s="11" t="str">
        <f>IF($I686&lt;&gt;"",VLOOKUP($AC686,GEADRESSEERDE!$A$2:$E$4,5,),"")</f>
        <v>BE</v>
      </c>
      <c r="AH686" s="11" t="str">
        <f>IF(I686&lt;&gt;"",VLOOKUP(AP686,KvB!$A$2:$B$3,2,FALSE),"")</f>
        <v>BE101000</v>
      </c>
      <c r="AI686" s="11" t="s">
        <v>55</v>
      </c>
      <c r="AJ686" s="11"/>
      <c r="AK686" s="11"/>
      <c r="AL686" s="11"/>
      <c r="AM686" s="11"/>
      <c r="AN686" s="11"/>
      <c r="AO686" s="11"/>
      <c r="AP686" s="2" t="s">
        <v>70</v>
      </c>
      <c r="AQ686" s="11" t="str">
        <f>IF(I686&lt;&gt;"",DATA!D685,"")</f>
        <v>8716800000</v>
      </c>
    </row>
    <row r="687" spans="1:43" ht="15.75" x14ac:dyDescent="0.25">
      <c r="A687" s="11" t="s">
        <v>57</v>
      </c>
      <c r="B687" s="11" t="s">
        <v>56</v>
      </c>
      <c r="C687" s="22">
        <f t="shared" si="46"/>
        <v>25001620</v>
      </c>
      <c r="D687" s="11" t="str">
        <f t="shared" si="43"/>
        <v>SKIIFM_AT</v>
      </c>
      <c r="E687" s="11" t="str">
        <f>IF(I687&lt;&gt;"",VLOOKUP(F687,OPDRACHTGEVER!$A$2:$B$4,2,FALSE),"")</f>
        <v>SKIIFM_AT</v>
      </c>
      <c r="F687" s="11" t="s">
        <v>58</v>
      </c>
      <c r="I687" s="11" t="str">
        <f>IF(DATA!B686&lt;&gt;"",DATA!B686,"")</f>
        <v>DRYU9369693</v>
      </c>
      <c r="J687" s="12">
        <v>0</v>
      </c>
      <c r="K687" s="11" t="s">
        <v>53</v>
      </c>
      <c r="L687" s="11" t="str">
        <f t="shared" si="44"/>
        <v>847989</v>
      </c>
      <c r="M687" s="11" t="str">
        <f>IF(I687&lt;&gt;"",DATA!E686,"")</f>
        <v>ULTRASONIC JEWELRY CLEANER</v>
      </c>
      <c r="N687" s="12">
        <v>0</v>
      </c>
      <c r="O687" s="11">
        <f>IF(I687&lt;&gt;"",DATA!C686,"")</f>
        <v>1144.6600000000001</v>
      </c>
      <c r="P687" s="2">
        <v>294094</v>
      </c>
      <c r="Q687" s="2" t="s">
        <v>1304</v>
      </c>
      <c r="R687" s="2" t="s">
        <v>1319</v>
      </c>
      <c r="S687" s="2">
        <v>341</v>
      </c>
      <c r="T687" s="2">
        <v>1</v>
      </c>
      <c r="U687" s="2" t="s">
        <v>141</v>
      </c>
      <c r="Y687" s="2">
        <v>1700</v>
      </c>
      <c r="Z687" s="11" t="s">
        <v>54</v>
      </c>
      <c r="AA687" s="11" t="str">
        <f t="shared" si="45"/>
        <v>1700 - TBN</v>
      </c>
      <c r="AC687" s="2" t="s">
        <v>145</v>
      </c>
      <c r="AD687" s="11" t="str">
        <f>IF($I687&lt;&gt;"",VLOOKUP($AC687,GEADRESSEERDE!$A$2:$E$4,2,),"")</f>
        <v>LUITHAGEN HAVEN 2 D</v>
      </c>
      <c r="AE687" s="11">
        <f>IF($I687&lt;&gt;"",VLOOKUP($AC687,GEADRESSEERDE!$A$2:$E$4,3,),"")</f>
        <v>2030</v>
      </c>
      <c r="AF687" s="11" t="str">
        <f>IF($I687&lt;&gt;"",VLOOKUP($AC687,GEADRESSEERDE!$A$2:$E$4,4,),"")</f>
        <v>ANTWERPEN</v>
      </c>
      <c r="AG687" s="11" t="str">
        <f>IF($I687&lt;&gt;"",VLOOKUP($AC687,GEADRESSEERDE!$A$2:$E$4,5,),"")</f>
        <v>BE</v>
      </c>
      <c r="AH687" s="11" t="str">
        <f>IF(I687&lt;&gt;"",VLOOKUP(AP687,KvB!$A$2:$B$3,2,FALSE),"")</f>
        <v>BE101000</v>
      </c>
      <c r="AI687" s="11" t="s">
        <v>55</v>
      </c>
      <c r="AJ687" s="11"/>
      <c r="AK687" s="11"/>
      <c r="AL687" s="11"/>
      <c r="AM687" s="11"/>
      <c r="AN687" s="11"/>
      <c r="AO687" s="11"/>
      <c r="AP687" s="2" t="s">
        <v>70</v>
      </c>
      <c r="AQ687" s="11" t="str">
        <f>IF(I687&lt;&gt;"",DATA!D686,"")</f>
        <v>8479899790</v>
      </c>
    </row>
    <row r="688" spans="1:43" ht="15.75" x14ac:dyDescent="0.25">
      <c r="A688" s="11" t="s">
        <v>57</v>
      </c>
      <c r="B688" s="11" t="s">
        <v>56</v>
      </c>
      <c r="C688" s="22">
        <f t="shared" si="46"/>
        <v>25001620</v>
      </c>
      <c r="D688" s="11" t="str">
        <f t="shared" si="43"/>
        <v>SKIIFM_AT</v>
      </c>
      <c r="E688" s="11" t="str">
        <f>IF(I688&lt;&gt;"",VLOOKUP(F688,OPDRACHTGEVER!$A$2:$B$4,2,FALSE),"")</f>
        <v>SKIIFM_AT</v>
      </c>
      <c r="F688" s="11" t="s">
        <v>58</v>
      </c>
      <c r="I688" s="11" t="str">
        <f>IF(DATA!B687&lt;&gt;"",DATA!B687,"")</f>
        <v>DRYU9369693</v>
      </c>
      <c r="J688" s="12">
        <v>0</v>
      </c>
      <c r="K688" s="11" t="s">
        <v>53</v>
      </c>
      <c r="L688" s="11" t="str">
        <f t="shared" si="44"/>
        <v>841350</v>
      </c>
      <c r="M688" s="11" t="str">
        <f>IF(I688&lt;&gt;"",DATA!E687,"")</f>
        <v>WATER PUMP</v>
      </c>
      <c r="N688" s="12">
        <v>0</v>
      </c>
      <c r="O688" s="11">
        <f>IF(I688&lt;&gt;"",DATA!C687,"")</f>
        <v>2.15</v>
      </c>
      <c r="P688" s="2">
        <v>294094</v>
      </c>
      <c r="Q688" s="2" t="s">
        <v>1304</v>
      </c>
      <c r="R688" s="2" t="s">
        <v>1319</v>
      </c>
      <c r="S688" s="2">
        <v>341</v>
      </c>
      <c r="T688" s="2">
        <v>1</v>
      </c>
      <c r="U688" s="2" t="s">
        <v>141</v>
      </c>
      <c r="Y688" s="2">
        <v>1700</v>
      </c>
      <c r="Z688" s="11" t="s">
        <v>54</v>
      </c>
      <c r="AA688" s="11" t="str">
        <f t="shared" si="45"/>
        <v>1700 - TBN</v>
      </c>
      <c r="AC688" s="2" t="s">
        <v>145</v>
      </c>
      <c r="AD688" s="11" t="str">
        <f>IF($I688&lt;&gt;"",VLOOKUP($AC688,GEADRESSEERDE!$A$2:$E$4,2,),"")</f>
        <v>LUITHAGEN HAVEN 2 D</v>
      </c>
      <c r="AE688" s="11">
        <f>IF($I688&lt;&gt;"",VLOOKUP($AC688,GEADRESSEERDE!$A$2:$E$4,3,),"")</f>
        <v>2030</v>
      </c>
      <c r="AF688" s="11" t="str">
        <f>IF($I688&lt;&gt;"",VLOOKUP($AC688,GEADRESSEERDE!$A$2:$E$4,4,),"")</f>
        <v>ANTWERPEN</v>
      </c>
      <c r="AG688" s="11" t="str">
        <f>IF($I688&lt;&gt;"",VLOOKUP($AC688,GEADRESSEERDE!$A$2:$E$4,5,),"")</f>
        <v>BE</v>
      </c>
      <c r="AH688" s="11" t="str">
        <f>IF(I688&lt;&gt;"",VLOOKUP(AP688,KvB!$A$2:$B$3,2,FALSE),"")</f>
        <v>BE101000</v>
      </c>
      <c r="AI688" s="11" t="s">
        <v>55</v>
      </c>
      <c r="AJ688" s="11"/>
      <c r="AK688" s="11"/>
      <c r="AL688" s="11"/>
      <c r="AM688" s="11"/>
      <c r="AN688" s="11"/>
      <c r="AO688" s="11"/>
      <c r="AP688" s="2" t="s">
        <v>70</v>
      </c>
      <c r="AQ688" s="11" t="str">
        <f>IF(I688&lt;&gt;"",DATA!D687,"")</f>
        <v>8413502090</v>
      </c>
    </row>
    <row r="689" spans="1:43" ht="15.75" x14ac:dyDescent="0.25">
      <c r="A689" s="11" t="s">
        <v>57</v>
      </c>
      <c r="B689" s="11" t="s">
        <v>56</v>
      </c>
      <c r="C689" s="22">
        <f t="shared" si="46"/>
        <v>25001620</v>
      </c>
      <c r="D689" s="11" t="str">
        <f t="shared" si="43"/>
        <v>SKIIFM_AT</v>
      </c>
      <c r="E689" s="11" t="str">
        <f>IF(I689&lt;&gt;"",VLOOKUP(F689,OPDRACHTGEVER!$A$2:$B$4,2,FALSE),"")</f>
        <v>SKIIFM_AT</v>
      </c>
      <c r="F689" s="11" t="s">
        <v>58</v>
      </c>
      <c r="I689" s="11" t="str">
        <f>IF(DATA!B688&lt;&gt;"",DATA!B688,"")</f>
        <v>DRYU9369693</v>
      </c>
      <c r="J689" s="12">
        <v>0</v>
      </c>
      <c r="K689" s="11" t="s">
        <v>53</v>
      </c>
      <c r="L689" s="11" t="str">
        <f t="shared" si="44"/>
        <v>560790</v>
      </c>
      <c r="M689" s="11" t="str">
        <f>IF(I689&lt;&gt;"",DATA!E688,"")</f>
        <v>WINCH LINE</v>
      </c>
      <c r="N689" s="12">
        <v>0</v>
      </c>
      <c r="O689" s="11">
        <f>IF(I689&lt;&gt;"",DATA!C688,"")</f>
        <v>1.9</v>
      </c>
      <c r="P689" s="2">
        <v>294094</v>
      </c>
      <c r="Q689" s="2" t="s">
        <v>1304</v>
      </c>
      <c r="R689" s="2" t="s">
        <v>1319</v>
      </c>
      <c r="S689" s="2">
        <v>341</v>
      </c>
      <c r="T689" s="2">
        <v>1</v>
      </c>
      <c r="U689" s="2" t="s">
        <v>141</v>
      </c>
      <c r="Y689" s="2">
        <v>1700</v>
      </c>
      <c r="Z689" s="11" t="s">
        <v>54</v>
      </c>
      <c r="AA689" s="11" t="str">
        <f t="shared" si="45"/>
        <v>1700 - TBN</v>
      </c>
      <c r="AC689" s="2" t="s">
        <v>145</v>
      </c>
      <c r="AD689" s="11" t="str">
        <f>IF($I689&lt;&gt;"",VLOOKUP($AC689,GEADRESSEERDE!$A$2:$E$4,2,),"")</f>
        <v>LUITHAGEN HAVEN 2 D</v>
      </c>
      <c r="AE689" s="11">
        <f>IF($I689&lt;&gt;"",VLOOKUP($AC689,GEADRESSEERDE!$A$2:$E$4,3,),"")</f>
        <v>2030</v>
      </c>
      <c r="AF689" s="11" t="str">
        <f>IF($I689&lt;&gt;"",VLOOKUP($AC689,GEADRESSEERDE!$A$2:$E$4,4,),"")</f>
        <v>ANTWERPEN</v>
      </c>
      <c r="AG689" s="11" t="str">
        <f>IF($I689&lt;&gt;"",VLOOKUP($AC689,GEADRESSEERDE!$A$2:$E$4,5,),"")</f>
        <v>BE</v>
      </c>
      <c r="AH689" s="11" t="str">
        <f>IF(I689&lt;&gt;"",VLOOKUP(AP689,KvB!$A$2:$B$3,2,FALSE),"")</f>
        <v>BE101000</v>
      </c>
      <c r="AI689" s="11" t="s">
        <v>55</v>
      </c>
      <c r="AJ689" s="11"/>
      <c r="AK689" s="11"/>
      <c r="AL689" s="11"/>
      <c r="AM689" s="11"/>
      <c r="AN689" s="11"/>
      <c r="AO689" s="11"/>
      <c r="AP689" s="2" t="s">
        <v>70</v>
      </c>
      <c r="AQ689" s="11" t="str">
        <f>IF(I689&lt;&gt;"",DATA!D688,"")</f>
        <v>5607909090</v>
      </c>
    </row>
    <row r="690" spans="1:43" ht="15.75" x14ac:dyDescent="0.25">
      <c r="A690" s="11" t="s">
        <v>57</v>
      </c>
      <c r="B690" s="11" t="s">
        <v>56</v>
      </c>
      <c r="C690" s="22">
        <f t="shared" si="46"/>
        <v>25001620</v>
      </c>
      <c r="D690" s="11" t="str">
        <f t="shared" si="43"/>
        <v>SKIIFM_AT</v>
      </c>
      <c r="E690" s="11" t="str">
        <f>IF(I690&lt;&gt;"",VLOOKUP(F690,OPDRACHTGEVER!$A$2:$B$4,2,FALSE),"")</f>
        <v>SKIIFM_AT</v>
      </c>
      <c r="F690" s="11" t="s">
        <v>58</v>
      </c>
      <c r="I690" s="11" t="str">
        <f>IF(DATA!B689&lt;&gt;"",DATA!B689,"")</f>
        <v>DRYU9369693</v>
      </c>
      <c r="J690" s="12">
        <v>0</v>
      </c>
      <c r="K690" s="11" t="s">
        <v>53</v>
      </c>
      <c r="L690" s="11" t="str">
        <f t="shared" si="44"/>
        <v>560749</v>
      </c>
      <c r="M690" s="11" t="str">
        <f>IF(I690&lt;&gt;"",DATA!E689,"")</f>
        <v>WINCH ROPE</v>
      </c>
      <c r="N690" s="12">
        <v>0</v>
      </c>
      <c r="O690" s="11">
        <f>IF(I690&lt;&gt;"",DATA!C689,"")</f>
        <v>2.15</v>
      </c>
      <c r="P690" s="2">
        <v>294094</v>
      </c>
      <c r="Q690" s="2" t="s">
        <v>1304</v>
      </c>
      <c r="R690" s="2" t="s">
        <v>1319</v>
      </c>
      <c r="S690" s="2">
        <v>341</v>
      </c>
      <c r="T690" s="2">
        <v>1</v>
      </c>
      <c r="U690" s="2" t="s">
        <v>141</v>
      </c>
      <c r="Y690" s="2">
        <v>1700</v>
      </c>
      <c r="Z690" s="11" t="s">
        <v>54</v>
      </c>
      <c r="AA690" s="11" t="str">
        <f t="shared" si="45"/>
        <v>1700 - TBN</v>
      </c>
      <c r="AC690" s="2" t="s">
        <v>145</v>
      </c>
      <c r="AD690" s="11" t="str">
        <f>IF($I690&lt;&gt;"",VLOOKUP($AC690,GEADRESSEERDE!$A$2:$E$4,2,),"")</f>
        <v>LUITHAGEN HAVEN 2 D</v>
      </c>
      <c r="AE690" s="11">
        <f>IF($I690&lt;&gt;"",VLOOKUP($AC690,GEADRESSEERDE!$A$2:$E$4,3,),"")</f>
        <v>2030</v>
      </c>
      <c r="AF690" s="11" t="str">
        <f>IF($I690&lt;&gt;"",VLOOKUP($AC690,GEADRESSEERDE!$A$2:$E$4,4,),"")</f>
        <v>ANTWERPEN</v>
      </c>
      <c r="AG690" s="11" t="str">
        <f>IF($I690&lt;&gt;"",VLOOKUP($AC690,GEADRESSEERDE!$A$2:$E$4,5,),"")</f>
        <v>BE</v>
      </c>
      <c r="AH690" s="11" t="str">
        <f>IF(I690&lt;&gt;"",VLOOKUP(AP690,KvB!$A$2:$B$3,2,FALSE),"")</f>
        <v>BE101000</v>
      </c>
      <c r="AI690" s="11" t="s">
        <v>55</v>
      </c>
      <c r="AJ690" s="11"/>
      <c r="AK690" s="11"/>
      <c r="AL690" s="11"/>
      <c r="AM690" s="11"/>
      <c r="AN690" s="11"/>
      <c r="AO690" s="11"/>
      <c r="AP690" s="2" t="s">
        <v>70</v>
      </c>
      <c r="AQ690" s="11" t="str">
        <f>IF(I690&lt;&gt;"",DATA!D689,"")</f>
        <v>5607491900</v>
      </c>
    </row>
    <row r="691" spans="1:43" ht="15.75" x14ac:dyDescent="0.25">
      <c r="A691" s="11" t="s">
        <v>57</v>
      </c>
      <c r="B691" s="11" t="s">
        <v>56</v>
      </c>
      <c r="C691" s="22">
        <f t="shared" si="46"/>
        <v>25001620</v>
      </c>
      <c r="D691" s="11" t="str">
        <f t="shared" si="43"/>
        <v>SKIIFM_AT</v>
      </c>
      <c r="E691" s="11" t="str">
        <f>IF(I691&lt;&gt;"",VLOOKUP(F691,OPDRACHTGEVER!$A$2:$B$4,2,FALSE),"")</f>
        <v>SKIIFM_AT</v>
      </c>
      <c r="F691" s="11" t="s">
        <v>58</v>
      </c>
      <c r="I691" s="11" t="str">
        <f>IF(DATA!B690&lt;&gt;"",DATA!B690,"")</f>
        <v>FCIU8041691</v>
      </c>
      <c r="J691" s="12">
        <v>1502</v>
      </c>
      <c r="K691" s="11" t="s">
        <v>53</v>
      </c>
      <c r="L691" s="11" t="str">
        <f t="shared" si="44"/>
        <v>741920</v>
      </c>
      <c r="M691" s="11" t="str">
        <f>IF(I691&lt;&gt;"",DATA!E690,"")</f>
        <v>ACCESS PANEL</v>
      </c>
      <c r="N691" s="12">
        <v>12911</v>
      </c>
      <c r="O691" s="11">
        <f>IF(I691&lt;&gt;"",DATA!C690,"")</f>
        <v>30</v>
      </c>
      <c r="P691" s="2">
        <v>294094</v>
      </c>
      <c r="Q691" s="2" t="s">
        <v>1304</v>
      </c>
      <c r="R691" s="2" t="s">
        <v>1320</v>
      </c>
      <c r="S691" s="2">
        <v>579</v>
      </c>
      <c r="T691" s="2">
        <v>1</v>
      </c>
      <c r="U691" s="2" t="s">
        <v>141</v>
      </c>
      <c r="Y691" s="2">
        <v>1700</v>
      </c>
      <c r="Z691" s="11" t="s">
        <v>54</v>
      </c>
      <c r="AA691" s="11" t="str">
        <f t="shared" si="45"/>
        <v>1700 - TBN</v>
      </c>
      <c r="AC691" s="2" t="s">
        <v>145</v>
      </c>
      <c r="AD691" s="11" t="str">
        <f>IF($I691&lt;&gt;"",VLOOKUP($AC691,GEADRESSEERDE!$A$2:$E$4,2,),"")</f>
        <v>LUITHAGEN HAVEN 2 D</v>
      </c>
      <c r="AE691" s="11">
        <f>IF($I691&lt;&gt;"",VLOOKUP($AC691,GEADRESSEERDE!$A$2:$E$4,3,),"")</f>
        <v>2030</v>
      </c>
      <c r="AF691" s="11" t="str">
        <f>IF($I691&lt;&gt;"",VLOOKUP($AC691,GEADRESSEERDE!$A$2:$E$4,4,),"")</f>
        <v>ANTWERPEN</v>
      </c>
      <c r="AG691" s="11" t="str">
        <f>IF($I691&lt;&gt;"",VLOOKUP($AC691,GEADRESSEERDE!$A$2:$E$4,5,),"")</f>
        <v>BE</v>
      </c>
      <c r="AH691" s="11" t="str">
        <f>IF(I691&lt;&gt;"",VLOOKUP(AP691,KvB!$A$2:$B$3,2,FALSE),"")</f>
        <v>BE101000</v>
      </c>
      <c r="AI691" s="11" t="s">
        <v>55</v>
      </c>
      <c r="AJ691" s="11"/>
      <c r="AK691" s="11"/>
      <c r="AL691" s="11"/>
      <c r="AM691" s="11"/>
      <c r="AN691" s="11"/>
      <c r="AO691" s="11"/>
      <c r="AP691" s="2" t="s">
        <v>70</v>
      </c>
      <c r="AQ691" s="11" t="str">
        <f>IF(I691&lt;&gt;"",DATA!D690,"")</f>
        <v>7419200090</v>
      </c>
    </row>
    <row r="692" spans="1:43" ht="15.75" x14ac:dyDescent="0.25">
      <c r="A692" s="11" t="s">
        <v>57</v>
      </c>
      <c r="B692" s="11" t="s">
        <v>56</v>
      </c>
      <c r="C692" s="22">
        <f t="shared" si="46"/>
        <v>25001620</v>
      </c>
      <c r="D692" s="11" t="str">
        <f t="shared" ref="D692:D755" si="47">E692</f>
        <v>SKIIFM_AT</v>
      </c>
      <c r="E692" s="11" t="str">
        <f>IF(I692&lt;&gt;"",VLOOKUP(F692,OPDRACHTGEVER!$A$2:$B$4,2,FALSE),"")</f>
        <v>SKIIFM_AT</v>
      </c>
      <c r="F692" s="11" t="s">
        <v>58</v>
      </c>
      <c r="I692" s="11" t="str">
        <f>IF(DATA!B691&lt;&gt;"",DATA!B691,"")</f>
        <v>FCIU8041691</v>
      </c>
      <c r="J692" s="12">
        <v>0</v>
      </c>
      <c r="K692" s="11" t="s">
        <v>53</v>
      </c>
      <c r="L692" s="11" t="str">
        <f t="shared" ref="L692:L755" si="48">LEFT(AQ692,6)</f>
        <v>950490</v>
      </c>
      <c r="M692" s="11" t="str">
        <f>IF(I692&lt;&gt;"",DATA!E691,"")</f>
        <v>AIR HOCKEY TABLE</v>
      </c>
      <c r="N692" s="12">
        <v>0</v>
      </c>
      <c r="O692" s="11">
        <f>IF(I692&lt;&gt;"",DATA!C691,"")</f>
        <v>2119.5</v>
      </c>
      <c r="P692" s="2">
        <v>294094</v>
      </c>
      <c r="Q692" s="2" t="s">
        <v>1304</v>
      </c>
      <c r="R692" s="2" t="s">
        <v>1320</v>
      </c>
      <c r="S692" s="2">
        <v>579</v>
      </c>
      <c r="T692" s="2">
        <v>1</v>
      </c>
      <c r="U692" s="2" t="s">
        <v>141</v>
      </c>
      <c r="Y692" s="2">
        <v>1700</v>
      </c>
      <c r="Z692" s="11" t="s">
        <v>54</v>
      </c>
      <c r="AA692" s="11" t="str">
        <f t="shared" ref="AA692:AA755" si="49">IF(I692&lt;&gt;"",Y692&amp;" - "&amp;Z692,"")</f>
        <v>1700 - TBN</v>
      </c>
      <c r="AC692" s="2" t="s">
        <v>145</v>
      </c>
      <c r="AD692" s="11" t="str">
        <f>IF($I692&lt;&gt;"",VLOOKUP($AC692,GEADRESSEERDE!$A$2:$E$4,2,),"")</f>
        <v>LUITHAGEN HAVEN 2 D</v>
      </c>
      <c r="AE692" s="11">
        <f>IF($I692&lt;&gt;"",VLOOKUP($AC692,GEADRESSEERDE!$A$2:$E$4,3,),"")</f>
        <v>2030</v>
      </c>
      <c r="AF692" s="11" t="str">
        <f>IF($I692&lt;&gt;"",VLOOKUP($AC692,GEADRESSEERDE!$A$2:$E$4,4,),"")</f>
        <v>ANTWERPEN</v>
      </c>
      <c r="AG692" s="11" t="str">
        <f>IF($I692&lt;&gt;"",VLOOKUP($AC692,GEADRESSEERDE!$A$2:$E$4,5,),"")</f>
        <v>BE</v>
      </c>
      <c r="AH692" s="11" t="str">
        <f>IF(I692&lt;&gt;"",VLOOKUP(AP692,KvB!$A$2:$B$3,2,FALSE),"")</f>
        <v>BE101000</v>
      </c>
      <c r="AI692" s="11" t="s">
        <v>55</v>
      </c>
      <c r="AJ692" s="11"/>
      <c r="AK692" s="11"/>
      <c r="AL692" s="11"/>
      <c r="AM692" s="11"/>
      <c r="AN692" s="11"/>
      <c r="AO692" s="11"/>
      <c r="AP692" s="2" t="s">
        <v>70</v>
      </c>
      <c r="AQ692" s="11" t="str">
        <f>IF(I692&lt;&gt;"",DATA!D691,"")</f>
        <v>9504908000</v>
      </c>
    </row>
    <row r="693" spans="1:43" ht="15.75" x14ac:dyDescent="0.25">
      <c r="A693" s="11" t="s">
        <v>57</v>
      </c>
      <c r="B693" s="11" t="s">
        <v>56</v>
      </c>
      <c r="C693" s="22">
        <f t="shared" si="46"/>
        <v>25001620</v>
      </c>
      <c r="D693" s="11" t="str">
        <f t="shared" si="47"/>
        <v>SKIIFM_AT</v>
      </c>
      <c r="E693" s="11" t="str">
        <f>IF(I693&lt;&gt;"",VLOOKUP(F693,OPDRACHTGEVER!$A$2:$B$4,2,FALSE),"")</f>
        <v>SKIIFM_AT</v>
      </c>
      <c r="F693" s="11" t="s">
        <v>58</v>
      </c>
      <c r="I693" s="11" t="str">
        <f>IF(DATA!B692&lt;&gt;"",DATA!B692,"")</f>
        <v>FCIU8041691</v>
      </c>
      <c r="J693" s="12">
        <v>0</v>
      </c>
      <c r="K693" s="11" t="s">
        <v>53</v>
      </c>
      <c r="L693" s="11" t="str">
        <f t="shared" si="48"/>
        <v>842121</v>
      </c>
      <c r="M693" s="11" t="str">
        <f>IF(I693&lt;&gt;"",DATA!E692,"")</f>
        <v>AQUARIUM FILTER</v>
      </c>
      <c r="N693" s="12">
        <v>0</v>
      </c>
      <c r="O693" s="11">
        <f>IF(I693&lt;&gt;"",DATA!C692,"")</f>
        <v>66.75</v>
      </c>
      <c r="P693" s="2">
        <v>294094</v>
      </c>
      <c r="Q693" s="2" t="s">
        <v>1304</v>
      </c>
      <c r="R693" s="2" t="s">
        <v>1320</v>
      </c>
      <c r="S693" s="2">
        <v>579</v>
      </c>
      <c r="T693" s="2">
        <v>1</v>
      </c>
      <c r="U693" s="2" t="s">
        <v>141</v>
      </c>
      <c r="Y693" s="2">
        <v>1700</v>
      </c>
      <c r="Z693" s="11" t="s">
        <v>54</v>
      </c>
      <c r="AA693" s="11" t="str">
        <f t="shared" si="49"/>
        <v>1700 - TBN</v>
      </c>
      <c r="AC693" s="2" t="s">
        <v>145</v>
      </c>
      <c r="AD693" s="11" t="str">
        <f>IF($I693&lt;&gt;"",VLOOKUP($AC693,GEADRESSEERDE!$A$2:$E$4,2,),"")</f>
        <v>LUITHAGEN HAVEN 2 D</v>
      </c>
      <c r="AE693" s="11">
        <f>IF($I693&lt;&gt;"",VLOOKUP($AC693,GEADRESSEERDE!$A$2:$E$4,3,),"")</f>
        <v>2030</v>
      </c>
      <c r="AF693" s="11" t="str">
        <f>IF($I693&lt;&gt;"",VLOOKUP($AC693,GEADRESSEERDE!$A$2:$E$4,4,),"")</f>
        <v>ANTWERPEN</v>
      </c>
      <c r="AG693" s="11" t="str">
        <f>IF($I693&lt;&gt;"",VLOOKUP($AC693,GEADRESSEERDE!$A$2:$E$4,5,),"")</f>
        <v>BE</v>
      </c>
      <c r="AH693" s="11" t="str">
        <f>IF(I693&lt;&gt;"",VLOOKUP(AP693,KvB!$A$2:$B$3,2,FALSE),"")</f>
        <v>BE101000</v>
      </c>
      <c r="AI693" s="11" t="s">
        <v>55</v>
      </c>
      <c r="AJ693" s="11"/>
      <c r="AK693" s="11"/>
      <c r="AL693" s="11"/>
      <c r="AM693" s="11"/>
      <c r="AN693" s="11"/>
      <c r="AO693" s="11"/>
      <c r="AP693" s="2" t="s">
        <v>70</v>
      </c>
      <c r="AQ693" s="11" t="str">
        <f>IF(I693&lt;&gt;"",DATA!D692,"")</f>
        <v>8421210090</v>
      </c>
    </row>
    <row r="694" spans="1:43" ht="15.75" x14ac:dyDescent="0.25">
      <c r="A694" s="11" t="s">
        <v>57</v>
      </c>
      <c r="B694" s="11" t="s">
        <v>56</v>
      </c>
      <c r="C694" s="22">
        <f t="shared" si="46"/>
        <v>25001620</v>
      </c>
      <c r="D694" s="11" t="str">
        <f t="shared" si="47"/>
        <v>SKIIFM_AT</v>
      </c>
      <c r="E694" s="11" t="str">
        <f>IF(I694&lt;&gt;"",VLOOKUP(F694,OPDRACHTGEVER!$A$2:$B$4,2,FALSE),"")</f>
        <v>SKIIFM_AT</v>
      </c>
      <c r="F694" s="11" t="s">
        <v>58</v>
      </c>
      <c r="I694" s="11" t="str">
        <f>IF(DATA!B693&lt;&gt;"",DATA!B693,"")</f>
        <v>FCIU8041691</v>
      </c>
      <c r="J694" s="12">
        <v>0</v>
      </c>
      <c r="K694" s="11" t="s">
        <v>53</v>
      </c>
      <c r="L694" s="11" t="str">
        <f t="shared" si="48"/>
        <v>830260</v>
      </c>
      <c r="M694" s="11" t="str">
        <f>IF(I694&lt;&gt;"",DATA!E693,"")</f>
        <v>AUTOMATIC DOOR OPENER</v>
      </c>
      <c r="N694" s="12">
        <v>0</v>
      </c>
      <c r="O694" s="11">
        <f>IF(I694&lt;&gt;"",DATA!C693,"")</f>
        <v>575.1</v>
      </c>
      <c r="P694" s="2">
        <v>294094</v>
      </c>
      <c r="Q694" s="2" t="s">
        <v>1304</v>
      </c>
      <c r="R694" s="2" t="s">
        <v>1320</v>
      </c>
      <c r="S694" s="2">
        <v>579</v>
      </c>
      <c r="T694" s="2">
        <v>1</v>
      </c>
      <c r="U694" s="2" t="s">
        <v>141</v>
      </c>
      <c r="Y694" s="2">
        <v>1700</v>
      </c>
      <c r="Z694" s="11" t="s">
        <v>54</v>
      </c>
      <c r="AA694" s="11" t="str">
        <f t="shared" si="49"/>
        <v>1700 - TBN</v>
      </c>
      <c r="AC694" s="2" t="s">
        <v>145</v>
      </c>
      <c r="AD694" s="11" t="str">
        <f>IF($I694&lt;&gt;"",VLOOKUP($AC694,GEADRESSEERDE!$A$2:$E$4,2,),"")</f>
        <v>LUITHAGEN HAVEN 2 D</v>
      </c>
      <c r="AE694" s="11">
        <f>IF($I694&lt;&gt;"",VLOOKUP($AC694,GEADRESSEERDE!$A$2:$E$4,3,),"")</f>
        <v>2030</v>
      </c>
      <c r="AF694" s="11" t="str">
        <f>IF($I694&lt;&gt;"",VLOOKUP($AC694,GEADRESSEERDE!$A$2:$E$4,4,),"")</f>
        <v>ANTWERPEN</v>
      </c>
      <c r="AG694" s="11" t="str">
        <f>IF($I694&lt;&gt;"",VLOOKUP($AC694,GEADRESSEERDE!$A$2:$E$4,5,),"")</f>
        <v>BE</v>
      </c>
      <c r="AH694" s="11" t="str">
        <f>IF(I694&lt;&gt;"",VLOOKUP(AP694,KvB!$A$2:$B$3,2,FALSE),"")</f>
        <v>BE101000</v>
      </c>
      <c r="AI694" s="11" t="s">
        <v>55</v>
      </c>
      <c r="AJ694" s="11"/>
      <c r="AK694" s="11"/>
      <c r="AL694" s="11"/>
      <c r="AM694" s="11"/>
      <c r="AN694" s="11"/>
      <c r="AO694" s="11"/>
      <c r="AP694" s="2" t="s">
        <v>70</v>
      </c>
      <c r="AQ694" s="11" t="str">
        <f>IF(I694&lt;&gt;"",DATA!D693,"")</f>
        <v>8302600090</v>
      </c>
    </row>
    <row r="695" spans="1:43" ht="15.75" x14ac:dyDescent="0.25">
      <c r="A695" s="11" t="s">
        <v>57</v>
      </c>
      <c r="B695" s="11" t="s">
        <v>56</v>
      </c>
      <c r="C695" s="22">
        <f t="shared" si="46"/>
        <v>25001620</v>
      </c>
      <c r="D695" s="11" t="str">
        <f t="shared" si="47"/>
        <v>SKIIFM_AT</v>
      </c>
      <c r="E695" s="11" t="str">
        <f>IF(I695&lt;&gt;"",VLOOKUP(F695,OPDRACHTGEVER!$A$2:$B$4,2,FALSE),"")</f>
        <v>SKIIFM_AT</v>
      </c>
      <c r="F695" s="11" t="s">
        <v>58</v>
      </c>
      <c r="I695" s="11" t="str">
        <f>IF(DATA!B694&lt;&gt;"",DATA!B694,"")</f>
        <v>FCIU8041691</v>
      </c>
      <c r="J695" s="12">
        <v>0</v>
      </c>
      <c r="K695" s="11" t="s">
        <v>53</v>
      </c>
      <c r="L695" s="11" t="str">
        <f t="shared" si="48"/>
        <v>903180</v>
      </c>
      <c r="M695" s="11" t="str">
        <f>IF(I695&lt;&gt;"",DATA!E694,"")</f>
        <v>AUTOMOTIVE SMOKE MACHINE LEAK DETECTOR</v>
      </c>
      <c r="N695" s="12">
        <v>0</v>
      </c>
      <c r="O695" s="11">
        <f>IF(I695&lt;&gt;"",DATA!C694,"")</f>
        <v>82.3</v>
      </c>
      <c r="P695" s="2">
        <v>294094</v>
      </c>
      <c r="Q695" s="2" t="s">
        <v>1304</v>
      </c>
      <c r="R695" s="2" t="s">
        <v>1320</v>
      </c>
      <c r="S695" s="2">
        <v>579</v>
      </c>
      <c r="T695" s="2">
        <v>1</v>
      </c>
      <c r="U695" s="2" t="s">
        <v>141</v>
      </c>
      <c r="Y695" s="2">
        <v>1700</v>
      </c>
      <c r="Z695" s="11" t="s">
        <v>54</v>
      </c>
      <c r="AA695" s="11" t="str">
        <f t="shared" si="49"/>
        <v>1700 - TBN</v>
      </c>
      <c r="AC695" s="2" t="s">
        <v>145</v>
      </c>
      <c r="AD695" s="11" t="str">
        <f>IF($I695&lt;&gt;"",VLOOKUP($AC695,GEADRESSEERDE!$A$2:$E$4,2,),"")</f>
        <v>LUITHAGEN HAVEN 2 D</v>
      </c>
      <c r="AE695" s="11">
        <f>IF($I695&lt;&gt;"",VLOOKUP($AC695,GEADRESSEERDE!$A$2:$E$4,3,),"")</f>
        <v>2030</v>
      </c>
      <c r="AF695" s="11" t="str">
        <f>IF($I695&lt;&gt;"",VLOOKUP($AC695,GEADRESSEERDE!$A$2:$E$4,4,),"")</f>
        <v>ANTWERPEN</v>
      </c>
      <c r="AG695" s="11" t="str">
        <f>IF($I695&lt;&gt;"",VLOOKUP($AC695,GEADRESSEERDE!$A$2:$E$4,5,),"")</f>
        <v>BE</v>
      </c>
      <c r="AH695" s="11" t="str">
        <f>IF(I695&lt;&gt;"",VLOOKUP(AP695,KvB!$A$2:$B$3,2,FALSE),"")</f>
        <v>BE101000</v>
      </c>
      <c r="AI695" s="11" t="s">
        <v>55</v>
      </c>
      <c r="AJ695" s="11"/>
      <c r="AK695" s="11"/>
      <c r="AL695" s="11"/>
      <c r="AM695" s="11"/>
      <c r="AN695" s="11"/>
      <c r="AO695" s="11"/>
      <c r="AP695" s="2" t="s">
        <v>70</v>
      </c>
      <c r="AQ695" s="11" t="str">
        <f>IF(I695&lt;&gt;"",DATA!D694,"")</f>
        <v>9031808000</v>
      </c>
    </row>
    <row r="696" spans="1:43" ht="15.75" x14ac:dyDescent="0.25">
      <c r="A696" s="11" t="s">
        <v>57</v>
      </c>
      <c r="B696" s="11" t="s">
        <v>56</v>
      </c>
      <c r="C696" s="22">
        <f t="shared" si="46"/>
        <v>25001620</v>
      </c>
      <c r="D696" s="11" t="str">
        <f t="shared" si="47"/>
        <v>SKIIFM_AT</v>
      </c>
      <c r="E696" s="11" t="str">
        <f>IF(I696&lt;&gt;"",VLOOKUP(F696,OPDRACHTGEVER!$A$2:$B$4,2,FALSE),"")</f>
        <v>SKIIFM_AT</v>
      </c>
      <c r="F696" s="11" t="s">
        <v>58</v>
      </c>
      <c r="I696" s="11" t="str">
        <f>IF(DATA!B695&lt;&gt;"",DATA!B695,"")</f>
        <v>FCIU8041691</v>
      </c>
      <c r="J696" s="12">
        <v>0</v>
      </c>
      <c r="K696" s="11" t="s">
        <v>53</v>
      </c>
      <c r="L696" s="11" t="str">
        <f t="shared" si="48"/>
        <v>741920</v>
      </c>
      <c r="M696" s="11" t="str">
        <f>IF(I696&lt;&gt;"",DATA!E695,"")</f>
        <v>BLUEPRINT STORAGE</v>
      </c>
      <c r="N696" s="12">
        <v>0</v>
      </c>
      <c r="O696" s="11">
        <f>IF(I696&lt;&gt;"",DATA!C695,"")</f>
        <v>159.30000000000001</v>
      </c>
      <c r="P696" s="2">
        <v>294094</v>
      </c>
      <c r="Q696" s="2" t="s">
        <v>1304</v>
      </c>
      <c r="R696" s="2" t="s">
        <v>1320</v>
      </c>
      <c r="S696" s="2">
        <v>579</v>
      </c>
      <c r="T696" s="2">
        <v>1</v>
      </c>
      <c r="U696" s="2" t="s">
        <v>141</v>
      </c>
      <c r="Y696" s="2">
        <v>1700</v>
      </c>
      <c r="Z696" s="11" t="s">
        <v>54</v>
      </c>
      <c r="AA696" s="11" t="str">
        <f t="shared" si="49"/>
        <v>1700 - TBN</v>
      </c>
      <c r="AC696" s="2" t="s">
        <v>145</v>
      </c>
      <c r="AD696" s="11" t="str">
        <f>IF($I696&lt;&gt;"",VLOOKUP($AC696,GEADRESSEERDE!$A$2:$E$4,2,),"")</f>
        <v>LUITHAGEN HAVEN 2 D</v>
      </c>
      <c r="AE696" s="11">
        <f>IF($I696&lt;&gt;"",VLOOKUP($AC696,GEADRESSEERDE!$A$2:$E$4,3,),"")</f>
        <v>2030</v>
      </c>
      <c r="AF696" s="11" t="str">
        <f>IF($I696&lt;&gt;"",VLOOKUP($AC696,GEADRESSEERDE!$A$2:$E$4,4,),"")</f>
        <v>ANTWERPEN</v>
      </c>
      <c r="AG696" s="11" t="str">
        <f>IF($I696&lt;&gt;"",VLOOKUP($AC696,GEADRESSEERDE!$A$2:$E$4,5,),"")</f>
        <v>BE</v>
      </c>
      <c r="AH696" s="11" t="str">
        <f>IF(I696&lt;&gt;"",VLOOKUP(AP696,KvB!$A$2:$B$3,2,FALSE),"")</f>
        <v>BE101000</v>
      </c>
      <c r="AI696" s="11" t="s">
        <v>55</v>
      </c>
      <c r="AJ696" s="11"/>
      <c r="AK696" s="11"/>
      <c r="AL696" s="11"/>
      <c r="AM696" s="11"/>
      <c r="AN696" s="11"/>
      <c r="AO696" s="11"/>
      <c r="AP696" s="2" t="s">
        <v>70</v>
      </c>
      <c r="AQ696" s="11" t="str">
        <f>IF(I696&lt;&gt;"",DATA!D695,"")</f>
        <v>7419200090</v>
      </c>
    </row>
    <row r="697" spans="1:43" ht="15.75" x14ac:dyDescent="0.25">
      <c r="A697" s="11" t="s">
        <v>57</v>
      </c>
      <c r="B697" s="11" t="s">
        <v>56</v>
      </c>
      <c r="C697" s="22">
        <f t="shared" si="46"/>
        <v>25001620</v>
      </c>
      <c r="D697" s="11" t="str">
        <f t="shared" si="47"/>
        <v>SKIIFM_AT</v>
      </c>
      <c r="E697" s="11" t="str">
        <f>IF(I697&lt;&gt;"",VLOOKUP(F697,OPDRACHTGEVER!$A$2:$B$4,2,FALSE),"")</f>
        <v>SKIIFM_AT</v>
      </c>
      <c r="F697" s="11" t="s">
        <v>58</v>
      </c>
      <c r="I697" s="11" t="str">
        <f>IF(DATA!B696&lt;&gt;"",DATA!B696,"")</f>
        <v>FCIU8041691</v>
      </c>
      <c r="J697" s="12">
        <v>0</v>
      </c>
      <c r="K697" s="11" t="s">
        <v>53</v>
      </c>
      <c r="L697" s="11" t="str">
        <f t="shared" si="48"/>
        <v>391890</v>
      </c>
      <c r="M697" s="11" t="str">
        <f>IF(I697&lt;&gt;"",DATA!E696,"")</f>
        <v>BOAT FLOORING</v>
      </c>
      <c r="N697" s="12">
        <v>0</v>
      </c>
      <c r="O697" s="11">
        <f>IF(I697&lt;&gt;"",DATA!C696,"")</f>
        <v>64.7</v>
      </c>
      <c r="P697" s="2">
        <v>294094</v>
      </c>
      <c r="Q697" s="2" t="s">
        <v>1304</v>
      </c>
      <c r="R697" s="2" t="s">
        <v>1320</v>
      </c>
      <c r="S697" s="2">
        <v>579</v>
      </c>
      <c r="T697" s="2">
        <v>1</v>
      </c>
      <c r="U697" s="2" t="s">
        <v>141</v>
      </c>
      <c r="Y697" s="2">
        <v>1700</v>
      </c>
      <c r="Z697" s="11" t="s">
        <v>54</v>
      </c>
      <c r="AA697" s="11" t="str">
        <f t="shared" si="49"/>
        <v>1700 - TBN</v>
      </c>
      <c r="AC697" s="2" t="s">
        <v>145</v>
      </c>
      <c r="AD697" s="11" t="str">
        <f>IF($I697&lt;&gt;"",VLOOKUP($AC697,GEADRESSEERDE!$A$2:$E$4,2,),"")</f>
        <v>LUITHAGEN HAVEN 2 D</v>
      </c>
      <c r="AE697" s="11">
        <f>IF($I697&lt;&gt;"",VLOOKUP($AC697,GEADRESSEERDE!$A$2:$E$4,3,),"")</f>
        <v>2030</v>
      </c>
      <c r="AF697" s="11" t="str">
        <f>IF($I697&lt;&gt;"",VLOOKUP($AC697,GEADRESSEERDE!$A$2:$E$4,4,),"")</f>
        <v>ANTWERPEN</v>
      </c>
      <c r="AG697" s="11" t="str">
        <f>IF($I697&lt;&gt;"",VLOOKUP($AC697,GEADRESSEERDE!$A$2:$E$4,5,),"")</f>
        <v>BE</v>
      </c>
      <c r="AH697" s="11" t="str">
        <f>IF(I697&lt;&gt;"",VLOOKUP(AP697,KvB!$A$2:$B$3,2,FALSE),"")</f>
        <v>BE101000</v>
      </c>
      <c r="AI697" s="11" t="s">
        <v>55</v>
      </c>
      <c r="AJ697" s="11"/>
      <c r="AK697" s="11"/>
      <c r="AL697" s="11"/>
      <c r="AM697" s="11"/>
      <c r="AN697" s="11"/>
      <c r="AO697" s="11"/>
      <c r="AP697" s="2" t="s">
        <v>70</v>
      </c>
      <c r="AQ697" s="11" t="str">
        <f>IF(I697&lt;&gt;"",DATA!D696,"")</f>
        <v>3918900090</v>
      </c>
    </row>
    <row r="698" spans="1:43" ht="15.75" x14ac:dyDescent="0.25">
      <c r="A698" s="11" t="s">
        <v>57</v>
      </c>
      <c r="B698" s="11" t="s">
        <v>56</v>
      </c>
      <c r="C698" s="22">
        <f t="shared" si="46"/>
        <v>25001620</v>
      </c>
      <c r="D698" s="11" t="str">
        <f t="shared" si="47"/>
        <v>SKIIFM_AT</v>
      </c>
      <c r="E698" s="11" t="str">
        <f>IF(I698&lt;&gt;"",VLOOKUP(F698,OPDRACHTGEVER!$A$2:$B$4,2,FALSE),"")</f>
        <v>SKIIFM_AT</v>
      </c>
      <c r="F698" s="11" t="s">
        <v>58</v>
      </c>
      <c r="I698" s="11" t="str">
        <f>IF(DATA!B697&lt;&gt;"",DATA!B697,"")</f>
        <v>FCIU8041691</v>
      </c>
      <c r="J698" s="12">
        <v>0</v>
      </c>
      <c r="K698" s="11" t="s">
        <v>53</v>
      </c>
      <c r="L698" s="11" t="str">
        <f t="shared" si="48"/>
        <v>841950</v>
      </c>
      <c r="M698" s="11" t="str">
        <f>IF(I698&lt;&gt;"",DATA!E697,"")</f>
        <v>BRAZING PLATE HEAT EXCHANGERS</v>
      </c>
      <c r="N698" s="12">
        <v>0</v>
      </c>
      <c r="O698" s="11">
        <f>IF(I698&lt;&gt;"",DATA!C697,"")</f>
        <v>33.6</v>
      </c>
      <c r="P698" s="2">
        <v>294094</v>
      </c>
      <c r="Q698" s="2" t="s">
        <v>1304</v>
      </c>
      <c r="R698" s="2" t="s">
        <v>1320</v>
      </c>
      <c r="S698" s="2">
        <v>579</v>
      </c>
      <c r="T698" s="2">
        <v>1</v>
      </c>
      <c r="U698" s="2" t="s">
        <v>141</v>
      </c>
      <c r="Y698" s="2">
        <v>1700</v>
      </c>
      <c r="Z698" s="11" t="s">
        <v>54</v>
      </c>
      <c r="AA698" s="11" t="str">
        <f t="shared" si="49"/>
        <v>1700 - TBN</v>
      </c>
      <c r="AC698" s="2" t="s">
        <v>145</v>
      </c>
      <c r="AD698" s="11" t="str">
        <f>IF($I698&lt;&gt;"",VLOOKUP($AC698,GEADRESSEERDE!$A$2:$E$4,2,),"")</f>
        <v>LUITHAGEN HAVEN 2 D</v>
      </c>
      <c r="AE698" s="11">
        <f>IF($I698&lt;&gt;"",VLOOKUP($AC698,GEADRESSEERDE!$A$2:$E$4,3,),"")</f>
        <v>2030</v>
      </c>
      <c r="AF698" s="11" t="str">
        <f>IF($I698&lt;&gt;"",VLOOKUP($AC698,GEADRESSEERDE!$A$2:$E$4,4,),"")</f>
        <v>ANTWERPEN</v>
      </c>
      <c r="AG698" s="11" t="str">
        <f>IF($I698&lt;&gt;"",VLOOKUP($AC698,GEADRESSEERDE!$A$2:$E$4,5,),"")</f>
        <v>BE</v>
      </c>
      <c r="AH698" s="11" t="str">
        <f>IF(I698&lt;&gt;"",VLOOKUP(AP698,KvB!$A$2:$B$3,2,FALSE),"")</f>
        <v>BE101000</v>
      </c>
      <c r="AI698" s="11" t="s">
        <v>55</v>
      </c>
      <c r="AJ698" s="11"/>
      <c r="AK698" s="11"/>
      <c r="AL698" s="11"/>
      <c r="AM698" s="11"/>
      <c r="AN698" s="11"/>
      <c r="AO698" s="11"/>
      <c r="AP698" s="2" t="s">
        <v>70</v>
      </c>
      <c r="AQ698" s="11" t="str">
        <f>IF(I698&lt;&gt;"",DATA!D697,"")</f>
        <v>8419508090</v>
      </c>
    </row>
    <row r="699" spans="1:43" ht="15.75" x14ac:dyDescent="0.25">
      <c r="A699" s="11" t="s">
        <v>57</v>
      </c>
      <c r="B699" s="11" t="s">
        <v>56</v>
      </c>
      <c r="C699" s="22">
        <f t="shared" si="46"/>
        <v>25001620</v>
      </c>
      <c r="D699" s="11" t="str">
        <f t="shared" si="47"/>
        <v>SKIIFM_AT</v>
      </c>
      <c r="E699" s="11" t="str">
        <f>IF(I699&lt;&gt;"",VLOOKUP(F699,OPDRACHTGEVER!$A$2:$B$4,2,FALSE),"")</f>
        <v>SKIIFM_AT</v>
      </c>
      <c r="F699" s="11" t="s">
        <v>58</v>
      </c>
      <c r="I699" s="11" t="str">
        <f>IF(DATA!B698&lt;&gt;"",DATA!B698,"")</f>
        <v>FCIU8041691</v>
      </c>
      <c r="J699" s="12">
        <v>0</v>
      </c>
      <c r="K699" s="11" t="s">
        <v>53</v>
      </c>
      <c r="L699" s="11" t="str">
        <f t="shared" si="48"/>
        <v>741920</v>
      </c>
      <c r="M699" s="11" t="str">
        <f>IF(I699&lt;&gt;"",DATA!E698,"")</f>
        <v>BUCKET</v>
      </c>
      <c r="N699" s="12">
        <v>0</v>
      </c>
      <c r="O699" s="11">
        <f>IF(I699&lt;&gt;"",DATA!C698,"")</f>
        <v>45.1</v>
      </c>
      <c r="P699" s="2">
        <v>294094</v>
      </c>
      <c r="Q699" s="2" t="s">
        <v>1304</v>
      </c>
      <c r="R699" s="2" t="s">
        <v>1320</v>
      </c>
      <c r="S699" s="2">
        <v>579</v>
      </c>
      <c r="T699" s="2">
        <v>1</v>
      </c>
      <c r="U699" s="2" t="s">
        <v>141</v>
      </c>
      <c r="Y699" s="2">
        <v>1700</v>
      </c>
      <c r="Z699" s="11" t="s">
        <v>54</v>
      </c>
      <c r="AA699" s="11" t="str">
        <f t="shared" si="49"/>
        <v>1700 - TBN</v>
      </c>
      <c r="AC699" s="2" t="s">
        <v>145</v>
      </c>
      <c r="AD699" s="11" t="str">
        <f>IF($I699&lt;&gt;"",VLOOKUP($AC699,GEADRESSEERDE!$A$2:$E$4,2,),"")</f>
        <v>LUITHAGEN HAVEN 2 D</v>
      </c>
      <c r="AE699" s="11">
        <f>IF($I699&lt;&gt;"",VLOOKUP($AC699,GEADRESSEERDE!$A$2:$E$4,3,),"")</f>
        <v>2030</v>
      </c>
      <c r="AF699" s="11" t="str">
        <f>IF($I699&lt;&gt;"",VLOOKUP($AC699,GEADRESSEERDE!$A$2:$E$4,4,),"")</f>
        <v>ANTWERPEN</v>
      </c>
      <c r="AG699" s="11" t="str">
        <f>IF($I699&lt;&gt;"",VLOOKUP($AC699,GEADRESSEERDE!$A$2:$E$4,5,),"")</f>
        <v>BE</v>
      </c>
      <c r="AH699" s="11" t="str">
        <f>IF(I699&lt;&gt;"",VLOOKUP(AP699,KvB!$A$2:$B$3,2,FALSE),"")</f>
        <v>BE101000</v>
      </c>
      <c r="AI699" s="11" t="s">
        <v>55</v>
      </c>
      <c r="AJ699" s="11"/>
      <c r="AK699" s="11"/>
      <c r="AL699" s="11"/>
      <c r="AM699" s="11"/>
      <c r="AN699" s="11"/>
      <c r="AO699" s="11"/>
      <c r="AP699" s="2" t="s">
        <v>70</v>
      </c>
      <c r="AQ699" s="11" t="str">
        <f>IF(I699&lt;&gt;"",DATA!D698,"")</f>
        <v>7419200090</v>
      </c>
    </row>
    <row r="700" spans="1:43" ht="15.75" x14ac:dyDescent="0.25">
      <c r="A700" s="11" t="s">
        <v>57</v>
      </c>
      <c r="B700" s="11" t="s">
        <v>56</v>
      </c>
      <c r="C700" s="22">
        <f t="shared" si="46"/>
        <v>25001620</v>
      </c>
      <c r="D700" s="11" t="str">
        <f t="shared" si="47"/>
        <v>SKIIFM_AT</v>
      </c>
      <c r="E700" s="11" t="str">
        <f>IF(I700&lt;&gt;"",VLOOKUP(F700,OPDRACHTGEVER!$A$2:$B$4,2,FALSE),"")</f>
        <v>SKIIFM_AT</v>
      </c>
      <c r="F700" s="11" t="s">
        <v>58</v>
      </c>
      <c r="I700" s="11" t="str">
        <f>IF(DATA!B699&lt;&gt;"",DATA!B699,"")</f>
        <v>FCIU8041691</v>
      </c>
      <c r="J700" s="12">
        <v>0</v>
      </c>
      <c r="K700" s="11" t="s">
        <v>53</v>
      </c>
      <c r="L700" s="11" t="str">
        <f t="shared" si="48"/>
        <v>851671</v>
      </c>
      <c r="M700" s="11" t="str">
        <f>IF(I700&lt;&gt;"",DATA!E699,"")</f>
        <v>COFFEE BUCKET</v>
      </c>
      <c r="N700" s="12">
        <v>0</v>
      </c>
      <c r="O700" s="11">
        <f>IF(I700&lt;&gt;"",DATA!C699,"")</f>
        <v>18.64</v>
      </c>
      <c r="P700" s="2">
        <v>294094</v>
      </c>
      <c r="Q700" s="2" t="s">
        <v>1304</v>
      </c>
      <c r="R700" s="2" t="s">
        <v>1320</v>
      </c>
      <c r="S700" s="2">
        <v>579</v>
      </c>
      <c r="T700" s="2">
        <v>1</v>
      </c>
      <c r="U700" s="2" t="s">
        <v>141</v>
      </c>
      <c r="Y700" s="2">
        <v>1700</v>
      </c>
      <c r="Z700" s="11" t="s">
        <v>54</v>
      </c>
      <c r="AA700" s="11" t="str">
        <f t="shared" si="49"/>
        <v>1700 - TBN</v>
      </c>
      <c r="AC700" s="2" t="s">
        <v>145</v>
      </c>
      <c r="AD700" s="11" t="str">
        <f>IF($I700&lt;&gt;"",VLOOKUP($AC700,GEADRESSEERDE!$A$2:$E$4,2,),"")</f>
        <v>LUITHAGEN HAVEN 2 D</v>
      </c>
      <c r="AE700" s="11">
        <f>IF($I700&lt;&gt;"",VLOOKUP($AC700,GEADRESSEERDE!$A$2:$E$4,3,),"")</f>
        <v>2030</v>
      </c>
      <c r="AF700" s="11" t="str">
        <f>IF($I700&lt;&gt;"",VLOOKUP($AC700,GEADRESSEERDE!$A$2:$E$4,4,),"")</f>
        <v>ANTWERPEN</v>
      </c>
      <c r="AG700" s="11" t="str">
        <f>IF($I700&lt;&gt;"",VLOOKUP($AC700,GEADRESSEERDE!$A$2:$E$4,5,),"")</f>
        <v>BE</v>
      </c>
      <c r="AH700" s="11" t="str">
        <f>IF(I700&lt;&gt;"",VLOOKUP(AP700,KvB!$A$2:$B$3,2,FALSE),"")</f>
        <v>BE101000</v>
      </c>
      <c r="AI700" s="11" t="s">
        <v>55</v>
      </c>
      <c r="AJ700" s="11"/>
      <c r="AK700" s="11"/>
      <c r="AL700" s="11"/>
      <c r="AM700" s="11"/>
      <c r="AN700" s="11"/>
      <c r="AO700" s="11"/>
      <c r="AP700" s="2" t="s">
        <v>70</v>
      </c>
      <c r="AQ700" s="11" t="str">
        <f>IF(I700&lt;&gt;"",DATA!D699,"")</f>
        <v>8516710000</v>
      </c>
    </row>
    <row r="701" spans="1:43" ht="15.75" x14ac:dyDescent="0.25">
      <c r="A701" s="11" t="s">
        <v>57</v>
      </c>
      <c r="B701" s="11" t="s">
        <v>56</v>
      </c>
      <c r="C701" s="22">
        <f t="shared" si="46"/>
        <v>25001620</v>
      </c>
      <c r="D701" s="11" t="str">
        <f t="shared" si="47"/>
        <v>SKIIFM_AT</v>
      </c>
      <c r="E701" s="11" t="str">
        <f>IF(I701&lt;&gt;"",VLOOKUP(F701,OPDRACHTGEVER!$A$2:$B$4,2,FALSE),"")</f>
        <v>SKIIFM_AT</v>
      </c>
      <c r="F701" s="11" t="s">
        <v>58</v>
      </c>
      <c r="I701" s="11" t="str">
        <f>IF(DATA!B700&lt;&gt;"",DATA!B700,"")</f>
        <v>FCIU8041691</v>
      </c>
      <c r="J701" s="12">
        <v>0</v>
      </c>
      <c r="K701" s="11" t="s">
        <v>53</v>
      </c>
      <c r="L701" s="11" t="str">
        <f t="shared" si="48"/>
        <v>843880</v>
      </c>
      <c r="M701" s="11" t="str">
        <f>IF(I701&lt;&gt;"",DATA!E700,"")</f>
        <v>COTTON CANDY MACHINE</v>
      </c>
      <c r="N701" s="12">
        <v>0</v>
      </c>
      <c r="O701" s="11">
        <f>IF(I701&lt;&gt;"",DATA!C700,"")</f>
        <v>98.75</v>
      </c>
      <c r="P701" s="2">
        <v>294094</v>
      </c>
      <c r="Q701" s="2" t="s">
        <v>1304</v>
      </c>
      <c r="R701" s="2" t="s">
        <v>1320</v>
      </c>
      <c r="S701" s="2">
        <v>579</v>
      </c>
      <c r="T701" s="2">
        <v>1</v>
      </c>
      <c r="U701" s="2" t="s">
        <v>141</v>
      </c>
      <c r="Y701" s="2">
        <v>1700</v>
      </c>
      <c r="Z701" s="11" t="s">
        <v>54</v>
      </c>
      <c r="AA701" s="11" t="str">
        <f t="shared" si="49"/>
        <v>1700 - TBN</v>
      </c>
      <c r="AC701" s="2" t="s">
        <v>145</v>
      </c>
      <c r="AD701" s="11" t="str">
        <f>IF($I701&lt;&gt;"",VLOOKUP($AC701,GEADRESSEERDE!$A$2:$E$4,2,),"")</f>
        <v>LUITHAGEN HAVEN 2 D</v>
      </c>
      <c r="AE701" s="11">
        <f>IF($I701&lt;&gt;"",VLOOKUP($AC701,GEADRESSEERDE!$A$2:$E$4,3,),"")</f>
        <v>2030</v>
      </c>
      <c r="AF701" s="11" t="str">
        <f>IF($I701&lt;&gt;"",VLOOKUP($AC701,GEADRESSEERDE!$A$2:$E$4,4,),"")</f>
        <v>ANTWERPEN</v>
      </c>
      <c r="AG701" s="11" t="str">
        <f>IF($I701&lt;&gt;"",VLOOKUP($AC701,GEADRESSEERDE!$A$2:$E$4,5,),"")</f>
        <v>BE</v>
      </c>
      <c r="AH701" s="11" t="str">
        <f>IF(I701&lt;&gt;"",VLOOKUP(AP701,KvB!$A$2:$B$3,2,FALSE),"")</f>
        <v>BE101000</v>
      </c>
      <c r="AI701" s="11" t="s">
        <v>55</v>
      </c>
      <c r="AJ701" s="11"/>
      <c r="AK701" s="11"/>
      <c r="AL701" s="11"/>
      <c r="AM701" s="11"/>
      <c r="AN701" s="11"/>
      <c r="AO701" s="11"/>
      <c r="AP701" s="2" t="s">
        <v>70</v>
      </c>
      <c r="AQ701" s="11" t="str">
        <f>IF(I701&lt;&gt;"",DATA!D700,"")</f>
        <v>8438809900</v>
      </c>
    </row>
    <row r="702" spans="1:43" ht="15.75" x14ac:dyDescent="0.25">
      <c r="A702" s="11" t="s">
        <v>57</v>
      </c>
      <c r="B702" s="11" t="s">
        <v>56</v>
      </c>
      <c r="C702" s="22">
        <f t="shared" si="46"/>
        <v>25001620</v>
      </c>
      <c r="D702" s="11" t="str">
        <f t="shared" si="47"/>
        <v>SKIIFM_AT</v>
      </c>
      <c r="E702" s="11" t="str">
        <f>IF(I702&lt;&gt;"",VLOOKUP(F702,OPDRACHTGEVER!$A$2:$B$4,2,FALSE),"")</f>
        <v>SKIIFM_AT</v>
      </c>
      <c r="F702" s="11" t="s">
        <v>58</v>
      </c>
      <c r="I702" s="11" t="str">
        <f>IF(DATA!B701&lt;&gt;"",DATA!B701,"")</f>
        <v>FCIU8041691</v>
      </c>
      <c r="J702" s="12">
        <v>0</v>
      </c>
      <c r="K702" s="11" t="s">
        <v>53</v>
      </c>
      <c r="L702" s="11" t="str">
        <f t="shared" si="48"/>
        <v>820559</v>
      </c>
      <c r="M702" s="11" t="str">
        <f>IF(I702&lt;&gt;"",DATA!E701,"")</f>
        <v>DENT REPAIR KIT</v>
      </c>
      <c r="N702" s="12">
        <v>0</v>
      </c>
      <c r="O702" s="11">
        <f>IF(I702&lt;&gt;"",DATA!C701,"")</f>
        <v>91</v>
      </c>
      <c r="P702" s="2">
        <v>294094</v>
      </c>
      <c r="Q702" s="2" t="s">
        <v>1304</v>
      </c>
      <c r="R702" s="2" t="s">
        <v>1320</v>
      </c>
      <c r="S702" s="2">
        <v>579</v>
      </c>
      <c r="T702" s="2">
        <v>1</v>
      </c>
      <c r="U702" s="2" t="s">
        <v>141</v>
      </c>
      <c r="Y702" s="2">
        <v>1700</v>
      </c>
      <c r="Z702" s="11" t="s">
        <v>54</v>
      </c>
      <c r="AA702" s="11" t="str">
        <f t="shared" si="49"/>
        <v>1700 - TBN</v>
      </c>
      <c r="AC702" s="2" t="s">
        <v>145</v>
      </c>
      <c r="AD702" s="11" t="str">
        <f>IF($I702&lt;&gt;"",VLOOKUP($AC702,GEADRESSEERDE!$A$2:$E$4,2,),"")</f>
        <v>LUITHAGEN HAVEN 2 D</v>
      </c>
      <c r="AE702" s="11">
        <f>IF($I702&lt;&gt;"",VLOOKUP($AC702,GEADRESSEERDE!$A$2:$E$4,3,),"")</f>
        <v>2030</v>
      </c>
      <c r="AF702" s="11" t="str">
        <f>IF($I702&lt;&gt;"",VLOOKUP($AC702,GEADRESSEERDE!$A$2:$E$4,4,),"")</f>
        <v>ANTWERPEN</v>
      </c>
      <c r="AG702" s="11" t="str">
        <f>IF($I702&lt;&gt;"",VLOOKUP($AC702,GEADRESSEERDE!$A$2:$E$4,5,),"")</f>
        <v>BE</v>
      </c>
      <c r="AH702" s="11" t="str">
        <f>IF(I702&lt;&gt;"",VLOOKUP(AP702,KvB!$A$2:$B$3,2,FALSE),"")</f>
        <v>BE101000</v>
      </c>
      <c r="AI702" s="11" t="s">
        <v>55</v>
      </c>
      <c r="AJ702" s="11"/>
      <c r="AK702" s="11"/>
      <c r="AL702" s="11"/>
      <c r="AM702" s="11"/>
      <c r="AN702" s="11"/>
      <c r="AO702" s="11"/>
      <c r="AP702" s="2" t="s">
        <v>70</v>
      </c>
      <c r="AQ702" s="11" t="str">
        <f>IF(I702&lt;&gt;"",DATA!D701,"")</f>
        <v>8205598000</v>
      </c>
    </row>
    <row r="703" spans="1:43" ht="15.75" x14ac:dyDescent="0.25">
      <c r="A703" s="11" t="s">
        <v>57</v>
      </c>
      <c r="B703" s="11" t="s">
        <v>56</v>
      </c>
      <c r="C703" s="22">
        <f t="shared" si="46"/>
        <v>25001620</v>
      </c>
      <c r="D703" s="11" t="str">
        <f t="shared" si="47"/>
        <v>SKIIFM_AT</v>
      </c>
      <c r="E703" s="11" t="str">
        <f>IF(I703&lt;&gt;"",VLOOKUP(F703,OPDRACHTGEVER!$A$2:$B$4,2,FALSE),"")</f>
        <v>SKIIFM_AT</v>
      </c>
      <c r="F703" s="11" t="s">
        <v>58</v>
      </c>
      <c r="I703" s="11" t="str">
        <f>IF(DATA!B702&lt;&gt;"",DATA!B702,"")</f>
        <v>FCIU8041691</v>
      </c>
      <c r="J703" s="12">
        <v>0</v>
      </c>
      <c r="K703" s="11" t="s">
        <v>53</v>
      </c>
      <c r="L703" s="11" t="str">
        <f t="shared" si="48"/>
        <v>830140</v>
      </c>
      <c r="M703" s="11" t="str">
        <f>IF(I703&lt;&gt;"",DATA!E702,"")</f>
        <v>DIGITAL DOOR LOCK</v>
      </c>
      <c r="N703" s="12">
        <v>0</v>
      </c>
      <c r="O703" s="11">
        <f>IF(I703&lt;&gt;"",DATA!C702,"")</f>
        <v>30.6</v>
      </c>
      <c r="P703" s="2">
        <v>294094</v>
      </c>
      <c r="Q703" s="2" t="s">
        <v>1304</v>
      </c>
      <c r="R703" s="2" t="s">
        <v>1320</v>
      </c>
      <c r="S703" s="2">
        <v>579</v>
      </c>
      <c r="T703" s="2">
        <v>1</v>
      </c>
      <c r="U703" s="2" t="s">
        <v>141</v>
      </c>
      <c r="Y703" s="2">
        <v>1700</v>
      </c>
      <c r="Z703" s="11" t="s">
        <v>54</v>
      </c>
      <c r="AA703" s="11" t="str">
        <f t="shared" si="49"/>
        <v>1700 - TBN</v>
      </c>
      <c r="AC703" s="2" t="s">
        <v>145</v>
      </c>
      <c r="AD703" s="11" t="str">
        <f>IF($I703&lt;&gt;"",VLOOKUP($AC703,GEADRESSEERDE!$A$2:$E$4,2,),"")</f>
        <v>LUITHAGEN HAVEN 2 D</v>
      </c>
      <c r="AE703" s="11">
        <f>IF($I703&lt;&gt;"",VLOOKUP($AC703,GEADRESSEERDE!$A$2:$E$4,3,),"")</f>
        <v>2030</v>
      </c>
      <c r="AF703" s="11" t="str">
        <f>IF($I703&lt;&gt;"",VLOOKUP($AC703,GEADRESSEERDE!$A$2:$E$4,4,),"")</f>
        <v>ANTWERPEN</v>
      </c>
      <c r="AG703" s="11" t="str">
        <f>IF($I703&lt;&gt;"",VLOOKUP($AC703,GEADRESSEERDE!$A$2:$E$4,5,),"")</f>
        <v>BE</v>
      </c>
      <c r="AH703" s="11" t="str">
        <f>IF(I703&lt;&gt;"",VLOOKUP(AP703,KvB!$A$2:$B$3,2,FALSE),"")</f>
        <v>BE101000</v>
      </c>
      <c r="AI703" s="11" t="s">
        <v>55</v>
      </c>
      <c r="AJ703" s="11"/>
      <c r="AK703" s="11"/>
      <c r="AL703" s="11"/>
      <c r="AM703" s="11"/>
      <c r="AN703" s="11"/>
      <c r="AO703" s="11"/>
      <c r="AP703" s="2" t="s">
        <v>70</v>
      </c>
      <c r="AQ703" s="11" t="str">
        <f>IF(I703&lt;&gt;"",DATA!D702,"")</f>
        <v>8301401900</v>
      </c>
    </row>
    <row r="704" spans="1:43" ht="15.75" x14ac:dyDescent="0.25">
      <c r="A704" s="11" t="s">
        <v>57</v>
      </c>
      <c r="B704" s="11" t="s">
        <v>56</v>
      </c>
      <c r="C704" s="22">
        <f t="shared" si="46"/>
        <v>25001620</v>
      </c>
      <c r="D704" s="11" t="str">
        <f t="shared" si="47"/>
        <v>SKIIFM_AT</v>
      </c>
      <c r="E704" s="11" t="str">
        <f>IF(I704&lt;&gt;"",VLOOKUP(F704,OPDRACHTGEVER!$A$2:$B$4,2,FALSE),"")</f>
        <v>SKIIFM_AT</v>
      </c>
      <c r="F704" s="11" t="s">
        <v>58</v>
      </c>
      <c r="I704" s="11" t="str">
        <f>IF(DATA!B703&lt;&gt;"",DATA!B703,"")</f>
        <v>FCIU8041691</v>
      </c>
      <c r="J704" s="12">
        <v>0</v>
      </c>
      <c r="K704" s="11" t="s">
        <v>53</v>
      </c>
      <c r="L704" s="11" t="str">
        <f t="shared" si="48"/>
        <v>842310</v>
      </c>
      <c r="M704" s="11" t="str">
        <f>IF(I704&lt;&gt;"",DATA!E703,"")</f>
        <v>DIGITAL MEDICAL SCALE</v>
      </c>
      <c r="N704" s="12">
        <v>0</v>
      </c>
      <c r="O704" s="11">
        <f>IF(I704&lt;&gt;"",DATA!C703,"")</f>
        <v>11.9</v>
      </c>
      <c r="P704" s="2">
        <v>294094</v>
      </c>
      <c r="Q704" s="2" t="s">
        <v>1304</v>
      </c>
      <c r="R704" s="2" t="s">
        <v>1320</v>
      </c>
      <c r="S704" s="2">
        <v>579</v>
      </c>
      <c r="T704" s="2">
        <v>1</v>
      </c>
      <c r="U704" s="2" t="s">
        <v>141</v>
      </c>
      <c r="Y704" s="2">
        <v>1700</v>
      </c>
      <c r="Z704" s="11" t="s">
        <v>54</v>
      </c>
      <c r="AA704" s="11" t="str">
        <f t="shared" si="49"/>
        <v>1700 - TBN</v>
      </c>
      <c r="AC704" s="2" t="s">
        <v>145</v>
      </c>
      <c r="AD704" s="11" t="str">
        <f>IF($I704&lt;&gt;"",VLOOKUP($AC704,GEADRESSEERDE!$A$2:$E$4,2,),"")</f>
        <v>LUITHAGEN HAVEN 2 D</v>
      </c>
      <c r="AE704" s="11">
        <f>IF($I704&lt;&gt;"",VLOOKUP($AC704,GEADRESSEERDE!$A$2:$E$4,3,),"")</f>
        <v>2030</v>
      </c>
      <c r="AF704" s="11" t="str">
        <f>IF($I704&lt;&gt;"",VLOOKUP($AC704,GEADRESSEERDE!$A$2:$E$4,4,),"")</f>
        <v>ANTWERPEN</v>
      </c>
      <c r="AG704" s="11" t="str">
        <f>IF($I704&lt;&gt;"",VLOOKUP($AC704,GEADRESSEERDE!$A$2:$E$4,5,),"")</f>
        <v>BE</v>
      </c>
      <c r="AH704" s="11" t="str">
        <f>IF(I704&lt;&gt;"",VLOOKUP(AP704,KvB!$A$2:$B$3,2,FALSE),"")</f>
        <v>BE101000</v>
      </c>
      <c r="AI704" s="11" t="s">
        <v>55</v>
      </c>
      <c r="AJ704" s="11"/>
      <c r="AK704" s="11"/>
      <c r="AL704" s="11"/>
      <c r="AM704" s="11"/>
      <c r="AN704" s="11"/>
      <c r="AO704" s="11"/>
      <c r="AP704" s="2" t="s">
        <v>70</v>
      </c>
      <c r="AQ704" s="11" t="str">
        <f>IF(I704&lt;&gt;"",DATA!D703,"")</f>
        <v>8423109000</v>
      </c>
    </row>
    <row r="705" spans="1:43" ht="15.75" x14ac:dyDescent="0.25">
      <c r="A705" s="11" t="s">
        <v>57</v>
      </c>
      <c r="B705" s="11" t="s">
        <v>56</v>
      </c>
      <c r="C705" s="22">
        <f t="shared" si="46"/>
        <v>25001620</v>
      </c>
      <c r="D705" s="11" t="str">
        <f t="shared" si="47"/>
        <v>SKIIFM_AT</v>
      </c>
      <c r="E705" s="11" t="str">
        <f>IF(I705&lt;&gt;"",VLOOKUP(F705,OPDRACHTGEVER!$A$2:$B$4,2,FALSE),"")</f>
        <v>SKIIFM_AT</v>
      </c>
      <c r="F705" s="11" t="s">
        <v>58</v>
      </c>
      <c r="I705" s="11" t="str">
        <f>IF(DATA!B704&lt;&gt;"",DATA!B704,"")</f>
        <v>FCIU8041691</v>
      </c>
      <c r="J705" s="12">
        <v>0</v>
      </c>
      <c r="K705" s="11" t="s">
        <v>53</v>
      </c>
      <c r="L705" s="11" t="str">
        <f t="shared" si="48"/>
        <v>903149</v>
      </c>
      <c r="M705" s="11" t="str">
        <f>IF(I705&lt;&gt;"",DATA!E704,"")</f>
        <v>DIGITAL READOUT FOR LATHE</v>
      </c>
      <c r="N705" s="12">
        <v>0</v>
      </c>
      <c r="O705" s="11">
        <f>IF(I705&lt;&gt;"",DATA!C704,"")</f>
        <v>36.25</v>
      </c>
      <c r="P705" s="2">
        <v>294094</v>
      </c>
      <c r="Q705" s="2" t="s">
        <v>1304</v>
      </c>
      <c r="R705" s="2" t="s">
        <v>1320</v>
      </c>
      <c r="S705" s="2">
        <v>579</v>
      </c>
      <c r="T705" s="2">
        <v>1</v>
      </c>
      <c r="U705" s="2" t="s">
        <v>141</v>
      </c>
      <c r="Y705" s="2">
        <v>1700</v>
      </c>
      <c r="Z705" s="11" t="s">
        <v>54</v>
      </c>
      <c r="AA705" s="11" t="str">
        <f t="shared" si="49"/>
        <v>1700 - TBN</v>
      </c>
      <c r="AC705" s="2" t="s">
        <v>145</v>
      </c>
      <c r="AD705" s="11" t="str">
        <f>IF($I705&lt;&gt;"",VLOOKUP($AC705,GEADRESSEERDE!$A$2:$E$4,2,),"")</f>
        <v>LUITHAGEN HAVEN 2 D</v>
      </c>
      <c r="AE705" s="11">
        <f>IF($I705&lt;&gt;"",VLOOKUP($AC705,GEADRESSEERDE!$A$2:$E$4,3,),"")</f>
        <v>2030</v>
      </c>
      <c r="AF705" s="11" t="str">
        <f>IF($I705&lt;&gt;"",VLOOKUP($AC705,GEADRESSEERDE!$A$2:$E$4,4,),"")</f>
        <v>ANTWERPEN</v>
      </c>
      <c r="AG705" s="11" t="str">
        <f>IF($I705&lt;&gt;"",VLOOKUP($AC705,GEADRESSEERDE!$A$2:$E$4,5,),"")</f>
        <v>BE</v>
      </c>
      <c r="AH705" s="11" t="str">
        <f>IF(I705&lt;&gt;"",VLOOKUP(AP705,KvB!$A$2:$B$3,2,FALSE),"")</f>
        <v>BE101000</v>
      </c>
      <c r="AI705" s="11" t="s">
        <v>55</v>
      </c>
      <c r="AJ705" s="11"/>
      <c r="AK705" s="11"/>
      <c r="AL705" s="11"/>
      <c r="AM705" s="11"/>
      <c r="AN705" s="11"/>
      <c r="AO705" s="11"/>
      <c r="AP705" s="2" t="s">
        <v>70</v>
      </c>
      <c r="AQ705" s="11" t="str">
        <f>IF(I705&lt;&gt;"",DATA!D704,"")</f>
        <v>9031499000</v>
      </c>
    </row>
    <row r="706" spans="1:43" ht="15.75" x14ac:dyDescent="0.25">
      <c r="A706" s="11" t="s">
        <v>57</v>
      </c>
      <c r="B706" s="11" t="s">
        <v>56</v>
      </c>
      <c r="C706" s="22">
        <f t="shared" si="46"/>
        <v>25001620</v>
      </c>
      <c r="D706" s="11" t="str">
        <f t="shared" si="47"/>
        <v>SKIIFM_AT</v>
      </c>
      <c r="E706" s="11" t="str">
        <f>IF(I706&lt;&gt;"",VLOOKUP(F706,OPDRACHTGEVER!$A$2:$B$4,2,FALSE),"")</f>
        <v>SKIIFM_AT</v>
      </c>
      <c r="F706" s="11" t="s">
        <v>58</v>
      </c>
      <c r="I706" s="11" t="str">
        <f>IF(DATA!B705&lt;&gt;"",DATA!B705,"")</f>
        <v>FCIU8041691</v>
      </c>
      <c r="J706" s="12">
        <v>0</v>
      </c>
      <c r="K706" s="11" t="s">
        <v>53</v>
      </c>
      <c r="L706" s="11" t="str">
        <f t="shared" si="48"/>
        <v>741920</v>
      </c>
      <c r="M706" s="11" t="str">
        <f>IF(I706&lt;&gt;"",DATA!E705,"")</f>
        <v>DINING STOVE</v>
      </c>
      <c r="N706" s="12">
        <v>0</v>
      </c>
      <c r="O706" s="11">
        <f>IF(I706&lt;&gt;"",DATA!C705,"")</f>
        <v>97</v>
      </c>
      <c r="P706" s="2">
        <v>294094</v>
      </c>
      <c r="Q706" s="2" t="s">
        <v>1304</v>
      </c>
      <c r="R706" s="2" t="s">
        <v>1320</v>
      </c>
      <c r="S706" s="2">
        <v>579</v>
      </c>
      <c r="T706" s="2">
        <v>1</v>
      </c>
      <c r="U706" s="2" t="s">
        <v>141</v>
      </c>
      <c r="Y706" s="2">
        <v>1700</v>
      </c>
      <c r="Z706" s="11" t="s">
        <v>54</v>
      </c>
      <c r="AA706" s="11" t="str">
        <f t="shared" si="49"/>
        <v>1700 - TBN</v>
      </c>
      <c r="AC706" s="2" t="s">
        <v>145</v>
      </c>
      <c r="AD706" s="11" t="str">
        <f>IF($I706&lt;&gt;"",VLOOKUP($AC706,GEADRESSEERDE!$A$2:$E$4,2,),"")</f>
        <v>LUITHAGEN HAVEN 2 D</v>
      </c>
      <c r="AE706" s="11">
        <f>IF($I706&lt;&gt;"",VLOOKUP($AC706,GEADRESSEERDE!$A$2:$E$4,3,),"")</f>
        <v>2030</v>
      </c>
      <c r="AF706" s="11" t="str">
        <f>IF($I706&lt;&gt;"",VLOOKUP($AC706,GEADRESSEERDE!$A$2:$E$4,4,),"")</f>
        <v>ANTWERPEN</v>
      </c>
      <c r="AG706" s="11" t="str">
        <f>IF($I706&lt;&gt;"",VLOOKUP($AC706,GEADRESSEERDE!$A$2:$E$4,5,),"")</f>
        <v>BE</v>
      </c>
      <c r="AH706" s="11" t="str">
        <f>IF(I706&lt;&gt;"",VLOOKUP(AP706,KvB!$A$2:$B$3,2,FALSE),"")</f>
        <v>BE101000</v>
      </c>
      <c r="AI706" s="11" t="s">
        <v>55</v>
      </c>
      <c r="AJ706" s="11"/>
      <c r="AK706" s="11"/>
      <c r="AL706" s="11"/>
      <c r="AM706" s="11"/>
      <c r="AN706" s="11"/>
      <c r="AO706" s="11"/>
      <c r="AP706" s="2" t="s">
        <v>70</v>
      </c>
      <c r="AQ706" s="11" t="str">
        <f>IF(I706&lt;&gt;"",DATA!D705,"")</f>
        <v>7419200090</v>
      </c>
    </row>
    <row r="707" spans="1:43" ht="15.75" x14ac:dyDescent="0.25">
      <c r="A707" s="11" t="s">
        <v>57</v>
      </c>
      <c r="B707" s="11" t="s">
        <v>56</v>
      </c>
      <c r="C707" s="22">
        <f t="shared" si="46"/>
        <v>25001620</v>
      </c>
      <c r="D707" s="11" t="str">
        <f t="shared" si="47"/>
        <v>SKIIFM_AT</v>
      </c>
      <c r="E707" s="11" t="str">
        <f>IF(I707&lt;&gt;"",VLOOKUP(F707,OPDRACHTGEVER!$A$2:$B$4,2,FALSE),"")</f>
        <v>SKIIFM_AT</v>
      </c>
      <c r="F707" s="11" t="s">
        <v>58</v>
      </c>
      <c r="I707" s="11" t="str">
        <f>IF(DATA!B706&lt;&gt;"",DATA!B706,"")</f>
        <v>FCIU8041691</v>
      </c>
      <c r="J707" s="12">
        <v>0</v>
      </c>
      <c r="K707" s="11" t="s">
        <v>53</v>
      </c>
      <c r="L707" s="11" t="str">
        <f t="shared" si="48"/>
        <v>841940</v>
      </c>
      <c r="M707" s="11" t="str">
        <f>IF(I707&lt;&gt;"",DATA!E706,"")</f>
        <v>DISTILLER</v>
      </c>
      <c r="N707" s="12">
        <v>0</v>
      </c>
      <c r="O707" s="11">
        <f>IF(I707&lt;&gt;"",DATA!C706,"")</f>
        <v>308.39999999999998</v>
      </c>
      <c r="P707" s="2">
        <v>294094</v>
      </c>
      <c r="Q707" s="2" t="s">
        <v>1304</v>
      </c>
      <c r="R707" s="2" t="s">
        <v>1320</v>
      </c>
      <c r="S707" s="2">
        <v>579</v>
      </c>
      <c r="T707" s="2">
        <v>1</v>
      </c>
      <c r="U707" s="2" t="s">
        <v>141</v>
      </c>
      <c r="Y707" s="2">
        <v>1700</v>
      </c>
      <c r="Z707" s="11" t="s">
        <v>54</v>
      </c>
      <c r="AA707" s="11" t="str">
        <f t="shared" si="49"/>
        <v>1700 - TBN</v>
      </c>
      <c r="AC707" s="2" t="s">
        <v>145</v>
      </c>
      <c r="AD707" s="11" t="str">
        <f>IF($I707&lt;&gt;"",VLOOKUP($AC707,GEADRESSEERDE!$A$2:$E$4,2,),"")</f>
        <v>LUITHAGEN HAVEN 2 D</v>
      </c>
      <c r="AE707" s="11">
        <f>IF($I707&lt;&gt;"",VLOOKUP($AC707,GEADRESSEERDE!$A$2:$E$4,3,),"")</f>
        <v>2030</v>
      </c>
      <c r="AF707" s="11" t="str">
        <f>IF($I707&lt;&gt;"",VLOOKUP($AC707,GEADRESSEERDE!$A$2:$E$4,4,),"")</f>
        <v>ANTWERPEN</v>
      </c>
      <c r="AG707" s="11" t="str">
        <f>IF($I707&lt;&gt;"",VLOOKUP($AC707,GEADRESSEERDE!$A$2:$E$4,5,),"")</f>
        <v>BE</v>
      </c>
      <c r="AH707" s="11" t="str">
        <f>IF(I707&lt;&gt;"",VLOOKUP(AP707,KvB!$A$2:$B$3,2,FALSE),"")</f>
        <v>BE101000</v>
      </c>
      <c r="AI707" s="11" t="s">
        <v>55</v>
      </c>
      <c r="AJ707" s="11"/>
      <c r="AK707" s="11"/>
      <c r="AL707" s="11"/>
      <c r="AM707" s="11"/>
      <c r="AN707" s="11"/>
      <c r="AO707" s="11"/>
      <c r="AP707" s="2" t="s">
        <v>70</v>
      </c>
      <c r="AQ707" s="11" t="str">
        <f>IF(I707&lt;&gt;"",DATA!D706,"")</f>
        <v>8419400090</v>
      </c>
    </row>
    <row r="708" spans="1:43" ht="15.75" x14ac:dyDescent="0.25">
      <c r="A708" s="11" t="s">
        <v>57</v>
      </c>
      <c r="B708" s="11" t="s">
        <v>56</v>
      </c>
      <c r="C708" s="22">
        <f t="shared" si="46"/>
        <v>25001620</v>
      </c>
      <c r="D708" s="11" t="str">
        <f t="shared" si="47"/>
        <v>SKIIFM_AT</v>
      </c>
      <c r="E708" s="11" t="str">
        <f>IF(I708&lt;&gt;"",VLOOKUP(F708,OPDRACHTGEVER!$A$2:$B$4,2,FALSE),"")</f>
        <v>SKIIFM_AT</v>
      </c>
      <c r="F708" s="11" t="s">
        <v>58</v>
      </c>
      <c r="I708" s="11" t="str">
        <f>IF(DATA!B707&lt;&gt;"",DATA!B707,"")</f>
        <v>FCIU8041691</v>
      </c>
      <c r="J708" s="12">
        <v>0</v>
      </c>
      <c r="K708" s="11" t="s">
        <v>53</v>
      </c>
      <c r="L708" s="11" t="str">
        <f t="shared" si="48"/>
        <v>830241</v>
      </c>
      <c r="M708" s="11" t="str">
        <f>IF(I708&lt;&gt;"",DATA!E707,"")</f>
        <v>DRAWER SLIDE</v>
      </c>
      <c r="N708" s="12">
        <v>0</v>
      </c>
      <c r="O708" s="11">
        <f>IF(I708&lt;&gt;"",DATA!C707,"")</f>
        <v>656.26</v>
      </c>
      <c r="P708" s="2">
        <v>294094</v>
      </c>
      <c r="Q708" s="2" t="s">
        <v>1304</v>
      </c>
      <c r="R708" s="2" t="s">
        <v>1320</v>
      </c>
      <c r="S708" s="2">
        <v>579</v>
      </c>
      <c r="T708" s="2">
        <v>1</v>
      </c>
      <c r="U708" s="2" t="s">
        <v>141</v>
      </c>
      <c r="Y708" s="2">
        <v>1700</v>
      </c>
      <c r="Z708" s="11" t="s">
        <v>54</v>
      </c>
      <c r="AA708" s="11" t="str">
        <f t="shared" si="49"/>
        <v>1700 - TBN</v>
      </c>
      <c r="AC708" s="2" t="s">
        <v>145</v>
      </c>
      <c r="AD708" s="11" t="str">
        <f>IF($I708&lt;&gt;"",VLOOKUP($AC708,GEADRESSEERDE!$A$2:$E$4,2,),"")</f>
        <v>LUITHAGEN HAVEN 2 D</v>
      </c>
      <c r="AE708" s="11">
        <f>IF($I708&lt;&gt;"",VLOOKUP($AC708,GEADRESSEERDE!$A$2:$E$4,3,),"")</f>
        <v>2030</v>
      </c>
      <c r="AF708" s="11" t="str">
        <f>IF($I708&lt;&gt;"",VLOOKUP($AC708,GEADRESSEERDE!$A$2:$E$4,4,),"")</f>
        <v>ANTWERPEN</v>
      </c>
      <c r="AG708" s="11" t="str">
        <f>IF($I708&lt;&gt;"",VLOOKUP($AC708,GEADRESSEERDE!$A$2:$E$4,5,),"")</f>
        <v>BE</v>
      </c>
      <c r="AH708" s="11" t="str">
        <f>IF(I708&lt;&gt;"",VLOOKUP(AP708,KvB!$A$2:$B$3,2,FALSE),"")</f>
        <v>BE101000</v>
      </c>
      <c r="AI708" s="11" t="s">
        <v>55</v>
      </c>
      <c r="AJ708" s="11"/>
      <c r="AK708" s="11"/>
      <c r="AL708" s="11"/>
      <c r="AM708" s="11"/>
      <c r="AN708" s="11"/>
      <c r="AO708" s="11"/>
      <c r="AP708" s="2" t="s">
        <v>70</v>
      </c>
      <c r="AQ708" s="11" t="str">
        <f>IF(I708&lt;&gt;"",DATA!D707,"")</f>
        <v>8302419000</v>
      </c>
    </row>
    <row r="709" spans="1:43" ht="15.75" x14ac:dyDescent="0.25">
      <c r="A709" s="11" t="s">
        <v>57</v>
      </c>
      <c r="B709" s="11" t="s">
        <v>56</v>
      </c>
      <c r="C709" s="22">
        <f t="shared" ref="C709:C772" si="50">C708</f>
        <v>25001620</v>
      </c>
      <c r="D709" s="11" t="str">
        <f t="shared" si="47"/>
        <v>SKIIFM_AT</v>
      </c>
      <c r="E709" s="11" t="str">
        <f>IF(I709&lt;&gt;"",VLOOKUP(F709,OPDRACHTGEVER!$A$2:$B$4,2,FALSE),"")</f>
        <v>SKIIFM_AT</v>
      </c>
      <c r="F709" s="11" t="s">
        <v>58</v>
      </c>
      <c r="I709" s="11" t="str">
        <f>IF(DATA!B708&lt;&gt;"",DATA!B708,"")</f>
        <v>FCIU8041691</v>
      </c>
      <c r="J709" s="12">
        <v>0</v>
      </c>
      <c r="K709" s="11" t="s">
        <v>53</v>
      </c>
      <c r="L709" s="11" t="str">
        <f t="shared" si="48"/>
        <v>830242</v>
      </c>
      <c r="M709" s="11" t="str">
        <f>IF(I709&lt;&gt;"",DATA!E708,"")</f>
        <v>DRAWER SLIDES</v>
      </c>
      <c r="N709" s="12">
        <v>0</v>
      </c>
      <c r="O709" s="11">
        <f>IF(I709&lt;&gt;"",DATA!C708,"")</f>
        <v>558</v>
      </c>
      <c r="P709" s="2">
        <v>294094</v>
      </c>
      <c r="Q709" s="2" t="s">
        <v>1304</v>
      </c>
      <c r="R709" s="2" t="s">
        <v>1320</v>
      </c>
      <c r="S709" s="2">
        <v>579</v>
      </c>
      <c r="T709" s="2">
        <v>1</v>
      </c>
      <c r="U709" s="2" t="s">
        <v>141</v>
      </c>
      <c r="Y709" s="2">
        <v>1700</v>
      </c>
      <c r="Z709" s="11" t="s">
        <v>54</v>
      </c>
      <c r="AA709" s="11" t="str">
        <f t="shared" si="49"/>
        <v>1700 - TBN</v>
      </c>
      <c r="AC709" s="2" t="s">
        <v>145</v>
      </c>
      <c r="AD709" s="11" t="str">
        <f>IF($I709&lt;&gt;"",VLOOKUP($AC709,GEADRESSEERDE!$A$2:$E$4,2,),"")</f>
        <v>LUITHAGEN HAVEN 2 D</v>
      </c>
      <c r="AE709" s="11">
        <f>IF($I709&lt;&gt;"",VLOOKUP($AC709,GEADRESSEERDE!$A$2:$E$4,3,),"")</f>
        <v>2030</v>
      </c>
      <c r="AF709" s="11" t="str">
        <f>IF($I709&lt;&gt;"",VLOOKUP($AC709,GEADRESSEERDE!$A$2:$E$4,4,),"")</f>
        <v>ANTWERPEN</v>
      </c>
      <c r="AG709" s="11" t="str">
        <f>IF($I709&lt;&gt;"",VLOOKUP($AC709,GEADRESSEERDE!$A$2:$E$4,5,),"")</f>
        <v>BE</v>
      </c>
      <c r="AH709" s="11" t="str">
        <f>IF(I709&lt;&gt;"",VLOOKUP(AP709,KvB!$A$2:$B$3,2,FALSE),"")</f>
        <v>BE101000</v>
      </c>
      <c r="AI709" s="11" t="s">
        <v>55</v>
      </c>
      <c r="AJ709" s="11"/>
      <c r="AK709" s="11"/>
      <c r="AL709" s="11"/>
      <c r="AM709" s="11"/>
      <c r="AN709" s="11"/>
      <c r="AO709" s="11"/>
      <c r="AP709" s="2" t="s">
        <v>70</v>
      </c>
      <c r="AQ709" s="11" t="str">
        <f>IF(I709&lt;&gt;"",DATA!D708,"")</f>
        <v>8302420090</v>
      </c>
    </row>
    <row r="710" spans="1:43" ht="15.75" x14ac:dyDescent="0.25">
      <c r="A710" s="11" t="s">
        <v>57</v>
      </c>
      <c r="B710" s="11" t="s">
        <v>56</v>
      </c>
      <c r="C710" s="22">
        <f t="shared" si="50"/>
        <v>25001620</v>
      </c>
      <c r="D710" s="11" t="str">
        <f t="shared" si="47"/>
        <v>SKIIFM_AT</v>
      </c>
      <c r="E710" s="11" t="str">
        <f>IF(I710&lt;&gt;"",VLOOKUP(F710,OPDRACHTGEVER!$A$2:$B$4,2,FALSE),"")</f>
        <v>SKIIFM_AT</v>
      </c>
      <c r="F710" s="11" t="s">
        <v>58</v>
      </c>
      <c r="I710" s="11" t="str">
        <f>IF(DATA!B709&lt;&gt;"",DATA!B709,"")</f>
        <v>FCIU8041691</v>
      </c>
      <c r="J710" s="12">
        <v>0</v>
      </c>
      <c r="K710" s="11" t="s">
        <v>53</v>
      </c>
      <c r="L710" s="11" t="str">
        <f t="shared" si="48"/>
        <v>842489</v>
      </c>
      <c r="M710" s="11" t="str">
        <f>IF(I710&lt;&gt;"",DATA!E709,"")</f>
        <v>ELECTRIC TOWEL RACK</v>
      </c>
      <c r="N710" s="12">
        <v>0</v>
      </c>
      <c r="O710" s="11">
        <f>IF(I710&lt;&gt;"",DATA!C709,"")</f>
        <v>160.80000000000001</v>
      </c>
      <c r="P710" s="2">
        <v>294094</v>
      </c>
      <c r="Q710" s="2" t="s">
        <v>1304</v>
      </c>
      <c r="R710" s="2" t="s">
        <v>1320</v>
      </c>
      <c r="S710" s="2">
        <v>579</v>
      </c>
      <c r="T710" s="2">
        <v>1</v>
      </c>
      <c r="U710" s="2" t="s">
        <v>141</v>
      </c>
      <c r="Y710" s="2">
        <v>1700</v>
      </c>
      <c r="Z710" s="11" t="s">
        <v>54</v>
      </c>
      <c r="AA710" s="11" t="str">
        <f t="shared" si="49"/>
        <v>1700 - TBN</v>
      </c>
      <c r="AC710" s="2" t="s">
        <v>145</v>
      </c>
      <c r="AD710" s="11" t="str">
        <f>IF($I710&lt;&gt;"",VLOOKUP($AC710,GEADRESSEERDE!$A$2:$E$4,2,),"")</f>
        <v>LUITHAGEN HAVEN 2 D</v>
      </c>
      <c r="AE710" s="11">
        <f>IF($I710&lt;&gt;"",VLOOKUP($AC710,GEADRESSEERDE!$A$2:$E$4,3,),"")</f>
        <v>2030</v>
      </c>
      <c r="AF710" s="11" t="str">
        <f>IF($I710&lt;&gt;"",VLOOKUP($AC710,GEADRESSEERDE!$A$2:$E$4,4,),"")</f>
        <v>ANTWERPEN</v>
      </c>
      <c r="AG710" s="11" t="str">
        <f>IF($I710&lt;&gt;"",VLOOKUP($AC710,GEADRESSEERDE!$A$2:$E$4,5,),"")</f>
        <v>BE</v>
      </c>
      <c r="AH710" s="11" t="str">
        <f>IF(I710&lt;&gt;"",VLOOKUP(AP710,KvB!$A$2:$B$3,2,FALSE),"")</f>
        <v>BE101000</v>
      </c>
      <c r="AI710" s="11" t="s">
        <v>55</v>
      </c>
      <c r="AJ710" s="11"/>
      <c r="AK710" s="11"/>
      <c r="AL710" s="11"/>
      <c r="AM710" s="11"/>
      <c r="AN710" s="11"/>
      <c r="AO710" s="11"/>
      <c r="AP710" s="2" t="s">
        <v>70</v>
      </c>
      <c r="AQ710" s="11" t="str">
        <f>IF(I710&lt;&gt;"",DATA!D709,"")</f>
        <v>8424897000</v>
      </c>
    </row>
    <row r="711" spans="1:43" ht="15.75" x14ac:dyDescent="0.25">
      <c r="A711" s="11" t="s">
        <v>57</v>
      </c>
      <c r="B711" s="11" t="s">
        <v>56</v>
      </c>
      <c r="C711" s="22">
        <f t="shared" si="50"/>
        <v>25001620</v>
      </c>
      <c r="D711" s="11" t="str">
        <f t="shared" si="47"/>
        <v>SKIIFM_AT</v>
      </c>
      <c r="E711" s="11" t="str">
        <f>IF(I711&lt;&gt;"",VLOOKUP(F711,OPDRACHTGEVER!$A$2:$B$4,2,FALSE),"")</f>
        <v>SKIIFM_AT</v>
      </c>
      <c r="F711" s="11" t="s">
        <v>58</v>
      </c>
      <c r="I711" s="11" t="str">
        <f>IF(DATA!B710&lt;&gt;"",DATA!B710,"")</f>
        <v>FCIU8041691</v>
      </c>
      <c r="J711" s="12">
        <v>0</v>
      </c>
      <c r="K711" s="11" t="s">
        <v>53</v>
      </c>
      <c r="L711" s="11" t="str">
        <f t="shared" si="48"/>
        <v>854442</v>
      </c>
      <c r="M711" s="11" t="str">
        <f>IF(I711&lt;&gt;"",DATA!E710,"")</f>
        <v>EXTENSION CORD WITH PLUG</v>
      </c>
      <c r="N711" s="12">
        <v>0</v>
      </c>
      <c r="O711" s="11">
        <f>IF(I711&lt;&gt;"",DATA!C710,"")</f>
        <v>65.88</v>
      </c>
      <c r="P711" s="2">
        <v>294094</v>
      </c>
      <c r="Q711" s="2" t="s">
        <v>1304</v>
      </c>
      <c r="R711" s="2" t="s">
        <v>1320</v>
      </c>
      <c r="S711" s="2">
        <v>579</v>
      </c>
      <c r="T711" s="2">
        <v>1</v>
      </c>
      <c r="U711" s="2" t="s">
        <v>141</v>
      </c>
      <c r="Y711" s="2">
        <v>1700</v>
      </c>
      <c r="Z711" s="11" t="s">
        <v>54</v>
      </c>
      <c r="AA711" s="11" t="str">
        <f t="shared" si="49"/>
        <v>1700 - TBN</v>
      </c>
      <c r="AC711" s="2" t="s">
        <v>145</v>
      </c>
      <c r="AD711" s="11" t="str">
        <f>IF($I711&lt;&gt;"",VLOOKUP($AC711,GEADRESSEERDE!$A$2:$E$4,2,),"")</f>
        <v>LUITHAGEN HAVEN 2 D</v>
      </c>
      <c r="AE711" s="11">
        <f>IF($I711&lt;&gt;"",VLOOKUP($AC711,GEADRESSEERDE!$A$2:$E$4,3,),"")</f>
        <v>2030</v>
      </c>
      <c r="AF711" s="11" t="str">
        <f>IF($I711&lt;&gt;"",VLOOKUP($AC711,GEADRESSEERDE!$A$2:$E$4,4,),"")</f>
        <v>ANTWERPEN</v>
      </c>
      <c r="AG711" s="11" t="str">
        <f>IF($I711&lt;&gt;"",VLOOKUP($AC711,GEADRESSEERDE!$A$2:$E$4,5,),"")</f>
        <v>BE</v>
      </c>
      <c r="AH711" s="11" t="str">
        <f>IF(I711&lt;&gt;"",VLOOKUP(AP711,KvB!$A$2:$B$3,2,FALSE),"")</f>
        <v>BE101000</v>
      </c>
      <c r="AI711" s="11" t="s">
        <v>55</v>
      </c>
      <c r="AJ711" s="11"/>
      <c r="AK711" s="11"/>
      <c r="AL711" s="11"/>
      <c r="AM711" s="11"/>
      <c r="AN711" s="11"/>
      <c r="AO711" s="11"/>
      <c r="AP711" s="2" t="s">
        <v>70</v>
      </c>
      <c r="AQ711" s="11" t="str">
        <f>IF(I711&lt;&gt;"",DATA!D710,"")</f>
        <v>8544429090</v>
      </c>
    </row>
    <row r="712" spans="1:43" ht="15.75" x14ac:dyDescent="0.25">
      <c r="A712" s="11" t="s">
        <v>57</v>
      </c>
      <c r="B712" s="11" t="s">
        <v>56</v>
      </c>
      <c r="C712" s="22">
        <f t="shared" si="50"/>
        <v>25001620</v>
      </c>
      <c r="D712" s="11" t="str">
        <f t="shared" si="47"/>
        <v>SKIIFM_AT</v>
      </c>
      <c r="E712" s="11" t="str">
        <f>IF(I712&lt;&gt;"",VLOOKUP(F712,OPDRACHTGEVER!$A$2:$B$4,2,FALSE),"")</f>
        <v>SKIIFM_AT</v>
      </c>
      <c r="F712" s="11" t="s">
        <v>58</v>
      </c>
      <c r="I712" s="11" t="str">
        <f>IF(DATA!B711&lt;&gt;"",DATA!B711,"")</f>
        <v>FCIU8041691</v>
      </c>
      <c r="J712" s="12">
        <v>0</v>
      </c>
      <c r="K712" s="11" t="s">
        <v>53</v>
      </c>
      <c r="L712" s="11" t="str">
        <f t="shared" si="48"/>
        <v>741920</v>
      </c>
      <c r="M712" s="11" t="str">
        <f>IF(I712&lt;&gt;"",DATA!E711,"")</f>
        <v>FIXED PAYMENT</v>
      </c>
      <c r="N712" s="12">
        <v>0</v>
      </c>
      <c r="O712" s="11">
        <f>IF(I712&lt;&gt;"",DATA!C711,"")</f>
        <v>139.5</v>
      </c>
      <c r="P712" s="2">
        <v>294094</v>
      </c>
      <c r="Q712" s="2" t="s">
        <v>1304</v>
      </c>
      <c r="R712" s="2" t="s">
        <v>1320</v>
      </c>
      <c r="S712" s="2">
        <v>579</v>
      </c>
      <c r="T712" s="2">
        <v>1</v>
      </c>
      <c r="U712" s="2" t="s">
        <v>141</v>
      </c>
      <c r="Y712" s="2">
        <v>1700</v>
      </c>
      <c r="Z712" s="11" t="s">
        <v>54</v>
      </c>
      <c r="AA712" s="11" t="str">
        <f t="shared" si="49"/>
        <v>1700 - TBN</v>
      </c>
      <c r="AC712" s="2" t="s">
        <v>145</v>
      </c>
      <c r="AD712" s="11" t="str">
        <f>IF($I712&lt;&gt;"",VLOOKUP($AC712,GEADRESSEERDE!$A$2:$E$4,2,),"")</f>
        <v>LUITHAGEN HAVEN 2 D</v>
      </c>
      <c r="AE712" s="11">
        <f>IF($I712&lt;&gt;"",VLOOKUP($AC712,GEADRESSEERDE!$A$2:$E$4,3,),"")</f>
        <v>2030</v>
      </c>
      <c r="AF712" s="11" t="str">
        <f>IF($I712&lt;&gt;"",VLOOKUP($AC712,GEADRESSEERDE!$A$2:$E$4,4,),"")</f>
        <v>ANTWERPEN</v>
      </c>
      <c r="AG712" s="11" t="str">
        <f>IF($I712&lt;&gt;"",VLOOKUP($AC712,GEADRESSEERDE!$A$2:$E$4,5,),"")</f>
        <v>BE</v>
      </c>
      <c r="AH712" s="11" t="str">
        <f>IF(I712&lt;&gt;"",VLOOKUP(AP712,KvB!$A$2:$B$3,2,FALSE),"")</f>
        <v>BE101000</v>
      </c>
      <c r="AI712" s="11" t="s">
        <v>55</v>
      </c>
      <c r="AJ712" s="11"/>
      <c r="AK712" s="11"/>
      <c r="AL712" s="11"/>
      <c r="AM712" s="11"/>
      <c r="AN712" s="11"/>
      <c r="AO712" s="11"/>
      <c r="AP712" s="2" t="s">
        <v>70</v>
      </c>
      <c r="AQ712" s="11" t="str">
        <f>IF(I712&lt;&gt;"",DATA!D711,"")</f>
        <v>7419200090</v>
      </c>
    </row>
    <row r="713" spans="1:43" ht="15.75" x14ac:dyDescent="0.25">
      <c r="A713" s="11" t="s">
        <v>57</v>
      </c>
      <c r="B713" s="11" t="s">
        <v>56</v>
      </c>
      <c r="C713" s="22">
        <f t="shared" si="50"/>
        <v>25001620</v>
      </c>
      <c r="D713" s="11" t="str">
        <f t="shared" si="47"/>
        <v>SKIIFM_AT</v>
      </c>
      <c r="E713" s="11" t="str">
        <f>IF(I713&lt;&gt;"",VLOOKUP(F713,OPDRACHTGEVER!$A$2:$B$4,2,FALSE),"")</f>
        <v>SKIIFM_AT</v>
      </c>
      <c r="F713" s="11" t="s">
        <v>58</v>
      </c>
      <c r="I713" s="11" t="str">
        <f>IF(DATA!B712&lt;&gt;"",DATA!B712,"")</f>
        <v>FCIU8041691</v>
      </c>
      <c r="J713" s="12">
        <v>0</v>
      </c>
      <c r="K713" s="11" t="s">
        <v>53</v>
      </c>
      <c r="L713" s="11" t="str">
        <f t="shared" si="48"/>
        <v>846729</v>
      </c>
      <c r="M713" s="11" t="str">
        <f>IF(I713&lt;&gt;"",DATA!E712,"")</f>
        <v>FOAM CUTTING MACHINE</v>
      </c>
      <c r="N713" s="12">
        <v>0</v>
      </c>
      <c r="O713" s="11">
        <f>IF(I713&lt;&gt;"",DATA!C712,"")</f>
        <v>23.1</v>
      </c>
      <c r="P713" s="2">
        <v>294094</v>
      </c>
      <c r="Q713" s="2" t="s">
        <v>1304</v>
      </c>
      <c r="R713" s="2" t="s">
        <v>1320</v>
      </c>
      <c r="S713" s="2">
        <v>579</v>
      </c>
      <c r="T713" s="2">
        <v>1</v>
      </c>
      <c r="U713" s="2" t="s">
        <v>141</v>
      </c>
      <c r="Y713" s="2">
        <v>1700</v>
      </c>
      <c r="Z713" s="11" t="s">
        <v>54</v>
      </c>
      <c r="AA713" s="11" t="str">
        <f t="shared" si="49"/>
        <v>1700 - TBN</v>
      </c>
      <c r="AC713" s="2" t="s">
        <v>145</v>
      </c>
      <c r="AD713" s="11" t="str">
        <f>IF($I713&lt;&gt;"",VLOOKUP($AC713,GEADRESSEERDE!$A$2:$E$4,2,),"")</f>
        <v>LUITHAGEN HAVEN 2 D</v>
      </c>
      <c r="AE713" s="11">
        <f>IF($I713&lt;&gt;"",VLOOKUP($AC713,GEADRESSEERDE!$A$2:$E$4,3,),"")</f>
        <v>2030</v>
      </c>
      <c r="AF713" s="11" t="str">
        <f>IF($I713&lt;&gt;"",VLOOKUP($AC713,GEADRESSEERDE!$A$2:$E$4,4,),"")</f>
        <v>ANTWERPEN</v>
      </c>
      <c r="AG713" s="11" t="str">
        <f>IF($I713&lt;&gt;"",VLOOKUP($AC713,GEADRESSEERDE!$A$2:$E$4,5,),"")</f>
        <v>BE</v>
      </c>
      <c r="AH713" s="11" t="str">
        <f>IF(I713&lt;&gt;"",VLOOKUP(AP713,KvB!$A$2:$B$3,2,FALSE),"")</f>
        <v>BE101000</v>
      </c>
      <c r="AI713" s="11" t="s">
        <v>55</v>
      </c>
      <c r="AJ713" s="11"/>
      <c r="AK713" s="11"/>
      <c r="AL713" s="11"/>
      <c r="AM713" s="11"/>
      <c r="AN713" s="11"/>
      <c r="AO713" s="11"/>
      <c r="AP713" s="2" t="s">
        <v>70</v>
      </c>
      <c r="AQ713" s="11" t="str">
        <f>IF(I713&lt;&gt;"",DATA!D712,"")</f>
        <v>8467295900</v>
      </c>
    </row>
    <row r="714" spans="1:43" ht="15.75" x14ac:dyDescent="0.25">
      <c r="A714" s="11" t="s">
        <v>57</v>
      </c>
      <c r="B714" s="11" t="s">
        <v>56</v>
      </c>
      <c r="C714" s="22">
        <f t="shared" si="50"/>
        <v>25001620</v>
      </c>
      <c r="D714" s="11" t="str">
        <f t="shared" si="47"/>
        <v>SKIIFM_AT</v>
      </c>
      <c r="E714" s="11" t="str">
        <f>IF(I714&lt;&gt;"",VLOOKUP(F714,OPDRACHTGEVER!$A$2:$B$4,2,FALSE),"")</f>
        <v>SKIIFM_AT</v>
      </c>
      <c r="F714" s="11" t="s">
        <v>58</v>
      </c>
      <c r="I714" s="11" t="str">
        <f>IF(DATA!B713&lt;&gt;"",DATA!B713,"")</f>
        <v>FCIU8041691</v>
      </c>
      <c r="J714" s="12">
        <v>0</v>
      </c>
      <c r="K714" s="11" t="s">
        <v>53</v>
      </c>
      <c r="L714" s="11" t="str">
        <f t="shared" si="48"/>
        <v>850131</v>
      </c>
      <c r="M714" s="11" t="str">
        <f>IF(I714&lt;&gt;"",DATA!E713,"")</f>
        <v>GARAGE DOOR MOTOR</v>
      </c>
      <c r="N714" s="12">
        <v>0</v>
      </c>
      <c r="O714" s="11">
        <f>IF(I714&lt;&gt;"",DATA!C713,"")</f>
        <v>93.6</v>
      </c>
      <c r="P714" s="2">
        <v>294094</v>
      </c>
      <c r="Q714" s="2" t="s">
        <v>1304</v>
      </c>
      <c r="R714" s="2" t="s">
        <v>1320</v>
      </c>
      <c r="S714" s="2">
        <v>579</v>
      </c>
      <c r="T714" s="2">
        <v>1</v>
      </c>
      <c r="U714" s="2" t="s">
        <v>141</v>
      </c>
      <c r="Y714" s="2">
        <v>1700</v>
      </c>
      <c r="Z714" s="11" t="s">
        <v>54</v>
      </c>
      <c r="AA714" s="11" t="str">
        <f t="shared" si="49"/>
        <v>1700 - TBN</v>
      </c>
      <c r="AC714" s="2" t="s">
        <v>145</v>
      </c>
      <c r="AD714" s="11" t="str">
        <f>IF($I714&lt;&gt;"",VLOOKUP($AC714,GEADRESSEERDE!$A$2:$E$4,2,),"")</f>
        <v>LUITHAGEN HAVEN 2 D</v>
      </c>
      <c r="AE714" s="11">
        <f>IF($I714&lt;&gt;"",VLOOKUP($AC714,GEADRESSEERDE!$A$2:$E$4,3,),"")</f>
        <v>2030</v>
      </c>
      <c r="AF714" s="11" t="str">
        <f>IF($I714&lt;&gt;"",VLOOKUP($AC714,GEADRESSEERDE!$A$2:$E$4,4,),"")</f>
        <v>ANTWERPEN</v>
      </c>
      <c r="AG714" s="11" t="str">
        <f>IF($I714&lt;&gt;"",VLOOKUP($AC714,GEADRESSEERDE!$A$2:$E$4,5,),"")</f>
        <v>BE</v>
      </c>
      <c r="AH714" s="11" t="str">
        <f>IF(I714&lt;&gt;"",VLOOKUP(AP714,KvB!$A$2:$B$3,2,FALSE),"")</f>
        <v>BE101000</v>
      </c>
      <c r="AI714" s="11" t="s">
        <v>55</v>
      </c>
      <c r="AJ714" s="11"/>
      <c r="AK714" s="11"/>
      <c r="AL714" s="11"/>
      <c r="AM714" s="11"/>
      <c r="AN714" s="11"/>
      <c r="AO714" s="11"/>
      <c r="AP714" s="2" t="s">
        <v>70</v>
      </c>
      <c r="AQ714" s="11" t="str">
        <f>IF(I714&lt;&gt;"",DATA!D713,"")</f>
        <v>8501310099</v>
      </c>
    </row>
    <row r="715" spans="1:43" ht="15.75" x14ac:dyDescent="0.25">
      <c r="A715" s="11" t="s">
        <v>57</v>
      </c>
      <c r="B715" s="11" t="s">
        <v>56</v>
      </c>
      <c r="C715" s="22">
        <f t="shared" si="50"/>
        <v>25001620</v>
      </c>
      <c r="D715" s="11" t="str">
        <f t="shared" si="47"/>
        <v>SKIIFM_AT</v>
      </c>
      <c r="E715" s="11" t="str">
        <f>IF(I715&lt;&gt;"",VLOOKUP(F715,OPDRACHTGEVER!$A$2:$B$4,2,FALSE),"")</f>
        <v>SKIIFM_AT</v>
      </c>
      <c r="F715" s="11" t="s">
        <v>58</v>
      </c>
      <c r="I715" s="11" t="str">
        <f>IF(DATA!B714&lt;&gt;"",DATA!B714,"")</f>
        <v>FCIU8041691</v>
      </c>
      <c r="J715" s="12">
        <v>0</v>
      </c>
      <c r="K715" s="11" t="s">
        <v>53</v>
      </c>
      <c r="L715" s="11" t="str">
        <f t="shared" si="48"/>
        <v>871680</v>
      </c>
      <c r="M715" s="11" t="str">
        <f>IF(I715&lt;&gt;"",DATA!E714,"")</f>
        <v>GARDEN CART</v>
      </c>
      <c r="N715" s="12">
        <v>0</v>
      </c>
      <c r="O715" s="11">
        <f>IF(I715&lt;&gt;"",DATA!C714,"")</f>
        <v>46.89</v>
      </c>
      <c r="P715" s="2">
        <v>294094</v>
      </c>
      <c r="Q715" s="2" t="s">
        <v>1304</v>
      </c>
      <c r="R715" s="2" t="s">
        <v>1320</v>
      </c>
      <c r="S715" s="2">
        <v>579</v>
      </c>
      <c r="T715" s="2">
        <v>1</v>
      </c>
      <c r="U715" s="2" t="s">
        <v>141</v>
      </c>
      <c r="Y715" s="2">
        <v>1700</v>
      </c>
      <c r="Z715" s="11" t="s">
        <v>54</v>
      </c>
      <c r="AA715" s="11" t="str">
        <f t="shared" si="49"/>
        <v>1700 - TBN</v>
      </c>
      <c r="AC715" s="2" t="s">
        <v>145</v>
      </c>
      <c r="AD715" s="11" t="str">
        <f>IF($I715&lt;&gt;"",VLOOKUP($AC715,GEADRESSEERDE!$A$2:$E$4,2,),"")</f>
        <v>LUITHAGEN HAVEN 2 D</v>
      </c>
      <c r="AE715" s="11">
        <f>IF($I715&lt;&gt;"",VLOOKUP($AC715,GEADRESSEERDE!$A$2:$E$4,3,),"")</f>
        <v>2030</v>
      </c>
      <c r="AF715" s="11" t="str">
        <f>IF($I715&lt;&gt;"",VLOOKUP($AC715,GEADRESSEERDE!$A$2:$E$4,4,),"")</f>
        <v>ANTWERPEN</v>
      </c>
      <c r="AG715" s="11" t="str">
        <f>IF($I715&lt;&gt;"",VLOOKUP($AC715,GEADRESSEERDE!$A$2:$E$4,5,),"")</f>
        <v>BE</v>
      </c>
      <c r="AH715" s="11" t="str">
        <f>IF(I715&lt;&gt;"",VLOOKUP(AP715,KvB!$A$2:$B$3,2,FALSE),"")</f>
        <v>BE101000</v>
      </c>
      <c r="AI715" s="11" t="s">
        <v>55</v>
      </c>
      <c r="AJ715" s="11"/>
      <c r="AK715" s="11"/>
      <c r="AL715" s="11"/>
      <c r="AM715" s="11"/>
      <c r="AN715" s="11"/>
      <c r="AO715" s="11"/>
      <c r="AP715" s="2" t="s">
        <v>70</v>
      </c>
      <c r="AQ715" s="11" t="str">
        <f>IF(I715&lt;&gt;"",DATA!D714,"")</f>
        <v>8716800000</v>
      </c>
    </row>
    <row r="716" spans="1:43" ht="15.75" x14ac:dyDescent="0.25">
      <c r="A716" s="11" t="s">
        <v>57</v>
      </c>
      <c r="B716" s="11" t="s">
        <v>56</v>
      </c>
      <c r="C716" s="22">
        <f t="shared" si="50"/>
        <v>25001620</v>
      </c>
      <c r="D716" s="11" t="str">
        <f t="shared" si="47"/>
        <v>SKIIFM_AT</v>
      </c>
      <c r="E716" s="11" t="str">
        <f>IF(I716&lt;&gt;"",VLOOKUP(F716,OPDRACHTGEVER!$A$2:$B$4,2,FALSE),"")</f>
        <v>SKIIFM_AT</v>
      </c>
      <c r="F716" s="11" t="s">
        <v>58</v>
      </c>
      <c r="I716" s="11" t="str">
        <f>IF(DATA!B715&lt;&gt;"",DATA!B715,"")</f>
        <v>FCIU8041691</v>
      </c>
      <c r="J716" s="12">
        <v>0</v>
      </c>
      <c r="K716" s="11" t="s">
        <v>53</v>
      </c>
      <c r="L716" s="11" t="str">
        <f t="shared" si="48"/>
        <v>741920</v>
      </c>
      <c r="M716" s="11" t="str">
        <f>IF(I716&lt;&gt;"",DATA!E715,"")</f>
        <v>GAS FORGING FURNACE</v>
      </c>
      <c r="N716" s="12">
        <v>0</v>
      </c>
      <c r="O716" s="11">
        <f>IF(I716&lt;&gt;"",DATA!C715,"")</f>
        <v>312</v>
      </c>
      <c r="P716" s="2">
        <v>294094</v>
      </c>
      <c r="Q716" s="2" t="s">
        <v>1304</v>
      </c>
      <c r="R716" s="2" t="s">
        <v>1320</v>
      </c>
      <c r="S716" s="2">
        <v>579</v>
      </c>
      <c r="T716" s="2">
        <v>1</v>
      </c>
      <c r="U716" s="2" t="s">
        <v>141</v>
      </c>
      <c r="Y716" s="2">
        <v>1700</v>
      </c>
      <c r="Z716" s="11" t="s">
        <v>54</v>
      </c>
      <c r="AA716" s="11" t="str">
        <f t="shared" si="49"/>
        <v>1700 - TBN</v>
      </c>
      <c r="AC716" s="2" t="s">
        <v>145</v>
      </c>
      <c r="AD716" s="11" t="str">
        <f>IF($I716&lt;&gt;"",VLOOKUP($AC716,GEADRESSEERDE!$A$2:$E$4,2,),"")</f>
        <v>LUITHAGEN HAVEN 2 D</v>
      </c>
      <c r="AE716" s="11">
        <f>IF($I716&lt;&gt;"",VLOOKUP($AC716,GEADRESSEERDE!$A$2:$E$4,3,),"")</f>
        <v>2030</v>
      </c>
      <c r="AF716" s="11" t="str">
        <f>IF($I716&lt;&gt;"",VLOOKUP($AC716,GEADRESSEERDE!$A$2:$E$4,4,),"")</f>
        <v>ANTWERPEN</v>
      </c>
      <c r="AG716" s="11" t="str">
        <f>IF($I716&lt;&gt;"",VLOOKUP($AC716,GEADRESSEERDE!$A$2:$E$4,5,),"")</f>
        <v>BE</v>
      </c>
      <c r="AH716" s="11" t="str">
        <f>IF(I716&lt;&gt;"",VLOOKUP(AP716,KvB!$A$2:$B$3,2,FALSE),"")</f>
        <v>BE101000</v>
      </c>
      <c r="AI716" s="11" t="s">
        <v>55</v>
      </c>
      <c r="AJ716" s="11"/>
      <c r="AK716" s="11"/>
      <c r="AL716" s="11"/>
      <c r="AM716" s="11"/>
      <c r="AN716" s="11"/>
      <c r="AO716" s="11"/>
      <c r="AP716" s="2" t="s">
        <v>70</v>
      </c>
      <c r="AQ716" s="11" t="str">
        <f>IF(I716&lt;&gt;"",DATA!D715,"")</f>
        <v>7419200090</v>
      </c>
    </row>
    <row r="717" spans="1:43" ht="15.75" x14ac:dyDescent="0.25">
      <c r="A717" s="11" t="s">
        <v>57</v>
      </c>
      <c r="B717" s="11" t="s">
        <v>56</v>
      </c>
      <c r="C717" s="22">
        <f t="shared" si="50"/>
        <v>25001620</v>
      </c>
      <c r="D717" s="11" t="str">
        <f t="shared" si="47"/>
        <v>SKIIFM_AT</v>
      </c>
      <c r="E717" s="11" t="str">
        <f>IF(I717&lt;&gt;"",VLOOKUP(F717,OPDRACHTGEVER!$A$2:$B$4,2,FALSE),"")</f>
        <v>SKIIFM_AT</v>
      </c>
      <c r="F717" s="11" t="s">
        <v>58</v>
      </c>
      <c r="I717" s="11" t="str">
        <f>IF(DATA!B716&lt;&gt;"",DATA!B716,"")</f>
        <v>FCIU8041691</v>
      </c>
      <c r="J717" s="12">
        <v>0</v>
      </c>
      <c r="K717" s="11" t="s">
        <v>53</v>
      </c>
      <c r="L717" s="11" t="str">
        <f t="shared" si="48"/>
        <v>420292</v>
      </c>
      <c r="M717" s="11" t="str">
        <f>IF(I717&lt;&gt;"",DATA!E716,"")</f>
        <v>GRADED CARD STORAGE BOX</v>
      </c>
      <c r="N717" s="12">
        <v>0</v>
      </c>
      <c r="O717" s="11">
        <f>IF(I717&lt;&gt;"",DATA!C716,"")</f>
        <v>63.95</v>
      </c>
      <c r="P717" s="2">
        <v>294094</v>
      </c>
      <c r="Q717" s="2" t="s">
        <v>1304</v>
      </c>
      <c r="R717" s="2" t="s">
        <v>1320</v>
      </c>
      <c r="S717" s="2">
        <v>579</v>
      </c>
      <c r="T717" s="2">
        <v>1</v>
      </c>
      <c r="U717" s="2" t="s">
        <v>141</v>
      </c>
      <c r="Y717" s="2">
        <v>1700</v>
      </c>
      <c r="Z717" s="11" t="s">
        <v>54</v>
      </c>
      <c r="AA717" s="11" t="str">
        <f t="shared" si="49"/>
        <v>1700 - TBN</v>
      </c>
      <c r="AC717" s="2" t="s">
        <v>145</v>
      </c>
      <c r="AD717" s="11" t="str">
        <f>IF($I717&lt;&gt;"",VLOOKUP($AC717,GEADRESSEERDE!$A$2:$E$4,2,),"")</f>
        <v>LUITHAGEN HAVEN 2 D</v>
      </c>
      <c r="AE717" s="11">
        <f>IF($I717&lt;&gt;"",VLOOKUP($AC717,GEADRESSEERDE!$A$2:$E$4,3,),"")</f>
        <v>2030</v>
      </c>
      <c r="AF717" s="11" t="str">
        <f>IF($I717&lt;&gt;"",VLOOKUP($AC717,GEADRESSEERDE!$A$2:$E$4,4,),"")</f>
        <v>ANTWERPEN</v>
      </c>
      <c r="AG717" s="11" t="str">
        <f>IF($I717&lt;&gt;"",VLOOKUP($AC717,GEADRESSEERDE!$A$2:$E$4,5,),"")</f>
        <v>BE</v>
      </c>
      <c r="AH717" s="11" t="str">
        <f>IF(I717&lt;&gt;"",VLOOKUP(AP717,KvB!$A$2:$B$3,2,FALSE),"")</f>
        <v>BE101000</v>
      </c>
      <c r="AI717" s="11" t="s">
        <v>55</v>
      </c>
      <c r="AJ717" s="11"/>
      <c r="AK717" s="11"/>
      <c r="AL717" s="11"/>
      <c r="AM717" s="11"/>
      <c r="AN717" s="11"/>
      <c r="AO717" s="11"/>
      <c r="AP717" s="2" t="s">
        <v>70</v>
      </c>
      <c r="AQ717" s="11" t="str">
        <f>IF(I717&lt;&gt;"",DATA!D716,"")</f>
        <v>4202929890</v>
      </c>
    </row>
    <row r="718" spans="1:43" ht="15.75" x14ac:dyDescent="0.25">
      <c r="A718" s="11" t="s">
        <v>57</v>
      </c>
      <c r="B718" s="11" t="s">
        <v>56</v>
      </c>
      <c r="C718" s="22">
        <f t="shared" si="50"/>
        <v>25001620</v>
      </c>
      <c r="D718" s="11" t="str">
        <f t="shared" si="47"/>
        <v>SKIIFM_AT</v>
      </c>
      <c r="E718" s="11" t="str">
        <f>IF(I718&lt;&gt;"",VLOOKUP(F718,OPDRACHTGEVER!$A$2:$B$4,2,FALSE),"")</f>
        <v>SKIIFM_AT</v>
      </c>
      <c r="F718" s="11" t="s">
        <v>58</v>
      </c>
      <c r="I718" s="11" t="str">
        <f>IF(DATA!B717&lt;&gt;"",DATA!B717,"")</f>
        <v>FCIU8041691</v>
      </c>
      <c r="J718" s="12">
        <v>0</v>
      </c>
      <c r="K718" s="11" t="s">
        <v>53</v>
      </c>
      <c r="L718" s="11" t="str">
        <f t="shared" si="48"/>
        <v>851989</v>
      </c>
      <c r="M718" s="11" t="str">
        <f>IF(I718&lt;&gt;"",DATA!E717,"")</f>
        <v>GRAMOPHONE</v>
      </c>
      <c r="N718" s="12">
        <v>0</v>
      </c>
      <c r="O718" s="11">
        <f>IF(I718&lt;&gt;"",DATA!C717,"")</f>
        <v>37.5</v>
      </c>
      <c r="P718" s="2">
        <v>294094</v>
      </c>
      <c r="Q718" s="2" t="s">
        <v>1304</v>
      </c>
      <c r="R718" s="2" t="s">
        <v>1320</v>
      </c>
      <c r="S718" s="2">
        <v>579</v>
      </c>
      <c r="T718" s="2">
        <v>1</v>
      </c>
      <c r="U718" s="2" t="s">
        <v>141</v>
      </c>
      <c r="Y718" s="2">
        <v>1700</v>
      </c>
      <c r="Z718" s="11" t="s">
        <v>54</v>
      </c>
      <c r="AA718" s="11" t="str">
        <f t="shared" si="49"/>
        <v>1700 - TBN</v>
      </c>
      <c r="AC718" s="2" t="s">
        <v>145</v>
      </c>
      <c r="AD718" s="11" t="str">
        <f>IF($I718&lt;&gt;"",VLOOKUP($AC718,GEADRESSEERDE!$A$2:$E$4,2,),"")</f>
        <v>LUITHAGEN HAVEN 2 D</v>
      </c>
      <c r="AE718" s="11">
        <f>IF($I718&lt;&gt;"",VLOOKUP($AC718,GEADRESSEERDE!$A$2:$E$4,3,),"")</f>
        <v>2030</v>
      </c>
      <c r="AF718" s="11" t="str">
        <f>IF($I718&lt;&gt;"",VLOOKUP($AC718,GEADRESSEERDE!$A$2:$E$4,4,),"")</f>
        <v>ANTWERPEN</v>
      </c>
      <c r="AG718" s="11" t="str">
        <f>IF($I718&lt;&gt;"",VLOOKUP($AC718,GEADRESSEERDE!$A$2:$E$4,5,),"")</f>
        <v>BE</v>
      </c>
      <c r="AH718" s="11" t="str">
        <f>IF(I718&lt;&gt;"",VLOOKUP(AP718,KvB!$A$2:$B$3,2,FALSE),"")</f>
        <v>BE101000</v>
      </c>
      <c r="AI718" s="11" t="s">
        <v>55</v>
      </c>
      <c r="AJ718" s="11"/>
      <c r="AK718" s="11"/>
      <c r="AL718" s="11"/>
      <c r="AM718" s="11"/>
      <c r="AN718" s="11"/>
      <c r="AO718" s="11"/>
      <c r="AP718" s="2" t="s">
        <v>70</v>
      </c>
      <c r="AQ718" s="11" t="str">
        <f>IF(I718&lt;&gt;"",DATA!D717,"")</f>
        <v>8519890000</v>
      </c>
    </row>
    <row r="719" spans="1:43" ht="15.75" x14ac:dyDescent="0.25">
      <c r="A719" s="11" t="s">
        <v>57</v>
      </c>
      <c r="B719" s="11" t="s">
        <v>56</v>
      </c>
      <c r="C719" s="22">
        <f t="shared" si="50"/>
        <v>25001620</v>
      </c>
      <c r="D719" s="11" t="str">
        <f t="shared" si="47"/>
        <v>SKIIFM_AT</v>
      </c>
      <c r="E719" s="11" t="str">
        <f>IF(I719&lt;&gt;"",VLOOKUP(F719,OPDRACHTGEVER!$A$2:$B$4,2,FALSE),"")</f>
        <v>SKIIFM_AT</v>
      </c>
      <c r="F719" s="11" t="s">
        <v>58</v>
      </c>
      <c r="I719" s="11" t="str">
        <f>IF(DATA!B718&lt;&gt;"",DATA!B718,"")</f>
        <v>FCIU8041691</v>
      </c>
      <c r="J719" s="12">
        <v>0</v>
      </c>
      <c r="K719" s="11" t="s">
        <v>53</v>
      </c>
      <c r="L719" s="11" t="str">
        <f t="shared" si="48"/>
        <v>741920</v>
      </c>
      <c r="M719" s="11" t="str">
        <f>IF(I719&lt;&gt;"",DATA!E718,"")</f>
        <v>HANDLE</v>
      </c>
      <c r="N719" s="12">
        <v>0</v>
      </c>
      <c r="O719" s="11">
        <f>IF(I719&lt;&gt;"",DATA!C718,"")</f>
        <v>24</v>
      </c>
      <c r="P719" s="2">
        <v>294094</v>
      </c>
      <c r="Q719" s="2" t="s">
        <v>1304</v>
      </c>
      <c r="R719" s="2" t="s">
        <v>1320</v>
      </c>
      <c r="S719" s="2">
        <v>579</v>
      </c>
      <c r="T719" s="2">
        <v>1</v>
      </c>
      <c r="U719" s="2" t="s">
        <v>141</v>
      </c>
      <c r="Y719" s="2">
        <v>1700</v>
      </c>
      <c r="Z719" s="11" t="s">
        <v>54</v>
      </c>
      <c r="AA719" s="11" t="str">
        <f t="shared" si="49"/>
        <v>1700 - TBN</v>
      </c>
      <c r="AC719" s="2" t="s">
        <v>145</v>
      </c>
      <c r="AD719" s="11" t="str">
        <f>IF($I719&lt;&gt;"",VLOOKUP($AC719,GEADRESSEERDE!$A$2:$E$4,2,),"")</f>
        <v>LUITHAGEN HAVEN 2 D</v>
      </c>
      <c r="AE719" s="11">
        <f>IF($I719&lt;&gt;"",VLOOKUP($AC719,GEADRESSEERDE!$A$2:$E$4,3,),"")</f>
        <v>2030</v>
      </c>
      <c r="AF719" s="11" t="str">
        <f>IF($I719&lt;&gt;"",VLOOKUP($AC719,GEADRESSEERDE!$A$2:$E$4,4,),"")</f>
        <v>ANTWERPEN</v>
      </c>
      <c r="AG719" s="11" t="str">
        <f>IF($I719&lt;&gt;"",VLOOKUP($AC719,GEADRESSEERDE!$A$2:$E$4,5,),"")</f>
        <v>BE</v>
      </c>
      <c r="AH719" s="11" t="str">
        <f>IF(I719&lt;&gt;"",VLOOKUP(AP719,KvB!$A$2:$B$3,2,FALSE),"")</f>
        <v>BE101000</v>
      </c>
      <c r="AI719" s="11" t="s">
        <v>55</v>
      </c>
      <c r="AJ719" s="11"/>
      <c r="AK719" s="11"/>
      <c r="AL719" s="11"/>
      <c r="AM719" s="11"/>
      <c r="AN719" s="11"/>
      <c r="AO719" s="11"/>
      <c r="AP719" s="2" t="s">
        <v>70</v>
      </c>
      <c r="AQ719" s="11" t="str">
        <f>IF(I719&lt;&gt;"",DATA!D718,"")</f>
        <v>7419200090</v>
      </c>
    </row>
    <row r="720" spans="1:43" ht="15.75" x14ac:dyDescent="0.25">
      <c r="A720" s="11" t="s">
        <v>57</v>
      </c>
      <c r="B720" s="11" t="s">
        <v>56</v>
      </c>
      <c r="C720" s="22">
        <f t="shared" si="50"/>
        <v>25001620</v>
      </c>
      <c r="D720" s="11" t="str">
        <f t="shared" si="47"/>
        <v>SKIIFM_AT</v>
      </c>
      <c r="E720" s="11" t="str">
        <f>IF(I720&lt;&gt;"",VLOOKUP(F720,OPDRACHTGEVER!$A$2:$B$4,2,FALSE),"")</f>
        <v>SKIIFM_AT</v>
      </c>
      <c r="F720" s="11" t="s">
        <v>58</v>
      </c>
      <c r="I720" s="11" t="str">
        <f>IF(DATA!B719&lt;&gt;"",DATA!B719,"")</f>
        <v>FCIU8041691</v>
      </c>
      <c r="J720" s="12">
        <v>0</v>
      </c>
      <c r="K720" s="11" t="s">
        <v>53</v>
      </c>
      <c r="L720" s="11" t="str">
        <f t="shared" si="48"/>
        <v>741920</v>
      </c>
      <c r="M720" s="11" t="str">
        <f>IF(I720&lt;&gt;"",DATA!E719,"")</f>
        <v>HANDRAIL</v>
      </c>
      <c r="N720" s="12">
        <v>0</v>
      </c>
      <c r="O720" s="11">
        <f>IF(I720&lt;&gt;"",DATA!C719,"")</f>
        <v>133.80000000000001</v>
      </c>
      <c r="P720" s="2">
        <v>294094</v>
      </c>
      <c r="Q720" s="2" t="s">
        <v>1304</v>
      </c>
      <c r="R720" s="2" t="s">
        <v>1320</v>
      </c>
      <c r="S720" s="2">
        <v>579</v>
      </c>
      <c r="T720" s="2">
        <v>1</v>
      </c>
      <c r="U720" s="2" t="s">
        <v>141</v>
      </c>
      <c r="Y720" s="2">
        <v>1700</v>
      </c>
      <c r="Z720" s="11" t="s">
        <v>54</v>
      </c>
      <c r="AA720" s="11" t="str">
        <f t="shared" si="49"/>
        <v>1700 - TBN</v>
      </c>
      <c r="AC720" s="2" t="s">
        <v>145</v>
      </c>
      <c r="AD720" s="11" t="str">
        <f>IF($I720&lt;&gt;"",VLOOKUP($AC720,GEADRESSEERDE!$A$2:$E$4,2,),"")</f>
        <v>LUITHAGEN HAVEN 2 D</v>
      </c>
      <c r="AE720" s="11">
        <f>IF($I720&lt;&gt;"",VLOOKUP($AC720,GEADRESSEERDE!$A$2:$E$4,3,),"")</f>
        <v>2030</v>
      </c>
      <c r="AF720" s="11" t="str">
        <f>IF($I720&lt;&gt;"",VLOOKUP($AC720,GEADRESSEERDE!$A$2:$E$4,4,),"")</f>
        <v>ANTWERPEN</v>
      </c>
      <c r="AG720" s="11" t="str">
        <f>IF($I720&lt;&gt;"",VLOOKUP($AC720,GEADRESSEERDE!$A$2:$E$4,5,),"")</f>
        <v>BE</v>
      </c>
      <c r="AH720" s="11" t="str">
        <f>IF(I720&lt;&gt;"",VLOOKUP(AP720,KvB!$A$2:$B$3,2,FALSE),"")</f>
        <v>BE101000</v>
      </c>
      <c r="AI720" s="11" t="s">
        <v>55</v>
      </c>
      <c r="AJ720" s="11"/>
      <c r="AK720" s="11"/>
      <c r="AL720" s="11"/>
      <c r="AM720" s="11"/>
      <c r="AN720" s="11"/>
      <c r="AO720" s="11"/>
      <c r="AP720" s="2" t="s">
        <v>70</v>
      </c>
      <c r="AQ720" s="11" t="str">
        <f>IF(I720&lt;&gt;"",DATA!D719,"")</f>
        <v>7419200090</v>
      </c>
    </row>
    <row r="721" spans="1:43" ht="15.75" x14ac:dyDescent="0.25">
      <c r="A721" s="11" t="s">
        <v>57</v>
      </c>
      <c r="B721" s="11" t="s">
        <v>56</v>
      </c>
      <c r="C721" s="22">
        <f t="shared" si="50"/>
        <v>25001620</v>
      </c>
      <c r="D721" s="11" t="str">
        <f t="shared" si="47"/>
        <v>SKIIFM_AT</v>
      </c>
      <c r="E721" s="11" t="str">
        <f>IF(I721&lt;&gt;"",VLOOKUP(F721,OPDRACHTGEVER!$A$2:$B$4,2,FALSE),"")</f>
        <v>SKIIFM_AT</v>
      </c>
      <c r="F721" s="11" t="s">
        <v>58</v>
      </c>
      <c r="I721" s="11" t="str">
        <f>IF(DATA!B720&lt;&gt;"",DATA!B720,"")</f>
        <v>FCIU8041691</v>
      </c>
      <c r="J721" s="12">
        <v>0</v>
      </c>
      <c r="K721" s="11" t="s">
        <v>53</v>
      </c>
      <c r="L721" s="11" t="str">
        <f t="shared" si="48"/>
        <v>950691</v>
      </c>
      <c r="M721" s="11" t="str">
        <f>IF(I721&lt;&gt;"",DATA!E720,"")</f>
        <v>HITTING NET</v>
      </c>
      <c r="N721" s="12">
        <v>0</v>
      </c>
      <c r="O721" s="11">
        <f>IF(I721&lt;&gt;"",DATA!C720,"")</f>
        <v>275.3</v>
      </c>
      <c r="P721" s="2">
        <v>294094</v>
      </c>
      <c r="Q721" s="2" t="s">
        <v>1304</v>
      </c>
      <c r="R721" s="2" t="s">
        <v>1320</v>
      </c>
      <c r="S721" s="2">
        <v>579</v>
      </c>
      <c r="T721" s="2">
        <v>1</v>
      </c>
      <c r="U721" s="2" t="s">
        <v>141</v>
      </c>
      <c r="Y721" s="2">
        <v>1700</v>
      </c>
      <c r="Z721" s="11" t="s">
        <v>54</v>
      </c>
      <c r="AA721" s="11" t="str">
        <f t="shared" si="49"/>
        <v>1700 - TBN</v>
      </c>
      <c r="AC721" s="2" t="s">
        <v>145</v>
      </c>
      <c r="AD721" s="11" t="str">
        <f>IF($I721&lt;&gt;"",VLOOKUP($AC721,GEADRESSEERDE!$A$2:$E$4,2,),"")</f>
        <v>LUITHAGEN HAVEN 2 D</v>
      </c>
      <c r="AE721" s="11">
        <f>IF($I721&lt;&gt;"",VLOOKUP($AC721,GEADRESSEERDE!$A$2:$E$4,3,),"")</f>
        <v>2030</v>
      </c>
      <c r="AF721" s="11" t="str">
        <f>IF($I721&lt;&gt;"",VLOOKUP($AC721,GEADRESSEERDE!$A$2:$E$4,4,),"")</f>
        <v>ANTWERPEN</v>
      </c>
      <c r="AG721" s="11" t="str">
        <f>IF($I721&lt;&gt;"",VLOOKUP($AC721,GEADRESSEERDE!$A$2:$E$4,5,),"")</f>
        <v>BE</v>
      </c>
      <c r="AH721" s="11" t="str">
        <f>IF(I721&lt;&gt;"",VLOOKUP(AP721,KvB!$A$2:$B$3,2,FALSE),"")</f>
        <v>BE101000</v>
      </c>
      <c r="AI721" s="11" t="s">
        <v>55</v>
      </c>
      <c r="AJ721" s="11"/>
      <c r="AK721" s="11"/>
      <c r="AL721" s="11"/>
      <c r="AM721" s="11"/>
      <c r="AN721" s="11"/>
      <c r="AO721" s="11"/>
      <c r="AP721" s="2" t="s">
        <v>70</v>
      </c>
      <c r="AQ721" s="11" t="str">
        <f>IF(I721&lt;&gt;"",DATA!D720,"")</f>
        <v>9506919000</v>
      </c>
    </row>
    <row r="722" spans="1:43" ht="15.75" x14ac:dyDescent="0.25">
      <c r="A722" s="11" t="s">
        <v>57</v>
      </c>
      <c r="B722" s="11" t="s">
        <v>56</v>
      </c>
      <c r="C722" s="22">
        <f t="shared" si="50"/>
        <v>25001620</v>
      </c>
      <c r="D722" s="11" t="str">
        <f t="shared" si="47"/>
        <v>SKIIFM_AT</v>
      </c>
      <c r="E722" s="11" t="str">
        <f>IF(I722&lt;&gt;"",VLOOKUP(F722,OPDRACHTGEVER!$A$2:$B$4,2,FALSE),"")</f>
        <v>SKIIFM_AT</v>
      </c>
      <c r="F722" s="11" t="s">
        <v>58</v>
      </c>
      <c r="I722" s="11" t="str">
        <f>IF(DATA!B721&lt;&gt;"",DATA!B721,"")</f>
        <v>FCIU8041691</v>
      </c>
      <c r="J722" s="12">
        <v>0</v>
      </c>
      <c r="K722" s="11" t="s">
        <v>53</v>
      </c>
      <c r="L722" s="11" t="str">
        <f t="shared" si="48"/>
        <v>841459</v>
      </c>
      <c r="M722" s="11" t="str">
        <f>IF(I722&lt;&gt;"",DATA!E721,"")</f>
        <v>INFLATABLE BLOWER</v>
      </c>
      <c r="N722" s="12">
        <v>0</v>
      </c>
      <c r="O722" s="11">
        <f>IF(I722&lt;&gt;"",DATA!C721,"")</f>
        <v>199.9</v>
      </c>
      <c r="P722" s="2">
        <v>294094</v>
      </c>
      <c r="Q722" s="2" t="s">
        <v>1304</v>
      </c>
      <c r="R722" s="2" t="s">
        <v>1320</v>
      </c>
      <c r="S722" s="2">
        <v>579</v>
      </c>
      <c r="T722" s="2">
        <v>1</v>
      </c>
      <c r="U722" s="2" t="s">
        <v>141</v>
      </c>
      <c r="Y722" s="2">
        <v>1700</v>
      </c>
      <c r="Z722" s="11" t="s">
        <v>54</v>
      </c>
      <c r="AA722" s="11" t="str">
        <f t="shared" si="49"/>
        <v>1700 - TBN</v>
      </c>
      <c r="AC722" s="2" t="s">
        <v>145</v>
      </c>
      <c r="AD722" s="11" t="str">
        <f>IF($I722&lt;&gt;"",VLOOKUP($AC722,GEADRESSEERDE!$A$2:$E$4,2,),"")</f>
        <v>LUITHAGEN HAVEN 2 D</v>
      </c>
      <c r="AE722" s="11">
        <f>IF($I722&lt;&gt;"",VLOOKUP($AC722,GEADRESSEERDE!$A$2:$E$4,3,),"")</f>
        <v>2030</v>
      </c>
      <c r="AF722" s="11" t="str">
        <f>IF($I722&lt;&gt;"",VLOOKUP($AC722,GEADRESSEERDE!$A$2:$E$4,4,),"")</f>
        <v>ANTWERPEN</v>
      </c>
      <c r="AG722" s="11" t="str">
        <f>IF($I722&lt;&gt;"",VLOOKUP($AC722,GEADRESSEERDE!$A$2:$E$4,5,),"")</f>
        <v>BE</v>
      </c>
      <c r="AH722" s="11" t="str">
        <f>IF(I722&lt;&gt;"",VLOOKUP(AP722,KvB!$A$2:$B$3,2,FALSE),"")</f>
        <v>BE101000</v>
      </c>
      <c r="AI722" s="11" t="s">
        <v>55</v>
      </c>
      <c r="AJ722" s="11"/>
      <c r="AK722" s="11"/>
      <c r="AL722" s="11"/>
      <c r="AM722" s="11"/>
      <c r="AN722" s="11"/>
      <c r="AO722" s="11"/>
      <c r="AP722" s="2" t="s">
        <v>70</v>
      </c>
      <c r="AQ722" s="11" t="str">
        <f>IF(I722&lt;&gt;"",DATA!D721,"")</f>
        <v>8414599590</v>
      </c>
    </row>
    <row r="723" spans="1:43" ht="15.75" x14ac:dyDescent="0.25">
      <c r="A723" s="11" t="s">
        <v>57</v>
      </c>
      <c r="B723" s="11" t="s">
        <v>56</v>
      </c>
      <c r="C723" s="22">
        <f t="shared" si="50"/>
        <v>25001620</v>
      </c>
      <c r="D723" s="11" t="str">
        <f t="shared" si="47"/>
        <v>SKIIFM_AT</v>
      </c>
      <c r="E723" s="11" t="str">
        <f>IF(I723&lt;&gt;"",VLOOKUP(F723,OPDRACHTGEVER!$A$2:$B$4,2,FALSE),"")</f>
        <v>SKIIFM_AT</v>
      </c>
      <c r="F723" s="11" t="s">
        <v>58</v>
      </c>
      <c r="I723" s="11" t="str">
        <f>IF(DATA!B722&lt;&gt;"",DATA!B722,"")</f>
        <v>FCIU8041691</v>
      </c>
      <c r="J723" s="12">
        <v>0</v>
      </c>
      <c r="K723" s="11" t="s">
        <v>53</v>
      </c>
      <c r="L723" s="11" t="str">
        <f t="shared" si="48"/>
        <v>401691</v>
      </c>
      <c r="M723" s="11" t="str">
        <f>IF(I723&lt;&gt;"",DATA!E722,"")</f>
        <v>INSULATING COTTON</v>
      </c>
      <c r="N723" s="12">
        <v>0</v>
      </c>
      <c r="O723" s="11">
        <f>IF(I723&lt;&gt;"",DATA!C722,"")</f>
        <v>72</v>
      </c>
      <c r="P723" s="2">
        <v>294094</v>
      </c>
      <c r="Q723" s="2" t="s">
        <v>1304</v>
      </c>
      <c r="R723" s="2" t="s">
        <v>1320</v>
      </c>
      <c r="S723" s="2">
        <v>579</v>
      </c>
      <c r="T723" s="2">
        <v>1</v>
      </c>
      <c r="U723" s="2" t="s">
        <v>141</v>
      </c>
      <c r="Y723" s="2">
        <v>1700</v>
      </c>
      <c r="Z723" s="11" t="s">
        <v>54</v>
      </c>
      <c r="AA723" s="11" t="str">
        <f t="shared" si="49"/>
        <v>1700 - TBN</v>
      </c>
      <c r="AC723" s="2" t="s">
        <v>145</v>
      </c>
      <c r="AD723" s="11" t="str">
        <f>IF($I723&lt;&gt;"",VLOOKUP($AC723,GEADRESSEERDE!$A$2:$E$4,2,),"")</f>
        <v>LUITHAGEN HAVEN 2 D</v>
      </c>
      <c r="AE723" s="11">
        <f>IF($I723&lt;&gt;"",VLOOKUP($AC723,GEADRESSEERDE!$A$2:$E$4,3,),"")</f>
        <v>2030</v>
      </c>
      <c r="AF723" s="11" t="str">
        <f>IF($I723&lt;&gt;"",VLOOKUP($AC723,GEADRESSEERDE!$A$2:$E$4,4,),"")</f>
        <v>ANTWERPEN</v>
      </c>
      <c r="AG723" s="11" t="str">
        <f>IF($I723&lt;&gt;"",VLOOKUP($AC723,GEADRESSEERDE!$A$2:$E$4,5,),"")</f>
        <v>BE</v>
      </c>
      <c r="AH723" s="11" t="str">
        <f>IF(I723&lt;&gt;"",VLOOKUP(AP723,KvB!$A$2:$B$3,2,FALSE),"")</f>
        <v>BE101000</v>
      </c>
      <c r="AI723" s="11" t="s">
        <v>55</v>
      </c>
      <c r="AJ723" s="11"/>
      <c r="AK723" s="11"/>
      <c r="AL723" s="11"/>
      <c r="AM723" s="11"/>
      <c r="AN723" s="11"/>
      <c r="AO723" s="11"/>
      <c r="AP723" s="2" t="s">
        <v>70</v>
      </c>
      <c r="AQ723" s="11" t="str">
        <f>IF(I723&lt;&gt;"",DATA!D722,"")</f>
        <v>4016910000</v>
      </c>
    </row>
    <row r="724" spans="1:43" ht="15.75" x14ac:dyDescent="0.25">
      <c r="A724" s="11" t="s">
        <v>57</v>
      </c>
      <c r="B724" s="11" t="s">
        <v>56</v>
      </c>
      <c r="C724" s="22">
        <f t="shared" si="50"/>
        <v>25001620</v>
      </c>
      <c r="D724" s="11" t="str">
        <f t="shared" si="47"/>
        <v>SKIIFM_AT</v>
      </c>
      <c r="E724" s="11" t="str">
        <f>IF(I724&lt;&gt;"",VLOOKUP(F724,OPDRACHTGEVER!$A$2:$B$4,2,FALSE),"")</f>
        <v>SKIIFM_AT</v>
      </c>
      <c r="F724" s="11" t="s">
        <v>58</v>
      </c>
      <c r="I724" s="11" t="str">
        <f>IF(DATA!B723&lt;&gt;"",DATA!B723,"")</f>
        <v>FCIU8041691</v>
      </c>
      <c r="J724" s="12">
        <v>0</v>
      </c>
      <c r="K724" s="11" t="s">
        <v>53</v>
      </c>
      <c r="L724" s="11" t="str">
        <f t="shared" si="48"/>
        <v>830220</v>
      </c>
      <c r="M724" s="11" t="str">
        <f>IF(I724&lt;&gt;"",DATA!E723,"")</f>
        <v>IRON SWIVEL CASTER WHEELS</v>
      </c>
      <c r="N724" s="12">
        <v>0</v>
      </c>
      <c r="O724" s="11">
        <f>IF(I724&lt;&gt;"",DATA!C723,"")</f>
        <v>49.5</v>
      </c>
      <c r="P724" s="2">
        <v>294094</v>
      </c>
      <c r="Q724" s="2" t="s">
        <v>1304</v>
      </c>
      <c r="R724" s="2" t="s">
        <v>1320</v>
      </c>
      <c r="S724" s="2">
        <v>579</v>
      </c>
      <c r="T724" s="2">
        <v>1</v>
      </c>
      <c r="U724" s="2" t="s">
        <v>141</v>
      </c>
      <c r="Y724" s="2">
        <v>1700</v>
      </c>
      <c r="Z724" s="11" t="s">
        <v>54</v>
      </c>
      <c r="AA724" s="11" t="str">
        <f t="shared" si="49"/>
        <v>1700 - TBN</v>
      </c>
      <c r="AC724" s="2" t="s">
        <v>145</v>
      </c>
      <c r="AD724" s="11" t="str">
        <f>IF($I724&lt;&gt;"",VLOOKUP($AC724,GEADRESSEERDE!$A$2:$E$4,2,),"")</f>
        <v>LUITHAGEN HAVEN 2 D</v>
      </c>
      <c r="AE724" s="11">
        <f>IF($I724&lt;&gt;"",VLOOKUP($AC724,GEADRESSEERDE!$A$2:$E$4,3,),"")</f>
        <v>2030</v>
      </c>
      <c r="AF724" s="11" t="str">
        <f>IF($I724&lt;&gt;"",VLOOKUP($AC724,GEADRESSEERDE!$A$2:$E$4,4,),"")</f>
        <v>ANTWERPEN</v>
      </c>
      <c r="AG724" s="11" t="str">
        <f>IF($I724&lt;&gt;"",VLOOKUP($AC724,GEADRESSEERDE!$A$2:$E$4,5,),"")</f>
        <v>BE</v>
      </c>
      <c r="AH724" s="11" t="str">
        <f>IF(I724&lt;&gt;"",VLOOKUP(AP724,KvB!$A$2:$B$3,2,FALSE),"")</f>
        <v>BE101000</v>
      </c>
      <c r="AI724" s="11" t="s">
        <v>55</v>
      </c>
      <c r="AJ724" s="11"/>
      <c r="AK724" s="11"/>
      <c r="AL724" s="11"/>
      <c r="AM724" s="11"/>
      <c r="AN724" s="11"/>
      <c r="AO724" s="11"/>
      <c r="AP724" s="2" t="s">
        <v>70</v>
      </c>
      <c r="AQ724" s="11" t="str">
        <f>IF(I724&lt;&gt;"",DATA!D723,"")</f>
        <v>8302200090</v>
      </c>
    </row>
    <row r="725" spans="1:43" ht="15.75" x14ac:dyDescent="0.25">
      <c r="A725" s="11" t="s">
        <v>57</v>
      </c>
      <c r="B725" s="11" t="s">
        <v>56</v>
      </c>
      <c r="C725" s="22">
        <f t="shared" si="50"/>
        <v>25001620</v>
      </c>
      <c r="D725" s="11" t="str">
        <f t="shared" si="47"/>
        <v>SKIIFM_AT</v>
      </c>
      <c r="E725" s="11" t="str">
        <f>IF(I725&lt;&gt;"",VLOOKUP(F725,OPDRACHTGEVER!$A$2:$B$4,2,FALSE),"")</f>
        <v>SKIIFM_AT</v>
      </c>
      <c r="F725" s="11" t="s">
        <v>58</v>
      </c>
      <c r="I725" s="11" t="str">
        <f>IF(DATA!B724&lt;&gt;"",DATA!B724,"")</f>
        <v>FCIU8041691</v>
      </c>
      <c r="J725" s="12">
        <v>0</v>
      </c>
      <c r="K725" s="11" t="s">
        <v>53</v>
      </c>
      <c r="L725" s="11" t="str">
        <f t="shared" si="48"/>
        <v>851440</v>
      </c>
      <c r="M725" s="11" t="str">
        <f>IF(I725&lt;&gt;"",DATA!E724,"")</f>
        <v>MAGNETIC HEATER</v>
      </c>
      <c r="N725" s="12">
        <v>0</v>
      </c>
      <c r="O725" s="11">
        <f>IF(I725&lt;&gt;"",DATA!C724,"")</f>
        <v>20.65</v>
      </c>
      <c r="P725" s="2">
        <v>294094</v>
      </c>
      <c r="Q725" s="2" t="s">
        <v>1304</v>
      </c>
      <c r="R725" s="2" t="s">
        <v>1320</v>
      </c>
      <c r="S725" s="2">
        <v>579</v>
      </c>
      <c r="T725" s="2">
        <v>1</v>
      </c>
      <c r="U725" s="2" t="s">
        <v>141</v>
      </c>
      <c r="Y725" s="2">
        <v>1700</v>
      </c>
      <c r="Z725" s="11" t="s">
        <v>54</v>
      </c>
      <c r="AA725" s="11" t="str">
        <f t="shared" si="49"/>
        <v>1700 - TBN</v>
      </c>
      <c r="AC725" s="2" t="s">
        <v>145</v>
      </c>
      <c r="AD725" s="11" t="str">
        <f>IF($I725&lt;&gt;"",VLOOKUP($AC725,GEADRESSEERDE!$A$2:$E$4,2,),"")</f>
        <v>LUITHAGEN HAVEN 2 D</v>
      </c>
      <c r="AE725" s="11">
        <f>IF($I725&lt;&gt;"",VLOOKUP($AC725,GEADRESSEERDE!$A$2:$E$4,3,),"")</f>
        <v>2030</v>
      </c>
      <c r="AF725" s="11" t="str">
        <f>IF($I725&lt;&gt;"",VLOOKUP($AC725,GEADRESSEERDE!$A$2:$E$4,4,),"")</f>
        <v>ANTWERPEN</v>
      </c>
      <c r="AG725" s="11" t="str">
        <f>IF($I725&lt;&gt;"",VLOOKUP($AC725,GEADRESSEERDE!$A$2:$E$4,5,),"")</f>
        <v>BE</v>
      </c>
      <c r="AH725" s="11" t="str">
        <f>IF(I725&lt;&gt;"",VLOOKUP(AP725,KvB!$A$2:$B$3,2,FALSE),"")</f>
        <v>BE101000</v>
      </c>
      <c r="AI725" s="11" t="s">
        <v>55</v>
      </c>
      <c r="AJ725" s="11"/>
      <c r="AK725" s="11"/>
      <c r="AL725" s="11"/>
      <c r="AM725" s="11"/>
      <c r="AN725" s="11"/>
      <c r="AO725" s="11"/>
      <c r="AP725" s="2" t="s">
        <v>70</v>
      </c>
      <c r="AQ725" s="11" t="str">
        <f>IF(I725&lt;&gt;"",DATA!D724,"")</f>
        <v>8514400000</v>
      </c>
    </row>
    <row r="726" spans="1:43" ht="15.75" x14ac:dyDescent="0.25">
      <c r="A726" s="11" t="s">
        <v>57</v>
      </c>
      <c r="B726" s="11" t="s">
        <v>56</v>
      </c>
      <c r="C726" s="22">
        <f t="shared" si="50"/>
        <v>25001620</v>
      </c>
      <c r="D726" s="11" t="str">
        <f t="shared" si="47"/>
        <v>SKIIFM_AT</v>
      </c>
      <c r="E726" s="11" t="str">
        <f>IF(I726&lt;&gt;"",VLOOKUP(F726,OPDRACHTGEVER!$A$2:$B$4,2,FALSE),"")</f>
        <v>SKIIFM_AT</v>
      </c>
      <c r="F726" s="11" t="s">
        <v>58</v>
      </c>
      <c r="I726" s="11" t="str">
        <f>IF(DATA!B725&lt;&gt;"",DATA!B725,"")</f>
        <v>FCIU8041691</v>
      </c>
      <c r="J726" s="12">
        <v>0</v>
      </c>
      <c r="K726" s="11" t="s">
        <v>53</v>
      </c>
      <c r="L726" s="11" t="str">
        <f t="shared" si="48"/>
        <v>820559</v>
      </c>
      <c r="M726" s="11" t="str">
        <f>IF(I726&lt;&gt;"",DATA!E725,"")</f>
        <v>MANUAL PIZZA NOODLE PRESS</v>
      </c>
      <c r="N726" s="12">
        <v>0</v>
      </c>
      <c r="O726" s="11">
        <f>IF(I726&lt;&gt;"",DATA!C725,"")</f>
        <v>132.30000000000001</v>
      </c>
      <c r="P726" s="2">
        <v>294094</v>
      </c>
      <c r="Q726" s="2" t="s">
        <v>1304</v>
      </c>
      <c r="R726" s="2" t="s">
        <v>1320</v>
      </c>
      <c r="S726" s="2">
        <v>579</v>
      </c>
      <c r="T726" s="2">
        <v>1</v>
      </c>
      <c r="U726" s="2" t="s">
        <v>141</v>
      </c>
      <c r="Y726" s="2">
        <v>1700</v>
      </c>
      <c r="Z726" s="11" t="s">
        <v>54</v>
      </c>
      <c r="AA726" s="11" t="str">
        <f t="shared" si="49"/>
        <v>1700 - TBN</v>
      </c>
      <c r="AC726" s="2" t="s">
        <v>145</v>
      </c>
      <c r="AD726" s="11" t="str">
        <f>IF($I726&lt;&gt;"",VLOOKUP($AC726,GEADRESSEERDE!$A$2:$E$4,2,),"")</f>
        <v>LUITHAGEN HAVEN 2 D</v>
      </c>
      <c r="AE726" s="11">
        <f>IF($I726&lt;&gt;"",VLOOKUP($AC726,GEADRESSEERDE!$A$2:$E$4,3,),"")</f>
        <v>2030</v>
      </c>
      <c r="AF726" s="11" t="str">
        <f>IF($I726&lt;&gt;"",VLOOKUP($AC726,GEADRESSEERDE!$A$2:$E$4,4,),"")</f>
        <v>ANTWERPEN</v>
      </c>
      <c r="AG726" s="11" t="str">
        <f>IF($I726&lt;&gt;"",VLOOKUP($AC726,GEADRESSEERDE!$A$2:$E$4,5,),"")</f>
        <v>BE</v>
      </c>
      <c r="AH726" s="11" t="str">
        <f>IF(I726&lt;&gt;"",VLOOKUP(AP726,KvB!$A$2:$B$3,2,FALSE),"")</f>
        <v>BE101000</v>
      </c>
      <c r="AI726" s="11" t="s">
        <v>55</v>
      </c>
      <c r="AJ726" s="11"/>
      <c r="AK726" s="11"/>
      <c r="AL726" s="11"/>
      <c r="AM726" s="11"/>
      <c r="AN726" s="11"/>
      <c r="AO726" s="11"/>
      <c r="AP726" s="2" t="s">
        <v>70</v>
      </c>
      <c r="AQ726" s="11" t="str">
        <f>IF(I726&lt;&gt;"",DATA!D725,"")</f>
        <v>8205598000</v>
      </c>
    </row>
    <row r="727" spans="1:43" ht="15.75" x14ac:dyDescent="0.25">
      <c r="A727" s="11" t="s">
        <v>57</v>
      </c>
      <c r="B727" s="11" t="s">
        <v>56</v>
      </c>
      <c r="C727" s="22">
        <f t="shared" si="50"/>
        <v>25001620</v>
      </c>
      <c r="D727" s="11" t="str">
        <f t="shared" si="47"/>
        <v>SKIIFM_AT</v>
      </c>
      <c r="E727" s="11" t="str">
        <f>IF(I727&lt;&gt;"",VLOOKUP(F727,OPDRACHTGEVER!$A$2:$B$4,2,FALSE),"")</f>
        <v>SKIIFM_AT</v>
      </c>
      <c r="F727" s="11" t="s">
        <v>58</v>
      </c>
      <c r="I727" s="11" t="str">
        <f>IF(DATA!B726&lt;&gt;"",DATA!B726,"")</f>
        <v>FCIU8041691</v>
      </c>
      <c r="J727" s="12">
        <v>0</v>
      </c>
      <c r="K727" s="11" t="s">
        <v>53</v>
      </c>
      <c r="L727" s="11" t="str">
        <f t="shared" si="48"/>
        <v>761699</v>
      </c>
      <c r="M727" s="11" t="str">
        <f>IF(I727&lt;&gt;"",DATA!E726,"")</f>
        <v>MANUAL TYPE</v>
      </c>
      <c r="N727" s="12">
        <v>0</v>
      </c>
      <c r="O727" s="11">
        <f>IF(I727&lt;&gt;"",DATA!C726,"")</f>
        <v>80.400000000000006</v>
      </c>
      <c r="P727" s="2">
        <v>294094</v>
      </c>
      <c r="Q727" s="2" t="s">
        <v>1304</v>
      </c>
      <c r="R727" s="2" t="s">
        <v>1320</v>
      </c>
      <c r="S727" s="2">
        <v>579</v>
      </c>
      <c r="T727" s="2">
        <v>1</v>
      </c>
      <c r="U727" s="2" t="s">
        <v>141</v>
      </c>
      <c r="Y727" s="2">
        <v>1700</v>
      </c>
      <c r="Z727" s="11" t="s">
        <v>54</v>
      </c>
      <c r="AA727" s="11" t="str">
        <f t="shared" si="49"/>
        <v>1700 - TBN</v>
      </c>
      <c r="AC727" s="2" t="s">
        <v>145</v>
      </c>
      <c r="AD727" s="11" t="str">
        <f>IF($I727&lt;&gt;"",VLOOKUP($AC727,GEADRESSEERDE!$A$2:$E$4,2,),"")</f>
        <v>LUITHAGEN HAVEN 2 D</v>
      </c>
      <c r="AE727" s="11">
        <f>IF($I727&lt;&gt;"",VLOOKUP($AC727,GEADRESSEERDE!$A$2:$E$4,3,),"")</f>
        <v>2030</v>
      </c>
      <c r="AF727" s="11" t="str">
        <f>IF($I727&lt;&gt;"",VLOOKUP($AC727,GEADRESSEERDE!$A$2:$E$4,4,),"")</f>
        <v>ANTWERPEN</v>
      </c>
      <c r="AG727" s="11" t="str">
        <f>IF($I727&lt;&gt;"",VLOOKUP($AC727,GEADRESSEERDE!$A$2:$E$4,5,),"")</f>
        <v>BE</v>
      </c>
      <c r="AH727" s="11" t="str">
        <f>IF(I727&lt;&gt;"",VLOOKUP(AP727,KvB!$A$2:$B$3,2,FALSE),"")</f>
        <v>BE101000</v>
      </c>
      <c r="AI727" s="11" t="s">
        <v>55</v>
      </c>
      <c r="AJ727" s="11"/>
      <c r="AK727" s="11"/>
      <c r="AL727" s="11"/>
      <c r="AM727" s="11"/>
      <c r="AN727" s="11"/>
      <c r="AO727" s="11"/>
      <c r="AP727" s="2" t="s">
        <v>70</v>
      </c>
      <c r="AQ727" s="11" t="str">
        <f>IF(I727&lt;&gt;"",DATA!D726,"")</f>
        <v>7616999009</v>
      </c>
    </row>
    <row r="728" spans="1:43" ht="15.75" x14ac:dyDescent="0.25">
      <c r="A728" s="11" t="s">
        <v>57</v>
      </c>
      <c r="B728" s="11" t="s">
        <v>56</v>
      </c>
      <c r="C728" s="22">
        <f t="shared" si="50"/>
        <v>25001620</v>
      </c>
      <c r="D728" s="11" t="str">
        <f t="shared" si="47"/>
        <v>SKIIFM_AT</v>
      </c>
      <c r="E728" s="11" t="str">
        <f>IF(I728&lt;&gt;"",VLOOKUP(F728,OPDRACHTGEVER!$A$2:$B$4,2,FALSE),"")</f>
        <v>SKIIFM_AT</v>
      </c>
      <c r="F728" s="11" t="s">
        <v>58</v>
      </c>
      <c r="I728" s="11" t="str">
        <f>IF(DATA!B727&lt;&gt;"",DATA!B727,"")</f>
        <v>FCIU8041691</v>
      </c>
      <c r="J728" s="12">
        <v>0</v>
      </c>
      <c r="K728" s="11" t="s">
        <v>53</v>
      </c>
      <c r="L728" s="11" t="str">
        <f t="shared" si="48"/>
        <v>851420</v>
      </c>
      <c r="M728" s="11" t="str">
        <f>IF(I728&lt;&gt;"",DATA!E727,"")</f>
        <v>MELTING FURNACE</v>
      </c>
      <c r="N728" s="12">
        <v>0</v>
      </c>
      <c r="O728" s="11">
        <f>IF(I728&lt;&gt;"",DATA!C727,"")</f>
        <v>57</v>
      </c>
      <c r="P728" s="2">
        <v>294094</v>
      </c>
      <c r="Q728" s="2" t="s">
        <v>1304</v>
      </c>
      <c r="R728" s="2" t="s">
        <v>1320</v>
      </c>
      <c r="S728" s="2">
        <v>579</v>
      </c>
      <c r="T728" s="2">
        <v>1</v>
      </c>
      <c r="U728" s="2" t="s">
        <v>141</v>
      </c>
      <c r="Y728" s="2">
        <v>1700</v>
      </c>
      <c r="Z728" s="11" t="s">
        <v>54</v>
      </c>
      <c r="AA728" s="11" t="str">
        <f t="shared" si="49"/>
        <v>1700 - TBN</v>
      </c>
      <c r="AC728" s="2" t="s">
        <v>145</v>
      </c>
      <c r="AD728" s="11" t="str">
        <f>IF($I728&lt;&gt;"",VLOOKUP($AC728,GEADRESSEERDE!$A$2:$E$4,2,),"")</f>
        <v>LUITHAGEN HAVEN 2 D</v>
      </c>
      <c r="AE728" s="11">
        <f>IF($I728&lt;&gt;"",VLOOKUP($AC728,GEADRESSEERDE!$A$2:$E$4,3,),"")</f>
        <v>2030</v>
      </c>
      <c r="AF728" s="11" t="str">
        <f>IF($I728&lt;&gt;"",VLOOKUP($AC728,GEADRESSEERDE!$A$2:$E$4,4,),"")</f>
        <v>ANTWERPEN</v>
      </c>
      <c r="AG728" s="11" t="str">
        <f>IF($I728&lt;&gt;"",VLOOKUP($AC728,GEADRESSEERDE!$A$2:$E$4,5,),"")</f>
        <v>BE</v>
      </c>
      <c r="AH728" s="11" t="str">
        <f>IF(I728&lt;&gt;"",VLOOKUP(AP728,KvB!$A$2:$B$3,2,FALSE),"")</f>
        <v>BE101000</v>
      </c>
      <c r="AI728" s="11" t="s">
        <v>55</v>
      </c>
      <c r="AJ728" s="11"/>
      <c r="AK728" s="11"/>
      <c r="AL728" s="11"/>
      <c r="AM728" s="11"/>
      <c r="AN728" s="11"/>
      <c r="AO728" s="11"/>
      <c r="AP728" s="2" t="s">
        <v>70</v>
      </c>
      <c r="AQ728" s="11" t="str">
        <f>IF(I728&lt;&gt;"",DATA!D727,"")</f>
        <v>8514208000</v>
      </c>
    </row>
    <row r="729" spans="1:43" ht="15.75" x14ac:dyDescent="0.25">
      <c r="A729" s="11" t="s">
        <v>57</v>
      </c>
      <c r="B729" s="11" t="s">
        <v>56</v>
      </c>
      <c r="C729" s="22">
        <f t="shared" si="50"/>
        <v>25001620</v>
      </c>
      <c r="D729" s="11" t="str">
        <f t="shared" si="47"/>
        <v>SKIIFM_AT</v>
      </c>
      <c r="E729" s="11" t="str">
        <f>IF(I729&lt;&gt;"",VLOOKUP(F729,OPDRACHTGEVER!$A$2:$B$4,2,FALSE),"")</f>
        <v>SKIIFM_AT</v>
      </c>
      <c r="F729" s="11" t="s">
        <v>58</v>
      </c>
      <c r="I729" s="11" t="str">
        <f>IF(DATA!B728&lt;&gt;"",DATA!B728,"")</f>
        <v>FCIU8041691</v>
      </c>
      <c r="J729" s="12">
        <v>0</v>
      </c>
      <c r="K729" s="11" t="s">
        <v>53</v>
      </c>
      <c r="L729" s="11" t="str">
        <f t="shared" si="48"/>
        <v>830629</v>
      </c>
      <c r="M729" s="11" t="str">
        <f>IF(I729&lt;&gt;"",DATA!E728,"")</f>
        <v>MENTAL WEDDING VASE</v>
      </c>
      <c r="N729" s="12">
        <v>0</v>
      </c>
      <c r="O729" s="11">
        <f>IF(I729&lt;&gt;"",DATA!C728,"")</f>
        <v>93.6</v>
      </c>
      <c r="P729" s="2">
        <v>294094</v>
      </c>
      <c r="Q729" s="2" t="s">
        <v>1304</v>
      </c>
      <c r="R729" s="2" t="s">
        <v>1320</v>
      </c>
      <c r="S729" s="2">
        <v>579</v>
      </c>
      <c r="T729" s="2">
        <v>1</v>
      </c>
      <c r="U729" s="2" t="s">
        <v>141</v>
      </c>
      <c r="Y729" s="2">
        <v>1700</v>
      </c>
      <c r="Z729" s="11" t="s">
        <v>54</v>
      </c>
      <c r="AA729" s="11" t="str">
        <f t="shared" si="49"/>
        <v>1700 - TBN</v>
      </c>
      <c r="AC729" s="2" t="s">
        <v>145</v>
      </c>
      <c r="AD729" s="11" t="str">
        <f>IF($I729&lt;&gt;"",VLOOKUP($AC729,GEADRESSEERDE!$A$2:$E$4,2,),"")</f>
        <v>LUITHAGEN HAVEN 2 D</v>
      </c>
      <c r="AE729" s="11">
        <f>IF($I729&lt;&gt;"",VLOOKUP($AC729,GEADRESSEERDE!$A$2:$E$4,3,),"")</f>
        <v>2030</v>
      </c>
      <c r="AF729" s="11" t="str">
        <f>IF($I729&lt;&gt;"",VLOOKUP($AC729,GEADRESSEERDE!$A$2:$E$4,4,),"")</f>
        <v>ANTWERPEN</v>
      </c>
      <c r="AG729" s="11" t="str">
        <f>IF($I729&lt;&gt;"",VLOOKUP($AC729,GEADRESSEERDE!$A$2:$E$4,5,),"")</f>
        <v>BE</v>
      </c>
      <c r="AH729" s="11" t="str">
        <f>IF(I729&lt;&gt;"",VLOOKUP(AP729,KvB!$A$2:$B$3,2,FALSE),"")</f>
        <v>BE101000</v>
      </c>
      <c r="AI729" s="11" t="s">
        <v>55</v>
      </c>
      <c r="AJ729" s="11"/>
      <c r="AK729" s="11"/>
      <c r="AL729" s="11"/>
      <c r="AM729" s="11"/>
      <c r="AN729" s="11"/>
      <c r="AO729" s="11"/>
      <c r="AP729" s="2" t="s">
        <v>70</v>
      </c>
      <c r="AQ729" s="11" t="str">
        <f>IF(I729&lt;&gt;"",DATA!D728,"")</f>
        <v>8306290000</v>
      </c>
    </row>
    <row r="730" spans="1:43" ht="15.75" x14ac:dyDescent="0.25">
      <c r="A730" s="11" t="s">
        <v>57</v>
      </c>
      <c r="B730" s="11" t="s">
        <v>56</v>
      </c>
      <c r="C730" s="22">
        <f t="shared" si="50"/>
        <v>25001620</v>
      </c>
      <c r="D730" s="11" t="str">
        <f t="shared" si="47"/>
        <v>SKIIFM_AT</v>
      </c>
      <c r="E730" s="11" t="str">
        <f>IF(I730&lt;&gt;"",VLOOKUP(F730,OPDRACHTGEVER!$A$2:$B$4,2,FALSE),"")</f>
        <v>SKIIFM_AT</v>
      </c>
      <c r="F730" s="11" t="s">
        <v>58</v>
      </c>
      <c r="I730" s="11" t="str">
        <f>IF(DATA!B729&lt;&gt;"",DATA!B729,"")</f>
        <v>FCIU8041691</v>
      </c>
      <c r="J730" s="12">
        <v>0</v>
      </c>
      <c r="K730" s="11" t="s">
        <v>53</v>
      </c>
      <c r="L730" s="11" t="str">
        <f t="shared" si="48"/>
        <v>741920</v>
      </c>
      <c r="M730" s="11" t="str">
        <f>IF(I730&lt;&gt;"",DATA!E729,"")</f>
        <v>METAL FENCE</v>
      </c>
      <c r="N730" s="12">
        <v>0</v>
      </c>
      <c r="O730" s="11">
        <f>IF(I730&lt;&gt;"",DATA!C729,"")</f>
        <v>53.1</v>
      </c>
      <c r="P730" s="2">
        <v>294094</v>
      </c>
      <c r="Q730" s="2" t="s">
        <v>1304</v>
      </c>
      <c r="R730" s="2" t="s">
        <v>1320</v>
      </c>
      <c r="S730" s="2">
        <v>579</v>
      </c>
      <c r="T730" s="2">
        <v>1</v>
      </c>
      <c r="U730" s="2" t="s">
        <v>141</v>
      </c>
      <c r="Y730" s="2">
        <v>1700</v>
      </c>
      <c r="Z730" s="11" t="s">
        <v>54</v>
      </c>
      <c r="AA730" s="11" t="str">
        <f t="shared" si="49"/>
        <v>1700 - TBN</v>
      </c>
      <c r="AC730" s="2" t="s">
        <v>145</v>
      </c>
      <c r="AD730" s="11" t="str">
        <f>IF($I730&lt;&gt;"",VLOOKUP($AC730,GEADRESSEERDE!$A$2:$E$4,2,),"")</f>
        <v>LUITHAGEN HAVEN 2 D</v>
      </c>
      <c r="AE730" s="11">
        <f>IF($I730&lt;&gt;"",VLOOKUP($AC730,GEADRESSEERDE!$A$2:$E$4,3,),"")</f>
        <v>2030</v>
      </c>
      <c r="AF730" s="11" t="str">
        <f>IF($I730&lt;&gt;"",VLOOKUP($AC730,GEADRESSEERDE!$A$2:$E$4,4,),"")</f>
        <v>ANTWERPEN</v>
      </c>
      <c r="AG730" s="11" t="str">
        <f>IF($I730&lt;&gt;"",VLOOKUP($AC730,GEADRESSEERDE!$A$2:$E$4,5,),"")</f>
        <v>BE</v>
      </c>
      <c r="AH730" s="11" t="str">
        <f>IF(I730&lt;&gt;"",VLOOKUP(AP730,KvB!$A$2:$B$3,2,FALSE),"")</f>
        <v>BE101000</v>
      </c>
      <c r="AI730" s="11" t="s">
        <v>55</v>
      </c>
      <c r="AJ730" s="11"/>
      <c r="AK730" s="11"/>
      <c r="AL730" s="11"/>
      <c r="AM730" s="11"/>
      <c r="AN730" s="11"/>
      <c r="AO730" s="11"/>
      <c r="AP730" s="2" t="s">
        <v>70</v>
      </c>
      <c r="AQ730" s="11" t="str">
        <f>IF(I730&lt;&gt;"",DATA!D729,"")</f>
        <v>7419200090</v>
      </c>
    </row>
    <row r="731" spans="1:43" ht="15.75" x14ac:dyDescent="0.25">
      <c r="A731" s="11" t="s">
        <v>57</v>
      </c>
      <c r="B731" s="11" t="s">
        <v>56</v>
      </c>
      <c r="C731" s="22">
        <f t="shared" si="50"/>
        <v>25001620</v>
      </c>
      <c r="D731" s="11" t="str">
        <f t="shared" si="47"/>
        <v>SKIIFM_AT</v>
      </c>
      <c r="E731" s="11" t="str">
        <f>IF(I731&lt;&gt;"",VLOOKUP(F731,OPDRACHTGEVER!$A$2:$B$4,2,FALSE),"")</f>
        <v>SKIIFM_AT</v>
      </c>
      <c r="F731" s="11" t="s">
        <v>58</v>
      </c>
      <c r="I731" s="11" t="str">
        <f>IF(DATA!B730&lt;&gt;"",DATA!B730,"")</f>
        <v>FCIU8041691</v>
      </c>
      <c r="J731" s="12">
        <v>0</v>
      </c>
      <c r="K731" s="11" t="s">
        <v>53</v>
      </c>
      <c r="L731" s="11" t="str">
        <f t="shared" si="48"/>
        <v>741920</v>
      </c>
      <c r="M731" s="11" t="str">
        <f>IF(I731&lt;&gt;"",DATA!E730,"")</f>
        <v>METAL HANGING SPICE RACK</v>
      </c>
      <c r="N731" s="12">
        <v>0</v>
      </c>
      <c r="O731" s="11">
        <f>IF(I731&lt;&gt;"",DATA!C730,"")</f>
        <v>78</v>
      </c>
      <c r="P731" s="2">
        <v>294094</v>
      </c>
      <c r="Q731" s="2" t="s">
        <v>1304</v>
      </c>
      <c r="R731" s="2" t="s">
        <v>1320</v>
      </c>
      <c r="S731" s="2">
        <v>579</v>
      </c>
      <c r="T731" s="2">
        <v>1</v>
      </c>
      <c r="U731" s="2" t="s">
        <v>141</v>
      </c>
      <c r="Y731" s="2">
        <v>1700</v>
      </c>
      <c r="Z731" s="11" t="s">
        <v>54</v>
      </c>
      <c r="AA731" s="11" t="str">
        <f t="shared" si="49"/>
        <v>1700 - TBN</v>
      </c>
      <c r="AC731" s="2" t="s">
        <v>145</v>
      </c>
      <c r="AD731" s="11" t="str">
        <f>IF($I731&lt;&gt;"",VLOOKUP($AC731,GEADRESSEERDE!$A$2:$E$4,2,),"")</f>
        <v>LUITHAGEN HAVEN 2 D</v>
      </c>
      <c r="AE731" s="11">
        <f>IF($I731&lt;&gt;"",VLOOKUP($AC731,GEADRESSEERDE!$A$2:$E$4,3,),"")</f>
        <v>2030</v>
      </c>
      <c r="AF731" s="11" t="str">
        <f>IF($I731&lt;&gt;"",VLOOKUP($AC731,GEADRESSEERDE!$A$2:$E$4,4,),"")</f>
        <v>ANTWERPEN</v>
      </c>
      <c r="AG731" s="11" t="str">
        <f>IF($I731&lt;&gt;"",VLOOKUP($AC731,GEADRESSEERDE!$A$2:$E$4,5,),"")</f>
        <v>BE</v>
      </c>
      <c r="AH731" s="11" t="str">
        <f>IF(I731&lt;&gt;"",VLOOKUP(AP731,KvB!$A$2:$B$3,2,FALSE),"")</f>
        <v>BE101000</v>
      </c>
      <c r="AI731" s="11" t="s">
        <v>55</v>
      </c>
      <c r="AJ731" s="11"/>
      <c r="AK731" s="11"/>
      <c r="AL731" s="11"/>
      <c r="AM731" s="11"/>
      <c r="AN731" s="11"/>
      <c r="AO731" s="11"/>
      <c r="AP731" s="2" t="s">
        <v>70</v>
      </c>
      <c r="AQ731" s="11" t="str">
        <f>IF(I731&lt;&gt;"",DATA!D730,"")</f>
        <v>7419200090</v>
      </c>
    </row>
    <row r="732" spans="1:43" ht="15.75" x14ac:dyDescent="0.25">
      <c r="A732" s="11" t="s">
        <v>57</v>
      </c>
      <c r="B732" s="11" t="s">
        <v>56</v>
      </c>
      <c r="C732" s="22">
        <f t="shared" si="50"/>
        <v>25001620</v>
      </c>
      <c r="D732" s="11" t="str">
        <f t="shared" si="47"/>
        <v>SKIIFM_AT</v>
      </c>
      <c r="E732" s="11" t="str">
        <f>IF(I732&lt;&gt;"",VLOOKUP(F732,OPDRACHTGEVER!$A$2:$B$4,2,FALSE),"")</f>
        <v>SKIIFM_AT</v>
      </c>
      <c r="F732" s="11" t="s">
        <v>58</v>
      </c>
      <c r="I732" s="11" t="str">
        <f>IF(DATA!B731&lt;&gt;"",DATA!B731,"")</f>
        <v>FCIU8041691</v>
      </c>
      <c r="J732" s="12">
        <v>0</v>
      </c>
      <c r="K732" s="11" t="s">
        <v>53</v>
      </c>
      <c r="L732" s="11" t="str">
        <f t="shared" si="48"/>
        <v>847989</v>
      </c>
      <c r="M732" s="11" t="str">
        <f>IF(I732&lt;&gt;"",DATA!E731,"")</f>
        <v>MICRO INLAID MIRROR</v>
      </c>
      <c r="N732" s="12">
        <v>0</v>
      </c>
      <c r="O732" s="11">
        <f>IF(I732&lt;&gt;"",DATA!C731,"")</f>
        <v>59.5</v>
      </c>
      <c r="P732" s="2">
        <v>294094</v>
      </c>
      <c r="Q732" s="2" t="s">
        <v>1304</v>
      </c>
      <c r="R732" s="2" t="s">
        <v>1320</v>
      </c>
      <c r="S732" s="2">
        <v>579</v>
      </c>
      <c r="T732" s="2">
        <v>1</v>
      </c>
      <c r="U732" s="2" t="s">
        <v>141</v>
      </c>
      <c r="Y732" s="2">
        <v>1700</v>
      </c>
      <c r="Z732" s="11" t="s">
        <v>54</v>
      </c>
      <c r="AA732" s="11" t="str">
        <f t="shared" si="49"/>
        <v>1700 - TBN</v>
      </c>
      <c r="AC732" s="2" t="s">
        <v>145</v>
      </c>
      <c r="AD732" s="11" t="str">
        <f>IF($I732&lt;&gt;"",VLOOKUP($AC732,GEADRESSEERDE!$A$2:$E$4,2,),"")</f>
        <v>LUITHAGEN HAVEN 2 D</v>
      </c>
      <c r="AE732" s="11">
        <f>IF($I732&lt;&gt;"",VLOOKUP($AC732,GEADRESSEERDE!$A$2:$E$4,3,),"")</f>
        <v>2030</v>
      </c>
      <c r="AF732" s="11" t="str">
        <f>IF($I732&lt;&gt;"",VLOOKUP($AC732,GEADRESSEERDE!$A$2:$E$4,4,),"")</f>
        <v>ANTWERPEN</v>
      </c>
      <c r="AG732" s="11" t="str">
        <f>IF($I732&lt;&gt;"",VLOOKUP($AC732,GEADRESSEERDE!$A$2:$E$4,5,),"")</f>
        <v>BE</v>
      </c>
      <c r="AH732" s="11" t="str">
        <f>IF(I732&lt;&gt;"",VLOOKUP(AP732,KvB!$A$2:$B$3,2,FALSE),"")</f>
        <v>BE101000</v>
      </c>
      <c r="AI732" s="11" t="s">
        <v>55</v>
      </c>
      <c r="AJ732" s="11"/>
      <c r="AK732" s="11"/>
      <c r="AL732" s="11"/>
      <c r="AM732" s="11"/>
      <c r="AN732" s="11"/>
      <c r="AO732" s="11"/>
      <c r="AP732" s="2" t="s">
        <v>70</v>
      </c>
      <c r="AQ732" s="11" t="str">
        <f>IF(I732&lt;&gt;"",DATA!D731,"")</f>
        <v>8479899790</v>
      </c>
    </row>
    <row r="733" spans="1:43" ht="15.75" x14ac:dyDescent="0.25">
      <c r="A733" s="11" t="s">
        <v>57</v>
      </c>
      <c r="B733" s="11" t="s">
        <v>56</v>
      </c>
      <c r="C733" s="22">
        <f t="shared" si="50"/>
        <v>25001620</v>
      </c>
      <c r="D733" s="11" t="str">
        <f t="shared" si="47"/>
        <v>SKIIFM_AT</v>
      </c>
      <c r="E733" s="11" t="str">
        <f>IF(I733&lt;&gt;"",VLOOKUP(F733,OPDRACHTGEVER!$A$2:$B$4,2,FALSE),"")</f>
        <v>SKIIFM_AT</v>
      </c>
      <c r="F733" s="11" t="s">
        <v>58</v>
      </c>
      <c r="I733" s="11" t="str">
        <f>IF(DATA!B732&lt;&gt;"",DATA!B732,"")</f>
        <v>FCIU8041691</v>
      </c>
      <c r="J733" s="12">
        <v>0</v>
      </c>
      <c r="K733" s="11" t="s">
        <v>53</v>
      </c>
      <c r="L733" s="11" t="str">
        <f t="shared" si="48"/>
        <v>901210</v>
      </c>
      <c r="M733" s="11" t="str">
        <f>IF(I733&lt;&gt;"",DATA!E732,"")</f>
        <v>MICROSCOPE</v>
      </c>
      <c r="N733" s="12">
        <v>0</v>
      </c>
      <c r="O733" s="11">
        <f>IF(I733&lt;&gt;"",DATA!C732,"")</f>
        <v>60.5</v>
      </c>
      <c r="P733" s="2">
        <v>294094</v>
      </c>
      <c r="Q733" s="2" t="s">
        <v>1304</v>
      </c>
      <c r="R733" s="2" t="s">
        <v>1320</v>
      </c>
      <c r="S733" s="2">
        <v>579</v>
      </c>
      <c r="T733" s="2">
        <v>1</v>
      </c>
      <c r="U733" s="2" t="s">
        <v>141</v>
      </c>
      <c r="Y733" s="2">
        <v>1700</v>
      </c>
      <c r="Z733" s="11" t="s">
        <v>54</v>
      </c>
      <c r="AA733" s="11" t="str">
        <f t="shared" si="49"/>
        <v>1700 - TBN</v>
      </c>
      <c r="AC733" s="2" t="s">
        <v>145</v>
      </c>
      <c r="AD733" s="11" t="str">
        <f>IF($I733&lt;&gt;"",VLOOKUP($AC733,GEADRESSEERDE!$A$2:$E$4,2,),"")</f>
        <v>LUITHAGEN HAVEN 2 D</v>
      </c>
      <c r="AE733" s="11">
        <f>IF($I733&lt;&gt;"",VLOOKUP($AC733,GEADRESSEERDE!$A$2:$E$4,3,),"")</f>
        <v>2030</v>
      </c>
      <c r="AF733" s="11" t="str">
        <f>IF($I733&lt;&gt;"",VLOOKUP($AC733,GEADRESSEERDE!$A$2:$E$4,4,),"")</f>
        <v>ANTWERPEN</v>
      </c>
      <c r="AG733" s="11" t="str">
        <f>IF($I733&lt;&gt;"",VLOOKUP($AC733,GEADRESSEERDE!$A$2:$E$4,5,),"")</f>
        <v>BE</v>
      </c>
      <c r="AH733" s="11" t="str">
        <f>IF(I733&lt;&gt;"",VLOOKUP(AP733,KvB!$A$2:$B$3,2,FALSE),"")</f>
        <v>BE101000</v>
      </c>
      <c r="AI733" s="11" t="s">
        <v>55</v>
      </c>
      <c r="AJ733" s="11"/>
      <c r="AK733" s="11"/>
      <c r="AL733" s="11"/>
      <c r="AM733" s="11"/>
      <c r="AN733" s="11"/>
      <c r="AO733" s="11"/>
      <c r="AP733" s="2" t="s">
        <v>70</v>
      </c>
      <c r="AQ733" s="11" t="str">
        <f>IF(I733&lt;&gt;"",DATA!D732,"")</f>
        <v>9012100000</v>
      </c>
    </row>
    <row r="734" spans="1:43" ht="15.75" x14ac:dyDescent="0.25">
      <c r="A734" s="11" t="s">
        <v>57</v>
      </c>
      <c r="B734" s="11" t="s">
        <v>56</v>
      </c>
      <c r="C734" s="22">
        <f t="shared" si="50"/>
        <v>25001620</v>
      </c>
      <c r="D734" s="11" t="str">
        <f t="shared" si="47"/>
        <v>SKIIFM_AT</v>
      </c>
      <c r="E734" s="11" t="str">
        <f>IF(I734&lt;&gt;"",VLOOKUP(F734,OPDRACHTGEVER!$A$2:$B$4,2,FALSE),"")</f>
        <v>SKIIFM_AT</v>
      </c>
      <c r="F734" s="11" t="s">
        <v>58</v>
      </c>
      <c r="I734" s="11" t="str">
        <f>IF(DATA!B733&lt;&gt;"",DATA!B733,"")</f>
        <v>FCIU8041691</v>
      </c>
      <c r="J734" s="12">
        <v>0</v>
      </c>
      <c r="K734" s="11" t="s">
        <v>53</v>
      </c>
      <c r="L734" s="11" t="str">
        <f t="shared" si="48"/>
        <v>843860</v>
      </c>
      <c r="M734" s="11" t="str">
        <f>IF(I734&lt;&gt;"",DATA!E733,"")</f>
        <v>MICROTOME</v>
      </c>
      <c r="N734" s="12">
        <v>0</v>
      </c>
      <c r="O734" s="11">
        <f>IF(I734&lt;&gt;"",DATA!C733,"")</f>
        <v>71.3</v>
      </c>
      <c r="P734" s="2">
        <v>294094</v>
      </c>
      <c r="Q734" s="2" t="s">
        <v>1304</v>
      </c>
      <c r="R734" s="2" t="s">
        <v>1320</v>
      </c>
      <c r="S734" s="2">
        <v>579</v>
      </c>
      <c r="T734" s="2">
        <v>1</v>
      </c>
      <c r="U734" s="2" t="s">
        <v>141</v>
      </c>
      <c r="Y734" s="2">
        <v>1700</v>
      </c>
      <c r="Z734" s="11" t="s">
        <v>54</v>
      </c>
      <c r="AA734" s="11" t="str">
        <f t="shared" si="49"/>
        <v>1700 - TBN</v>
      </c>
      <c r="AC734" s="2" t="s">
        <v>145</v>
      </c>
      <c r="AD734" s="11" t="str">
        <f>IF($I734&lt;&gt;"",VLOOKUP($AC734,GEADRESSEERDE!$A$2:$E$4,2,),"")</f>
        <v>LUITHAGEN HAVEN 2 D</v>
      </c>
      <c r="AE734" s="11">
        <f>IF($I734&lt;&gt;"",VLOOKUP($AC734,GEADRESSEERDE!$A$2:$E$4,3,),"")</f>
        <v>2030</v>
      </c>
      <c r="AF734" s="11" t="str">
        <f>IF($I734&lt;&gt;"",VLOOKUP($AC734,GEADRESSEERDE!$A$2:$E$4,4,),"")</f>
        <v>ANTWERPEN</v>
      </c>
      <c r="AG734" s="11" t="str">
        <f>IF($I734&lt;&gt;"",VLOOKUP($AC734,GEADRESSEERDE!$A$2:$E$4,5,),"")</f>
        <v>BE</v>
      </c>
      <c r="AH734" s="11" t="str">
        <f>IF(I734&lt;&gt;"",VLOOKUP(AP734,KvB!$A$2:$B$3,2,FALSE),"")</f>
        <v>BE101000</v>
      </c>
      <c r="AI734" s="11" t="s">
        <v>55</v>
      </c>
      <c r="AJ734" s="11"/>
      <c r="AK734" s="11"/>
      <c r="AL734" s="11"/>
      <c r="AM734" s="11"/>
      <c r="AN734" s="11"/>
      <c r="AO734" s="11"/>
      <c r="AP734" s="2" t="s">
        <v>70</v>
      </c>
      <c r="AQ734" s="11" t="str">
        <f>IF(I734&lt;&gt;"",DATA!D733,"")</f>
        <v>8438600000</v>
      </c>
    </row>
    <row r="735" spans="1:43" ht="15.75" x14ac:dyDescent="0.25">
      <c r="A735" s="11" t="s">
        <v>57</v>
      </c>
      <c r="B735" s="11" t="s">
        <v>56</v>
      </c>
      <c r="C735" s="22">
        <f t="shared" si="50"/>
        <v>25001620</v>
      </c>
      <c r="D735" s="11" t="str">
        <f t="shared" si="47"/>
        <v>SKIIFM_AT</v>
      </c>
      <c r="E735" s="11" t="str">
        <f>IF(I735&lt;&gt;"",VLOOKUP(F735,OPDRACHTGEVER!$A$2:$B$4,2,FALSE),"")</f>
        <v>SKIIFM_AT</v>
      </c>
      <c r="F735" s="11" t="s">
        <v>58</v>
      </c>
      <c r="I735" s="11" t="str">
        <f>IF(DATA!B734&lt;&gt;"",DATA!B734,"")</f>
        <v>FCIU8041691</v>
      </c>
      <c r="J735" s="12">
        <v>0</v>
      </c>
      <c r="K735" s="11" t="s">
        <v>53</v>
      </c>
      <c r="L735" s="11" t="str">
        <f t="shared" si="48"/>
        <v>850940</v>
      </c>
      <c r="M735" s="11" t="str">
        <f>IF(I735&lt;&gt;"",DATA!E734,"")</f>
        <v>MILKSHAKE MIXER</v>
      </c>
      <c r="N735" s="12">
        <v>0</v>
      </c>
      <c r="O735" s="11">
        <f>IF(I735&lt;&gt;"",DATA!C734,"")</f>
        <v>30.06</v>
      </c>
      <c r="P735" s="2">
        <v>294094</v>
      </c>
      <c r="Q735" s="2" t="s">
        <v>1304</v>
      </c>
      <c r="R735" s="2" t="s">
        <v>1320</v>
      </c>
      <c r="S735" s="2">
        <v>579</v>
      </c>
      <c r="T735" s="2">
        <v>1</v>
      </c>
      <c r="U735" s="2" t="s">
        <v>141</v>
      </c>
      <c r="Y735" s="2">
        <v>1700</v>
      </c>
      <c r="Z735" s="11" t="s">
        <v>54</v>
      </c>
      <c r="AA735" s="11" t="str">
        <f t="shared" si="49"/>
        <v>1700 - TBN</v>
      </c>
      <c r="AC735" s="2" t="s">
        <v>145</v>
      </c>
      <c r="AD735" s="11" t="str">
        <f>IF($I735&lt;&gt;"",VLOOKUP($AC735,GEADRESSEERDE!$A$2:$E$4,2,),"")</f>
        <v>LUITHAGEN HAVEN 2 D</v>
      </c>
      <c r="AE735" s="11">
        <f>IF($I735&lt;&gt;"",VLOOKUP($AC735,GEADRESSEERDE!$A$2:$E$4,3,),"")</f>
        <v>2030</v>
      </c>
      <c r="AF735" s="11" t="str">
        <f>IF($I735&lt;&gt;"",VLOOKUP($AC735,GEADRESSEERDE!$A$2:$E$4,4,),"")</f>
        <v>ANTWERPEN</v>
      </c>
      <c r="AG735" s="11" t="str">
        <f>IF($I735&lt;&gt;"",VLOOKUP($AC735,GEADRESSEERDE!$A$2:$E$4,5,),"")</f>
        <v>BE</v>
      </c>
      <c r="AH735" s="11" t="str">
        <f>IF(I735&lt;&gt;"",VLOOKUP(AP735,KvB!$A$2:$B$3,2,FALSE),"")</f>
        <v>BE101000</v>
      </c>
      <c r="AI735" s="11" t="s">
        <v>55</v>
      </c>
      <c r="AJ735" s="11"/>
      <c r="AK735" s="11"/>
      <c r="AL735" s="11"/>
      <c r="AM735" s="11"/>
      <c r="AN735" s="11"/>
      <c r="AO735" s="11"/>
      <c r="AP735" s="2" t="s">
        <v>70</v>
      </c>
      <c r="AQ735" s="11" t="str">
        <f>IF(I735&lt;&gt;"",DATA!D734,"")</f>
        <v>8509400000</v>
      </c>
    </row>
    <row r="736" spans="1:43" ht="15.75" x14ac:dyDescent="0.25">
      <c r="A736" s="11" t="s">
        <v>57</v>
      </c>
      <c r="B736" s="11" t="s">
        <v>56</v>
      </c>
      <c r="C736" s="22">
        <f t="shared" si="50"/>
        <v>25001620</v>
      </c>
      <c r="D736" s="11" t="str">
        <f t="shared" si="47"/>
        <v>SKIIFM_AT</v>
      </c>
      <c r="E736" s="11" t="str">
        <f>IF(I736&lt;&gt;"",VLOOKUP(F736,OPDRACHTGEVER!$A$2:$B$4,2,FALSE),"")</f>
        <v>SKIIFM_AT</v>
      </c>
      <c r="F736" s="11" t="s">
        <v>58</v>
      </c>
      <c r="I736" s="11" t="str">
        <f>IF(DATA!B735&lt;&gt;"",DATA!B735,"")</f>
        <v>FCIU8041691</v>
      </c>
      <c r="J736" s="12">
        <v>0</v>
      </c>
      <c r="K736" s="11" t="s">
        <v>53</v>
      </c>
      <c r="L736" s="11" t="str">
        <f t="shared" si="48"/>
        <v>870899</v>
      </c>
      <c r="M736" s="11" t="str">
        <f>IF(I736&lt;&gt;"",DATA!E735,"")</f>
        <v>ORIGINAL RETRACTABLE CARGO COVER</v>
      </c>
      <c r="N736" s="12">
        <v>0</v>
      </c>
      <c r="O736" s="11">
        <f>IF(I736&lt;&gt;"",DATA!C735,"")</f>
        <v>20.7</v>
      </c>
      <c r="P736" s="2">
        <v>294094</v>
      </c>
      <c r="Q736" s="2" t="s">
        <v>1304</v>
      </c>
      <c r="R736" s="2" t="s">
        <v>1320</v>
      </c>
      <c r="S736" s="2">
        <v>579</v>
      </c>
      <c r="T736" s="2">
        <v>1</v>
      </c>
      <c r="U736" s="2" t="s">
        <v>141</v>
      </c>
      <c r="Y736" s="2">
        <v>1700</v>
      </c>
      <c r="Z736" s="11" t="s">
        <v>54</v>
      </c>
      <c r="AA736" s="11" t="str">
        <f t="shared" si="49"/>
        <v>1700 - TBN</v>
      </c>
      <c r="AC736" s="2" t="s">
        <v>145</v>
      </c>
      <c r="AD736" s="11" t="str">
        <f>IF($I736&lt;&gt;"",VLOOKUP($AC736,GEADRESSEERDE!$A$2:$E$4,2,),"")</f>
        <v>LUITHAGEN HAVEN 2 D</v>
      </c>
      <c r="AE736" s="11">
        <f>IF($I736&lt;&gt;"",VLOOKUP($AC736,GEADRESSEERDE!$A$2:$E$4,3,),"")</f>
        <v>2030</v>
      </c>
      <c r="AF736" s="11" t="str">
        <f>IF($I736&lt;&gt;"",VLOOKUP($AC736,GEADRESSEERDE!$A$2:$E$4,4,),"")</f>
        <v>ANTWERPEN</v>
      </c>
      <c r="AG736" s="11" t="str">
        <f>IF($I736&lt;&gt;"",VLOOKUP($AC736,GEADRESSEERDE!$A$2:$E$4,5,),"")</f>
        <v>BE</v>
      </c>
      <c r="AH736" s="11" t="str">
        <f>IF(I736&lt;&gt;"",VLOOKUP(AP736,KvB!$A$2:$B$3,2,FALSE),"")</f>
        <v>BE101000</v>
      </c>
      <c r="AI736" s="11" t="s">
        <v>55</v>
      </c>
      <c r="AJ736" s="11"/>
      <c r="AK736" s="11"/>
      <c r="AL736" s="11"/>
      <c r="AM736" s="11"/>
      <c r="AN736" s="11"/>
      <c r="AO736" s="11"/>
      <c r="AP736" s="2" t="s">
        <v>70</v>
      </c>
      <c r="AQ736" s="11" t="str">
        <f>IF(I736&lt;&gt;"",DATA!D735,"")</f>
        <v>8708999790</v>
      </c>
    </row>
    <row r="737" spans="1:43" ht="15.75" x14ac:dyDescent="0.25">
      <c r="A737" s="11" t="s">
        <v>57</v>
      </c>
      <c r="B737" s="11" t="s">
        <v>56</v>
      </c>
      <c r="C737" s="22">
        <f t="shared" si="50"/>
        <v>25001620</v>
      </c>
      <c r="D737" s="11" t="str">
        <f t="shared" si="47"/>
        <v>SKIIFM_AT</v>
      </c>
      <c r="E737" s="11" t="str">
        <f>IF(I737&lt;&gt;"",VLOOKUP(F737,OPDRACHTGEVER!$A$2:$B$4,2,FALSE),"")</f>
        <v>SKIIFM_AT</v>
      </c>
      <c r="F737" s="11" t="s">
        <v>58</v>
      </c>
      <c r="I737" s="11" t="str">
        <f>IF(DATA!B736&lt;&gt;"",DATA!B736,"")</f>
        <v>FCIU8041691</v>
      </c>
      <c r="J737" s="12">
        <v>0</v>
      </c>
      <c r="K737" s="11" t="s">
        <v>53</v>
      </c>
      <c r="L737" s="11" t="str">
        <f t="shared" si="48"/>
        <v>871680</v>
      </c>
      <c r="M737" s="11" t="str">
        <f>IF(I737&lt;&gt;"",DATA!E736,"")</f>
        <v>PALLET TRUCK</v>
      </c>
      <c r="N737" s="12">
        <v>0</v>
      </c>
      <c r="O737" s="11">
        <f>IF(I737&lt;&gt;"",DATA!C736,"")</f>
        <v>478.2</v>
      </c>
      <c r="P737" s="2">
        <v>294094</v>
      </c>
      <c r="Q737" s="2" t="s">
        <v>1304</v>
      </c>
      <c r="R737" s="2" t="s">
        <v>1320</v>
      </c>
      <c r="S737" s="2">
        <v>579</v>
      </c>
      <c r="T737" s="2">
        <v>1</v>
      </c>
      <c r="U737" s="2" t="s">
        <v>141</v>
      </c>
      <c r="Y737" s="2">
        <v>1700</v>
      </c>
      <c r="Z737" s="11" t="s">
        <v>54</v>
      </c>
      <c r="AA737" s="11" t="str">
        <f t="shared" si="49"/>
        <v>1700 - TBN</v>
      </c>
      <c r="AC737" s="2" t="s">
        <v>145</v>
      </c>
      <c r="AD737" s="11" t="str">
        <f>IF($I737&lt;&gt;"",VLOOKUP($AC737,GEADRESSEERDE!$A$2:$E$4,2,),"")</f>
        <v>LUITHAGEN HAVEN 2 D</v>
      </c>
      <c r="AE737" s="11">
        <f>IF($I737&lt;&gt;"",VLOOKUP($AC737,GEADRESSEERDE!$A$2:$E$4,3,),"")</f>
        <v>2030</v>
      </c>
      <c r="AF737" s="11" t="str">
        <f>IF($I737&lt;&gt;"",VLOOKUP($AC737,GEADRESSEERDE!$A$2:$E$4,4,),"")</f>
        <v>ANTWERPEN</v>
      </c>
      <c r="AG737" s="11" t="str">
        <f>IF($I737&lt;&gt;"",VLOOKUP($AC737,GEADRESSEERDE!$A$2:$E$4,5,),"")</f>
        <v>BE</v>
      </c>
      <c r="AH737" s="11" t="str">
        <f>IF(I737&lt;&gt;"",VLOOKUP(AP737,KvB!$A$2:$B$3,2,FALSE),"")</f>
        <v>BE101000</v>
      </c>
      <c r="AI737" s="11" t="s">
        <v>55</v>
      </c>
      <c r="AJ737" s="11"/>
      <c r="AK737" s="11"/>
      <c r="AL737" s="11"/>
      <c r="AM737" s="11"/>
      <c r="AN737" s="11"/>
      <c r="AO737" s="11"/>
      <c r="AP737" s="2" t="s">
        <v>70</v>
      </c>
      <c r="AQ737" s="11" t="str">
        <f>IF(I737&lt;&gt;"",DATA!D736,"")</f>
        <v>8716800000</v>
      </c>
    </row>
    <row r="738" spans="1:43" ht="15.75" x14ac:dyDescent="0.25">
      <c r="A738" s="11" t="s">
        <v>57</v>
      </c>
      <c r="B738" s="11" t="s">
        <v>56</v>
      </c>
      <c r="C738" s="22">
        <f t="shared" si="50"/>
        <v>25001620</v>
      </c>
      <c r="D738" s="11" t="str">
        <f t="shared" si="47"/>
        <v>SKIIFM_AT</v>
      </c>
      <c r="E738" s="11" t="str">
        <f>IF(I738&lt;&gt;"",VLOOKUP(F738,OPDRACHTGEVER!$A$2:$B$4,2,FALSE),"")</f>
        <v>SKIIFM_AT</v>
      </c>
      <c r="F738" s="11" t="s">
        <v>58</v>
      </c>
      <c r="I738" s="11" t="str">
        <f>IF(DATA!B737&lt;&gt;"",DATA!B737,"")</f>
        <v>FCIU8041691</v>
      </c>
      <c r="J738" s="12">
        <v>0</v>
      </c>
      <c r="K738" s="11" t="s">
        <v>53</v>
      </c>
      <c r="L738" s="11" t="str">
        <f t="shared" si="48"/>
        <v>844110</v>
      </c>
      <c r="M738" s="11" t="str">
        <f>IF(I738&lt;&gt;"",DATA!E737,"")</f>
        <v>PAPER CUTTER</v>
      </c>
      <c r="N738" s="12">
        <v>0</v>
      </c>
      <c r="O738" s="11">
        <f>IF(I738&lt;&gt;"",DATA!C737,"")</f>
        <v>308.7</v>
      </c>
      <c r="P738" s="2">
        <v>294094</v>
      </c>
      <c r="Q738" s="2" t="s">
        <v>1304</v>
      </c>
      <c r="R738" s="2" t="s">
        <v>1320</v>
      </c>
      <c r="S738" s="2">
        <v>579</v>
      </c>
      <c r="T738" s="2">
        <v>1</v>
      </c>
      <c r="U738" s="2" t="s">
        <v>141</v>
      </c>
      <c r="Y738" s="2">
        <v>1700</v>
      </c>
      <c r="Z738" s="11" t="s">
        <v>54</v>
      </c>
      <c r="AA738" s="11" t="str">
        <f t="shared" si="49"/>
        <v>1700 - TBN</v>
      </c>
      <c r="AC738" s="2" t="s">
        <v>145</v>
      </c>
      <c r="AD738" s="11" t="str">
        <f>IF($I738&lt;&gt;"",VLOOKUP($AC738,GEADRESSEERDE!$A$2:$E$4,2,),"")</f>
        <v>LUITHAGEN HAVEN 2 D</v>
      </c>
      <c r="AE738" s="11">
        <f>IF($I738&lt;&gt;"",VLOOKUP($AC738,GEADRESSEERDE!$A$2:$E$4,3,),"")</f>
        <v>2030</v>
      </c>
      <c r="AF738" s="11" t="str">
        <f>IF($I738&lt;&gt;"",VLOOKUP($AC738,GEADRESSEERDE!$A$2:$E$4,4,),"")</f>
        <v>ANTWERPEN</v>
      </c>
      <c r="AG738" s="11" t="str">
        <f>IF($I738&lt;&gt;"",VLOOKUP($AC738,GEADRESSEERDE!$A$2:$E$4,5,),"")</f>
        <v>BE</v>
      </c>
      <c r="AH738" s="11" t="str">
        <f>IF(I738&lt;&gt;"",VLOOKUP(AP738,KvB!$A$2:$B$3,2,FALSE),"")</f>
        <v>BE101000</v>
      </c>
      <c r="AI738" s="11" t="s">
        <v>55</v>
      </c>
      <c r="AJ738" s="11"/>
      <c r="AK738" s="11"/>
      <c r="AL738" s="11"/>
      <c r="AM738" s="11"/>
      <c r="AN738" s="11"/>
      <c r="AO738" s="11"/>
      <c r="AP738" s="2" t="s">
        <v>70</v>
      </c>
      <c r="AQ738" s="11" t="str">
        <f>IF(I738&lt;&gt;"",DATA!D737,"")</f>
        <v>8441107000</v>
      </c>
    </row>
    <row r="739" spans="1:43" ht="15.75" x14ac:dyDescent="0.25">
      <c r="A739" s="11" t="s">
        <v>57</v>
      </c>
      <c r="B739" s="11" t="s">
        <v>56</v>
      </c>
      <c r="C739" s="22">
        <f t="shared" si="50"/>
        <v>25001620</v>
      </c>
      <c r="D739" s="11" t="str">
        <f t="shared" si="47"/>
        <v>SKIIFM_AT</v>
      </c>
      <c r="E739" s="11" t="str">
        <f>IF(I739&lt;&gt;"",VLOOKUP(F739,OPDRACHTGEVER!$A$2:$B$4,2,FALSE),"")</f>
        <v>SKIIFM_AT</v>
      </c>
      <c r="F739" s="11" t="s">
        <v>58</v>
      </c>
      <c r="I739" s="11" t="str">
        <f>IF(DATA!B738&lt;&gt;"",DATA!B738,"")</f>
        <v>FCIU8041691</v>
      </c>
      <c r="J739" s="12">
        <v>0</v>
      </c>
      <c r="K739" s="11" t="s">
        <v>53</v>
      </c>
      <c r="L739" s="11" t="str">
        <f t="shared" si="48"/>
        <v>392690</v>
      </c>
      <c r="M739" s="11" t="str">
        <f>IF(I739&lt;&gt;"",DATA!E738,"")</f>
        <v>PARTS BOX</v>
      </c>
      <c r="N739" s="12">
        <v>0</v>
      </c>
      <c r="O739" s="11">
        <f>IF(I739&lt;&gt;"",DATA!C738,"")</f>
        <v>38.700000000000003</v>
      </c>
      <c r="P739" s="2">
        <v>294094</v>
      </c>
      <c r="Q739" s="2" t="s">
        <v>1304</v>
      </c>
      <c r="R739" s="2" t="s">
        <v>1320</v>
      </c>
      <c r="S739" s="2">
        <v>579</v>
      </c>
      <c r="T739" s="2">
        <v>1</v>
      </c>
      <c r="U739" s="2" t="s">
        <v>141</v>
      </c>
      <c r="Y739" s="2">
        <v>1700</v>
      </c>
      <c r="Z739" s="11" t="s">
        <v>54</v>
      </c>
      <c r="AA739" s="11" t="str">
        <f t="shared" si="49"/>
        <v>1700 - TBN</v>
      </c>
      <c r="AC739" s="2" t="s">
        <v>145</v>
      </c>
      <c r="AD739" s="11" t="str">
        <f>IF($I739&lt;&gt;"",VLOOKUP($AC739,GEADRESSEERDE!$A$2:$E$4,2,),"")</f>
        <v>LUITHAGEN HAVEN 2 D</v>
      </c>
      <c r="AE739" s="11">
        <f>IF($I739&lt;&gt;"",VLOOKUP($AC739,GEADRESSEERDE!$A$2:$E$4,3,),"")</f>
        <v>2030</v>
      </c>
      <c r="AF739" s="11" t="str">
        <f>IF($I739&lt;&gt;"",VLOOKUP($AC739,GEADRESSEERDE!$A$2:$E$4,4,),"")</f>
        <v>ANTWERPEN</v>
      </c>
      <c r="AG739" s="11" t="str">
        <f>IF($I739&lt;&gt;"",VLOOKUP($AC739,GEADRESSEERDE!$A$2:$E$4,5,),"")</f>
        <v>BE</v>
      </c>
      <c r="AH739" s="11" t="str">
        <f>IF(I739&lt;&gt;"",VLOOKUP(AP739,KvB!$A$2:$B$3,2,FALSE),"")</f>
        <v>BE101000</v>
      </c>
      <c r="AI739" s="11" t="s">
        <v>55</v>
      </c>
      <c r="AJ739" s="11"/>
      <c r="AK739" s="11"/>
      <c r="AL739" s="11"/>
      <c r="AM739" s="11"/>
      <c r="AN739" s="11"/>
      <c r="AO739" s="11"/>
      <c r="AP739" s="2" t="s">
        <v>70</v>
      </c>
      <c r="AQ739" s="11" t="str">
        <f>IF(I739&lt;&gt;"",DATA!D738,"")</f>
        <v>3926909790</v>
      </c>
    </row>
    <row r="740" spans="1:43" ht="15.75" x14ac:dyDescent="0.25">
      <c r="A740" s="11" t="s">
        <v>57</v>
      </c>
      <c r="B740" s="11" t="s">
        <v>56</v>
      </c>
      <c r="C740" s="22">
        <f t="shared" si="50"/>
        <v>25001620</v>
      </c>
      <c r="D740" s="11" t="str">
        <f t="shared" si="47"/>
        <v>SKIIFM_AT</v>
      </c>
      <c r="E740" s="11" t="str">
        <f>IF(I740&lt;&gt;"",VLOOKUP(F740,OPDRACHTGEVER!$A$2:$B$4,2,FALSE),"")</f>
        <v>SKIIFM_AT</v>
      </c>
      <c r="F740" s="11" t="s">
        <v>58</v>
      </c>
      <c r="I740" s="11" t="str">
        <f>IF(DATA!B739&lt;&gt;"",DATA!B739,"")</f>
        <v>FCIU8041691</v>
      </c>
      <c r="J740" s="12">
        <v>0</v>
      </c>
      <c r="K740" s="11" t="s">
        <v>53</v>
      </c>
      <c r="L740" s="11" t="str">
        <f t="shared" si="48"/>
        <v>820559</v>
      </c>
      <c r="M740" s="11" t="str">
        <f>IF(I740&lt;&gt;"",DATA!E739,"")</f>
        <v>PORTABLE TIRE INFLATOR</v>
      </c>
      <c r="N740" s="12">
        <v>0</v>
      </c>
      <c r="O740" s="11">
        <f>IF(I740&lt;&gt;"",DATA!C739,"")</f>
        <v>76.5</v>
      </c>
      <c r="P740" s="2">
        <v>294094</v>
      </c>
      <c r="Q740" s="2" t="s">
        <v>1304</v>
      </c>
      <c r="R740" s="2" t="s">
        <v>1320</v>
      </c>
      <c r="S740" s="2">
        <v>579</v>
      </c>
      <c r="T740" s="2">
        <v>1</v>
      </c>
      <c r="U740" s="2" t="s">
        <v>141</v>
      </c>
      <c r="Y740" s="2">
        <v>1700</v>
      </c>
      <c r="Z740" s="11" t="s">
        <v>54</v>
      </c>
      <c r="AA740" s="11" t="str">
        <f t="shared" si="49"/>
        <v>1700 - TBN</v>
      </c>
      <c r="AC740" s="2" t="s">
        <v>145</v>
      </c>
      <c r="AD740" s="11" t="str">
        <f>IF($I740&lt;&gt;"",VLOOKUP($AC740,GEADRESSEERDE!$A$2:$E$4,2,),"")</f>
        <v>LUITHAGEN HAVEN 2 D</v>
      </c>
      <c r="AE740" s="11">
        <f>IF($I740&lt;&gt;"",VLOOKUP($AC740,GEADRESSEERDE!$A$2:$E$4,3,),"")</f>
        <v>2030</v>
      </c>
      <c r="AF740" s="11" t="str">
        <f>IF($I740&lt;&gt;"",VLOOKUP($AC740,GEADRESSEERDE!$A$2:$E$4,4,),"")</f>
        <v>ANTWERPEN</v>
      </c>
      <c r="AG740" s="11" t="str">
        <f>IF($I740&lt;&gt;"",VLOOKUP($AC740,GEADRESSEERDE!$A$2:$E$4,5,),"")</f>
        <v>BE</v>
      </c>
      <c r="AH740" s="11" t="str">
        <f>IF(I740&lt;&gt;"",VLOOKUP(AP740,KvB!$A$2:$B$3,2,FALSE),"")</f>
        <v>BE101000</v>
      </c>
      <c r="AI740" s="11" t="s">
        <v>55</v>
      </c>
      <c r="AJ740" s="11"/>
      <c r="AK740" s="11"/>
      <c r="AL740" s="11"/>
      <c r="AM740" s="11"/>
      <c r="AN740" s="11"/>
      <c r="AO740" s="11"/>
      <c r="AP740" s="2" t="s">
        <v>70</v>
      </c>
      <c r="AQ740" s="11" t="str">
        <f>IF(I740&lt;&gt;"",DATA!D739,"")</f>
        <v>8205598000</v>
      </c>
    </row>
    <row r="741" spans="1:43" ht="15.75" x14ac:dyDescent="0.25">
      <c r="A741" s="11" t="s">
        <v>57</v>
      </c>
      <c r="B741" s="11" t="s">
        <v>56</v>
      </c>
      <c r="C741" s="22">
        <f t="shared" si="50"/>
        <v>25001620</v>
      </c>
      <c r="D741" s="11" t="str">
        <f t="shared" si="47"/>
        <v>SKIIFM_AT</v>
      </c>
      <c r="E741" s="11" t="str">
        <f>IF(I741&lt;&gt;"",VLOOKUP(F741,OPDRACHTGEVER!$A$2:$B$4,2,FALSE),"")</f>
        <v>SKIIFM_AT</v>
      </c>
      <c r="F741" s="11" t="s">
        <v>58</v>
      </c>
      <c r="I741" s="11" t="str">
        <f>IF(DATA!B740&lt;&gt;"",DATA!B740,"")</f>
        <v>FCIU8041691</v>
      </c>
      <c r="J741" s="12">
        <v>0</v>
      </c>
      <c r="K741" s="11" t="s">
        <v>53</v>
      </c>
      <c r="L741" s="11" t="str">
        <f t="shared" si="48"/>
        <v>841420</v>
      </c>
      <c r="M741" s="11" t="str">
        <f>IF(I741&lt;&gt;"",DATA!E740,"")</f>
        <v>PUMP</v>
      </c>
      <c r="N741" s="12">
        <v>0</v>
      </c>
      <c r="O741" s="11">
        <f>IF(I741&lt;&gt;"",DATA!C740,"")</f>
        <v>14.1</v>
      </c>
      <c r="P741" s="2">
        <v>294094</v>
      </c>
      <c r="Q741" s="2" t="s">
        <v>1304</v>
      </c>
      <c r="R741" s="2" t="s">
        <v>1320</v>
      </c>
      <c r="S741" s="2">
        <v>579</v>
      </c>
      <c r="T741" s="2">
        <v>1</v>
      </c>
      <c r="U741" s="2" t="s">
        <v>141</v>
      </c>
      <c r="Y741" s="2">
        <v>1700</v>
      </c>
      <c r="Z741" s="11" t="s">
        <v>54</v>
      </c>
      <c r="AA741" s="11" t="str">
        <f t="shared" si="49"/>
        <v>1700 - TBN</v>
      </c>
      <c r="AC741" s="2" t="s">
        <v>145</v>
      </c>
      <c r="AD741" s="11" t="str">
        <f>IF($I741&lt;&gt;"",VLOOKUP($AC741,GEADRESSEERDE!$A$2:$E$4,2,),"")</f>
        <v>LUITHAGEN HAVEN 2 D</v>
      </c>
      <c r="AE741" s="11">
        <f>IF($I741&lt;&gt;"",VLOOKUP($AC741,GEADRESSEERDE!$A$2:$E$4,3,),"")</f>
        <v>2030</v>
      </c>
      <c r="AF741" s="11" t="str">
        <f>IF($I741&lt;&gt;"",VLOOKUP($AC741,GEADRESSEERDE!$A$2:$E$4,4,),"")</f>
        <v>ANTWERPEN</v>
      </c>
      <c r="AG741" s="11" t="str">
        <f>IF($I741&lt;&gt;"",VLOOKUP($AC741,GEADRESSEERDE!$A$2:$E$4,5,),"")</f>
        <v>BE</v>
      </c>
      <c r="AH741" s="11" t="str">
        <f>IF(I741&lt;&gt;"",VLOOKUP(AP741,KvB!$A$2:$B$3,2,FALSE),"")</f>
        <v>BE101000</v>
      </c>
      <c r="AI741" s="11" t="s">
        <v>55</v>
      </c>
      <c r="AJ741" s="11"/>
      <c r="AK741" s="11"/>
      <c r="AL741" s="11"/>
      <c r="AM741" s="11"/>
      <c r="AN741" s="11"/>
      <c r="AO741" s="11"/>
      <c r="AP741" s="2" t="s">
        <v>70</v>
      </c>
      <c r="AQ741" s="11" t="str">
        <f>IF(I741&lt;&gt;"",DATA!D740,"")</f>
        <v>8414208090</v>
      </c>
    </row>
    <row r="742" spans="1:43" ht="15.75" x14ac:dyDescent="0.25">
      <c r="A742" s="11" t="s">
        <v>57</v>
      </c>
      <c r="B742" s="11" t="s">
        <v>56</v>
      </c>
      <c r="C742" s="22">
        <f t="shared" si="50"/>
        <v>25001620</v>
      </c>
      <c r="D742" s="11" t="str">
        <f t="shared" si="47"/>
        <v>SKIIFM_AT</v>
      </c>
      <c r="E742" s="11" t="str">
        <f>IF(I742&lt;&gt;"",VLOOKUP(F742,OPDRACHTGEVER!$A$2:$B$4,2,FALSE),"")</f>
        <v>SKIIFM_AT</v>
      </c>
      <c r="F742" s="11" t="s">
        <v>58</v>
      </c>
      <c r="I742" s="11" t="str">
        <f>IF(DATA!B741&lt;&gt;"",DATA!B741,"")</f>
        <v>FCIU8041691</v>
      </c>
      <c r="J742" s="12">
        <v>0</v>
      </c>
      <c r="K742" s="11" t="s">
        <v>53</v>
      </c>
      <c r="L742" s="11" t="str">
        <f t="shared" si="48"/>
        <v>741920</v>
      </c>
      <c r="M742" s="11" t="str">
        <f>IF(I742&lt;&gt;"",DATA!E741,"")</f>
        <v>QUEUE LINE PROTECT</v>
      </c>
      <c r="N742" s="12">
        <v>0</v>
      </c>
      <c r="O742" s="11">
        <f>IF(I742&lt;&gt;"",DATA!C741,"")</f>
        <v>832.6</v>
      </c>
      <c r="P742" s="2">
        <v>294094</v>
      </c>
      <c r="Q742" s="2" t="s">
        <v>1304</v>
      </c>
      <c r="R742" s="2" t="s">
        <v>1320</v>
      </c>
      <c r="S742" s="2">
        <v>579</v>
      </c>
      <c r="T742" s="2">
        <v>1</v>
      </c>
      <c r="U742" s="2" t="s">
        <v>141</v>
      </c>
      <c r="Y742" s="2">
        <v>1700</v>
      </c>
      <c r="Z742" s="11" t="s">
        <v>54</v>
      </c>
      <c r="AA742" s="11" t="str">
        <f t="shared" si="49"/>
        <v>1700 - TBN</v>
      </c>
      <c r="AC742" s="2" t="s">
        <v>145</v>
      </c>
      <c r="AD742" s="11" t="str">
        <f>IF($I742&lt;&gt;"",VLOOKUP($AC742,GEADRESSEERDE!$A$2:$E$4,2,),"")</f>
        <v>LUITHAGEN HAVEN 2 D</v>
      </c>
      <c r="AE742" s="11">
        <f>IF($I742&lt;&gt;"",VLOOKUP($AC742,GEADRESSEERDE!$A$2:$E$4,3,),"")</f>
        <v>2030</v>
      </c>
      <c r="AF742" s="11" t="str">
        <f>IF($I742&lt;&gt;"",VLOOKUP($AC742,GEADRESSEERDE!$A$2:$E$4,4,),"")</f>
        <v>ANTWERPEN</v>
      </c>
      <c r="AG742" s="11" t="str">
        <f>IF($I742&lt;&gt;"",VLOOKUP($AC742,GEADRESSEERDE!$A$2:$E$4,5,),"")</f>
        <v>BE</v>
      </c>
      <c r="AH742" s="11" t="str">
        <f>IF(I742&lt;&gt;"",VLOOKUP(AP742,KvB!$A$2:$B$3,2,FALSE),"")</f>
        <v>BE101000</v>
      </c>
      <c r="AI742" s="11" t="s">
        <v>55</v>
      </c>
      <c r="AJ742" s="11"/>
      <c r="AK742" s="11"/>
      <c r="AL742" s="11"/>
      <c r="AM742" s="11"/>
      <c r="AN742" s="11"/>
      <c r="AO742" s="11"/>
      <c r="AP742" s="2" t="s">
        <v>70</v>
      </c>
      <c r="AQ742" s="11" t="str">
        <f>IF(I742&lt;&gt;"",DATA!D741,"")</f>
        <v>7419200090</v>
      </c>
    </row>
    <row r="743" spans="1:43" ht="15.75" x14ac:dyDescent="0.25">
      <c r="A743" s="11" t="s">
        <v>57</v>
      </c>
      <c r="B743" s="11" t="s">
        <v>56</v>
      </c>
      <c r="C743" s="22">
        <f t="shared" si="50"/>
        <v>25001620</v>
      </c>
      <c r="D743" s="11" t="str">
        <f t="shared" si="47"/>
        <v>SKIIFM_AT</v>
      </c>
      <c r="E743" s="11" t="str">
        <f>IF(I743&lt;&gt;"",VLOOKUP(F743,OPDRACHTGEVER!$A$2:$B$4,2,FALSE),"")</f>
        <v>SKIIFM_AT</v>
      </c>
      <c r="F743" s="11" t="s">
        <v>58</v>
      </c>
      <c r="I743" s="11" t="str">
        <f>IF(DATA!B742&lt;&gt;"",DATA!B742,"")</f>
        <v>FCIU8041691</v>
      </c>
      <c r="J743" s="12">
        <v>0</v>
      </c>
      <c r="K743" s="11" t="s">
        <v>53</v>
      </c>
      <c r="L743" s="11" t="str">
        <f t="shared" si="48"/>
        <v>870829</v>
      </c>
      <c r="M743" s="11" t="str">
        <f>IF(I743&lt;&gt;"",DATA!E742,"")</f>
        <v>REAR DOOR MAT OF TRUCK</v>
      </c>
      <c r="N743" s="12">
        <v>0</v>
      </c>
      <c r="O743" s="11">
        <f>IF(I743&lt;&gt;"",DATA!C742,"")</f>
        <v>12</v>
      </c>
      <c r="P743" s="2">
        <v>294094</v>
      </c>
      <c r="Q743" s="2" t="s">
        <v>1304</v>
      </c>
      <c r="R743" s="2" t="s">
        <v>1320</v>
      </c>
      <c r="S743" s="2">
        <v>579</v>
      </c>
      <c r="T743" s="2">
        <v>1</v>
      </c>
      <c r="U743" s="2" t="s">
        <v>141</v>
      </c>
      <c r="Y743" s="2">
        <v>1700</v>
      </c>
      <c r="Z743" s="11" t="s">
        <v>54</v>
      </c>
      <c r="AA743" s="11" t="str">
        <f t="shared" si="49"/>
        <v>1700 - TBN</v>
      </c>
      <c r="AC743" s="2" t="s">
        <v>145</v>
      </c>
      <c r="AD743" s="11" t="str">
        <f>IF($I743&lt;&gt;"",VLOOKUP($AC743,GEADRESSEERDE!$A$2:$E$4,2,),"")</f>
        <v>LUITHAGEN HAVEN 2 D</v>
      </c>
      <c r="AE743" s="11">
        <f>IF($I743&lt;&gt;"",VLOOKUP($AC743,GEADRESSEERDE!$A$2:$E$4,3,),"")</f>
        <v>2030</v>
      </c>
      <c r="AF743" s="11" t="str">
        <f>IF($I743&lt;&gt;"",VLOOKUP($AC743,GEADRESSEERDE!$A$2:$E$4,4,),"")</f>
        <v>ANTWERPEN</v>
      </c>
      <c r="AG743" s="11" t="str">
        <f>IF($I743&lt;&gt;"",VLOOKUP($AC743,GEADRESSEERDE!$A$2:$E$4,5,),"")</f>
        <v>BE</v>
      </c>
      <c r="AH743" s="11" t="str">
        <f>IF(I743&lt;&gt;"",VLOOKUP(AP743,KvB!$A$2:$B$3,2,FALSE),"")</f>
        <v>BE101000</v>
      </c>
      <c r="AI743" s="11" t="s">
        <v>55</v>
      </c>
      <c r="AJ743" s="11"/>
      <c r="AK743" s="11"/>
      <c r="AL743" s="11"/>
      <c r="AM743" s="11"/>
      <c r="AN743" s="11"/>
      <c r="AO743" s="11"/>
      <c r="AP743" s="2" t="s">
        <v>70</v>
      </c>
      <c r="AQ743" s="11" t="str">
        <f>IF(I743&lt;&gt;"",DATA!D742,"")</f>
        <v>8708299000</v>
      </c>
    </row>
    <row r="744" spans="1:43" ht="15.75" x14ac:dyDescent="0.25">
      <c r="A744" s="11" t="s">
        <v>57</v>
      </c>
      <c r="B744" s="11" t="s">
        <v>56</v>
      </c>
      <c r="C744" s="22">
        <f t="shared" si="50"/>
        <v>25001620</v>
      </c>
      <c r="D744" s="11" t="str">
        <f t="shared" si="47"/>
        <v>SKIIFM_AT</v>
      </c>
      <c r="E744" s="11" t="str">
        <f>IF(I744&lt;&gt;"",VLOOKUP(F744,OPDRACHTGEVER!$A$2:$B$4,2,FALSE),"")</f>
        <v>SKIIFM_AT</v>
      </c>
      <c r="F744" s="11" t="s">
        <v>58</v>
      </c>
      <c r="I744" s="11" t="str">
        <f>IF(DATA!B743&lt;&gt;"",DATA!B743,"")</f>
        <v>FCIU8041691</v>
      </c>
      <c r="J744" s="12">
        <v>0</v>
      </c>
      <c r="K744" s="11" t="s">
        <v>53</v>
      </c>
      <c r="L744" s="11" t="str">
        <f t="shared" si="48"/>
        <v>841451</v>
      </c>
      <c r="M744" s="11" t="str">
        <f>IF(I744&lt;&gt;"",DATA!E743,"")</f>
        <v>ROOF EXHAUST FAN</v>
      </c>
      <c r="N744" s="12">
        <v>0</v>
      </c>
      <c r="O744" s="11">
        <f>IF(I744&lt;&gt;"",DATA!C743,"")</f>
        <v>70.8</v>
      </c>
      <c r="P744" s="2">
        <v>294094</v>
      </c>
      <c r="Q744" s="2" t="s">
        <v>1304</v>
      </c>
      <c r="R744" s="2" t="s">
        <v>1320</v>
      </c>
      <c r="S744" s="2">
        <v>579</v>
      </c>
      <c r="T744" s="2">
        <v>1</v>
      </c>
      <c r="U744" s="2" t="s">
        <v>141</v>
      </c>
      <c r="Y744" s="2">
        <v>1700</v>
      </c>
      <c r="Z744" s="11" t="s">
        <v>54</v>
      </c>
      <c r="AA744" s="11" t="str">
        <f t="shared" si="49"/>
        <v>1700 - TBN</v>
      </c>
      <c r="AC744" s="2" t="s">
        <v>145</v>
      </c>
      <c r="AD744" s="11" t="str">
        <f>IF($I744&lt;&gt;"",VLOOKUP($AC744,GEADRESSEERDE!$A$2:$E$4,2,),"")</f>
        <v>LUITHAGEN HAVEN 2 D</v>
      </c>
      <c r="AE744" s="11">
        <f>IF($I744&lt;&gt;"",VLOOKUP($AC744,GEADRESSEERDE!$A$2:$E$4,3,),"")</f>
        <v>2030</v>
      </c>
      <c r="AF744" s="11" t="str">
        <f>IF($I744&lt;&gt;"",VLOOKUP($AC744,GEADRESSEERDE!$A$2:$E$4,4,),"")</f>
        <v>ANTWERPEN</v>
      </c>
      <c r="AG744" s="11" t="str">
        <f>IF($I744&lt;&gt;"",VLOOKUP($AC744,GEADRESSEERDE!$A$2:$E$4,5,),"")</f>
        <v>BE</v>
      </c>
      <c r="AH744" s="11" t="str">
        <f>IF(I744&lt;&gt;"",VLOOKUP(AP744,KvB!$A$2:$B$3,2,FALSE),"")</f>
        <v>BE101000</v>
      </c>
      <c r="AI744" s="11" t="s">
        <v>55</v>
      </c>
      <c r="AJ744" s="11"/>
      <c r="AK744" s="11"/>
      <c r="AL744" s="11"/>
      <c r="AM744" s="11"/>
      <c r="AN744" s="11"/>
      <c r="AO744" s="11"/>
      <c r="AP744" s="2" t="s">
        <v>70</v>
      </c>
      <c r="AQ744" s="11" t="str">
        <f>IF(I744&lt;&gt;"",DATA!D743,"")</f>
        <v>8414510090</v>
      </c>
    </row>
    <row r="745" spans="1:43" ht="15.75" x14ac:dyDescent="0.25">
      <c r="A745" s="11" t="s">
        <v>57</v>
      </c>
      <c r="B745" s="11" t="s">
        <v>56</v>
      </c>
      <c r="C745" s="22">
        <f t="shared" si="50"/>
        <v>25001620</v>
      </c>
      <c r="D745" s="11" t="str">
        <f t="shared" si="47"/>
        <v>SKIIFM_AT</v>
      </c>
      <c r="E745" s="11" t="str">
        <f>IF(I745&lt;&gt;"",VLOOKUP(F745,OPDRACHTGEVER!$A$2:$B$4,2,FALSE),"")</f>
        <v>SKIIFM_AT</v>
      </c>
      <c r="F745" s="11" t="s">
        <v>58</v>
      </c>
      <c r="I745" s="11" t="str">
        <f>IF(DATA!B744&lt;&gt;"",DATA!B744,"")</f>
        <v>FCIU8041691</v>
      </c>
      <c r="J745" s="12">
        <v>0</v>
      </c>
      <c r="K745" s="11" t="s">
        <v>53</v>
      </c>
      <c r="L745" s="11" t="str">
        <f t="shared" si="48"/>
        <v>741920</v>
      </c>
      <c r="M745" s="11" t="str">
        <f>IF(I745&lt;&gt;"",DATA!E744,"")</f>
        <v>SAFETY HANDRAIL</v>
      </c>
      <c r="N745" s="12">
        <v>0</v>
      </c>
      <c r="O745" s="11">
        <f>IF(I745&lt;&gt;"",DATA!C744,"")</f>
        <v>144.6</v>
      </c>
      <c r="P745" s="2">
        <v>294094</v>
      </c>
      <c r="Q745" s="2" t="s">
        <v>1304</v>
      </c>
      <c r="R745" s="2" t="s">
        <v>1320</v>
      </c>
      <c r="S745" s="2">
        <v>579</v>
      </c>
      <c r="T745" s="2">
        <v>1</v>
      </c>
      <c r="U745" s="2" t="s">
        <v>141</v>
      </c>
      <c r="Y745" s="2">
        <v>1700</v>
      </c>
      <c r="Z745" s="11" t="s">
        <v>54</v>
      </c>
      <c r="AA745" s="11" t="str">
        <f t="shared" si="49"/>
        <v>1700 - TBN</v>
      </c>
      <c r="AC745" s="2" t="s">
        <v>145</v>
      </c>
      <c r="AD745" s="11" t="str">
        <f>IF($I745&lt;&gt;"",VLOOKUP($AC745,GEADRESSEERDE!$A$2:$E$4,2,),"")</f>
        <v>LUITHAGEN HAVEN 2 D</v>
      </c>
      <c r="AE745" s="11">
        <f>IF($I745&lt;&gt;"",VLOOKUP($AC745,GEADRESSEERDE!$A$2:$E$4,3,),"")</f>
        <v>2030</v>
      </c>
      <c r="AF745" s="11" t="str">
        <f>IF($I745&lt;&gt;"",VLOOKUP($AC745,GEADRESSEERDE!$A$2:$E$4,4,),"")</f>
        <v>ANTWERPEN</v>
      </c>
      <c r="AG745" s="11" t="str">
        <f>IF($I745&lt;&gt;"",VLOOKUP($AC745,GEADRESSEERDE!$A$2:$E$4,5,),"")</f>
        <v>BE</v>
      </c>
      <c r="AH745" s="11" t="str">
        <f>IF(I745&lt;&gt;"",VLOOKUP(AP745,KvB!$A$2:$B$3,2,FALSE),"")</f>
        <v>BE101000</v>
      </c>
      <c r="AI745" s="11" t="s">
        <v>55</v>
      </c>
      <c r="AJ745" s="11"/>
      <c r="AK745" s="11"/>
      <c r="AL745" s="11"/>
      <c r="AM745" s="11"/>
      <c r="AN745" s="11"/>
      <c r="AO745" s="11"/>
      <c r="AP745" s="2" t="s">
        <v>70</v>
      </c>
      <c r="AQ745" s="11" t="str">
        <f>IF(I745&lt;&gt;"",DATA!D744,"")</f>
        <v>7419200090</v>
      </c>
    </row>
    <row r="746" spans="1:43" ht="15.75" x14ac:dyDescent="0.25">
      <c r="A746" s="11" t="s">
        <v>57</v>
      </c>
      <c r="B746" s="11" t="s">
        <v>56</v>
      </c>
      <c r="C746" s="22">
        <f t="shared" si="50"/>
        <v>25001620</v>
      </c>
      <c r="D746" s="11" t="str">
        <f t="shared" si="47"/>
        <v>SKIIFM_AT</v>
      </c>
      <c r="E746" s="11" t="str">
        <f>IF(I746&lt;&gt;"",VLOOKUP(F746,OPDRACHTGEVER!$A$2:$B$4,2,FALSE),"")</f>
        <v>SKIIFM_AT</v>
      </c>
      <c r="F746" s="11" t="s">
        <v>58</v>
      </c>
      <c r="I746" s="11" t="str">
        <f>IF(DATA!B745&lt;&gt;"",DATA!B745,"")</f>
        <v>FCIU8041691</v>
      </c>
      <c r="J746" s="12">
        <v>0</v>
      </c>
      <c r="K746" s="11" t="s">
        <v>53</v>
      </c>
      <c r="L746" s="11" t="str">
        <f t="shared" si="48"/>
        <v>570190</v>
      </c>
      <c r="M746" s="11" t="str">
        <f>IF(I746&lt;&gt;"",DATA!E745,"")</f>
        <v>SELF ADHESIVE CARPET TILES</v>
      </c>
      <c r="N746" s="12">
        <v>0</v>
      </c>
      <c r="O746" s="11">
        <f>IF(I746&lt;&gt;"",DATA!C745,"")</f>
        <v>12.8</v>
      </c>
      <c r="P746" s="2">
        <v>294094</v>
      </c>
      <c r="Q746" s="2" t="s">
        <v>1304</v>
      </c>
      <c r="R746" s="2" t="s">
        <v>1320</v>
      </c>
      <c r="S746" s="2">
        <v>579</v>
      </c>
      <c r="T746" s="2">
        <v>1</v>
      </c>
      <c r="U746" s="2" t="s">
        <v>141</v>
      </c>
      <c r="Y746" s="2">
        <v>1700</v>
      </c>
      <c r="Z746" s="11" t="s">
        <v>54</v>
      </c>
      <c r="AA746" s="11" t="str">
        <f t="shared" si="49"/>
        <v>1700 - TBN</v>
      </c>
      <c r="AC746" s="2" t="s">
        <v>145</v>
      </c>
      <c r="AD746" s="11" t="str">
        <f>IF($I746&lt;&gt;"",VLOOKUP($AC746,GEADRESSEERDE!$A$2:$E$4,2,),"")</f>
        <v>LUITHAGEN HAVEN 2 D</v>
      </c>
      <c r="AE746" s="11">
        <f>IF($I746&lt;&gt;"",VLOOKUP($AC746,GEADRESSEERDE!$A$2:$E$4,3,),"")</f>
        <v>2030</v>
      </c>
      <c r="AF746" s="11" t="str">
        <f>IF($I746&lt;&gt;"",VLOOKUP($AC746,GEADRESSEERDE!$A$2:$E$4,4,),"")</f>
        <v>ANTWERPEN</v>
      </c>
      <c r="AG746" s="11" t="str">
        <f>IF($I746&lt;&gt;"",VLOOKUP($AC746,GEADRESSEERDE!$A$2:$E$4,5,),"")</f>
        <v>BE</v>
      </c>
      <c r="AH746" s="11" t="str">
        <f>IF(I746&lt;&gt;"",VLOOKUP(AP746,KvB!$A$2:$B$3,2,FALSE),"")</f>
        <v>BE101000</v>
      </c>
      <c r="AI746" s="11" t="s">
        <v>55</v>
      </c>
      <c r="AJ746" s="11"/>
      <c r="AK746" s="11"/>
      <c r="AL746" s="11"/>
      <c r="AM746" s="11"/>
      <c r="AN746" s="11"/>
      <c r="AO746" s="11"/>
      <c r="AP746" s="2" t="s">
        <v>70</v>
      </c>
      <c r="AQ746" s="11" t="str">
        <f>IF(I746&lt;&gt;"",DATA!D745,"")</f>
        <v>5701909090</v>
      </c>
    </row>
    <row r="747" spans="1:43" ht="15.75" x14ac:dyDescent="0.25">
      <c r="A747" s="11" t="s">
        <v>57</v>
      </c>
      <c r="B747" s="11" t="s">
        <v>56</v>
      </c>
      <c r="C747" s="22">
        <f t="shared" si="50"/>
        <v>25001620</v>
      </c>
      <c r="D747" s="11" t="str">
        <f t="shared" si="47"/>
        <v>SKIIFM_AT</v>
      </c>
      <c r="E747" s="11" t="str">
        <f>IF(I747&lt;&gt;"",VLOOKUP(F747,OPDRACHTGEVER!$A$2:$B$4,2,FALSE),"")</f>
        <v>SKIIFM_AT</v>
      </c>
      <c r="F747" s="11" t="s">
        <v>58</v>
      </c>
      <c r="I747" s="11" t="str">
        <f>IF(DATA!B746&lt;&gt;"",DATA!B746,"")</f>
        <v>FCIU8041691</v>
      </c>
      <c r="J747" s="12">
        <v>0</v>
      </c>
      <c r="K747" s="11" t="s">
        <v>53</v>
      </c>
      <c r="L747" s="11" t="str">
        <f t="shared" si="48"/>
        <v>392113</v>
      </c>
      <c r="M747" s="11" t="str">
        <f>IF(I747&lt;&gt;"",DATA!E746,"")</f>
        <v>SELF-ADHESIVE ACOUSTIC FOAM PANELS</v>
      </c>
      <c r="N747" s="12">
        <v>0</v>
      </c>
      <c r="O747" s="11">
        <f>IF(I747&lt;&gt;"",DATA!C746,"")</f>
        <v>39.6</v>
      </c>
      <c r="P747" s="2">
        <v>294094</v>
      </c>
      <c r="Q747" s="2" t="s">
        <v>1304</v>
      </c>
      <c r="R747" s="2" t="s">
        <v>1320</v>
      </c>
      <c r="S747" s="2">
        <v>579</v>
      </c>
      <c r="T747" s="2">
        <v>1</v>
      </c>
      <c r="U747" s="2" t="s">
        <v>141</v>
      </c>
      <c r="Y747" s="2">
        <v>1700</v>
      </c>
      <c r="Z747" s="11" t="s">
        <v>54</v>
      </c>
      <c r="AA747" s="11" t="str">
        <f t="shared" si="49"/>
        <v>1700 - TBN</v>
      </c>
      <c r="AC747" s="2" t="s">
        <v>145</v>
      </c>
      <c r="AD747" s="11" t="str">
        <f>IF($I747&lt;&gt;"",VLOOKUP($AC747,GEADRESSEERDE!$A$2:$E$4,2,),"")</f>
        <v>LUITHAGEN HAVEN 2 D</v>
      </c>
      <c r="AE747" s="11">
        <f>IF($I747&lt;&gt;"",VLOOKUP($AC747,GEADRESSEERDE!$A$2:$E$4,3,),"")</f>
        <v>2030</v>
      </c>
      <c r="AF747" s="11" t="str">
        <f>IF($I747&lt;&gt;"",VLOOKUP($AC747,GEADRESSEERDE!$A$2:$E$4,4,),"")</f>
        <v>ANTWERPEN</v>
      </c>
      <c r="AG747" s="11" t="str">
        <f>IF($I747&lt;&gt;"",VLOOKUP($AC747,GEADRESSEERDE!$A$2:$E$4,5,),"")</f>
        <v>BE</v>
      </c>
      <c r="AH747" s="11" t="str">
        <f>IF(I747&lt;&gt;"",VLOOKUP(AP747,KvB!$A$2:$B$3,2,FALSE),"")</f>
        <v>BE101000</v>
      </c>
      <c r="AI747" s="11" t="s">
        <v>55</v>
      </c>
      <c r="AJ747" s="11"/>
      <c r="AK747" s="11"/>
      <c r="AL747" s="11"/>
      <c r="AM747" s="11"/>
      <c r="AN747" s="11"/>
      <c r="AO747" s="11"/>
      <c r="AP747" s="2" t="s">
        <v>70</v>
      </c>
      <c r="AQ747" s="11" t="str">
        <f>IF(I747&lt;&gt;"",DATA!D746,"")</f>
        <v>3921139000</v>
      </c>
    </row>
    <row r="748" spans="1:43" ht="15.75" x14ac:dyDescent="0.25">
      <c r="A748" s="11" t="s">
        <v>57</v>
      </c>
      <c r="B748" s="11" t="s">
        <v>56</v>
      </c>
      <c r="C748" s="22">
        <f t="shared" si="50"/>
        <v>25001620</v>
      </c>
      <c r="D748" s="11" t="str">
        <f t="shared" si="47"/>
        <v>SKIIFM_AT</v>
      </c>
      <c r="E748" s="11" t="str">
        <f>IF(I748&lt;&gt;"",VLOOKUP(F748,OPDRACHTGEVER!$A$2:$B$4,2,FALSE),"")</f>
        <v>SKIIFM_AT</v>
      </c>
      <c r="F748" s="11" t="s">
        <v>58</v>
      </c>
      <c r="I748" s="11" t="str">
        <f>IF(DATA!B747&lt;&gt;"",DATA!B747,"")</f>
        <v>FCIU8041691</v>
      </c>
      <c r="J748" s="12">
        <v>0</v>
      </c>
      <c r="K748" s="11" t="s">
        <v>53</v>
      </c>
      <c r="L748" s="11" t="str">
        <f t="shared" si="48"/>
        <v>847989</v>
      </c>
      <c r="M748" s="11" t="str">
        <f>IF(I748&lt;&gt;"",DATA!E747,"")</f>
        <v>SIDE MOUNTED BOAT THROTTLE CONTROLLER</v>
      </c>
      <c r="N748" s="12">
        <v>0</v>
      </c>
      <c r="O748" s="11">
        <f>IF(I748&lt;&gt;"",DATA!C747,"")</f>
        <v>24.85</v>
      </c>
      <c r="P748" s="2">
        <v>294094</v>
      </c>
      <c r="Q748" s="2" t="s">
        <v>1304</v>
      </c>
      <c r="R748" s="2" t="s">
        <v>1320</v>
      </c>
      <c r="S748" s="2">
        <v>579</v>
      </c>
      <c r="T748" s="2">
        <v>1</v>
      </c>
      <c r="U748" s="2" t="s">
        <v>141</v>
      </c>
      <c r="Y748" s="2">
        <v>1700</v>
      </c>
      <c r="Z748" s="11" t="s">
        <v>54</v>
      </c>
      <c r="AA748" s="11" t="str">
        <f t="shared" si="49"/>
        <v>1700 - TBN</v>
      </c>
      <c r="AC748" s="2" t="s">
        <v>145</v>
      </c>
      <c r="AD748" s="11" t="str">
        <f>IF($I748&lt;&gt;"",VLOOKUP($AC748,GEADRESSEERDE!$A$2:$E$4,2,),"")</f>
        <v>LUITHAGEN HAVEN 2 D</v>
      </c>
      <c r="AE748" s="11">
        <f>IF($I748&lt;&gt;"",VLOOKUP($AC748,GEADRESSEERDE!$A$2:$E$4,3,),"")</f>
        <v>2030</v>
      </c>
      <c r="AF748" s="11" t="str">
        <f>IF($I748&lt;&gt;"",VLOOKUP($AC748,GEADRESSEERDE!$A$2:$E$4,4,),"")</f>
        <v>ANTWERPEN</v>
      </c>
      <c r="AG748" s="11" t="str">
        <f>IF($I748&lt;&gt;"",VLOOKUP($AC748,GEADRESSEERDE!$A$2:$E$4,5,),"")</f>
        <v>BE</v>
      </c>
      <c r="AH748" s="11" t="str">
        <f>IF(I748&lt;&gt;"",VLOOKUP(AP748,KvB!$A$2:$B$3,2,FALSE),"")</f>
        <v>BE101000</v>
      </c>
      <c r="AI748" s="11" t="s">
        <v>55</v>
      </c>
      <c r="AJ748" s="11"/>
      <c r="AK748" s="11"/>
      <c r="AL748" s="11"/>
      <c r="AM748" s="11"/>
      <c r="AN748" s="11"/>
      <c r="AO748" s="11"/>
      <c r="AP748" s="2" t="s">
        <v>70</v>
      </c>
      <c r="AQ748" s="11" t="str">
        <f>IF(I748&lt;&gt;"",DATA!D747,"")</f>
        <v>8479899790</v>
      </c>
    </row>
    <row r="749" spans="1:43" ht="15.75" x14ac:dyDescent="0.25">
      <c r="A749" s="11" t="s">
        <v>57</v>
      </c>
      <c r="B749" s="11" t="s">
        <v>56</v>
      </c>
      <c r="C749" s="22">
        <f t="shared" si="50"/>
        <v>25001620</v>
      </c>
      <c r="D749" s="11" t="str">
        <f t="shared" si="47"/>
        <v>SKIIFM_AT</v>
      </c>
      <c r="E749" s="11" t="str">
        <f>IF(I749&lt;&gt;"",VLOOKUP(F749,OPDRACHTGEVER!$A$2:$B$4,2,FALSE),"")</f>
        <v>SKIIFM_AT</v>
      </c>
      <c r="F749" s="11" t="s">
        <v>58</v>
      </c>
      <c r="I749" s="11" t="str">
        <f>IF(DATA!B748&lt;&gt;"",DATA!B748,"")</f>
        <v>FCIU8041691</v>
      </c>
      <c r="J749" s="12">
        <v>0</v>
      </c>
      <c r="K749" s="11" t="s">
        <v>53</v>
      </c>
      <c r="L749" s="11" t="str">
        <f t="shared" si="48"/>
        <v>851779</v>
      </c>
      <c r="M749" s="11" t="str">
        <f>IF(I749&lt;&gt;"",DATA!E748,"")</f>
        <v>SIGNAL SHIELDING BOX AND SET</v>
      </c>
      <c r="N749" s="12">
        <v>0</v>
      </c>
      <c r="O749" s="11">
        <f>IF(I749&lt;&gt;"",DATA!C748,"")</f>
        <v>3.2</v>
      </c>
      <c r="P749" s="2">
        <v>294094</v>
      </c>
      <c r="Q749" s="2" t="s">
        <v>1304</v>
      </c>
      <c r="R749" s="2" t="s">
        <v>1320</v>
      </c>
      <c r="S749" s="2">
        <v>579</v>
      </c>
      <c r="T749" s="2">
        <v>1</v>
      </c>
      <c r="U749" s="2" t="s">
        <v>141</v>
      </c>
      <c r="Y749" s="2">
        <v>1700</v>
      </c>
      <c r="Z749" s="11" t="s">
        <v>54</v>
      </c>
      <c r="AA749" s="11" t="str">
        <f t="shared" si="49"/>
        <v>1700 - TBN</v>
      </c>
      <c r="AC749" s="2" t="s">
        <v>145</v>
      </c>
      <c r="AD749" s="11" t="str">
        <f>IF($I749&lt;&gt;"",VLOOKUP($AC749,GEADRESSEERDE!$A$2:$E$4,2,),"")</f>
        <v>LUITHAGEN HAVEN 2 D</v>
      </c>
      <c r="AE749" s="11">
        <f>IF($I749&lt;&gt;"",VLOOKUP($AC749,GEADRESSEERDE!$A$2:$E$4,3,),"")</f>
        <v>2030</v>
      </c>
      <c r="AF749" s="11" t="str">
        <f>IF($I749&lt;&gt;"",VLOOKUP($AC749,GEADRESSEERDE!$A$2:$E$4,4,),"")</f>
        <v>ANTWERPEN</v>
      </c>
      <c r="AG749" s="11" t="str">
        <f>IF($I749&lt;&gt;"",VLOOKUP($AC749,GEADRESSEERDE!$A$2:$E$4,5,),"")</f>
        <v>BE</v>
      </c>
      <c r="AH749" s="11" t="str">
        <f>IF(I749&lt;&gt;"",VLOOKUP(AP749,KvB!$A$2:$B$3,2,FALSE),"")</f>
        <v>BE101000</v>
      </c>
      <c r="AI749" s="11" t="s">
        <v>55</v>
      </c>
      <c r="AJ749" s="11"/>
      <c r="AK749" s="11"/>
      <c r="AL749" s="11"/>
      <c r="AM749" s="11"/>
      <c r="AN749" s="11"/>
      <c r="AO749" s="11"/>
      <c r="AP749" s="2" t="s">
        <v>70</v>
      </c>
      <c r="AQ749" s="11" t="str">
        <f>IF(I749&lt;&gt;"",DATA!D748,"")</f>
        <v>8517790000</v>
      </c>
    </row>
    <row r="750" spans="1:43" ht="15.75" x14ac:dyDescent="0.25">
      <c r="A750" s="11" t="s">
        <v>57</v>
      </c>
      <c r="B750" s="11" t="s">
        <v>56</v>
      </c>
      <c r="C750" s="22">
        <f t="shared" si="50"/>
        <v>25001620</v>
      </c>
      <c r="D750" s="11" t="str">
        <f t="shared" si="47"/>
        <v>SKIIFM_AT</v>
      </c>
      <c r="E750" s="11" t="str">
        <f>IF(I750&lt;&gt;"",VLOOKUP(F750,OPDRACHTGEVER!$A$2:$B$4,2,FALSE),"")</f>
        <v>SKIIFM_AT</v>
      </c>
      <c r="F750" s="11" t="s">
        <v>58</v>
      </c>
      <c r="I750" s="11" t="str">
        <f>IF(DATA!B749&lt;&gt;"",DATA!B749,"")</f>
        <v>FCIU8041691</v>
      </c>
      <c r="J750" s="12">
        <v>0</v>
      </c>
      <c r="K750" s="11" t="s">
        <v>53</v>
      </c>
      <c r="L750" s="11" t="str">
        <f t="shared" si="48"/>
        <v>940549</v>
      </c>
      <c r="M750" s="11" t="str">
        <f>IF(I750&lt;&gt;"",DATA!E749,"")</f>
        <v>SPLICED GARAGE LIGHTS</v>
      </c>
      <c r="N750" s="12">
        <v>0</v>
      </c>
      <c r="O750" s="11">
        <f>IF(I750&lt;&gt;"",DATA!C749,"")</f>
        <v>65.099999999999994</v>
      </c>
      <c r="P750" s="2">
        <v>294094</v>
      </c>
      <c r="Q750" s="2" t="s">
        <v>1304</v>
      </c>
      <c r="R750" s="2" t="s">
        <v>1320</v>
      </c>
      <c r="S750" s="2">
        <v>579</v>
      </c>
      <c r="T750" s="2">
        <v>1</v>
      </c>
      <c r="U750" s="2" t="s">
        <v>141</v>
      </c>
      <c r="Y750" s="2">
        <v>1700</v>
      </c>
      <c r="Z750" s="11" t="s">
        <v>54</v>
      </c>
      <c r="AA750" s="11" t="str">
        <f t="shared" si="49"/>
        <v>1700 - TBN</v>
      </c>
      <c r="AC750" s="2" t="s">
        <v>145</v>
      </c>
      <c r="AD750" s="11" t="str">
        <f>IF($I750&lt;&gt;"",VLOOKUP($AC750,GEADRESSEERDE!$A$2:$E$4,2,),"")</f>
        <v>LUITHAGEN HAVEN 2 D</v>
      </c>
      <c r="AE750" s="11">
        <f>IF($I750&lt;&gt;"",VLOOKUP($AC750,GEADRESSEERDE!$A$2:$E$4,3,),"")</f>
        <v>2030</v>
      </c>
      <c r="AF750" s="11" t="str">
        <f>IF($I750&lt;&gt;"",VLOOKUP($AC750,GEADRESSEERDE!$A$2:$E$4,4,),"")</f>
        <v>ANTWERPEN</v>
      </c>
      <c r="AG750" s="11" t="str">
        <f>IF($I750&lt;&gt;"",VLOOKUP($AC750,GEADRESSEERDE!$A$2:$E$4,5,),"")</f>
        <v>BE</v>
      </c>
      <c r="AH750" s="11" t="str">
        <f>IF(I750&lt;&gt;"",VLOOKUP(AP750,KvB!$A$2:$B$3,2,FALSE),"")</f>
        <v>BE101000</v>
      </c>
      <c r="AI750" s="11" t="s">
        <v>55</v>
      </c>
      <c r="AJ750" s="11"/>
      <c r="AK750" s="11"/>
      <c r="AL750" s="11"/>
      <c r="AM750" s="11"/>
      <c r="AN750" s="11"/>
      <c r="AO750" s="11"/>
      <c r="AP750" s="2" t="s">
        <v>70</v>
      </c>
      <c r="AQ750" s="11" t="str">
        <f>IF(I750&lt;&gt;"",DATA!D749,"")</f>
        <v>9405499090</v>
      </c>
    </row>
    <row r="751" spans="1:43" ht="15.75" x14ac:dyDescent="0.25">
      <c r="A751" s="11" t="s">
        <v>57</v>
      </c>
      <c r="B751" s="11" t="s">
        <v>56</v>
      </c>
      <c r="C751" s="22">
        <f t="shared" si="50"/>
        <v>25001620</v>
      </c>
      <c r="D751" s="11" t="str">
        <f t="shared" si="47"/>
        <v>SKIIFM_AT</v>
      </c>
      <c r="E751" s="11" t="str">
        <f>IF(I751&lt;&gt;"",VLOOKUP(F751,OPDRACHTGEVER!$A$2:$B$4,2,FALSE),"")</f>
        <v>SKIIFM_AT</v>
      </c>
      <c r="F751" s="11" t="s">
        <v>58</v>
      </c>
      <c r="I751" s="11" t="str">
        <f>IF(DATA!B750&lt;&gt;"",DATA!B750,"")</f>
        <v>FCIU8041691</v>
      </c>
      <c r="J751" s="12">
        <v>0</v>
      </c>
      <c r="K751" s="11" t="s">
        <v>53</v>
      </c>
      <c r="L751" s="11" t="str">
        <f t="shared" si="48"/>
        <v>940320</v>
      </c>
      <c r="M751" s="11" t="str">
        <f>IF(I751&lt;&gt;"",DATA!E750,"")</f>
        <v>SS DOOR FOR OUTDOOR KITCHEN/BBQ ISLAND</v>
      </c>
      <c r="N751" s="12">
        <v>0</v>
      </c>
      <c r="O751" s="11">
        <f>IF(I751&lt;&gt;"",DATA!C750,"")</f>
        <v>465.5</v>
      </c>
      <c r="P751" s="2">
        <v>294094</v>
      </c>
      <c r="Q751" s="2" t="s">
        <v>1304</v>
      </c>
      <c r="R751" s="2" t="s">
        <v>1320</v>
      </c>
      <c r="S751" s="2">
        <v>579</v>
      </c>
      <c r="T751" s="2">
        <v>1</v>
      </c>
      <c r="U751" s="2" t="s">
        <v>141</v>
      </c>
      <c r="Y751" s="2">
        <v>1700</v>
      </c>
      <c r="Z751" s="11" t="s">
        <v>54</v>
      </c>
      <c r="AA751" s="11" t="str">
        <f t="shared" si="49"/>
        <v>1700 - TBN</v>
      </c>
      <c r="AC751" s="2" t="s">
        <v>145</v>
      </c>
      <c r="AD751" s="11" t="str">
        <f>IF($I751&lt;&gt;"",VLOOKUP($AC751,GEADRESSEERDE!$A$2:$E$4,2,),"")</f>
        <v>LUITHAGEN HAVEN 2 D</v>
      </c>
      <c r="AE751" s="11">
        <f>IF($I751&lt;&gt;"",VLOOKUP($AC751,GEADRESSEERDE!$A$2:$E$4,3,),"")</f>
        <v>2030</v>
      </c>
      <c r="AF751" s="11" t="str">
        <f>IF($I751&lt;&gt;"",VLOOKUP($AC751,GEADRESSEERDE!$A$2:$E$4,4,),"")</f>
        <v>ANTWERPEN</v>
      </c>
      <c r="AG751" s="11" t="str">
        <f>IF($I751&lt;&gt;"",VLOOKUP($AC751,GEADRESSEERDE!$A$2:$E$4,5,),"")</f>
        <v>BE</v>
      </c>
      <c r="AH751" s="11" t="str">
        <f>IF(I751&lt;&gt;"",VLOOKUP(AP751,KvB!$A$2:$B$3,2,FALSE),"")</f>
        <v>BE101000</v>
      </c>
      <c r="AI751" s="11" t="s">
        <v>55</v>
      </c>
      <c r="AJ751" s="11"/>
      <c r="AK751" s="11"/>
      <c r="AL751" s="11"/>
      <c r="AM751" s="11"/>
      <c r="AN751" s="11"/>
      <c r="AO751" s="11"/>
      <c r="AP751" s="2" t="s">
        <v>70</v>
      </c>
      <c r="AQ751" s="11" t="str">
        <f>IF(I751&lt;&gt;"",DATA!D750,"")</f>
        <v>9403208000</v>
      </c>
    </row>
    <row r="752" spans="1:43" ht="15.75" x14ac:dyDescent="0.25">
      <c r="A752" s="11" t="s">
        <v>57</v>
      </c>
      <c r="B752" s="11" t="s">
        <v>56</v>
      </c>
      <c r="C752" s="22">
        <f t="shared" si="50"/>
        <v>25001620</v>
      </c>
      <c r="D752" s="11" t="str">
        <f t="shared" si="47"/>
        <v>SKIIFM_AT</v>
      </c>
      <c r="E752" s="11" t="str">
        <f>IF(I752&lt;&gt;"",VLOOKUP(F752,OPDRACHTGEVER!$A$2:$B$4,2,FALSE),"")</f>
        <v>SKIIFM_AT</v>
      </c>
      <c r="F752" s="11" t="s">
        <v>58</v>
      </c>
      <c r="I752" s="11" t="str">
        <f>IF(DATA!B751&lt;&gt;"",DATA!B751,"")</f>
        <v>FCIU8041691</v>
      </c>
      <c r="J752" s="12">
        <v>0</v>
      </c>
      <c r="K752" s="11" t="s">
        <v>53</v>
      </c>
      <c r="L752" s="11" t="str">
        <f t="shared" si="48"/>
        <v>940399</v>
      </c>
      <c r="M752" s="11" t="str">
        <f>IF(I752&lt;&gt;"",DATA!E751,"")</f>
        <v>DOOR</v>
      </c>
      <c r="N752" s="12">
        <v>0</v>
      </c>
      <c r="O752" s="11">
        <f>IF(I752&lt;&gt;"",DATA!C751,"")</f>
        <v>128.4</v>
      </c>
      <c r="P752" s="2">
        <v>294094</v>
      </c>
      <c r="Q752" s="2" t="s">
        <v>1304</v>
      </c>
      <c r="R752" s="2" t="s">
        <v>1320</v>
      </c>
      <c r="S752" s="2">
        <v>579</v>
      </c>
      <c r="T752" s="2">
        <v>1</v>
      </c>
      <c r="U752" s="2" t="s">
        <v>141</v>
      </c>
      <c r="Y752" s="2">
        <v>1700</v>
      </c>
      <c r="Z752" s="11" t="s">
        <v>54</v>
      </c>
      <c r="AA752" s="11" t="str">
        <f t="shared" si="49"/>
        <v>1700 - TBN</v>
      </c>
      <c r="AC752" s="2" t="s">
        <v>145</v>
      </c>
      <c r="AD752" s="11" t="str">
        <f>IF($I752&lt;&gt;"",VLOOKUP($AC752,GEADRESSEERDE!$A$2:$E$4,2,),"")</f>
        <v>LUITHAGEN HAVEN 2 D</v>
      </c>
      <c r="AE752" s="11">
        <f>IF($I752&lt;&gt;"",VLOOKUP($AC752,GEADRESSEERDE!$A$2:$E$4,3,),"")</f>
        <v>2030</v>
      </c>
      <c r="AF752" s="11" t="str">
        <f>IF($I752&lt;&gt;"",VLOOKUP($AC752,GEADRESSEERDE!$A$2:$E$4,4,),"")</f>
        <v>ANTWERPEN</v>
      </c>
      <c r="AG752" s="11" t="str">
        <f>IF($I752&lt;&gt;"",VLOOKUP($AC752,GEADRESSEERDE!$A$2:$E$4,5,),"")</f>
        <v>BE</v>
      </c>
      <c r="AH752" s="11" t="str">
        <f>IF(I752&lt;&gt;"",VLOOKUP(AP752,KvB!$A$2:$B$3,2,FALSE),"")</f>
        <v>BE101000</v>
      </c>
      <c r="AI752" s="11" t="s">
        <v>55</v>
      </c>
      <c r="AJ752" s="11"/>
      <c r="AK752" s="11"/>
      <c r="AL752" s="11"/>
      <c r="AM752" s="11"/>
      <c r="AN752" s="11"/>
      <c r="AO752" s="11"/>
      <c r="AP752" s="2" t="s">
        <v>70</v>
      </c>
      <c r="AQ752" s="11" t="str">
        <f>IF(I752&lt;&gt;"",DATA!D751,"")</f>
        <v>9403999090</v>
      </c>
    </row>
    <row r="753" spans="1:43" ht="15.75" x14ac:dyDescent="0.25">
      <c r="A753" s="11" t="s">
        <v>57</v>
      </c>
      <c r="B753" s="11" t="s">
        <v>56</v>
      </c>
      <c r="C753" s="22">
        <f t="shared" si="50"/>
        <v>25001620</v>
      </c>
      <c r="D753" s="11" t="str">
        <f t="shared" si="47"/>
        <v>SKIIFM_AT</v>
      </c>
      <c r="E753" s="11" t="str">
        <f>IF(I753&lt;&gt;"",VLOOKUP(F753,OPDRACHTGEVER!$A$2:$B$4,2,FALSE),"")</f>
        <v>SKIIFM_AT</v>
      </c>
      <c r="F753" s="11" t="s">
        <v>58</v>
      </c>
      <c r="I753" s="11" t="str">
        <f>IF(DATA!B752&lt;&gt;"",DATA!B752,"")</f>
        <v>FCIU8041691</v>
      </c>
      <c r="J753" s="12">
        <v>0</v>
      </c>
      <c r="K753" s="11" t="s">
        <v>53</v>
      </c>
      <c r="L753" s="11" t="str">
        <f t="shared" si="48"/>
        <v>741920</v>
      </c>
      <c r="M753" s="11" t="str">
        <f>IF(I753&lt;&gt;"",DATA!E752,"")</f>
        <v>RAILING</v>
      </c>
      <c r="N753" s="12">
        <v>0</v>
      </c>
      <c r="O753" s="11">
        <f>IF(I753&lt;&gt;"",DATA!C752,"")</f>
        <v>470.6</v>
      </c>
      <c r="P753" s="2">
        <v>294094</v>
      </c>
      <c r="Q753" s="2" t="s">
        <v>1304</v>
      </c>
      <c r="R753" s="2" t="s">
        <v>1320</v>
      </c>
      <c r="S753" s="2">
        <v>579</v>
      </c>
      <c r="T753" s="2">
        <v>1</v>
      </c>
      <c r="U753" s="2" t="s">
        <v>141</v>
      </c>
      <c r="Y753" s="2">
        <v>1700</v>
      </c>
      <c r="Z753" s="11" t="s">
        <v>54</v>
      </c>
      <c r="AA753" s="11" t="str">
        <f t="shared" si="49"/>
        <v>1700 - TBN</v>
      </c>
      <c r="AC753" s="2" t="s">
        <v>145</v>
      </c>
      <c r="AD753" s="11" t="str">
        <f>IF($I753&lt;&gt;"",VLOOKUP($AC753,GEADRESSEERDE!$A$2:$E$4,2,),"")</f>
        <v>LUITHAGEN HAVEN 2 D</v>
      </c>
      <c r="AE753" s="11">
        <f>IF($I753&lt;&gt;"",VLOOKUP($AC753,GEADRESSEERDE!$A$2:$E$4,3,),"")</f>
        <v>2030</v>
      </c>
      <c r="AF753" s="11" t="str">
        <f>IF($I753&lt;&gt;"",VLOOKUP($AC753,GEADRESSEERDE!$A$2:$E$4,4,),"")</f>
        <v>ANTWERPEN</v>
      </c>
      <c r="AG753" s="11" t="str">
        <f>IF($I753&lt;&gt;"",VLOOKUP($AC753,GEADRESSEERDE!$A$2:$E$4,5,),"")</f>
        <v>BE</v>
      </c>
      <c r="AH753" s="11" t="str">
        <f>IF(I753&lt;&gt;"",VLOOKUP(AP753,KvB!$A$2:$B$3,2,FALSE),"")</f>
        <v>BE101000</v>
      </c>
      <c r="AI753" s="11" t="s">
        <v>55</v>
      </c>
      <c r="AJ753" s="11"/>
      <c r="AK753" s="11"/>
      <c r="AL753" s="11"/>
      <c r="AM753" s="11"/>
      <c r="AN753" s="11"/>
      <c r="AO753" s="11"/>
      <c r="AP753" s="2" t="s">
        <v>70</v>
      </c>
      <c r="AQ753" s="11" t="str">
        <f>IF(I753&lt;&gt;"",DATA!D752,"")</f>
        <v>7419200090</v>
      </c>
    </row>
    <row r="754" spans="1:43" ht="15.75" x14ac:dyDescent="0.25">
      <c r="A754" s="11" t="s">
        <v>57</v>
      </c>
      <c r="B754" s="11" t="s">
        <v>56</v>
      </c>
      <c r="C754" s="22">
        <f t="shared" si="50"/>
        <v>25001620</v>
      </c>
      <c r="D754" s="11" t="str">
        <f t="shared" si="47"/>
        <v>SKIIFM_AT</v>
      </c>
      <c r="E754" s="11" t="str">
        <f>IF(I754&lt;&gt;"",VLOOKUP(F754,OPDRACHTGEVER!$A$2:$B$4,2,FALSE),"")</f>
        <v>SKIIFM_AT</v>
      </c>
      <c r="F754" s="11" t="s">
        <v>58</v>
      </c>
      <c r="I754" s="11" t="str">
        <f>IF(DATA!B753&lt;&gt;"",DATA!B753,"")</f>
        <v>FCIU8041691</v>
      </c>
      <c r="J754" s="12">
        <v>0</v>
      </c>
      <c r="K754" s="11" t="s">
        <v>53</v>
      </c>
      <c r="L754" s="11" t="str">
        <f t="shared" si="48"/>
        <v>741920</v>
      </c>
      <c r="M754" s="11" t="str">
        <f>IF(I754&lt;&gt;"",DATA!E753,"")</f>
        <v>STEAMER</v>
      </c>
      <c r="N754" s="12">
        <v>0</v>
      </c>
      <c r="O754" s="11">
        <f>IF(I754&lt;&gt;"",DATA!C753,"")</f>
        <v>103.11</v>
      </c>
      <c r="P754" s="2">
        <v>294094</v>
      </c>
      <c r="Q754" s="2" t="s">
        <v>1304</v>
      </c>
      <c r="R754" s="2" t="s">
        <v>1320</v>
      </c>
      <c r="S754" s="2">
        <v>579</v>
      </c>
      <c r="T754" s="2">
        <v>1</v>
      </c>
      <c r="U754" s="2" t="s">
        <v>141</v>
      </c>
      <c r="Y754" s="2">
        <v>1700</v>
      </c>
      <c r="Z754" s="11" t="s">
        <v>54</v>
      </c>
      <c r="AA754" s="11" t="str">
        <f t="shared" si="49"/>
        <v>1700 - TBN</v>
      </c>
      <c r="AC754" s="2" t="s">
        <v>145</v>
      </c>
      <c r="AD754" s="11" t="str">
        <f>IF($I754&lt;&gt;"",VLOOKUP($AC754,GEADRESSEERDE!$A$2:$E$4,2,),"")</f>
        <v>LUITHAGEN HAVEN 2 D</v>
      </c>
      <c r="AE754" s="11">
        <f>IF($I754&lt;&gt;"",VLOOKUP($AC754,GEADRESSEERDE!$A$2:$E$4,3,),"")</f>
        <v>2030</v>
      </c>
      <c r="AF754" s="11" t="str">
        <f>IF($I754&lt;&gt;"",VLOOKUP($AC754,GEADRESSEERDE!$A$2:$E$4,4,),"")</f>
        <v>ANTWERPEN</v>
      </c>
      <c r="AG754" s="11" t="str">
        <f>IF($I754&lt;&gt;"",VLOOKUP($AC754,GEADRESSEERDE!$A$2:$E$4,5,),"")</f>
        <v>BE</v>
      </c>
      <c r="AH754" s="11" t="str">
        <f>IF(I754&lt;&gt;"",VLOOKUP(AP754,KvB!$A$2:$B$3,2,FALSE),"")</f>
        <v>BE101000</v>
      </c>
      <c r="AI754" s="11" t="s">
        <v>55</v>
      </c>
      <c r="AJ754" s="11"/>
      <c r="AK754" s="11"/>
      <c r="AL754" s="11"/>
      <c r="AM754" s="11"/>
      <c r="AN754" s="11"/>
      <c r="AO754" s="11"/>
      <c r="AP754" s="2" t="s">
        <v>70</v>
      </c>
      <c r="AQ754" s="11" t="str">
        <f>IF(I754&lt;&gt;"",DATA!D753,"")</f>
        <v>7419200090</v>
      </c>
    </row>
    <row r="755" spans="1:43" ht="15.75" x14ac:dyDescent="0.25">
      <c r="A755" s="11" t="s">
        <v>57</v>
      </c>
      <c r="B755" s="11" t="s">
        <v>56</v>
      </c>
      <c r="C755" s="22">
        <f t="shared" si="50"/>
        <v>25001620</v>
      </c>
      <c r="D755" s="11" t="str">
        <f t="shared" si="47"/>
        <v>SKIIFM_AT</v>
      </c>
      <c r="E755" s="11" t="str">
        <f>IF(I755&lt;&gt;"",VLOOKUP(F755,OPDRACHTGEVER!$A$2:$B$4,2,FALSE),"")</f>
        <v>SKIIFM_AT</v>
      </c>
      <c r="F755" s="11" t="s">
        <v>58</v>
      </c>
      <c r="I755" s="11" t="str">
        <f>IF(DATA!B754&lt;&gt;"",DATA!B754,"")</f>
        <v>FCIU8041691</v>
      </c>
      <c r="J755" s="12">
        <v>0</v>
      </c>
      <c r="K755" s="11" t="s">
        <v>53</v>
      </c>
      <c r="L755" s="11" t="str">
        <f t="shared" si="48"/>
        <v>741920</v>
      </c>
      <c r="M755" s="11" t="str">
        <f>IF(I755&lt;&gt;"",DATA!E754,"")</f>
        <v>STEEL TANK</v>
      </c>
      <c r="N755" s="12">
        <v>0</v>
      </c>
      <c r="O755" s="11">
        <f>IF(I755&lt;&gt;"",DATA!C754,"")</f>
        <v>115</v>
      </c>
      <c r="P755" s="2">
        <v>294094</v>
      </c>
      <c r="Q755" s="2" t="s">
        <v>1304</v>
      </c>
      <c r="R755" s="2" t="s">
        <v>1320</v>
      </c>
      <c r="S755" s="2">
        <v>579</v>
      </c>
      <c r="T755" s="2">
        <v>1</v>
      </c>
      <c r="U755" s="2" t="s">
        <v>141</v>
      </c>
      <c r="Y755" s="2">
        <v>1700</v>
      </c>
      <c r="Z755" s="11" t="s">
        <v>54</v>
      </c>
      <c r="AA755" s="11" t="str">
        <f t="shared" si="49"/>
        <v>1700 - TBN</v>
      </c>
      <c r="AC755" s="2" t="s">
        <v>145</v>
      </c>
      <c r="AD755" s="11" t="str">
        <f>IF($I755&lt;&gt;"",VLOOKUP($AC755,GEADRESSEERDE!$A$2:$E$4,2,),"")</f>
        <v>LUITHAGEN HAVEN 2 D</v>
      </c>
      <c r="AE755" s="11">
        <f>IF($I755&lt;&gt;"",VLOOKUP($AC755,GEADRESSEERDE!$A$2:$E$4,3,),"")</f>
        <v>2030</v>
      </c>
      <c r="AF755" s="11" t="str">
        <f>IF($I755&lt;&gt;"",VLOOKUP($AC755,GEADRESSEERDE!$A$2:$E$4,4,),"")</f>
        <v>ANTWERPEN</v>
      </c>
      <c r="AG755" s="11" t="str">
        <f>IF($I755&lt;&gt;"",VLOOKUP($AC755,GEADRESSEERDE!$A$2:$E$4,5,),"")</f>
        <v>BE</v>
      </c>
      <c r="AH755" s="11" t="str">
        <f>IF(I755&lt;&gt;"",VLOOKUP(AP755,KvB!$A$2:$B$3,2,FALSE),"")</f>
        <v>BE101000</v>
      </c>
      <c r="AI755" s="11" t="s">
        <v>55</v>
      </c>
      <c r="AJ755" s="11"/>
      <c r="AK755" s="11"/>
      <c r="AL755" s="11"/>
      <c r="AM755" s="11"/>
      <c r="AN755" s="11"/>
      <c r="AO755" s="11"/>
      <c r="AP755" s="2" t="s">
        <v>70</v>
      </c>
      <c r="AQ755" s="11" t="str">
        <f>IF(I755&lt;&gt;"",DATA!D754,"")</f>
        <v>7419200090</v>
      </c>
    </row>
    <row r="756" spans="1:43" ht="15.75" x14ac:dyDescent="0.25">
      <c r="A756" s="11" t="s">
        <v>57</v>
      </c>
      <c r="B756" s="11" t="s">
        <v>56</v>
      </c>
      <c r="C756" s="22">
        <f t="shared" si="50"/>
        <v>25001620</v>
      </c>
      <c r="D756" s="11" t="str">
        <f t="shared" ref="D756:D819" si="51">E756</f>
        <v>SKIIFM_AT</v>
      </c>
      <c r="E756" s="11" t="str">
        <f>IF(I756&lt;&gt;"",VLOOKUP(F756,OPDRACHTGEVER!$A$2:$B$4,2,FALSE),"")</f>
        <v>SKIIFM_AT</v>
      </c>
      <c r="F756" s="11" t="s">
        <v>58</v>
      </c>
      <c r="I756" s="11" t="str">
        <f>IF(DATA!B755&lt;&gt;"",DATA!B755,"")</f>
        <v>FCIU8041691</v>
      </c>
      <c r="J756" s="12">
        <v>0</v>
      </c>
      <c r="K756" s="11" t="s">
        <v>53</v>
      </c>
      <c r="L756" s="11" t="str">
        <f t="shared" ref="L756:L819" si="52">LEFT(AQ756,6)</f>
        <v>820551</v>
      </c>
      <c r="M756" s="11" t="str">
        <f>IF(I756&lt;&gt;"",DATA!E755,"")</f>
        <v>SUCKER</v>
      </c>
      <c r="N756" s="12">
        <v>0</v>
      </c>
      <c r="O756" s="11">
        <f>IF(I756&lt;&gt;"",DATA!C755,"")</f>
        <v>93.1</v>
      </c>
      <c r="P756" s="2">
        <v>294094</v>
      </c>
      <c r="Q756" s="2" t="s">
        <v>1304</v>
      </c>
      <c r="R756" s="2" t="s">
        <v>1320</v>
      </c>
      <c r="S756" s="2">
        <v>579</v>
      </c>
      <c r="T756" s="2">
        <v>1</v>
      </c>
      <c r="U756" s="2" t="s">
        <v>141</v>
      </c>
      <c r="Y756" s="2">
        <v>1700</v>
      </c>
      <c r="Z756" s="11" t="s">
        <v>54</v>
      </c>
      <c r="AA756" s="11" t="str">
        <f t="shared" ref="AA756:AA819" si="53">IF(I756&lt;&gt;"",Y756&amp;" - "&amp;Z756,"")</f>
        <v>1700 - TBN</v>
      </c>
      <c r="AC756" s="2" t="s">
        <v>145</v>
      </c>
      <c r="AD756" s="11" t="str">
        <f>IF($I756&lt;&gt;"",VLOOKUP($AC756,GEADRESSEERDE!$A$2:$E$4,2,),"")</f>
        <v>LUITHAGEN HAVEN 2 D</v>
      </c>
      <c r="AE756" s="11">
        <f>IF($I756&lt;&gt;"",VLOOKUP($AC756,GEADRESSEERDE!$A$2:$E$4,3,),"")</f>
        <v>2030</v>
      </c>
      <c r="AF756" s="11" t="str">
        <f>IF($I756&lt;&gt;"",VLOOKUP($AC756,GEADRESSEERDE!$A$2:$E$4,4,),"")</f>
        <v>ANTWERPEN</v>
      </c>
      <c r="AG756" s="11" t="str">
        <f>IF($I756&lt;&gt;"",VLOOKUP($AC756,GEADRESSEERDE!$A$2:$E$4,5,),"")</f>
        <v>BE</v>
      </c>
      <c r="AH756" s="11" t="str">
        <f>IF(I756&lt;&gt;"",VLOOKUP(AP756,KvB!$A$2:$B$3,2,FALSE),"")</f>
        <v>BE101000</v>
      </c>
      <c r="AI756" s="11" t="s">
        <v>55</v>
      </c>
      <c r="AJ756" s="11"/>
      <c r="AK756" s="11"/>
      <c r="AL756" s="11"/>
      <c r="AM756" s="11"/>
      <c r="AN756" s="11"/>
      <c r="AO756" s="11"/>
      <c r="AP756" s="2" t="s">
        <v>70</v>
      </c>
      <c r="AQ756" s="11" t="str">
        <f>IF(I756&lt;&gt;"",DATA!D755,"")</f>
        <v>8205510000</v>
      </c>
    </row>
    <row r="757" spans="1:43" ht="15.75" x14ac:dyDescent="0.25">
      <c r="A757" s="11" t="s">
        <v>57</v>
      </c>
      <c r="B757" s="11" t="s">
        <v>56</v>
      </c>
      <c r="C757" s="22">
        <f t="shared" si="50"/>
        <v>25001620</v>
      </c>
      <c r="D757" s="11" t="str">
        <f t="shared" si="51"/>
        <v>SKIIFM_AT</v>
      </c>
      <c r="E757" s="11" t="str">
        <f>IF(I757&lt;&gt;"",VLOOKUP(F757,OPDRACHTGEVER!$A$2:$B$4,2,FALSE),"")</f>
        <v>SKIIFM_AT</v>
      </c>
      <c r="F757" s="11" t="s">
        <v>58</v>
      </c>
      <c r="I757" s="11" t="str">
        <f>IF(DATA!B756&lt;&gt;"",DATA!B756,"")</f>
        <v>FCIU8041691</v>
      </c>
      <c r="J757" s="12">
        <v>0</v>
      </c>
      <c r="K757" s="11" t="s">
        <v>53</v>
      </c>
      <c r="L757" s="11" t="str">
        <f t="shared" si="52"/>
        <v>820559</v>
      </c>
      <c r="M757" s="11" t="str">
        <f>IF(I757&lt;&gt;"",DATA!E756,"")</f>
        <v>TABLE SAW MITER GAUGE</v>
      </c>
      <c r="N757" s="12">
        <v>0</v>
      </c>
      <c r="O757" s="11">
        <f>IF(I757&lt;&gt;"",DATA!C756,"")</f>
        <v>25.3</v>
      </c>
      <c r="P757" s="2">
        <v>294094</v>
      </c>
      <c r="Q757" s="2" t="s">
        <v>1304</v>
      </c>
      <c r="R757" s="2" t="s">
        <v>1320</v>
      </c>
      <c r="S757" s="2">
        <v>579</v>
      </c>
      <c r="T757" s="2">
        <v>1</v>
      </c>
      <c r="U757" s="2" t="s">
        <v>141</v>
      </c>
      <c r="Y757" s="2">
        <v>1700</v>
      </c>
      <c r="Z757" s="11" t="s">
        <v>54</v>
      </c>
      <c r="AA757" s="11" t="str">
        <f t="shared" si="53"/>
        <v>1700 - TBN</v>
      </c>
      <c r="AC757" s="2" t="s">
        <v>145</v>
      </c>
      <c r="AD757" s="11" t="str">
        <f>IF($I757&lt;&gt;"",VLOOKUP($AC757,GEADRESSEERDE!$A$2:$E$4,2,),"")</f>
        <v>LUITHAGEN HAVEN 2 D</v>
      </c>
      <c r="AE757" s="11">
        <f>IF($I757&lt;&gt;"",VLOOKUP($AC757,GEADRESSEERDE!$A$2:$E$4,3,),"")</f>
        <v>2030</v>
      </c>
      <c r="AF757" s="11" t="str">
        <f>IF($I757&lt;&gt;"",VLOOKUP($AC757,GEADRESSEERDE!$A$2:$E$4,4,),"")</f>
        <v>ANTWERPEN</v>
      </c>
      <c r="AG757" s="11" t="str">
        <f>IF($I757&lt;&gt;"",VLOOKUP($AC757,GEADRESSEERDE!$A$2:$E$4,5,),"")</f>
        <v>BE</v>
      </c>
      <c r="AH757" s="11" t="str">
        <f>IF(I757&lt;&gt;"",VLOOKUP(AP757,KvB!$A$2:$B$3,2,FALSE),"")</f>
        <v>BE101000</v>
      </c>
      <c r="AI757" s="11" t="s">
        <v>55</v>
      </c>
      <c r="AJ757" s="11"/>
      <c r="AK757" s="11"/>
      <c r="AL757" s="11"/>
      <c r="AM757" s="11"/>
      <c r="AN757" s="11"/>
      <c r="AO757" s="11"/>
      <c r="AP757" s="2" t="s">
        <v>70</v>
      </c>
      <c r="AQ757" s="11" t="str">
        <f>IF(I757&lt;&gt;"",DATA!D756,"")</f>
        <v>8205598000</v>
      </c>
    </row>
    <row r="758" spans="1:43" ht="15.75" x14ac:dyDescent="0.25">
      <c r="A758" s="11" t="s">
        <v>57</v>
      </c>
      <c r="B758" s="11" t="s">
        <v>56</v>
      </c>
      <c r="C758" s="22">
        <f t="shared" si="50"/>
        <v>25001620</v>
      </c>
      <c r="D758" s="11" t="str">
        <f t="shared" si="51"/>
        <v>SKIIFM_AT</v>
      </c>
      <c r="E758" s="11" t="str">
        <f>IF(I758&lt;&gt;"",VLOOKUP(F758,OPDRACHTGEVER!$A$2:$B$4,2,FALSE),"")</f>
        <v>SKIIFM_AT</v>
      </c>
      <c r="F758" s="11" t="s">
        <v>58</v>
      </c>
      <c r="I758" s="11" t="str">
        <f>IF(DATA!B757&lt;&gt;"",DATA!B757,"")</f>
        <v>FCIU8041691</v>
      </c>
      <c r="J758" s="12">
        <v>0</v>
      </c>
      <c r="K758" s="11" t="s">
        <v>53</v>
      </c>
      <c r="L758" s="11" t="str">
        <f t="shared" si="52"/>
        <v>950691</v>
      </c>
      <c r="M758" s="11" t="str">
        <f>IF(I758&lt;&gt;"",DATA!E757,"")</f>
        <v>TARGET</v>
      </c>
      <c r="N758" s="12">
        <v>0</v>
      </c>
      <c r="O758" s="11">
        <f>IF(I758&lt;&gt;"",DATA!C757,"")</f>
        <v>137.69999999999999</v>
      </c>
      <c r="P758" s="2">
        <v>294094</v>
      </c>
      <c r="Q758" s="2" t="s">
        <v>1304</v>
      </c>
      <c r="R758" s="2" t="s">
        <v>1320</v>
      </c>
      <c r="S758" s="2">
        <v>579</v>
      </c>
      <c r="T758" s="2">
        <v>1</v>
      </c>
      <c r="U758" s="2" t="s">
        <v>141</v>
      </c>
      <c r="Y758" s="2">
        <v>1700</v>
      </c>
      <c r="Z758" s="11" t="s">
        <v>54</v>
      </c>
      <c r="AA758" s="11" t="str">
        <f t="shared" si="53"/>
        <v>1700 - TBN</v>
      </c>
      <c r="AC758" s="2" t="s">
        <v>145</v>
      </c>
      <c r="AD758" s="11" t="str">
        <f>IF($I758&lt;&gt;"",VLOOKUP($AC758,GEADRESSEERDE!$A$2:$E$4,2,),"")</f>
        <v>LUITHAGEN HAVEN 2 D</v>
      </c>
      <c r="AE758" s="11">
        <f>IF($I758&lt;&gt;"",VLOOKUP($AC758,GEADRESSEERDE!$A$2:$E$4,3,),"")</f>
        <v>2030</v>
      </c>
      <c r="AF758" s="11" t="str">
        <f>IF($I758&lt;&gt;"",VLOOKUP($AC758,GEADRESSEERDE!$A$2:$E$4,4,),"")</f>
        <v>ANTWERPEN</v>
      </c>
      <c r="AG758" s="11" t="str">
        <f>IF($I758&lt;&gt;"",VLOOKUP($AC758,GEADRESSEERDE!$A$2:$E$4,5,),"")</f>
        <v>BE</v>
      </c>
      <c r="AH758" s="11" t="str">
        <f>IF(I758&lt;&gt;"",VLOOKUP(AP758,KvB!$A$2:$B$3,2,FALSE),"")</f>
        <v>BE101000</v>
      </c>
      <c r="AI758" s="11" t="s">
        <v>55</v>
      </c>
      <c r="AJ758" s="11"/>
      <c r="AK758" s="11"/>
      <c r="AL758" s="11"/>
      <c r="AM758" s="11"/>
      <c r="AN758" s="11"/>
      <c r="AO758" s="11"/>
      <c r="AP758" s="2" t="s">
        <v>70</v>
      </c>
      <c r="AQ758" s="11" t="str">
        <f>IF(I758&lt;&gt;"",DATA!D757,"")</f>
        <v>9506919000</v>
      </c>
    </row>
    <row r="759" spans="1:43" ht="15.75" x14ac:dyDescent="0.25">
      <c r="A759" s="11" t="s">
        <v>57</v>
      </c>
      <c r="B759" s="11" t="s">
        <v>56</v>
      </c>
      <c r="C759" s="22">
        <f t="shared" si="50"/>
        <v>25001620</v>
      </c>
      <c r="D759" s="11" t="str">
        <f t="shared" si="51"/>
        <v>SKIIFM_AT</v>
      </c>
      <c r="E759" s="11" t="str">
        <f>IF(I759&lt;&gt;"",VLOOKUP(F759,OPDRACHTGEVER!$A$2:$B$4,2,FALSE),"")</f>
        <v>SKIIFM_AT</v>
      </c>
      <c r="F759" s="11" t="s">
        <v>58</v>
      </c>
      <c r="I759" s="11" t="str">
        <f>IF(DATA!B758&lt;&gt;"",DATA!B758,"")</f>
        <v>FCIU8041691</v>
      </c>
      <c r="J759" s="12">
        <v>0</v>
      </c>
      <c r="K759" s="11" t="s">
        <v>53</v>
      </c>
      <c r="L759" s="11" t="str">
        <f t="shared" si="52"/>
        <v>760720</v>
      </c>
      <c r="M759" s="11" t="str">
        <f>IF(I759&lt;&gt;"",DATA!E758,"")</f>
        <v>THERMAL INSULATION FILM</v>
      </c>
      <c r="N759" s="12">
        <v>0</v>
      </c>
      <c r="O759" s="11">
        <f>IF(I759&lt;&gt;"",DATA!C758,"")</f>
        <v>16.8</v>
      </c>
      <c r="P759" s="2">
        <v>294094</v>
      </c>
      <c r="Q759" s="2" t="s">
        <v>1304</v>
      </c>
      <c r="R759" s="2" t="s">
        <v>1320</v>
      </c>
      <c r="S759" s="2">
        <v>579</v>
      </c>
      <c r="T759" s="2">
        <v>1</v>
      </c>
      <c r="U759" s="2" t="s">
        <v>141</v>
      </c>
      <c r="Y759" s="2">
        <v>1700</v>
      </c>
      <c r="Z759" s="11" t="s">
        <v>54</v>
      </c>
      <c r="AA759" s="11" t="str">
        <f t="shared" si="53"/>
        <v>1700 - TBN</v>
      </c>
      <c r="AC759" s="2" t="s">
        <v>145</v>
      </c>
      <c r="AD759" s="11" t="str">
        <f>IF($I759&lt;&gt;"",VLOOKUP($AC759,GEADRESSEERDE!$A$2:$E$4,2,),"")</f>
        <v>LUITHAGEN HAVEN 2 D</v>
      </c>
      <c r="AE759" s="11">
        <f>IF($I759&lt;&gt;"",VLOOKUP($AC759,GEADRESSEERDE!$A$2:$E$4,3,),"")</f>
        <v>2030</v>
      </c>
      <c r="AF759" s="11" t="str">
        <f>IF($I759&lt;&gt;"",VLOOKUP($AC759,GEADRESSEERDE!$A$2:$E$4,4,),"")</f>
        <v>ANTWERPEN</v>
      </c>
      <c r="AG759" s="11" t="str">
        <f>IF($I759&lt;&gt;"",VLOOKUP($AC759,GEADRESSEERDE!$A$2:$E$4,5,),"")</f>
        <v>BE</v>
      </c>
      <c r="AH759" s="11" t="str">
        <f>IF(I759&lt;&gt;"",VLOOKUP(AP759,KvB!$A$2:$B$3,2,FALSE),"")</f>
        <v>BE101000</v>
      </c>
      <c r="AI759" s="11" t="s">
        <v>55</v>
      </c>
      <c r="AJ759" s="11"/>
      <c r="AK759" s="11"/>
      <c r="AL759" s="11"/>
      <c r="AM759" s="11"/>
      <c r="AN759" s="11"/>
      <c r="AO759" s="11"/>
      <c r="AP759" s="2" t="s">
        <v>70</v>
      </c>
      <c r="AQ759" s="11" t="str">
        <f>IF(I759&lt;&gt;"",DATA!D758,"")</f>
        <v>7607209900</v>
      </c>
    </row>
    <row r="760" spans="1:43" ht="15.75" x14ac:dyDescent="0.25">
      <c r="A760" s="11" t="s">
        <v>57</v>
      </c>
      <c r="B760" s="11" t="s">
        <v>56</v>
      </c>
      <c r="C760" s="22">
        <f t="shared" si="50"/>
        <v>25001620</v>
      </c>
      <c r="D760" s="11" t="str">
        <f t="shared" si="51"/>
        <v>SKIIFM_AT</v>
      </c>
      <c r="E760" s="11" t="str">
        <f>IF(I760&lt;&gt;"",VLOOKUP(F760,OPDRACHTGEVER!$A$2:$B$4,2,FALSE),"")</f>
        <v>SKIIFM_AT</v>
      </c>
      <c r="F760" s="11" t="s">
        <v>58</v>
      </c>
      <c r="I760" s="11" t="str">
        <f>IF(DATA!B759&lt;&gt;"",DATA!B759,"")</f>
        <v>FCIU8041691</v>
      </c>
      <c r="J760" s="12">
        <v>0</v>
      </c>
      <c r="K760" s="11" t="s">
        <v>53</v>
      </c>
      <c r="L760" s="11" t="str">
        <f t="shared" si="52"/>
        <v>660200</v>
      </c>
      <c r="M760" s="11" t="str">
        <f>IF(I760&lt;&gt;"",DATA!E759,"")</f>
        <v>TRADITIONAL WALKER</v>
      </c>
      <c r="N760" s="12">
        <v>0</v>
      </c>
      <c r="O760" s="11">
        <f>IF(I760&lt;&gt;"",DATA!C759,"")</f>
        <v>28</v>
      </c>
      <c r="P760" s="2">
        <v>294094</v>
      </c>
      <c r="Q760" s="2" t="s">
        <v>1304</v>
      </c>
      <c r="R760" s="2" t="s">
        <v>1320</v>
      </c>
      <c r="S760" s="2">
        <v>579</v>
      </c>
      <c r="T760" s="2">
        <v>1</v>
      </c>
      <c r="U760" s="2" t="s">
        <v>141</v>
      </c>
      <c r="Y760" s="2">
        <v>1700</v>
      </c>
      <c r="Z760" s="11" t="s">
        <v>54</v>
      </c>
      <c r="AA760" s="11" t="str">
        <f t="shared" si="53"/>
        <v>1700 - TBN</v>
      </c>
      <c r="AC760" s="2" t="s">
        <v>145</v>
      </c>
      <c r="AD760" s="11" t="str">
        <f>IF($I760&lt;&gt;"",VLOOKUP($AC760,GEADRESSEERDE!$A$2:$E$4,2,),"")</f>
        <v>LUITHAGEN HAVEN 2 D</v>
      </c>
      <c r="AE760" s="11">
        <f>IF($I760&lt;&gt;"",VLOOKUP($AC760,GEADRESSEERDE!$A$2:$E$4,3,),"")</f>
        <v>2030</v>
      </c>
      <c r="AF760" s="11" t="str">
        <f>IF($I760&lt;&gt;"",VLOOKUP($AC760,GEADRESSEERDE!$A$2:$E$4,4,),"")</f>
        <v>ANTWERPEN</v>
      </c>
      <c r="AG760" s="11" t="str">
        <f>IF($I760&lt;&gt;"",VLOOKUP($AC760,GEADRESSEERDE!$A$2:$E$4,5,),"")</f>
        <v>BE</v>
      </c>
      <c r="AH760" s="11" t="str">
        <f>IF(I760&lt;&gt;"",VLOOKUP(AP760,KvB!$A$2:$B$3,2,FALSE),"")</f>
        <v>BE101000</v>
      </c>
      <c r="AI760" s="11" t="s">
        <v>55</v>
      </c>
      <c r="AJ760" s="11"/>
      <c r="AK760" s="11"/>
      <c r="AL760" s="11"/>
      <c r="AM760" s="11"/>
      <c r="AN760" s="11"/>
      <c r="AO760" s="11"/>
      <c r="AP760" s="2" t="s">
        <v>70</v>
      </c>
      <c r="AQ760" s="11" t="str">
        <f>IF(I760&lt;&gt;"",DATA!D759,"")</f>
        <v>6602000090</v>
      </c>
    </row>
    <row r="761" spans="1:43" ht="15.75" x14ac:dyDescent="0.25">
      <c r="A761" s="11" t="s">
        <v>57</v>
      </c>
      <c r="B761" s="11" t="s">
        <v>56</v>
      </c>
      <c r="C761" s="22">
        <f t="shared" si="50"/>
        <v>25001620</v>
      </c>
      <c r="D761" s="11" t="str">
        <f t="shared" si="51"/>
        <v>SKIIFM_AT</v>
      </c>
      <c r="E761" s="11" t="str">
        <f>IF(I761&lt;&gt;"",VLOOKUP(F761,OPDRACHTGEVER!$A$2:$B$4,2,FALSE),"")</f>
        <v>SKIIFM_AT</v>
      </c>
      <c r="F761" s="11" t="s">
        <v>58</v>
      </c>
      <c r="I761" s="11" t="str">
        <f>IF(DATA!B760&lt;&gt;"",DATA!B760,"")</f>
        <v>FCIU8041691</v>
      </c>
      <c r="J761" s="12">
        <v>0</v>
      </c>
      <c r="K761" s="11" t="s">
        <v>53</v>
      </c>
      <c r="L761" s="11" t="str">
        <f t="shared" si="52"/>
        <v>940320</v>
      </c>
      <c r="M761" s="11" t="str">
        <f>IF(I761&lt;&gt;"",DATA!E760,"")</f>
        <v>TV BRACKET</v>
      </c>
      <c r="N761" s="12">
        <v>0</v>
      </c>
      <c r="O761" s="11">
        <f>IF(I761&lt;&gt;"",DATA!C760,"")</f>
        <v>102</v>
      </c>
      <c r="P761" s="2">
        <v>294094</v>
      </c>
      <c r="Q761" s="2" t="s">
        <v>1304</v>
      </c>
      <c r="R761" s="2" t="s">
        <v>1320</v>
      </c>
      <c r="S761" s="2">
        <v>579</v>
      </c>
      <c r="T761" s="2">
        <v>1</v>
      </c>
      <c r="U761" s="2" t="s">
        <v>141</v>
      </c>
      <c r="Y761" s="2">
        <v>1700</v>
      </c>
      <c r="Z761" s="11" t="s">
        <v>54</v>
      </c>
      <c r="AA761" s="11" t="str">
        <f t="shared" si="53"/>
        <v>1700 - TBN</v>
      </c>
      <c r="AC761" s="2" t="s">
        <v>145</v>
      </c>
      <c r="AD761" s="11" t="str">
        <f>IF($I761&lt;&gt;"",VLOOKUP($AC761,GEADRESSEERDE!$A$2:$E$4,2,),"")</f>
        <v>LUITHAGEN HAVEN 2 D</v>
      </c>
      <c r="AE761" s="11">
        <f>IF($I761&lt;&gt;"",VLOOKUP($AC761,GEADRESSEERDE!$A$2:$E$4,3,),"")</f>
        <v>2030</v>
      </c>
      <c r="AF761" s="11" t="str">
        <f>IF($I761&lt;&gt;"",VLOOKUP($AC761,GEADRESSEERDE!$A$2:$E$4,4,),"")</f>
        <v>ANTWERPEN</v>
      </c>
      <c r="AG761" s="11" t="str">
        <f>IF($I761&lt;&gt;"",VLOOKUP($AC761,GEADRESSEERDE!$A$2:$E$4,5,),"")</f>
        <v>BE</v>
      </c>
      <c r="AH761" s="11" t="str">
        <f>IF(I761&lt;&gt;"",VLOOKUP(AP761,KvB!$A$2:$B$3,2,FALSE),"")</f>
        <v>BE101000</v>
      </c>
      <c r="AI761" s="11" t="s">
        <v>55</v>
      </c>
      <c r="AJ761" s="11"/>
      <c r="AK761" s="11"/>
      <c r="AL761" s="11"/>
      <c r="AM761" s="11"/>
      <c r="AN761" s="11"/>
      <c r="AO761" s="11"/>
      <c r="AP761" s="2" t="s">
        <v>70</v>
      </c>
      <c r="AQ761" s="11" t="str">
        <f>IF(I761&lt;&gt;"",DATA!D760,"")</f>
        <v>9403208000</v>
      </c>
    </row>
    <row r="762" spans="1:43" ht="15.75" x14ac:dyDescent="0.25">
      <c r="A762" s="11" t="s">
        <v>57</v>
      </c>
      <c r="B762" s="11" t="s">
        <v>56</v>
      </c>
      <c r="C762" s="22">
        <f t="shared" si="50"/>
        <v>25001620</v>
      </c>
      <c r="D762" s="11" t="str">
        <f t="shared" si="51"/>
        <v>SKIIFM_AT</v>
      </c>
      <c r="E762" s="11" t="str">
        <f>IF(I762&lt;&gt;"",VLOOKUP(F762,OPDRACHTGEVER!$A$2:$B$4,2,FALSE),"")</f>
        <v>SKIIFM_AT</v>
      </c>
      <c r="F762" s="11" t="s">
        <v>58</v>
      </c>
      <c r="I762" s="11" t="str">
        <f>IF(DATA!B761&lt;&gt;"",DATA!B761,"")</f>
        <v>FCIU8041691</v>
      </c>
      <c r="J762" s="12">
        <v>0</v>
      </c>
      <c r="K762" s="11" t="s">
        <v>53</v>
      </c>
      <c r="L762" s="11" t="str">
        <f t="shared" si="52"/>
        <v>841981</v>
      </c>
      <c r="M762" s="11" t="str">
        <f>IF(I762&lt;&gt;"",DATA!E761,"")</f>
        <v>ULTRA THIN RLECTRIC WARMING TRAYS</v>
      </c>
      <c r="N762" s="12">
        <v>0</v>
      </c>
      <c r="O762" s="11">
        <f>IF(I762&lt;&gt;"",DATA!C761,"")</f>
        <v>41.3</v>
      </c>
      <c r="P762" s="2">
        <v>294094</v>
      </c>
      <c r="Q762" s="2" t="s">
        <v>1304</v>
      </c>
      <c r="R762" s="2" t="s">
        <v>1320</v>
      </c>
      <c r="S762" s="2">
        <v>579</v>
      </c>
      <c r="T762" s="2">
        <v>1</v>
      </c>
      <c r="U762" s="2" t="s">
        <v>141</v>
      </c>
      <c r="Y762" s="2">
        <v>1700</v>
      </c>
      <c r="Z762" s="11" t="s">
        <v>54</v>
      </c>
      <c r="AA762" s="11" t="str">
        <f t="shared" si="53"/>
        <v>1700 - TBN</v>
      </c>
      <c r="AC762" s="2" t="s">
        <v>145</v>
      </c>
      <c r="AD762" s="11" t="str">
        <f>IF($I762&lt;&gt;"",VLOOKUP($AC762,GEADRESSEERDE!$A$2:$E$4,2,),"")</f>
        <v>LUITHAGEN HAVEN 2 D</v>
      </c>
      <c r="AE762" s="11">
        <f>IF($I762&lt;&gt;"",VLOOKUP($AC762,GEADRESSEERDE!$A$2:$E$4,3,),"")</f>
        <v>2030</v>
      </c>
      <c r="AF762" s="11" t="str">
        <f>IF($I762&lt;&gt;"",VLOOKUP($AC762,GEADRESSEERDE!$A$2:$E$4,4,),"")</f>
        <v>ANTWERPEN</v>
      </c>
      <c r="AG762" s="11" t="str">
        <f>IF($I762&lt;&gt;"",VLOOKUP($AC762,GEADRESSEERDE!$A$2:$E$4,5,),"")</f>
        <v>BE</v>
      </c>
      <c r="AH762" s="11" t="str">
        <f>IF(I762&lt;&gt;"",VLOOKUP(AP762,KvB!$A$2:$B$3,2,FALSE),"")</f>
        <v>BE101000</v>
      </c>
      <c r="AI762" s="11" t="s">
        <v>55</v>
      </c>
      <c r="AJ762" s="11"/>
      <c r="AK762" s="11"/>
      <c r="AL762" s="11"/>
      <c r="AM762" s="11"/>
      <c r="AN762" s="11"/>
      <c r="AO762" s="11"/>
      <c r="AP762" s="2" t="s">
        <v>70</v>
      </c>
      <c r="AQ762" s="11" t="str">
        <f>IF(I762&lt;&gt;"",DATA!D761,"")</f>
        <v>8419818090</v>
      </c>
    </row>
    <row r="763" spans="1:43" ht="15.75" x14ac:dyDescent="0.25">
      <c r="A763" s="11" t="s">
        <v>57</v>
      </c>
      <c r="B763" s="11" t="s">
        <v>56</v>
      </c>
      <c r="C763" s="22">
        <f t="shared" si="50"/>
        <v>25001620</v>
      </c>
      <c r="D763" s="11" t="str">
        <f t="shared" si="51"/>
        <v>SKIIFM_AT</v>
      </c>
      <c r="E763" s="11" t="str">
        <f>IF(I763&lt;&gt;"",VLOOKUP(F763,OPDRACHTGEVER!$A$2:$B$4,2,FALSE),"")</f>
        <v>SKIIFM_AT</v>
      </c>
      <c r="F763" s="11" t="s">
        <v>58</v>
      </c>
      <c r="I763" s="11" t="str">
        <f>IF(DATA!B762&lt;&gt;"",DATA!B762,"")</f>
        <v>FCIU8041691</v>
      </c>
      <c r="J763" s="12">
        <v>0</v>
      </c>
      <c r="K763" s="11" t="s">
        <v>53</v>
      </c>
      <c r="L763" s="11" t="str">
        <f t="shared" si="52"/>
        <v>847989</v>
      </c>
      <c r="M763" s="11" t="str">
        <f>IF(I763&lt;&gt;"",DATA!E762,"")</f>
        <v>ULTRASONIC JEWELRY CLEANER</v>
      </c>
      <c r="N763" s="12">
        <v>0</v>
      </c>
      <c r="O763" s="11">
        <f>IF(I763&lt;&gt;"",DATA!C762,"")</f>
        <v>113.5</v>
      </c>
      <c r="P763" s="2">
        <v>294094</v>
      </c>
      <c r="Q763" s="2" t="s">
        <v>1304</v>
      </c>
      <c r="R763" s="2" t="s">
        <v>1320</v>
      </c>
      <c r="S763" s="2">
        <v>579</v>
      </c>
      <c r="T763" s="2">
        <v>1</v>
      </c>
      <c r="U763" s="2" t="s">
        <v>141</v>
      </c>
      <c r="Y763" s="2">
        <v>1700</v>
      </c>
      <c r="Z763" s="11" t="s">
        <v>54</v>
      </c>
      <c r="AA763" s="11" t="str">
        <f t="shared" si="53"/>
        <v>1700 - TBN</v>
      </c>
      <c r="AC763" s="2" t="s">
        <v>145</v>
      </c>
      <c r="AD763" s="11" t="str">
        <f>IF($I763&lt;&gt;"",VLOOKUP($AC763,GEADRESSEERDE!$A$2:$E$4,2,),"")</f>
        <v>LUITHAGEN HAVEN 2 D</v>
      </c>
      <c r="AE763" s="11">
        <f>IF($I763&lt;&gt;"",VLOOKUP($AC763,GEADRESSEERDE!$A$2:$E$4,3,),"")</f>
        <v>2030</v>
      </c>
      <c r="AF763" s="11" t="str">
        <f>IF($I763&lt;&gt;"",VLOOKUP($AC763,GEADRESSEERDE!$A$2:$E$4,4,),"")</f>
        <v>ANTWERPEN</v>
      </c>
      <c r="AG763" s="11" t="str">
        <f>IF($I763&lt;&gt;"",VLOOKUP($AC763,GEADRESSEERDE!$A$2:$E$4,5,),"")</f>
        <v>BE</v>
      </c>
      <c r="AH763" s="11" t="str">
        <f>IF(I763&lt;&gt;"",VLOOKUP(AP763,KvB!$A$2:$B$3,2,FALSE),"")</f>
        <v>BE101000</v>
      </c>
      <c r="AI763" s="11" t="s">
        <v>55</v>
      </c>
      <c r="AJ763" s="11"/>
      <c r="AK763" s="11"/>
      <c r="AL763" s="11"/>
      <c r="AM763" s="11"/>
      <c r="AN763" s="11"/>
      <c r="AO763" s="11"/>
      <c r="AP763" s="2" t="s">
        <v>70</v>
      </c>
      <c r="AQ763" s="11" t="str">
        <f>IF(I763&lt;&gt;"",DATA!D762,"")</f>
        <v>8479899790</v>
      </c>
    </row>
    <row r="764" spans="1:43" ht="15.75" x14ac:dyDescent="0.25">
      <c r="A764" s="11" t="s">
        <v>57</v>
      </c>
      <c r="B764" s="11" t="s">
        <v>56</v>
      </c>
      <c r="C764" s="22">
        <f t="shared" si="50"/>
        <v>25001620</v>
      </c>
      <c r="D764" s="11" t="str">
        <f t="shared" si="51"/>
        <v>SKIIFM_AT</v>
      </c>
      <c r="E764" s="11" t="str">
        <f>IF(I764&lt;&gt;"",VLOOKUP(F764,OPDRACHTGEVER!$A$2:$B$4,2,FALSE),"")</f>
        <v>SKIIFM_AT</v>
      </c>
      <c r="F764" s="11" t="s">
        <v>58</v>
      </c>
      <c r="I764" s="11" t="str">
        <f>IF(DATA!B763&lt;&gt;"",DATA!B763,"")</f>
        <v>FCIU8041691</v>
      </c>
      <c r="J764" s="12">
        <v>0</v>
      </c>
      <c r="K764" s="11" t="s">
        <v>53</v>
      </c>
      <c r="L764" s="11" t="str">
        <f t="shared" si="52"/>
        <v>851672</v>
      </c>
      <c r="M764" s="11" t="str">
        <f>IF(I764&lt;&gt;"",DATA!E763,"")</f>
        <v>WAFFLE CAKE MACHINE</v>
      </c>
      <c r="N764" s="12">
        <v>0</v>
      </c>
      <c r="O764" s="11">
        <f>IF(I764&lt;&gt;"",DATA!C763,"")</f>
        <v>156</v>
      </c>
      <c r="P764" s="2">
        <v>294094</v>
      </c>
      <c r="Q764" s="2" t="s">
        <v>1304</v>
      </c>
      <c r="R764" s="2" t="s">
        <v>1320</v>
      </c>
      <c r="S764" s="2">
        <v>579</v>
      </c>
      <c r="T764" s="2">
        <v>1</v>
      </c>
      <c r="U764" s="2" t="s">
        <v>141</v>
      </c>
      <c r="Y764" s="2">
        <v>1700</v>
      </c>
      <c r="Z764" s="11" t="s">
        <v>54</v>
      </c>
      <c r="AA764" s="11" t="str">
        <f t="shared" si="53"/>
        <v>1700 - TBN</v>
      </c>
      <c r="AC764" s="2" t="s">
        <v>145</v>
      </c>
      <c r="AD764" s="11" t="str">
        <f>IF($I764&lt;&gt;"",VLOOKUP($AC764,GEADRESSEERDE!$A$2:$E$4,2,),"")</f>
        <v>LUITHAGEN HAVEN 2 D</v>
      </c>
      <c r="AE764" s="11">
        <f>IF($I764&lt;&gt;"",VLOOKUP($AC764,GEADRESSEERDE!$A$2:$E$4,3,),"")</f>
        <v>2030</v>
      </c>
      <c r="AF764" s="11" t="str">
        <f>IF($I764&lt;&gt;"",VLOOKUP($AC764,GEADRESSEERDE!$A$2:$E$4,4,),"")</f>
        <v>ANTWERPEN</v>
      </c>
      <c r="AG764" s="11" t="str">
        <f>IF($I764&lt;&gt;"",VLOOKUP($AC764,GEADRESSEERDE!$A$2:$E$4,5,),"")</f>
        <v>BE</v>
      </c>
      <c r="AH764" s="11" t="str">
        <f>IF(I764&lt;&gt;"",VLOOKUP(AP764,KvB!$A$2:$B$3,2,FALSE),"")</f>
        <v>BE101000</v>
      </c>
      <c r="AI764" s="11" t="s">
        <v>55</v>
      </c>
      <c r="AJ764" s="11"/>
      <c r="AK764" s="11"/>
      <c r="AL764" s="11"/>
      <c r="AM764" s="11"/>
      <c r="AN764" s="11"/>
      <c r="AO764" s="11"/>
      <c r="AP764" s="2" t="s">
        <v>70</v>
      </c>
      <c r="AQ764" s="11" t="str">
        <f>IF(I764&lt;&gt;"",DATA!D763,"")</f>
        <v>8516720000</v>
      </c>
    </row>
    <row r="765" spans="1:43" ht="15.75" x14ac:dyDescent="0.25">
      <c r="A765" s="11" t="s">
        <v>57</v>
      </c>
      <c r="B765" s="11" t="s">
        <v>56</v>
      </c>
      <c r="C765" s="22">
        <f t="shared" si="50"/>
        <v>25001620</v>
      </c>
      <c r="D765" s="11" t="str">
        <f t="shared" si="51"/>
        <v>SKIIFM_AT</v>
      </c>
      <c r="E765" s="11" t="str">
        <f>IF(I765&lt;&gt;"",VLOOKUP(F765,OPDRACHTGEVER!$A$2:$B$4,2,FALSE),"")</f>
        <v>SKIIFM_AT</v>
      </c>
      <c r="F765" s="11" t="s">
        <v>58</v>
      </c>
      <c r="I765" s="11" t="str">
        <f>IF(DATA!B764&lt;&gt;"",DATA!B764,"")</f>
        <v>FCIU8041691</v>
      </c>
      <c r="J765" s="12">
        <v>0</v>
      </c>
      <c r="K765" s="11" t="s">
        <v>53</v>
      </c>
      <c r="L765" s="11" t="str">
        <f t="shared" si="52"/>
        <v>950691</v>
      </c>
      <c r="M765" s="11" t="str">
        <f>IF(I765&lt;&gt;"",DATA!E764,"")</f>
        <v>WALL-MOUNTED BOXING TARGET</v>
      </c>
      <c r="N765" s="12">
        <v>0</v>
      </c>
      <c r="O765" s="11">
        <f>IF(I765&lt;&gt;"",DATA!C764,"")</f>
        <v>112.1</v>
      </c>
      <c r="P765" s="2">
        <v>294094</v>
      </c>
      <c r="Q765" s="2" t="s">
        <v>1304</v>
      </c>
      <c r="R765" s="2" t="s">
        <v>1320</v>
      </c>
      <c r="S765" s="2">
        <v>579</v>
      </c>
      <c r="T765" s="2">
        <v>1</v>
      </c>
      <c r="U765" s="2" t="s">
        <v>141</v>
      </c>
      <c r="Y765" s="2">
        <v>1700</v>
      </c>
      <c r="Z765" s="11" t="s">
        <v>54</v>
      </c>
      <c r="AA765" s="11" t="str">
        <f t="shared" si="53"/>
        <v>1700 - TBN</v>
      </c>
      <c r="AC765" s="2" t="s">
        <v>145</v>
      </c>
      <c r="AD765" s="11" t="str">
        <f>IF($I765&lt;&gt;"",VLOOKUP($AC765,GEADRESSEERDE!$A$2:$E$4,2,),"")</f>
        <v>LUITHAGEN HAVEN 2 D</v>
      </c>
      <c r="AE765" s="11">
        <f>IF($I765&lt;&gt;"",VLOOKUP($AC765,GEADRESSEERDE!$A$2:$E$4,3,),"")</f>
        <v>2030</v>
      </c>
      <c r="AF765" s="11" t="str">
        <f>IF($I765&lt;&gt;"",VLOOKUP($AC765,GEADRESSEERDE!$A$2:$E$4,4,),"")</f>
        <v>ANTWERPEN</v>
      </c>
      <c r="AG765" s="11" t="str">
        <f>IF($I765&lt;&gt;"",VLOOKUP($AC765,GEADRESSEERDE!$A$2:$E$4,5,),"")</f>
        <v>BE</v>
      </c>
      <c r="AH765" s="11" t="str">
        <f>IF(I765&lt;&gt;"",VLOOKUP(AP765,KvB!$A$2:$B$3,2,FALSE),"")</f>
        <v>BE101000</v>
      </c>
      <c r="AI765" s="11" t="s">
        <v>55</v>
      </c>
      <c r="AJ765" s="11"/>
      <c r="AK765" s="11"/>
      <c r="AL765" s="11"/>
      <c r="AM765" s="11"/>
      <c r="AN765" s="11"/>
      <c r="AO765" s="11"/>
      <c r="AP765" s="2" t="s">
        <v>70</v>
      </c>
      <c r="AQ765" s="11" t="str">
        <f>IF(I765&lt;&gt;"",DATA!D764,"")</f>
        <v>9506919000</v>
      </c>
    </row>
    <row r="766" spans="1:43" ht="15.75" x14ac:dyDescent="0.25">
      <c r="A766" s="11" t="s">
        <v>57</v>
      </c>
      <c r="B766" s="11" t="s">
        <v>56</v>
      </c>
      <c r="C766" s="22">
        <f t="shared" si="50"/>
        <v>25001620</v>
      </c>
      <c r="D766" s="11" t="str">
        <f t="shared" si="51"/>
        <v>SKIIFM_AT</v>
      </c>
      <c r="E766" s="11" t="str">
        <f>IF(I766&lt;&gt;"",VLOOKUP(F766,OPDRACHTGEVER!$A$2:$B$4,2,FALSE),"")</f>
        <v>SKIIFM_AT</v>
      </c>
      <c r="F766" s="11" t="s">
        <v>58</v>
      </c>
      <c r="I766" s="11" t="str">
        <f>IF(DATA!B765&lt;&gt;"",DATA!B765,"")</f>
        <v>FCIU8041691</v>
      </c>
      <c r="J766" s="12">
        <v>0</v>
      </c>
      <c r="K766" s="11" t="s">
        <v>53</v>
      </c>
      <c r="L766" s="11" t="str">
        <f t="shared" si="52"/>
        <v>841899</v>
      </c>
      <c r="M766" s="11" t="str">
        <f>IF(I766&lt;&gt;"",DATA!E765,"")</f>
        <v>WATER TO AIR HEAT EXCHANGER</v>
      </c>
      <c r="N766" s="12">
        <v>0</v>
      </c>
      <c r="O766" s="11">
        <f>IF(I766&lt;&gt;"",DATA!C765,"")</f>
        <v>209.9</v>
      </c>
      <c r="P766" s="2">
        <v>294094</v>
      </c>
      <c r="Q766" s="2" t="s">
        <v>1304</v>
      </c>
      <c r="R766" s="2" t="s">
        <v>1320</v>
      </c>
      <c r="S766" s="2">
        <v>579</v>
      </c>
      <c r="T766" s="2">
        <v>1</v>
      </c>
      <c r="U766" s="2" t="s">
        <v>141</v>
      </c>
      <c r="Y766" s="2">
        <v>1700</v>
      </c>
      <c r="Z766" s="11" t="s">
        <v>54</v>
      </c>
      <c r="AA766" s="11" t="str">
        <f t="shared" si="53"/>
        <v>1700 - TBN</v>
      </c>
      <c r="AC766" s="2" t="s">
        <v>145</v>
      </c>
      <c r="AD766" s="11" t="str">
        <f>IF($I766&lt;&gt;"",VLOOKUP($AC766,GEADRESSEERDE!$A$2:$E$4,2,),"")</f>
        <v>LUITHAGEN HAVEN 2 D</v>
      </c>
      <c r="AE766" s="11">
        <f>IF($I766&lt;&gt;"",VLOOKUP($AC766,GEADRESSEERDE!$A$2:$E$4,3,),"")</f>
        <v>2030</v>
      </c>
      <c r="AF766" s="11" t="str">
        <f>IF($I766&lt;&gt;"",VLOOKUP($AC766,GEADRESSEERDE!$A$2:$E$4,4,),"")</f>
        <v>ANTWERPEN</v>
      </c>
      <c r="AG766" s="11" t="str">
        <f>IF($I766&lt;&gt;"",VLOOKUP($AC766,GEADRESSEERDE!$A$2:$E$4,5,),"")</f>
        <v>BE</v>
      </c>
      <c r="AH766" s="11" t="str">
        <f>IF(I766&lt;&gt;"",VLOOKUP(AP766,KvB!$A$2:$B$3,2,FALSE),"")</f>
        <v>BE101000</v>
      </c>
      <c r="AI766" s="11" t="s">
        <v>55</v>
      </c>
      <c r="AJ766" s="11"/>
      <c r="AK766" s="11"/>
      <c r="AL766" s="11"/>
      <c r="AM766" s="11"/>
      <c r="AN766" s="11"/>
      <c r="AO766" s="11"/>
      <c r="AP766" s="2" t="s">
        <v>70</v>
      </c>
      <c r="AQ766" s="11" t="str">
        <f>IF(I766&lt;&gt;"",DATA!D765,"")</f>
        <v>8418991087</v>
      </c>
    </row>
    <row r="767" spans="1:43" ht="15.75" x14ac:dyDescent="0.25">
      <c r="A767" s="11" t="s">
        <v>57</v>
      </c>
      <c r="B767" s="11" t="s">
        <v>56</v>
      </c>
      <c r="C767" s="22">
        <f t="shared" si="50"/>
        <v>25001620</v>
      </c>
      <c r="D767" s="11" t="str">
        <f t="shared" si="51"/>
        <v>SKIIFM_AT</v>
      </c>
      <c r="E767" s="11" t="str">
        <f>IF(I767&lt;&gt;"",VLOOKUP(F767,OPDRACHTGEVER!$A$2:$B$4,2,FALSE),"")</f>
        <v>SKIIFM_AT</v>
      </c>
      <c r="F767" s="11" t="s">
        <v>58</v>
      </c>
      <c r="I767" s="11" t="str">
        <f>IF(DATA!B766&lt;&gt;"",DATA!B766,"")</f>
        <v>FCIU8041691</v>
      </c>
      <c r="J767" s="12">
        <v>0</v>
      </c>
      <c r="K767" s="11" t="s">
        <v>53</v>
      </c>
      <c r="L767" s="11" t="str">
        <f t="shared" si="52"/>
        <v>841350</v>
      </c>
      <c r="M767" s="11" t="str">
        <f>IF(I767&lt;&gt;"",DATA!E766,"")</f>
        <v>WATER PUMP</v>
      </c>
      <c r="N767" s="12">
        <v>0</v>
      </c>
      <c r="O767" s="11">
        <f>IF(I767&lt;&gt;"",DATA!C766,"")</f>
        <v>112.95</v>
      </c>
      <c r="P767" s="2">
        <v>294094</v>
      </c>
      <c r="Q767" s="2" t="s">
        <v>1304</v>
      </c>
      <c r="R767" s="2" t="s">
        <v>1320</v>
      </c>
      <c r="S767" s="2">
        <v>579</v>
      </c>
      <c r="T767" s="2">
        <v>1</v>
      </c>
      <c r="U767" s="2" t="s">
        <v>141</v>
      </c>
      <c r="Y767" s="2">
        <v>1700</v>
      </c>
      <c r="Z767" s="11" t="s">
        <v>54</v>
      </c>
      <c r="AA767" s="11" t="str">
        <f t="shared" si="53"/>
        <v>1700 - TBN</v>
      </c>
      <c r="AC767" s="2" t="s">
        <v>145</v>
      </c>
      <c r="AD767" s="11" t="str">
        <f>IF($I767&lt;&gt;"",VLOOKUP($AC767,GEADRESSEERDE!$A$2:$E$4,2,),"")</f>
        <v>LUITHAGEN HAVEN 2 D</v>
      </c>
      <c r="AE767" s="11">
        <f>IF($I767&lt;&gt;"",VLOOKUP($AC767,GEADRESSEERDE!$A$2:$E$4,3,),"")</f>
        <v>2030</v>
      </c>
      <c r="AF767" s="11" t="str">
        <f>IF($I767&lt;&gt;"",VLOOKUP($AC767,GEADRESSEERDE!$A$2:$E$4,4,),"")</f>
        <v>ANTWERPEN</v>
      </c>
      <c r="AG767" s="11" t="str">
        <f>IF($I767&lt;&gt;"",VLOOKUP($AC767,GEADRESSEERDE!$A$2:$E$4,5,),"")</f>
        <v>BE</v>
      </c>
      <c r="AH767" s="11" t="str">
        <f>IF(I767&lt;&gt;"",VLOOKUP(AP767,KvB!$A$2:$B$3,2,FALSE),"")</f>
        <v>BE101000</v>
      </c>
      <c r="AI767" s="11" t="s">
        <v>55</v>
      </c>
      <c r="AJ767" s="11"/>
      <c r="AK767" s="11"/>
      <c r="AL767" s="11"/>
      <c r="AM767" s="11"/>
      <c r="AN767" s="11"/>
      <c r="AO767" s="11"/>
      <c r="AP767" s="2" t="s">
        <v>70</v>
      </c>
      <c r="AQ767" s="11" t="str">
        <f>IF(I767&lt;&gt;"",DATA!D766,"")</f>
        <v>8413502090</v>
      </c>
    </row>
    <row r="768" spans="1:43" ht="15.75" x14ac:dyDescent="0.25">
      <c r="A768" s="11" t="s">
        <v>57</v>
      </c>
      <c r="B768" s="11" t="s">
        <v>56</v>
      </c>
      <c r="C768" s="22">
        <f t="shared" si="50"/>
        <v>25001620</v>
      </c>
      <c r="D768" s="11" t="str">
        <f t="shared" si="51"/>
        <v>SKIIFM_AT</v>
      </c>
      <c r="E768" s="11" t="str">
        <f>IF(I768&lt;&gt;"",VLOOKUP(F768,OPDRACHTGEVER!$A$2:$B$4,2,FALSE),"")</f>
        <v>SKIIFM_AT</v>
      </c>
      <c r="F768" s="11" t="s">
        <v>58</v>
      </c>
      <c r="I768" s="11" t="str">
        <f>IF(DATA!B767&lt;&gt;"",DATA!B767,"")</f>
        <v>FCIU8041691</v>
      </c>
      <c r="J768" s="12">
        <v>0</v>
      </c>
      <c r="K768" s="11" t="s">
        <v>53</v>
      </c>
      <c r="L768" s="11" t="str">
        <f t="shared" si="52"/>
        <v>841989</v>
      </c>
      <c r="M768" s="11" t="str">
        <f>IF(I768&lt;&gt;"",DATA!E767,"")</f>
        <v>WAX MELTING APPARATUS</v>
      </c>
      <c r="N768" s="12">
        <v>0</v>
      </c>
      <c r="O768" s="11">
        <f>IF(I768&lt;&gt;"",DATA!C767,"")</f>
        <v>170.9</v>
      </c>
      <c r="P768" s="2">
        <v>294094</v>
      </c>
      <c r="Q768" s="2" t="s">
        <v>1304</v>
      </c>
      <c r="R768" s="2" t="s">
        <v>1320</v>
      </c>
      <c r="S768" s="2">
        <v>579</v>
      </c>
      <c r="T768" s="2">
        <v>1</v>
      </c>
      <c r="U768" s="2" t="s">
        <v>141</v>
      </c>
      <c r="Y768" s="2">
        <v>1700</v>
      </c>
      <c r="Z768" s="11" t="s">
        <v>54</v>
      </c>
      <c r="AA768" s="11" t="str">
        <f t="shared" si="53"/>
        <v>1700 - TBN</v>
      </c>
      <c r="AC768" s="2" t="s">
        <v>145</v>
      </c>
      <c r="AD768" s="11" t="str">
        <f>IF($I768&lt;&gt;"",VLOOKUP($AC768,GEADRESSEERDE!$A$2:$E$4,2,),"")</f>
        <v>LUITHAGEN HAVEN 2 D</v>
      </c>
      <c r="AE768" s="11">
        <f>IF($I768&lt;&gt;"",VLOOKUP($AC768,GEADRESSEERDE!$A$2:$E$4,3,),"")</f>
        <v>2030</v>
      </c>
      <c r="AF768" s="11" t="str">
        <f>IF($I768&lt;&gt;"",VLOOKUP($AC768,GEADRESSEERDE!$A$2:$E$4,4,),"")</f>
        <v>ANTWERPEN</v>
      </c>
      <c r="AG768" s="11" t="str">
        <f>IF($I768&lt;&gt;"",VLOOKUP($AC768,GEADRESSEERDE!$A$2:$E$4,5,),"")</f>
        <v>BE</v>
      </c>
      <c r="AH768" s="11" t="str">
        <f>IF(I768&lt;&gt;"",VLOOKUP(AP768,KvB!$A$2:$B$3,2,FALSE),"")</f>
        <v>BE101000</v>
      </c>
      <c r="AI768" s="11" t="s">
        <v>55</v>
      </c>
      <c r="AJ768" s="11"/>
      <c r="AK768" s="11"/>
      <c r="AL768" s="11"/>
      <c r="AM768" s="11"/>
      <c r="AN768" s="11"/>
      <c r="AO768" s="11"/>
      <c r="AP768" s="2" t="s">
        <v>70</v>
      </c>
      <c r="AQ768" s="11" t="str">
        <f>IF(I768&lt;&gt;"",DATA!D767,"")</f>
        <v>8419899890</v>
      </c>
    </row>
    <row r="769" spans="1:43" ht="15.75" x14ac:dyDescent="0.25">
      <c r="A769" s="11" t="s">
        <v>57</v>
      </c>
      <c r="B769" s="11" t="s">
        <v>56</v>
      </c>
      <c r="C769" s="22">
        <f t="shared" si="50"/>
        <v>25001620</v>
      </c>
      <c r="D769" s="11" t="str">
        <f t="shared" si="51"/>
        <v>SKIIFM_AT</v>
      </c>
      <c r="E769" s="11" t="str">
        <f>IF(I769&lt;&gt;"",VLOOKUP(F769,OPDRACHTGEVER!$A$2:$B$4,2,FALSE),"")</f>
        <v>SKIIFM_AT</v>
      </c>
      <c r="F769" s="11" t="s">
        <v>58</v>
      </c>
      <c r="I769" s="11" t="str">
        <f>IF(DATA!B768&lt;&gt;"",DATA!B768,"")</f>
        <v>FCIU8041691</v>
      </c>
      <c r="J769" s="12">
        <v>0</v>
      </c>
      <c r="K769" s="11" t="s">
        <v>53</v>
      </c>
      <c r="L769" s="11" t="str">
        <f t="shared" si="52"/>
        <v>851511</v>
      </c>
      <c r="M769" s="11" t="str">
        <f>IF(I769&lt;&gt;"",DATA!E768,"")</f>
        <v>WELDING DEVICE</v>
      </c>
      <c r="N769" s="12">
        <v>0</v>
      </c>
      <c r="O769" s="11">
        <f>IF(I769&lt;&gt;"",DATA!C768,"")</f>
        <v>163.4</v>
      </c>
      <c r="P769" s="2">
        <v>294094</v>
      </c>
      <c r="Q769" s="2" t="s">
        <v>1304</v>
      </c>
      <c r="R769" s="2" t="s">
        <v>1320</v>
      </c>
      <c r="S769" s="2">
        <v>579</v>
      </c>
      <c r="T769" s="2">
        <v>1</v>
      </c>
      <c r="U769" s="2" t="s">
        <v>141</v>
      </c>
      <c r="Y769" s="2">
        <v>1700</v>
      </c>
      <c r="Z769" s="11" t="s">
        <v>54</v>
      </c>
      <c r="AA769" s="11" t="str">
        <f t="shared" si="53"/>
        <v>1700 - TBN</v>
      </c>
      <c r="AC769" s="2" t="s">
        <v>145</v>
      </c>
      <c r="AD769" s="11" t="str">
        <f>IF($I769&lt;&gt;"",VLOOKUP($AC769,GEADRESSEERDE!$A$2:$E$4,2,),"")</f>
        <v>LUITHAGEN HAVEN 2 D</v>
      </c>
      <c r="AE769" s="11">
        <f>IF($I769&lt;&gt;"",VLOOKUP($AC769,GEADRESSEERDE!$A$2:$E$4,3,),"")</f>
        <v>2030</v>
      </c>
      <c r="AF769" s="11" t="str">
        <f>IF($I769&lt;&gt;"",VLOOKUP($AC769,GEADRESSEERDE!$A$2:$E$4,4,),"")</f>
        <v>ANTWERPEN</v>
      </c>
      <c r="AG769" s="11" t="str">
        <f>IF($I769&lt;&gt;"",VLOOKUP($AC769,GEADRESSEERDE!$A$2:$E$4,5,),"")</f>
        <v>BE</v>
      </c>
      <c r="AH769" s="11" t="str">
        <f>IF(I769&lt;&gt;"",VLOOKUP(AP769,KvB!$A$2:$B$3,2,FALSE),"")</f>
        <v>BE101000</v>
      </c>
      <c r="AI769" s="11" t="s">
        <v>55</v>
      </c>
      <c r="AJ769" s="11"/>
      <c r="AK769" s="11"/>
      <c r="AL769" s="11"/>
      <c r="AM769" s="11"/>
      <c r="AN769" s="11"/>
      <c r="AO769" s="11"/>
      <c r="AP769" s="2" t="s">
        <v>70</v>
      </c>
      <c r="AQ769" s="11" t="str">
        <f>IF(I769&lt;&gt;"",DATA!D768,"")</f>
        <v>8515110000</v>
      </c>
    </row>
    <row r="770" spans="1:43" ht="15.75" x14ac:dyDescent="0.25">
      <c r="A770" s="11" t="s">
        <v>57</v>
      </c>
      <c r="B770" s="11" t="s">
        <v>56</v>
      </c>
      <c r="C770" s="22">
        <f t="shared" si="50"/>
        <v>25001620</v>
      </c>
      <c r="D770" s="11" t="str">
        <f t="shared" si="51"/>
        <v>SKIIFM_AT</v>
      </c>
      <c r="E770" s="11" t="str">
        <f>IF(I770&lt;&gt;"",VLOOKUP(F770,OPDRACHTGEVER!$A$2:$B$4,2,FALSE),"")</f>
        <v>SKIIFM_AT</v>
      </c>
      <c r="F770" s="11" t="s">
        <v>58</v>
      </c>
      <c r="I770" s="11" t="str">
        <f>IF(DATA!B769&lt;&gt;"",DATA!B769,"")</f>
        <v>FCIU8041691</v>
      </c>
      <c r="J770" s="12">
        <v>0</v>
      </c>
      <c r="K770" s="11" t="s">
        <v>53</v>
      </c>
      <c r="L770" s="11" t="str">
        <f t="shared" si="52"/>
        <v>851529</v>
      </c>
      <c r="M770" s="11" t="str">
        <f>IF(I770&lt;&gt;"",DATA!E769,"")</f>
        <v>WELDING MACHINE</v>
      </c>
      <c r="N770" s="12">
        <v>0</v>
      </c>
      <c r="O770" s="11">
        <f>IF(I770&lt;&gt;"",DATA!C769,"")</f>
        <v>277.8</v>
      </c>
      <c r="P770" s="2">
        <v>294094</v>
      </c>
      <c r="Q770" s="2" t="s">
        <v>1304</v>
      </c>
      <c r="R770" s="2" t="s">
        <v>1320</v>
      </c>
      <c r="S770" s="2">
        <v>579</v>
      </c>
      <c r="T770" s="2">
        <v>1</v>
      </c>
      <c r="U770" s="2" t="s">
        <v>141</v>
      </c>
      <c r="Y770" s="2">
        <v>1700</v>
      </c>
      <c r="Z770" s="11" t="s">
        <v>54</v>
      </c>
      <c r="AA770" s="11" t="str">
        <f t="shared" si="53"/>
        <v>1700 - TBN</v>
      </c>
      <c r="AC770" s="2" t="s">
        <v>145</v>
      </c>
      <c r="AD770" s="11" t="str">
        <f>IF($I770&lt;&gt;"",VLOOKUP($AC770,GEADRESSEERDE!$A$2:$E$4,2,),"")</f>
        <v>LUITHAGEN HAVEN 2 D</v>
      </c>
      <c r="AE770" s="11">
        <f>IF($I770&lt;&gt;"",VLOOKUP($AC770,GEADRESSEERDE!$A$2:$E$4,3,),"")</f>
        <v>2030</v>
      </c>
      <c r="AF770" s="11" t="str">
        <f>IF($I770&lt;&gt;"",VLOOKUP($AC770,GEADRESSEERDE!$A$2:$E$4,4,),"")</f>
        <v>ANTWERPEN</v>
      </c>
      <c r="AG770" s="11" t="str">
        <f>IF($I770&lt;&gt;"",VLOOKUP($AC770,GEADRESSEERDE!$A$2:$E$4,5,),"")</f>
        <v>BE</v>
      </c>
      <c r="AH770" s="11" t="str">
        <f>IF(I770&lt;&gt;"",VLOOKUP(AP770,KvB!$A$2:$B$3,2,FALSE),"")</f>
        <v>BE101000</v>
      </c>
      <c r="AI770" s="11" t="s">
        <v>55</v>
      </c>
      <c r="AJ770" s="11"/>
      <c r="AK770" s="11"/>
      <c r="AL770" s="11"/>
      <c r="AM770" s="11"/>
      <c r="AN770" s="11"/>
      <c r="AO770" s="11"/>
      <c r="AP770" s="2" t="s">
        <v>70</v>
      </c>
      <c r="AQ770" s="11" t="str">
        <f>IF(I770&lt;&gt;"",DATA!D769,"")</f>
        <v>8515290000</v>
      </c>
    </row>
    <row r="771" spans="1:43" ht="15.75" x14ac:dyDescent="0.25">
      <c r="A771" s="11" t="s">
        <v>57</v>
      </c>
      <c r="B771" s="11" t="s">
        <v>56</v>
      </c>
      <c r="C771" s="22">
        <f t="shared" si="50"/>
        <v>25001620</v>
      </c>
      <c r="D771" s="11" t="str">
        <f t="shared" si="51"/>
        <v>SKIIFM_AT</v>
      </c>
      <c r="E771" s="11" t="str">
        <f>IF(I771&lt;&gt;"",VLOOKUP(F771,OPDRACHTGEVER!$A$2:$B$4,2,FALSE),"")</f>
        <v>SKIIFM_AT</v>
      </c>
      <c r="F771" s="11" t="s">
        <v>58</v>
      </c>
      <c r="I771" s="11" t="str">
        <f>IF(DATA!B770&lt;&gt;"",DATA!B770,"")</f>
        <v>FCIU8041691</v>
      </c>
      <c r="J771" s="12">
        <v>0</v>
      </c>
      <c r="K771" s="11" t="s">
        <v>53</v>
      </c>
      <c r="L771" s="11" t="str">
        <f t="shared" si="52"/>
        <v>871310</v>
      </c>
      <c r="M771" s="11" t="str">
        <f>IF(I771&lt;&gt;"",DATA!E770,"")</f>
        <v>WHEELCHAIR</v>
      </c>
      <c r="N771" s="12">
        <v>0</v>
      </c>
      <c r="O771" s="11">
        <f>IF(I771&lt;&gt;"",DATA!C770,"")</f>
        <v>102.6</v>
      </c>
      <c r="P771" s="2">
        <v>294094</v>
      </c>
      <c r="Q771" s="2" t="s">
        <v>1304</v>
      </c>
      <c r="R771" s="2" t="s">
        <v>1320</v>
      </c>
      <c r="S771" s="2">
        <v>579</v>
      </c>
      <c r="T771" s="2">
        <v>1</v>
      </c>
      <c r="U771" s="2" t="s">
        <v>141</v>
      </c>
      <c r="Y771" s="2">
        <v>1700</v>
      </c>
      <c r="Z771" s="11" t="s">
        <v>54</v>
      </c>
      <c r="AA771" s="11" t="str">
        <f t="shared" si="53"/>
        <v>1700 - TBN</v>
      </c>
      <c r="AC771" s="2" t="s">
        <v>145</v>
      </c>
      <c r="AD771" s="11" t="str">
        <f>IF($I771&lt;&gt;"",VLOOKUP($AC771,GEADRESSEERDE!$A$2:$E$4,2,),"")</f>
        <v>LUITHAGEN HAVEN 2 D</v>
      </c>
      <c r="AE771" s="11">
        <f>IF($I771&lt;&gt;"",VLOOKUP($AC771,GEADRESSEERDE!$A$2:$E$4,3,),"")</f>
        <v>2030</v>
      </c>
      <c r="AF771" s="11" t="str">
        <f>IF($I771&lt;&gt;"",VLOOKUP($AC771,GEADRESSEERDE!$A$2:$E$4,4,),"")</f>
        <v>ANTWERPEN</v>
      </c>
      <c r="AG771" s="11" t="str">
        <f>IF($I771&lt;&gt;"",VLOOKUP($AC771,GEADRESSEERDE!$A$2:$E$4,5,),"")</f>
        <v>BE</v>
      </c>
      <c r="AH771" s="11" t="str">
        <f>IF(I771&lt;&gt;"",VLOOKUP(AP771,KvB!$A$2:$B$3,2,FALSE),"")</f>
        <v>BE101000</v>
      </c>
      <c r="AI771" s="11" t="s">
        <v>55</v>
      </c>
      <c r="AJ771" s="11"/>
      <c r="AK771" s="11"/>
      <c r="AL771" s="11"/>
      <c r="AM771" s="11"/>
      <c r="AN771" s="11"/>
      <c r="AO771" s="11"/>
      <c r="AP771" s="2" t="s">
        <v>70</v>
      </c>
      <c r="AQ771" s="11" t="str">
        <f>IF(I771&lt;&gt;"",DATA!D770,"")</f>
        <v>8713100000</v>
      </c>
    </row>
    <row r="772" spans="1:43" ht="15.75" x14ac:dyDescent="0.25">
      <c r="A772" s="11" t="s">
        <v>57</v>
      </c>
      <c r="B772" s="11" t="s">
        <v>56</v>
      </c>
      <c r="C772" s="22">
        <f t="shared" si="50"/>
        <v>25001620</v>
      </c>
      <c r="D772" s="11" t="str">
        <f t="shared" si="51"/>
        <v>SKIIFM_AT</v>
      </c>
      <c r="E772" s="11" t="str">
        <f>IF(I772&lt;&gt;"",VLOOKUP(F772,OPDRACHTGEVER!$A$2:$B$4,2,FALSE),"")</f>
        <v>SKIIFM_AT</v>
      </c>
      <c r="F772" s="11" t="s">
        <v>58</v>
      </c>
      <c r="I772" s="11" t="str">
        <f>IF(DATA!B771&lt;&gt;"",DATA!B771,"")</f>
        <v>FCIU8041691</v>
      </c>
      <c r="J772" s="12">
        <v>0</v>
      </c>
      <c r="K772" s="11" t="s">
        <v>53</v>
      </c>
      <c r="L772" s="11" t="str">
        <f t="shared" si="52"/>
        <v>847989</v>
      </c>
      <c r="M772" s="11" t="str">
        <f>IF(I772&lt;&gt;"",DATA!E771,"")</f>
        <v>WINDING MACHINE</v>
      </c>
      <c r="N772" s="12">
        <v>0</v>
      </c>
      <c r="O772" s="11">
        <f>IF(I772&lt;&gt;"",DATA!C771,"")</f>
        <v>105.3</v>
      </c>
      <c r="P772" s="2">
        <v>294094</v>
      </c>
      <c r="Q772" s="2" t="s">
        <v>1304</v>
      </c>
      <c r="R772" s="2" t="s">
        <v>1320</v>
      </c>
      <c r="S772" s="2">
        <v>579</v>
      </c>
      <c r="T772" s="2">
        <v>1</v>
      </c>
      <c r="U772" s="2" t="s">
        <v>141</v>
      </c>
      <c r="Y772" s="2">
        <v>1700</v>
      </c>
      <c r="Z772" s="11" t="s">
        <v>54</v>
      </c>
      <c r="AA772" s="11" t="str">
        <f t="shared" si="53"/>
        <v>1700 - TBN</v>
      </c>
      <c r="AC772" s="2" t="s">
        <v>145</v>
      </c>
      <c r="AD772" s="11" t="str">
        <f>IF($I772&lt;&gt;"",VLOOKUP($AC772,GEADRESSEERDE!$A$2:$E$4,2,),"")</f>
        <v>LUITHAGEN HAVEN 2 D</v>
      </c>
      <c r="AE772" s="11">
        <f>IF($I772&lt;&gt;"",VLOOKUP($AC772,GEADRESSEERDE!$A$2:$E$4,3,),"")</f>
        <v>2030</v>
      </c>
      <c r="AF772" s="11" t="str">
        <f>IF($I772&lt;&gt;"",VLOOKUP($AC772,GEADRESSEERDE!$A$2:$E$4,4,),"")</f>
        <v>ANTWERPEN</v>
      </c>
      <c r="AG772" s="11" t="str">
        <f>IF($I772&lt;&gt;"",VLOOKUP($AC772,GEADRESSEERDE!$A$2:$E$4,5,),"")</f>
        <v>BE</v>
      </c>
      <c r="AH772" s="11" t="str">
        <f>IF(I772&lt;&gt;"",VLOOKUP(AP772,KvB!$A$2:$B$3,2,FALSE),"")</f>
        <v>BE101000</v>
      </c>
      <c r="AI772" s="11" t="s">
        <v>55</v>
      </c>
      <c r="AJ772" s="11"/>
      <c r="AK772" s="11"/>
      <c r="AL772" s="11"/>
      <c r="AM772" s="11"/>
      <c r="AN772" s="11"/>
      <c r="AO772" s="11"/>
      <c r="AP772" s="2" t="s">
        <v>70</v>
      </c>
      <c r="AQ772" s="11" t="str">
        <f>IF(I772&lt;&gt;"",DATA!D771,"")</f>
        <v>8479899790</v>
      </c>
    </row>
    <row r="773" spans="1:43" ht="15.75" x14ac:dyDescent="0.25">
      <c r="A773" s="11" t="s">
        <v>57</v>
      </c>
      <c r="B773" s="11" t="s">
        <v>56</v>
      </c>
      <c r="C773" s="22">
        <f t="shared" ref="C773:C836" si="54">C772</f>
        <v>25001620</v>
      </c>
      <c r="D773" s="11" t="str">
        <f t="shared" si="51"/>
        <v>SKIIFM_AT</v>
      </c>
      <c r="E773" s="11" t="str">
        <f>IF(I773&lt;&gt;"",VLOOKUP(F773,OPDRACHTGEVER!$A$2:$B$4,2,FALSE),"")</f>
        <v>SKIIFM_AT</v>
      </c>
      <c r="F773" s="11" t="s">
        <v>58</v>
      </c>
      <c r="I773" s="11" t="str">
        <f>IF(DATA!B772&lt;&gt;"",DATA!B772,"")</f>
        <v>FDCU0098520</v>
      </c>
      <c r="J773" s="12">
        <v>1303</v>
      </c>
      <c r="K773" s="11" t="s">
        <v>53</v>
      </c>
      <c r="L773" s="11" t="str">
        <f t="shared" si="52"/>
        <v>841319</v>
      </c>
      <c r="M773" s="11" t="str">
        <f>IF(I773&lt;&gt;"",DATA!E772,"")</f>
        <v>AUTOMOBILE FUEL PUMP</v>
      </c>
      <c r="N773" s="12">
        <v>14040</v>
      </c>
      <c r="O773" s="11">
        <f>IF(I773&lt;&gt;"",DATA!C772,"")</f>
        <v>253.7</v>
      </c>
      <c r="P773" s="2">
        <v>294094</v>
      </c>
      <c r="Q773" s="2" t="s">
        <v>1304</v>
      </c>
      <c r="R773" s="2" t="s">
        <v>1321</v>
      </c>
      <c r="S773" s="2">
        <v>296</v>
      </c>
      <c r="T773" s="2">
        <v>1</v>
      </c>
      <c r="U773" s="2" t="s">
        <v>141</v>
      </c>
      <c r="Y773" s="2">
        <v>1700</v>
      </c>
      <c r="Z773" s="11" t="s">
        <v>54</v>
      </c>
      <c r="AA773" s="11" t="str">
        <f t="shared" si="53"/>
        <v>1700 - TBN</v>
      </c>
      <c r="AC773" s="2" t="s">
        <v>145</v>
      </c>
      <c r="AD773" s="11" t="str">
        <f>IF($I773&lt;&gt;"",VLOOKUP($AC773,GEADRESSEERDE!$A$2:$E$4,2,),"")</f>
        <v>LUITHAGEN HAVEN 2 D</v>
      </c>
      <c r="AE773" s="11">
        <f>IF($I773&lt;&gt;"",VLOOKUP($AC773,GEADRESSEERDE!$A$2:$E$4,3,),"")</f>
        <v>2030</v>
      </c>
      <c r="AF773" s="11" t="str">
        <f>IF($I773&lt;&gt;"",VLOOKUP($AC773,GEADRESSEERDE!$A$2:$E$4,4,),"")</f>
        <v>ANTWERPEN</v>
      </c>
      <c r="AG773" s="11" t="str">
        <f>IF($I773&lt;&gt;"",VLOOKUP($AC773,GEADRESSEERDE!$A$2:$E$4,5,),"")</f>
        <v>BE</v>
      </c>
      <c r="AH773" s="11" t="str">
        <f>IF(I773&lt;&gt;"",VLOOKUP(AP773,KvB!$A$2:$B$3,2,FALSE),"")</f>
        <v>BE101000</v>
      </c>
      <c r="AI773" s="11" t="s">
        <v>55</v>
      </c>
      <c r="AJ773" s="11"/>
      <c r="AK773" s="11"/>
      <c r="AL773" s="11"/>
      <c r="AM773" s="11"/>
      <c r="AN773" s="11"/>
      <c r="AO773" s="11"/>
      <c r="AP773" s="2" t="s">
        <v>70</v>
      </c>
      <c r="AQ773" s="11" t="str">
        <f>IF(I773&lt;&gt;"",DATA!D772,"")</f>
        <v>8413190090</v>
      </c>
    </row>
    <row r="774" spans="1:43" ht="15.75" x14ac:dyDescent="0.25">
      <c r="A774" s="11" t="s">
        <v>57</v>
      </c>
      <c r="B774" s="11" t="s">
        <v>56</v>
      </c>
      <c r="C774" s="22">
        <f t="shared" si="54"/>
        <v>25001620</v>
      </c>
      <c r="D774" s="11" t="str">
        <f t="shared" si="51"/>
        <v>SKIIFM_AT</v>
      </c>
      <c r="E774" s="11" t="str">
        <f>IF(I774&lt;&gt;"",VLOOKUP(F774,OPDRACHTGEVER!$A$2:$B$4,2,FALSE),"")</f>
        <v>SKIIFM_AT</v>
      </c>
      <c r="F774" s="11" t="s">
        <v>58</v>
      </c>
      <c r="I774" s="11" t="str">
        <f>IF(DATA!B773&lt;&gt;"",DATA!B773,"")</f>
        <v>FDCU0098520</v>
      </c>
      <c r="J774" s="12">
        <v>0</v>
      </c>
      <c r="K774" s="11" t="s">
        <v>53</v>
      </c>
      <c r="L774" s="11" t="str">
        <f t="shared" si="52"/>
        <v>845929</v>
      </c>
      <c r="M774" s="11" t="str">
        <f>IF(I774&lt;&gt;"",DATA!E773,"")</f>
        <v>BENCH DRILL</v>
      </c>
      <c r="N774" s="12">
        <v>0</v>
      </c>
      <c r="O774" s="11">
        <f>IF(I774&lt;&gt;"",DATA!C773,"")</f>
        <v>1295.8</v>
      </c>
      <c r="P774" s="2">
        <v>294094</v>
      </c>
      <c r="Q774" s="2" t="s">
        <v>1304</v>
      </c>
      <c r="R774" s="2" t="s">
        <v>1321</v>
      </c>
      <c r="S774" s="2">
        <v>296</v>
      </c>
      <c r="T774" s="2">
        <v>1</v>
      </c>
      <c r="U774" s="2" t="s">
        <v>141</v>
      </c>
      <c r="Y774" s="2">
        <v>1700</v>
      </c>
      <c r="Z774" s="11" t="s">
        <v>54</v>
      </c>
      <c r="AA774" s="11" t="str">
        <f t="shared" si="53"/>
        <v>1700 - TBN</v>
      </c>
      <c r="AC774" s="2" t="s">
        <v>145</v>
      </c>
      <c r="AD774" s="11" t="str">
        <f>IF($I774&lt;&gt;"",VLOOKUP($AC774,GEADRESSEERDE!$A$2:$E$4,2,),"")</f>
        <v>LUITHAGEN HAVEN 2 D</v>
      </c>
      <c r="AE774" s="11">
        <f>IF($I774&lt;&gt;"",VLOOKUP($AC774,GEADRESSEERDE!$A$2:$E$4,3,),"")</f>
        <v>2030</v>
      </c>
      <c r="AF774" s="11" t="str">
        <f>IF($I774&lt;&gt;"",VLOOKUP($AC774,GEADRESSEERDE!$A$2:$E$4,4,),"")</f>
        <v>ANTWERPEN</v>
      </c>
      <c r="AG774" s="11" t="str">
        <f>IF($I774&lt;&gt;"",VLOOKUP($AC774,GEADRESSEERDE!$A$2:$E$4,5,),"")</f>
        <v>BE</v>
      </c>
      <c r="AH774" s="11" t="str">
        <f>IF(I774&lt;&gt;"",VLOOKUP(AP774,KvB!$A$2:$B$3,2,FALSE),"")</f>
        <v>BE101000</v>
      </c>
      <c r="AI774" s="11" t="s">
        <v>55</v>
      </c>
      <c r="AJ774" s="11"/>
      <c r="AK774" s="11"/>
      <c r="AL774" s="11"/>
      <c r="AM774" s="11"/>
      <c r="AN774" s="11"/>
      <c r="AO774" s="11"/>
      <c r="AP774" s="2" t="s">
        <v>70</v>
      </c>
      <c r="AQ774" s="11" t="str">
        <f>IF(I774&lt;&gt;"",DATA!D773,"")</f>
        <v>8459290000</v>
      </c>
    </row>
    <row r="775" spans="1:43" ht="15.75" x14ac:dyDescent="0.25">
      <c r="A775" s="11" t="s">
        <v>57</v>
      </c>
      <c r="B775" s="11" t="s">
        <v>56</v>
      </c>
      <c r="C775" s="22">
        <f t="shared" si="54"/>
        <v>25001620</v>
      </c>
      <c r="D775" s="11" t="str">
        <f t="shared" si="51"/>
        <v>SKIIFM_AT</v>
      </c>
      <c r="E775" s="11" t="str">
        <f>IF(I775&lt;&gt;"",VLOOKUP(F775,OPDRACHTGEVER!$A$2:$B$4,2,FALSE),"")</f>
        <v>SKIIFM_AT</v>
      </c>
      <c r="F775" s="11" t="s">
        <v>58</v>
      </c>
      <c r="I775" s="11" t="str">
        <f>IF(DATA!B774&lt;&gt;"",DATA!B774,"")</f>
        <v>FDCU0098520</v>
      </c>
      <c r="J775" s="12">
        <v>0</v>
      </c>
      <c r="K775" s="11" t="s">
        <v>53</v>
      </c>
      <c r="L775" s="11" t="str">
        <f t="shared" si="52"/>
        <v>741920</v>
      </c>
      <c r="M775" s="11" t="str">
        <f>IF(I775&lt;&gt;"",DATA!E774,"")</f>
        <v>CHAIN WITH HOOK</v>
      </c>
      <c r="N775" s="12">
        <v>0</v>
      </c>
      <c r="O775" s="11">
        <f>IF(I775&lt;&gt;"",DATA!C774,"")</f>
        <v>83.95</v>
      </c>
      <c r="P775" s="2">
        <v>294094</v>
      </c>
      <c r="Q775" s="2" t="s">
        <v>1304</v>
      </c>
      <c r="R775" s="2" t="s">
        <v>1321</v>
      </c>
      <c r="S775" s="2">
        <v>296</v>
      </c>
      <c r="T775" s="2">
        <v>1</v>
      </c>
      <c r="U775" s="2" t="s">
        <v>141</v>
      </c>
      <c r="Y775" s="2">
        <v>1700</v>
      </c>
      <c r="Z775" s="11" t="s">
        <v>54</v>
      </c>
      <c r="AA775" s="11" t="str">
        <f t="shared" si="53"/>
        <v>1700 - TBN</v>
      </c>
      <c r="AC775" s="2" t="s">
        <v>145</v>
      </c>
      <c r="AD775" s="11" t="str">
        <f>IF($I775&lt;&gt;"",VLOOKUP($AC775,GEADRESSEERDE!$A$2:$E$4,2,),"")</f>
        <v>LUITHAGEN HAVEN 2 D</v>
      </c>
      <c r="AE775" s="11">
        <f>IF($I775&lt;&gt;"",VLOOKUP($AC775,GEADRESSEERDE!$A$2:$E$4,3,),"")</f>
        <v>2030</v>
      </c>
      <c r="AF775" s="11" t="str">
        <f>IF($I775&lt;&gt;"",VLOOKUP($AC775,GEADRESSEERDE!$A$2:$E$4,4,),"")</f>
        <v>ANTWERPEN</v>
      </c>
      <c r="AG775" s="11" t="str">
        <f>IF($I775&lt;&gt;"",VLOOKUP($AC775,GEADRESSEERDE!$A$2:$E$4,5,),"")</f>
        <v>BE</v>
      </c>
      <c r="AH775" s="11" t="str">
        <f>IF(I775&lt;&gt;"",VLOOKUP(AP775,KvB!$A$2:$B$3,2,FALSE),"")</f>
        <v>BE101000</v>
      </c>
      <c r="AI775" s="11" t="s">
        <v>55</v>
      </c>
      <c r="AJ775" s="11"/>
      <c r="AK775" s="11"/>
      <c r="AL775" s="11"/>
      <c r="AM775" s="11"/>
      <c r="AN775" s="11"/>
      <c r="AO775" s="11"/>
      <c r="AP775" s="2" t="s">
        <v>70</v>
      </c>
      <c r="AQ775" s="11" t="str">
        <f>IF(I775&lt;&gt;"",DATA!D774,"")</f>
        <v>7419200090</v>
      </c>
    </row>
    <row r="776" spans="1:43" ht="15.75" x14ac:dyDescent="0.25">
      <c r="A776" s="11" t="s">
        <v>57</v>
      </c>
      <c r="B776" s="11" t="s">
        <v>56</v>
      </c>
      <c r="C776" s="22">
        <f t="shared" si="54"/>
        <v>25001620</v>
      </c>
      <c r="D776" s="11" t="str">
        <f t="shared" si="51"/>
        <v>SKIIFM_AT</v>
      </c>
      <c r="E776" s="11" t="str">
        <f>IF(I776&lt;&gt;"",VLOOKUP(F776,OPDRACHTGEVER!$A$2:$B$4,2,FALSE),"")</f>
        <v>SKIIFM_AT</v>
      </c>
      <c r="F776" s="11" t="s">
        <v>58</v>
      </c>
      <c r="I776" s="11" t="str">
        <f>IF(DATA!B775&lt;&gt;"",DATA!B775,"")</f>
        <v>FDCU0098520</v>
      </c>
      <c r="J776" s="12">
        <v>0</v>
      </c>
      <c r="K776" s="11" t="s">
        <v>53</v>
      </c>
      <c r="L776" s="11" t="str">
        <f t="shared" si="52"/>
        <v>940370</v>
      </c>
      <c r="M776" s="11" t="str">
        <f>IF(I776&lt;&gt;"",DATA!E775,"")</f>
        <v>DIAPER CHANGE STATION</v>
      </c>
      <c r="N776" s="12">
        <v>0</v>
      </c>
      <c r="O776" s="11">
        <f>IF(I776&lt;&gt;"",DATA!C775,"")</f>
        <v>790.85</v>
      </c>
      <c r="P776" s="2">
        <v>294094</v>
      </c>
      <c r="Q776" s="2" t="s">
        <v>1304</v>
      </c>
      <c r="R776" s="2" t="s">
        <v>1321</v>
      </c>
      <c r="S776" s="2">
        <v>296</v>
      </c>
      <c r="T776" s="2">
        <v>1</v>
      </c>
      <c r="U776" s="2" t="s">
        <v>141</v>
      </c>
      <c r="Y776" s="2">
        <v>1700</v>
      </c>
      <c r="Z776" s="11" t="s">
        <v>54</v>
      </c>
      <c r="AA776" s="11" t="str">
        <f t="shared" si="53"/>
        <v>1700 - TBN</v>
      </c>
      <c r="AC776" s="2" t="s">
        <v>145</v>
      </c>
      <c r="AD776" s="11" t="str">
        <f>IF($I776&lt;&gt;"",VLOOKUP($AC776,GEADRESSEERDE!$A$2:$E$4,2,),"")</f>
        <v>LUITHAGEN HAVEN 2 D</v>
      </c>
      <c r="AE776" s="11">
        <f>IF($I776&lt;&gt;"",VLOOKUP($AC776,GEADRESSEERDE!$A$2:$E$4,3,),"")</f>
        <v>2030</v>
      </c>
      <c r="AF776" s="11" t="str">
        <f>IF($I776&lt;&gt;"",VLOOKUP($AC776,GEADRESSEERDE!$A$2:$E$4,4,),"")</f>
        <v>ANTWERPEN</v>
      </c>
      <c r="AG776" s="11" t="str">
        <f>IF($I776&lt;&gt;"",VLOOKUP($AC776,GEADRESSEERDE!$A$2:$E$4,5,),"")</f>
        <v>BE</v>
      </c>
      <c r="AH776" s="11" t="str">
        <f>IF(I776&lt;&gt;"",VLOOKUP(AP776,KvB!$A$2:$B$3,2,FALSE),"")</f>
        <v>BE101000</v>
      </c>
      <c r="AI776" s="11" t="s">
        <v>55</v>
      </c>
      <c r="AJ776" s="11"/>
      <c r="AK776" s="11"/>
      <c r="AL776" s="11"/>
      <c r="AM776" s="11"/>
      <c r="AN776" s="11"/>
      <c r="AO776" s="11"/>
      <c r="AP776" s="2" t="s">
        <v>70</v>
      </c>
      <c r="AQ776" s="11" t="str">
        <f>IF(I776&lt;&gt;"",DATA!D775,"")</f>
        <v>9403700000</v>
      </c>
    </row>
    <row r="777" spans="1:43" ht="15.75" x14ac:dyDescent="0.25">
      <c r="A777" s="11" t="s">
        <v>57</v>
      </c>
      <c r="B777" s="11" t="s">
        <v>56</v>
      </c>
      <c r="C777" s="22">
        <f t="shared" si="54"/>
        <v>25001620</v>
      </c>
      <c r="D777" s="11" t="str">
        <f t="shared" si="51"/>
        <v>SKIIFM_AT</v>
      </c>
      <c r="E777" s="11" t="str">
        <f>IF(I777&lt;&gt;"",VLOOKUP(F777,OPDRACHTGEVER!$A$2:$B$4,2,FALSE),"")</f>
        <v>SKIIFM_AT</v>
      </c>
      <c r="F777" s="11" t="s">
        <v>58</v>
      </c>
      <c r="I777" s="11" t="str">
        <f>IF(DATA!B776&lt;&gt;"",DATA!B776,"")</f>
        <v>FDCU0098520</v>
      </c>
      <c r="J777" s="12">
        <v>0</v>
      </c>
      <c r="K777" s="11" t="s">
        <v>53</v>
      </c>
      <c r="L777" s="11" t="str">
        <f t="shared" si="52"/>
        <v>844110</v>
      </c>
      <c r="M777" s="11" t="str">
        <f>IF(I777&lt;&gt;"",DATA!E776,"")</f>
        <v>DIE-CUTTING MACHINE</v>
      </c>
      <c r="N777" s="12">
        <v>0</v>
      </c>
      <c r="O777" s="11">
        <f>IF(I777&lt;&gt;"",DATA!C776,"")</f>
        <v>691.8</v>
      </c>
      <c r="P777" s="2">
        <v>294094</v>
      </c>
      <c r="Q777" s="2" t="s">
        <v>1304</v>
      </c>
      <c r="R777" s="2" t="s">
        <v>1321</v>
      </c>
      <c r="S777" s="2">
        <v>296</v>
      </c>
      <c r="T777" s="2">
        <v>1</v>
      </c>
      <c r="U777" s="2" t="s">
        <v>141</v>
      </c>
      <c r="Y777" s="2">
        <v>1700</v>
      </c>
      <c r="Z777" s="11" t="s">
        <v>54</v>
      </c>
      <c r="AA777" s="11" t="str">
        <f t="shared" si="53"/>
        <v>1700 - TBN</v>
      </c>
      <c r="AC777" s="2" t="s">
        <v>145</v>
      </c>
      <c r="AD777" s="11" t="str">
        <f>IF($I777&lt;&gt;"",VLOOKUP($AC777,GEADRESSEERDE!$A$2:$E$4,2,),"")</f>
        <v>LUITHAGEN HAVEN 2 D</v>
      </c>
      <c r="AE777" s="11">
        <f>IF($I777&lt;&gt;"",VLOOKUP($AC777,GEADRESSEERDE!$A$2:$E$4,3,),"")</f>
        <v>2030</v>
      </c>
      <c r="AF777" s="11" t="str">
        <f>IF($I777&lt;&gt;"",VLOOKUP($AC777,GEADRESSEERDE!$A$2:$E$4,4,),"")</f>
        <v>ANTWERPEN</v>
      </c>
      <c r="AG777" s="11" t="str">
        <f>IF($I777&lt;&gt;"",VLOOKUP($AC777,GEADRESSEERDE!$A$2:$E$4,5,),"")</f>
        <v>BE</v>
      </c>
      <c r="AH777" s="11" t="str">
        <f>IF(I777&lt;&gt;"",VLOOKUP(AP777,KvB!$A$2:$B$3,2,FALSE),"")</f>
        <v>BE101000</v>
      </c>
      <c r="AI777" s="11" t="s">
        <v>55</v>
      </c>
      <c r="AJ777" s="11"/>
      <c r="AK777" s="11"/>
      <c r="AL777" s="11"/>
      <c r="AM777" s="11"/>
      <c r="AN777" s="11"/>
      <c r="AO777" s="11"/>
      <c r="AP777" s="2" t="s">
        <v>70</v>
      </c>
      <c r="AQ777" s="11" t="str">
        <f>IF(I777&lt;&gt;"",DATA!D776,"")</f>
        <v>8441107000</v>
      </c>
    </row>
    <row r="778" spans="1:43" ht="15.75" x14ac:dyDescent="0.25">
      <c r="A778" s="11" t="s">
        <v>57</v>
      </c>
      <c r="B778" s="11" t="s">
        <v>56</v>
      </c>
      <c r="C778" s="22">
        <f t="shared" si="54"/>
        <v>25001620</v>
      </c>
      <c r="D778" s="11" t="str">
        <f t="shared" si="51"/>
        <v>SKIIFM_AT</v>
      </c>
      <c r="E778" s="11" t="str">
        <f>IF(I778&lt;&gt;"",VLOOKUP(F778,OPDRACHTGEVER!$A$2:$B$4,2,FALSE),"")</f>
        <v>SKIIFM_AT</v>
      </c>
      <c r="F778" s="11" t="s">
        <v>58</v>
      </c>
      <c r="I778" s="11" t="str">
        <f>IF(DATA!B777&lt;&gt;"",DATA!B777,"")</f>
        <v>FDCU0098520</v>
      </c>
      <c r="J778" s="12">
        <v>0</v>
      </c>
      <c r="K778" s="11" t="s">
        <v>53</v>
      </c>
      <c r="L778" s="11" t="str">
        <f t="shared" si="52"/>
        <v>830260</v>
      </c>
      <c r="M778" s="11" t="str">
        <f>IF(I778&lt;&gt;"",DATA!E777,"")</f>
        <v>DOOR CLOSERS</v>
      </c>
      <c r="N778" s="12">
        <v>0</v>
      </c>
      <c r="O778" s="11">
        <f>IF(I778&lt;&gt;"",DATA!C777,"")</f>
        <v>5.25</v>
      </c>
      <c r="P778" s="2">
        <v>294094</v>
      </c>
      <c r="Q778" s="2" t="s">
        <v>1304</v>
      </c>
      <c r="R778" s="2" t="s">
        <v>1321</v>
      </c>
      <c r="S778" s="2">
        <v>296</v>
      </c>
      <c r="T778" s="2">
        <v>1</v>
      </c>
      <c r="U778" s="2" t="s">
        <v>141</v>
      </c>
      <c r="Y778" s="2">
        <v>1700</v>
      </c>
      <c r="Z778" s="11" t="s">
        <v>54</v>
      </c>
      <c r="AA778" s="11" t="str">
        <f t="shared" si="53"/>
        <v>1700 - TBN</v>
      </c>
      <c r="AC778" s="2" t="s">
        <v>145</v>
      </c>
      <c r="AD778" s="11" t="str">
        <f>IF($I778&lt;&gt;"",VLOOKUP($AC778,GEADRESSEERDE!$A$2:$E$4,2,),"")</f>
        <v>LUITHAGEN HAVEN 2 D</v>
      </c>
      <c r="AE778" s="11">
        <f>IF($I778&lt;&gt;"",VLOOKUP($AC778,GEADRESSEERDE!$A$2:$E$4,3,),"")</f>
        <v>2030</v>
      </c>
      <c r="AF778" s="11" t="str">
        <f>IF($I778&lt;&gt;"",VLOOKUP($AC778,GEADRESSEERDE!$A$2:$E$4,4,),"")</f>
        <v>ANTWERPEN</v>
      </c>
      <c r="AG778" s="11" t="str">
        <f>IF($I778&lt;&gt;"",VLOOKUP($AC778,GEADRESSEERDE!$A$2:$E$4,5,),"")</f>
        <v>BE</v>
      </c>
      <c r="AH778" s="11" t="str">
        <f>IF(I778&lt;&gt;"",VLOOKUP(AP778,KvB!$A$2:$B$3,2,FALSE),"")</f>
        <v>BE101000</v>
      </c>
      <c r="AI778" s="11" t="s">
        <v>55</v>
      </c>
      <c r="AJ778" s="11"/>
      <c r="AK778" s="11"/>
      <c r="AL778" s="11"/>
      <c r="AM778" s="11"/>
      <c r="AN778" s="11"/>
      <c r="AO778" s="11"/>
      <c r="AP778" s="2" t="s">
        <v>70</v>
      </c>
      <c r="AQ778" s="11" t="str">
        <f>IF(I778&lt;&gt;"",DATA!D777,"")</f>
        <v>8302600090</v>
      </c>
    </row>
    <row r="779" spans="1:43" ht="15.75" x14ac:dyDescent="0.25">
      <c r="A779" s="11" t="s">
        <v>57</v>
      </c>
      <c r="B779" s="11" t="s">
        <v>56</v>
      </c>
      <c r="C779" s="22">
        <f t="shared" si="54"/>
        <v>25001620</v>
      </c>
      <c r="D779" s="11" t="str">
        <f t="shared" si="51"/>
        <v>SKIIFM_AT</v>
      </c>
      <c r="E779" s="11" t="str">
        <f>IF(I779&lt;&gt;"",VLOOKUP(F779,OPDRACHTGEVER!$A$2:$B$4,2,FALSE),"")</f>
        <v>SKIIFM_AT</v>
      </c>
      <c r="F779" s="11" t="s">
        <v>58</v>
      </c>
      <c r="I779" s="11" t="str">
        <f>IF(DATA!B778&lt;&gt;"",DATA!B778,"")</f>
        <v>FDCU0098520</v>
      </c>
      <c r="J779" s="12">
        <v>0</v>
      </c>
      <c r="K779" s="11" t="s">
        <v>53</v>
      </c>
      <c r="L779" s="11" t="str">
        <f t="shared" si="52"/>
        <v>851660</v>
      </c>
      <c r="M779" s="11" t="str">
        <f>IF(I779&lt;&gt;"",DATA!E778,"")</f>
        <v>ELECTRIC ROTISSERIE</v>
      </c>
      <c r="N779" s="12">
        <v>0</v>
      </c>
      <c r="O779" s="11">
        <f>IF(I779&lt;&gt;"",DATA!C778,"")</f>
        <v>1363.05</v>
      </c>
      <c r="P779" s="2">
        <v>294094</v>
      </c>
      <c r="Q779" s="2" t="s">
        <v>1304</v>
      </c>
      <c r="R779" s="2" t="s">
        <v>1321</v>
      </c>
      <c r="S779" s="2">
        <v>296</v>
      </c>
      <c r="T779" s="2">
        <v>1</v>
      </c>
      <c r="U779" s="2" t="s">
        <v>141</v>
      </c>
      <c r="Y779" s="2">
        <v>1700</v>
      </c>
      <c r="Z779" s="11" t="s">
        <v>54</v>
      </c>
      <c r="AA779" s="11" t="str">
        <f t="shared" si="53"/>
        <v>1700 - TBN</v>
      </c>
      <c r="AC779" s="2" t="s">
        <v>145</v>
      </c>
      <c r="AD779" s="11" t="str">
        <f>IF($I779&lt;&gt;"",VLOOKUP($AC779,GEADRESSEERDE!$A$2:$E$4,2,),"")</f>
        <v>LUITHAGEN HAVEN 2 D</v>
      </c>
      <c r="AE779" s="11">
        <f>IF($I779&lt;&gt;"",VLOOKUP($AC779,GEADRESSEERDE!$A$2:$E$4,3,),"")</f>
        <v>2030</v>
      </c>
      <c r="AF779" s="11" t="str">
        <f>IF($I779&lt;&gt;"",VLOOKUP($AC779,GEADRESSEERDE!$A$2:$E$4,4,),"")</f>
        <v>ANTWERPEN</v>
      </c>
      <c r="AG779" s="11" t="str">
        <f>IF($I779&lt;&gt;"",VLOOKUP($AC779,GEADRESSEERDE!$A$2:$E$4,5,),"")</f>
        <v>BE</v>
      </c>
      <c r="AH779" s="11" t="str">
        <f>IF(I779&lt;&gt;"",VLOOKUP(AP779,KvB!$A$2:$B$3,2,FALSE),"")</f>
        <v>BE101000</v>
      </c>
      <c r="AI779" s="11" t="s">
        <v>55</v>
      </c>
      <c r="AJ779" s="11"/>
      <c r="AK779" s="11"/>
      <c r="AL779" s="11"/>
      <c r="AM779" s="11"/>
      <c r="AN779" s="11"/>
      <c r="AO779" s="11"/>
      <c r="AP779" s="2" t="s">
        <v>70</v>
      </c>
      <c r="AQ779" s="11" t="str">
        <f>IF(I779&lt;&gt;"",DATA!D778,"")</f>
        <v>8516609000</v>
      </c>
    </row>
    <row r="780" spans="1:43" ht="15.75" x14ac:dyDescent="0.25">
      <c r="A780" s="11" t="s">
        <v>57</v>
      </c>
      <c r="B780" s="11" t="s">
        <v>56</v>
      </c>
      <c r="C780" s="22">
        <f t="shared" si="54"/>
        <v>25001620</v>
      </c>
      <c r="D780" s="11" t="str">
        <f t="shared" si="51"/>
        <v>SKIIFM_AT</v>
      </c>
      <c r="E780" s="11" t="str">
        <f>IF(I780&lt;&gt;"",VLOOKUP(F780,OPDRACHTGEVER!$A$2:$B$4,2,FALSE),"")</f>
        <v>SKIIFM_AT</v>
      </c>
      <c r="F780" s="11" t="s">
        <v>58</v>
      </c>
      <c r="I780" s="11" t="str">
        <f>IF(DATA!B779&lt;&gt;"",DATA!B779,"")</f>
        <v>FDCU0098520</v>
      </c>
      <c r="J780" s="12">
        <v>0</v>
      </c>
      <c r="K780" s="11" t="s">
        <v>53</v>
      </c>
      <c r="L780" s="11" t="str">
        <f t="shared" si="52"/>
        <v>850231</v>
      </c>
      <c r="M780" s="11" t="str">
        <f>IF(I780&lt;&gt;"",DATA!E779,"")</f>
        <v>FAN TYPE WIND TURBINE GENERATOR</v>
      </c>
      <c r="N780" s="12">
        <v>0</v>
      </c>
      <c r="O780" s="11">
        <f>IF(I780&lt;&gt;"",DATA!C779,"")</f>
        <v>305.45</v>
      </c>
      <c r="P780" s="2">
        <v>294094</v>
      </c>
      <c r="Q780" s="2" t="s">
        <v>1304</v>
      </c>
      <c r="R780" s="2" t="s">
        <v>1321</v>
      </c>
      <c r="S780" s="2">
        <v>296</v>
      </c>
      <c r="T780" s="2">
        <v>1</v>
      </c>
      <c r="U780" s="2" t="s">
        <v>141</v>
      </c>
      <c r="Y780" s="2">
        <v>1700</v>
      </c>
      <c r="Z780" s="11" t="s">
        <v>54</v>
      </c>
      <c r="AA780" s="11" t="str">
        <f t="shared" si="53"/>
        <v>1700 - TBN</v>
      </c>
      <c r="AC780" s="2" t="s">
        <v>145</v>
      </c>
      <c r="AD780" s="11" t="str">
        <f>IF($I780&lt;&gt;"",VLOOKUP($AC780,GEADRESSEERDE!$A$2:$E$4,2,),"")</f>
        <v>LUITHAGEN HAVEN 2 D</v>
      </c>
      <c r="AE780" s="11">
        <f>IF($I780&lt;&gt;"",VLOOKUP($AC780,GEADRESSEERDE!$A$2:$E$4,3,),"")</f>
        <v>2030</v>
      </c>
      <c r="AF780" s="11" t="str">
        <f>IF($I780&lt;&gt;"",VLOOKUP($AC780,GEADRESSEERDE!$A$2:$E$4,4,),"")</f>
        <v>ANTWERPEN</v>
      </c>
      <c r="AG780" s="11" t="str">
        <f>IF($I780&lt;&gt;"",VLOOKUP($AC780,GEADRESSEERDE!$A$2:$E$4,5,),"")</f>
        <v>BE</v>
      </c>
      <c r="AH780" s="11" t="str">
        <f>IF(I780&lt;&gt;"",VLOOKUP(AP780,KvB!$A$2:$B$3,2,FALSE),"")</f>
        <v>BE101000</v>
      </c>
      <c r="AI780" s="11" t="s">
        <v>55</v>
      </c>
      <c r="AJ780" s="11"/>
      <c r="AK780" s="11"/>
      <c r="AL780" s="11"/>
      <c r="AM780" s="11"/>
      <c r="AN780" s="11"/>
      <c r="AO780" s="11"/>
      <c r="AP780" s="2" t="s">
        <v>70</v>
      </c>
      <c r="AQ780" s="11" t="str">
        <f>IF(I780&lt;&gt;"",DATA!D779,"")</f>
        <v>8502310097</v>
      </c>
    </row>
    <row r="781" spans="1:43" ht="15.75" x14ac:dyDescent="0.25">
      <c r="A781" s="11" t="s">
        <v>57</v>
      </c>
      <c r="B781" s="11" t="s">
        <v>56</v>
      </c>
      <c r="C781" s="22">
        <f t="shared" si="54"/>
        <v>25001620</v>
      </c>
      <c r="D781" s="11" t="str">
        <f t="shared" si="51"/>
        <v>SKIIFM_AT</v>
      </c>
      <c r="E781" s="11" t="str">
        <f>IF(I781&lt;&gt;"",VLOOKUP(F781,OPDRACHTGEVER!$A$2:$B$4,2,FALSE),"")</f>
        <v>SKIIFM_AT</v>
      </c>
      <c r="F781" s="11" t="s">
        <v>58</v>
      </c>
      <c r="I781" s="11" t="str">
        <f>IF(DATA!B780&lt;&gt;"",DATA!B780,"")</f>
        <v>FDCU0098520</v>
      </c>
      <c r="J781" s="12">
        <v>0</v>
      </c>
      <c r="K781" s="11" t="s">
        <v>53</v>
      </c>
      <c r="L781" s="11" t="str">
        <f t="shared" si="52"/>
        <v>820559</v>
      </c>
      <c r="M781" s="11" t="str">
        <f>IF(I781&lt;&gt;"",DATA!E780,"")</f>
        <v>F-CLIP</v>
      </c>
      <c r="N781" s="12">
        <v>0</v>
      </c>
      <c r="O781" s="11">
        <f>IF(I781&lt;&gt;"",DATA!C780,"")</f>
        <v>42.6</v>
      </c>
      <c r="P781" s="2">
        <v>294094</v>
      </c>
      <c r="Q781" s="2" t="s">
        <v>1304</v>
      </c>
      <c r="R781" s="2" t="s">
        <v>1321</v>
      </c>
      <c r="S781" s="2">
        <v>296</v>
      </c>
      <c r="T781" s="2">
        <v>1</v>
      </c>
      <c r="U781" s="2" t="s">
        <v>141</v>
      </c>
      <c r="Y781" s="2">
        <v>1700</v>
      </c>
      <c r="Z781" s="11" t="s">
        <v>54</v>
      </c>
      <c r="AA781" s="11" t="str">
        <f t="shared" si="53"/>
        <v>1700 - TBN</v>
      </c>
      <c r="AC781" s="2" t="s">
        <v>145</v>
      </c>
      <c r="AD781" s="11" t="str">
        <f>IF($I781&lt;&gt;"",VLOOKUP($AC781,GEADRESSEERDE!$A$2:$E$4,2,),"")</f>
        <v>LUITHAGEN HAVEN 2 D</v>
      </c>
      <c r="AE781" s="11">
        <f>IF($I781&lt;&gt;"",VLOOKUP($AC781,GEADRESSEERDE!$A$2:$E$4,3,),"")</f>
        <v>2030</v>
      </c>
      <c r="AF781" s="11" t="str">
        <f>IF($I781&lt;&gt;"",VLOOKUP($AC781,GEADRESSEERDE!$A$2:$E$4,4,),"")</f>
        <v>ANTWERPEN</v>
      </c>
      <c r="AG781" s="11" t="str">
        <f>IF($I781&lt;&gt;"",VLOOKUP($AC781,GEADRESSEERDE!$A$2:$E$4,5,),"")</f>
        <v>BE</v>
      </c>
      <c r="AH781" s="11" t="str">
        <f>IF(I781&lt;&gt;"",VLOOKUP(AP781,KvB!$A$2:$B$3,2,FALSE),"")</f>
        <v>BE101000</v>
      </c>
      <c r="AI781" s="11" t="s">
        <v>55</v>
      </c>
      <c r="AJ781" s="11"/>
      <c r="AK781" s="11"/>
      <c r="AL781" s="11"/>
      <c r="AM781" s="11"/>
      <c r="AN781" s="11"/>
      <c r="AO781" s="11"/>
      <c r="AP781" s="2" t="s">
        <v>70</v>
      </c>
      <c r="AQ781" s="11" t="str">
        <f>IF(I781&lt;&gt;"",DATA!D780,"")</f>
        <v>8205598000</v>
      </c>
    </row>
    <row r="782" spans="1:43" ht="15.75" x14ac:dyDescent="0.25">
      <c r="A782" s="11" t="s">
        <v>57</v>
      </c>
      <c r="B782" s="11" t="s">
        <v>56</v>
      </c>
      <c r="C782" s="22">
        <f t="shared" si="54"/>
        <v>25001620</v>
      </c>
      <c r="D782" s="11" t="str">
        <f t="shared" si="51"/>
        <v>SKIIFM_AT</v>
      </c>
      <c r="E782" s="11" t="str">
        <f>IF(I782&lt;&gt;"",VLOOKUP(F782,OPDRACHTGEVER!$A$2:$B$4,2,FALSE),"")</f>
        <v>SKIIFM_AT</v>
      </c>
      <c r="F782" s="11" t="s">
        <v>58</v>
      </c>
      <c r="I782" s="11" t="str">
        <f>IF(DATA!B781&lt;&gt;"",DATA!B781,"")</f>
        <v>FDCU0098520</v>
      </c>
      <c r="J782" s="12">
        <v>0</v>
      </c>
      <c r="K782" s="11" t="s">
        <v>53</v>
      </c>
      <c r="L782" s="11" t="str">
        <f t="shared" si="52"/>
        <v>842199</v>
      </c>
      <c r="M782" s="11" t="str">
        <f>IF(I782&lt;&gt;"",DATA!E781,"")</f>
        <v>FIBER FILTER BALL</v>
      </c>
      <c r="N782" s="12">
        <v>0</v>
      </c>
      <c r="O782" s="11">
        <f>IF(I782&lt;&gt;"",DATA!C781,"")</f>
        <v>3.45</v>
      </c>
      <c r="P782" s="2">
        <v>294094</v>
      </c>
      <c r="Q782" s="2" t="s">
        <v>1304</v>
      </c>
      <c r="R782" s="2" t="s">
        <v>1321</v>
      </c>
      <c r="S782" s="2">
        <v>296</v>
      </c>
      <c r="T782" s="2">
        <v>1</v>
      </c>
      <c r="U782" s="2" t="s">
        <v>141</v>
      </c>
      <c r="Y782" s="2">
        <v>1700</v>
      </c>
      <c r="Z782" s="11" t="s">
        <v>54</v>
      </c>
      <c r="AA782" s="11" t="str">
        <f t="shared" si="53"/>
        <v>1700 - TBN</v>
      </c>
      <c r="AC782" s="2" t="s">
        <v>145</v>
      </c>
      <c r="AD782" s="11" t="str">
        <f>IF($I782&lt;&gt;"",VLOOKUP($AC782,GEADRESSEERDE!$A$2:$E$4,2,),"")</f>
        <v>LUITHAGEN HAVEN 2 D</v>
      </c>
      <c r="AE782" s="11">
        <f>IF($I782&lt;&gt;"",VLOOKUP($AC782,GEADRESSEERDE!$A$2:$E$4,3,),"")</f>
        <v>2030</v>
      </c>
      <c r="AF782" s="11" t="str">
        <f>IF($I782&lt;&gt;"",VLOOKUP($AC782,GEADRESSEERDE!$A$2:$E$4,4,),"")</f>
        <v>ANTWERPEN</v>
      </c>
      <c r="AG782" s="11" t="str">
        <f>IF($I782&lt;&gt;"",VLOOKUP($AC782,GEADRESSEERDE!$A$2:$E$4,5,),"")</f>
        <v>BE</v>
      </c>
      <c r="AH782" s="11" t="str">
        <f>IF(I782&lt;&gt;"",VLOOKUP(AP782,KvB!$A$2:$B$3,2,FALSE),"")</f>
        <v>BE101000</v>
      </c>
      <c r="AI782" s="11" t="s">
        <v>55</v>
      </c>
      <c r="AJ782" s="11"/>
      <c r="AK782" s="11"/>
      <c r="AL782" s="11"/>
      <c r="AM782" s="11"/>
      <c r="AN782" s="11"/>
      <c r="AO782" s="11"/>
      <c r="AP782" s="2" t="s">
        <v>70</v>
      </c>
      <c r="AQ782" s="11" t="str">
        <f>IF(I782&lt;&gt;"",DATA!D781,"")</f>
        <v>8421999099</v>
      </c>
    </row>
    <row r="783" spans="1:43" ht="15.75" x14ac:dyDescent="0.25">
      <c r="A783" s="11" t="s">
        <v>57</v>
      </c>
      <c r="B783" s="11" t="s">
        <v>56</v>
      </c>
      <c r="C783" s="22">
        <f t="shared" si="54"/>
        <v>25001620</v>
      </c>
      <c r="D783" s="11" t="str">
        <f t="shared" si="51"/>
        <v>SKIIFM_AT</v>
      </c>
      <c r="E783" s="11" t="str">
        <f>IF(I783&lt;&gt;"",VLOOKUP(F783,OPDRACHTGEVER!$A$2:$B$4,2,FALSE),"")</f>
        <v>SKIIFM_AT</v>
      </c>
      <c r="F783" s="11" t="s">
        <v>58</v>
      </c>
      <c r="I783" s="11" t="str">
        <f>IF(DATA!B782&lt;&gt;"",DATA!B782,"")</f>
        <v>FDCU0098520</v>
      </c>
      <c r="J783" s="12">
        <v>0</v>
      </c>
      <c r="K783" s="11" t="s">
        <v>53</v>
      </c>
      <c r="L783" s="11" t="str">
        <f t="shared" si="52"/>
        <v>853110</v>
      </c>
      <c r="M783" s="11" t="str">
        <f>IF(I783&lt;&gt;"",DATA!E782,"")</f>
        <v>FIRE RESISTANT PAD</v>
      </c>
      <c r="N783" s="12">
        <v>0</v>
      </c>
      <c r="O783" s="11">
        <f>IF(I783&lt;&gt;"",DATA!C782,"")</f>
        <v>1237.2</v>
      </c>
      <c r="P783" s="2">
        <v>294094</v>
      </c>
      <c r="Q783" s="2" t="s">
        <v>1304</v>
      </c>
      <c r="R783" s="2" t="s">
        <v>1321</v>
      </c>
      <c r="S783" s="2">
        <v>296</v>
      </c>
      <c r="T783" s="2">
        <v>1</v>
      </c>
      <c r="U783" s="2" t="s">
        <v>141</v>
      </c>
      <c r="Y783" s="2">
        <v>1700</v>
      </c>
      <c r="Z783" s="11" t="s">
        <v>54</v>
      </c>
      <c r="AA783" s="11" t="str">
        <f t="shared" si="53"/>
        <v>1700 - TBN</v>
      </c>
      <c r="AC783" s="2" t="s">
        <v>145</v>
      </c>
      <c r="AD783" s="11" t="str">
        <f>IF($I783&lt;&gt;"",VLOOKUP($AC783,GEADRESSEERDE!$A$2:$E$4,2,),"")</f>
        <v>LUITHAGEN HAVEN 2 D</v>
      </c>
      <c r="AE783" s="11">
        <f>IF($I783&lt;&gt;"",VLOOKUP($AC783,GEADRESSEERDE!$A$2:$E$4,3,),"")</f>
        <v>2030</v>
      </c>
      <c r="AF783" s="11" t="str">
        <f>IF($I783&lt;&gt;"",VLOOKUP($AC783,GEADRESSEERDE!$A$2:$E$4,4,),"")</f>
        <v>ANTWERPEN</v>
      </c>
      <c r="AG783" s="11" t="str">
        <f>IF($I783&lt;&gt;"",VLOOKUP($AC783,GEADRESSEERDE!$A$2:$E$4,5,),"")</f>
        <v>BE</v>
      </c>
      <c r="AH783" s="11" t="str">
        <f>IF(I783&lt;&gt;"",VLOOKUP(AP783,KvB!$A$2:$B$3,2,FALSE),"")</f>
        <v>BE101000</v>
      </c>
      <c r="AI783" s="11" t="s">
        <v>55</v>
      </c>
      <c r="AJ783" s="11"/>
      <c r="AK783" s="11"/>
      <c r="AL783" s="11"/>
      <c r="AM783" s="11"/>
      <c r="AN783" s="11"/>
      <c r="AO783" s="11"/>
      <c r="AP783" s="2" t="s">
        <v>70</v>
      </c>
      <c r="AQ783" s="11" t="str">
        <f>IF(I783&lt;&gt;"",DATA!D782,"")</f>
        <v>8531109590</v>
      </c>
    </row>
    <row r="784" spans="1:43" ht="15.75" x14ac:dyDescent="0.25">
      <c r="A784" s="11" t="s">
        <v>57</v>
      </c>
      <c r="B784" s="11" t="s">
        <v>56</v>
      </c>
      <c r="C784" s="22">
        <f t="shared" si="54"/>
        <v>25001620</v>
      </c>
      <c r="D784" s="11" t="str">
        <f t="shared" si="51"/>
        <v>SKIIFM_AT</v>
      </c>
      <c r="E784" s="11" t="str">
        <f>IF(I784&lt;&gt;"",VLOOKUP(F784,OPDRACHTGEVER!$A$2:$B$4,2,FALSE),"")</f>
        <v>SKIIFM_AT</v>
      </c>
      <c r="F784" s="11" t="s">
        <v>58</v>
      </c>
      <c r="I784" s="11" t="str">
        <f>IF(DATA!B783&lt;&gt;"",DATA!B783,"")</f>
        <v>FDCU0098520</v>
      </c>
      <c r="J784" s="12">
        <v>0</v>
      </c>
      <c r="K784" s="11" t="s">
        <v>53</v>
      </c>
      <c r="L784" s="11" t="str">
        <f t="shared" si="52"/>
        <v>741920</v>
      </c>
      <c r="M784" s="11" t="str">
        <f>IF(I784&lt;&gt;"",DATA!E783,"")</f>
        <v>GAME TABLE</v>
      </c>
      <c r="N784" s="12">
        <v>0</v>
      </c>
      <c r="O784" s="11">
        <f>IF(I784&lt;&gt;"",DATA!C783,"")</f>
        <v>562.45000000000005</v>
      </c>
      <c r="P784" s="2">
        <v>294094</v>
      </c>
      <c r="Q784" s="2" t="s">
        <v>1304</v>
      </c>
      <c r="R784" s="2" t="s">
        <v>1321</v>
      </c>
      <c r="S784" s="2">
        <v>296</v>
      </c>
      <c r="T784" s="2">
        <v>1</v>
      </c>
      <c r="U784" s="2" t="s">
        <v>141</v>
      </c>
      <c r="Y784" s="2">
        <v>1700</v>
      </c>
      <c r="Z784" s="11" t="s">
        <v>54</v>
      </c>
      <c r="AA784" s="11" t="str">
        <f t="shared" si="53"/>
        <v>1700 - TBN</v>
      </c>
      <c r="AC784" s="2" t="s">
        <v>145</v>
      </c>
      <c r="AD784" s="11" t="str">
        <f>IF($I784&lt;&gt;"",VLOOKUP($AC784,GEADRESSEERDE!$A$2:$E$4,2,),"")</f>
        <v>LUITHAGEN HAVEN 2 D</v>
      </c>
      <c r="AE784" s="11">
        <f>IF($I784&lt;&gt;"",VLOOKUP($AC784,GEADRESSEERDE!$A$2:$E$4,3,),"")</f>
        <v>2030</v>
      </c>
      <c r="AF784" s="11" t="str">
        <f>IF($I784&lt;&gt;"",VLOOKUP($AC784,GEADRESSEERDE!$A$2:$E$4,4,),"")</f>
        <v>ANTWERPEN</v>
      </c>
      <c r="AG784" s="11" t="str">
        <f>IF($I784&lt;&gt;"",VLOOKUP($AC784,GEADRESSEERDE!$A$2:$E$4,5,),"")</f>
        <v>BE</v>
      </c>
      <c r="AH784" s="11" t="str">
        <f>IF(I784&lt;&gt;"",VLOOKUP(AP784,KvB!$A$2:$B$3,2,FALSE),"")</f>
        <v>BE101000</v>
      </c>
      <c r="AI784" s="11" t="s">
        <v>55</v>
      </c>
      <c r="AJ784" s="11"/>
      <c r="AK784" s="11"/>
      <c r="AL784" s="11"/>
      <c r="AM784" s="11"/>
      <c r="AN784" s="11"/>
      <c r="AO784" s="11"/>
      <c r="AP784" s="2" t="s">
        <v>70</v>
      </c>
      <c r="AQ784" s="11" t="str">
        <f>IF(I784&lt;&gt;"",DATA!D783,"")</f>
        <v>7419200090</v>
      </c>
    </row>
    <row r="785" spans="1:43" ht="15.75" x14ac:dyDescent="0.25">
      <c r="A785" s="11" t="s">
        <v>57</v>
      </c>
      <c r="B785" s="11" t="s">
        <v>56</v>
      </c>
      <c r="C785" s="22">
        <f t="shared" si="54"/>
        <v>25001620</v>
      </c>
      <c r="D785" s="11" t="str">
        <f t="shared" si="51"/>
        <v>SKIIFM_AT</v>
      </c>
      <c r="E785" s="11" t="str">
        <f>IF(I785&lt;&gt;"",VLOOKUP(F785,OPDRACHTGEVER!$A$2:$B$4,2,FALSE),"")</f>
        <v>SKIIFM_AT</v>
      </c>
      <c r="F785" s="11" t="s">
        <v>58</v>
      </c>
      <c r="I785" s="11" t="str">
        <f>IF(DATA!B784&lt;&gt;"",DATA!B784,"")</f>
        <v>FDCU0098520</v>
      </c>
      <c r="J785" s="12">
        <v>0</v>
      </c>
      <c r="K785" s="11" t="s">
        <v>53</v>
      </c>
      <c r="L785" s="11" t="str">
        <f t="shared" si="52"/>
        <v>741920</v>
      </c>
      <c r="M785" s="11" t="str">
        <f>IF(I785&lt;&gt;"",DATA!E784,"")</f>
        <v>HANDRAIL</v>
      </c>
      <c r="N785" s="12">
        <v>0</v>
      </c>
      <c r="O785" s="11">
        <f>IF(I785&lt;&gt;"",DATA!C784,"")</f>
        <v>161.1</v>
      </c>
      <c r="P785" s="2">
        <v>294094</v>
      </c>
      <c r="Q785" s="2" t="s">
        <v>1304</v>
      </c>
      <c r="R785" s="2" t="s">
        <v>1321</v>
      </c>
      <c r="S785" s="2">
        <v>296</v>
      </c>
      <c r="T785" s="2">
        <v>1</v>
      </c>
      <c r="U785" s="2" t="s">
        <v>141</v>
      </c>
      <c r="Y785" s="2">
        <v>1700</v>
      </c>
      <c r="Z785" s="11" t="s">
        <v>54</v>
      </c>
      <c r="AA785" s="11" t="str">
        <f t="shared" si="53"/>
        <v>1700 - TBN</v>
      </c>
      <c r="AC785" s="2" t="s">
        <v>145</v>
      </c>
      <c r="AD785" s="11" t="str">
        <f>IF($I785&lt;&gt;"",VLOOKUP($AC785,GEADRESSEERDE!$A$2:$E$4,2,),"")</f>
        <v>LUITHAGEN HAVEN 2 D</v>
      </c>
      <c r="AE785" s="11">
        <f>IF($I785&lt;&gt;"",VLOOKUP($AC785,GEADRESSEERDE!$A$2:$E$4,3,),"")</f>
        <v>2030</v>
      </c>
      <c r="AF785" s="11" t="str">
        <f>IF($I785&lt;&gt;"",VLOOKUP($AC785,GEADRESSEERDE!$A$2:$E$4,4,),"")</f>
        <v>ANTWERPEN</v>
      </c>
      <c r="AG785" s="11" t="str">
        <f>IF($I785&lt;&gt;"",VLOOKUP($AC785,GEADRESSEERDE!$A$2:$E$4,5,),"")</f>
        <v>BE</v>
      </c>
      <c r="AH785" s="11" t="str">
        <f>IF(I785&lt;&gt;"",VLOOKUP(AP785,KvB!$A$2:$B$3,2,FALSE),"")</f>
        <v>BE101000</v>
      </c>
      <c r="AI785" s="11" t="s">
        <v>55</v>
      </c>
      <c r="AJ785" s="11"/>
      <c r="AK785" s="11"/>
      <c r="AL785" s="11"/>
      <c r="AM785" s="11"/>
      <c r="AN785" s="11"/>
      <c r="AO785" s="11"/>
      <c r="AP785" s="2" t="s">
        <v>70</v>
      </c>
      <c r="AQ785" s="11" t="str">
        <f>IF(I785&lt;&gt;"",DATA!D784,"")</f>
        <v>7419200090</v>
      </c>
    </row>
    <row r="786" spans="1:43" ht="15.75" x14ac:dyDescent="0.25">
      <c r="A786" s="11" t="s">
        <v>57</v>
      </c>
      <c r="B786" s="11" t="s">
        <v>56</v>
      </c>
      <c r="C786" s="22">
        <f t="shared" si="54"/>
        <v>25001620</v>
      </c>
      <c r="D786" s="11" t="str">
        <f t="shared" si="51"/>
        <v>SKIIFM_AT</v>
      </c>
      <c r="E786" s="11" t="str">
        <f>IF(I786&lt;&gt;"",VLOOKUP(F786,OPDRACHTGEVER!$A$2:$B$4,2,FALSE),"")</f>
        <v>SKIIFM_AT</v>
      </c>
      <c r="F786" s="11" t="s">
        <v>58</v>
      </c>
      <c r="I786" s="11" t="str">
        <f>IF(DATA!B785&lt;&gt;"",DATA!B785,"")</f>
        <v>FDCU0098520</v>
      </c>
      <c r="J786" s="12">
        <v>0</v>
      </c>
      <c r="K786" s="11" t="s">
        <v>53</v>
      </c>
      <c r="L786" s="11" t="str">
        <f t="shared" si="52"/>
        <v>842310</v>
      </c>
      <c r="M786" s="11" t="str">
        <f>IF(I786&lt;&gt;"",DATA!E785,"")</f>
        <v>HANGING SCALE</v>
      </c>
      <c r="N786" s="12">
        <v>0</v>
      </c>
      <c r="O786" s="11">
        <f>IF(I786&lt;&gt;"",DATA!C785,"")</f>
        <v>4.5</v>
      </c>
      <c r="P786" s="2">
        <v>294094</v>
      </c>
      <c r="Q786" s="2" t="s">
        <v>1304</v>
      </c>
      <c r="R786" s="2" t="s">
        <v>1321</v>
      </c>
      <c r="S786" s="2">
        <v>296</v>
      </c>
      <c r="T786" s="2">
        <v>1</v>
      </c>
      <c r="U786" s="2" t="s">
        <v>141</v>
      </c>
      <c r="Y786" s="2">
        <v>1700</v>
      </c>
      <c r="Z786" s="11" t="s">
        <v>54</v>
      </c>
      <c r="AA786" s="11" t="str">
        <f t="shared" si="53"/>
        <v>1700 - TBN</v>
      </c>
      <c r="AC786" s="2" t="s">
        <v>145</v>
      </c>
      <c r="AD786" s="11" t="str">
        <f>IF($I786&lt;&gt;"",VLOOKUP($AC786,GEADRESSEERDE!$A$2:$E$4,2,),"")</f>
        <v>LUITHAGEN HAVEN 2 D</v>
      </c>
      <c r="AE786" s="11">
        <f>IF($I786&lt;&gt;"",VLOOKUP($AC786,GEADRESSEERDE!$A$2:$E$4,3,),"")</f>
        <v>2030</v>
      </c>
      <c r="AF786" s="11" t="str">
        <f>IF($I786&lt;&gt;"",VLOOKUP($AC786,GEADRESSEERDE!$A$2:$E$4,4,),"")</f>
        <v>ANTWERPEN</v>
      </c>
      <c r="AG786" s="11" t="str">
        <f>IF($I786&lt;&gt;"",VLOOKUP($AC786,GEADRESSEERDE!$A$2:$E$4,5,),"")</f>
        <v>BE</v>
      </c>
      <c r="AH786" s="11" t="str">
        <f>IF(I786&lt;&gt;"",VLOOKUP(AP786,KvB!$A$2:$B$3,2,FALSE),"")</f>
        <v>BE101000</v>
      </c>
      <c r="AI786" s="11" t="s">
        <v>55</v>
      </c>
      <c r="AJ786" s="11"/>
      <c r="AK786" s="11"/>
      <c r="AL786" s="11"/>
      <c r="AM786" s="11"/>
      <c r="AN786" s="11"/>
      <c r="AO786" s="11"/>
      <c r="AP786" s="2" t="s">
        <v>70</v>
      </c>
      <c r="AQ786" s="11" t="str">
        <f>IF(I786&lt;&gt;"",DATA!D785,"")</f>
        <v>8423109000</v>
      </c>
    </row>
    <row r="787" spans="1:43" ht="15.75" x14ac:dyDescent="0.25">
      <c r="A787" s="11" t="s">
        <v>57</v>
      </c>
      <c r="B787" s="11" t="s">
        <v>56</v>
      </c>
      <c r="C787" s="22">
        <f t="shared" si="54"/>
        <v>25001620</v>
      </c>
      <c r="D787" s="11" t="str">
        <f t="shared" si="51"/>
        <v>SKIIFM_AT</v>
      </c>
      <c r="E787" s="11" t="str">
        <f>IF(I787&lt;&gt;"",VLOOKUP(F787,OPDRACHTGEVER!$A$2:$B$4,2,FALSE),"")</f>
        <v>SKIIFM_AT</v>
      </c>
      <c r="F787" s="11" t="s">
        <v>58</v>
      </c>
      <c r="I787" s="11" t="str">
        <f>IF(DATA!B786&lt;&gt;"",DATA!B786,"")</f>
        <v>FDCU0098520</v>
      </c>
      <c r="J787" s="12">
        <v>0</v>
      </c>
      <c r="K787" s="11" t="s">
        <v>53</v>
      </c>
      <c r="L787" s="11" t="str">
        <f t="shared" si="52"/>
        <v>901730</v>
      </c>
      <c r="M787" s="11" t="str">
        <f>IF(I787&lt;&gt;"",DATA!E786,"")</f>
        <v>IMPERIAL GRADE ROD</v>
      </c>
      <c r="N787" s="12">
        <v>0</v>
      </c>
      <c r="O787" s="11">
        <f>IF(I787&lt;&gt;"",DATA!C786,"")</f>
        <v>3.2</v>
      </c>
      <c r="P787" s="2">
        <v>294094</v>
      </c>
      <c r="Q787" s="2" t="s">
        <v>1304</v>
      </c>
      <c r="R787" s="2" t="s">
        <v>1321</v>
      </c>
      <c r="S787" s="2">
        <v>296</v>
      </c>
      <c r="T787" s="2">
        <v>1</v>
      </c>
      <c r="U787" s="2" t="s">
        <v>141</v>
      </c>
      <c r="Y787" s="2">
        <v>1700</v>
      </c>
      <c r="Z787" s="11" t="s">
        <v>54</v>
      </c>
      <c r="AA787" s="11" t="str">
        <f t="shared" si="53"/>
        <v>1700 - TBN</v>
      </c>
      <c r="AC787" s="2" t="s">
        <v>145</v>
      </c>
      <c r="AD787" s="11" t="str">
        <f>IF($I787&lt;&gt;"",VLOOKUP($AC787,GEADRESSEERDE!$A$2:$E$4,2,),"")</f>
        <v>LUITHAGEN HAVEN 2 D</v>
      </c>
      <c r="AE787" s="11">
        <f>IF($I787&lt;&gt;"",VLOOKUP($AC787,GEADRESSEERDE!$A$2:$E$4,3,),"")</f>
        <v>2030</v>
      </c>
      <c r="AF787" s="11" t="str">
        <f>IF($I787&lt;&gt;"",VLOOKUP($AC787,GEADRESSEERDE!$A$2:$E$4,4,),"")</f>
        <v>ANTWERPEN</v>
      </c>
      <c r="AG787" s="11" t="str">
        <f>IF($I787&lt;&gt;"",VLOOKUP($AC787,GEADRESSEERDE!$A$2:$E$4,5,),"")</f>
        <v>BE</v>
      </c>
      <c r="AH787" s="11" t="str">
        <f>IF(I787&lt;&gt;"",VLOOKUP(AP787,KvB!$A$2:$B$3,2,FALSE),"")</f>
        <v>BE101000</v>
      </c>
      <c r="AI787" s="11" t="s">
        <v>55</v>
      </c>
      <c r="AJ787" s="11"/>
      <c r="AK787" s="11"/>
      <c r="AL787" s="11"/>
      <c r="AM787" s="11"/>
      <c r="AN787" s="11"/>
      <c r="AO787" s="11"/>
      <c r="AP787" s="2" t="s">
        <v>70</v>
      </c>
      <c r="AQ787" s="11" t="str">
        <f>IF(I787&lt;&gt;"",DATA!D786,"")</f>
        <v>9017300000</v>
      </c>
    </row>
    <row r="788" spans="1:43" ht="15.75" x14ac:dyDescent="0.25">
      <c r="A788" s="11" t="s">
        <v>57</v>
      </c>
      <c r="B788" s="11" t="s">
        <v>56</v>
      </c>
      <c r="C788" s="22">
        <f t="shared" si="54"/>
        <v>25001620</v>
      </c>
      <c r="D788" s="11" t="str">
        <f t="shared" si="51"/>
        <v>SKIIFM_AT</v>
      </c>
      <c r="E788" s="11" t="str">
        <f>IF(I788&lt;&gt;"",VLOOKUP(F788,OPDRACHTGEVER!$A$2:$B$4,2,FALSE),"")</f>
        <v>SKIIFM_AT</v>
      </c>
      <c r="F788" s="11" t="s">
        <v>58</v>
      </c>
      <c r="I788" s="11" t="str">
        <f>IF(DATA!B787&lt;&gt;"",DATA!B787,"")</f>
        <v>FDCU0098520</v>
      </c>
      <c r="J788" s="12">
        <v>0</v>
      </c>
      <c r="K788" s="11" t="s">
        <v>53</v>
      </c>
      <c r="L788" s="11" t="str">
        <f t="shared" si="52"/>
        <v>901320</v>
      </c>
      <c r="M788" s="11" t="str">
        <f>IF(I788&lt;&gt;"",DATA!E787,"")</f>
        <v>LASER TUBE</v>
      </c>
      <c r="N788" s="12">
        <v>0</v>
      </c>
      <c r="O788" s="11">
        <f>IF(I788&lt;&gt;"",DATA!C787,"")</f>
        <v>232.95</v>
      </c>
      <c r="P788" s="2">
        <v>294094</v>
      </c>
      <c r="Q788" s="2" t="s">
        <v>1304</v>
      </c>
      <c r="R788" s="2" t="s">
        <v>1321</v>
      </c>
      <c r="S788" s="2">
        <v>296</v>
      </c>
      <c r="T788" s="2">
        <v>1</v>
      </c>
      <c r="U788" s="2" t="s">
        <v>141</v>
      </c>
      <c r="Y788" s="2">
        <v>1700</v>
      </c>
      <c r="Z788" s="11" t="s">
        <v>54</v>
      </c>
      <c r="AA788" s="11" t="str">
        <f t="shared" si="53"/>
        <v>1700 - TBN</v>
      </c>
      <c r="AC788" s="2" t="s">
        <v>145</v>
      </c>
      <c r="AD788" s="11" t="str">
        <f>IF($I788&lt;&gt;"",VLOOKUP($AC788,GEADRESSEERDE!$A$2:$E$4,2,),"")</f>
        <v>LUITHAGEN HAVEN 2 D</v>
      </c>
      <c r="AE788" s="11">
        <f>IF($I788&lt;&gt;"",VLOOKUP($AC788,GEADRESSEERDE!$A$2:$E$4,3,),"")</f>
        <v>2030</v>
      </c>
      <c r="AF788" s="11" t="str">
        <f>IF($I788&lt;&gt;"",VLOOKUP($AC788,GEADRESSEERDE!$A$2:$E$4,4,),"")</f>
        <v>ANTWERPEN</v>
      </c>
      <c r="AG788" s="11" t="str">
        <f>IF($I788&lt;&gt;"",VLOOKUP($AC788,GEADRESSEERDE!$A$2:$E$4,5,),"")</f>
        <v>BE</v>
      </c>
      <c r="AH788" s="11" t="str">
        <f>IF(I788&lt;&gt;"",VLOOKUP(AP788,KvB!$A$2:$B$3,2,FALSE),"")</f>
        <v>BE101000</v>
      </c>
      <c r="AI788" s="11" t="s">
        <v>55</v>
      </c>
      <c r="AJ788" s="11"/>
      <c r="AK788" s="11"/>
      <c r="AL788" s="11"/>
      <c r="AM788" s="11"/>
      <c r="AN788" s="11"/>
      <c r="AO788" s="11"/>
      <c r="AP788" s="2" t="s">
        <v>70</v>
      </c>
      <c r="AQ788" s="11" t="str">
        <f>IF(I788&lt;&gt;"",DATA!D787,"")</f>
        <v>9013200000</v>
      </c>
    </row>
    <row r="789" spans="1:43" ht="15.75" x14ac:dyDescent="0.25">
      <c r="A789" s="11" t="s">
        <v>57</v>
      </c>
      <c r="B789" s="11" t="s">
        <v>56</v>
      </c>
      <c r="C789" s="22">
        <f t="shared" si="54"/>
        <v>25001620</v>
      </c>
      <c r="D789" s="11" t="str">
        <f t="shared" si="51"/>
        <v>SKIIFM_AT</v>
      </c>
      <c r="E789" s="11" t="str">
        <f>IF(I789&lt;&gt;"",VLOOKUP(F789,OPDRACHTGEVER!$A$2:$B$4,2,FALSE),"")</f>
        <v>SKIIFM_AT</v>
      </c>
      <c r="F789" s="11" t="s">
        <v>58</v>
      </c>
      <c r="I789" s="11" t="str">
        <f>IF(DATA!B788&lt;&gt;"",DATA!B788,"")</f>
        <v>FDCU0098520</v>
      </c>
      <c r="J789" s="12">
        <v>0</v>
      </c>
      <c r="K789" s="11" t="s">
        <v>53</v>
      </c>
      <c r="L789" s="11" t="str">
        <f t="shared" si="52"/>
        <v>845899</v>
      </c>
      <c r="M789" s="11" t="str">
        <f>IF(I789&lt;&gt;"",DATA!E788,"")</f>
        <v>LATHE</v>
      </c>
      <c r="N789" s="12">
        <v>0</v>
      </c>
      <c r="O789" s="11">
        <f>IF(I789&lt;&gt;"",DATA!C788,"")</f>
        <v>1176</v>
      </c>
      <c r="P789" s="2">
        <v>294094</v>
      </c>
      <c r="Q789" s="2" t="s">
        <v>1304</v>
      </c>
      <c r="R789" s="2" t="s">
        <v>1321</v>
      </c>
      <c r="S789" s="2">
        <v>296</v>
      </c>
      <c r="T789" s="2">
        <v>1</v>
      </c>
      <c r="U789" s="2" t="s">
        <v>141</v>
      </c>
      <c r="Y789" s="2">
        <v>1700</v>
      </c>
      <c r="Z789" s="11" t="s">
        <v>54</v>
      </c>
      <c r="AA789" s="11" t="str">
        <f t="shared" si="53"/>
        <v>1700 - TBN</v>
      </c>
      <c r="AC789" s="2" t="s">
        <v>145</v>
      </c>
      <c r="AD789" s="11" t="str">
        <f>IF($I789&lt;&gt;"",VLOOKUP($AC789,GEADRESSEERDE!$A$2:$E$4,2,),"")</f>
        <v>LUITHAGEN HAVEN 2 D</v>
      </c>
      <c r="AE789" s="11">
        <f>IF($I789&lt;&gt;"",VLOOKUP($AC789,GEADRESSEERDE!$A$2:$E$4,3,),"")</f>
        <v>2030</v>
      </c>
      <c r="AF789" s="11" t="str">
        <f>IF($I789&lt;&gt;"",VLOOKUP($AC789,GEADRESSEERDE!$A$2:$E$4,4,),"")</f>
        <v>ANTWERPEN</v>
      </c>
      <c r="AG789" s="11" t="str">
        <f>IF($I789&lt;&gt;"",VLOOKUP($AC789,GEADRESSEERDE!$A$2:$E$4,5,),"")</f>
        <v>BE</v>
      </c>
      <c r="AH789" s="11" t="str">
        <f>IF(I789&lt;&gt;"",VLOOKUP(AP789,KvB!$A$2:$B$3,2,FALSE),"")</f>
        <v>BE101000</v>
      </c>
      <c r="AI789" s="11" t="s">
        <v>55</v>
      </c>
      <c r="AJ789" s="11"/>
      <c r="AK789" s="11"/>
      <c r="AL789" s="11"/>
      <c r="AM789" s="11"/>
      <c r="AN789" s="11"/>
      <c r="AO789" s="11"/>
      <c r="AP789" s="2" t="s">
        <v>70</v>
      </c>
      <c r="AQ789" s="11" t="str">
        <f>IF(I789&lt;&gt;"",DATA!D788,"")</f>
        <v>8458990000</v>
      </c>
    </row>
    <row r="790" spans="1:43" ht="15.75" x14ac:dyDescent="0.25">
      <c r="A790" s="11" t="s">
        <v>57</v>
      </c>
      <c r="B790" s="11" t="s">
        <v>56</v>
      </c>
      <c r="C790" s="22">
        <f t="shared" si="54"/>
        <v>25001620</v>
      </c>
      <c r="D790" s="11" t="str">
        <f t="shared" si="51"/>
        <v>SKIIFM_AT</v>
      </c>
      <c r="E790" s="11" t="str">
        <f>IF(I790&lt;&gt;"",VLOOKUP(F790,OPDRACHTGEVER!$A$2:$B$4,2,FALSE),"")</f>
        <v>SKIIFM_AT</v>
      </c>
      <c r="F790" s="11" t="s">
        <v>58</v>
      </c>
      <c r="I790" s="11" t="str">
        <f>IF(DATA!B789&lt;&gt;"",DATA!B789,"")</f>
        <v>FDCU0098520</v>
      </c>
      <c r="J790" s="12">
        <v>0</v>
      </c>
      <c r="K790" s="11" t="s">
        <v>53</v>
      </c>
      <c r="L790" s="11" t="str">
        <f t="shared" si="52"/>
        <v>842820</v>
      </c>
      <c r="M790" s="11" t="str">
        <f>IF(I790&lt;&gt;"",DATA!E789,"")</f>
        <v>MOTORCYCLE LIFT STAND</v>
      </c>
      <c r="N790" s="12">
        <v>0</v>
      </c>
      <c r="O790" s="11">
        <f>IF(I790&lt;&gt;"",DATA!C789,"")</f>
        <v>1378.15</v>
      </c>
      <c r="P790" s="2">
        <v>294094</v>
      </c>
      <c r="Q790" s="2" t="s">
        <v>1304</v>
      </c>
      <c r="R790" s="2" t="s">
        <v>1321</v>
      </c>
      <c r="S790" s="2">
        <v>296</v>
      </c>
      <c r="T790" s="2">
        <v>1</v>
      </c>
      <c r="U790" s="2" t="s">
        <v>141</v>
      </c>
      <c r="Y790" s="2">
        <v>1700</v>
      </c>
      <c r="Z790" s="11" t="s">
        <v>54</v>
      </c>
      <c r="AA790" s="11" t="str">
        <f t="shared" si="53"/>
        <v>1700 - TBN</v>
      </c>
      <c r="AC790" s="2" t="s">
        <v>145</v>
      </c>
      <c r="AD790" s="11" t="str">
        <f>IF($I790&lt;&gt;"",VLOOKUP($AC790,GEADRESSEERDE!$A$2:$E$4,2,),"")</f>
        <v>LUITHAGEN HAVEN 2 D</v>
      </c>
      <c r="AE790" s="11">
        <f>IF($I790&lt;&gt;"",VLOOKUP($AC790,GEADRESSEERDE!$A$2:$E$4,3,),"")</f>
        <v>2030</v>
      </c>
      <c r="AF790" s="11" t="str">
        <f>IF($I790&lt;&gt;"",VLOOKUP($AC790,GEADRESSEERDE!$A$2:$E$4,4,),"")</f>
        <v>ANTWERPEN</v>
      </c>
      <c r="AG790" s="11" t="str">
        <f>IF($I790&lt;&gt;"",VLOOKUP($AC790,GEADRESSEERDE!$A$2:$E$4,5,),"")</f>
        <v>BE</v>
      </c>
      <c r="AH790" s="11" t="str">
        <f>IF(I790&lt;&gt;"",VLOOKUP(AP790,KvB!$A$2:$B$3,2,FALSE),"")</f>
        <v>BE101000</v>
      </c>
      <c r="AI790" s="11" t="s">
        <v>55</v>
      </c>
      <c r="AJ790" s="11"/>
      <c r="AK790" s="11"/>
      <c r="AL790" s="11"/>
      <c r="AM790" s="11"/>
      <c r="AN790" s="11"/>
      <c r="AO790" s="11"/>
      <c r="AP790" s="2" t="s">
        <v>70</v>
      </c>
      <c r="AQ790" s="11" t="str">
        <f>IF(I790&lt;&gt;"",DATA!D789,"")</f>
        <v>8428208000</v>
      </c>
    </row>
    <row r="791" spans="1:43" ht="15.75" x14ac:dyDescent="0.25">
      <c r="A791" s="11" t="s">
        <v>57</v>
      </c>
      <c r="B791" s="11" t="s">
        <v>56</v>
      </c>
      <c r="C791" s="22">
        <f t="shared" si="54"/>
        <v>25001620</v>
      </c>
      <c r="D791" s="11" t="str">
        <f t="shared" si="51"/>
        <v>SKIIFM_AT</v>
      </c>
      <c r="E791" s="11" t="str">
        <f>IF(I791&lt;&gt;"",VLOOKUP(F791,OPDRACHTGEVER!$A$2:$B$4,2,FALSE),"")</f>
        <v>SKIIFM_AT</v>
      </c>
      <c r="F791" s="11" t="s">
        <v>58</v>
      </c>
      <c r="I791" s="11" t="str">
        <f>IF(DATA!B790&lt;&gt;"",DATA!B790,"")</f>
        <v>FDCU0098520</v>
      </c>
      <c r="J791" s="12">
        <v>0</v>
      </c>
      <c r="K791" s="11" t="s">
        <v>53</v>
      </c>
      <c r="L791" s="11" t="str">
        <f t="shared" si="52"/>
        <v>844339</v>
      </c>
      <c r="M791" s="11" t="str">
        <f>IF(I791&lt;&gt;"",DATA!E790,"")</f>
        <v>MUG HEAT PRESS AND ACCESSORIES</v>
      </c>
      <c r="N791" s="12">
        <v>0</v>
      </c>
      <c r="O791" s="11">
        <f>IF(I791&lt;&gt;"",DATA!C790,"")</f>
        <v>1432.4</v>
      </c>
      <c r="P791" s="2">
        <v>294094</v>
      </c>
      <c r="Q791" s="2" t="s">
        <v>1304</v>
      </c>
      <c r="R791" s="2" t="s">
        <v>1321</v>
      </c>
      <c r="S791" s="2">
        <v>296</v>
      </c>
      <c r="T791" s="2">
        <v>1</v>
      </c>
      <c r="U791" s="2" t="s">
        <v>141</v>
      </c>
      <c r="Y791" s="2">
        <v>1700</v>
      </c>
      <c r="Z791" s="11" t="s">
        <v>54</v>
      </c>
      <c r="AA791" s="11" t="str">
        <f t="shared" si="53"/>
        <v>1700 - TBN</v>
      </c>
      <c r="AC791" s="2" t="s">
        <v>145</v>
      </c>
      <c r="AD791" s="11" t="str">
        <f>IF($I791&lt;&gt;"",VLOOKUP($AC791,GEADRESSEERDE!$A$2:$E$4,2,),"")</f>
        <v>LUITHAGEN HAVEN 2 D</v>
      </c>
      <c r="AE791" s="11">
        <f>IF($I791&lt;&gt;"",VLOOKUP($AC791,GEADRESSEERDE!$A$2:$E$4,3,),"")</f>
        <v>2030</v>
      </c>
      <c r="AF791" s="11" t="str">
        <f>IF($I791&lt;&gt;"",VLOOKUP($AC791,GEADRESSEERDE!$A$2:$E$4,4,),"")</f>
        <v>ANTWERPEN</v>
      </c>
      <c r="AG791" s="11" t="str">
        <f>IF($I791&lt;&gt;"",VLOOKUP($AC791,GEADRESSEERDE!$A$2:$E$4,5,),"")</f>
        <v>BE</v>
      </c>
      <c r="AH791" s="11" t="str">
        <f>IF(I791&lt;&gt;"",VLOOKUP(AP791,KvB!$A$2:$B$3,2,FALSE),"")</f>
        <v>BE101000</v>
      </c>
      <c r="AI791" s="11" t="s">
        <v>55</v>
      </c>
      <c r="AJ791" s="11"/>
      <c r="AK791" s="11"/>
      <c r="AL791" s="11"/>
      <c r="AM791" s="11"/>
      <c r="AN791" s="11"/>
      <c r="AO791" s="11"/>
      <c r="AP791" s="2" t="s">
        <v>70</v>
      </c>
      <c r="AQ791" s="11" t="str">
        <f>IF(I791&lt;&gt;"",DATA!D790,"")</f>
        <v>8443390000</v>
      </c>
    </row>
    <row r="792" spans="1:43" ht="15.75" x14ac:dyDescent="0.25">
      <c r="A792" s="11" t="s">
        <v>57</v>
      </c>
      <c r="B792" s="11" t="s">
        <v>56</v>
      </c>
      <c r="C792" s="22">
        <f t="shared" si="54"/>
        <v>25001620</v>
      </c>
      <c r="D792" s="11" t="str">
        <f t="shared" si="51"/>
        <v>SKIIFM_AT</v>
      </c>
      <c r="E792" s="11" t="str">
        <f>IF(I792&lt;&gt;"",VLOOKUP(F792,OPDRACHTGEVER!$A$2:$B$4,2,FALSE),"")</f>
        <v>SKIIFM_AT</v>
      </c>
      <c r="F792" s="11" t="s">
        <v>58</v>
      </c>
      <c r="I792" s="11" t="str">
        <f>IF(DATA!B791&lt;&gt;"",DATA!B791,"")</f>
        <v>FDCU0098520</v>
      </c>
      <c r="J792" s="12">
        <v>0</v>
      </c>
      <c r="K792" s="11" t="s">
        <v>53</v>
      </c>
      <c r="L792" s="11" t="str">
        <f t="shared" si="52"/>
        <v>820551</v>
      </c>
      <c r="M792" s="11" t="str">
        <f>IF(I792&lt;&gt;"",DATA!E791,"")</f>
        <v>PUTTY SCRAPER</v>
      </c>
      <c r="N792" s="12">
        <v>0</v>
      </c>
      <c r="O792" s="11">
        <f>IF(I792&lt;&gt;"",DATA!C791,"")</f>
        <v>778.1</v>
      </c>
      <c r="P792" s="2">
        <v>294094</v>
      </c>
      <c r="Q792" s="2" t="s">
        <v>1304</v>
      </c>
      <c r="R792" s="2" t="s">
        <v>1321</v>
      </c>
      <c r="S792" s="2">
        <v>296</v>
      </c>
      <c r="T792" s="2">
        <v>1</v>
      </c>
      <c r="U792" s="2" t="s">
        <v>141</v>
      </c>
      <c r="Y792" s="2">
        <v>1700</v>
      </c>
      <c r="Z792" s="11" t="s">
        <v>54</v>
      </c>
      <c r="AA792" s="11" t="str">
        <f t="shared" si="53"/>
        <v>1700 - TBN</v>
      </c>
      <c r="AC792" s="2" t="s">
        <v>145</v>
      </c>
      <c r="AD792" s="11" t="str">
        <f>IF($I792&lt;&gt;"",VLOOKUP($AC792,GEADRESSEERDE!$A$2:$E$4,2,),"")</f>
        <v>LUITHAGEN HAVEN 2 D</v>
      </c>
      <c r="AE792" s="11">
        <f>IF($I792&lt;&gt;"",VLOOKUP($AC792,GEADRESSEERDE!$A$2:$E$4,3,),"")</f>
        <v>2030</v>
      </c>
      <c r="AF792" s="11" t="str">
        <f>IF($I792&lt;&gt;"",VLOOKUP($AC792,GEADRESSEERDE!$A$2:$E$4,4,),"")</f>
        <v>ANTWERPEN</v>
      </c>
      <c r="AG792" s="11" t="str">
        <f>IF($I792&lt;&gt;"",VLOOKUP($AC792,GEADRESSEERDE!$A$2:$E$4,5,),"")</f>
        <v>BE</v>
      </c>
      <c r="AH792" s="11" t="str">
        <f>IF(I792&lt;&gt;"",VLOOKUP(AP792,KvB!$A$2:$B$3,2,FALSE),"")</f>
        <v>BE101000</v>
      </c>
      <c r="AI792" s="11" t="s">
        <v>55</v>
      </c>
      <c r="AJ792" s="11"/>
      <c r="AK792" s="11"/>
      <c r="AL792" s="11"/>
      <c r="AM792" s="11"/>
      <c r="AN792" s="11"/>
      <c r="AO792" s="11"/>
      <c r="AP792" s="2" t="s">
        <v>70</v>
      </c>
      <c r="AQ792" s="11" t="str">
        <f>IF(I792&lt;&gt;"",DATA!D791,"")</f>
        <v>8205510000</v>
      </c>
    </row>
    <row r="793" spans="1:43" ht="15.75" x14ac:dyDescent="0.25">
      <c r="A793" s="11" t="s">
        <v>57</v>
      </c>
      <c r="B793" s="11" t="s">
        <v>56</v>
      </c>
      <c r="C793" s="22">
        <f t="shared" si="54"/>
        <v>25001620</v>
      </c>
      <c r="D793" s="11" t="str">
        <f t="shared" si="51"/>
        <v>SKIIFM_AT</v>
      </c>
      <c r="E793" s="11" t="str">
        <f>IF(I793&lt;&gt;"",VLOOKUP(F793,OPDRACHTGEVER!$A$2:$B$4,2,FALSE),"")</f>
        <v>SKIIFM_AT</v>
      </c>
      <c r="F793" s="11" t="s">
        <v>58</v>
      </c>
      <c r="I793" s="11" t="str">
        <f>IF(DATA!B792&lt;&gt;"",DATA!B792,"")</f>
        <v>FDCU0098520</v>
      </c>
      <c r="J793" s="12">
        <v>0</v>
      </c>
      <c r="K793" s="11" t="s">
        <v>53</v>
      </c>
      <c r="L793" s="11" t="str">
        <f t="shared" si="52"/>
        <v>950691</v>
      </c>
      <c r="M793" s="11" t="str">
        <f>IF(I793&lt;&gt;"",DATA!E792,"")</f>
        <v>CAST IRON PLATE</v>
      </c>
      <c r="N793" s="12">
        <v>0</v>
      </c>
      <c r="O793" s="11">
        <f>IF(I793&lt;&gt;"",DATA!C792,"")</f>
        <v>20.85</v>
      </c>
      <c r="P793" s="2">
        <v>294094</v>
      </c>
      <c r="Q793" s="2" t="s">
        <v>1304</v>
      </c>
      <c r="R793" s="2" t="s">
        <v>1321</v>
      </c>
      <c r="S793" s="2">
        <v>296</v>
      </c>
      <c r="T793" s="2">
        <v>1</v>
      </c>
      <c r="U793" s="2" t="s">
        <v>141</v>
      </c>
      <c r="Y793" s="2">
        <v>1700</v>
      </c>
      <c r="Z793" s="11" t="s">
        <v>54</v>
      </c>
      <c r="AA793" s="11" t="str">
        <f t="shared" si="53"/>
        <v>1700 - TBN</v>
      </c>
      <c r="AC793" s="2" t="s">
        <v>145</v>
      </c>
      <c r="AD793" s="11" t="str">
        <f>IF($I793&lt;&gt;"",VLOOKUP($AC793,GEADRESSEERDE!$A$2:$E$4,2,),"")</f>
        <v>LUITHAGEN HAVEN 2 D</v>
      </c>
      <c r="AE793" s="11">
        <f>IF($I793&lt;&gt;"",VLOOKUP($AC793,GEADRESSEERDE!$A$2:$E$4,3,),"")</f>
        <v>2030</v>
      </c>
      <c r="AF793" s="11" t="str">
        <f>IF($I793&lt;&gt;"",VLOOKUP($AC793,GEADRESSEERDE!$A$2:$E$4,4,),"")</f>
        <v>ANTWERPEN</v>
      </c>
      <c r="AG793" s="11" t="str">
        <f>IF($I793&lt;&gt;"",VLOOKUP($AC793,GEADRESSEERDE!$A$2:$E$4,5,),"")</f>
        <v>BE</v>
      </c>
      <c r="AH793" s="11" t="str">
        <f>IF(I793&lt;&gt;"",VLOOKUP(AP793,KvB!$A$2:$B$3,2,FALSE),"")</f>
        <v>BE101000</v>
      </c>
      <c r="AI793" s="11" t="s">
        <v>55</v>
      </c>
      <c r="AJ793" s="11"/>
      <c r="AK793" s="11"/>
      <c r="AL793" s="11"/>
      <c r="AM793" s="11"/>
      <c r="AN793" s="11"/>
      <c r="AO793" s="11"/>
      <c r="AP793" s="2" t="s">
        <v>70</v>
      </c>
      <c r="AQ793" s="11" t="str">
        <f>IF(I793&lt;&gt;"",DATA!D792,"")</f>
        <v>9506919000</v>
      </c>
    </row>
    <row r="794" spans="1:43" ht="15.75" x14ac:dyDescent="0.25">
      <c r="A794" s="11" t="s">
        <v>57</v>
      </c>
      <c r="B794" s="11" t="s">
        <v>56</v>
      </c>
      <c r="C794" s="22">
        <f t="shared" si="54"/>
        <v>25001620</v>
      </c>
      <c r="D794" s="11" t="str">
        <f t="shared" si="51"/>
        <v>SKIIFM_AT</v>
      </c>
      <c r="E794" s="11" t="str">
        <f>IF(I794&lt;&gt;"",VLOOKUP(F794,OPDRACHTGEVER!$A$2:$B$4,2,FALSE),"")</f>
        <v>SKIIFM_AT</v>
      </c>
      <c r="F794" s="11" t="s">
        <v>58</v>
      </c>
      <c r="I794" s="11" t="str">
        <f>IF(DATA!B793&lt;&gt;"",DATA!B793,"")</f>
        <v>FDCU0098520</v>
      </c>
      <c r="J794" s="12">
        <v>0</v>
      </c>
      <c r="K794" s="11" t="s">
        <v>53</v>
      </c>
      <c r="L794" s="11" t="str">
        <f t="shared" si="52"/>
        <v>841350</v>
      </c>
      <c r="M794" s="11" t="str">
        <f>IF(I794&lt;&gt;"",DATA!E793,"")</f>
        <v>SOLAR POWERED WATER PUMP</v>
      </c>
      <c r="N794" s="12">
        <v>0</v>
      </c>
      <c r="O794" s="11">
        <f>IF(I794&lt;&gt;"",DATA!C793,"")</f>
        <v>4.1500000000000004</v>
      </c>
      <c r="P794" s="2">
        <v>294094</v>
      </c>
      <c r="Q794" s="2" t="s">
        <v>1304</v>
      </c>
      <c r="R794" s="2" t="s">
        <v>1321</v>
      </c>
      <c r="S794" s="2">
        <v>296</v>
      </c>
      <c r="T794" s="2">
        <v>1</v>
      </c>
      <c r="U794" s="2" t="s">
        <v>141</v>
      </c>
      <c r="Y794" s="2">
        <v>1700</v>
      </c>
      <c r="Z794" s="11" t="s">
        <v>54</v>
      </c>
      <c r="AA794" s="11" t="str">
        <f t="shared" si="53"/>
        <v>1700 - TBN</v>
      </c>
      <c r="AC794" s="2" t="s">
        <v>145</v>
      </c>
      <c r="AD794" s="11" t="str">
        <f>IF($I794&lt;&gt;"",VLOOKUP($AC794,GEADRESSEERDE!$A$2:$E$4,2,),"")</f>
        <v>LUITHAGEN HAVEN 2 D</v>
      </c>
      <c r="AE794" s="11">
        <f>IF($I794&lt;&gt;"",VLOOKUP($AC794,GEADRESSEERDE!$A$2:$E$4,3,),"")</f>
        <v>2030</v>
      </c>
      <c r="AF794" s="11" t="str">
        <f>IF($I794&lt;&gt;"",VLOOKUP($AC794,GEADRESSEERDE!$A$2:$E$4,4,),"")</f>
        <v>ANTWERPEN</v>
      </c>
      <c r="AG794" s="11" t="str">
        <f>IF($I794&lt;&gt;"",VLOOKUP($AC794,GEADRESSEERDE!$A$2:$E$4,5,),"")</f>
        <v>BE</v>
      </c>
      <c r="AH794" s="11" t="str">
        <f>IF(I794&lt;&gt;"",VLOOKUP(AP794,KvB!$A$2:$B$3,2,FALSE),"")</f>
        <v>BE101000</v>
      </c>
      <c r="AI794" s="11" t="s">
        <v>55</v>
      </c>
      <c r="AJ794" s="11"/>
      <c r="AK794" s="11"/>
      <c r="AL794" s="11"/>
      <c r="AM794" s="11"/>
      <c r="AN794" s="11"/>
      <c r="AO794" s="11"/>
      <c r="AP794" s="2" t="s">
        <v>70</v>
      </c>
      <c r="AQ794" s="11" t="str">
        <f>IF(I794&lt;&gt;"",DATA!D793,"")</f>
        <v>8413508090</v>
      </c>
    </row>
    <row r="795" spans="1:43" ht="15.75" x14ac:dyDescent="0.25">
      <c r="A795" s="11" t="s">
        <v>57</v>
      </c>
      <c r="B795" s="11" t="s">
        <v>56</v>
      </c>
      <c r="C795" s="22">
        <f t="shared" si="54"/>
        <v>25001620</v>
      </c>
      <c r="D795" s="11" t="str">
        <f t="shared" si="51"/>
        <v>SKIIFM_AT</v>
      </c>
      <c r="E795" s="11" t="str">
        <f>IF(I795&lt;&gt;"",VLOOKUP(F795,OPDRACHTGEVER!$A$2:$B$4,2,FALSE),"")</f>
        <v>SKIIFM_AT</v>
      </c>
      <c r="F795" s="11" t="s">
        <v>58</v>
      </c>
      <c r="I795" s="11" t="str">
        <f>IF(DATA!B794&lt;&gt;"",DATA!B794,"")</f>
        <v>FDCU0098520</v>
      </c>
      <c r="J795" s="12">
        <v>0</v>
      </c>
      <c r="K795" s="11" t="s">
        <v>53</v>
      </c>
      <c r="L795" s="11" t="str">
        <f t="shared" si="52"/>
        <v>820740</v>
      </c>
      <c r="M795" s="11" t="str">
        <f>IF(I795&lt;&gt;"",DATA!E794,"")</f>
        <v>TAP AND MOLD GROUP</v>
      </c>
      <c r="N795" s="12">
        <v>0</v>
      </c>
      <c r="O795" s="11">
        <f>IF(I795&lt;&gt;"",DATA!C794,"")</f>
        <v>2.9</v>
      </c>
      <c r="P795" s="2">
        <v>294094</v>
      </c>
      <c r="Q795" s="2" t="s">
        <v>1304</v>
      </c>
      <c r="R795" s="2" t="s">
        <v>1321</v>
      </c>
      <c r="S795" s="2">
        <v>296</v>
      </c>
      <c r="T795" s="2">
        <v>1</v>
      </c>
      <c r="U795" s="2" t="s">
        <v>141</v>
      </c>
      <c r="Y795" s="2">
        <v>1700</v>
      </c>
      <c r="Z795" s="11" t="s">
        <v>54</v>
      </c>
      <c r="AA795" s="11" t="str">
        <f t="shared" si="53"/>
        <v>1700 - TBN</v>
      </c>
      <c r="AC795" s="2" t="s">
        <v>145</v>
      </c>
      <c r="AD795" s="11" t="str">
        <f>IF($I795&lt;&gt;"",VLOOKUP($AC795,GEADRESSEERDE!$A$2:$E$4,2,),"")</f>
        <v>LUITHAGEN HAVEN 2 D</v>
      </c>
      <c r="AE795" s="11">
        <f>IF($I795&lt;&gt;"",VLOOKUP($AC795,GEADRESSEERDE!$A$2:$E$4,3,),"")</f>
        <v>2030</v>
      </c>
      <c r="AF795" s="11" t="str">
        <f>IF($I795&lt;&gt;"",VLOOKUP($AC795,GEADRESSEERDE!$A$2:$E$4,4,),"")</f>
        <v>ANTWERPEN</v>
      </c>
      <c r="AG795" s="11" t="str">
        <f>IF($I795&lt;&gt;"",VLOOKUP($AC795,GEADRESSEERDE!$A$2:$E$4,5,),"")</f>
        <v>BE</v>
      </c>
      <c r="AH795" s="11" t="str">
        <f>IF(I795&lt;&gt;"",VLOOKUP(AP795,KvB!$A$2:$B$3,2,FALSE),"")</f>
        <v>BE101000</v>
      </c>
      <c r="AI795" s="11" t="s">
        <v>55</v>
      </c>
      <c r="AJ795" s="11"/>
      <c r="AK795" s="11"/>
      <c r="AL795" s="11"/>
      <c r="AM795" s="11"/>
      <c r="AN795" s="11"/>
      <c r="AO795" s="11"/>
      <c r="AP795" s="2" t="s">
        <v>70</v>
      </c>
      <c r="AQ795" s="11" t="str">
        <f>IF(I795&lt;&gt;"",DATA!D794,"")</f>
        <v>8207409000</v>
      </c>
    </row>
    <row r="796" spans="1:43" ht="15.75" x14ac:dyDescent="0.25">
      <c r="A796" s="11" t="s">
        <v>57</v>
      </c>
      <c r="B796" s="11" t="s">
        <v>56</v>
      </c>
      <c r="C796" s="22">
        <f t="shared" si="54"/>
        <v>25001620</v>
      </c>
      <c r="D796" s="11" t="str">
        <f t="shared" si="51"/>
        <v>SKIIFM_AT</v>
      </c>
      <c r="E796" s="11" t="str">
        <f>IF(I796&lt;&gt;"",VLOOKUP(F796,OPDRACHTGEVER!$A$2:$B$4,2,FALSE),"")</f>
        <v>SKIIFM_AT</v>
      </c>
      <c r="F796" s="11" t="s">
        <v>58</v>
      </c>
      <c r="I796" s="11" t="str">
        <f>IF(DATA!B795&lt;&gt;"",DATA!B795,"")</f>
        <v>FDCU0098520</v>
      </c>
      <c r="J796" s="12">
        <v>0</v>
      </c>
      <c r="K796" s="11" t="s">
        <v>53</v>
      </c>
      <c r="L796" s="11" t="str">
        <f t="shared" si="52"/>
        <v>761699</v>
      </c>
      <c r="M796" s="11" t="str">
        <f>IF(I796&lt;&gt;"",DATA!E795,"")</f>
        <v>TERMINAL ALUMINUM LADDER</v>
      </c>
      <c r="N796" s="12">
        <v>0</v>
      </c>
      <c r="O796" s="11">
        <f>IF(I796&lt;&gt;"",DATA!C795,"")</f>
        <v>1255.7</v>
      </c>
      <c r="P796" s="2">
        <v>294094</v>
      </c>
      <c r="Q796" s="2" t="s">
        <v>1304</v>
      </c>
      <c r="R796" s="2" t="s">
        <v>1321</v>
      </c>
      <c r="S796" s="2">
        <v>296</v>
      </c>
      <c r="T796" s="2">
        <v>1</v>
      </c>
      <c r="U796" s="2" t="s">
        <v>141</v>
      </c>
      <c r="Y796" s="2">
        <v>1700</v>
      </c>
      <c r="Z796" s="11" t="s">
        <v>54</v>
      </c>
      <c r="AA796" s="11" t="str">
        <f t="shared" si="53"/>
        <v>1700 - TBN</v>
      </c>
      <c r="AC796" s="2" t="s">
        <v>145</v>
      </c>
      <c r="AD796" s="11" t="str">
        <f>IF($I796&lt;&gt;"",VLOOKUP($AC796,GEADRESSEERDE!$A$2:$E$4,2,),"")</f>
        <v>LUITHAGEN HAVEN 2 D</v>
      </c>
      <c r="AE796" s="11">
        <f>IF($I796&lt;&gt;"",VLOOKUP($AC796,GEADRESSEERDE!$A$2:$E$4,3,),"")</f>
        <v>2030</v>
      </c>
      <c r="AF796" s="11" t="str">
        <f>IF($I796&lt;&gt;"",VLOOKUP($AC796,GEADRESSEERDE!$A$2:$E$4,4,),"")</f>
        <v>ANTWERPEN</v>
      </c>
      <c r="AG796" s="11" t="str">
        <f>IF($I796&lt;&gt;"",VLOOKUP($AC796,GEADRESSEERDE!$A$2:$E$4,5,),"")</f>
        <v>BE</v>
      </c>
      <c r="AH796" s="11" t="str">
        <f>IF(I796&lt;&gt;"",VLOOKUP(AP796,KvB!$A$2:$B$3,2,FALSE),"")</f>
        <v>BE101000</v>
      </c>
      <c r="AI796" s="11" t="s">
        <v>55</v>
      </c>
      <c r="AJ796" s="11"/>
      <c r="AK796" s="11"/>
      <c r="AL796" s="11"/>
      <c r="AM796" s="11"/>
      <c r="AN796" s="11"/>
      <c r="AO796" s="11"/>
      <c r="AP796" s="2" t="s">
        <v>70</v>
      </c>
      <c r="AQ796" s="11" t="str">
        <f>IF(I796&lt;&gt;"",DATA!D795,"")</f>
        <v>7616999009</v>
      </c>
    </row>
    <row r="797" spans="1:43" ht="15.75" x14ac:dyDescent="0.25">
      <c r="A797" s="11" t="s">
        <v>57</v>
      </c>
      <c r="B797" s="11" t="s">
        <v>56</v>
      </c>
      <c r="C797" s="22">
        <f t="shared" si="54"/>
        <v>25001620</v>
      </c>
      <c r="D797" s="11" t="str">
        <f t="shared" si="51"/>
        <v>SKIIFM_AT</v>
      </c>
      <c r="E797" s="11" t="str">
        <f>IF(I797&lt;&gt;"",VLOOKUP(F797,OPDRACHTGEVER!$A$2:$B$4,2,FALSE),"")</f>
        <v>SKIIFM_AT</v>
      </c>
      <c r="F797" s="11" t="s">
        <v>58</v>
      </c>
      <c r="I797" s="11" t="str">
        <f>IF(DATA!B796&lt;&gt;"",DATA!B796,"")</f>
        <v>FDCU0098520</v>
      </c>
      <c r="J797" s="12">
        <v>0</v>
      </c>
      <c r="K797" s="11" t="s">
        <v>53</v>
      </c>
      <c r="L797" s="11" t="str">
        <f t="shared" si="52"/>
        <v>847989</v>
      </c>
      <c r="M797" s="11" t="str">
        <f>IF(I797&lt;&gt;"",DATA!E796,"")</f>
        <v>ULTRASONIC JEWELRY CLEANER</v>
      </c>
      <c r="N797" s="12">
        <v>0</v>
      </c>
      <c r="O797" s="11">
        <f>IF(I797&lt;&gt;"",DATA!C796,"")</f>
        <v>944.25</v>
      </c>
      <c r="P797" s="2">
        <v>294094</v>
      </c>
      <c r="Q797" s="2" t="s">
        <v>1304</v>
      </c>
      <c r="R797" s="2" t="s">
        <v>1321</v>
      </c>
      <c r="S797" s="2">
        <v>296</v>
      </c>
      <c r="T797" s="2">
        <v>1</v>
      </c>
      <c r="U797" s="2" t="s">
        <v>141</v>
      </c>
      <c r="Y797" s="2">
        <v>1700</v>
      </c>
      <c r="Z797" s="11" t="s">
        <v>54</v>
      </c>
      <c r="AA797" s="11" t="str">
        <f t="shared" si="53"/>
        <v>1700 - TBN</v>
      </c>
      <c r="AC797" s="2" t="s">
        <v>145</v>
      </c>
      <c r="AD797" s="11" t="str">
        <f>IF($I797&lt;&gt;"",VLOOKUP($AC797,GEADRESSEERDE!$A$2:$E$4,2,),"")</f>
        <v>LUITHAGEN HAVEN 2 D</v>
      </c>
      <c r="AE797" s="11">
        <f>IF($I797&lt;&gt;"",VLOOKUP($AC797,GEADRESSEERDE!$A$2:$E$4,3,),"")</f>
        <v>2030</v>
      </c>
      <c r="AF797" s="11" t="str">
        <f>IF($I797&lt;&gt;"",VLOOKUP($AC797,GEADRESSEERDE!$A$2:$E$4,4,),"")</f>
        <v>ANTWERPEN</v>
      </c>
      <c r="AG797" s="11" t="str">
        <f>IF($I797&lt;&gt;"",VLOOKUP($AC797,GEADRESSEERDE!$A$2:$E$4,5,),"")</f>
        <v>BE</v>
      </c>
      <c r="AH797" s="11" t="str">
        <f>IF(I797&lt;&gt;"",VLOOKUP(AP797,KvB!$A$2:$B$3,2,FALSE),"")</f>
        <v>BE101000</v>
      </c>
      <c r="AI797" s="11" t="s">
        <v>55</v>
      </c>
      <c r="AJ797" s="11"/>
      <c r="AK797" s="11"/>
      <c r="AL797" s="11"/>
      <c r="AM797" s="11"/>
      <c r="AN797" s="11"/>
      <c r="AO797" s="11"/>
      <c r="AP797" s="2" t="s">
        <v>70</v>
      </c>
      <c r="AQ797" s="11" t="str">
        <f>IF(I797&lt;&gt;"",DATA!D796,"")</f>
        <v>8479899790</v>
      </c>
    </row>
    <row r="798" spans="1:43" ht="15.75" x14ac:dyDescent="0.25">
      <c r="A798" s="11" t="s">
        <v>57</v>
      </c>
      <c r="B798" s="11" t="s">
        <v>56</v>
      </c>
      <c r="C798" s="22">
        <f t="shared" si="54"/>
        <v>25001620</v>
      </c>
      <c r="D798" s="11" t="str">
        <f t="shared" si="51"/>
        <v>SKIIFM_AT</v>
      </c>
      <c r="E798" s="11" t="str">
        <f>IF(I798&lt;&gt;"",VLOOKUP(F798,OPDRACHTGEVER!$A$2:$B$4,2,FALSE),"")</f>
        <v>SKIIFM_AT</v>
      </c>
      <c r="F798" s="11" t="s">
        <v>58</v>
      </c>
      <c r="I798" s="11" t="str">
        <f>IF(DATA!B797&lt;&gt;"",DATA!B797,"")</f>
        <v>FDCU0098520</v>
      </c>
      <c r="J798" s="12">
        <v>0</v>
      </c>
      <c r="K798" s="11" t="s">
        <v>53</v>
      </c>
      <c r="L798" s="11" t="str">
        <f t="shared" si="52"/>
        <v>841350</v>
      </c>
      <c r="M798" s="11" t="str">
        <f>IF(I798&lt;&gt;"",DATA!E797,"")</f>
        <v>WATER PUMP</v>
      </c>
      <c r="N798" s="12">
        <v>0</v>
      </c>
      <c r="O798" s="11">
        <f>IF(I798&lt;&gt;"",DATA!C797,"")</f>
        <v>2.15</v>
      </c>
      <c r="P798" s="2">
        <v>294094</v>
      </c>
      <c r="Q798" s="2" t="s">
        <v>1304</v>
      </c>
      <c r="R798" s="2" t="s">
        <v>1321</v>
      </c>
      <c r="S798" s="2">
        <v>296</v>
      </c>
      <c r="T798" s="2">
        <v>1</v>
      </c>
      <c r="U798" s="2" t="s">
        <v>141</v>
      </c>
      <c r="Y798" s="2">
        <v>1700</v>
      </c>
      <c r="Z798" s="11" t="s">
        <v>54</v>
      </c>
      <c r="AA798" s="11" t="str">
        <f t="shared" si="53"/>
        <v>1700 - TBN</v>
      </c>
      <c r="AC798" s="2" t="s">
        <v>145</v>
      </c>
      <c r="AD798" s="11" t="str">
        <f>IF($I798&lt;&gt;"",VLOOKUP($AC798,GEADRESSEERDE!$A$2:$E$4,2,),"")</f>
        <v>LUITHAGEN HAVEN 2 D</v>
      </c>
      <c r="AE798" s="11">
        <f>IF($I798&lt;&gt;"",VLOOKUP($AC798,GEADRESSEERDE!$A$2:$E$4,3,),"")</f>
        <v>2030</v>
      </c>
      <c r="AF798" s="11" t="str">
        <f>IF($I798&lt;&gt;"",VLOOKUP($AC798,GEADRESSEERDE!$A$2:$E$4,4,),"")</f>
        <v>ANTWERPEN</v>
      </c>
      <c r="AG798" s="11" t="str">
        <f>IF($I798&lt;&gt;"",VLOOKUP($AC798,GEADRESSEERDE!$A$2:$E$4,5,),"")</f>
        <v>BE</v>
      </c>
      <c r="AH798" s="11" t="str">
        <f>IF(I798&lt;&gt;"",VLOOKUP(AP798,KvB!$A$2:$B$3,2,FALSE),"")</f>
        <v>BE101000</v>
      </c>
      <c r="AI798" s="11" t="s">
        <v>55</v>
      </c>
      <c r="AJ798" s="11"/>
      <c r="AK798" s="11"/>
      <c r="AL798" s="11"/>
      <c r="AM798" s="11"/>
      <c r="AN798" s="11"/>
      <c r="AO798" s="11"/>
      <c r="AP798" s="2" t="s">
        <v>70</v>
      </c>
      <c r="AQ798" s="11" t="str">
        <f>IF(I798&lt;&gt;"",DATA!D797,"")</f>
        <v>8413502090</v>
      </c>
    </row>
    <row r="799" spans="1:43" ht="15.75" x14ac:dyDescent="0.25">
      <c r="A799" s="11" t="s">
        <v>57</v>
      </c>
      <c r="B799" s="11" t="s">
        <v>56</v>
      </c>
      <c r="C799" s="22">
        <f t="shared" si="54"/>
        <v>25001620</v>
      </c>
      <c r="D799" s="11" t="str">
        <f t="shared" si="51"/>
        <v>SKIIFM_AT</v>
      </c>
      <c r="E799" s="11" t="str">
        <f>IF(I799&lt;&gt;"",VLOOKUP(F799,OPDRACHTGEVER!$A$2:$B$4,2,FALSE),"")</f>
        <v>SKIIFM_AT</v>
      </c>
      <c r="F799" s="11" t="s">
        <v>58</v>
      </c>
      <c r="I799" s="11" t="str">
        <f>IF(DATA!B798&lt;&gt;"",DATA!B798,"")</f>
        <v>FDCU0098520</v>
      </c>
      <c r="J799" s="12">
        <v>0</v>
      </c>
      <c r="K799" s="11" t="s">
        <v>53</v>
      </c>
      <c r="L799" s="11" t="str">
        <f t="shared" si="52"/>
        <v>851580</v>
      </c>
      <c r="M799" s="11" t="str">
        <f>IF(I799&lt;&gt;"",DATA!E798,"")</f>
        <v>WELDING TORCH</v>
      </c>
      <c r="N799" s="12">
        <v>0</v>
      </c>
      <c r="O799" s="11">
        <f>IF(I799&lt;&gt;"",DATA!C798,"")</f>
        <v>3.2</v>
      </c>
      <c r="P799" s="2">
        <v>294094</v>
      </c>
      <c r="Q799" s="2" t="s">
        <v>1304</v>
      </c>
      <c r="R799" s="2" t="s">
        <v>1321</v>
      </c>
      <c r="S799" s="2">
        <v>296</v>
      </c>
      <c r="T799" s="2">
        <v>1</v>
      </c>
      <c r="U799" s="2" t="s">
        <v>141</v>
      </c>
      <c r="Y799" s="2">
        <v>1700</v>
      </c>
      <c r="Z799" s="11" t="s">
        <v>54</v>
      </c>
      <c r="AA799" s="11" t="str">
        <f t="shared" si="53"/>
        <v>1700 - TBN</v>
      </c>
      <c r="AC799" s="2" t="s">
        <v>145</v>
      </c>
      <c r="AD799" s="11" t="str">
        <f>IF($I799&lt;&gt;"",VLOOKUP($AC799,GEADRESSEERDE!$A$2:$E$4,2,),"")</f>
        <v>LUITHAGEN HAVEN 2 D</v>
      </c>
      <c r="AE799" s="11">
        <f>IF($I799&lt;&gt;"",VLOOKUP($AC799,GEADRESSEERDE!$A$2:$E$4,3,),"")</f>
        <v>2030</v>
      </c>
      <c r="AF799" s="11" t="str">
        <f>IF($I799&lt;&gt;"",VLOOKUP($AC799,GEADRESSEERDE!$A$2:$E$4,4,),"")</f>
        <v>ANTWERPEN</v>
      </c>
      <c r="AG799" s="11" t="str">
        <f>IF($I799&lt;&gt;"",VLOOKUP($AC799,GEADRESSEERDE!$A$2:$E$4,5,),"")</f>
        <v>BE</v>
      </c>
      <c r="AH799" s="11" t="str">
        <f>IF(I799&lt;&gt;"",VLOOKUP(AP799,KvB!$A$2:$B$3,2,FALSE),"")</f>
        <v>BE101000</v>
      </c>
      <c r="AI799" s="11" t="s">
        <v>55</v>
      </c>
      <c r="AJ799" s="11"/>
      <c r="AK799" s="11"/>
      <c r="AL799" s="11"/>
      <c r="AM799" s="11"/>
      <c r="AN799" s="11"/>
      <c r="AO799" s="11"/>
      <c r="AP799" s="2" t="s">
        <v>70</v>
      </c>
      <c r="AQ799" s="11" t="str">
        <f>IF(I799&lt;&gt;"",DATA!D798,"")</f>
        <v>8515809000</v>
      </c>
    </row>
    <row r="800" spans="1:43" ht="15.75" x14ac:dyDescent="0.25">
      <c r="A800" s="11" t="s">
        <v>57</v>
      </c>
      <c r="B800" s="11" t="s">
        <v>56</v>
      </c>
      <c r="C800" s="22">
        <f t="shared" si="54"/>
        <v>25001620</v>
      </c>
      <c r="D800" s="11" t="str">
        <f t="shared" si="51"/>
        <v>SKIIFM_AT</v>
      </c>
      <c r="E800" s="11" t="str">
        <f>IF(I800&lt;&gt;"",VLOOKUP(F800,OPDRACHTGEVER!$A$2:$B$4,2,FALSE),"")</f>
        <v>SKIIFM_AT</v>
      </c>
      <c r="F800" s="11" t="s">
        <v>58</v>
      </c>
      <c r="I800" s="11" t="str">
        <f>IF(DATA!B799&lt;&gt;"",DATA!B799,"")</f>
        <v>FDCU0098520</v>
      </c>
      <c r="J800" s="12">
        <v>0</v>
      </c>
      <c r="K800" s="11" t="s">
        <v>53</v>
      </c>
      <c r="L800" s="11" t="str">
        <f t="shared" si="52"/>
        <v>560749</v>
      </c>
      <c r="M800" s="11" t="str">
        <f>IF(I800&lt;&gt;"",DATA!E799,"")</f>
        <v>WINCH ROPE</v>
      </c>
      <c r="N800" s="12">
        <v>0</v>
      </c>
      <c r="O800" s="11">
        <f>IF(I800&lt;&gt;"",DATA!C799,"")</f>
        <v>4.3499999999999996</v>
      </c>
      <c r="P800" s="2">
        <v>294094</v>
      </c>
      <c r="Q800" s="2" t="s">
        <v>1304</v>
      </c>
      <c r="R800" s="2" t="s">
        <v>1321</v>
      </c>
      <c r="S800" s="2">
        <v>296</v>
      </c>
      <c r="T800" s="2">
        <v>1</v>
      </c>
      <c r="U800" s="2" t="s">
        <v>141</v>
      </c>
      <c r="Y800" s="2">
        <v>1700</v>
      </c>
      <c r="Z800" s="11" t="s">
        <v>54</v>
      </c>
      <c r="AA800" s="11" t="str">
        <f t="shared" si="53"/>
        <v>1700 - TBN</v>
      </c>
      <c r="AC800" s="2" t="s">
        <v>145</v>
      </c>
      <c r="AD800" s="11" t="str">
        <f>IF($I800&lt;&gt;"",VLOOKUP($AC800,GEADRESSEERDE!$A$2:$E$4,2,),"")</f>
        <v>LUITHAGEN HAVEN 2 D</v>
      </c>
      <c r="AE800" s="11">
        <f>IF($I800&lt;&gt;"",VLOOKUP($AC800,GEADRESSEERDE!$A$2:$E$4,3,),"")</f>
        <v>2030</v>
      </c>
      <c r="AF800" s="11" t="str">
        <f>IF($I800&lt;&gt;"",VLOOKUP($AC800,GEADRESSEERDE!$A$2:$E$4,4,),"")</f>
        <v>ANTWERPEN</v>
      </c>
      <c r="AG800" s="11" t="str">
        <f>IF($I800&lt;&gt;"",VLOOKUP($AC800,GEADRESSEERDE!$A$2:$E$4,5,),"")</f>
        <v>BE</v>
      </c>
      <c r="AH800" s="11" t="str">
        <f>IF(I800&lt;&gt;"",VLOOKUP(AP800,KvB!$A$2:$B$3,2,FALSE),"")</f>
        <v>BE101000</v>
      </c>
      <c r="AI800" s="11" t="s">
        <v>55</v>
      </c>
      <c r="AJ800" s="11"/>
      <c r="AK800" s="11"/>
      <c r="AL800" s="11"/>
      <c r="AM800" s="11"/>
      <c r="AN800" s="11"/>
      <c r="AO800" s="11"/>
      <c r="AP800" s="2" t="s">
        <v>70</v>
      </c>
      <c r="AQ800" s="11" t="str">
        <f>IF(I800&lt;&gt;"",DATA!D799,"")</f>
        <v>5607491900</v>
      </c>
    </row>
    <row r="801" spans="1:43" ht="15.75" x14ac:dyDescent="0.25">
      <c r="A801" s="11" t="s">
        <v>57</v>
      </c>
      <c r="B801" s="11" t="s">
        <v>56</v>
      </c>
      <c r="C801" s="22">
        <f t="shared" si="54"/>
        <v>25001620</v>
      </c>
      <c r="D801" s="11" t="str">
        <f t="shared" si="51"/>
        <v>SKIIFM_AT</v>
      </c>
      <c r="E801" s="11" t="str">
        <f>IF(I801&lt;&gt;"",VLOOKUP(F801,OPDRACHTGEVER!$A$2:$B$4,2,FALSE),"")</f>
        <v>SKIIFM_AT</v>
      </c>
      <c r="F801" s="11" t="s">
        <v>58</v>
      </c>
      <c r="I801" s="11" t="str">
        <f>IF(DATA!B800&lt;&gt;"",DATA!B800,"")</f>
        <v>FFAU3062713</v>
      </c>
      <c r="J801" s="12">
        <v>1263</v>
      </c>
      <c r="K801" s="11" t="s">
        <v>53</v>
      </c>
      <c r="L801" s="11" t="str">
        <f t="shared" si="52"/>
        <v>950490</v>
      </c>
      <c r="M801" s="11" t="str">
        <f>IF(I801&lt;&gt;"",DATA!E800,"")</f>
        <v>AIR HOCKEY TABLE</v>
      </c>
      <c r="N801" s="12">
        <v>12410</v>
      </c>
      <c r="O801" s="11">
        <f>IF(I801&lt;&gt;"",DATA!C800,"")</f>
        <v>39.299999999999997</v>
      </c>
      <c r="P801" s="2">
        <v>294094</v>
      </c>
      <c r="Q801" s="2" t="s">
        <v>1304</v>
      </c>
      <c r="R801" s="2" t="s">
        <v>1322</v>
      </c>
      <c r="S801" s="2">
        <v>581</v>
      </c>
      <c r="T801" s="2">
        <v>1</v>
      </c>
      <c r="U801" s="2" t="s">
        <v>141</v>
      </c>
      <c r="Y801" s="2">
        <v>1700</v>
      </c>
      <c r="Z801" s="11" t="s">
        <v>54</v>
      </c>
      <c r="AA801" s="11" t="str">
        <f t="shared" si="53"/>
        <v>1700 - TBN</v>
      </c>
      <c r="AC801" s="2" t="s">
        <v>145</v>
      </c>
      <c r="AD801" s="11" t="str">
        <f>IF($I801&lt;&gt;"",VLOOKUP($AC801,GEADRESSEERDE!$A$2:$E$4,2,),"")</f>
        <v>LUITHAGEN HAVEN 2 D</v>
      </c>
      <c r="AE801" s="11">
        <f>IF($I801&lt;&gt;"",VLOOKUP($AC801,GEADRESSEERDE!$A$2:$E$4,3,),"")</f>
        <v>2030</v>
      </c>
      <c r="AF801" s="11" t="str">
        <f>IF($I801&lt;&gt;"",VLOOKUP($AC801,GEADRESSEERDE!$A$2:$E$4,4,),"")</f>
        <v>ANTWERPEN</v>
      </c>
      <c r="AG801" s="11" t="str">
        <f>IF($I801&lt;&gt;"",VLOOKUP($AC801,GEADRESSEERDE!$A$2:$E$4,5,),"")</f>
        <v>BE</v>
      </c>
      <c r="AH801" s="11" t="str">
        <f>IF(I801&lt;&gt;"",VLOOKUP(AP801,KvB!$A$2:$B$3,2,FALSE),"")</f>
        <v>BE101000</v>
      </c>
      <c r="AI801" s="11" t="s">
        <v>55</v>
      </c>
      <c r="AJ801" s="11"/>
      <c r="AK801" s="11"/>
      <c r="AL801" s="11"/>
      <c r="AM801" s="11"/>
      <c r="AN801" s="11"/>
      <c r="AO801" s="11"/>
      <c r="AP801" s="2" t="s">
        <v>70</v>
      </c>
      <c r="AQ801" s="11" t="str">
        <f>IF(I801&lt;&gt;"",DATA!D800,"")</f>
        <v>9504908000</v>
      </c>
    </row>
    <row r="802" spans="1:43" ht="15.75" x14ac:dyDescent="0.25">
      <c r="A802" s="11" t="s">
        <v>57</v>
      </c>
      <c r="B802" s="11" t="s">
        <v>56</v>
      </c>
      <c r="C802" s="22">
        <f t="shared" si="54"/>
        <v>25001620</v>
      </c>
      <c r="D802" s="11" t="str">
        <f t="shared" si="51"/>
        <v>SKIIFM_AT</v>
      </c>
      <c r="E802" s="11" t="str">
        <f>IF(I802&lt;&gt;"",VLOOKUP(F802,OPDRACHTGEVER!$A$2:$B$4,2,FALSE),"")</f>
        <v>SKIIFM_AT</v>
      </c>
      <c r="F802" s="11" t="s">
        <v>58</v>
      </c>
      <c r="I802" s="11" t="str">
        <f>IF(DATA!B801&lt;&gt;"",DATA!B801,"")</f>
        <v>FFAU3062713</v>
      </c>
      <c r="J802" s="12">
        <v>0</v>
      </c>
      <c r="K802" s="11" t="s">
        <v>53</v>
      </c>
      <c r="L802" s="11" t="str">
        <f t="shared" si="52"/>
        <v>842121</v>
      </c>
      <c r="M802" s="11" t="str">
        <f>IF(I802&lt;&gt;"",DATA!E801,"")</f>
        <v>AQUARIUM FILTER</v>
      </c>
      <c r="N802" s="12">
        <v>0</v>
      </c>
      <c r="O802" s="11">
        <f>IF(I802&lt;&gt;"",DATA!C801,"")</f>
        <v>108.8</v>
      </c>
      <c r="P802" s="2">
        <v>294094</v>
      </c>
      <c r="Q802" s="2" t="s">
        <v>1304</v>
      </c>
      <c r="R802" s="2" t="s">
        <v>1322</v>
      </c>
      <c r="S802" s="2">
        <v>581</v>
      </c>
      <c r="T802" s="2">
        <v>1</v>
      </c>
      <c r="U802" s="2" t="s">
        <v>141</v>
      </c>
      <c r="Y802" s="2">
        <v>1700</v>
      </c>
      <c r="Z802" s="11" t="s">
        <v>54</v>
      </c>
      <c r="AA802" s="11" t="str">
        <f t="shared" si="53"/>
        <v>1700 - TBN</v>
      </c>
      <c r="AC802" s="2" t="s">
        <v>145</v>
      </c>
      <c r="AD802" s="11" t="str">
        <f>IF($I802&lt;&gt;"",VLOOKUP($AC802,GEADRESSEERDE!$A$2:$E$4,2,),"")</f>
        <v>LUITHAGEN HAVEN 2 D</v>
      </c>
      <c r="AE802" s="11">
        <f>IF($I802&lt;&gt;"",VLOOKUP($AC802,GEADRESSEERDE!$A$2:$E$4,3,),"")</f>
        <v>2030</v>
      </c>
      <c r="AF802" s="11" t="str">
        <f>IF($I802&lt;&gt;"",VLOOKUP($AC802,GEADRESSEERDE!$A$2:$E$4,4,),"")</f>
        <v>ANTWERPEN</v>
      </c>
      <c r="AG802" s="11" t="str">
        <f>IF($I802&lt;&gt;"",VLOOKUP($AC802,GEADRESSEERDE!$A$2:$E$4,5,),"")</f>
        <v>BE</v>
      </c>
      <c r="AH802" s="11" t="str">
        <f>IF(I802&lt;&gt;"",VLOOKUP(AP802,KvB!$A$2:$B$3,2,FALSE),"")</f>
        <v>BE101000</v>
      </c>
      <c r="AI802" s="11" t="s">
        <v>55</v>
      </c>
      <c r="AJ802" s="11"/>
      <c r="AK802" s="11"/>
      <c r="AL802" s="11"/>
      <c r="AM802" s="11"/>
      <c r="AN802" s="11"/>
      <c r="AO802" s="11"/>
      <c r="AP802" s="2" t="s">
        <v>70</v>
      </c>
      <c r="AQ802" s="11" t="str">
        <f>IF(I802&lt;&gt;"",DATA!D801,"")</f>
        <v>8421210090</v>
      </c>
    </row>
    <row r="803" spans="1:43" ht="15.75" x14ac:dyDescent="0.25">
      <c r="A803" s="11" t="s">
        <v>57</v>
      </c>
      <c r="B803" s="11" t="s">
        <v>56</v>
      </c>
      <c r="C803" s="22">
        <f t="shared" si="54"/>
        <v>25001620</v>
      </c>
      <c r="D803" s="11" t="str">
        <f t="shared" si="51"/>
        <v>SKIIFM_AT</v>
      </c>
      <c r="E803" s="11" t="str">
        <f>IF(I803&lt;&gt;"",VLOOKUP(F803,OPDRACHTGEVER!$A$2:$B$4,2,FALSE),"")</f>
        <v>SKIIFM_AT</v>
      </c>
      <c r="F803" s="11" t="s">
        <v>58</v>
      </c>
      <c r="I803" s="11" t="str">
        <f>IF(DATA!B802&lt;&gt;"",DATA!B802,"")</f>
        <v>FFAU3062713</v>
      </c>
      <c r="J803" s="12">
        <v>0</v>
      </c>
      <c r="K803" s="11" t="s">
        <v>53</v>
      </c>
      <c r="L803" s="11" t="str">
        <f t="shared" si="52"/>
        <v>830260</v>
      </c>
      <c r="M803" s="11" t="str">
        <f>IF(I803&lt;&gt;"",DATA!E802,"")</f>
        <v>AUTOMATIC DOOR OPENER</v>
      </c>
      <c r="N803" s="12">
        <v>0</v>
      </c>
      <c r="O803" s="11">
        <f>IF(I803&lt;&gt;"",DATA!C802,"")</f>
        <v>937.2</v>
      </c>
      <c r="P803" s="2">
        <v>294094</v>
      </c>
      <c r="Q803" s="2" t="s">
        <v>1304</v>
      </c>
      <c r="R803" s="2" t="s">
        <v>1322</v>
      </c>
      <c r="S803" s="2">
        <v>581</v>
      </c>
      <c r="T803" s="2">
        <v>1</v>
      </c>
      <c r="U803" s="2" t="s">
        <v>141</v>
      </c>
      <c r="Y803" s="2">
        <v>1700</v>
      </c>
      <c r="Z803" s="11" t="s">
        <v>54</v>
      </c>
      <c r="AA803" s="11" t="str">
        <f t="shared" si="53"/>
        <v>1700 - TBN</v>
      </c>
      <c r="AC803" s="2" t="s">
        <v>145</v>
      </c>
      <c r="AD803" s="11" t="str">
        <f>IF($I803&lt;&gt;"",VLOOKUP($AC803,GEADRESSEERDE!$A$2:$E$4,2,),"")</f>
        <v>LUITHAGEN HAVEN 2 D</v>
      </c>
      <c r="AE803" s="11">
        <f>IF($I803&lt;&gt;"",VLOOKUP($AC803,GEADRESSEERDE!$A$2:$E$4,3,),"")</f>
        <v>2030</v>
      </c>
      <c r="AF803" s="11" t="str">
        <f>IF($I803&lt;&gt;"",VLOOKUP($AC803,GEADRESSEERDE!$A$2:$E$4,4,),"")</f>
        <v>ANTWERPEN</v>
      </c>
      <c r="AG803" s="11" t="str">
        <f>IF($I803&lt;&gt;"",VLOOKUP($AC803,GEADRESSEERDE!$A$2:$E$4,5,),"")</f>
        <v>BE</v>
      </c>
      <c r="AH803" s="11" t="str">
        <f>IF(I803&lt;&gt;"",VLOOKUP(AP803,KvB!$A$2:$B$3,2,FALSE),"")</f>
        <v>BE101000</v>
      </c>
      <c r="AI803" s="11" t="s">
        <v>55</v>
      </c>
      <c r="AJ803" s="11"/>
      <c r="AK803" s="11"/>
      <c r="AL803" s="11"/>
      <c r="AM803" s="11"/>
      <c r="AN803" s="11"/>
      <c r="AO803" s="11"/>
      <c r="AP803" s="2" t="s">
        <v>70</v>
      </c>
      <c r="AQ803" s="11" t="str">
        <f>IF(I803&lt;&gt;"",DATA!D802,"")</f>
        <v>8302600090</v>
      </c>
    </row>
    <row r="804" spans="1:43" ht="15.75" x14ac:dyDescent="0.25">
      <c r="A804" s="11" t="s">
        <v>57</v>
      </c>
      <c r="B804" s="11" t="s">
        <v>56</v>
      </c>
      <c r="C804" s="22">
        <f t="shared" si="54"/>
        <v>25001620</v>
      </c>
      <c r="D804" s="11" t="str">
        <f t="shared" si="51"/>
        <v>SKIIFM_AT</v>
      </c>
      <c r="E804" s="11" t="str">
        <f>IF(I804&lt;&gt;"",VLOOKUP(F804,OPDRACHTGEVER!$A$2:$B$4,2,FALSE),"")</f>
        <v>SKIIFM_AT</v>
      </c>
      <c r="F804" s="11" t="s">
        <v>58</v>
      </c>
      <c r="I804" s="11" t="str">
        <f>IF(DATA!B803&lt;&gt;"",DATA!B803,"")</f>
        <v>FFAU3062713</v>
      </c>
      <c r="J804" s="12">
        <v>0</v>
      </c>
      <c r="K804" s="11" t="s">
        <v>53</v>
      </c>
      <c r="L804" s="11" t="str">
        <f t="shared" si="52"/>
        <v>847989</v>
      </c>
      <c r="M804" s="11" t="str">
        <f>IF(I804&lt;&gt;"",DATA!E803,"")</f>
        <v>AUTOMATIC GEARBOX CLEANING OIL CHANGE</v>
      </c>
      <c r="N804" s="12">
        <v>0</v>
      </c>
      <c r="O804" s="11">
        <f>IF(I804&lt;&gt;"",DATA!C803,"")</f>
        <v>227.5</v>
      </c>
      <c r="P804" s="2">
        <v>294094</v>
      </c>
      <c r="Q804" s="2" t="s">
        <v>1304</v>
      </c>
      <c r="R804" s="2" t="s">
        <v>1322</v>
      </c>
      <c r="S804" s="2">
        <v>581</v>
      </c>
      <c r="T804" s="2">
        <v>1</v>
      </c>
      <c r="U804" s="2" t="s">
        <v>141</v>
      </c>
      <c r="Y804" s="2">
        <v>1700</v>
      </c>
      <c r="Z804" s="11" t="s">
        <v>54</v>
      </c>
      <c r="AA804" s="11" t="str">
        <f t="shared" si="53"/>
        <v>1700 - TBN</v>
      </c>
      <c r="AC804" s="2" t="s">
        <v>145</v>
      </c>
      <c r="AD804" s="11" t="str">
        <f>IF($I804&lt;&gt;"",VLOOKUP($AC804,GEADRESSEERDE!$A$2:$E$4,2,),"")</f>
        <v>LUITHAGEN HAVEN 2 D</v>
      </c>
      <c r="AE804" s="11">
        <f>IF($I804&lt;&gt;"",VLOOKUP($AC804,GEADRESSEERDE!$A$2:$E$4,3,),"")</f>
        <v>2030</v>
      </c>
      <c r="AF804" s="11" t="str">
        <f>IF($I804&lt;&gt;"",VLOOKUP($AC804,GEADRESSEERDE!$A$2:$E$4,4,),"")</f>
        <v>ANTWERPEN</v>
      </c>
      <c r="AG804" s="11" t="str">
        <f>IF($I804&lt;&gt;"",VLOOKUP($AC804,GEADRESSEERDE!$A$2:$E$4,5,),"")</f>
        <v>BE</v>
      </c>
      <c r="AH804" s="11" t="str">
        <f>IF(I804&lt;&gt;"",VLOOKUP(AP804,KvB!$A$2:$B$3,2,FALSE),"")</f>
        <v>BE101000</v>
      </c>
      <c r="AI804" s="11" t="s">
        <v>55</v>
      </c>
      <c r="AJ804" s="11"/>
      <c r="AK804" s="11"/>
      <c r="AL804" s="11"/>
      <c r="AM804" s="11"/>
      <c r="AN804" s="11"/>
      <c r="AO804" s="11"/>
      <c r="AP804" s="2" t="s">
        <v>70</v>
      </c>
      <c r="AQ804" s="11" t="str">
        <f>IF(I804&lt;&gt;"",DATA!D803,"")</f>
        <v>8479899790</v>
      </c>
    </row>
    <row r="805" spans="1:43" ht="15.75" x14ac:dyDescent="0.25">
      <c r="A805" s="11" t="s">
        <v>57</v>
      </c>
      <c r="B805" s="11" t="s">
        <v>56</v>
      </c>
      <c r="C805" s="22">
        <f t="shared" si="54"/>
        <v>25001620</v>
      </c>
      <c r="D805" s="11" t="str">
        <f t="shared" si="51"/>
        <v>SKIIFM_AT</v>
      </c>
      <c r="E805" s="11" t="str">
        <f>IF(I805&lt;&gt;"",VLOOKUP(F805,OPDRACHTGEVER!$A$2:$B$4,2,FALSE),"")</f>
        <v>SKIIFM_AT</v>
      </c>
      <c r="F805" s="11" t="s">
        <v>58</v>
      </c>
      <c r="I805" s="11" t="str">
        <f>IF(DATA!B804&lt;&gt;"",DATA!B804,"")</f>
        <v>FFAU3062713</v>
      </c>
      <c r="J805" s="12">
        <v>0</v>
      </c>
      <c r="K805" s="11" t="s">
        <v>53</v>
      </c>
      <c r="L805" s="11" t="str">
        <f t="shared" si="52"/>
        <v>741920</v>
      </c>
      <c r="M805" s="11" t="str">
        <f>IF(I805&lt;&gt;"",DATA!E804,"")</f>
        <v>BUCKET</v>
      </c>
      <c r="N805" s="12">
        <v>0</v>
      </c>
      <c r="O805" s="11">
        <f>IF(I805&lt;&gt;"",DATA!C804,"")</f>
        <v>64.7</v>
      </c>
      <c r="P805" s="2">
        <v>294094</v>
      </c>
      <c r="Q805" s="2" t="s">
        <v>1304</v>
      </c>
      <c r="R805" s="2" t="s">
        <v>1322</v>
      </c>
      <c r="S805" s="2">
        <v>581</v>
      </c>
      <c r="T805" s="2">
        <v>1</v>
      </c>
      <c r="U805" s="2" t="s">
        <v>141</v>
      </c>
      <c r="Y805" s="2">
        <v>1700</v>
      </c>
      <c r="Z805" s="11" t="s">
        <v>54</v>
      </c>
      <c r="AA805" s="11" t="str">
        <f t="shared" si="53"/>
        <v>1700 - TBN</v>
      </c>
      <c r="AC805" s="2" t="s">
        <v>145</v>
      </c>
      <c r="AD805" s="11" t="str">
        <f>IF($I805&lt;&gt;"",VLOOKUP($AC805,GEADRESSEERDE!$A$2:$E$4,2,),"")</f>
        <v>LUITHAGEN HAVEN 2 D</v>
      </c>
      <c r="AE805" s="11">
        <f>IF($I805&lt;&gt;"",VLOOKUP($AC805,GEADRESSEERDE!$A$2:$E$4,3,),"")</f>
        <v>2030</v>
      </c>
      <c r="AF805" s="11" t="str">
        <f>IF($I805&lt;&gt;"",VLOOKUP($AC805,GEADRESSEERDE!$A$2:$E$4,4,),"")</f>
        <v>ANTWERPEN</v>
      </c>
      <c r="AG805" s="11" t="str">
        <f>IF($I805&lt;&gt;"",VLOOKUP($AC805,GEADRESSEERDE!$A$2:$E$4,5,),"")</f>
        <v>BE</v>
      </c>
      <c r="AH805" s="11" t="str">
        <f>IF(I805&lt;&gt;"",VLOOKUP(AP805,KvB!$A$2:$B$3,2,FALSE),"")</f>
        <v>BE101000</v>
      </c>
      <c r="AI805" s="11" t="s">
        <v>55</v>
      </c>
      <c r="AJ805" s="11"/>
      <c r="AK805" s="11"/>
      <c r="AL805" s="11"/>
      <c r="AM805" s="11"/>
      <c r="AN805" s="11"/>
      <c r="AO805" s="11"/>
      <c r="AP805" s="2" t="s">
        <v>70</v>
      </c>
      <c r="AQ805" s="11" t="str">
        <f>IF(I805&lt;&gt;"",DATA!D804,"")</f>
        <v>7419200090</v>
      </c>
    </row>
    <row r="806" spans="1:43" ht="15.75" x14ac:dyDescent="0.25">
      <c r="A806" s="11" t="s">
        <v>57</v>
      </c>
      <c r="B806" s="11" t="s">
        <v>56</v>
      </c>
      <c r="C806" s="22">
        <f t="shared" si="54"/>
        <v>25001620</v>
      </c>
      <c r="D806" s="11" t="str">
        <f t="shared" si="51"/>
        <v>SKIIFM_AT</v>
      </c>
      <c r="E806" s="11" t="str">
        <f>IF(I806&lt;&gt;"",VLOOKUP(F806,OPDRACHTGEVER!$A$2:$B$4,2,FALSE),"")</f>
        <v>SKIIFM_AT</v>
      </c>
      <c r="F806" s="11" t="s">
        <v>58</v>
      </c>
      <c r="I806" s="11" t="str">
        <f>IF(DATA!B805&lt;&gt;"",DATA!B805,"")</f>
        <v>FFAU3062713</v>
      </c>
      <c r="J806" s="12">
        <v>0</v>
      </c>
      <c r="K806" s="11" t="s">
        <v>53</v>
      </c>
      <c r="L806" s="11" t="str">
        <f t="shared" si="52"/>
        <v>843880</v>
      </c>
      <c r="M806" s="11" t="str">
        <f>IF(I806&lt;&gt;"",DATA!E805,"")</f>
        <v>COTTON CANDY MACHINE</v>
      </c>
      <c r="N806" s="12">
        <v>0</v>
      </c>
      <c r="O806" s="11">
        <f>IF(I806&lt;&gt;"",DATA!C805,"")</f>
        <v>26.4</v>
      </c>
      <c r="P806" s="2">
        <v>294094</v>
      </c>
      <c r="Q806" s="2" t="s">
        <v>1304</v>
      </c>
      <c r="R806" s="2" t="s">
        <v>1322</v>
      </c>
      <c r="S806" s="2">
        <v>581</v>
      </c>
      <c r="T806" s="2">
        <v>1</v>
      </c>
      <c r="U806" s="2" t="s">
        <v>141</v>
      </c>
      <c r="Y806" s="2">
        <v>1700</v>
      </c>
      <c r="Z806" s="11" t="s">
        <v>54</v>
      </c>
      <c r="AA806" s="11" t="str">
        <f t="shared" si="53"/>
        <v>1700 - TBN</v>
      </c>
      <c r="AC806" s="2" t="s">
        <v>145</v>
      </c>
      <c r="AD806" s="11" t="str">
        <f>IF($I806&lt;&gt;"",VLOOKUP($AC806,GEADRESSEERDE!$A$2:$E$4,2,),"")</f>
        <v>LUITHAGEN HAVEN 2 D</v>
      </c>
      <c r="AE806" s="11">
        <f>IF($I806&lt;&gt;"",VLOOKUP($AC806,GEADRESSEERDE!$A$2:$E$4,3,),"")</f>
        <v>2030</v>
      </c>
      <c r="AF806" s="11" t="str">
        <f>IF($I806&lt;&gt;"",VLOOKUP($AC806,GEADRESSEERDE!$A$2:$E$4,4,),"")</f>
        <v>ANTWERPEN</v>
      </c>
      <c r="AG806" s="11" t="str">
        <f>IF($I806&lt;&gt;"",VLOOKUP($AC806,GEADRESSEERDE!$A$2:$E$4,5,),"")</f>
        <v>BE</v>
      </c>
      <c r="AH806" s="11" t="str">
        <f>IF(I806&lt;&gt;"",VLOOKUP(AP806,KvB!$A$2:$B$3,2,FALSE),"")</f>
        <v>BE101000</v>
      </c>
      <c r="AI806" s="11" t="s">
        <v>55</v>
      </c>
      <c r="AJ806" s="11"/>
      <c r="AK806" s="11"/>
      <c r="AL806" s="11"/>
      <c r="AM806" s="11"/>
      <c r="AN806" s="11"/>
      <c r="AO806" s="11"/>
      <c r="AP806" s="2" t="s">
        <v>70</v>
      </c>
      <c r="AQ806" s="11" t="str">
        <f>IF(I806&lt;&gt;"",DATA!D805,"")</f>
        <v>8438809900</v>
      </c>
    </row>
    <row r="807" spans="1:43" ht="15.75" x14ac:dyDescent="0.25">
      <c r="A807" s="11" t="s">
        <v>57</v>
      </c>
      <c r="B807" s="11" t="s">
        <v>56</v>
      </c>
      <c r="C807" s="22">
        <f t="shared" si="54"/>
        <v>25001620</v>
      </c>
      <c r="D807" s="11" t="str">
        <f t="shared" si="51"/>
        <v>SKIIFM_AT</v>
      </c>
      <c r="E807" s="11" t="str">
        <f>IF(I807&lt;&gt;"",VLOOKUP(F807,OPDRACHTGEVER!$A$2:$B$4,2,FALSE),"")</f>
        <v>SKIIFM_AT</v>
      </c>
      <c r="F807" s="11" t="s">
        <v>58</v>
      </c>
      <c r="I807" s="11" t="str">
        <f>IF(DATA!B806&lt;&gt;"",DATA!B806,"")</f>
        <v>FFAU3062713</v>
      </c>
      <c r="J807" s="12">
        <v>0</v>
      </c>
      <c r="K807" s="11" t="s">
        <v>53</v>
      </c>
      <c r="L807" s="11" t="str">
        <f t="shared" si="52"/>
        <v>741920</v>
      </c>
      <c r="M807" s="11" t="str">
        <f>IF(I807&lt;&gt;"",DATA!E806,"")</f>
        <v>CUP WASHER</v>
      </c>
      <c r="N807" s="12">
        <v>0</v>
      </c>
      <c r="O807" s="11">
        <f>IF(I807&lt;&gt;"",DATA!C806,"")</f>
        <v>108</v>
      </c>
      <c r="P807" s="2">
        <v>294094</v>
      </c>
      <c r="Q807" s="2" t="s">
        <v>1304</v>
      </c>
      <c r="R807" s="2" t="s">
        <v>1322</v>
      </c>
      <c r="S807" s="2">
        <v>581</v>
      </c>
      <c r="T807" s="2">
        <v>1</v>
      </c>
      <c r="U807" s="2" t="s">
        <v>141</v>
      </c>
      <c r="Y807" s="2">
        <v>1700</v>
      </c>
      <c r="Z807" s="11" t="s">
        <v>54</v>
      </c>
      <c r="AA807" s="11" t="str">
        <f t="shared" si="53"/>
        <v>1700 - TBN</v>
      </c>
      <c r="AC807" s="2" t="s">
        <v>145</v>
      </c>
      <c r="AD807" s="11" t="str">
        <f>IF($I807&lt;&gt;"",VLOOKUP($AC807,GEADRESSEERDE!$A$2:$E$4,2,),"")</f>
        <v>LUITHAGEN HAVEN 2 D</v>
      </c>
      <c r="AE807" s="11">
        <f>IF($I807&lt;&gt;"",VLOOKUP($AC807,GEADRESSEERDE!$A$2:$E$4,3,),"")</f>
        <v>2030</v>
      </c>
      <c r="AF807" s="11" t="str">
        <f>IF($I807&lt;&gt;"",VLOOKUP($AC807,GEADRESSEERDE!$A$2:$E$4,4,),"")</f>
        <v>ANTWERPEN</v>
      </c>
      <c r="AG807" s="11" t="str">
        <f>IF($I807&lt;&gt;"",VLOOKUP($AC807,GEADRESSEERDE!$A$2:$E$4,5,),"")</f>
        <v>BE</v>
      </c>
      <c r="AH807" s="11" t="str">
        <f>IF(I807&lt;&gt;"",VLOOKUP(AP807,KvB!$A$2:$B$3,2,FALSE),"")</f>
        <v>BE101000</v>
      </c>
      <c r="AI807" s="11" t="s">
        <v>55</v>
      </c>
      <c r="AJ807" s="11"/>
      <c r="AK807" s="11"/>
      <c r="AL807" s="11"/>
      <c r="AM807" s="11"/>
      <c r="AN807" s="11"/>
      <c r="AO807" s="11"/>
      <c r="AP807" s="2" t="s">
        <v>70</v>
      </c>
      <c r="AQ807" s="11" t="str">
        <f>IF(I807&lt;&gt;"",DATA!D806,"")</f>
        <v>7419200090</v>
      </c>
    </row>
    <row r="808" spans="1:43" ht="15.75" x14ac:dyDescent="0.25">
      <c r="A808" s="11" t="s">
        <v>57</v>
      </c>
      <c r="B808" s="11" t="s">
        <v>56</v>
      </c>
      <c r="C808" s="22">
        <f t="shared" si="54"/>
        <v>25001620</v>
      </c>
      <c r="D808" s="11" t="str">
        <f t="shared" si="51"/>
        <v>SKIIFM_AT</v>
      </c>
      <c r="E808" s="11" t="str">
        <f>IF(I808&lt;&gt;"",VLOOKUP(F808,OPDRACHTGEVER!$A$2:$B$4,2,FALSE),"")</f>
        <v>SKIIFM_AT</v>
      </c>
      <c r="F808" s="11" t="s">
        <v>58</v>
      </c>
      <c r="I808" s="11" t="str">
        <f>IF(DATA!B807&lt;&gt;"",DATA!B807,"")</f>
        <v>FFAU3062713</v>
      </c>
      <c r="J808" s="12">
        <v>0</v>
      </c>
      <c r="K808" s="11" t="s">
        <v>53</v>
      </c>
      <c r="L808" s="11" t="str">
        <f t="shared" si="52"/>
        <v>903149</v>
      </c>
      <c r="M808" s="11" t="str">
        <f>IF(I808&lt;&gt;"",DATA!E807,"")</f>
        <v>DIGITAL READOUT FOR LATHE</v>
      </c>
      <c r="N808" s="12">
        <v>0</v>
      </c>
      <c r="O808" s="11">
        <f>IF(I808&lt;&gt;"",DATA!C807,"")</f>
        <v>26.7</v>
      </c>
      <c r="P808" s="2">
        <v>294094</v>
      </c>
      <c r="Q808" s="2" t="s">
        <v>1304</v>
      </c>
      <c r="R808" s="2" t="s">
        <v>1322</v>
      </c>
      <c r="S808" s="2">
        <v>581</v>
      </c>
      <c r="T808" s="2">
        <v>1</v>
      </c>
      <c r="U808" s="2" t="s">
        <v>141</v>
      </c>
      <c r="Y808" s="2">
        <v>1700</v>
      </c>
      <c r="Z808" s="11" t="s">
        <v>54</v>
      </c>
      <c r="AA808" s="11" t="str">
        <f t="shared" si="53"/>
        <v>1700 - TBN</v>
      </c>
      <c r="AC808" s="2" t="s">
        <v>145</v>
      </c>
      <c r="AD808" s="11" t="str">
        <f>IF($I808&lt;&gt;"",VLOOKUP($AC808,GEADRESSEERDE!$A$2:$E$4,2,),"")</f>
        <v>LUITHAGEN HAVEN 2 D</v>
      </c>
      <c r="AE808" s="11">
        <f>IF($I808&lt;&gt;"",VLOOKUP($AC808,GEADRESSEERDE!$A$2:$E$4,3,),"")</f>
        <v>2030</v>
      </c>
      <c r="AF808" s="11" t="str">
        <f>IF($I808&lt;&gt;"",VLOOKUP($AC808,GEADRESSEERDE!$A$2:$E$4,4,),"")</f>
        <v>ANTWERPEN</v>
      </c>
      <c r="AG808" s="11" t="str">
        <f>IF($I808&lt;&gt;"",VLOOKUP($AC808,GEADRESSEERDE!$A$2:$E$4,5,),"")</f>
        <v>BE</v>
      </c>
      <c r="AH808" s="11" t="str">
        <f>IF(I808&lt;&gt;"",VLOOKUP(AP808,KvB!$A$2:$B$3,2,FALSE),"")</f>
        <v>BE101000</v>
      </c>
      <c r="AI808" s="11" t="s">
        <v>55</v>
      </c>
      <c r="AJ808" s="11"/>
      <c r="AK808" s="11"/>
      <c r="AL808" s="11"/>
      <c r="AM808" s="11"/>
      <c r="AN808" s="11"/>
      <c r="AO808" s="11"/>
      <c r="AP808" s="2" t="s">
        <v>70</v>
      </c>
      <c r="AQ808" s="11" t="str">
        <f>IF(I808&lt;&gt;"",DATA!D807,"")</f>
        <v>9031499000</v>
      </c>
    </row>
    <row r="809" spans="1:43" ht="15.75" x14ac:dyDescent="0.25">
      <c r="A809" s="11" t="s">
        <v>57</v>
      </c>
      <c r="B809" s="11" t="s">
        <v>56</v>
      </c>
      <c r="C809" s="22">
        <f t="shared" si="54"/>
        <v>25001620</v>
      </c>
      <c r="D809" s="11" t="str">
        <f t="shared" si="51"/>
        <v>SKIIFM_AT</v>
      </c>
      <c r="E809" s="11" t="str">
        <f>IF(I809&lt;&gt;"",VLOOKUP(F809,OPDRACHTGEVER!$A$2:$B$4,2,FALSE),"")</f>
        <v>SKIIFM_AT</v>
      </c>
      <c r="F809" s="11" t="s">
        <v>58</v>
      </c>
      <c r="I809" s="11" t="str">
        <f>IF(DATA!B808&lt;&gt;"",DATA!B808,"")</f>
        <v>FFAU3062713</v>
      </c>
      <c r="J809" s="12">
        <v>0</v>
      </c>
      <c r="K809" s="11" t="s">
        <v>53</v>
      </c>
      <c r="L809" s="11" t="str">
        <f t="shared" si="52"/>
        <v>741920</v>
      </c>
      <c r="M809" s="11" t="str">
        <f>IF(I809&lt;&gt;"",DATA!E808,"")</f>
        <v>DINING STOVE</v>
      </c>
      <c r="N809" s="12">
        <v>0</v>
      </c>
      <c r="O809" s="11">
        <f>IF(I809&lt;&gt;"",DATA!C808,"")</f>
        <v>15.3</v>
      </c>
      <c r="P809" s="2">
        <v>294094</v>
      </c>
      <c r="Q809" s="2" t="s">
        <v>1304</v>
      </c>
      <c r="R809" s="2" t="s">
        <v>1322</v>
      </c>
      <c r="S809" s="2">
        <v>581</v>
      </c>
      <c r="T809" s="2">
        <v>1</v>
      </c>
      <c r="U809" s="2" t="s">
        <v>141</v>
      </c>
      <c r="Y809" s="2">
        <v>1700</v>
      </c>
      <c r="Z809" s="11" t="s">
        <v>54</v>
      </c>
      <c r="AA809" s="11" t="str">
        <f t="shared" si="53"/>
        <v>1700 - TBN</v>
      </c>
      <c r="AC809" s="2" t="s">
        <v>145</v>
      </c>
      <c r="AD809" s="11" t="str">
        <f>IF($I809&lt;&gt;"",VLOOKUP($AC809,GEADRESSEERDE!$A$2:$E$4,2,),"")</f>
        <v>LUITHAGEN HAVEN 2 D</v>
      </c>
      <c r="AE809" s="11">
        <f>IF($I809&lt;&gt;"",VLOOKUP($AC809,GEADRESSEERDE!$A$2:$E$4,3,),"")</f>
        <v>2030</v>
      </c>
      <c r="AF809" s="11" t="str">
        <f>IF($I809&lt;&gt;"",VLOOKUP($AC809,GEADRESSEERDE!$A$2:$E$4,4,),"")</f>
        <v>ANTWERPEN</v>
      </c>
      <c r="AG809" s="11" t="str">
        <f>IF($I809&lt;&gt;"",VLOOKUP($AC809,GEADRESSEERDE!$A$2:$E$4,5,),"")</f>
        <v>BE</v>
      </c>
      <c r="AH809" s="11" t="str">
        <f>IF(I809&lt;&gt;"",VLOOKUP(AP809,KvB!$A$2:$B$3,2,FALSE),"")</f>
        <v>BE101000</v>
      </c>
      <c r="AI809" s="11" t="s">
        <v>55</v>
      </c>
      <c r="AJ809" s="11"/>
      <c r="AK809" s="11"/>
      <c r="AL809" s="11"/>
      <c r="AM809" s="11"/>
      <c r="AN809" s="11"/>
      <c r="AO809" s="11"/>
      <c r="AP809" s="2" t="s">
        <v>70</v>
      </c>
      <c r="AQ809" s="11" t="str">
        <f>IF(I809&lt;&gt;"",DATA!D808,"")</f>
        <v>7419200090</v>
      </c>
    </row>
    <row r="810" spans="1:43" ht="15.75" x14ac:dyDescent="0.25">
      <c r="A810" s="11" t="s">
        <v>57</v>
      </c>
      <c r="B810" s="11" t="s">
        <v>56</v>
      </c>
      <c r="C810" s="22">
        <f t="shared" si="54"/>
        <v>25001620</v>
      </c>
      <c r="D810" s="11" t="str">
        <f t="shared" si="51"/>
        <v>SKIIFM_AT</v>
      </c>
      <c r="E810" s="11" t="str">
        <f>IF(I810&lt;&gt;"",VLOOKUP(F810,OPDRACHTGEVER!$A$2:$B$4,2,FALSE),"")</f>
        <v>SKIIFM_AT</v>
      </c>
      <c r="F810" s="11" t="s">
        <v>58</v>
      </c>
      <c r="I810" s="11" t="str">
        <f>IF(DATA!B809&lt;&gt;"",DATA!B809,"")</f>
        <v>FFAU3062713</v>
      </c>
      <c r="J810" s="12">
        <v>0</v>
      </c>
      <c r="K810" s="11" t="s">
        <v>53</v>
      </c>
      <c r="L810" s="11" t="str">
        <f t="shared" si="52"/>
        <v>841940</v>
      </c>
      <c r="M810" s="11" t="str">
        <f>IF(I810&lt;&gt;"",DATA!E809,"")</f>
        <v>DISTILLER</v>
      </c>
      <c r="N810" s="12">
        <v>0</v>
      </c>
      <c r="O810" s="11">
        <f>IF(I810&lt;&gt;"",DATA!C809,"")</f>
        <v>83.8</v>
      </c>
      <c r="P810" s="2">
        <v>294094</v>
      </c>
      <c r="Q810" s="2" t="s">
        <v>1304</v>
      </c>
      <c r="R810" s="2" t="s">
        <v>1322</v>
      </c>
      <c r="S810" s="2">
        <v>581</v>
      </c>
      <c r="T810" s="2">
        <v>1</v>
      </c>
      <c r="U810" s="2" t="s">
        <v>141</v>
      </c>
      <c r="Y810" s="2">
        <v>1700</v>
      </c>
      <c r="Z810" s="11" t="s">
        <v>54</v>
      </c>
      <c r="AA810" s="11" t="str">
        <f t="shared" si="53"/>
        <v>1700 - TBN</v>
      </c>
      <c r="AC810" s="2" t="s">
        <v>145</v>
      </c>
      <c r="AD810" s="11" t="str">
        <f>IF($I810&lt;&gt;"",VLOOKUP($AC810,GEADRESSEERDE!$A$2:$E$4,2,),"")</f>
        <v>LUITHAGEN HAVEN 2 D</v>
      </c>
      <c r="AE810" s="11">
        <f>IF($I810&lt;&gt;"",VLOOKUP($AC810,GEADRESSEERDE!$A$2:$E$4,3,),"")</f>
        <v>2030</v>
      </c>
      <c r="AF810" s="11" t="str">
        <f>IF($I810&lt;&gt;"",VLOOKUP($AC810,GEADRESSEERDE!$A$2:$E$4,4,),"")</f>
        <v>ANTWERPEN</v>
      </c>
      <c r="AG810" s="11" t="str">
        <f>IF($I810&lt;&gt;"",VLOOKUP($AC810,GEADRESSEERDE!$A$2:$E$4,5,),"")</f>
        <v>BE</v>
      </c>
      <c r="AH810" s="11" t="str">
        <f>IF(I810&lt;&gt;"",VLOOKUP(AP810,KvB!$A$2:$B$3,2,FALSE),"")</f>
        <v>BE101000</v>
      </c>
      <c r="AI810" s="11" t="s">
        <v>55</v>
      </c>
      <c r="AJ810" s="11"/>
      <c r="AK810" s="11"/>
      <c r="AL810" s="11"/>
      <c r="AM810" s="11"/>
      <c r="AN810" s="11"/>
      <c r="AO810" s="11"/>
      <c r="AP810" s="2" t="s">
        <v>70</v>
      </c>
      <c r="AQ810" s="11" t="str">
        <f>IF(I810&lt;&gt;"",DATA!D809,"")</f>
        <v>8419400090</v>
      </c>
    </row>
    <row r="811" spans="1:43" ht="15.75" x14ac:dyDescent="0.25">
      <c r="A811" s="11" t="s">
        <v>57</v>
      </c>
      <c r="B811" s="11" t="s">
        <v>56</v>
      </c>
      <c r="C811" s="22">
        <f t="shared" si="54"/>
        <v>25001620</v>
      </c>
      <c r="D811" s="11" t="str">
        <f t="shared" si="51"/>
        <v>SKIIFM_AT</v>
      </c>
      <c r="E811" s="11" t="str">
        <f>IF(I811&lt;&gt;"",VLOOKUP(F811,OPDRACHTGEVER!$A$2:$B$4,2,FALSE),"")</f>
        <v>SKIIFM_AT</v>
      </c>
      <c r="F811" s="11" t="s">
        <v>58</v>
      </c>
      <c r="I811" s="11" t="str">
        <f>IF(DATA!B810&lt;&gt;"",DATA!B810,"")</f>
        <v>FFAU3062713</v>
      </c>
      <c r="J811" s="12">
        <v>0</v>
      </c>
      <c r="K811" s="11" t="s">
        <v>53</v>
      </c>
      <c r="L811" s="11" t="str">
        <f t="shared" si="52"/>
        <v>950629</v>
      </c>
      <c r="M811" s="11" t="str">
        <f>IF(I811&lt;&gt;"",DATA!E810,"")</f>
        <v>DIVING RESPIRATOR</v>
      </c>
      <c r="N811" s="12">
        <v>0</v>
      </c>
      <c r="O811" s="11">
        <f>IF(I811&lt;&gt;"",DATA!C810,"")</f>
        <v>30.2</v>
      </c>
      <c r="P811" s="2">
        <v>294094</v>
      </c>
      <c r="Q811" s="2" t="s">
        <v>1304</v>
      </c>
      <c r="R811" s="2" t="s">
        <v>1322</v>
      </c>
      <c r="S811" s="2">
        <v>581</v>
      </c>
      <c r="T811" s="2">
        <v>1</v>
      </c>
      <c r="U811" s="2" t="s">
        <v>141</v>
      </c>
      <c r="Y811" s="2">
        <v>1700</v>
      </c>
      <c r="Z811" s="11" t="s">
        <v>54</v>
      </c>
      <c r="AA811" s="11" t="str">
        <f t="shared" si="53"/>
        <v>1700 - TBN</v>
      </c>
      <c r="AC811" s="2" t="s">
        <v>145</v>
      </c>
      <c r="AD811" s="11" t="str">
        <f>IF($I811&lt;&gt;"",VLOOKUP($AC811,GEADRESSEERDE!$A$2:$E$4,2,),"")</f>
        <v>LUITHAGEN HAVEN 2 D</v>
      </c>
      <c r="AE811" s="11">
        <f>IF($I811&lt;&gt;"",VLOOKUP($AC811,GEADRESSEERDE!$A$2:$E$4,3,),"")</f>
        <v>2030</v>
      </c>
      <c r="AF811" s="11" t="str">
        <f>IF($I811&lt;&gt;"",VLOOKUP($AC811,GEADRESSEERDE!$A$2:$E$4,4,),"")</f>
        <v>ANTWERPEN</v>
      </c>
      <c r="AG811" s="11" t="str">
        <f>IF($I811&lt;&gt;"",VLOOKUP($AC811,GEADRESSEERDE!$A$2:$E$4,5,),"")</f>
        <v>BE</v>
      </c>
      <c r="AH811" s="11" t="str">
        <f>IF(I811&lt;&gt;"",VLOOKUP(AP811,KvB!$A$2:$B$3,2,FALSE),"")</f>
        <v>BE101000</v>
      </c>
      <c r="AI811" s="11" t="s">
        <v>55</v>
      </c>
      <c r="AJ811" s="11"/>
      <c r="AK811" s="11"/>
      <c r="AL811" s="11"/>
      <c r="AM811" s="11"/>
      <c r="AN811" s="11"/>
      <c r="AO811" s="11"/>
      <c r="AP811" s="2" t="s">
        <v>70</v>
      </c>
      <c r="AQ811" s="11" t="str">
        <f>IF(I811&lt;&gt;"",DATA!D810,"")</f>
        <v>9506290000</v>
      </c>
    </row>
    <row r="812" spans="1:43" ht="15.75" x14ac:dyDescent="0.25">
      <c r="A812" s="11" t="s">
        <v>57</v>
      </c>
      <c r="B812" s="11" t="s">
        <v>56</v>
      </c>
      <c r="C812" s="22">
        <f t="shared" si="54"/>
        <v>25001620</v>
      </c>
      <c r="D812" s="11" t="str">
        <f t="shared" si="51"/>
        <v>SKIIFM_AT</v>
      </c>
      <c r="E812" s="11" t="str">
        <f>IF(I812&lt;&gt;"",VLOOKUP(F812,OPDRACHTGEVER!$A$2:$B$4,2,FALSE),"")</f>
        <v>SKIIFM_AT</v>
      </c>
      <c r="F812" s="11" t="s">
        <v>58</v>
      </c>
      <c r="I812" s="11" t="str">
        <f>IF(DATA!B811&lt;&gt;"",DATA!B811,"")</f>
        <v>FFAU3062713</v>
      </c>
      <c r="J812" s="12">
        <v>0</v>
      </c>
      <c r="K812" s="11" t="s">
        <v>53</v>
      </c>
      <c r="L812" s="11" t="str">
        <f t="shared" si="52"/>
        <v>851660</v>
      </c>
      <c r="M812" s="11" t="str">
        <f>IF(I812&lt;&gt;"",DATA!E811,"")</f>
        <v>ELECTRIC BLAST FURNACE</v>
      </c>
      <c r="N812" s="12">
        <v>0</v>
      </c>
      <c r="O812" s="11">
        <f>IF(I812&lt;&gt;"",DATA!C811,"")</f>
        <v>426.07</v>
      </c>
      <c r="P812" s="2">
        <v>294094</v>
      </c>
      <c r="Q812" s="2" t="s">
        <v>1304</v>
      </c>
      <c r="R812" s="2" t="s">
        <v>1322</v>
      </c>
      <c r="S812" s="2">
        <v>581</v>
      </c>
      <c r="T812" s="2">
        <v>1</v>
      </c>
      <c r="U812" s="2" t="s">
        <v>141</v>
      </c>
      <c r="Y812" s="2">
        <v>1700</v>
      </c>
      <c r="Z812" s="11" t="s">
        <v>54</v>
      </c>
      <c r="AA812" s="11" t="str">
        <f t="shared" si="53"/>
        <v>1700 - TBN</v>
      </c>
      <c r="AC812" s="2" t="s">
        <v>145</v>
      </c>
      <c r="AD812" s="11" t="str">
        <f>IF($I812&lt;&gt;"",VLOOKUP($AC812,GEADRESSEERDE!$A$2:$E$4,2,),"")</f>
        <v>LUITHAGEN HAVEN 2 D</v>
      </c>
      <c r="AE812" s="11">
        <f>IF($I812&lt;&gt;"",VLOOKUP($AC812,GEADRESSEERDE!$A$2:$E$4,3,),"")</f>
        <v>2030</v>
      </c>
      <c r="AF812" s="11" t="str">
        <f>IF($I812&lt;&gt;"",VLOOKUP($AC812,GEADRESSEERDE!$A$2:$E$4,4,),"")</f>
        <v>ANTWERPEN</v>
      </c>
      <c r="AG812" s="11" t="str">
        <f>IF($I812&lt;&gt;"",VLOOKUP($AC812,GEADRESSEERDE!$A$2:$E$4,5,),"")</f>
        <v>BE</v>
      </c>
      <c r="AH812" s="11" t="str">
        <f>IF(I812&lt;&gt;"",VLOOKUP(AP812,KvB!$A$2:$B$3,2,FALSE),"")</f>
        <v>BE101000</v>
      </c>
      <c r="AI812" s="11" t="s">
        <v>55</v>
      </c>
      <c r="AJ812" s="11"/>
      <c r="AK812" s="11"/>
      <c r="AL812" s="11"/>
      <c r="AM812" s="11"/>
      <c r="AN812" s="11"/>
      <c r="AO812" s="11"/>
      <c r="AP812" s="2" t="s">
        <v>70</v>
      </c>
      <c r="AQ812" s="11" t="str">
        <f>IF(I812&lt;&gt;"",DATA!D811,"")</f>
        <v>8516609000</v>
      </c>
    </row>
    <row r="813" spans="1:43" ht="15.75" x14ac:dyDescent="0.25">
      <c r="A813" s="11" t="s">
        <v>57</v>
      </c>
      <c r="B813" s="11" t="s">
        <v>56</v>
      </c>
      <c r="C813" s="22">
        <f t="shared" si="54"/>
        <v>25001620</v>
      </c>
      <c r="D813" s="11" t="str">
        <f t="shared" si="51"/>
        <v>SKIIFM_AT</v>
      </c>
      <c r="E813" s="11" t="str">
        <f>IF(I813&lt;&gt;"",VLOOKUP(F813,OPDRACHTGEVER!$A$2:$B$4,2,FALSE),"")</f>
        <v>SKIIFM_AT</v>
      </c>
      <c r="F813" s="11" t="s">
        <v>58</v>
      </c>
      <c r="I813" s="11" t="str">
        <f>IF(DATA!B812&lt;&gt;"",DATA!B812,"")</f>
        <v>FFAU3062713</v>
      </c>
      <c r="J813" s="12">
        <v>0</v>
      </c>
      <c r="K813" s="11" t="s">
        <v>53</v>
      </c>
      <c r="L813" s="11" t="str">
        <f t="shared" si="52"/>
        <v>392490</v>
      </c>
      <c r="M813" s="11" t="str">
        <f>IF(I813&lt;&gt;"",DATA!E812,"")</f>
        <v>ENCLOSED CAT LITTER BOX</v>
      </c>
      <c r="N813" s="12">
        <v>0</v>
      </c>
      <c r="O813" s="11">
        <f>IF(I813&lt;&gt;"",DATA!C812,"")</f>
        <v>25.2</v>
      </c>
      <c r="P813" s="2">
        <v>294094</v>
      </c>
      <c r="Q813" s="2" t="s">
        <v>1304</v>
      </c>
      <c r="R813" s="2" t="s">
        <v>1322</v>
      </c>
      <c r="S813" s="2">
        <v>581</v>
      </c>
      <c r="T813" s="2">
        <v>1</v>
      </c>
      <c r="U813" s="2" t="s">
        <v>141</v>
      </c>
      <c r="Y813" s="2">
        <v>1700</v>
      </c>
      <c r="Z813" s="11" t="s">
        <v>54</v>
      </c>
      <c r="AA813" s="11" t="str">
        <f t="shared" si="53"/>
        <v>1700 - TBN</v>
      </c>
      <c r="AC813" s="2" t="s">
        <v>145</v>
      </c>
      <c r="AD813" s="11" t="str">
        <f>IF($I813&lt;&gt;"",VLOOKUP($AC813,GEADRESSEERDE!$A$2:$E$4,2,),"")</f>
        <v>LUITHAGEN HAVEN 2 D</v>
      </c>
      <c r="AE813" s="11">
        <f>IF($I813&lt;&gt;"",VLOOKUP($AC813,GEADRESSEERDE!$A$2:$E$4,3,),"")</f>
        <v>2030</v>
      </c>
      <c r="AF813" s="11" t="str">
        <f>IF($I813&lt;&gt;"",VLOOKUP($AC813,GEADRESSEERDE!$A$2:$E$4,4,),"")</f>
        <v>ANTWERPEN</v>
      </c>
      <c r="AG813" s="11" t="str">
        <f>IF($I813&lt;&gt;"",VLOOKUP($AC813,GEADRESSEERDE!$A$2:$E$4,5,),"")</f>
        <v>BE</v>
      </c>
      <c r="AH813" s="11" t="str">
        <f>IF(I813&lt;&gt;"",VLOOKUP(AP813,KvB!$A$2:$B$3,2,FALSE),"")</f>
        <v>BE101000</v>
      </c>
      <c r="AI813" s="11" t="s">
        <v>55</v>
      </c>
      <c r="AJ813" s="11"/>
      <c r="AK813" s="11"/>
      <c r="AL813" s="11"/>
      <c r="AM813" s="11"/>
      <c r="AN813" s="11"/>
      <c r="AO813" s="11"/>
      <c r="AP813" s="2" t="s">
        <v>70</v>
      </c>
      <c r="AQ813" s="11" t="str">
        <f>IF(I813&lt;&gt;"",DATA!D812,"")</f>
        <v>3924900090</v>
      </c>
    </row>
    <row r="814" spans="1:43" ht="15.75" x14ac:dyDescent="0.25">
      <c r="A814" s="11" t="s">
        <v>57</v>
      </c>
      <c r="B814" s="11" t="s">
        <v>56</v>
      </c>
      <c r="C814" s="22">
        <f t="shared" si="54"/>
        <v>25001620</v>
      </c>
      <c r="D814" s="11" t="str">
        <f t="shared" si="51"/>
        <v>SKIIFM_AT</v>
      </c>
      <c r="E814" s="11" t="str">
        <f>IF(I814&lt;&gt;"",VLOOKUP(F814,OPDRACHTGEVER!$A$2:$B$4,2,FALSE),"")</f>
        <v>SKIIFM_AT</v>
      </c>
      <c r="F814" s="11" t="s">
        <v>58</v>
      </c>
      <c r="I814" s="11" t="str">
        <f>IF(DATA!B813&lt;&gt;"",DATA!B813,"")</f>
        <v>FFAU3062713</v>
      </c>
      <c r="J814" s="12">
        <v>0</v>
      </c>
      <c r="K814" s="11" t="s">
        <v>53</v>
      </c>
      <c r="L814" s="11" t="str">
        <f t="shared" si="52"/>
        <v>842230</v>
      </c>
      <c r="M814" s="11" t="str">
        <f>IF(I814&lt;&gt;"",DATA!E813,"")</f>
        <v>FILM SEALING MACHINE</v>
      </c>
      <c r="N814" s="12">
        <v>0</v>
      </c>
      <c r="O814" s="11">
        <f>IF(I814&lt;&gt;"",DATA!C813,"")</f>
        <v>111.8</v>
      </c>
      <c r="P814" s="2">
        <v>294094</v>
      </c>
      <c r="Q814" s="2" t="s">
        <v>1304</v>
      </c>
      <c r="R814" s="2" t="s">
        <v>1322</v>
      </c>
      <c r="S814" s="2">
        <v>581</v>
      </c>
      <c r="T814" s="2">
        <v>1</v>
      </c>
      <c r="U814" s="2" t="s">
        <v>141</v>
      </c>
      <c r="Y814" s="2">
        <v>1700</v>
      </c>
      <c r="Z814" s="11" t="s">
        <v>54</v>
      </c>
      <c r="AA814" s="11" t="str">
        <f t="shared" si="53"/>
        <v>1700 - TBN</v>
      </c>
      <c r="AC814" s="2" t="s">
        <v>145</v>
      </c>
      <c r="AD814" s="11" t="str">
        <f>IF($I814&lt;&gt;"",VLOOKUP($AC814,GEADRESSEERDE!$A$2:$E$4,2,),"")</f>
        <v>LUITHAGEN HAVEN 2 D</v>
      </c>
      <c r="AE814" s="11">
        <f>IF($I814&lt;&gt;"",VLOOKUP($AC814,GEADRESSEERDE!$A$2:$E$4,3,),"")</f>
        <v>2030</v>
      </c>
      <c r="AF814" s="11" t="str">
        <f>IF($I814&lt;&gt;"",VLOOKUP($AC814,GEADRESSEERDE!$A$2:$E$4,4,),"")</f>
        <v>ANTWERPEN</v>
      </c>
      <c r="AG814" s="11" t="str">
        <f>IF($I814&lt;&gt;"",VLOOKUP($AC814,GEADRESSEERDE!$A$2:$E$4,5,),"")</f>
        <v>BE</v>
      </c>
      <c r="AH814" s="11" t="str">
        <f>IF(I814&lt;&gt;"",VLOOKUP(AP814,KvB!$A$2:$B$3,2,FALSE),"")</f>
        <v>BE101000</v>
      </c>
      <c r="AI814" s="11" t="s">
        <v>55</v>
      </c>
      <c r="AJ814" s="11"/>
      <c r="AK814" s="11"/>
      <c r="AL814" s="11"/>
      <c r="AM814" s="11"/>
      <c r="AN814" s="11"/>
      <c r="AO814" s="11"/>
      <c r="AP814" s="2" t="s">
        <v>70</v>
      </c>
      <c r="AQ814" s="11" t="str">
        <f>IF(I814&lt;&gt;"",DATA!D813,"")</f>
        <v>8422300000</v>
      </c>
    </row>
    <row r="815" spans="1:43" ht="15.75" x14ac:dyDescent="0.25">
      <c r="A815" s="11" t="s">
        <v>57</v>
      </c>
      <c r="B815" s="11" t="s">
        <v>56</v>
      </c>
      <c r="C815" s="22">
        <f t="shared" si="54"/>
        <v>25001620</v>
      </c>
      <c r="D815" s="11" t="str">
        <f t="shared" si="51"/>
        <v>SKIIFM_AT</v>
      </c>
      <c r="E815" s="11" t="str">
        <f>IF(I815&lt;&gt;"",VLOOKUP(F815,OPDRACHTGEVER!$A$2:$B$4,2,FALSE),"")</f>
        <v>SKIIFM_AT</v>
      </c>
      <c r="F815" s="11" t="s">
        <v>58</v>
      </c>
      <c r="I815" s="11" t="str">
        <f>IF(DATA!B814&lt;&gt;"",DATA!B814,"")</f>
        <v>FFAU3062713</v>
      </c>
      <c r="J815" s="12">
        <v>0</v>
      </c>
      <c r="K815" s="11" t="s">
        <v>53</v>
      </c>
      <c r="L815" s="11" t="str">
        <f t="shared" si="52"/>
        <v>940179</v>
      </c>
      <c r="M815" s="11" t="str">
        <f>IF(I815&lt;&gt;"",DATA!E814,"")</f>
        <v>FIXED TUB TRANSFER BENCH</v>
      </c>
      <c r="N815" s="12">
        <v>0</v>
      </c>
      <c r="O815" s="11">
        <f>IF(I815&lt;&gt;"",DATA!C814,"")</f>
        <v>49.2</v>
      </c>
      <c r="P815" s="2">
        <v>294094</v>
      </c>
      <c r="Q815" s="2" t="s">
        <v>1304</v>
      </c>
      <c r="R815" s="2" t="s">
        <v>1322</v>
      </c>
      <c r="S815" s="2">
        <v>581</v>
      </c>
      <c r="T815" s="2">
        <v>1</v>
      </c>
      <c r="U815" s="2" t="s">
        <v>141</v>
      </c>
      <c r="Y815" s="2">
        <v>1700</v>
      </c>
      <c r="Z815" s="11" t="s">
        <v>54</v>
      </c>
      <c r="AA815" s="11" t="str">
        <f t="shared" si="53"/>
        <v>1700 - TBN</v>
      </c>
      <c r="AC815" s="2" t="s">
        <v>145</v>
      </c>
      <c r="AD815" s="11" t="str">
        <f>IF($I815&lt;&gt;"",VLOOKUP($AC815,GEADRESSEERDE!$A$2:$E$4,2,),"")</f>
        <v>LUITHAGEN HAVEN 2 D</v>
      </c>
      <c r="AE815" s="11">
        <f>IF($I815&lt;&gt;"",VLOOKUP($AC815,GEADRESSEERDE!$A$2:$E$4,3,),"")</f>
        <v>2030</v>
      </c>
      <c r="AF815" s="11" t="str">
        <f>IF($I815&lt;&gt;"",VLOOKUP($AC815,GEADRESSEERDE!$A$2:$E$4,4,),"")</f>
        <v>ANTWERPEN</v>
      </c>
      <c r="AG815" s="11" t="str">
        <f>IF($I815&lt;&gt;"",VLOOKUP($AC815,GEADRESSEERDE!$A$2:$E$4,5,),"")</f>
        <v>BE</v>
      </c>
      <c r="AH815" s="11" t="str">
        <f>IF(I815&lt;&gt;"",VLOOKUP(AP815,KvB!$A$2:$B$3,2,FALSE),"")</f>
        <v>BE101000</v>
      </c>
      <c r="AI815" s="11" t="s">
        <v>55</v>
      </c>
      <c r="AJ815" s="11"/>
      <c r="AK815" s="11"/>
      <c r="AL815" s="11"/>
      <c r="AM815" s="11"/>
      <c r="AN815" s="11"/>
      <c r="AO815" s="11"/>
      <c r="AP815" s="2" t="s">
        <v>70</v>
      </c>
      <c r="AQ815" s="11" t="str">
        <f>IF(I815&lt;&gt;"",DATA!D814,"")</f>
        <v>9401790000</v>
      </c>
    </row>
    <row r="816" spans="1:43" ht="15.75" x14ac:dyDescent="0.25">
      <c r="A816" s="11" t="s">
        <v>57</v>
      </c>
      <c r="B816" s="11" t="s">
        <v>56</v>
      </c>
      <c r="C816" s="22">
        <f t="shared" si="54"/>
        <v>25001620</v>
      </c>
      <c r="D816" s="11" t="str">
        <f t="shared" si="51"/>
        <v>SKIIFM_AT</v>
      </c>
      <c r="E816" s="11" t="str">
        <f>IF(I816&lt;&gt;"",VLOOKUP(F816,OPDRACHTGEVER!$A$2:$B$4,2,FALSE),"")</f>
        <v>SKIIFM_AT</v>
      </c>
      <c r="F816" s="11" t="s">
        <v>58</v>
      </c>
      <c r="I816" s="11" t="str">
        <f>IF(DATA!B815&lt;&gt;"",DATA!B815,"")</f>
        <v>FFAU3062713</v>
      </c>
      <c r="J816" s="12">
        <v>0</v>
      </c>
      <c r="K816" s="11" t="s">
        <v>53</v>
      </c>
      <c r="L816" s="11" t="str">
        <f t="shared" si="52"/>
        <v>940370</v>
      </c>
      <c r="M816" s="11" t="str">
        <f>IF(I816&lt;&gt;"",DATA!E815,"")</f>
        <v>FOLDING CAMPING COT</v>
      </c>
      <c r="N816" s="12">
        <v>0</v>
      </c>
      <c r="O816" s="11">
        <f>IF(I816&lt;&gt;"",DATA!C815,"")</f>
        <v>20.100000000000001</v>
      </c>
      <c r="P816" s="2">
        <v>294094</v>
      </c>
      <c r="Q816" s="2" t="s">
        <v>1304</v>
      </c>
      <c r="R816" s="2" t="s">
        <v>1322</v>
      </c>
      <c r="S816" s="2">
        <v>581</v>
      </c>
      <c r="T816" s="2">
        <v>1</v>
      </c>
      <c r="U816" s="2" t="s">
        <v>141</v>
      </c>
      <c r="Y816" s="2">
        <v>1700</v>
      </c>
      <c r="Z816" s="11" t="s">
        <v>54</v>
      </c>
      <c r="AA816" s="11" t="str">
        <f t="shared" si="53"/>
        <v>1700 - TBN</v>
      </c>
      <c r="AC816" s="2" t="s">
        <v>145</v>
      </c>
      <c r="AD816" s="11" t="str">
        <f>IF($I816&lt;&gt;"",VLOOKUP($AC816,GEADRESSEERDE!$A$2:$E$4,2,),"")</f>
        <v>LUITHAGEN HAVEN 2 D</v>
      </c>
      <c r="AE816" s="11">
        <f>IF($I816&lt;&gt;"",VLOOKUP($AC816,GEADRESSEERDE!$A$2:$E$4,3,),"")</f>
        <v>2030</v>
      </c>
      <c r="AF816" s="11" t="str">
        <f>IF($I816&lt;&gt;"",VLOOKUP($AC816,GEADRESSEERDE!$A$2:$E$4,4,),"")</f>
        <v>ANTWERPEN</v>
      </c>
      <c r="AG816" s="11" t="str">
        <f>IF($I816&lt;&gt;"",VLOOKUP($AC816,GEADRESSEERDE!$A$2:$E$4,5,),"")</f>
        <v>BE</v>
      </c>
      <c r="AH816" s="11" t="str">
        <f>IF(I816&lt;&gt;"",VLOOKUP(AP816,KvB!$A$2:$B$3,2,FALSE),"")</f>
        <v>BE101000</v>
      </c>
      <c r="AI816" s="11" t="s">
        <v>55</v>
      </c>
      <c r="AJ816" s="11"/>
      <c r="AK816" s="11"/>
      <c r="AL816" s="11"/>
      <c r="AM816" s="11"/>
      <c r="AN816" s="11"/>
      <c r="AO816" s="11"/>
      <c r="AP816" s="2" t="s">
        <v>70</v>
      </c>
      <c r="AQ816" s="11" t="str">
        <f>IF(I816&lt;&gt;"",DATA!D815,"")</f>
        <v>9403700000</v>
      </c>
    </row>
    <row r="817" spans="1:43" ht="15.75" x14ac:dyDescent="0.25">
      <c r="A817" s="11" t="s">
        <v>57</v>
      </c>
      <c r="B817" s="11" t="s">
        <v>56</v>
      </c>
      <c r="C817" s="22">
        <f t="shared" si="54"/>
        <v>25001620</v>
      </c>
      <c r="D817" s="11" t="str">
        <f t="shared" si="51"/>
        <v>SKIIFM_AT</v>
      </c>
      <c r="E817" s="11" t="str">
        <f>IF(I817&lt;&gt;"",VLOOKUP(F817,OPDRACHTGEVER!$A$2:$B$4,2,FALSE),"")</f>
        <v>SKIIFM_AT</v>
      </c>
      <c r="F817" s="11" t="s">
        <v>58</v>
      </c>
      <c r="I817" s="11" t="str">
        <f>IF(DATA!B816&lt;&gt;"",DATA!B816,"")</f>
        <v>FFAU3062713</v>
      </c>
      <c r="J817" s="12">
        <v>0</v>
      </c>
      <c r="K817" s="11" t="s">
        <v>53</v>
      </c>
      <c r="L817" s="11" t="str">
        <f t="shared" si="52"/>
        <v>950691</v>
      </c>
      <c r="M817" s="11" t="str">
        <f>IF(I817&lt;&gt;"",DATA!E816,"")</f>
        <v>FOOTBALL REBOUND DEVICE</v>
      </c>
      <c r="N817" s="12">
        <v>0</v>
      </c>
      <c r="O817" s="11">
        <f>IF(I817&lt;&gt;"",DATA!C816,"")</f>
        <v>625.5</v>
      </c>
      <c r="P817" s="2">
        <v>294094</v>
      </c>
      <c r="Q817" s="2" t="s">
        <v>1304</v>
      </c>
      <c r="R817" s="2" t="s">
        <v>1322</v>
      </c>
      <c r="S817" s="2">
        <v>581</v>
      </c>
      <c r="T817" s="2">
        <v>1</v>
      </c>
      <c r="U817" s="2" t="s">
        <v>141</v>
      </c>
      <c r="Y817" s="2">
        <v>1700</v>
      </c>
      <c r="Z817" s="11" t="s">
        <v>54</v>
      </c>
      <c r="AA817" s="11" t="str">
        <f t="shared" si="53"/>
        <v>1700 - TBN</v>
      </c>
      <c r="AC817" s="2" t="s">
        <v>145</v>
      </c>
      <c r="AD817" s="11" t="str">
        <f>IF($I817&lt;&gt;"",VLOOKUP($AC817,GEADRESSEERDE!$A$2:$E$4,2,),"")</f>
        <v>LUITHAGEN HAVEN 2 D</v>
      </c>
      <c r="AE817" s="11">
        <f>IF($I817&lt;&gt;"",VLOOKUP($AC817,GEADRESSEERDE!$A$2:$E$4,3,),"")</f>
        <v>2030</v>
      </c>
      <c r="AF817" s="11" t="str">
        <f>IF($I817&lt;&gt;"",VLOOKUP($AC817,GEADRESSEERDE!$A$2:$E$4,4,),"")</f>
        <v>ANTWERPEN</v>
      </c>
      <c r="AG817" s="11" t="str">
        <f>IF($I817&lt;&gt;"",VLOOKUP($AC817,GEADRESSEERDE!$A$2:$E$4,5,),"")</f>
        <v>BE</v>
      </c>
      <c r="AH817" s="11" t="str">
        <f>IF(I817&lt;&gt;"",VLOOKUP(AP817,KvB!$A$2:$B$3,2,FALSE),"")</f>
        <v>BE101000</v>
      </c>
      <c r="AI817" s="11" t="s">
        <v>55</v>
      </c>
      <c r="AJ817" s="11"/>
      <c r="AK817" s="11"/>
      <c r="AL817" s="11"/>
      <c r="AM817" s="11"/>
      <c r="AN817" s="11"/>
      <c r="AO817" s="11"/>
      <c r="AP817" s="2" t="s">
        <v>70</v>
      </c>
      <c r="AQ817" s="11" t="str">
        <f>IF(I817&lt;&gt;"",DATA!D816,"")</f>
        <v>9506919000</v>
      </c>
    </row>
    <row r="818" spans="1:43" ht="15.75" x14ac:dyDescent="0.25">
      <c r="A818" s="11" t="s">
        <v>57</v>
      </c>
      <c r="B818" s="11" t="s">
        <v>56</v>
      </c>
      <c r="C818" s="22">
        <f t="shared" si="54"/>
        <v>25001620</v>
      </c>
      <c r="D818" s="11" t="str">
        <f t="shared" si="51"/>
        <v>SKIIFM_AT</v>
      </c>
      <c r="E818" s="11" t="str">
        <f>IF(I818&lt;&gt;"",VLOOKUP(F818,OPDRACHTGEVER!$A$2:$B$4,2,FALSE),"")</f>
        <v>SKIIFM_AT</v>
      </c>
      <c r="F818" s="11" t="s">
        <v>58</v>
      </c>
      <c r="I818" s="11" t="str">
        <f>IF(DATA!B817&lt;&gt;"",DATA!B817,"")</f>
        <v>FFAU3062713</v>
      </c>
      <c r="J818" s="12">
        <v>0</v>
      </c>
      <c r="K818" s="11" t="s">
        <v>53</v>
      </c>
      <c r="L818" s="11" t="str">
        <f t="shared" si="52"/>
        <v>850131</v>
      </c>
      <c r="M818" s="11" t="str">
        <f>IF(I818&lt;&gt;"",DATA!E817,"")</f>
        <v>GARAGE DOOR MOTOR</v>
      </c>
      <c r="N818" s="12">
        <v>0</v>
      </c>
      <c r="O818" s="11">
        <f>IF(I818&lt;&gt;"",DATA!C817,"")</f>
        <v>78</v>
      </c>
      <c r="P818" s="2">
        <v>294094</v>
      </c>
      <c r="Q818" s="2" t="s">
        <v>1304</v>
      </c>
      <c r="R818" s="2" t="s">
        <v>1322</v>
      </c>
      <c r="S818" s="2">
        <v>581</v>
      </c>
      <c r="T818" s="2">
        <v>1</v>
      </c>
      <c r="U818" s="2" t="s">
        <v>141</v>
      </c>
      <c r="Y818" s="2">
        <v>1700</v>
      </c>
      <c r="Z818" s="11" t="s">
        <v>54</v>
      </c>
      <c r="AA818" s="11" t="str">
        <f t="shared" si="53"/>
        <v>1700 - TBN</v>
      </c>
      <c r="AC818" s="2" t="s">
        <v>145</v>
      </c>
      <c r="AD818" s="11" t="str">
        <f>IF($I818&lt;&gt;"",VLOOKUP($AC818,GEADRESSEERDE!$A$2:$E$4,2,),"")</f>
        <v>LUITHAGEN HAVEN 2 D</v>
      </c>
      <c r="AE818" s="11">
        <f>IF($I818&lt;&gt;"",VLOOKUP($AC818,GEADRESSEERDE!$A$2:$E$4,3,),"")</f>
        <v>2030</v>
      </c>
      <c r="AF818" s="11" t="str">
        <f>IF($I818&lt;&gt;"",VLOOKUP($AC818,GEADRESSEERDE!$A$2:$E$4,4,),"")</f>
        <v>ANTWERPEN</v>
      </c>
      <c r="AG818" s="11" t="str">
        <f>IF($I818&lt;&gt;"",VLOOKUP($AC818,GEADRESSEERDE!$A$2:$E$4,5,),"")</f>
        <v>BE</v>
      </c>
      <c r="AH818" s="11" t="str">
        <f>IF(I818&lt;&gt;"",VLOOKUP(AP818,KvB!$A$2:$B$3,2,FALSE),"")</f>
        <v>BE101000</v>
      </c>
      <c r="AI818" s="11" t="s">
        <v>55</v>
      </c>
      <c r="AJ818" s="11"/>
      <c r="AK818" s="11"/>
      <c r="AL818" s="11"/>
      <c r="AM818" s="11"/>
      <c r="AN818" s="11"/>
      <c r="AO818" s="11"/>
      <c r="AP818" s="2" t="s">
        <v>70</v>
      </c>
      <c r="AQ818" s="11" t="str">
        <f>IF(I818&lt;&gt;"",DATA!D817,"")</f>
        <v>8501310099</v>
      </c>
    </row>
    <row r="819" spans="1:43" ht="15.75" x14ac:dyDescent="0.25">
      <c r="A819" s="11" t="s">
        <v>57</v>
      </c>
      <c r="B819" s="11" t="s">
        <v>56</v>
      </c>
      <c r="C819" s="22">
        <f t="shared" si="54"/>
        <v>25001620</v>
      </c>
      <c r="D819" s="11" t="str">
        <f t="shared" si="51"/>
        <v>SKIIFM_AT</v>
      </c>
      <c r="E819" s="11" t="str">
        <f>IF(I819&lt;&gt;"",VLOOKUP(F819,OPDRACHTGEVER!$A$2:$B$4,2,FALSE),"")</f>
        <v>SKIIFM_AT</v>
      </c>
      <c r="F819" s="11" t="s">
        <v>58</v>
      </c>
      <c r="I819" s="11" t="str">
        <f>IF(DATA!B818&lt;&gt;"",DATA!B818,"")</f>
        <v>FFAU3062713</v>
      </c>
      <c r="J819" s="12">
        <v>0</v>
      </c>
      <c r="K819" s="11" t="s">
        <v>53</v>
      </c>
      <c r="L819" s="11" t="str">
        <f t="shared" si="52"/>
        <v>741920</v>
      </c>
      <c r="M819" s="11" t="str">
        <f>IF(I819&lt;&gt;"",DATA!E818,"")</f>
        <v>GAS FORGING FURNACE</v>
      </c>
      <c r="N819" s="12">
        <v>0</v>
      </c>
      <c r="O819" s="11">
        <f>IF(I819&lt;&gt;"",DATA!C818,"")</f>
        <v>50.4</v>
      </c>
      <c r="P819" s="2">
        <v>294094</v>
      </c>
      <c r="Q819" s="2" t="s">
        <v>1304</v>
      </c>
      <c r="R819" s="2" t="s">
        <v>1322</v>
      </c>
      <c r="S819" s="2">
        <v>581</v>
      </c>
      <c r="T819" s="2">
        <v>1</v>
      </c>
      <c r="U819" s="2" t="s">
        <v>141</v>
      </c>
      <c r="Y819" s="2">
        <v>1700</v>
      </c>
      <c r="Z819" s="11" t="s">
        <v>54</v>
      </c>
      <c r="AA819" s="11" t="str">
        <f t="shared" si="53"/>
        <v>1700 - TBN</v>
      </c>
      <c r="AC819" s="2" t="s">
        <v>145</v>
      </c>
      <c r="AD819" s="11" t="str">
        <f>IF($I819&lt;&gt;"",VLOOKUP($AC819,GEADRESSEERDE!$A$2:$E$4,2,),"")</f>
        <v>LUITHAGEN HAVEN 2 D</v>
      </c>
      <c r="AE819" s="11">
        <f>IF($I819&lt;&gt;"",VLOOKUP($AC819,GEADRESSEERDE!$A$2:$E$4,3,),"")</f>
        <v>2030</v>
      </c>
      <c r="AF819" s="11" t="str">
        <f>IF($I819&lt;&gt;"",VLOOKUP($AC819,GEADRESSEERDE!$A$2:$E$4,4,),"")</f>
        <v>ANTWERPEN</v>
      </c>
      <c r="AG819" s="11" t="str">
        <f>IF($I819&lt;&gt;"",VLOOKUP($AC819,GEADRESSEERDE!$A$2:$E$4,5,),"")</f>
        <v>BE</v>
      </c>
      <c r="AH819" s="11" t="str">
        <f>IF(I819&lt;&gt;"",VLOOKUP(AP819,KvB!$A$2:$B$3,2,FALSE),"")</f>
        <v>BE101000</v>
      </c>
      <c r="AI819" s="11" t="s">
        <v>55</v>
      </c>
      <c r="AJ819" s="11"/>
      <c r="AK819" s="11"/>
      <c r="AL819" s="11"/>
      <c r="AM819" s="11"/>
      <c r="AN819" s="11"/>
      <c r="AO819" s="11"/>
      <c r="AP819" s="2" t="s">
        <v>70</v>
      </c>
      <c r="AQ819" s="11" t="str">
        <f>IF(I819&lt;&gt;"",DATA!D818,"")</f>
        <v>7419200090</v>
      </c>
    </row>
    <row r="820" spans="1:43" ht="15.75" x14ac:dyDescent="0.25">
      <c r="A820" s="11" t="s">
        <v>57</v>
      </c>
      <c r="B820" s="11" t="s">
        <v>56</v>
      </c>
      <c r="C820" s="22">
        <f t="shared" si="54"/>
        <v>25001620</v>
      </c>
      <c r="D820" s="11" t="str">
        <f t="shared" ref="D820:D883" si="55">E820</f>
        <v>SKIIFM_AT</v>
      </c>
      <c r="E820" s="11" t="str">
        <f>IF(I820&lt;&gt;"",VLOOKUP(F820,OPDRACHTGEVER!$A$2:$B$4,2,FALSE),"")</f>
        <v>SKIIFM_AT</v>
      </c>
      <c r="F820" s="11" t="s">
        <v>58</v>
      </c>
      <c r="I820" s="11" t="str">
        <f>IF(DATA!B819&lt;&gt;"",DATA!B819,"")</f>
        <v>FFAU3062713</v>
      </c>
      <c r="J820" s="12">
        <v>0</v>
      </c>
      <c r="K820" s="11" t="s">
        <v>53</v>
      </c>
      <c r="L820" s="11" t="str">
        <f t="shared" ref="L820:L883" si="56">LEFT(AQ820,6)</f>
        <v>490590</v>
      </c>
      <c r="M820" s="11" t="str">
        <f>IF(I820&lt;&gt;"",DATA!E819,"")</f>
        <v>GEOGRAPHIC GLOBES</v>
      </c>
      <c r="N820" s="12">
        <v>0</v>
      </c>
      <c r="O820" s="11">
        <f>IF(I820&lt;&gt;"",DATA!C819,"")</f>
        <v>44.2</v>
      </c>
      <c r="P820" s="2">
        <v>294094</v>
      </c>
      <c r="Q820" s="2" t="s">
        <v>1304</v>
      </c>
      <c r="R820" s="2" t="s">
        <v>1322</v>
      </c>
      <c r="S820" s="2">
        <v>581</v>
      </c>
      <c r="T820" s="2">
        <v>1</v>
      </c>
      <c r="U820" s="2" t="s">
        <v>141</v>
      </c>
      <c r="Y820" s="2">
        <v>1700</v>
      </c>
      <c r="Z820" s="11" t="s">
        <v>54</v>
      </c>
      <c r="AA820" s="11" t="str">
        <f t="shared" ref="AA820:AA883" si="57">IF(I820&lt;&gt;"",Y820&amp;" - "&amp;Z820,"")</f>
        <v>1700 - TBN</v>
      </c>
      <c r="AC820" s="2" t="s">
        <v>145</v>
      </c>
      <c r="AD820" s="11" t="str">
        <f>IF($I820&lt;&gt;"",VLOOKUP($AC820,GEADRESSEERDE!$A$2:$E$4,2,),"")</f>
        <v>LUITHAGEN HAVEN 2 D</v>
      </c>
      <c r="AE820" s="11">
        <f>IF($I820&lt;&gt;"",VLOOKUP($AC820,GEADRESSEERDE!$A$2:$E$4,3,),"")</f>
        <v>2030</v>
      </c>
      <c r="AF820" s="11" t="str">
        <f>IF($I820&lt;&gt;"",VLOOKUP($AC820,GEADRESSEERDE!$A$2:$E$4,4,),"")</f>
        <v>ANTWERPEN</v>
      </c>
      <c r="AG820" s="11" t="str">
        <f>IF($I820&lt;&gt;"",VLOOKUP($AC820,GEADRESSEERDE!$A$2:$E$4,5,),"")</f>
        <v>BE</v>
      </c>
      <c r="AH820" s="11" t="str">
        <f>IF(I820&lt;&gt;"",VLOOKUP(AP820,KvB!$A$2:$B$3,2,FALSE),"")</f>
        <v>BE101000</v>
      </c>
      <c r="AI820" s="11" t="s">
        <v>55</v>
      </c>
      <c r="AJ820" s="11"/>
      <c r="AK820" s="11"/>
      <c r="AL820" s="11"/>
      <c r="AM820" s="11"/>
      <c r="AN820" s="11"/>
      <c r="AO820" s="11"/>
      <c r="AP820" s="2" t="s">
        <v>70</v>
      </c>
      <c r="AQ820" s="11" t="str">
        <f>IF(I820&lt;&gt;"",DATA!D819,"")</f>
        <v>4905900010</v>
      </c>
    </row>
    <row r="821" spans="1:43" ht="15.75" x14ac:dyDescent="0.25">
      <c r="A821" s="11" t="s">
        <v>57</v>
      </c>
      <c r="B821" s="11" t="s">
        <v>56</v>
      </c>
      <c r="C821" s="22">
        <f t="shared" si="54"/>
        <v>25001620</v>
      </c>
      <c r="D821" s="11" t="str">
        <f t="shared" si="55"/>
        <v>SKIIFM_AT</v>
      </c>
      <c r="E821" s="11" t="str">
        <f>IF(I821&lt;&gt;"",VLOOKUP(F821,OPDRACHTGEVER!$A$2:$B$4,2,FALSE),"")</f>
        <v>SKIIFM_AT</v>
      </c>
      <c r="F821" s="11" t="s">
        <v>58</v>
      </c>
      <c r="I821" s="11" t="str">
        <f>IF(DATA!B820&lt;&gt;"",DATA!B820,"")</f>
        <v>FFAU3062713</v>
      </c>
      <c r="J821" s="12">
        <v>0</v>
      </c>
      <c r="K821" s="11" t="s">
        <v>53</v>
      </c>
      <c r="L821" s="11" t="str">
        <f t="shared" si="56"/>
        <v>851580</v>
      </c>
      <c r="M821" s="11" t="str">
        <f>IF(I821&lt;&gt;"",DATA!E820,"")</f>
        <v>HOT AIR WELDING GUN FOR PLASTICS</v>
      </c>
      <c r="N821" s="12">
        <v>0</v>
      </c>
      <c r="O821" s="11">
        <f>IF(I821&lt;&gt;"",DATA!C820,"")</f>
        <v>44</v>
      </c>
      <c r="P821" s="2">
        <v>294094</v>
      </c>
      <c r="Q821" s="2" t="s">
        <v>1304</v>
      </c>
      <c r="R821" s="2" t="s">
        <v>1322</v>
      </c>
      <c r="S821" s="2">
        <v>581</v>
      </c>
      <c r="T821" s="2">
        <v>1</v>
      </c>
      <c r="U821" s="2" t="s">
        <v>141</v>
      </c>
      <c r="Y821" s="2">
        <v>1700</v>
      </c>
      <c r="Z821" s="11" t="s">
        <v>54</v>
      </c>
      <c r="AA821" s="11" t="str">
        <f t="shared" si="57"/>
        <v>1700 - TBN</v>
      </c>
      <c r="AC821" s="2" t="s">
        <v>145</v>
      </c>
      <c r="AD821" s="11" t="str">
        <f>IF($I821&lt;&gt;"",VLOOKUP($AC821,GEADRESSEERDE!$A$2:$E$4,2,),"")</f>
        <v>LUITHAGEN HAVEN 2 D</v>
      </c>
      <c r="AE821" s="11">
        <f>IF($I821&lt;&gt;"",VLOOKUP($AC821,GEADRESSEERDE!$A$2:$E$4,3,),"")</f>
        <v>2030</v>
      </c>
      <c r="AF821" s="11" t="str">
        <f>IF($I821&lt;&gt;"",VLOOKUP($AC821,GEADRESSEERDE!$A$2:$E$4,4,),"")</f>
        <v>ANTWERPEN</v>
      </c>
      <c r="AG821" s="11" t="str">
        <f>IF($I821&lt;&gt;"",VLOOKUP($AC821,GEADRESSEERDE!$A$2:$E$4,5,),"")</f>
        <v>BE</v>
      </c>
      <c r="AH821" s="11" t="str">
        <f>IF(I821&lt;&gt;"",VLOOKUP(AP821,KvB!$A$2:$B$3,2,FALSE),"")</f>
        <v>BE101000</v>
      </c>
      <c r="AI821" s="11" t="s">
        <v>55</v>
      </c>
      <c r="AJ821" s="11"/>
      <c r="AK821" s="11"/>
      <c r="AL821" s="11"/>
      <c r="AM821" s="11"/>
      <c r="AN821" s="11"/>
      <c r="AO821" s="11"/>
      <c r="AP821" s="2" t="s">
        <v>70</v>
      </c>
      <c r="AQ821" s="11" t="str">
        <f>IF(I821&lt;&gt;"",DATA!D820,"")</f>
        <v>8515809000</v>
      </c>
    </row>
    <row r="822" spans="1:43" ht="15.75" x14ac:dyDescent="0.25">
      <c r="A822" s="11" t="s">
        <v>57</v>
      </c>
      <c r="B822" s="11" t="s">
        <v>56</v>
      </c>
      <c r="C822" s="22">
        <f t="shared" si="54"/>
        <v>25001620</v>
      </c>
      <c r="D822" s="11" t="str">
        <f t="shared" si="55"/>
        <v>SKIIFM_AT</v>
      </c>
      <c r="E822" s="11" t="str">
        <f>IF(I822&lt;&gt;"",VLOOKUP(F822,OPDRACHTGEVER!$A$2:$B$4,2,FALSE),"")</f>
        <v>SKIIFM_AT</v>
      </c>
      <c r="F822" s="11" t="s">
        <v>58</v>
      </c>
      <c r="I822" s="11" t="str">
        <f>IF(DATA!B821&lt;&gt;"",DATA!B821,"")</f>
        <v>FFAU3062713</v>
      </c>
      <c r="J822" s="12">
        <v>0</v>
      </c>
      <c r="K822" s="11" t="s">
        <v>53</v>
      </c>
      <c r="L822" s="11" t="str">
        <f t="shared" si="56"/>
        <v>841869</v>
      </c>
      <c r="M822" s="11" t="str">
        <f>IF(I822&lt;&gt;"",DATA!E821,"")</f>
        <v>ICE MACHINE</v>
      </c>
      <c r="N822" s="12">
        <v>0</v>
      </c>
      <c r="O822" s="11">
        <f>IF(I822&lt;&gt;"",DATA!C821,"")</f>
        <v>121.3</v>
      </c>
      <c r="P822" s="2">
        <v>294094</v>
      </c>
      <c r="Q822" s="2" t="s">
        <v>1304</v>
      </c>
      <c r="R822" s="2" t="s">
        <v>1322</v>
      </c>
      <c r="S822" s="2">
        <v>581</v>
      </c>
      <c r="T822" s="2">
        <v>1</v>
      </c>
      <c r="U822" s="2" t="s">
        <v>141</v>
      </c>
      <c r="Y822" s="2">
        <v>1700</v>
      </c>
      <c r="Z822" s="11" t="s">
        <v>54</v>
      </c>
      <c r="AA822" s="11" t="str">
        <f t="shared" si="57"/>
        <v>1700 - TBN</v>
      </c>
      <c r="AC822" s="2" t="s">
        <v>145</v>
      </c>
      <c r="AD822" s="11" t="str">
        <f>IF($I822&lt;&gt;"",VLOOKUP($AC822,GEADRESSEERDE!$A$2:$E$4,2,),"")</f>
        <v>LUITHAGEN HAVEN 2 D</v>
      </c>
      <c r="AE822" s="11">
        <f>IF($I822&lt;&gt;"",VLOOKUP($AC822,GEADRESSEERDE!$A$2:$E$4,3,),"")</f>
        <v>2030</v>
      </c>
      <c r="AF822" s="11" t="str">
        <f>IF($I822&lt;&gt;"",VLOOKUP($AC822,GEADRESSEERDE!$A$2:$E$4,4,),"")</f>
        <v>ANTWERPEN</v>
      </c>
      <c r="AG822" s="11" t="str">
        <f>IF($I822&lt;&gt;"",VLOOKUP($AC822,GEADRESSEERDE!$A$2:$E$4,5,),"")</f>
        <v>BE</v>
      </c>
      <c r="AH822" s="11" t="str">
        <f>IF(I822&lt;&gt;"",VLOOKUP(AP822,KvB!$A$2:$B$3,2,FALSE),"")</f>
        <v>BE101000</v>
      </c>
      <c r="AI822" s="11" t="s">
        <v>55</v>
      </c>
      <c r="AJ822" s="11"/>
      <c r="AK822" s="11"/>
      <c r="AL822" s="11"/>
      <c r="AM822" s="11"/>
      <c r="AN822" s="11"/>
      <c r="AO822" s="11"/>
      <c r="AP822" s="2" t="s">
        <v>70</v>
      </c>
      <c r="AQ822" s="11" t="str">
        <f>IF(I822&lt;&gt;"",DATA!D821,"")</f>
        <v>8418690099</v>
      </c>
    </row>
    <row r="823" spans="1:43" ht="15.75" x14ac:dyDescent="0.25">
      <c r="A823" s="11" t="s">
        <v>57</v>
      </c>
      <c r="B823" s="11" t="s">
        <v>56</v>
      </c>
      <c r="C823" s="22">
        <f t="shared" si="54"/>
        <v>25001620</v>
      </c>
      <c r="D823" s="11" t="str">
        <f t="shared" si="55"/>
        <v>SKIIFM_AT</v>
      </c>
      <c r="E823" s="11" t="str">
        <f>IF(I823&lt;&gt;"",VLOOKUP(F823,OPDRACHTGEVER!$A$2:$B$4,2,FALSE),"")</f>
        <v>SKIIFM_AT</v>
      </c>
      <c r="F823" s="11" t="s">
        <v>58</v>
      </c>
      <c r="I823" s="11" t="str">
        <f>IF(DATA!B822&lt;&gt;"",DATA!B822,"")</f>
        <v>FFAU3062713</v>
      </c>
      <c r="J823" s="12">
        <v>0</v>
      </c>
      <c r="K823" s="11" t="s">
        <v>53</v>
      </c>
      <c r="L823" s="11" t="str">
        <f t="shared" si="56"/>
        <v>392690</v>
      </c>
      <c r="M823" s="11" t="str">
        <f>IF(I823&lt;&gt;"",DATA!E822,"")</f>
        <v>INFLATABLE PAINT BOOTH WITH CENTRE DOOR</v>
      </c>
      <c r="N823" s="12">
        <v>0</v>
      </c>
      <c r="O823" s="11">
        <f>IF(I823&lt;&gt;"",DATA!C822,"")</f>
        <v>40</v>
      </c>
      <c r="P823" s="2">
        <v>294094</v>
      </c>
      <c r="Q823" s="2" t="s">
        <v>1304</v>
      </c>
      <c r="R823" s="2" t="s">
        <v>1322</v>
      </c>
      <c r="S823" s="2">
        <v>581</v>
      </c>
      <c r="T823" s="2">
        <v>1</v>
      </c>
      <c r="U823" s="2" t="s">
        <v>141</v>
      </c>
      <c r="Y823" s="2">
        <v>1700</v>
      </c>
      <c r="Z823" s="11" t="s">
        <v>54</v>
      </c>
      <c r="AA823" s="11" t="str">
        <f t="shared" si="57"/>
        <v>1700 - TBN</v>
      </c>
      <c r="AC823" s="2" t="s">
        <v>145</v>
      </c>
      <c r="AD823" s="11" t="str">
        <f>IF($I823&lt;&gt;"",VLOOKUP($AC823,GEADRESSEERDE!$A$2:$E$4,2,),"")</f>
        <v>LUITHAGEN HAVEN 2 D</v>
      </c>
      <c r="AE823" s="11">
        <f>IF($I823&lt;&gt;"",VLOOKUP($AC823,GEADRESSEERDE!$A$2:$E$4,3,),"")</f>
        <v>2030</v>
      </c>
      <c r="AF823" s="11" t="str">
        <f>IF($I823&lt;&gt;"",VLOOKUP($AC823,GEADRESSEERDE!$A$2:$E$4,4,),"")</f>
        <v>ANTWERPEN</v>
      </c>
      <c r="AG823" s="11" t="str">
        <f>IF($I823&lt;&gt;"",VLOOKUP($AC823,GEADRESSEERDE!$A$2:$E$4,5,),"")</f>
        <v>BE</v>
      </c>
      <c r="AH823" s="11" t="str">
        <f>IF(I823&lt;&gt;"",VLOOKUP(AP823,KvB!$A$2:$B$3,2,FALSE),"")</f>
        <v>BE101000</v>
      </c>
      <c r="AI823" s="11" t="s">
        <v>55</v>
      </c>
      <c r="AJ823" s="11"/>
      <c r="AK823" s="11"/>
      <c r="AL823" s="11"/>
      <c r="AM823" s="11"/>
      <c r="AN823" s="11"/>
      <c r="AO823" s="11"/>
      <c r="AP823" s="2" t="s">
        <v>70</v>
      </c>
      <c r="AQ823" s="11" t="str">
        <f>IF(I823&lt;&gt;"",DATA!D822,"")</f>
        <v>3926909790</v>
      </c>
    </row>
    <row r="824" spans="1:43" ht="15.75" x14ac:dyDescent="0.25">
      <c r="A824" s="11" t="s">
        <v>57</v>
      </c>
      <c r="B824" s="11" t="s">
        <v>56</v>
      </c>
      <c r="C824" s="22">
        <f t="shared" si="54"/>
        <v>25001620</v>
      </c>
      <c r="D824" s="11" t="str">
        <f t="shared" si="55"/>
        <v>SKIIFM_AT</v>
      </c>
      <c r="E824" s="11" t="str">
        <f>IF(I824&lt;&gt;"",VLOOKUP(F824,OPDRACHTGEVER!$A$2:$B$4,2,FALSE),"")</f>
        <v>SKIIFM_AT</v>
      </c>
      <c r="F824" s="11" t="s">
        <v>58</v>
      </c>
      <c r="I824" s="11" t="str">
        <f>IF(DATA!B823&lt;&gt;"",DATA!B823,"")</f>
        <v>FFAU3062713</v>
      </c>
      <c r="J824" s="12">
        <v>0</v>
      </c>
      <c r="K824" s="11" t="s">
        <v>53</v>
      </c>
      <c r="L824" s="11" t="str">
        <f t="shared" si="56"/>
        <v>401691</v>
      </c>
      <c r="M824" s="11" t="str">
        <f>IF(I824&lt;&gt;"",DATA!E823,"")</f>
        <v>INSULATING COTTON</v>
      </c>
      <c r="N824" s="12">
        <v>0</v>
      </c>
      <c r="O824" s="11">
        <f>IF(I824&lt;&gt;"",DATA!C823,"")</f>
        <v>144</v>
      </c>
      <c r="P824" s="2">
        <v>294094</v>
      </c>
      <c r="Q824" s="2" t="s">
        <v>1304</v>
      </c>
      <c r="R824" s="2" t="s">
        <v>1322</v>
      </c>
      <c r="S824" s="2">
        <v>581</v>
      </c>
      <c r="T824" s="2">
        <v>1</v>
      </c>
      <c r="U824" s="2" t="s">
        <v>141</v>
      </c>
      <c r="Y824" s="2">
        <v>1700</v>
      </c>
      <c r="Z824" s="11" t="s">
        <v>54</v>
      </c>
      <c r="AA824" s="11" t="str">
        <f t="shared" si="57"/>
        <v>1700 - TBN</v>
      </c>
      <c r="AC824" s="2" t="s">
        <v>145</v>
      </c>
      <c r="AD824" s="11" t="str">
        <f>IF($I824&lt;&gt;"",VLOOKUP($AC824,GEADRESSEERDE!$A$2:$E$4,2,),"")</f>
        <v>LUITHAGEN HAVEN 2 D</v>
      </c>
      <c r="AE824" s="11">
        <f>IF($I824&lt;&gt;"",VLOOKUP($AC824,GEADRESSEERDE!$A$2:$E$4,3,),"")</f>
        <v>2030</v>
      </c>
      <c r="AF824" s="11" t="str">
        <f>IF($I824&lt;&gt;"",VLOOKUP($AC824,GEADRESSEERDE!$A$2:$E$4,4,),"")</f>
        <v>ANTWERPEN</v>
      </c>
      <c r="AG824" s="11" t="str">
        <f>IF($I824&lt;&gt;"",VLOOKUP($AC824,GEADRESSEERDE!$A$2:$E$4,5,),"")</f>
        <v>BE</v>
      </c>
      <c r="AH824" s="11" t="str">
        <f>IF(I824&lt;&gt;"",VLOOKUP(AP824,KvB!$A$2:$B$3,2,FALSE),"")</f>
        <v>BE101000</v>
      </c>
      <c r="AI824" s="11" t="s">
        <v>55</v>
      </c>
      <c r="AJ824" s="11"/>
      <c r="AK824" s="11"/>
      <c r="AL824" s="11"/>
      <c r="AM824" s="11"/>
      <c r="AN824" s="11"/>
      <c r="AO824" s="11"/>
      <c r="AP824" s="2" t="s">
        <v>70</v>
      </c>
      <c r="AQ824" s="11" t="str">
        <f>IF(I824&lt;&gt;"",DATA!D823,"")</f>
        <v>4016910000</v>
      </c>
    </row>
    <row r="825" spans="1:43" ht="15.75" x14ac:dyDescent="0.25">
      <c r="A825" s="11" t="s">
        <v>57</v>
      </c>
      <c r="B825" s="11" t="s">
        <v>56</v>
      </c>
      <c r="C825" s="22">
        <f t="shared" si="54"/>
        <v>25001620</v>
      </c>
      <c r="D825" s="11" t="str">
        <f t="shared" si="55"/>
        <v>SKIIFM_AT</v>
      </c>
      <c r="E825" s="11" t="str">
        <f>IF(I825&lt;&gt;"",VLOOKUP(F825,OPDRACHTGEVER!$A$2:$B$4,2,FALSE),"")</f>
        <v>SKIIFM_AT</v>
      </c>
      <c r="F825" s="11" t="s">
        <v>58</v>
      </c>
      <c r="I825" s="11" t="str">
        <f>IF(DATA!B824&lt;&gt;"",DATA!B824,"")</f>
        <v>FFAU3062713</v>
      </c>
      <c r="J825" s="12">
        <v>0</v>
      </c>
      <c r="K825" s="11" t="s">
        <v>53</v>
      </c>
      <c r="L825" s="11" t="str">
        <f t="shared" si="56"/>
        <v>841981</v>
      </c>
      <c r="M825" s="11" t="str">
        <f>IF(I825&lt;&gt;"",DATA!E824,"")</f>
        <v>INSULATION WORKBENCH</v>
      </c>
      <c r="N825" s="12">
        <v>0</v>
      </c>
      <c r="O825" s="11">
        <f>IF(I825&lt;&gt;"",DATA!C824,"")</f>
        <v>60.5</v>
      </c>
      <c r="P825" s="2">
        <v>294094</v>
      </c>
      <c r="Q825" s="2" t="s">
        <v>1304</v>
      </c>
      <c r="R825" s="2" t="s">
        <v>1322</v>
      </c>
      <c r="S825" s="2">
        <v>581</v>
      </c>
      <c r="T825" s="2">
        <v>1</v>
      </c>
      <c r="U825" s="2" t="s">
        <v>141</v>
      </c>
      <c r="Y825" s="2">
        <v>1700</v>
      </c>
      <c r="Z825" s="11" t="s">
        <v>54</v>
      </c>
      <c r="AA825" s="11" t="str">
        <f t="shared" si="57"/>
        <v>1700 - TBN</v>
      </c>
      <c r="AC825" s="2" t="s">
        <v>145</v>
      </c>
      <c r="AD825" s="11" t="str">
        <f>IF($I825&lt;&gt;"",VLOOKUP($AC825,GEADRESSEERDE!$A$2:$E$4,2,),"")</f>
        <v>LUITHAGEN HAVEN 2 D</v>
      </c>
      <c r="AE825" s="11">
        <f>IF($I825&lt;&gt;"",VLOOKUP($AC825,GEADRESSEERDE!$A$2:$E$4,3,),"")</f>
        <v>2030</v>
      </c>
      <c r="AF825" s="11" t="str">
        <f>IF($I825&lt;&gt;"",VLOOKUP($AC825,GEADRESSEERDE!$A$2:$E$4,4,),"")</f>
        <v>ANTWERPEN</v>
      </c>
      <c r="AG825" s="11" t="str">
        <f>IF($I825&lt;&gt;"",VLOOKUP($AC825,GEADRESSEERDE!$A$2:$E$4,5,),"")</f>
        <v>BE</v>
      </c>
      <c r="AH825" s="11" t="str">
        <f>IF(I825&lt;&gt;"",VLOOKUP(AP825,KvB!$A$2:$B$3,2,FALSE),"")</f>
        <v>BE101000</v>
      </c>
      <c r="AI825" s="11" t="s">
        <v>55</v>
      </c>
      <c r="AJ825" s="11"/>
      <c r="AK825" s="11"/>
      <c r="AL825" s="11"/>
      <c r="AM825" s="11"/>
      <c r="AN825" s="11"/>
      <c r="AO825" s="11"/>
      <c r="AP825" s="2" t="s">
        <v>70</v>
      </c>
      <c r="AQ825" s="11" t="str">
        <f>IF(I825&lt;&gt;"",DATA!D824,"")</f>
        <v>8419818090</v>
      </c>
    </row>
    <row r="826" spans="1:43" ht="15.75" x14ac:dyDescent="0.25">
      <c r="A826" s="11" t="s">
        <v>57</v>
      </c>
      <c r="B826" s="11" t="s">
        <v>56</v>
      </c>
      <c r="C826" s="22">
        <f t="shared" si="54"/>
        <v>25001620</v>
      </c>
      <c r="D826" s="11" t="str">
        <f t="shared" si="55"/>
        <v>SKIIFM_AT</v>
      </c>
      <c r="E826" s="11" t="str">
        <f>IF(I826&lt;&gt;"",VLOOKUP(F826,OPDRACHTGEVER!$A$2:$B$4,2,FALSE),"")</f>
        <v>SKIIFM_AT</v>
      </c>
      <c r="F826" s="11" t="s">
        <v>58</v>
      </c>
      <c r="I826" s="11" t="str">
        <f>IF(DATA!B825&lt;&gt;"",DATA!B825,"")</f>
        <v>FFAU3062713</v>
      </c>
      <c r="J826" s="12">
        <v>0</v>
      </c>
      <c r="K826" s="11" t="s">
        <v>53</v>
      </c>
      <c r="L826" s="11" t="str">
        <f t="shared" si="56"/>
        <v>850440</v>
      </c>
      <c r="M826" s="11" t="str">
        <f>IF(I826&lt;&gt;"",DATA!E825,"")</f>
        <v>INVERTER</v>
      </c>
      <c r="N826" s="12">
        <v>0</v>
      </c>
      <c r="O826" s="11">
        <f>IF(I826&lt;&gt;"",DATA!C825,"")</f>
        <v>64</v>
      </c>
      <c r="P826" s="2">
        <v>294094</v>
      </c>
      <c r="Q826" s="2" t="s">
        <v>1304</v>
      </c>
      <c r="R826" s="2" t="s">
        <v>1322</v>
      </c>
      <c r="S826" s="2">
        <v>581</v>
      </c>
      <c r="T826" s="2">
        <v>1</v>
      </c>
      <c r="U826" s="2" t="s">
        <v>141</v>
      </c>
      <c r="Y826" s="2">
        <v>1700</v>
      </c>
      <c r="Z826" s="11" t="s">
        <v>54</v>
      </c>
      <c r="AA826" s="11" t="str">
        <f t="shared" si="57"/>
        <v>1700 - TBN</v>
      </c>
      <c r="AC826" s="2" t="s">
        <v>145</v>
      </c>
      <c r="AD826" s="11" t="str">
        <f>IF($I826&lt;&gt;"",VLOOKUP($AC826,GEADRESSEERDE!$A$2:$E$4,2,),"")</f>
        <v>LUITHAGEN HAVEN 2 D</v>
      </c>
      <c r="AE826" s="11">
        <f>IF($I826&lt;&gt;"",VLOOKUP($AC826,GEADRESSEERDE!$A$2:$E$4,3,),"")</f>
        <v>2030</v>
      </c>
      <c r="AF826" s="11" t="str">
        <f>IF($I826&lt;&gt;"",VLOOKUP($AC826,GEADRESSEERDE!$A$2:$E$4,4,),"")</f>
        <v>ANTWERPEN</v>
      </c>
      <c r="AG826" s="11" t="str">
        <f>IF($I826&lt;&gt;"",VLOOKUP($AC826,GEADRESSEERDE!$A$2:$E$4,5,),"")</f>
        <v>BE</v>
      </c>
      <c r="AH826" s="11" t="str">
        <f>IF(I826&lt;&gt;"",VLOOKUP(AP826,KvB!$A$2:$B$3,2,FALSE),"")</f>
        <v>BE101000</v>
      </c>
      <c r="AI826" s="11" t="s">
        <v>55</v>
      </c>
      <c r="AJ826" s="11"/>
      <c r="AK826" s="11"/>
      <c r="AL826" s="11"/>
      <c r="AM826" s="11"/>
      <c r="AN826" s="11"/>
      <c r="AO826" s="11"/>
      <c r="AP826" s="2" t="s">
        <v>70</v>
      </c>
      <c r="AQ826" s="11" t="str">
        <f>IF(I826&lt;&gt;"",DATA!D825,"")</f>
        <v>8504406090</v>
      </c>
    </row>
    <row r="827" spans="1:43" ht="15.75" x14ac:dyDescent="0.25">
      <c r="A827" s="11" t="s">
        <v>57</v>
      </c>
      <c r="B827" s="11" t="s">
        <v>56</v>
      </c>
      <c r="C827" s="22">
        <f t="shared" si="54"/>
        <v>25001620</v>
      </c>
      <c r="D827" s="11" t="str">
        <f t="shared" si="55"/>
        <v>SKIIFM_AT</v>
      </c>
      <c r="E827" s="11" t="str">
        <f>IF(I827&lt;&gt;"",VLOOKUP(F827,OPDRACHTGEVER!$A$2:$B$4,2,FALSE),"")</f>
        <v>SKIIFM_AT</v>
      </c>
      <c r="F827" s="11" t="s">
        <v>58</v>
      </c>
      <c r="I827" s="11" t="str">
        <f>IF(DATA!B826&lt;&gt;"",DATA!B826,"")</f>
        <v>FFAU3062713</v>
      </c>
      <c r="J827" s="12">
        <v>0</v>
      </c>
      <c r="K827" s="11" t="s">
        <v>53</v>
      </c>
      <c r="L827" s="11" t="str">
        <f t="shared" si="56"/>
        <v>741920</v>
      </c>
      <c r="M827" s="11" t="str">
        <f>IF(I827&lt;&gt;"",DATA!E826,"")</f>
        <v>IRON BASE</v>
      </c>
      <c r="N827" s="12">
        <v>0</v>
      </c>
      <c r="O827" s="11">
        <f>IF(I827&lt;&gt;"",DATA!C826,"")</f>
        <v>206.7</v>
      </c>
      <c r="P827" s="2">
        <v>294094</v>
      </c>
      <c r="Q827" s="2" t="s">
        <v>1304</v>
      </c>
      <c r="R827" s="2" t="s">
        <v>1322</v>
      </c>
      <c r="S827" s="2">
        <v>581</v>
      </c>
      <c r="T827" s="2">
        <v>1</v>
      </c>
      <c r="U827" s="2" t="s">
        <v>141</v>
      </c>
      <c r="Y827" s="2">
        <v>1700</v>
      </c>
      <c r="Z827" s="11" t="s">
        <v>54</v>
      </c>
      <c r="AA827" s="11" t="str">
        <f t="shared" si="57"/>
        <v>1700 - TBN</v>
      </c>
      <c r="AC827" s="2" t="s">
        <v>145</v>
      </c>
      <c r="AD827" s="11" t="str">
        <f>IF($I827&lt;&gt;"",VLOOKUP($AC827,GEADRESSEERDE!$A$2:$E$4,2,),"")</f>
        <v>LUITHAGEN HAVEN 2 D</v>
      </c>
      <c r="AE827" s="11">
        <f>IF($I827&lt;&gt;"",VLOOKUP($AC827,GEADRESSEERDE!$A$2:$E$4,3,),"")</f>
        <v>2030</v>
      </c>
      <c r="AF827" s="11" t="str">
        <f>IF($I827&lt;&gt;"",VLOOKUP($AC827,GEADRESSEERDE!$A$2:$E$4,4,),"")</f>
        <v>ANTWERPEN</v>
      </c>
      <c r="AG827" s="11" t="str">
        <f>IF($I827&lt;&gt;"",VLOOKUP($AC827,GEADRESSEERDE!$A$2:$E$4,5,),"")</f>
        <v>BE</v>
      </c>
      <c r="AH827" s="11" t="str">
        <f>IF(I827&lt;&gt;"",VLOOKUP(AP827,KvB!$A$2:$B$3,2,FALSE),"")</f>
        <v>BE101000</v>
      </c>
      <c r="AI827" s="11" t="s">
        <v>55</v>
      </c>
      <c r="AJ827" s="11"/>
      <c r="AK827" s="11"/>
      <c r="AL827" s="11"/>
      <c r="AM827" s="11"/>
      <c r="AN827" s="11"/>
      <c r="AO827" s="11"/>
      <c r="AP827" s="2" t="s">
        <v>70</v>
      </c>
      <c r="AQ827" s="11" t="str">
        <f>IF(I827&lt;&gt;"",DATA!D826,"")</f>
        <v>7419200090</v>
      </c>
    </row>
    <row r="828" spans="1:43" ht="15.75" x14ac:dyDescent="0.25">
      <c r="A828" s="11" t="s">
        <v>57</v>
      </c>
      <c r="B828" s="11" t="s">
        <v>56</v>
      </c>
      <c r="C828" s="22">
        <f t="shared" si="54"/>
        <v>25001620</v>
      </c>
      <c r="D828" s="11" t="str">
        <f t="shared" si="55"/>
        <v>SKIIFM_AT</v>
      </c>
      <c r="E828" s="11" t="str">
        <f>IF(I828&lt;&gt;"",VLOOKUP(F828,OPDRACHTGEVER!$A$2:$B$4,2,FALSE),"")</f>
        <v>SKIIFM_AT</v>
      </c>
      <c r="F828" s="11" t="s">
        <v>58</v>
      </c>
      <c r="I828" s="11" t="str">
        <f>IF(DATA!B827&lt;&gt;"",DATA!B827,"")</f>
        <v>FFAU3062713</v>
      </c>
      <c r="J828" s="12">
        <v>0</v>
      </c>
      <c r="K828" s="11" t="s">
        <v>53</v>
      </c>
      <c r="L828" s="11" t="str">
        <f t="shared" si="56"/>
        <v>820559</v>
      </c>
      <c r="M828" s="11" t="str">
        <f>IF(I828&lt;&gt;"",DATA!E827,"")</f>
        <v>MANUAL PIZZA NOODLE PRESS</v>
      </c>
      <c r="N828" s="12">
        <v>0</v>
      </c>
      <c r="O828" s="11">
        <f>IF(I828&lt;&gt;"",DATA!C827,"")</f>
        <v>56.7</v>
      </c>
      <c r="P828" s="2">
        <v>294094</v>
      </c>
      <c r="Q828" s="2" t="s">
        <v>1304</v>
      </c>
      <c r="R828" s="2" t="s">
        <v>1322</v>
      </c>
      <c r="S828" s="2">
        <v>581</v>
      </c>
      <c r="T828" s="2">
        <v>1</v>
      </c>
      <c r="U828" s="2" t="s">
        <v>141</v>
      </c>
      <c r="Y828" s="2">
        <v>1700</v>
      </c>
      <c r="Z828" s="11" t="s">
        <v>54</v>
      </c>
      <c r="AA828" s="11" t="str">
        <f t="shared" si="57"/>
        <v>1700 - TBN</v>
      </c>
      <c r="AC828" s="2" t="s">
        <v>145</v>
      </c>
      <c r="AD828" s="11" t="str">
        <f>IF($I828&lt;&gt;"",VLOOKUP($AC828,GEADRESSEERDE!$A$2:$E$4,2,),"")</f>
        <v>LUITHAGEN HAVEN 2 D</v>
      </c>
      <c r="AE828" s="11">
        <f>IF($I828&lt;&gt;"",VLOOKUP($AC828,GEADRESSEERDE!$A$2:$E$4,3,),"")</f>
        <v>2030</v>
      </c>
      <c r="AF828" s="11" t="str">
        <f>IF($I828&lt;&gt;"",VLOOKUP($AC828,GEADRESSEERDE!$A$2:$E$4,4,),"")</f>
        <v>ANTWERPEN</v>
      </c>
      <c r="AG828" s="11" t="str">
        <f>IF($I828&lt;&gt;"",VLOOKUP($AC828,GEADRESSEERDE!$A$2:$E$4,5,),"")</f>
        <v>BE</v>
      </c>
      <c r="AH828" s="11" t="str">
        <f>IF(I828&lt;&gt;"",VLOOKUP(AP828,KvB!$A$2:$B$3,2,FALSE),"")</f>
        <v>BE101000</v>
      </c>
      <c r="AI828" s="11" t="s">
        <v>55</v>
      </c>
      <c r="AJ828" s="11"/>
      <c r="AK828" s="11"/>
      <c r="AL828" s="11"/>
      <c r="AM828" s="11"/>
      <c r="AN828" s="11"/>
      <c r="AO828" s="11"/>
      <c r="AP828" s="2" t="s">
        <v>70</v>
      </c>
      <c r="AQ828" s="11" t="str">
        <f>IF(I828&lt;&gt;"",DATA!D827,"")</f>
        <v>8205598000</v>
      </c>
    </row>
    <row r="829" spans="1:43" ht="15.75" x14ac:dyDescent="0.25">
      <c r="A829" s="11" t="s">
        <v>57</v>
      </c>
      <c r="B829" s="11" t="s">
        <v>56</v>
      </c>
      <c r="C829" s="22">
        <f t="shared" si="54"/>
        <v>25001620</v>
      </c>
      <c r="D829" s="11" t="str">
        <f t="shared" si="55"/>
        <v>SKIIFM_AT</v>
      </c>
      <c r="E829" s="11" t="str">
        <f>IF(I829&lt;&gt;"",VLOOKUP(F829,OPDRACHTGEVER!$A$2:$B$4,2,FALSE),"")</f>
        <v>SKIIFM_AT</v>
      </c>
      <c r="F829" s="11" t="s">
        <v>58</v>
      </c>
      <c r="I829" s="11" t="str">
        <f>IF(DATA!B828&lt;&gt;"",DATA!B828,"")</f>
        <v>FFAU3062713</v>
      </c>
      <c r="J829" s="12">
        <v>0</v>
      </c>
      <c r="K829" s="11" t="s">
        <v>53</v>
      </c>
      <c r="L829" s="11" t="str">
        <f t="shared" si="56"/>
        <v>741920</v>
      </c>
      <c r="M829" s="11" t="str">
        <f>IF(I829&lt;&gt;"",DATA!E828,"")</f>
        <v>METAL DISPLAY RACK</v>
      </c>
      <c r="N829" s="12">
        <v>0</v>
      </c>
      <c r="O829" s="11">
        <f>IF(I829&lt;&gt;"",DATA!C828,"")</f>
        <v>48.6</v>
      </c>
      <c r="P829" s="2">
        <v>294094</v>
      </c>
      <c r="Q829" s="2" t="s">
        <v>1304</v>
      </c>
      <c r="R829" s="2" t="s">
        <v>1322</v>
      </c>
      <c r="S829" s="2">
        <v>581</v>
      </c>
      <c r="T829" s="2">
        <v>1</v>
      </c>
      <c r="U829" s="2" t="s">
        <v>141</v>
      </c>
      <c r="Y829" s="2">
        <v>1700</v>
      </c>
      <c r="Z829" s="11" t="s">
        <v>54</v>
      </c>
      <c r="AA829" s="11" t="str">
        <f t="shared" si="57"/>
        <v>1700 - TBN</v>
      </c>
      <c r="AC829" s="2" t="s">
        <v>145</v>
      </c>
      <c r="AD829" s="11" t="str">
        <f>IF($I829&lt;&gt;"",VLOOKUP($AC829,GEADRESSEERDE!$A$2:$E$4,2,),"")</f>
        <v>LUITHAGEN HAVEN 2 D</v>
      </c>
      <c r="AE829" s="11">
        <f>IF($I829&lt;&gt;"",VLOOKUP($AC829,GEADRESSEERDE!$A$2:$E$4,3,),"")</f>
        <v>2030</v>
      </c>
      <c r="AF829" s="11" t="str">
        <f>IF($I829&lt;&gt;"",VLOOKUP($AC829,GEADRESSEERDE!$A$2:$E$4,4,),"")</f>
        <v>ANTWERPEN</v>
      </c>
      <c r="AG829" s="11" t="str">
        <f>IF($I829&lt;&gt;"",VLOOKUP($AC829,GEADRESSEERDE!$A$2:$E$4,5,),"")</f>
        <v>BE</v>
      </c>
      <c r="AH829" s="11" t="str">
        <f>IF(I829&lt;&gt;"",VLOOKUP(AP829,KvB!$A$2:$B$3,2,FALSE),"")</f>
        <v>BE101000</v>
      </c>
      <c r="AI829" s="11" t="s">
        <v>55</v>
      </c>
      <c r="AJ829" s="11"/>
      <c r="AK829" s="11"/>
      <c r="AL829" s="11"/>
      <c r="AM829" s="11"/>
      <c r="AN829" s="11"/>
      <c r="AO829" s="11"/>
      <c r="AP829" s="2" t="s">
        <v>70</v>
      </c>
      <c r="AQ829" s="11" t="str">
        <f>IF(I829&lt;&gt;"",DATA!D828,"")</f>
        <v>7419200090</v>
      </c>
    </row>
    <row r="830" spans="1:43" ht="15.75" x14ac:dyDescent="0.25">
      <c r="A830" s="11" t="s">
        <v>57</v>
      </c>
      <c r="B830" s="11" t="s">
        <v>56</v>
      </c>
      <c r="C830" s="22">
        <f t="shared" si="54"/>
        <v>25001620</v>
      </c>
      <c r="D830" s="11" t="str">
        <f t="shared" si="55"/>
        <v>SKIIFM_AT</v>
      </c>
      <c r="E830" s="11" t="str">
        <f>IF(I830&lt;&gt;"",VLOOKUP(F830,OPDRACHTGEVER!$A$2:$B$4,2,FALSE),"")</f>
        <v>SKIIFM_AT</v>
      </c>
      <c r="F830" s="11" t="s">
        <v>58</v>
      </c>
      <c r="I830" s="11" t="str">
        <f>IF(DATA!B829&lt;&gt;"",DATA!B829,"")</f>
        <v>FFAU3062713</v>
      </c>
      <c r="J830" s="12">
        <v>0</v>
      </c>
      <c r="K830" s="11" t="s">
        <v>53</v>
      </c>
      <c r="L830" s="11" t="str">
        <f t="shared" si="56"/>
        <v>902720</v>
      </c>
      <c r="M830" s="11" t="str">
        <f>IF(I830&lt;&gt;"",DATA!E829,"")</f>
        <v>METEOROGRAPH</v>
      </c>
      <c r="N830" s="12">
        <v>0</v>
      </c>
      <c r="O830" s="11">
        <f>IF(I830&lt;&gt;"",DATA!C829,"")</f>
        <v>632.79999999999995</v>
      </c>
      <c r="P830" s="2">
        <v>294094</v>
      </c>
      <c r="Q830" s="2" t="s">
        <v>1304</v>
      </c>
      <c r="R830" s="2" t="s">
        <v>1322</v>
      </c>
      <c r="S830" s="2">
        <v>581</v>
      </c>
      <c r="T830" s="2">
        <v>1</v>
      </c>
      <c r="U830" s="2" t="s">
        <v>141</v>
      </c>
      <c r="Y830" s="2">
        <v>1700</v>
      </c>
      <c r="Z830" s="11" t="s">
        <v>54</v>
      </c>
      <c r="AA830" s="11" t="str">
        <f t="shared" si="57"/>
        <v>1700 - TBN</v>
      </c>
      <c r="AC830" s="2" t="s">
        <v>145</v>
      </c>
      <c r="AD830" s="11" t="str">
        <f>IF($I830&lt;&gt;"",VLOOKUP($AC830,GEADRESSEERDE!$A$2:$E$4,2,),"")</f>
        <v>LUITHAGEN HAVEN 2 D</v>
      </c>
      <c r="AE830" s="11">
        <f>IF($I830&lt;&gt;"",VLOOKUP($AC830,GEADRESSEERDE!$A$2:$E$4,3,),"")</f>
        <v>2030</v>
      </c>
      <c r="AF830" s="11" t="str">
        <f>IF($I830&lt;&gt;"",VLOOKUP($AC830,GEADRESSEERDE!$A$2:$E$4,4,),"")</f>
        <v>ANTWERPEN</v>
      </c>
      <c r="AG830" s="11" t="str">
        <f>IF($I830&lt;&gt;"",VLOOKUP($AC830,GEADRESSEERDE!$A$2:$E$4,5,),"")</f>
        <v>BE</v>
      </c>
      <c r="AH830" s="11" t="str">
        <f>IF(I830&lt;&gt;"",VLOOKUP(AP830,KvB!$A$2:$B$3,2,FALSE),"")</f>
        <v>BE101000</v>
      </c>
      <c r="AI830" s="11" t="s">
        <v>55</v>
      </c>
      <c r="AJ830" s="11"/>
      <c r="AK830" s="11"/>
      <c r="AL830" s="11"/>
      <c r="AM830" s="11"/>
      <c r="AN830" s="11"/>
      <c r="AO830" s="11"/>
      <c r="AP830" s="2" t="s">
        <v>70</v>
      </c>
      <c r="AQ830" s="11" t="str">
        <f>IF(I830&lt;&gt;"",DATA!D829,"")</f>
        <v>9027200000</v>
      </c>
    </row>
    <row r="831" spans="1:43" ht="15.75" x14ac:dyDescent="0.25">
      <c r="A831" s="11" t="s">
        <v>57</v>
      </c>
      <c r="B831" s="11" t="s">
        <v>56</v>
      </c>
      <c r="C831" s="22">
        <f t="shared" si="54"/>
        <v>25001620</v>
      </c>
      <c r="D831" s="11" t="str">
        <f t="shared" si="55"/>
        <v>SKIIFM_AT</v>
      </c>
      <c r="E831" s="11" t="str">
        <f>IF(I831&lt;&gt;"",VLOOKUP(F831,OPDRACHTGEVER!$A$2:$B$4,2,FALSE),"")</f>
        <v>SKIIFM_AT</v>
      </c>
      <c r="F831" s="11" t="s">
        <v>58</v>
      </c>
      <c r="I831" s="11" t="str">
        <f>IF(DATA!B830&lt;&gt;"",DATA!B830,"")</f>
        <v>FFAU3062713</v>
      </c>
      <c r="J831" s="12">
        <v>0</v>
      </c>
      <c r="K831" s="11" t="s">
        <v>53</v>
      </c>
      <c r="L831" s="11" t="str">
        <f t="shared" si="56"/>
        <v>850940</v>
      </c>
      <c r="M831" s="11" t="str">
        <f>IF(I831&lt;&gt;"",DATA!E830,"")</f>
        <v>MILKSHAKE MIXER</v>
      </c>
      <c r="N831" s="12">
        <v>0</v>
      </c>
      <c r="O831" s="11">
        <f>IF(I831&lt;&gt;"",DATA!C830,"")</f>
        <v>60.12</v>
      </c>
      <c r="P831" s="2">
        <v>294094</v>
      </c>
      <c r="Q831" s="2" t="s">
        <v>1304</v>
      </c>
      <c r="R831" s="2" t="s">
        <v>1322</v>
      </c>
      <c r="S831" s="2">
        <v>581</v>
      </c>
      <c r="T831" s="2">
        <v>1</v>
      </c>
      <c r="U831" s="2" t="s">
        <v>141</v>
      </c>
      <c r="Y831" s="2">
        <v>1700</v>
      </c>
      <c r="Z831" s="11" t="s">
        <v>54</v>
      </c>
      <c r="AA831" s="11" t="str">
        <f t="shared" si="57"/>
        <v>1700 - TBN</v>
      </c>
      <c r="AC831" s="2" t="s">
        <v>145</v>
      </c>
      <c r="AD831" s="11" t="str">
        <f>IF($I831&lt;&gt;"",VLOOKUP($AC831,GEADRESSEERDE!$A$2:$E$4,2,),"")</f>
        <v>LUITHAGEN HAVEN 2 D</v>
      </c>
      <c r="AE831" s="11">
        <f>IF($I831&lt;&gt;"",VLOOKUP($AC831,GEADRESSEERDE!$A$2:$E$4,3,),"")</f>
        <v>2030</v>
      </c>
      <c r="AF831" s="11" t="str">
        <f>IF($I831&lt;&gt;"",VLOOKUP($AC831,GEADRESSEERDE!$A$2:$E$4,4,),"")</f>
        <v>ANTWERPEN</v>
      </c>
      <c r="AG831" s="11" t="str">
        <f>IF($I831&lt;&gt;"",VLOOKUP($AC831,GEADRESSEERDE!$A$2:$E$4,5,),"")</f>
        <v>BE</v>
      </c>
      <c r="AH831" s="11" t="str">
        <f>IF(I831&lt;&gt;"",VLOOKUP(AP831,KvB!$A$2:$B$3,2,FALSE),"")</f>
        <v>BE101000</v>
      </c>
      <c r="AI831" s="11" t="s">
        <v>55</v>
      </c>
      <c r="AJ831" s="11"/>
      <c r="AK831" s="11"/>
      <c r="AL831" s="11"/>
      <c r="AM831" s="11"/>
      <c r="AN831" s="11"/>
      <c r="AO831" s="11"/>
      <c r="AP831" s="2" t="s">
        <v>70</v>
      </c>
      <c r="AQ831" s="11" t="str">
        <f>IF(I831&lt;&gt;"",DATA!D830,"")</f>
        <v>8509400000</v>
      </c>
    </row>
    <row r="832" spans="1:43" ht="15.75" x14ac:dyDescent="0.25">
      <c r="A832" s="11" t="s">
        <v>57</v>
      </c>
      <c r="B832" s="11" t="s">
        <v>56</v>
      </c>
      <c r="C832" s="22">
        <f t="shared" si="54"/>
        <v>25001620</v>
      </c>
      <c r="D832" s="11" t="str">
        <f t="shared" si="55"/>
        <v>SKIIFM_AT</v>
      </c>
      <c r="E832" s="11" t="str">
        <f>IF(I832&lt;&gt;"",VLOOKUP(F832,OPDRACHTGEVER!$A$2:$B$4,2,FALSE),"")</f>
        <v>SKIIFM_AT</v>
      </c>
      <c r="F832" s="11" t="s">
        <v>58</v>
      </c>
      <c r="I832" s="11" t="str">
        <f>IF(DATA!B831&lt;&gt;"",DATA!B831,"")</f>
        <v>FFAU3062713</v>
      </c>
      <c r="J832" s="12">
        <v>0</v>
      </c>
      <c r="K832" s="11" t="s">
        <v>53</v>
      </c>
      <c r="L832" s="11" t="str">
        <f t="shared" si="56"/>
        <v>950300</v>
      </c>
      <c r="M832" s="11" t="str">
        <f>IF(I832&lt;&gt;"",DATA!E831,"")</f>
        <v>MINI CLAW CRANE MACHINE</v>
      </c>
      <c r="N832" s="12">
        <v>0</v>
      </c>
      <c r="O832" s="11">
        <f>IF(I832&lt;&gt;"",DATA!C831,"")</f>
        <v>25</v>
      </c>
      <c r="P832" s="2">
        <v>294094</v>
      </c>
      <c r="Q832" s="2" t="s">
        <v>1304</v>
      </c>
      <c r="R832" s="2" t="s">
        <v>1322</v>
      </c>
      <c r="S832" s="2">
        <v>581</v>
      </c>
      <c r="T832" s="2">
        <v>1</v>
      </c>
      <c r="U832" s="2" t="s">
        <v>141</v>
      </c>
      <c r="Y832" s="2">
        <v>1700</v>
      </c>
      <c r="Z832" s="11" t="s">
        <v>54</v>
      </c>
      <c r="AA832" s="11" t="str">
        <f t="shared" si="57"/>
        <v>1700 - TBN</v>
      </c>
      <c r="AC832" s="2" t="s">
        <v>145</v>
      </c>
      <c r="AD832" s="11" t="str">
        <f>IF($I832&lt;&gt;"",VLOOKUP($AC832,GEADRESSEERDE!$A$2:$E$4,2,),"")</f>
        <v>LUITHAGEN HAVEN 2 D</v>
      </c>
      <c r="AE832" s="11">
        <f>IF($I832&lt;&gt;"",VLOOKUP($AC832,GEADRESSEERDE!$A$2:$E$4,3,),"")</f>
        <v>2030</v>
      </c>
      <c r="AF832" s="11" t="str">
        <f>IF($I832&lt;&gt;"",VLOOKUP($AC832,GEADRESSEERDE!$A$2:$E$4,4,),"")</f>
        <v>ANTWERPEN</v>
      </c>
      <c r="AG832" s="11" t="str">
        <f>IF($I832&lt;&gt;"",VLOOKUP($AC832,GEADRESSEERDE!$A$2:$E$4,5,),"")</f>
        <v>BE</v>
      </c>
      <c r="AH832" s="11" t="str">
        <f>IF(I832&lt;&gt;"",VLOOKUP(AP832,KvB!$A$2:$B$3,2,FALSE),"")</f>
        <v>BE101000</v>
      </c>
      <c r="AI832" s="11" t="s">
        <v>55</v>
      </c>
      <c r="AJ832" s="11"/>
      <c r="AK832" s="11"/>
      <c r="AL832" s="11"/>
      <c r="AM832" s="11"/>
      <c r="AN832" s="11"/>
      <c r="AO832" s="11"/>
      <c r="AP832" s="2" t="s">
        <v>70</v>
      </c>
      <c r="AQ832" s="11" t="str">
        <f>IF(I832&lt;&gt;"",DATA!D831,"")</f>
        <v>9503008190</v>
      </c>
    </row>
    <row r="833" spans="1:43" ht="15.75" x14ac:dyDescent="0.25">
      <c r="A833" s="11" t="s">
        <v>57</v>
      </c>
      <c r="B833" s="11" t="s">
        <v>56</v>
      </c>
      <c r="C833" s="22">
        <f t="shared" si="54"/>
        <v>25001620</v>
      </c>
      <c r="D833" s="11" t="str">
        <f t="shared" si="55"/>
        <v>SKIIFM_AT</v>
      </c>
      <c r="E833" s="11" t="str">
        <f>IF(I833&lt;&gt;"",VLOOKUP(F833,OPDRACHTGEVER!$A$2:$B$4,2,FALSE),"")</f>
        <v>SKIIFM_AT</v>
      </c>
      <c r="F833" s="11" t="s">
        <v>58</v>
      </c>
      <c r="I833" s="11" t="str">
        <f>IF(DATA!B832&lt;&gt;"",DATA!B832,"")</f>
        <v>FFAU3062713</v>
      </c>
      <c r="J833" s="12">
        <v>0</v>
      </c>
      <c r="K833" s="11" t="s">
        <v>53</v>
      </c>
      <c r="L833" s="11" t="str">
        <f t="shared" si="56"/>
        <v>741920</v>
      </c>
      <c r="M833" s="11" t="str">
        <f>IF(I833&lt;&gt;"",DATA!E832,"")</f>
        <v>PET BEAUTY BATH</v>
      </c>
      <c r="N833" s="12">
        <v>0</v>
      </c>
      <c r="O833" s="11">
        <f>IF(I833&lt;&gt;"",DATA!C832,"")</f>
        <v>101.7</v>
      </c>
      <c r="P833" s="2">
        <v>294094</v>
      </c>
      <c r="Q833" s="2" t="s">
        <v>1304</v>
      </c>
      <c r="R833" s="2" t="s">
        <v>1322</v>
      </c>
      <c r="S833" s="2">
        <v>581</v>
      </c>
      <c r="T833" s="2">
        <v>1</v>
      </c>
      <c r="U833" s="2" t="s">
        <v>141</v>
      </c>
      <c r="Y833" s="2">
        <v>1700</v>
      </c>
      <c r="Z833" s="11" t="s">
        <v>54</v>
      </c>
      <c r="AA833" s="11" t="str">
        <f t="shared" si="57"/>
        <v>1700 - TBN</v>
      </c>
      <c r="AC833" s="2" t="s">
        <v>145</v>
      </c>
      <c r="AD833" s="11" t="str">
        <f>IF($I833&lt;&gt;"",VLOOKUP($AC833,GEADRESSEERDE!$A$2:$E$4,2,),"")</f>
        <v>LUITHAGEN HAVEN 2 D</v>
      </c>
      <c r="AE833" s="11">
        <f>IF($I833&lt;&gt;"",VLOOKUP($AC833,GEADRESSEERDE!$A$2:$E$4,3,),"")</f>
        <v>2030</v>
      </c>
      <c r="AF833" s="11" t="str">
        <f>IF($I833&lt;&gt;"",VLOOKUP($AC833,GEADRESSEERDE!$A$2:$E$4,4,),"")</f>
        <v>ANTWERPEN</v>
      </c>
      <c r="AG833" s="11" t="str">
        <f>IF($I833&lt;&gt;"",VLOOKUP($AC833,GEADRESSEERDE!$A$2:$E$4,5,),"")</f>
        <v>BE</v>
      </c>
      <c r="AH833" s="11" t="str">
        <f>IF(I833&lt;&gt;"",VLOOKUP(AP833,KvB!$A$2:$B$3,2,FALSE),"")</f>
        <v>BE101000</v>
      </c>
      <c r="AI833" s="11" t="s">
        <v>55</v>
      </c>
      <c r="AJ833" s="11"/>
      <c r="AK833" s="11"/>
      <c r="AL833" s="11"/>
      <c r="AM833" s="11"/>
      <c r="AN833" s="11"/>
      <c r="AO833" s="11"/>
      <c r="AP833" s="2" t="s">
        <v>70</v>
      </c>
      <c r="AQ833" s="11" t="str">
        <f>IF(I833&lt;&gt;"",DATA!D832,"")</f>
        <v>7419200090</v>
      </c>
    </row>
    <row r="834" spans="1:43" ht="15.75" x14ac:dyDescent="0.25">
      <c r="A834" s="11" t="s">
        <v>57</v>
      </c>
      <c r="B834" s="11" t="s">
        <v>56</v>
      </c>
      <c r="C834" s="22">
        <f t="shared" si="54"/>
        <v>25001620</v>
      </c>
      <c r="D834" s="11" t="str">
        <f t="shared" si="55"/>
        <v>SKIIFM_AT</v>
      </c>
      <c r="E834" s="11" t="str">
        <f>IF(I834&lt;&gt;"",VLOOKUP(F834,OPDRACHTGEVER!$A$2:$B$4,2,FALSE),"")</f>
        <v>SKIIFM_AT</v>
      </c>
      <c r="F834" s="11" t="s">
        <v>58</v>
      </c>
      <c r="I834" s="11" t="str">
        <f>IF(DATA!B833&lt;&gt;"",DATA!B833,"")</f>
        <v>FFAU3062713</v>
      </c>
      <c r="J834" s="12">
        <v>0</v>
      </c>
      <c r="K834" s="11" t="s">
        <v>53</v>
      </c>
      <c r="L834" s="11" t="str">
        <f t="shared" si="56"/>
        <v>854370</v>
      </c>
      <c r="M834" s="11" t="str">
        <f>IF(I834&lt;&gt;"",DATA!E833,"")</f>
        <v>PLANT GROWTH FRAME</v>
      </c>
      <c r="N834" s="12">
        <v>0</v>
      </c>
      <c r="O834" s="11">
        <f>IF(I834&lt;&gt;"",DATA!C833,"")</f>
        <v>49.8</v>
      </c>
      <c r="P834" s="2">
        <v>294094</v>
      </c>
      <c r="Q834" s="2" t="s">
        <v>1304</v>
      </c>
      <c r="R834" s="2" t="s">
        <v>1322</v>
      </c>
      <c r="S834" s="2">
        <v>581</v>
      </c>
      <c r="T834" s="2">
        <v>1</v>
      </c>
      <c r="U834" s="2" t="s">
        <v>141</v>
      </c>
      <c r="Y834" s="2">
        <v>1700</v>
      </c>
      <c r="Z834" s="11" t="s">
        <v>54</v>
      </c>
      <c r="AA834" s="11" t="str">
        <f t="shared" si="57"/>
        <v>1700 - TBN</v>
      </c>
      <c r="AC834" s="2" t="s">
        <v>145</v>
      </c>
      <c r="AD834" s="11" t="str">
        <f>IF($I834&lt;&gt;"",VLOOKUP($AC834,GEADRESSEERDE!$A$2:$E$4,2,),"")</f>
        <v>LUITHAGEN HAVEN 2 D</v>
      </c>
      <c r="AE834" s="11">
        <f>IF($I834&lt;&gt;"",VLOOKUP($AC834,GEADRESSEERDE!$A$2:$E$4,3,),"")</f>
        <v>2030</v>
      </c>
      <c r="AF834" s="11" t="str">
        <f>IF($I834&lt;&gt;"",VLOOKUP($AC834,GEADRESSEERDE!$A$2:$E$4,4,),"")</f>
        <v>ANTWERPEN</v>
      </c>
      <c r="AG834" s="11" t="str">
        <f>IF($I834&lt;&gt;"",VLOOKUP($AC834,GEADRESSEERDE!$A$2:$E$4,5,),"")</f>
        <v>BE</v>
      </c>
      <c r="AH834" s="11" t="str">
        <f>IF(I834&lt;&gt;"",VLOOKUP(AP834,KvB!$A$2:$B$3,2,FALSE),"")</f>
        <v>BE101000</v>
      </c>
      <c r="AI834" s="11" t="s">
        <v>55</v>
      </c>
      <c r="AJ834" s="11"/>
      <c r="AK834" s="11"/>
      <c r="AL834" s="11"/>
      <c r="AM834" s="11"/>
      <c r="AN834" s="11"/>
      <c r="AO834" s="11"/>
      <c r="AP834" s="2" t="s">
        <v>70</v>
      </c>
      <c r="AQ834" s="11" t="str">
        <f>IF(I834&lt;&gt;"",DATA!D833,"")</f>
        <v>8543709099</v>
      </c>
    </row>
    <row r="835" spans="1:43" ht="15.75" x14ac:dyDescent="0.25">
      <c r="A835" s="11" t="s">
        <v>57</v>
      </c>
      <c r="B835" s="11" t="s">
        <v>56</v>
      </c>
      <c r="C835" s="22">
        <f t="shared" si="54"/>
        <v>25001620</v>
      </c>
      <c r="D835" s="11" t="str">
        <f t="shared" si="55"/>
        <v>SKIIFM_AT</v>
      </c>
      <c r="E835" s="11" t="str">
        <f>IF(I835&lt;&gt;"",VLOOKUP(F835,OPDRACHTGEVER!$A$2:$B$4,2,FALSE),"")</f>
        <v>SKIIFM_AT</v>
      </c>
      <c r="F835" s="11" t="s">
        <v>58</v>
      </c>
      <c r="I835" s="11" t="str">
        <f>IF(DATA!B834&lt;&gt;"",DATA!B834,"")</f>
        <v>FFAU3062713</v>
      </c>
      <c r="J835" s="12">
        <v>0</v>
      </c>
      <c r="K835" s="11" t="s">
        <v>53</v>
      </c>
      <c r="L835" s="11" t="str">
        <f t="shared" si="56"/>
        <v>741920</v>
      </c>
      <c r="M835" s="11" t="str">
        <f>IF(I835&lt;&gt;"",DATA!E834,"")</f>
        <v>PLANTING BED</v>
      </c>
      <c r="N835" s="12">
        <v>0</v>
      </c>
      <c r="O835" s="11">
        <f>IF(I835&lt;&gt;"",DATA!C834,"")</f>
        <v>220</v>
      </c>
      <c r="P835" s="2">
        <v>294094</v>
      </c>
      <c r="Q835" s="2" t="s">
        <v>1304</v>
      </c>
      <c r="R835" s="2" t="s">
        <v>1322</v>
      </c>
      <c r="S835" s="2">
        <v>581</v>
      </c>
      <c r="T835" s="2">
        <v>1</v>
      </c>
      <c r="U835" s="2" t="s">
        <v>141</v>
      </c>
      <c r="Y835" s="2">
        <v>1700</v>
      </c>
      <c r="Z835" s="11" t="s">
        <v>54</v>
      </c>
      <c r="AA835" s="11" t="str">
        <f t="shared" si="57"/>
        <v>1700 - TBN</v>
      </c>
      <c r="AC835" s="2" t="s">
        <v>145</v>
      </c>
      <c r="AD835" s="11" t="str">
        <f>IF($I835&lt;&gt;"",VLOOKUP($AC835,GEADRESSEERDE!$A$2:$E$4,2,),"")</f>
        <v>LUITHAGEN HAVEN 2 D</v>
      </c>
      <c r="AE835" s="11">
        <f>IF($I835&lt;&gt;"",VLOOKUP($AC835,GEADRESSEERDE!$A$2:$E$4,3,),"")</f>
        <v>2030</v>
      </c>
      <c r="AF835" s="11" t="str">
        <f>IF($I835&lt;&gt;"",VLOOKUP($AC835,GEADRESSEERDE!$A$2:$E$4,4,),"")</f>
        <v>ANTWERPEN</v>
      </c>
      <c r="AG835" s="11" t="str">
        <f>IF($I835&lt;&gt;"",VLOOKUP($AC835,GEADRESSEERDE!$A$2:$E$4,5,),"")</f>
        <v>BE</v>
      </c>
      <c r="AH835" s="11" t="str">
        <f>IF(I835&lt;&gt;"",VLOOKUP(AP835,KvB!$A$2:$B$3,2,FALSE),"")</f>
        <v>BE101000</v>
      </c>
      <c r="AI835" s="11" t="s">
        <v>55</v>
      </c>
      <c r="AJ835" s="11"/>
      <c r="AK835" s="11"/>
      <c r="AL835" s="11"/>
      <c r="AM835" s="11"/>
      <c r="AN835" s="11"/>
      <c r="AO835" s="11"/>
      <c r="AP835" s="2" t="s">
        <v>70</v>
      </c>
      <c r="AQ835" s="11" t="str">
        <f>IF(I835&lt;&gt;"",DATA!D834,"")</f>
        <v>7419200090</v>
      </c>
    </row>
    <row r="836" spans="1:43" ht="15.75" x14ac:dyDescent="0.25">
      <c r="A836" s="11" t="s">
        <v>57</v>
      </c>
      <c r="B836" s="11" t="s">
        <v>56</v>
      </c>
      <c r="C836" s="22">
        <f t="shared" si="54"/>
        <v>25001620</v>
      </c>
      <c r="D836" s="11" t="str">
        <f t="shared" si="55"/>
        <v>SKIIFM_AT</v>
      </c>
      <c r="E836" s="11" t="str">
        <f>IF(I836&lt;&gt;"",VLOOKUP(F836,OPDRACHTGEVER!$A$2:$B$4,2,FALSE),"")</f>
        <v>SKIIFM_AT</v>
      </c>
      <c r="F836" s="11" t="s">
        <v>58</v>
      </c>
      <c r="I836" s="11" t="str">
        <f>IF(DATA!B835&lt;&gt;"",DATA!B835,"")</f>
        <v>FFAU3062713</v>
      </c>
      <c r="J836" s="12">
        <v>0</v>
      </c>
      <c r="K836" s="11" t="s">
        <v>53</v>
      </c>
      <c r="L836" s="11" t="str">
        <f t="shared" si="56"/>
        <v>843810</v>
      </c>
      <c r="M836" s="11" t="str">
        <f>IF(I836&lt;&gt;"",DATA!E835,"")</f>
        <v>POPCORN MACHINE</v>
      </c>
      <c r="N836" s="12">
        <v>0</v>
      </c>
      <c r="O836" s="11">
        <f>IF(I836&lt;&gt;"",DATA!C835,"")</f>
        <v>188.5</v>
      </c>
      <c r="P836" s="2">
        <v>294094</v>
      </c>
      <c r="Q836" s="2" t="s">
        <v>1304</v>
      </c>
      <c r="R836" s="2" t="s">
        <v>1322</v>
      </c>
      <c r="S836" s="2">
        <v>581</v>
      </c>
      <c r="T836" s="2">
        <v>1</v>
      </c>
      <c r="U836" s="2" t="s">
        <v>141</v>
      </c>
      <c r="Y836" s="2">
        <v>1700</v>
      </c>
      <c r="Z836" s="11" t="s">
        <v>54</v>
      </c>
      <c r="AA836" s="11" t="str">
        <f t="shared" si="57"/>
        <v>1700 - TBN</v>
      </c>
      <c r="AC836" s="2" t="s">
        <v>145</v>
      </c>
      <c r="AD836" s="11" t="str">
        <f>IF($I836&lt;&gt;"",VLOOKUP($AC836,GEADRESSEERDE!$A$2:$E$4,2,),"")</f>
        <v>LUITHAGEN HAVEN 2 D</v>
      </c>
      <c r="AE836" s="11">
        <f>IF($I836&lt;&gt;"",VLOOKUP($AC836,GEADRESSEERDE!$A$2:$E$4,3,),"")</f>
        <v>2030</v>
      </c>
      <c r="AF836" s="11" t="str">
        <f>IF($I836&lt;&gt;"",VLOOKUP($AC836,GEADRESSEERDE!$A$2:$E$4,4,),"")</f>
        <v>ANTWERPEN</v>
      </c>
      <c r="AG836" s="11" t="str">
        <f>IF($I836&lt;&gt;"",VLOOKUP($AC836,GEADRESSEERDE!$A$2:$E$4,5,),"")</f>
        <v>BE</v>
      </c>
      <c r="AH836" s="11" t="str">
        <f>IF(I836&lt;&gt;"",VLOOKUP(AP836,KvB!$A$2:$B$3,2,FALSE),"")</f>
        <v>BE101000</v>
      </c>
      <c r="AI836" s="11" t="s">
        <v>55</v>
      </c>
      <c r="AJ836" s="11"/>
      <c r="AK836" s="11"/>
      <c r="AL836" s="11"/>
      <c r="AM836" s="11"/>
      <c r="AN836" s="11"/>
      <c r="AO836" s="11"/>
      <c r="AP836" s="2" t="s">
        <v>70</v>
      </c>
      <c r="AQ836" s="11" t="str">
        <f>IF(I836&lt;&gt;"",DATA!D835,"")</f>
        <v>8438101000</v>
      </c>
    </row>
    <row r="837" spans="1:43" ht="15.75" x14ac:dyDescent="0.25">
      <c r="A837" s="11" t="s">
        <v>57</v>
      </c>
      <c r="B837" s="11" t="s">
        <v>56</v>
      </c>
      <c r="C837" s="22">
        <f t="shared" ref="C837:C900" si="58">C836</f>
        <v>25001620</v>
      </c>
      <c r="D837" s="11" t="str">
        <f t="shared" si="55"/>
        <v>SKIIFM_AT</v>
      </c>
      <c r="E837" s="11" t="str">
        <f>IF(I837&lt;&gt;"",VLOOKUP(F837,OPDRACHTGEVER!$A$2:$B$4,2,FALSE),"")</f>
        <v>SKIIFM_AT</v>
      </c>
      <c r="F837" s="11" t="s">
        <v>58</v>
      </c>
      <c r="I837" s="11" t="str">
        <f>IF(DATA!B836&lt;&gt;"",DATA!B836,"")</f>
        <v>FFAU3062713</v>
      </c>
      <c r="J837" s="12">
        <v>0</v>
      </c>
      <c r="K837" s="11" t="s">
        <v>53</v>
      </c>
      <c r="L837" s="11" t="str">
        <f t="shared" si="56"/>
        <v>660110</v>
      </c>
      <c r="M837" s="11" t="str">
        <f>IF(I837&lt;&gt;"",DATA!E836,"")</f>
        <v>POP-UP CANOPY</v>
      </c>
      <c r="N837" s="12">
        <v>0</v>
      </c>
      <c r="O837" s="11">
        <f>IF(I837&lt;&gt;"",DATA!C836,"")</f>
        <v>917.5</v>
      </c>
      <c r="P837" s="2">
        <v>294094</v>
      </c>
      <c r="Q837" s="2" t="s">
        <v>1304</v>
      </c>
      <c r="R837" s="2" t="s">
        <v>1322</v>
      </c>
      <c r="S837" s="2">
        <v>581</v>
      </c>
      <c r="T837" s="2">
        <v>1</v>
      </c>
      <c r="U837" s="2" t="s">
        <v>141</v>
      </c>
      <c r="Y837" s="2">
        <v>1700</v>
      </c>
      <c r="Z837" s="11" t="s">
        <v>54</v>
      </c>
      <c r="AA837" s="11" t="str">
        <f t="shared" si="57"/>
        <v>1700 - TBN</v>
      </c>
      <c r="AC837" s="2" t="s">
        <v>145</v>
      </c>
      <c r="AD837" s="11" t="str">
        <f>IF($I837&lt;&gt;"",VLOOKUP($AC837,GEADRESSEERDE!$A$2:$E$4,2,),"")</f>
        <v>LUITHAGEN HAVEN 2 D</v>
      </c>
      <c r="AE837" s="11">
        <f>IF($I837&lt;&gt;"",VLOOKUP($AC837,GEADRESSEERDE!$A$2:$E$4,3,),"")</f>
        <v>2030</v>
      </c>
      <c r="AF837" s="11" t="str">
        <f>IF($I837&lt;&gt;"",VLOOKUP($AC837,GEADRESSEERDE!$A$2:$E$4,4,),"")</f>
        <v>ANTWERPEN</v>
      </c>
      <c r="AG837" s="11" t="str">
        <f>IF($I837&lt;&gt;"",VLOOKUP($AC837,GEADRESSEERDE!$A$2:$E$4,5,),"")</f>
        <v>BE</v>
      </c>
      <c r="AH837" s="11" t="str">
        <f>IF(I837&lt;&gt;"",VLOOKUP(AP837,KvB!$A$2:$B$3,2,FALSE),"")</f>
        <v>BE101000</v>
      </c>
      <c r="AI837" s="11" t="s">
        <v>55</v>
      </c>
      <c r="AJ837" s="11"/>
      <c r="AK837" s="11"/>
      <c r="AL837" s="11"/>
      <c r="AM837" s="11"/>
      <c r="AN837" s="11"/>
      <c r="AO837" s="11"/>
      <c r="AP837" s="2" t="s">
        <v>70</v>
      </c>
      <c r="AQ837" s="11" t="str">
        <f>IF(I837&lt;&gt;"",DATA!D836,"")</f>
        <v>6601100000</v>
      </c>
    </row>
    <row r="838" spans="1:43" ht="15.75" x14ac:dyDescent="0.25">
      <c r="A838" s="11" t="s">
        <v>57</v>
      </c>
      <c r="B838" s="11" t="s">
        <v>56</v>
      </c>
      <c r="C838" s="22">
        <f t="shared" si="58"/>
        <v>25001620</v>
      </c>
      <c r="D838" s="11" t="str">
        <f t="shared" si="55"/>
        <v>SKIIFM_AT</v>
      </c>
      <c r="E838" s="11" t="str">
        <f>IF(I838&lt;&gt;"",VLOOKUP(F838,OPDRACHTGEVER!$A$2:$B$4,2,FALSE),"")</f>
        <v>SKIIFM_AT</v>
      </c>
      <c r="F838" s="11" t="s">
        <v>58</v>
      </c>
      <c r="I838" s="11" t="str">
        <f>IF(DATA!B837&lt;&gt;"",DATA!B837,"")</f>
        <v>FFAU3062713</v>
      </c>
      <c r="J838" s="12">
        <v>0</v>
      </c>
      <c r="K838" s="11" t="s">
        <v>53</v>
      </c>
      <c r="L838" s="11" t="str">
        <f t="shared" si="56"/>
        <v>950420</v>
      </c>
      <c r="M838" s="11" t="str">
        <f>IF(I838&lt;&gt;"",DATA!E837,"")</f>
        <v>PORTABLE POOL TABLE</v>
      </c>
      <c r="N838" s="12">
        <v>0</v>
      </c>
      <c r="O838" s="11">
        <f>IF(I838&lt;&gt;"",DATA!C837,"")</f>
        <v>91</v>
      </c>
      <c r="P838" s="2">
        <v>294094</v>
      </c>
      <c r="Q838" s="2" t="s">
        <v>1304</v>
      </c>
      <c r="R838" s="2" t="s">
        <v>1322</v>
      </c>
      <c r="S838" s="2">
        <v>581</v>
      </c>
      <c r="T838" s="2">
        <v>1</v>
      </c>
      <c r="U838" s="2" t="s">
        <v>141</v>
      </c>
      <c r="Y838" s="2">
        <v>1700</v>
      </c>
      <c r="Z838" s="11" t="s">
        <v>54</v>
      </c>
      <c r="AA838" s="11" t="str">
        <f t="shared" si="57"/>
        <v>1700 - TBN</v>
      </c>
      <c r="AC838" s="2" t="s">
        <v>145</v>
      </c>
      <c r="AD838" s="11" t="str">
        <f>IF($I838&lt;&gt;"",VLOOKUP($AC838,GEADRESSEERDE!$A$2:$E$4,2,),"")</f>
        <v>LUITHAGEN HAVEN 2 D</v>
      </c>
      <c r="AE838" s="11">
        <f>IF($I838&lt;&gt;"",VLOOKUP($AC838,GEADRESSEERDE!$A$2:$E$4,3,),"")</f>
        <v>2030</v>
      </c>
      <c r="AF838" s="11" t="str">
        <f>IF($I838&lt;&gt;"",VLOOKUP($AC838,GEADRESSEERDE!$A$2:$E$4,4,),"")</f>
        <v>ANTWERPEN</v>
      </c>
      <c r="AG838" s="11" t="str">
        <f>IF($I838&lt;&gt;"",VLOOKUP($AC838,GEADRESSEERDE!$A$2:$E$4,5,),"")</f>
        <v>BE</v>
      </c>
      <c r="AH838" s="11" t="str">
        <f>IF(I838&lt;&gt;"",VLOOKUP(AP838,KvB!$A$2:$B$3,2,FALSE),"")</f>
        <v>BE101000</v>
      </c>
      <c r="AI838" s="11" t="s">
        <v>55</v>
      </c>
      <c r="AJ838" s="11"/>
      <c r="AK838" s="11"/>
      <c r="AL838" s="11"/>
      <c r="AM838" s="11"/>
      <c r="AN838" s="11"/>
      <c r="AO838" s="11"/>
      <c r="AP838" s="2" t="s">
        <v>70</v>
      </c>
      <c r="AQ838" s="11" t="str">
        <f>IF(I838&lt;&gt;"",DATA!D837,"")</f>
        <v>9504200000</v>
      </c>
    </row>
    <row r="839" spans="1:43" ht="15.75" x14ac:dyDescent="0.25">
      <c r="A839" s="11" t="s">
        <v>57</v>
      </c>
      <c r="B839" s="11" t="s">
        <v>56</v>
      </c>
      <c r="C839" s="22">
        <f t="shared" si="58"/>
        <v>25001620</v>
      </c>
      <c r="D839" s="11" t="str">
        <f t="shared" si="55"/>
        <v>SKIIFM_AT</v>
      </c>
      <c r="E839" s="11" t="str">
        <f>IF(I839&lt;&gt;"",VLOOKUP(F839,OPDRACHTGEVER!$A$2:$B$4,2,FALSE),"")</f>
        <v>SKIIFM_AT</v>
      </c>
      <c r="F839" s="11" t="s">
        <v>58</v>
      </c>
      <c r="I839" s="11" t="str">
        <f>IF(DATA!B838&lt;&gt;"",DATA!B838,"")</f>
        <v>FFAU3062713</v>
      </c>
      <c r="J839" s="12">
        <v>0</v>
      </c>
      <c r="K839" s="11" t="s">
        <v>53</v>
      </c>
      <c r="L839" s="11" t="str">
        <f t="shared" si="56"/>
        <v>741920</v>
      </c>
      <c r="M839" s="11" t="str">
        <f>IF(I839&lt;&gt;"",DATA!E838,"")</f>
        <v>QUEUE LINE PROTECT</v>
      </c>
      <c r="N839" s="12">
        <v>0</v>
      </c>
      <c r="O839" s="11">
        <f>IF(I839&lt;&gt;"",DATA!C838,"")</f>
        <v>1404.1</v>
      </c>
      <c r="P839" s="2">
        <v>294094</v>
      </c>
      <c r="Q839" s="2" t="s">
        <v>1304</v>
      </c>
      <c r="R839" s="2" t="s">
        <v>1322</v>
      </c>
      <c r="S839" s="2">
        <v>581</v>
      </c>
      <c r="T839" s="2">
        <v>1</v>
      </c>
      <c r="U839" s="2" t="s">
        <v>141</v>
      </c>
      <c r="Y839" s="2">
        <v>1700</v>
      </c>
      <c r="Z839" s="11" t="s">
        <v>54</v>
      </c>
      <c r="AA839" s="11" t="str">
        <f t="shared" si="57"/>
        <v>1700 - TBN</v>
      </c>
      <c r="AC839" s="2" t="s">
        <v>145</v>
      </c>
      <c r="AD839" s="11" t="str">
        <f>IF($I839&lt;&gt;"",VLOOKUP($AC839,GEADRESSEERDE!$A$2:$E$4,2,),"")</f>
        <v>LUITHAGEN HAVEN 2 D</v>
      </c>
      <c r="AE839" s="11">
        <f>IF($I839&lt;&gt;"",VLOOKUP($AC839,GEADRESSEERDE!$A$2:$E$4,3,),"")</f>
        <v>2030</v>
      </c>
      <c r="AF839" s="11" t="str">
        <f>IF($I839&lt;&gt;"",VLOOKUP($AC839,GEADRESSEERDE!$A$2:$E$4,4,),"")</f>
        <v>ANTWERPEN</v>
      </c>
      <c r="AG839" s="11" t="str">
        <f>IF($I839&lt;&gt;"",VLOOKUP($AC839,GEADRESSEERDE!$A$2:$E$4,5,),"")</f>
        <v>BE</v>
      </c>
      <c r="AH839" s="11" t="str">
        <f>IF(I839&lt;&gt;"",VLOOKUP(AP839,KvB!$A$2:$B$3,2,FALSE),"")</f>
        <v>BE101000</v>
      </c>
      <c r="AI839" s="11" t="s">
        <v>55</v>
      </c>
      <c r="AJ839" s="11"/>
      <c r="AK839" s="11"/>
      <c r="AL839" s="11"/>
      <c r="AM839" s="11"/>
      <c r="AN839" s="11"/>
      <c r="AO839" s="11"/>
      <c r="AP839" s="2" t="s">
        <v>70</v>
      </c>
      <c r="AQ839" s="11" t="str">
        <f>IF(I839&lt;&gt;"",DATA!D838,"")</f>
        <v>7419200090</v>
      </c>
    </row>
    <row r="840" spans="1:43" ht="15.75" x14ac:dyDescent="0.25">
      <c r="A840" s="11" t="s">
        <v>57</v>
      </c>
      <c r="B840" s="11" t="s">
        <v>56</v>
      </c>
      <c r="C840" s="22">
        <f t="shared" si="58"/>
        <v>25001620</v>
      </c>
      <c r="D840" s="11" t="str">
        <f t="shared" si="55"/>
        <v>SKIIFM_AT</v>
      </c>
      <c r="E840" s="11" t="str">
        <f>IF(I840&lt;&gt;"",VLOOKUP(F840,OPDRACHTGEVER!$A$2:$B$4,2,FALSE),"")</f>
        <v>SKIIFM_AT</v>
      </c>
      <c r="F840" s="11" t="s">
        <v>58</v>
      </c>
      <c r="I840" s="11" t="str">
        <f>IF(DATA!B839&lt;&gt;"",DATA!B839,"")</f>
        <v>FFAU3062713</v>
      </c>
      <c r="J840" s="12">
        <v>0</v>
      </c>
      <c r="K840" s="11" t="s">
        <v>53</v>
      </c>
      <c r="L840" s="11" t="str">
        <f t="shared" si="56"/>
        <v>841451</v>
      </c>
      <c r="M840" s="11" t="str">
        <f>IF(I840&lt;&gt;"",DATA!E839,"")</f>
        <v>ROOF EXHAUST FAN</v>
      </c>
      <c r="N840" s="12">
        <v>0</v>
      </c>
      <c r="O840" s="11">
        <f>IF(I840&lt;&gt;"",DATA!C839,"")</f>
        <v>17.7</v>
      </c>
      <c r="P840" s="2">
        <v>294094</v>
      </c>
      <c r="Q840" s="2" t="s">
        <v>1304</v>
      </c>
      <c r="R840" s="2" t="s">
        <v>1322</v>
      </c>
      <c r="S840" s="2">
        <v>581</v>
      </c>
      <c r="T840" s="2">
        <v>1</v>
      </c>
      <c r="U840" s="2" t="s">
        <v>141</v>
      </c>
      <c r="Y840" s="2">
        <v>1700</v>
      </c>
      <c r="Z840" s="11" t="s">
        <v>54</v>
      </c>
      <c r="AA840" s="11" t="str">
        <f t="shared" si="57"/>
        <v>1700 - TBN</v>
      </c>
      <c r="AC840" s="2" t="s">
        <v>145</v>
      </c>
      <c r="AD840" s="11" t="str">
        <f>IF($I840&lt;&gt;"",VLOOKUP($AC840,GEADRESSEERDE!$A$2:$E$4,2,),"")</f>
        <v>LUITHAGEN HAVEN 2 D</v>
      </c>
      <c r="AE840" s="11">
        <f>IF($I840&lt;&gt;"",VLOOKUP($AC840,GEADRESSEERDE!$A$2:$E$4,3,),"")</f>
        <v>2030</v>
      </c>
      <c r="AF840" s="11" t="str">
        <f>IF($I840&lt;&gt;"",VLOOKUP($AC840,GEADRESSEERDE!$A$2:$E$4,4,),"")</f>
        <v>ANTWERPEN</v>
      </c>
      <c r="AG840" s="11" t="str">
        <f>IF($I840&lt;&gt;"",VLOOKUP($AC840,GEADRESSEERDE!$A$2:$E$4,5,),"")</f>
        <v>BE</v>
      </c>
      <c r="AH840" s="11" t="str">
        <f>IF(I840&lt;&gt;"",VLOOKUP(AP840,KvB!$A$2:$B$3,2,FALSE),"")</f>
        <v>BE101000</v>
      </c>
      <c r="AI840" s="11" t="s">
        <v>55</v>
      </c>
      <c r="AJ840" s="11"/>
      <c r="AK840" s="11"/>
      <c r="AL840" s="11"/>
      <c r="AM840" s="11"/>
      <c r="AN840" s="11"/>
      <c r="AO840" s="11"/>
      <c r="AP840" s="2" t="s">
        <v>70</v>
      </c>
      <c r="AQ840" s="11" t="str">
        <f>IF(I840&lt;&gt;"",DATA!D839,"")</f>
        <v>8414510090</v>
      </c>
    </row>
    <row r="841" spans="1:43" ht="15.75" x14ac:dyDescent="0.25">
      <c r="A841" s="11" t="s">
        <v>57</v>
      </c>
      <c r="B841" s="11" t="s">
        <v>56</v>
      </c>
      <c r="C841" s="22">
        <f t="shared" si="58"/>
        <v>25001620</v>
      </c>
      <c r="D841" s="11" t="str">
        <f t="shared" si="55"/>
        <v>SKIIFM_AT</v>
      </c>
      <c r="E841" s="11" t="str">
        <f>IF(I841&lt;&gt;"",VLOOKUP(F841,OPDRACHTGEVER!$A$2:$B$4,2,FALSE),"")</f>
        <v>SKIIFM_AT</v>
      </c>
      <c r="F841" s="11" t="s">
        <v>58</v>
      </c>
      <c r="I841" s="11" t="str">
        <f>IF(DATA!B840&lt;&gt;"",DATA!B840,"")</f>
        <v>FFAU3062713</v>
      </c>
      <c r="J841" s="12">
        <v>0</v>
      </c>
      <c r="K841" s="11" t="s">
        <v>53</v>
      </c>
      <c r="L841" s="11" t="str">
        <f t="shared" si="56"/>
        <v>670210</v>
      </c>
      <c r="M841" s="11" t="str">
        <f>IF(I841&lt;&gt;"",DATA!E840,"")</f>
        <v>SIMULATED PLANT</v>
      </c>
      <c r="N841" s="12">
        <v>0</v>
      </c>
      <c r="O841" s="11">
        <f>IF(I841&lt;&gt;"",DATA!C840,"")</f>
        <v>74.8</v>
      </c>
      <c r="P841" s="2">
        <v>294094</v>
      </c>
      <c r="Q841" s="2" t="s">
        <v>1304</v>
      </c>
      <c r="R841" s="2" t="s">
        <v>1322</v>
      </c>
      <c r="S841" s="2">
        <v>581</v>
      </c>
      <c r="T841" s="2">
        <v>1</v>
      </c>
      <c r="U841" s="2" t="s">
        <v>141</v>
      </c>
      <c r="Y841" s="2">
        <v>1700</v>
      </c>
      <c r="Z841" s="11" t="s">
        <v>54</v>
      </c>
      <c r="AA841" s="11" t="str">
        <f t="shared" si="57"/>
        <v>1700 - TBN</v>
      </c>
      <c r="AC841" s="2" t="s">
        <v>145</v>
      </c>
      <c r="AD841" s="11" t="str">
        <f>IF($I841&lt;&gt;"",VLOOKUP($AC841,GEADRESSEERDE!$A$2:$E$4,2,),"")</f>
        <v>LUITHAGEN HAVEN 2 D</v>
      </c>
      <c r="AE841" s="11">
        <f>IF($I841&lt;&gt;"",VLOOKUP($AC841,GEADRESSEERDE!$A$2:$E$4,3,),"")</f>
        <v>2030</v>
      </c>
      <c r="AF841" s="11" t="str">
        <f>IF($I841&lt;&gt;"",VLOOKUP($AC841,GEADRESSEERDE!$A$2:$E$4,4,),"")</f>
        <v>ANTWERPEN</v>
      </c>
      <c r="AG841" s="11" t="str">
        <f>IF($I841&lt;&gt;"",VLOOKUP($AC841,GEADRESSEERDE!$A$2:$E$4,5,),"")</f>
        <v>BE</v>
      </c>
      <c r="AH841" s="11" t="str">
        <f>IF(I841&lt;&gt;"",VLOOKUP(AP841,KvB!$A$2:$B$3,2,FALSE),"")</f>
        <v>BE101000</v>
      </c>
      <c r="AI841" s="11" t="s">
        <v>55</v>
      </c>
      <c r="AJ841" s="11"/>
      <c r="AK841" s="11"/>
      <c r="AL841" s="11"/>
      <c r="AM841" s="11"/>
      <c r="AN841" s="11"/>
      <c r="AO841" s="11"/>
      <c r="AP841" s="2" t="s">
        <v>70</v>
      </c>
      <c r="AQ841" s="11" t="str">
        <f>IF(I841&lt;&gt;"",DATA!D840,"")</f>
        <v>6702100000</v>
      </c>
    </row>
    <row r="842" spans="1:43" ht="15.75" x14ac:dyDescent="0.25">
      <c r="A842" s="11" t="s">
        <v>57</v>
      </c>
      <c r="B842" s="11" t="s">
        <v>56</v>
      </c>
      <c r="C842" s="22">
        <f t="shared" si="58"/>
        <v>25001620</v>
      </c>
      <c r="D842" s="11" t="str">
        <f t="shared" si="55"/>
        <v>SKIIFM_AT</v>
      </c>
      <c r="E842" s="11" t="str">
        <f>IF(I842&lt;&gt;"",VLOOKUP(F842,OPDRACHTGEVER!$A$2:$B$4,2,FALSE),"")</f>
        <v>SKIIFM_AT</v>
      </c>
      <c r="F842" s="11" t="s">
        <v>58</v>
      </c>
      <c r="I842" s="11" t="str">
        <f>IF(DATA!B841&lt;&gt;"",DATA!B841,"")</f>
        <v>FFAU3062713</v>
      </c>
      <c r="J842" s="12">
        <v>0</v>
      </c>
      <c r="K842" s="11" t="s">
        <v>53</v>
      </c>
      <c r="L842" s="11" t="str">
        <f t="shared" si="56"/>
        <v>392010</v>
      </c>
      <c r="M842" s="11" t="str">
        <f>IF(I842&lt;&gt;"",DATA!E841,"")</f>
        <v>SOLAR HEATED SWIMMING POOL COVER</v>
      </c>
      <c r="N842" s="12">
        <v>0</v>
      </c>
      <c r="O842" s="11">
        <f>IF(I842&lt;&gt;"",DATA!C841,"")</f>
        <v>59.8</v>
      </c>
      <c r="P842" s="2">
        <v>294094</v>
      </c>
      <c r="Q842" s="2" t="s">
        <v>1304</v>
      </c>
      <c r="R842" s="2" t="s">
        <v>1322</v>
      </c>
      <c r="S842" s="2">
        <v>581</v>
      </c>
      <c r="T842" s="2">
        <v>1</v>
      </c>
      <c r="U842" s="2" t="s">
        <v>141</v>
      </c>
      <c r="Y842" s="2">
        <v>1700</v>
      </c>
      <c r="Z842" s="11" t="s">
        <v>54</v>
      </c>
      <c r="AA842" s="11" t="str">
        <f t="shared" si="57"/>
        <v>1700 - TBN</v>
      </c>
      <c r="AC842" s="2" t="s">
        <v>145</v>
      </c>
      <c r="AD842" s="11" t="str">
        <f>IF($I842&lt;&gt;"",VLOOKUP($AC842,GEADRESSEERDE!$A$2:$E$4,2,),"")</f>
        <v>LUITHAGEN HAVEN 2 D</v>
      </c>
      <c r="AE842" s="11">
        <f>IF($I842&lt;&gt;"",VLOOKUP($AC842,GEADRESSEERDE!$A$2:$E$4,3,),"")</f>
        <v>2030</v>
      </c>
      <c r="AF842" s="11" t="str">
        <f>IF($I842&lt;&gt;"",VLOOKUP($AC842,GEADRESSEERDE!$A$2:$E$4,4,),"")</f>
        <v>ANTWERPEN</v>
      </c>
      <c r="AG842" s="11" t="str">
        <f>IF($I842&lt;&gt;"",VLOOKUP($AC842,GEADRESSEERDE!$A$2:$E$4,5,),"")</f>
        <v>BE</v>
      </c>
      <c r="AH842" s="11" t="str">
        <f>IF(I842&lt;&gt;"",VLOOKUP(AP842,KvB!$A$2:$B$3,2,FALSE),"")</f>
        <v>BE101000</v>
      </c>
      <c r="AI842" s="11" t="s">
        <v>55</v>
      </c>
      <c r="AJ842" s="11"/>
      <c r="AK842" s="11"/>
      <c r="AL842" s="11"/>
      <c r="AM842" s="11"/>
      <c r="AN842" s="11"/>
      <c r="AO842" s="11"/>
      <c r="AP842" s="2" t="s">
        <v>70</v>
      </c>
      <c r="AQ842" s="11" t="str">
        <f>IF(I842&lt;&gt;"",DATA!D841,"")</f>
        <v>3920102490</v>
      </c>
    </row>
    <row r="843" spans="1:43" ht="15.75" x14ac:dyDescent="0.25">
      <c r="A843" s="11" t="s">
        <v>57</v>
      </c>
      <c r="B843" s="11" t="s">
        <v>56</v>
      </c>
      <c r="C843" s="22">
        <f t="shared" si="58"/>
        <v>25001620</v>
      </c>
      <c r="D843" s="11" t="str">
        <f t="shared" si="55"/>
        <v>SKIIFM_AT</v>
      </c>
      <c r="E843" s="11" t="str">
        <f>IF(I843&lt;&gt;"",VLOOKUP(F843,OPDRACHTGEVER!$A$2:$B$4,2,FALSE),"")</f>
        <v>SKIIFM_AT</v>
      </c>
      <c r="F843" s="11" t="s">
        <v>58</v>
      </c>
      <c r="I843" s="11" t="str">
        <f>IF(DATA!B842&lt;&gt;"",DATA!B842,"")</f>
        <v>FFAU3062713</v>
      </c>
      <c r="J843" s="12">
        <v>0</v>
      </c>
      <c r="K843" s="11" t="s">
        <v>53</v>
      </c>
      <c r="L843" s="11" t="str">
        <f t="shared" si="56"/>
        <v>940399</v>
      </c>
      <c r="M843" s="11" t="str">
        <f>IF(I843&lt;&gt;"",DATA!E842,"")</f>
        <v>DOOR</v>
      </c>
      <c r="N843" s="12">
        <v>0</v>
      </c>
      <c r="O843" s="11">
        <f>IF(I843&lt;&gt;"",DATA!C842,"")</f>
        <v>187.8</v>
      </c>
      <c r="P843" s="2">
        <v>294094</v>
      </c>
      <c r="Q843" s="2" t="s">
        <v>1304</v>
      </c>
      <c r="R843" s="2" t="s">
        <v>1322</v>
      </c>
      <c r="S843" s="2">
        <v>581</v>
      </c>
      <c r="T843" s="2">
        <v>1</v>
      </c>
      <c r="U843" s="2" t="s">
        <v>141</v>
      </c>
      <c r="Y843" s="2">
        <v>1700</v>
      </c>
      <c r="Z843" s="11" t="s">
        <v>54</v>
      </c>
      <c r="AA843" s="11" t="str">
        <f t="shared" si="57"/>
        <v>1700 - TBN</v>
      </c>
      <c r="AC843" s="2" t="s">
        <v>145</v>
      </c>
      <c r="AD843" s="11" t="str">
        <f>IF($I843&lt;&gt;"",VLOOKUP($AC843,GEADRESSEERDE!$A$2:$E$4,2,),"")</f>
        <v>LUITHAGEN HAVEN 2 D</v>
      </c>
      <c r="AE843" s="11">
        <f>IF($I843&lt;&gt;"",VLOOKUP($AC843,GEADRESSEERDE!$A$2:$E$4,3,),"")</f>
        <v>2030</v>
      </c>
      <c r="AF843" s="11" t="str">
        <f>IF($I843&lt;&gt;"",VLOOKUP($AC843,GEADRESSEERDE!$A$2:$E$4,4,),"")</f>
        <v>ANTWERPEN</v>
      </c>
      <c r="AG843" s="11" t="str">
        <f>IF($I843&lt;&gt;"",VLOOKUP($AC843,GEADRESSEERDE!$A$2:$E$4,5,),"")</f>
        <v>BE</v>
      </c>
      <c r="AH843" s="11" t="str">
        <f>IF(I843&lt;&gt;"",VLOOKUP(AP843,KvB!$A$2:$B$3,2,FALSE),"")</f>
        <v>BE101000</v>
      </c>
      <c r="AI843" s="11" t="s">
        <v>55</v>
      </c>
      <c r="AJ843" s="11"/>
      <c r="AK843" s="11"/>
      <c r="AL843" s="11"/>
      <c r="AM843" s="11"/>
      <c r="AN843" s="11"/>
      <c r="AO843" s="11"/>
      <c r="AP843" s="2" t="s">
        <v>70</v>
      </c>
      <c r="AQ843" s="11" t="str">
        <f>IF(I843&lt;&gt;"",DATA!D842,"")</f>
        <v>9403999090</v>
      </c>
    </row>
    <row r="844" spans="1:43" ht="15.75" x14ac:dyDescent="0.25">
      <c r="A844" s="11" t="s">
        <v>57</v>
      </c>
      <c r="B844" s="11" t="s">
        <v>56</v>
      </c>
      <c r="C844" s="22">
        <f t="shared" si="58"/>
        <v>25001620</v>
      </c>
      <c r="D844" s="11" t="str">
        <f t="shared" si="55"/>
        <v>SKIIFM_AT</v>
      </c>
      <c r="E844" s="11" t="str">
        <f>IF(I844&lt;&gt;"",VLOOKUP(F844,OPDRACHTGEVER!$A$2:$B$4,2,FALSE),"")</f>
        <v>SKIIFM_AT</v>
      </c>
      <c r="F844" s="11" t="s">
        <v>58</v>
      </c>
      <c r="I844" s="11" t="str">
        <f>IF(DATA!B843&lt;&gt;"",DATA!B843,"")</f>
        <v>FFAU3062713</v>
      </c>
      <c r="J844" s="12">
        <v>0</v>
      </c>
      <c r="K844" s="11" t="s">
        <v>53</v>
      </c>
      <c r="L844" s="11" t="str">
        <f t="shared" si="56"/>
        <v>741920</v>
      </c>
      <c r="M844" s="11" t="str">
        <f>IF(I844&lt;&gt;"",DATA!E843,"")</f>
        <v>RAILING</v>
      </c>
      <c r="N844" s="12">
        <v>0</v>
      </c>
      <c r="O844" s="11">
        <f>IF(I844&lt;&gt;"",DATA!C843,"")</f>
        <v>41.7</v>
      </c>
      <c r="P844" s="2">
        <v>294094</v>
      </c>
      <c r="Q844" s="2" t="s">
        <v>1304</v>
      </c>
      <c r="R844" s="2" t="s">
        <v>1322</v>
      </c>
      <c r="S844" s="2">
        <v>581</v>
      </c>
      <c r="T844" s="2">
        <v>1</v>
      </c>
      <c r="U844" s="2" t="s">
        <v>141</v>
      </c>
      <c r="Y844" s="2">
        <v>1700</v>
      </c>
      <c r="Z844" s="11" t="s">
        <v>54</v>
      </c>
      <c r="AA844" s="11" t="str">
        <f t="shared" si="57"/>
        <v>1700 - TBN</v>
      </c>
      <c r="AC844" s="2" t="s">
        <v>145</v>
      </c>
      <c r="AD844" s="11" t="str">
        <f>IF($I844&lt;&gt;"",VLOOKUP($AC844,GEADRESSEERDE!$A$2:$E$4,2,),"")</f>
        <v>LUITHAGEN HAVEN 2 D</v>
      </c>
      <c r="AE844" s="11">
        <f>IF($I844&lt;&gt;"",VLOOKUP($AC844,GEADRESSEERDE!$A$2:$E$4,3,),"")</f>
        <v>2030</v>
      </c>
      <c r="AF844" s="11" t="str">
        <f>IF($I844&lt;&gt;"",VLOOKUP($AC844,GEADRESSEERDE!$A$2:$E$4,4,),"")</f>
        <v>ANTWERPEN</v>
      </c>
      <c r="AG844" s="11" t="str">
        <f>IF($I844&lt;&gt;"",VLOOKUP($AC844,GEADRESSEERDE!$A$2:$E$4,5,),"")</f>
        <v>BE</v>
      </c>
      <c r="AH844" s="11" t="str">
        <f>IF(I844&lt;&gt;"",VLOOKUP(AP844,KvB!$A$2:$B$3,2,FALSE),"")</f>
        <v>BE101000</v>
      </c>
      <c r="AI844" s="11" t="s">
        <v>55</v>
      </c>
      <c r="AJ844" s="11"/>
      <c r="AK844" s="11"/>
      <c r="AL844" s="11"/>
      <c r="AM844" s="11"/>
      <c r="AN844" s="11"/>
      <c r="AO844" s="11"/>
      <c r="AP844" s="2" t="s">
        <v>70</v>
      </c>
      <c r="AQ844" s="11" t="str">
        <f>IF(I844&lt;&gt;"",DATA!D843,"")</f>
        <v>7419200090</v>
      </c>
    </row>
    <row r="845" spans="1:43" ht="15.75" x14ac:dyDescent="0.25">
      <c r="A845" s="11" t="s">
        <v>57</v>
      </c>
      <c r="B845" s="11" t="s">
        <v>56</v>
      </c>
      <c r="C845" s="22">
        <f t="shared" si="58"/>
        <v>25001620</v>
      </c>
      <c r="D845" s="11" t="str">
        <f t="shared" si="55"/>
        <v>SKIIFM_AT</v>
      </c>
      <c r="E845" s="11" t="str">
        <f>IF(I845&lt;&gt;"",VLOOKUP(F845,OPDRACHTGEVER!$A$2:$B$4,2,FALSE),"")</f>
        <v>SKIIFM_AT</v>
      </c>
      <c r="F845" s="11" t="s">
        <v>58</v>
      </c>
      <c r="I845" s="11" t="str">
        <f>IF(DATA!B844&lt;&gt;"",DATA!B844,"")</f>
        <v>FFAU3062713</v>
      </c>
      <c r="J845" s="12">
        <v>0</v>
      </c>
      <c r="K845" s="11" t="s">
        <v>53</v>
      </c>
      <c r="L845" s="11" t="str">
        <f t="shared" si="56"/>
        <v>741920</v>
      </c>
      <c r="M845" s="11" t="str">
        <f>IF(I845&lt;&gt;"",DATA!E844,"")</f>
        <v>STANCHION POST</v>
      </c>
      <c r="N845" s="12">
        <v>0</v>
      </c>
      <c r="O845" s="11">
        <f>IF(I845&lt;&gt;"",DATA!C844,"")</f>
        <v>53.35</v>
      </c>
      <c r="P845" s="2">
        <v>294094</v>
      </c>
      <c r="Q845" s="2" t="s">
        <v>1304</v>
      </c>
      <c r="R845" s="2" t="s">
        <v>1322</v>
      </c>
      <c r="S845" s="2">
        <v>581</v>
      </c>
      <c r="T845" s="2">
        <v>1</v>
      </c>
      <c r="U845" s="2" t="s">
        <v>141</v>
      </c>
      <c r="Y845" s="2">
        <v>1700</v>
      </c>
      <c r="Z845" s="11" t="s">
        <v>54</v>
      </c>
      <c r="AA845" s="11" t="str">
        <f t="shared" si="57"/>
        <v>1700 - TBN</v>
      </c>
      <c r="AC845" s="2" t="s">
        <v>145</v>
      </c>
      <c r="AD845" s="11" t="str">
        <f>IF($I845&lt;&gt;"",VLOOKUP($AC845,GEADRESSEERDE!$A$2:$E$4,2,),"")</f>
        <v>LUITHAGEN HAVEN 2 D</v>
      </c>
      <c r="AE845" s="11">
        <f>IF($I845&lt;&gt;"",VLOOKUP($AC845,GEADRESSEERDE!$A$2:$E$4,3,),"")</f>
        <v>2030</v>
      </c>
      <c r="AF845" s="11" t="str">
        <f>IF($I845&lt;&gt;"",VLOOKUP($AC845,GEADRESSEERDE!$A$2:$E$4,4,),"")</f>
        <v>ANTWERPEN</v>
      </c>
      <c r="AG845" s="11" t="str">
        <f>IF($I845&lt;&gt;"",VLOOKUP($AC845,GEADRESSEERDE!$A$2:$E$4,5,),"")</f>
        <v>BE</v>
      </c>
      <c r="AH845" s="11" t="str">
        <f>IF(I845&lt;&gt;"",VLOOKUP(AP845,KvB!$A$2:$B$3,2,FALSE),"")</f>
        <v>BE101000</v>
      </c>
      <c r="AI845" s="11" t="s">
        <v>55</v>
      </c>
      <c r="AJ845" s="11"/>
      <c r="AK845" s="11"/>
      <c r="AL845" s="11"/>
      <c r="AM845" s="11"/>
      <c r="AN845" s="11"/>
      <c r="AO845" s="11"/>
      <c r="AP845" s="2" t="s">
        <v>70</v>
      </c>
      <c r="AQ845" s="11" t="str">
        <f>IF(I845&lt;&gt;"",DATA!D844,"")</f>
        <v>7419200090</v>
      </c>
    </row>
    <row r="846" spans="1:43" ht="15.75" x14ac:dyDescent="0.25">
      <c r="A846" s="11" t="s">
        <v>57</v>
      </c>
      <c r="B846" s="11" t="s">
        <v>56</v>
      </c>
      <c r="C846" s="22">
        <f t="shared" si="58"/>
        <v>25001620</v>
      </c>
      <c r="D846" s="11" t="str">
        <f t="shared" si="55"/>
        <v>SKIIFM_AT</v>
      </c>
      <c r="E846" s="11" t="str">
        <f>IF(I846&lt;&gt;"",VLOOKUP(F846,OPDRACHTGEVER!$A$2:$B$4,2,FALSE),"")</f>
        <v>SKIIFM_AT</v>
      </c>
      <c r="F846" s="11" t="s">
        <v>58</v>
      </c>
      <c r="I846" s="11" t="str">
        <f>IF(DATA!B845&lt;&gt;"",DATA!B845,"")</f>
        <v>FFAU3062713</v>
      </c>
      <c r="J846" s="12">
        <v>0</v>
      </c>
      <c r="K846" s="11" t="s">
        <v>53</v>
      </c>
      <c r="L846" s="11" t="str">
        <f t="shared" si="56"/>
        <v>871680</v>
      </c>
      <c r="M846" s="11" t="str">
        <f>IF(I846&lt;&gt;"",DATA!E845,"")</f>
        <v>TROLLEY</v>
      </c>
      <c r="N846" s="12">
        <v>0</v>
      </c>
      <c r="O846" s="11">
        <f>IF(I846&lt;&gt;"",DATA!C845,"")</f>
        <v>1184</v>
      </c>
      <c r="P846" s="2">
        <v>294094</v>
      </c>
      <c r="Q846" s="2" t="s">
        <v>1304</v>
      </c>
      <c r="R846" s="2" t="s">
        <v>1322</v>
      </c>
      <c r="S846" s="2">
        <v>581</v>
      </c>
      <c r="T846" s="2">
        <v>1</v>
      </c>
      <c r="U846" s="2" t="s">
        <v>141</v>
      </c>
      <c r="Y846" s="2">
        <v>1700</v>
      </c>
      <c r="Z846" s="11" t="s">
        <v>54</v>
      </c>
      <c r="AA846" s="11" t="str">
        <f t="shared" si="57"/>
        <v>1700 - TBN</v>
      </c>
      <c r="AC846" s="2" t="s">
        <v>145</v>
      </c>
      <c r="AD846" s="11" t="str">
        <f>IF($I846&lt;&gt;"",VLOOKUP($AC846,GEADRESSEERDE!$A$2:$E$4,2,),"")</f>
        <v>LUITHAGEN HAVEN 2 D</v>
      </c>
      <c r="AE846" s="11">
        <f>IF($I846&lt;&gt;"",VLOOKUP($AC846,GEADRESSEERDE!$A$2:$E$4,3,),"")</f>
        <v>2030</v>
      </c>
      <c r="AF846" s="11" t="str">
        <f>IF($I846&lt;&gt;"",VLOOKUP($AC846,GEADRESSEERDE!$A$2:$E$4,4,),"")</f>
        <v>ANTWERPEN</v>
      </c>
      <c r="AG846" s="11" t="str">
        <f>IF($I846&lt;&gt;"",VLOOKUP($AC846,GEADRESSEERDE!$A$2:$E$4,5,),"")</f>
        <v>BE</v>
      </c>
      <c r="AH846" s="11" t="str">
        <f>IF(I846&lt;&gt;"",VLOOKUP(AP846,KvB!$A$2:$B$3,2,FALSE),"")</f>
        <v>BE101000</v>
      </c>
      <c r="AI846" s="11" t="s">
        <v>55</v>
      </c>
      <c r="AJ846" s="11"/>
      <c r="AK846" s="11"/>
      <c r="AL846" s="11"/>
      <c r="AM846" s="11"/>
      <c r="AN846" s="11"/>
      <c r="AO846" s="11"/>
      <c r="AP846" s="2" t="s">
        <v>70</v>
      </c>
      <c r="AQ846" s="11" t="str">
        <f>IF(I846&lt;&gt;"",DATA!D845,"")</f>
        <v>8716800000</v>
      </c>
    </row>
    <row r="847" spans="1:43" ht="15.75" x14ac:dyDescent="0.25">
      <c r="A847" s="11" t="s">
        <v>57</v>
      </c>
      <c r="B847" s="11" t="s">
        <v>56</v>
      </c>
      <c r="C847" s="22">
        <f t="shared" si="58"/>
        <v>25001620</v>
      </c>
      <c r="D847" s="11" t="str">
        <f t="shared" si="55"/>
        <v>SKIIFM_AT</v>
      </c>
      <c r="E847" s="11" t="str">
        <f>IF(I847&lt;&gt;"",VLOOKUP(F847,OPDRACHTGEVER!$A$2:$B$4,2,FALSE),"")</f>
        <v>SKIIFM_AT</v>
      </c>
      <c r="F847" s="11" t="s">
        <v>58</v>
      </c>
      <c r="I847" s="11" t="str">
        <f>IF(DATA!B846&lt;&gt;"",DATA!B846,"")</f>
        <v>FFAU3062713</v>
      </c>
      <c r="J847" s="12">
        <v>0</v>
      </c>
      <c r="K847" s="11" t="s">
        <v>53</v>
      </c>
      <c r="L847" s="11" t="str">
        <f t="shared" si="56"/>
        <v>844339</v>
      </c>
      <c r="M847" s="11" t="str">
        <f>IF(I847&lt;&gt;"",DATA!E846,"")</f>
        <v>STAMPING MACHINE</v>
      </c>
      <c r="N847" s="12">
        <v>0</v>
      </c>
      <c r="O847" s="11">
        <f>IF(I847&lt;&gt;"",DATA!C846,"")</f>
        <v>55.9</v>
      </c>
      <c r="P847" s="2">
        <v>294094</v>
      </c>
      <c r="Q847" s="2" t="s">
        <v>1304</v>
      </c>
      <c r="R847" s="2" t="s">
        <v>1322</v>
      </c>
      <c r="S847" s="2">
        <v>581</v>
      </c>
      <c r="T847" s="2">
        <v>1</v>
      </c>
      <c r="U847" s="2" t="s">
        <v>141</v>
      </c>
      <c r="Y847" s="2">
        <v>1700</v>
      </c>
      <c r="Z847" s="11" t="s">
        <v>54</v>
      </c>
      <c r="AA847" s="11" t="str">
        <f t="shared" si="57"/>
        <v>1700 - TBN</v>
      </c>
      <c r="AC847" s="2" t="s">
        <v>145</v>
      </c>
      <c r="AD847" s="11" t="str">
        <f>IF($I847&lt;&gt;"",VLOOKUP($AC847,GEADRESSEERDE!$A$2:$E$4,2,),"")</f>
        <v>LUITHAGEN HAVEN 2 D</v>
      </c>
      <c r="AE847" s="11">
        <f>IF($I847&lt;&gt;"",VLOOKUP($AC847,GEADRESSEERDE!$A$2:$E$4,3,),"")</f>
        <v>2030</v>
      </c>
      <c r="AF847" s="11" t="str">
        <f>IF($I847&lt;&gt;"",VLOOKUP($AC847,GEADRESSEERDE!$A$2:$E$4,4,),"")</f>
        <v>ANTWERPEN</v>
      </c>
      <c r="AG847" s="11" t="str">
        <f>IF($I847&lt;&gt;"",VLOOKUP($AC847,GEADRESSEERDE!$A$2:$E$4,5,),"")</f>
        <v>BE</v>
      </c>
      <c r="AH847" s="11" t="str">
        <f>IF(I847&lt;&gt;"",VLOOKUP(AP847,KvB!$A$2:$B$3,2,FALSE),"")</f>
        <v>BE101000</v>
      </c>
      <c r="AI847" s="11" t="s">
        <v>55</v>
      </c>
      <c r="AJ847" s="11"/>
      <c r="AK847" s="11"/>
      <c r="AL847" s="11"/>
      <c r="AM847" s="11"/>
      <c r="AN847" s="11"/>
      <c r="AO847" s="11"/>
      <c r="AP847" s="2" t="s">
        <v>70</v>
      </c>
      <c r="AQ847" s="11" t="str">
        <f>IF(I847&lt;&gt;"",DATA!D846,"")</f>
        <v>8443390000</v>
      </c>
    </row>
    <row r="848" spans="1:43" ht="15.75" x14ac:dyDescent="0.25">
      <c r="A848" s="11" t="s">
        <v>57</v>
      </c>
      <c r="B848" s="11" t="s">
        <v>56</v>
      </c>
      <c r="C848" s="22">
        <f t="shared" si="58"/>
        <v>25001620</v>
      </c>
      <c r="D848" s="11" t="str">
        <f t="shared" si="55"/>
        <v>SKIIFM_AT</v>
      </c>
      <c r="E848" s="11" t="str">
        <f>IF(I848&lt;&gt;"",VLOOKUP(F848,OPDRACHTGEVER!$A$2:$B$4,2,FALSE),"")</f>
        <v>SKIIFM_AT</v>
      </c>
      <c r="F848" s="11" t="s">
        <v>58</v>
      </c>
      <c r="I848" s="11" t="str">
        <f>IF(DATA!B847&lt;&gt;"",DATA!B847,"")</f>
        <v>FFAU3062713</v>
      </c>
      <c r="J848" s="12">
        <v>0</v>
      </c>
      <c r="K848" s="11" t="s">
        <v>53</v>
      </c>
      <c r="L848" s="11" t="str">
        <f t="shared" si="56"/>
        <v>741920</v>
      </c>
      <c r="M848" s="11" t="str">
        <f>IF(I848&lt;&gt;"",DATA!E847,"")</f>
        <v>STORAGE RACK</v>
      </c>
      <c r="N848" s="12">
        <v>0</v>
      </c>
      <c r="O848" s="11">
        <f>IF(I848&lt;&gt;"",DATA!C847,"")</f>
        <v>73.599999999999994</v>
      </c>
      <c r="P848" s="2">
        <v>294094</v>
      </c>
      <c r="Q848" s="2" t="s">
        <v>1304</v>
      </c>
      <c r="R848" s="2" t="s">
        <v>1322</v>
      </c>
      <c r="S848" s="2">
        <v>581</v>
      </c>
      <c r="T848" s="2">
        <v>1</v>
      </c>
      <c r="U848" s="2" t="s">
        <v>141</v>
      </c>
      <c r="Y848" s="2">
        <v>1700</v>
      </c>
      <c r="Z848" s="11" t="s">
        <v>54</v>
      </c>
      <c r="AA848" s="11" t="str">
        <f t="shared" si="57"/>
        <v>1700 - TBN</v>
      </c>
      <c r="AC848" s="2" t="s">
        <v>145</v>
      </c>
      <c r="AD848" s="11" t="str">
        <f>IF($I848&lt;&gt;"",VLOOKUP($AC848,GEADRESSEERDE!$A$2:$E$4,2,),"")</f>
        <v>LUITHAGEN HAVEN 2 D</v>
      </c>
      <c r="AE848" s="11">
        <f>IF($I848&lt;&gt;"",VLOOKUP($AC848,GEADRESSEERDE!$A$2:$E$4,3,),"")</f>
        <v>2030</v>
      </c>
      <c r="AF848" s="11" t="str">
        <f>IF($I848&lt;&gt;"",VLOOKUP($AC848,GEADRESSEERDE!$A$2:$E$4,4,),"")</f>
        <v>ANTWERPEN</v>
      </c>
      <c r="AG848" s="11" t="str">
        <f>IF($I848&lt;&gt;"",VLOOKUP($AC848,GEADRESSEERDE!$A$2:$E$4,5,),"")</f>
        <v>BE</v>
      </c>
      <c r="AH848" s="11" t="str">
        <f>IF(I848&lt;&gt;"",VLOOKUP(AP848,KvB!$A$2:$B$3,2,FALSE),"")</f>
        <v>BE101000</v>
      </c>
      <c r="AI848" s="11" t="s">
        <v>55</v>
      </c>
      <c r="AJ848" s="11"/>
      <c r="AK848" s="11"/>
      <c r="AL848" s="11"/>
      <c r="AM848" s="11"/>
      <c r="AN848" s="11"/>
      <c r="AO848" s="11"/>
      <c r="AP848" s="2" t="s">
        <v>70</v>
      </c>
      <c r="AQ848" s="11" t="str">
        <f>IF(I848&lt;&gt;"",DATA!D847,"")</f>
        <v>7419200090</v>
      </c>
    </row>
    <row r="849" spans="1:43" ht="15.75" x14ac:dyDescent="0.25">
      <c r="A849" s="11" t="s">
        <v>57</v>
      </c>
      <c r="B849" s="11" t="s">
        <v>56</v>
      </c>
      <c r="C849" s="22">
        <f t="shared" si="58"/>
        <v>25001620</v>
      </c>
      <c r="D849" s="11" t="str">
        <f t="shared" si="55"/>
        <v>SKIIFM_AT</v>
      </c>
      <c r="E849" s="11" t="str">
        <f>IF(I849&lt;&gt;"",VLOOKUP(F849,OPDRACHTGEVER!$A$2:$B$4,2,FALSE),"")</f>
        <v>SKIIFM_AT</v>
      </c>
      <c r="F849" s="11" t="s">
        <v>58</v>
      </c>
      <c r="I849" s="11" t="str">
        <f>IF(DATA!B848&lt;&gt;"",DATA!B848,"")</f>
        <v>FFAU3062713</v>
      </c>
      <c r="J849" s="12">
        <v>0</v>
      </c>
      <c r="K849" s="11" t="s">
        <v>53</v>
      </c>
      <c r="L849" s="11" t="str">
        <f t="shared" si="56"/>
        <v>940320</v>
      </c>
      <c r="M849" s="11" t="str">
        <f>IF(I849&lt;&gt;"",DATA!E848,"")</f>
        <v>STORAGE SHELF</v>
      </c>
      <c r="N849" s="12">
        <v>0</v>
      </c>
      <c r="O849" s="11">
        <f>IF(I849&lt;&gt;"",DATA!C848,"")</f>
        <v>1999.1</v>
      </c>
      <c r="P849" s="2">
        <v>294094</v>
      </c>
      <c r="Q849" s="2" t="s">
        <v>1304</v>
      </c>
      <c r="R849" s="2" t="s">
        <v>1322</v>
      </c>
      <c r="S849" s="2">
        <v>581</v>
      </c>
      <c r="T849" s="2">
        <v>1</v>
      </c>
      <c r="U849" s="2" t="s">
        <v>141</v>
      </c>
      <c r="Y849" s="2">
        <v>1700</v>
      </c>
      <c r="Z849" s="11" t="s">
        <v>54</v>
      </c>
      <c r="AA849" s="11" t="str">
        <f t="shared" si="57"/>
        <v>1700 - TBN</v>
      </c>
      <c r="AC849" s="2" t="s">
        <v>145</v>
      </c>
      <c r="AD849" s="11" t="str">
        <f>IF($I849&lt;&gt;"",VLOOKUP($AC849,GEADRESSEERDE!$A$2:$E$4,2,),"")</f>
        <v>LUITHAGEN HAVEN 2 D</v>
      </c>
      <c r="AE849" s="11">
        <f>IF($I849&lt;&gt;"",VLOOKUP($AC849,GEADRESSEERDE!$A$2:$E$4,3,),"")</f>
        <v>2030</v>
      </c>
      <c r="AF849" s="11" t="str">
        <f>IF($I849&lt;&gt;"",VLOOKUP($AC849,GEADRESSEERDE!$A$2:$E$4,4,),"")</f>
        <v>ANTWERPEN</v>
      </c>
      <c r="AG849" s="11" t="str">
        <f>IF($I849&lt;&gt;"",VLOOKUP($AC849,GEADRESSEERDE!$A$2:$E$4,5,),"")</f>
        <v>BE</v>
      </c>
      <c r="AH849" s="11" t="str">
        <f>IF(I849&lt;&gt;"",VLOOKUP(AP849,KvB!$A$2:$B$3,2,FALSE),"")</f>
        <v>BE101000</v>
      </c>
      <c r="AI849" s="11" t="s">
        <v>55</v>
      </c>
      <c r="AJ849" s="11"/>
      <c r="AK849" s="11"/>
      <c r="AL849" s="11"/>
      <c r="AM849" s="11"/>
      <c r="AN849" s="11"/>
      <c r="AO849" s="11"/>
      <c r="AP849" s="2" t="s">
        <v>70</v>
      </c>
      <c r="AQ849" s="11" t="str">
        <f>IF(I849&lt;&gt;"",DATA!D848,"")</f>
        <v>9403208000</v>
      </c>
    </row>
    <row r="850" spans="1:43" ht="15.75" x14ac:dyDescent="0.25">
      <c r="A850" s="11" t="s">
        <v>57</v>
      </c>
      <c r="B850" s="11" t="s">
        <v>56</v>
      </c>
      <c r="C850" s="22">
        <f t="shared" si="58"/>
        <v>25001620</v>
      </c>
      <c r="D850" s="11" t="str">
        <f t="shared" si="55"/>
        <v>SKIIFM_AT</v>
      </c>
      <c r="E850" s="11" t="str">
        <f>IF(I850&lt;&gt;"",VLOOKUP(F850,OPDRACHTGEVER!$A$2:$B$4,2,FALSE),"")</f>
        <v>SKIIFM_AT</v>
      </c>
      <c r="F850" s="11" t="s">
        <v>58</v>
      </c>
      <c r="I850" s="11" t="str">
        <f>IF(DATA!B849&lt;&gt;"",DATA!B849,"")</f>
        <v>FFAU3062713</v>
      </c>
      <c r="J850" s="12">
        <v>0</v>
      </c>
      <c r="K850" s="11" t="s">
        <v>53</v>
      </c>
      <c r="L850" s="11" t="str">
        <f t="shared" si="56"/>
        <v>820551</v>
      </c>
      <c r="M850" s="11" t="str">
        <f>IF(I850&lt;&gt;"",DATA!E849,"")</f>
        <v>SUCKER</v>
      </c>
      <c r="N850" s="12">
        <v>0</v>
      </c>
      <c r="O850" s="11">
        <f>IF(I850&lt;&gt;"",DATA!C849,"")</f>
        <v>35</v>
      </c>
      <c r="P850" s="2">
        <v>294094</v>
      </c>
      <c r="Q850" s="2" t="s">
        <v>1304</v>
      </c>
      <c r="R850" s="2" t="s">
        <v>1322</v>
      </c>
      <c r="S850" s="2">
        <v>581</v>
      </c>
      <c r="T850" s="2">
        <v>1</v>
      </c>
      <c r="U850" s="2" t="s">
        <v>141</v>
      </c>
      <c r="Y850" s="2">
        <v>1700</v>
      </c>
      <c r="Z850" s="11" t="s">
        <v>54</v>
      </c>
      <c r="AA850" s="11" t="str">
        <f t="shared" si="57"/>
        <v>1700 - TBN</v>
      </c>
      <c r="AC850" s="2" t="s">
        <v>145</v>
      </c>
      <c r="AD850" s="11" t="str">
        <f>IF($I850&lt;&gt;"",VLOOKUP($AC850,GEADRESSEERDE!$A$2:$E$4,2,),"")</f>
        <v>LUITHAGEN HAVEN 2 D</v>
      </c>
      <c r="AE850" s="11">
        <f>IF($I850&lt;&gt;"",VLOOKUP($AC850,GEADRESSEERDE!$A$2:$E$4,3,),"")</f>
        <v>2030</v>
      </c>
      <c r="AF850" s="11" t="str">
        <f>IF($I850&lt;&gt;"",VLOOKUP($AC850,GEADRESSEERDE!$A$2:$E$4,4,),"")</f>
        <v>ANTWERPEN</v>
      </c>
      <c r="AG850" s="11" t="str">
        <f>IF($I850&lt;&gt;"",VLOOKUP($AC850,GEADRESSEERDE!$A$2:$E$4,5,),"")</f>
        <v>BE</v>
      </c>
      <c r="AH850" s="11" t="str">
        <f>IF(I850&lt;&gt;"",VLOOKUP(AP850,KvB!$A$2:$B$3,2,FALSE),"")</f>
        <v>BE101000</v>
      </c>
      <c r="AI850" s="11" t="s">
        <v>55</v>
      </c>
      <c r="AJ850" s="11"/>
      <c r="AK850" s="11"/>
      <c r="AL850" s="11"/>
      <c r="AM850" s="11"/>
      <c r="AN850" s="11"/>
      <c r="AO850" s="11"/>
      <c r="AP850" s="2" t="s">
        <v>70</v>
      </c>
      <c r="AQ850" s="11" t="str">
        <f>IF(I850&lt;&gt;"",DATA!D849,"")</f>
        <v>8205510000</v>
      </c>
    </row>
    <row r="851" spans="1:43" ht="15.75" x14ac:dyDescent="0.25">
      <c r="A851" s="11" t="s">
        <v>57</v>
      </c>
      <c r="B851" s="11" t="s">
        <v>56</v>
      </c>
      <c r="C851" s="22">
        <f t="shared" si="58"/>
        <v>25001620</v>
      </c>
      <c r="D851" s="11" t="str">
        <f t="shared" si="55"/>
        <v>SKIIFM_AT</v>
      </c>
      <c r="E851" s="11" t="str">
        <f>IF(I851&lt;&gt;"",VLOOKUP(F851,OPDRACHTGEVER!$A$2:$B$4,2,FALSE),"")</f>
        <v>SKIIFM_AT</v>
      </c>
      <c r="F851" s="11" t="s">
        <v>58</v>
      </c>
      <c r="I851" s="11" t="str">
        <f>IF(DATA!B850&lt;&gt;"",DATA!B850,"")</f>
        <v>FFAU3062713</v>
      </c>
      <c r="J851" s="12">
        <v>0</v>
      </c>
      <c r="K851" s="11" t="s">
        <v>53</v>
      </c>
      <c r="L851" s="11" t="str">
        <f t="shared" si="56"/>
        <v>760720</v>
      </c>
      <c r="M851" s="11" t="str">
        <f>IF(I851&lt;&gt;"",DATA!E850,"")</f>
        <v>THERMAL INSULATION FILM</v>
      </c>
      <c r="N851" s="12">
        <v>0</v>
      </c>
      <c r="O851" s="11">
        <f>IF(I851&lt;&gt;"",DATA!C850,"")</f>
        <v>7.7</v>
      </c>
      <c r="P851" s="2">
        <v>294094</v>
      </c>
      <c r="Q851" s="2" t="s">
        <v>1304</v>
      </c>
      <c r="R851" s="2" t="s">
        <v>1322</v>
      </c>
      <c r="S851" s="2">
        <v>581</v>
      </c>
      <c r="T851" s="2">
        <v>1</v>
      </c>
      <c r="U851" s="2" t="s">
        <v>141</v>
      </c>
      <c r="Y851" s="2">
        <v>1700</v>
      </c>
      <c r="Z851" s="11" t="s">
        <v>54</v>
      </c>
      <c r="AA851" s="11" t="str">
        <f t="shared" si="57"/>
        <v>1700 - TBN</v>
      </c>
      <c r="AC851" s="2" t="s">
        <v>145</v>
      </c>
      <c r="AD851" s="11" t="str">
        <f>IF($I851&lt;&gt;"",VLOOKUP($AC851,GEADRESSEERDE!$A$2:$E$4,2,),"")</f>
        <v>LUITHAGEN HAVEN 2 D</v>
      </c>
      <c r="AE851" s="11">
        <f>IF($I851&lt;&gt;"",VLOOKUP($AC851,GEADRESSEERDE!$A$2:$E$4,3,),"")</f>
        <v>2030</v>
      </c>
      <c r="AF851" s="11" t="str">
        <f>IF($I851&lt;&gt;"",VLOOKUP($AC851,GEADRESSEERDE!$A$2:$E$4,4,),"")</f>
        <v>ANTWERPEN</v>
      </c>
      <c r="AG851" s="11" t="str">
        <f>IF($I851&lt;&gt;"",VLOOKUP($AC851,GEADRESSEERDE!$A$2:$E$4,5,),"")</f>
        <v>BE</v>
      </c>
      <c r="AH851" s="11" t="str">
        <f>IF(I851&lt;&gt;"",VLOOKUP(AP851,KvB!$A$2:$B$3,2,FALSE),"")</f>
        <v>BE101000</v>
      </c>
      <c r="AI851" s="11" t="s">
        <v>55</v>
      </c>
      <c r="AJ851" s="11"/>
      <c r="AK851" s="11"/>
      <c r="AL851" s="11"/>
      <c r="AM851" s="11"/>
      <c r="AN851" s="11"/>
      <c r="AO851" s="11"/>
      <c r="AP851" s="2" t="s">
        <v>70</v>
      </c>
      <c r="AQ851" s="11" t="str">
        <f>IF(I851&lt;&gt;"",DATA!D850,"")</f>
        <v>7607209900</v>
      </c>
    </row>
    <row r="852" spans="1:43" ht="15.75" x14ac:dyDescent="0.25">
      <c r="A852" s="11" t="s">
        <v>57</v>
      </c>
      <c r="B852" s="11" t="s">
        <v>56</v>
      </c>
      <c r="C852" s="22">
        <f t="shared" si="58"/>
        <v>25001620</v>
      </c>
      <c r="D852" s="11" t="str">
        <f t="shared" si="55"/>
        <v>SKIIFM_AT</v>
      </c>
      <c r="E852" s="11" t="str">
        <f>IF(I852&lt;&gt;"",VLOOKUP(F852,OPDRACHTGEVER!$A$2:$B$4,2,FALSE),"")</f>
        <v>SKIIFM_AT</v>
      </c>
      <c r="F852" s="11" t="s">
        <v>58</v>
      </c>
      <c r="I852" s="11" t="str">
        <f>IF(DATA!B851&lt;&gt;"",DATA!B851,"")</f>
        <v>FFAU3062713</v>
      </c>
      <c r="J852" s="12">
        <v>0</v>
      </c>
      <c r="K852" s="11" t="s">
        <v>53</v>
      </c>
      <c r="L852" s="11" t="str">
        <f t="shared" si="56"/>
        <v>841830</v>
      </c>
      <c r="M852" s="11" t="str">
        <f>IF(I852&lt;&gt;"",DATA!E851,"")</f>
        <v>VEHICLE REFRIGERATOR</v>
      </c>
      <c r="N852" s="12">
        <v>0</v>
      </c>
      <c r="O852" s="11">
        <f>IF(I852&lt;&gt;"",DATA!C851,"")</f>
        <v>223.2</v>
      </c>
      <c r="P852" s="2">
        <v>294094</v>
      </c>
      <c r="Q852" s="2" t="s">
        <v>1304</v>
      </c>
      <c r="R852" s="2" t="s">
        <v>1322</v>
      </c>
      <c r="S852" s="2">
        <v>581</v>
      </c>
      <c r="T852" s="2">
        <v>1</v>
      </c>
      <c r="U852" s="2" t="s">
        <v>141</v>
      </c>
      <c r="Y852" s="2">
        <v>1700</v>
      </c>
      <c r="Z852" s="11" t="s">
        <v>54</v>
      </c>
      <c r="AA852" s="11" t="str">
        <f t="shared" si="57"/>
        <v>1700 - TBN</v>
      </c>
      <c r="AC852" s="2" t="s">
        <v>145</v>
      </c>
      <c r="AD852" s="11" t="str">
        <f>IF($I852&lt;&gt;"",VLOOKUP($AC852,GEADRESSEERDE!$A$2:$E$4,2,),"")</f>
        <v>LUITHAGEN HAVEN 2 D</v>
      </c>
      <c r="AE852" s="11">
        <f>IF($I852&lt;&gt;"",VLOOKUP($AC852,GEADRESSEERDE!$A$2:$E$4,3,),"")</f>
        <v>2030</v>
      </c>
      <c r="AF852" s="11" t="str">
        <f>IF($I852&lt;&gt;"",VLOOKUP($AC852,GEADRESSEERDE!$A$2:$E$4,4,),"")</f>
        <v>ANTWERPEN</v>
      </c>
      <c r="AG852" s="11" t="str">
        <f>IF($I852&lt;&gt;"",VLOOKUP($AC852,GEADRESSEERDE!$A$2:$E$4,5,),"")</f>
        <v>BE</v>
      </c>
      <c r="AH852" s="11" t="str">
        <f>IF(I852&lt;&gt;"",VLOOKUP(AP852,KvB!$A$2:$B$3,2,FALSE),"")</f>
        <v>BE101000</v>
      </c>
      <c r="AI852" s="11" t="s">
        <v>55</v>
      </c>
      <c r="AJ852" s="11"/>
      <c r="AK852" s="11"/>
      <c r="AL852" s="11"/>
      <c r="AM852" s="11"/>
      <c r="AN852" s="11"/>
      <c r="AO852" s="11"/>
      <c r="AP852" s="2" t="s">
        <v>70</v>
      </c>
      <c r="AQ852" s="11" t="str">
        <f>IF(I852&lt;&gt;"",DATA!D851,"")</f>
        <v>8418302099</v>
      </c>
    </row>
    <row r="853" spans="1:43" ht="15.75" x14ac:dyDescent="0.25">
      <c r="A853" s="11" t="s">
        <v>57</v>
      </c>
      <c r="B853" s="11" t="s">
        <v>56</v>
      </c>
      <c r="C853" s="22">
        <f t="shared" si="58"/>
        <v>25001620</v>
      </c>
      <c r="D853" s="11" t="str">
        <f t="shared" si="55"/>
        <v>SKIIFM_AT</v>
      </c>
      <c r="E853" s="11" t="str">
        <f>IF(I853&lt;&gt;"",VLOOKUP(F853,OPDRACHTGEVER!$A$2:$B$4,2,FALSE),"")</f>
        <v>SKIIFM_AT</v>
      </c>
      <c r="F853" s="11" t="s">
        <v>58</v>
      </c>
      <c r="I853" s="11" t="str">
        <f>IF(DATA!B852&lt;&gt;"",DATA!B852,"")</f>
        <v>FFAU3062713</v>
      </c>
      <c r="J853" s="12">
        <v>0</v>
      </c>
      <c r="K853" s="11" t="s">
        <v>53</v>
      </c>
      <c r="L853" s="11" t="str">
        <f t="shared" si="56"/>
        <v>851660</v>
      </c>
      <c r="M853" s="11" t="str">
        <f>IF(I853&lt;&gt;"",DATA!E852,"")</f>
        <v>WAFFLE CAKE MACHINE</v>
      </c>
      <c r="N853" s="12">
        <v>0</v>
      </c>
      <c r="O853" s="11">
        <f>IF(I853&lt;&gt;"",DATA!C852,"")</f>
        <v>43</v>
      </c>
      <c r="P853" s="2">
        <v>294094</v>
      </c>
      <c r="Q853" s="2" t="s">
        <v>1304</v>
      </c>
      <c r="R853" s="2" t="s">
        <v>1322</v>
      </c>
      <c r="S853" s="2">
        <v>581</v>
      </c>
      <c r="T853" s="2">
        <v>1</v>
      </c>
      <c r="U853" s="2" t="s">
        <v>141</v>
      </c>
      <c r="Y853" s="2">
        <v>1700</v>
      </c>
      <c r="Z853" s="11" t="s">
        <v>54</v>
      </c>
      <c r="AA853" s="11" t="str">
        <f t="shared" si="57"/>
        <v>1700 - TBN</v>
      </c>
      <c r="AC853" s="2" t="s">
        <v>145</v>
      </c>
      <c r="AD853" s="11" t="str">
        <f>IF($I853&lt;&gt;"",VLOOKUP($AC853,GEADRESSEERDE!$A$2:$E$4,2,),"")</f>
        <v>LUITHAGEN HAVEN 2 D</v>
      </c>
      <c r="AE853" s="11">
        <f>IF($I853&lt;&gt;"",VLOOKUP($AC853,GEADRESSEERDE!$A$2:$E$4,3,),"")</f>
        <v>2030</v>
      </c>
      <c r="AF853" s="11" t="str">
        <f>IF($I853&lt;&gt;"",VLOOKUP($AC853,GEADRESSEERDE!$A$2:$E$4,4,),"")</f>
        <v>ANTWERPEN</v>
      </c>
      <c r="AG853" s="11" t="str">
        <f>IF($I853&lt;&gt;"",VLOOKUP($AC853,GEADRESSEERDE!$A$2:$E$4,5,),"")</f>
        <v>BE</v>
      </c>
      <c r="AH853" s="11" t="str">
        <f>IF(I853&lt;&gt;"",VLOOKUP(AP853,KvB!$A$2:$B$3,2,FALSE),"")</f>
        <v>BE101000</v>
      </c>
      <c r="AI853" s="11" t="s">
        <v>55</v>
      </c>
      <c r="AJ853" s="11"/>
      <c r="AK853" s="11"/>
      <c r="AL853" s="11"/>
      <c r="AM853" s="11"/>
      <c r="AN853" s="11"/>
      <c r="AO853" s="11"/>
      <c r="AP853" s="2" t="s">
        <v>70</v>
      </c>
      <c r="AQ853" s="11" t="str">
        <f>IF(I853&lt;&gt;"",DATA!D852,"")</f>
        <v>8516609000</v>
      </c>
    </row>
    <row r="854" spans="1:43" ht="15.75" x14ac:dyDescent="0.25">
      <c r="A854" s="11" t="s">
        <v>57</v>
      </c>
      <c r="B854" s="11" t="s">
        <v>56</v>
      </c>
      <c r="C854" s="22">
        <f t="shared" si="58"/>
        <v>25001620</v>
      </c>
      <c r="D854" s="11" t="str">
        <f t="shared" si="55"/>
        <v>SKIIFM_AT</v>
      </c>
      <c r="E854" s="11" t="str">
        <f>IF(I854&lt;&gt;"",VLOOKUP(F854,OPDRACHTGEVER!$A$2:$B$4,2,FALSE),"")</f>
        <v>SKIIFM_AT</v>
      </c>
      <c r="F854" s="11" t="s">
        <v>58</v>
      </c>
      <c r="I854" s="11" t="str">
        <f>IF(DATA!B853&lt;&gt;"",DATA!B853,"")</f>
        <v>FFAU3062713</v>
      </c>
      <c r="J854" s="12">
        <v>0</v>
      </c>
      <c r="K854" s="11" t="s">
        <v>53</v>
      </c>
      <c r="L854" s="11" t="str">
        <f t="shared" si="56"/>
        <v>940320</v>
      </c>
      <c r="M854" s="11" t="str">
        <f>IF(I854&lt;&gt;"",DATA!E853,"")</f>
        <v>WALL MOUNTED TOOL CABINET</v>
      </c>
      <c r="N854" s="12">
        <v>0</v>
      </c>
      <c r="O854" s="11">
        <f>IF(I854&lt;&gt;"",DATA!C853,"")</f>
        <v>212.2</v>
      </c>
      <c r="P854" s="2">
        <v>294094</v>
      </c>
      <c r="Q854" s="2" t="s">
        <v>1304</v>
      </c>
      <c r="R854" s="2" t="s">
        <v>1322</v>
      </c>
      <c r="S854" s="2">
        <v>581</v>
      </c>
      <c r="T854" s="2">
        <v>1</v>
      </c>
      <c r="U854" s="2" t="s">
        <v>141</v>
      </c>
      <c r="Y854" s="2">
        <v>1700</v>
      </c>
      <c r="Z854" s="11" t="s">
        <v>54</v>
      </c>
      <c r="AA854" s="11" t="str">
        <f t="shared" si="57"/>
        <v>1700 - TBN</v>
      </c>
      <c r="AC854" s="2" t="s">
        <v>145</v>
      </c>
      <c r="AD854" s="11" t="str">
        <f>IF($I854&lt;&gt;"",VLOOKUP($AC854,GEADRESSEERDE!$A$2:$E$4,2,),"")</f>
        <v>LUITHAGEN HAVEN 2 D</v>
      </c>
      <c r="AE854" s="11">
        <f>IF($I854&lt;&gt;"",VLOOKUP($AC854,GEADRESSEERDE!$A$2:$E$4,3,),"")</f>
        <v>2030</v>
      </c>
      <c r="AF854" s="11" t="str">
        <f>IF($I854&lt;&gt;"",VLOOKUP($AC854,GEADRESSEERDE!$A$2:$E$4,4,),"")</f>
        <v>ANTWERPEN</v>
      </c>
      <c r="AG854" s="11" t="str">
        <f>IF($I854&lt;&gt;"",VLOOKUP($AC854,GEADRESSEERDE!$A$2:$E$4,5,),"")</f>
        <v>BE</v>
      </c>
      <c r="AH854" s="11" t="str">
        <f>IF(I854&lt;&gt;"",VLOOKUP(AP854,KvB!$A$2:$B$3,2,FALSE),"")</f>
        <v>BE101000</v>
      </c>
      <c r="AI854" s="11" t="s">
        <v>55</v>
      </c>
      <c r="AJ854" s="11"/>
      <c r="AK854" s="11"/>
      <c r="AL854" s="11"/>
      <c r="AM854" s="11"/>
      <c r="AN854" s="11"/>
      <c r="AO854" s="11"/>
      <c r="AP854" s="2" t="s">
        <v>70</v>
      </c>
      <c r="AQ854" s="11" t="str">
        <f>IF(I854&lt;&gt;"",DATA!D853,"")</f>
        <v>9403208000</v>
      </c>
    </row>
    <row r="855" spans="1:43" ht="15.75" x14ac:dyDescent="0.25">
      <c r="A855" s="11" t="s">
        <v>57</v>
      </c>
      <c r="B855" s="11" t="s">
        <v>56</v>
      </c>
      <c r="C855" s="22">
        <f t="shared" si="58"/>
        <v>25001620</v>
      </c>
      <c r="D855" s="11" t="str">
        <f t="shared" si="55"/>
        <v>SKIIFM_AT</v>
      </c>
      <c r="E855" s="11" t="str">
        <f>IF(I855&lt;&gt;"",VLOOKUP(F855,OPDRACHTGEVER!$A$2:$B$4,2,FALSE),"")</f>
        <v>SKIIFM_AT</v>
      </c>
      <c r="F855" s="11" t="s">
        <v>58</v>
      </c>
      <c r="I855" s="11" t="str">
        <f>IF(DATA!B854&lt;&gt;"",DATA!B854,"")</f>
        <v>FFAU3062713</v>
      </c>
      <c r="J855" s="12">
        <v>0</v>
      </c>
      <c r="K855" s="11" t="s">
        <v>53</v>
      </c>
      <c r="L855" s="11" t="str">
        <f t="shared" si="56"/>
        <v>950691</v>
      </c>
      <c r="M855" s="11" t="str">
        <f>IF(I855&lt;&gt;"",DATA!E854,"")</f>
        <v>WALL-MOUNTED BOXING TARGET</v>
      </c>
      <c r="N855" s="12">
        <v>0</v>
      </c>
      <c r="O855" s="11">
        <f>IF(I855&lt;&gt;"",DATA!C854,"")</f>
        <v>212.5</v>
      </c>
      <c r="P855" s="2">
        <v>294094</v>
      </c>
      <c r="Q855" s="2" t="s">
        <v>1304</v>
      </c>
      <c r="R855" s="2" t="s">
        <v>1322</v>
      </c>
      <c r="S855" s="2">
        <v>581</v>
      </c>
      <c r="T855" s="2">
        <v>1</v>
      </c>
      <c r="U855" s="2" t="s">
        <v>141</v>
      </c>
      <c r="Y855" s="2">
        <v>1700</v>
      </c>
      <c r="Z855" s="11" t="s">
        <v>54</v>
      </c>
      <c r="AA855" s="11" t="str">
        <f t="shared" si="57"/>
        <v>1700 - TBN</v>
      </c>
      <c r="AC855" s="2" t="s">
        <v>145</v>
      </c>
      <c r="AD855" s="11" t="str">
        <f>IF($I855&lt;&gt;"",VLOOKUP($AC855,GEADRESSEERDE!$A$2:$E$4,2,),"")</f>
        <v>LUITHAGEN HAVEN 2 D</v>
      </c>
      <c r="AE855" s="11">
        <f>IF($I855&lt;&gt;"",VLOOKUP($AC855,GEADRESSEERDE!$A$2:$E$4,3,),"")</f>
        <v>2030</v>
      </c>
      <c r="AF855" s="11" t="str">
        <f>IF($I855&lt;&gt;"",VLOOKUP($AC855,GEADRESSEERDE!$A$2:$E$4,4,),"")</f>
        <v>ANTWERPEN</v>
      </c>
      <c r="AG855" s="11" t="str">
        <f>IF($I855&lt;&gt;"",VLOOKUP($AC855,GEADRESSEERDE!$A$2:$E$4,5,),"")</f>
        <v>BE</v>
      </c>
      <c r="AH855" s="11" t="str">
        <f>IF(I855&lt;&gt;"",VLOOKUP(AP855,KvB!$A$2:$B$3,2,FALSE),"")</f>
        <v>BE101000</v>
      </c>
      <c r="AI855" s="11" t="s">
        <v>55</v>
      </c>
      <c r="AJ855" s="11"/>
      <c r="AK855" s="11"/>
      <c r="AL855" s="11"/>
      <c r="AM855" s="11"/>
      <c r="AN855" s="11"/>
      <c r="AO855" s="11"/>
      <c r="AP855" s="2" t="s">
        <v>70</v>
      </c>
      <c r="AQ855" s="11" t="str">
        <f>IF(I855&lt;&gt;"",DATA!D854,"")</f>
        <v>9506919000</v>
      </c>
    </row>
    <row r="856" spans="1:43" ht="15.75" x14ac:dyDescent="0.25">
      <c r="A856" s="11" t="s">
        <v>57</v>
      </c>
      <c r="B856" s="11" t="s">
        <v>56</v>
      </c>
      <c r="C856" s="22">
        <f t="shared" si="58"/>
        <v>25001620</v>
      </c>
      <c r="D856" s="11" t="str">
        <f t="shared" si="55"/>
        <v>SKIIFM_AT</v>
      </c>
      <c r="E856" s="11" t="str">
        <f>IF(I856&lt;&gt;"",VLOOKUP(F856,OPDRACHTGEVER!$A$2:$B$4,2,FALSE),"")</f>
        <v>SKIIFM_AT</v>
      </c>
      <c r="F856" s="11" t="s">
        <v>58</v>
      </c>
      <c r="I856" s="11" t="str">
        <f>IF(DATA!B855&lt;&gt;"",DATA!B855,"")</f>
        <v>FFAU3062713</v>
      </c>
      <c r="J856" s="12">
        <v>0</v>
      </c>
      <c r="K856" s="11" t="s">
        <v>53</v>
      </c>
      <c r="L856" s="11" t="str">
        <f t="shared" si="56"/>
        <v>841899</v>
      </c>
      <c r="M856" s="11" t="str">
        <f>IF(I856&lt;&gt;"",DATA!E855,"")</f>
        <v>WATER TO AIR HEAT EXCHANGER</v>
      </c>
      <c r="N856" s="12">
        <v>0</v>
      </c>
      <c r="O856" s="11">
        <f>IF(I856&lt;&gt;"",DATA!C855,"")</f>
        <v>194.34</v>
      </c>
      <c r="P856" s="2">
        <v>294094</v>
      </c>
      <c r="Q856" s="2" t="s">
        <v>1304</v>
      </c>
      <c r="R856" s="2" t="s">
        <v>1322</v>
      </c>
      <c r="S856" s="2">
        <v>581</v>
      </c>
      <c r="T856" s="2">
        <v>1</v>
      </c>
      <c r="U856" s="2" t="s">
        <v>141</v>
      </c>
      <c r="Y856" s="2">
        <v>1700</v>
      </c>
      <c r="Z856" s="11" t="s">
        <v>54</v>
      </c>
      <c r="AA856" s="11" t="str">
        <f t="shared" si="57"/>
        <v>1700 - TBN</v>
      </c>
      <c r="AC856" s="2" t="s">
        <v>145</v>
      </c>
      <c r="AD856" s="11" t="str">
        <f>IF($I856&lt;&gt;"",VLOOKUP($AC856,GEADRESSEERDE!$A$2:$E$4,2,),"")</f>
        <v>LUITHAGEN HAVEN 2 D</v>
      </c>
      <c r="AE856" s="11">
        <f>IF($I856&lt;&gt;"",VLOOKUP($AC856,GEADRESSEERDE!$A$2:$E$4,3,),"")</f>
        <v>2030</v>
      </c>
      <c r="AF856" s="11" t="str">
        <f>IF($I856&lt;&gt;"",VLOOKUP($AC856,GEADRESSEERDE!$A$2:$E$4,4,),"")</f>
        <v>ANTWERPEN</v>
      </c>
      <c r="AG856" s="11" t="str">
        <f>IF($I856&lt;&gt;"",VLOOKUP($AC856,GEADRESSEERDE!$A$2:$E$4,5,),"")</f>
        <v>BE</v>
      </c>
      <c r="AH856" s="11" t="str">
        <f>IF(I856&lt;&gt;"",VLOOKUP(AP856,KvB!$A$2:$B$3,2,FALSE),"")</f>
        <v>BE101000</v>
      </c>
      <c r="AI856" s="11" t="s">
        <v>55</v>
      </c>
      <c r="AJ856" s="11"/>
      <c r="AK856" s="11"/>
      <c r="AL856" s="11"/>
      <c r="AM856" s="11"/>
      <c r="AN856" s="11"/>
      <c r="AO856" s="11"/>
      <c r="AP856" s="2" t="s">
        <v>70</v>
      </c>
      <c r="AQ856" s="11" t="str">
        <f>IF(I856&lt;&gt;"",DATA!D855,"")</f>
        <v>8418991087</v>
      </c>
    </row>
    <row r="857" spans="1:43" ht="15.75" x14ac:dyDescent="0.25">
      <c r="A857" s="11" t="s">
        <v>57</v>
      </c>
      <c r="B857" s="11" t="s">
        <v>56</v>
      </c>
      <c r="C857" s="22">
        <f t="shared" si="58"/>
        <v>25001620</v>
      </c>
      <c r="D857" s="11" t="str">
        <f t="shared" si="55"/>
        <v>SKIIFM_AT</v>
      </c>
      <c r="E857" s="11" t="str">
        <f>IF(I857&lt;&gt;"",VLOOKUP(F857,OPDRACHTGEVER!$A$2:$B$4,2,FALSE),"")</f>
        <v>SKIIFM_AT</v>
      </c>
      <c r="F857" s="11" t="s">
        <v>58</v>
      </c>
      <c r="I857" s="11" t="str">
        <f>IF(DATA!B856&lt;&gt;"",DATA!B856,"")</f>
        <v>FFAU3062713</v>
      </c>
      <c r="J857" s="12">
        <v>0</v>
      </c>
      <c r="K857" s="11" t="s">
        <v>53</v>
      </c>
      <c r="L857" s="11" t="str">
        <f t="shared" si="56"/>
        <v>841989</v>
      </c>
      <c r="M857" s="11" t="str">
        <f>IF(I857&lt;&gt;"",DATA!E856,"")</f>
        <v>WAX MELTING APPARATUS</v>
      </c>
      <c r="N857" s="12">
        <v>0</v>
      </c>
      <c r="O857" s="11">
        <f>IF(I857&lt;&gt;"",DATA!C856,"")</f>
        <v>13.6</v>
      </c>
      <c r="P857" s="2">
        <v>294094</v>
      </c>
      <c r="Q857" s="2" t="s">
        <v>1304</v>
      </c>
      <c r="R857" s="2" t="s">
        <v>1322</v>
      </c>
      <c r="S857" s="2">
        <v>581</v>
      </c>
      <c r="T857" s="2">
        <v>1</v>
      </c>
      <c r="U857" s="2" t="s">
        <v>141</v>
      </c>
      <c r="Y857" s="2">
        <v>1700</v>
      </c>
      <c r="Z857" s="11" t="s">
        <v>54</v>
      </c>
      <c r="AA857" s="11" t="str">
        <f t="shared" si="57"/>
        <v>1700 - TBN</v>
      </c>
      <c r="AC857" s="2" t="s">
        <v>145</v>
      </c>
      <c r="AD857" s="11" t="str">
        <f>IF($I857&lt;&gt;"",VLOOKUP($AC857,GEADRESSEERDE!$A$2:$E$4,2,),"")</f>
        <v>LUITHAGEN HAVEN 2 D</v>
      </c>
      <c r="AE857" s="11">
        <f>IF($I857&lt;&gt;"",VLOOKUP($AC857,GEADRESSEERDE!$A$2:$E$4,3,),"")</f>
        <v>2030</v>
      </c>
      <c r="AF857" s="11" t="str">
        <f>IF($I857&lt;&gt;"",VLOOKUP($AC857,GEADRESSEERDE!$A$2:$E$4,4,),"")</f>
        <v>ANTWERPEN</v>
      </c>
      <c r="AG857" s="11" t="str">
        <f>IF($I857&lt;&gt;"",VLOOKUP($AC857,GEADRESSEERDE!$A$2:$E$4,5,),"")</f>
        <v>BE</v>
      </c>
      <c r="AH857" s="11" t="str">
        <f>IF(I857&lt;&gt;"",VLOOKUP(AP857,KvB!$A$2:$B$3,2,FALSE),"")</f>
        <v>BE101000</v>
      </c>
      <c r="AI857" s="11" t="s">
        <v>55</v>
      </c>
      <c r="AJ857" s="11"/>
      <c r="AK857" s="11"/>
      <c r="AL857" s="11"/>
      <c r="AM857" s="11"/>
      <c r="AN857" s="11"/>
      <c r="AO857" s="11"/>
      <c r="AP857" s="2" t="s">
        <v>70</v>
      </c>
      <c r="AQ857" s="11" t="str">
        <f>IF(I857&lt;&gt;"",DATA!D856,"")</f>
        <v>8419899890</v>
      </c>
    </row>
    <row r="858" spans="1:43" ht="15.75" x14ac:dyDescent="0.25">
      <c r="A858" s="11" t="s">
        <v>57</v>
      </c>
      <c r="B858" s="11" t="s">
        <v>56</v>
      </c>
      <c r="C858" s="22">
        <f t="shared" si="58"/>
        <v>25001620</v>
      </c>
      <c r="D858" s="11" t="str">
        <f t="shared" si="55"/>
        <v>SKIIFM_AT</v>
      </c>
      <c r="E858" s="11" t="str">
        <f>IF(I858&lt;&gt;"",VLOOKUP(F858,OPDRACHTGEVER!$A$2:$B$4,2,FALSE),"")</f>
        <v>SKIIFM_AT</v>
      </c>
      <c r="F858" s="11" t="s">
        <v>58</v>
      </c>
      <c r="I858" s="11" t="str">
        <f>IF(DATA!B857&lt;&gt;"",DATA!B857,"")</f>
        <v>FFAU3062713</v>
      </c>
      <c r="J858" s="12">
        <v>0</v>
      </c>
      <c r="K858" s="11" t="s">
        <v>53</v>
      </c>
      <c r="L858" s="11" t="str">
        <f t="shared" si="56"/>
        <v>901580</v>
      </c>
      <c r="M858" s="11" t="str">
        <f>IF(I858&lt;&gt;"",DATA!E857,"")</f>
        <v>WEATHER STATION</v>
      </c>
      <c r="N858" s="12">
        <v>0</v>
      </c>
      <c r="O858" s="11">
        <f>IF(I858&lt;&gt;"",DATA!C857,"")</f>
        <v>145.6</v>
      </c>
      <c r="P858" s="2">
        <v>294094</v>
      </c>
      <c r="Q858" s="2" t="s">
        <v>1304</v>
      </c>
      <c r="R858" s="2" t="s">
        <v>1322</v>
      </c>
      <c r="S858" s="2">
        <v>581</v>
      </c>
      <c r="T858" s="2">
        <v>1</v>
      </c>
      <c r="U858" s="2" t="s">
        <v>141</v>
      </c>
      <c r="Y858" s="2">
        <v>1700</v>
      </c>
      <c r="Z858" s="11" t="s">
        <v>54</v>
      </c>
      <c r="AA858" s="11" t="str">
        <f t="shared" si="57"/>
        <v>1700 - TBN</v>
      </c>
      <c r="AC858" s="2" t="s">
        <v>145</v>
      </c>
      <c r="AD858" s="11" t="str">
        <f>IF($I858&lt;&gt;"",VLOOKUP($AC858,GEADRESSEERDE!$A$2:$E$4,2,),"")</f>
        <v>LUITHAGEN HAVEN 2 D</v>
      </c>
      <c r="AE858" s="11">
        <f>IF($I858&lt;&gt;"",VLOOKUP($AC858,GEADRESSEERDE!$A$2:$E$4,3,),"")</f>
        <v>2030</v>
      </c>
      <c r="AF858" s="11" t="str">
        <f>IF($I858&lt;&gt;"",VLOOKUP($AC858,GEADRESSEERDE!$A$2:$E$4,4,),"")</f>
        <v>ANTWERPEN</v>
      </c>
      <c r="AG858" s="11" t="str">
        <f>IF($I858&lt;&gt;"",VLOOKUP($AC858,GEADRESSEERDE!$A$2:$E$4,5,),"")</f>
        <v>BE</v>
      </c>
      <c r="AH858" s="11" t="str">
        <f>IF(I858&lt;&gt;"",VLOOKUP(AP858,KvB!$A$2:$B$3,2,FALSE),"")</f>
        <v>BE101000</v>
      </c>
      <c r="AI858" s="11" t="s">
        <v>55</v>
      </c>
      <c r="AJ858" s="11"/>
      <c r="AK858" s="11"/>
      <c r="AL858" s="11"/>
      <c r="AM858" s="11"/>
      <c r="AN858" s="11"/>
      <c r="AO858" s="11"/>
      <c r="AP858" s="2" t="s">
        <v>70</v>
      </c>
      <c r="AQ858" s="11" t="str">
        <f>IF(I858&lt;&gt;"",DATA!D857,"")</f>
        <v>9015808000</v>
      </c>
    </row>
    <row r="859" spans="1:43" ht="15.75" x14ac:dyDescent="0.25">
      <c r="A859" s="11" t="s">
        <v>57</v>
      </c>
      <c r="B859" s="11" t="s">
        <v>56</v>
      </c>
      <c r="C859" s="22">
        <f t="shared" si="58"/>
        <v>25001620</v>
      </c>
      <c r="D859" s="11" t="str">
        <f t="shared" si="55"/>
        <v>SKIIFM_AT</v>
      </c>
      <c r="E859" s="11" t="str">
        <f>IF(I859&lt;&gt;"",VLOOKUP(F859,OPDRACHTGEVER!$A$2:$B$4,2,FALSE),"")</f>
        <v>SKIIFM_AT</v>
      </c>
      <c r="F859" s="11" t="s">
        <v>58</v>
      </c>
      <c r="I859" s="11" t="str">
        <f>IF(DATA!B858&lt;&gt;"",DATA!B858,"")</f>
        <v>FFAU3802677</v>
      </c>
      <c r="J859" s="12">
        <v>1689</v>
      </c>
      <c r="K859" s="11" t="s">
        <v>53</v>
      </c>
      <c r="L859" s="11" t="str">
        <f t="shared" si="56"/>
        <v>392690</v>
      </c>
      <c r="M859" s="11" t="str">
        <f>IF(I859&lt;&gt;"",DATA!E858,"")</f>
        <v>AIR COLUMN BAG</v>
      </c>
      <c r="N859" s="12">
        <v>11337</v>
      </c>
      <c r="O859" s="11">
        <f>IF(I859&lt;&gt;"",DATA!C858,"")</f>
        <v>4.5</v>
      </c>
      <c r="P859" s="2">
        <v>294094</v>
      </c>
      <c r="Q859" s="2" t="s">
        <v>1304</v>
      </c>
      <c r="R859" s="2" t="s">
        <v>1323</v>
      </c>
      <c r="S859" s="2">
        <v>578</v>
      </c>
      <c r="T859" s="2">
        <v>1</v>
      </c>
      <c r="U859" s="2" t="s">
        <v>141</v>
      </c>
      <c r="Y859" s="2">
        <v>1700</v>
      </c>
      <c r="Z859" s="11" t="s">
        <v>54</v>
      </c>
      <c r="AA859" s="11" t="str">
        <f t="shared" si="57"/>
        <v>1700 - TBN</v>
      </c>
      <c r="AC859" s="2" t="s">
        <v>145</v>
      </c>
      <c r="AD859" s="11" t="str">
        <f>IF($I859&lt;&gt;"",VLOOKUP($AC859,GEADRESSEERDE!$A$2:$E$4,2,),"")</f>
        <v>LUITHAGEN HAVEN 2 D</v>
      </c>
      <c r="AE859" s="11">
        <f>IF($I859&lt;&gt;"",VLOOKUP($AC859,GEADRESSEERDE!$A$2:$E$4,3,),"")</f>
        <v>2030</v>
      </c>
      <c r="AF859" s="11" t="str">
        <f>IF($I859&lt;&gt;"",VLOOKUP($AC859,GEADRESSEERDE!$A$2:$E$4,4,),"")</f>
        <v>ANTWERPEN</v>
      </c>
      <c r="AG859" s="11" t="str">
        <f>IF($I859&lt;&gt;"",VLOOKUP($AC859,GEADRESSEERDE!$A$2:$E$4,5,),"")</f>
        <v>BE</v>
      </c>
      <c r="AH859" s="11" t="str">
        <f>IF(I859&lt;&gt;"",VLOOKUP(AP859,KvB!$A$2:$B$3,2,FALSE),"")</f>
        <v>BE101000</v>
      </c>
      <c r="AI859" s="11" t="s">
        <v>55</v>
      </c>
      <c r="AJ859" s="11"/>
      <c r="AK859" s="11"/>
      <c r="AL859" s="11"/>
      <c r="AM859" s="11"/>
      <c r="AN859" s="11"/>
      <c r="AO859" s="11"/>
      <c r="AP859" s="2" t="s">
        <v>70</v>
      </c>
      <c r="AQ859" s="11" t="str">
        <f>IF(I859&lt;&gt;"",DATA!D858,"")</f>
        <v>3926909790</v>
      </c>
    </row>
    <row r="860" spans="1:43" ht="15.75" x14ac:dyDescent="0.25">
      <c r="A860" s="11" t="s">
        <v>57</v>
      </c>
      <c r="B860" s="11" t="s">
        <v>56</v>
      </c>
      <c r="C860" s="22">
        <f t="shared" si="58"/>
        <v>25001620</v>
      </c>
      <c r="D860" s="11" t="str">
        <f t="shared" si="55"/>
        <v>SKIIFM_AT</v>
      </c>
      <c r="E860" s="11" t="str">
        <f>IF(I860&lt;&gt;"",VLOOKUP(F860,OPDRACHTGEVER!$A$2:$B$4,2,FALSE),"")</f>
        <v>SKIIFM_AT</v>
      </c>
      <c r="F860" s="11" t="s">
        <v>58</v>
      </c>
      <c r="I860" s="11" t="str">
        <f>IF(DATA!B859&lt;&gt;"",DATA!B859,"")</f>
        <v>FFAU3802677</v>
      </c>
      <c r="J860" s="12">
        <v>0</v>
      </c>
      <c r="K860" s="11" t="s">
        <v>53</v>
      </c>
      <c r="L860" s="11" t="str">
        <f t="shared" si="56"/>
        <v>950691</v>
      </c>
      <c r="M860" s="11" t="str">
        <f>IF(I860&lt;&gt;"",DATA!E859,"")</f>
        <v>BASKETBALL BOARD</v>
      </c>
      <c r="N860" s="12">
        <v>0</v>
      </c>
      <c r="O860" s="11">
        <f>IF(I860&lt;&gt;"",DATA!C859,"")</f>
        <v>5.0999999999999996</v>
      </c>
      <c r="P860" s="2">
        <v>294094</v>
      </c>
      <c r="Q860" s="2" t="s">
        <v>1304</v>
      </c>
      <c r="R860" s="2" t="s">
        <v>1323</v>
      </c>
      <c r="S860" s="2">
        <v>578</v>
      </c>
      <c r="T860" s="2">
        <v>1</v>
      </c>
      <c r="U860" s="2" t="s">
        <v>141</v>
      </c>
      <c r="Y860" s="2">
        <v>1700</v>
      </c>
      <c r="Z860" s="11" t="s">
        <v>54</v>
      </c>
      <c r="AA860" s="11" t="str">
        <f t="shared" si="57"/>
        <v>1700 - TBN</v>
      </c>
      <c r="AC860" s="2" t="s">
        <v>145</v>
      </c>
      <c r="AD860" s="11" t="str">
        <f>IF($I860&lt;&gt;"",VLOOKUP($AC860,GEADRESSEERDE!$A$2:$E$4,2,),"")</f>
        <v>LUITHAGEN HAVEN 2 D</v>
      </c>
      <c r="AE860" s="11">
        <f>IF($I860&lt;&gt;"",VLOOKUP($AC860,GEADRESSEERDE!$A$2:$E$4,3,),"")</f>
        <v>2030</v>
      </c>
      <c r="AF860" s="11" t="str">
        <f>IF($I860&lt;&gt;"",VLOOKUP($AC860,GEADRESSEERDE!$A$2:$E$4,4,),"")</f>
        <v>ANTWERPEN</v>
      </c>
      <c r="AG860" s="11" t="str">
        <f>IF($I860&lt;&gt;"",VLOOKUP($AC860,GEADRESSEERDE!$A$2:$E$4,5,),"")</f>
        <v>BE</v>
      </c>
      <c r="AH860" s="11" t="str">
        <f>IF(I860&lt;&gt;"",VLOOKUP(AP860,KvB!$A$2:$B$3,2,FALSE),"")</f>
        <v>BE101000</v>
      </c>
      <c r="AI860" s="11" t="s">
        <v>55</v>
      </c>
      <c r="AJ860" s="11"/>
      <c r="AK860" s="11"/>
      <c r="AL860" s="11"/>
      <c r="AM860" s="11"/>
      <c r="AN860" s="11"/>
      <c r="AO860" s="11"/>
      <c r="AP860" s="2" t="s">
        <v>70</v>
      </c>
      <c r="AQ860" s="11" t="str">
        <f>IF(I860&lt;&gt;"",DATA!D859,"")</f>
        <v>9506919000</v>
      </c>
    </row>
    <row r="861" spans="1:43" ht="15.75" x14ac:dyDescent="0.25">
      <c r="A861" s="11" t="s">
        <v>57</v>
      </c>
      <c r="B861" s="11" t="s">
        <v>56</v>
      </c>
      <c r="C861" s="22">
        <f t="shared" si="58"/>
        <v>25001620</v>
      </c>
      <c r="D861" s="11" t="str">
        <f t="shared" si="55"/>
        <v>SKIIFM_AT</v>
      </c>
      <c r="E861" s="11" t="str">
        <f>IF(I861&lt;&gt;"",VLOOKUP(F861,OPDRACHTGEVER!$A$2:$B$4,2,FALSE),"")</f>
        <v>SKIIFM_AT</v>
      </c>
      <c r="F861" s="11" t="s">
        <v>58</v>
      </c>
      <c r="I861" s="11" t="str">
        <f>IF(DATA!B860&lt;&gt;"",DATA!B860,"")</f>
        <v>FFAU3802677</v>
      </c>
      <c r="J861" s="12">
        <v>0</v>
      </c>
      <c r="K861" s="11" t="s">
        <v>53</v>
      </c>
      <c r="L861" s="11" t="str">
        <f t="shared" si="56"/>
        <v>741920</v>
      </c>
      <c r="M861" s="11" t="str">
        <f>IF(I861&lt;&gt;"",DATA!E860,"")</f>
        <v>BED LIFT MECHANISM</v>
      </c>
      <c r="N861" s="12">
        <v>0</v>
      </c>
      <c r="O861" s="11">
        <f>IF(I861&lt;&gt;"",DATA!C860,"")</f>
        <v>337.2</v>
      </c>
      <c r="P861" s="2">
        <v>294094</v>
      </c>
      <c r="Q861" s="2" t="s">
        <v>1304</v>
      </c>
      <c r="R861" s="2" t="s">
        <v>1323</v>
      </c>
      <c r="S861" s="2">
        <v>578</v>
      </c>
      <c r="T861" s="2">
        <v>1</v>
      </c>
      <c r="U861" s="2" t="s">
        <v>141</v>
      </c>
      <c r="Y861" s="2">
        <v>1700</v>
      </c>
      <c r="Z861" s="11" t="s">
        <v>54</v>
      </c>
      <c r="AA861" s="11" t="str">
        <f t="shared" si="57"/>
        <v>1700 - TBN</v>
      </c>
      <c r="AC861" s="2" t="s">
        <v>145</v>
      </c>
      <c r="AD861" s="11" t="str">
        <f>IF($I861&lt;&gt;"",VLOOKUP($AC861,GEADRESSEERDE!$A$2:$E$4,2,),"")</f>
        <v>LUITHAGEN HAVEN 2 D</v>
      </c>
      <c r="AE861" s="11">
        <f>IF($I861&lt;&gt;"",VLOOKUP($AC861,GEADRESSEERDE!$A$2:$E$4,3,),"")</f>
        <v>2030</v>
      </c>
      <c r="AF861" s="11" t="str">
        <f>IF($I861&lt;&gt;"",VLOOKUP($AC861,GEADRESSEERDE!$A$2:$E$4,4,),"")</f>
        <v>ANTWERPEN</v>
      </c>
      <c r="AG861" s="11" t="str">
        <f>IF($I861&lt;&gt;"",VLOOKUP($AC861,GEADRESSEERDE!$A$2:$E$4,5,),"")</f>
        <v>BE</v>
      </c>
      <c r="AH861" s="11" t="str">
        <f>IF(I861&lt;&gt;"",VLOOKUP(AP861,KvB!$A$2:$B$3,2,FALSE),"")</f>
        <v>BE101000</v>
      </c>
      <c r="AI861" s="11" t="s">
        <v>55</v>
      </c>
      <c r="AJ861" s="11"/>
      <c r="AK861" s="11"/>
      <c r="AL861" s="11"/>
      <c r="AM861" s="11"/>
      <c r="AN861" s="11"/>
      <c r="AO861" s="11"/>
      <c r="AP861" s="2" t="s">
        <v>70</v>
      </c>
      <c r="AQ861" s="11" t="str">
        <f>IF(I861&lt;&gt;"",DATA!D860,"")</f>
        <v>7419200090</v>
      </c>
    </row>
    <row r="862" spans="1:43" ht="15.75" x14ac:dyDescent="0.25">
      <c r="A862" s="11" t="s">
        <v>57</v>
      </c>
      <c r="B862" s="11" t="s">
        <v>56</v>
      </c>
      <c r="C862" s="22">
        <f t="shared" si="58"/>
        <v>25001620</v>
      </c>
      <c r="D862" s="11" t="str">
        <f t="shared" si="55"/>
        <v>SKIIFM_AT</v>
      </c>
      <c r="E862" s="11" t="str">
        <f>IF(I862&lt;&gt;"",VLOOKUP(F862,OPDRACHTGEVER!$A$2:$B$4,2,FALSE),"")</f>
        <v>SKIIFM_AT</v>
      </c>
      <c r="F862" s="11" t="s">
        <v>58</v>
      </c>
      <c r="I862" s="11" t="str">
        <f>IF(DATA!B861&lt;&gt;"",DATA!B861,"")</f>
        <v>FFAU3802677</v>
      </c>
      <c r="J862" s="12">
        <v>0</v>
      </c>
      <c r="K862" s="11" t="s">
        <v>53</v>
      </c>
      <c r="L862" s="11" t="str">
        <f t="shared" si="56"/>
        <v>843311</v>
      </c>
      <c r="M862" s="11" t="str">
        <f>IF(I862&lt;&gt;"",DATA!E861,"")</f>
        <v>BROKEN GRASS MACHINE</v>
      </c>
      <c r="N862" s="12">
        <v>0</v>
      </c>
      <c r="O862" s="11">
        <f>IF(I862&lt;&gt;"",DATA!C861,"")</f>
        <v>1215.5999999999999</v>
      </c>
      <c r="P862" s="2">
        <v>294094</v>
      </c>
      <c r="Q862" s="2" t="s">
        <v>1304</v>
      </c>
      <c r="R862" s="2" t="s">
        <v>1323</v>
      </c>
      <c r="S862" s="2">
        <v>578</v>
      </c>
      <c r="T862" s="2">
        <v>1</v>
      </c>
      <c r="U862" s="2" t="s">
        <v>141</v>
      </c>
      <c r="Y862" s="2">
        <v>1700</v>
      </c>
      <c r="Z862" s="11" t="s">
        <v>54</v>
      </c>
      <c r="AA862" s="11" t="str">
        <f t="shared" si="57"/>
        <v>1700 - TBN</v>
      </c>
      <c r="AC862" s="2" t="s">
        <v>145</v>
      </c>
      <c r="AD862" s="11" t="str">
        <f>IF($I862&lt;&gt;"",VLOOKUP($AC862,GEADRESSEERDE!$A$2:$E$4,2,),"")</f>
        <v>LUITHAGEN HAVEN 2 D</v>
      </c>
      <c r="AE862" s="11">
        <f>IF($I862&lt;&gt;"",VLOOKUP($AC862,GEADRESSEERDE!$A$2:$E$4,3,),"")</f>
        <v>2030</v>
      </c>
      <c r="AF862" s="11" t="str">
        <f>IF($I862&lt;&gt;"",VLOOKUP($AC862,GEADRESSEERDE!$A$2:$E$4,4,),"")</f>
        <v>ANTWERPEN</v>
      </c>
      <c r="AG862" s="11" t="str">
        <f>IF($I862&lt;&gt;"",VLOOKUP($AC862,GEADRESSEERDE!$A$2:$E$4,5,),"")</f>
        <v>BE</v>
      </c>
      <c r="AH862" s="11" t="str">
        <f>IF(I862&lt;&gt;"",VLOOKUP(AP862,KvB!$A$2:$B$3,2,FALSE),"")</f>
        <v>BE101000</v>
      </c>
      <c r="AI862" s="11" t="s">
        <v>55</v>
      </c>
      <c r="AJ862" s="11"/>
      <c r="AK862" s="11"/>
      <c r="AL862" s="11"/>
      <c r="AM862" s="11"/>
      <c r="AN862" s="11"/>
      <c r="AO862" s="11"/>
      <c r="AP862" s="2" t="s">
        <v>70</v>
      </c>
      <c r="AQ862" s="11" t="str">
        <f>IF(I862&lt;&gt;"",DATA!D861,"")</f>
        <v>8433111000</v>
      </c>
    </row>
    <row r="863" spans="1:43" ht="15.75" x14ac:dyDescent="0.25">
      <c r="A863" s="11" t="s">
        <v>57</v>
      </c>
      <c r="B863" s="11" t="s">
        <v>56</v>
      </c>
      <c r="C863" s="22">
        <f t="shared" si="58"/>
        <v>25001620</v>
      </c>
      <c r="D863" s="11" t="str">
        <f t="shared" si="55"/>
        <v>SKIIFM_AT</v>
      </c>
      <c r="E863" s="11" t="str">
        <f>IF(I863&lt;&gt;"",VLOOKUP(F863,OPDRACHTGEVER!$A$2:$B$4,2,FALSE),"")</f>
        <v>SKIIFM_AT</v>
      </c>
      <c r="F863" s="11" t="s">
        <v>58</v>
      </c>
      <c r="I863" s="11" t="str">
        <f>IF(DATA!B862&lt;&gt;"",DATA!B862,"")</f>
        <v>FFAU3802677</v>
      </c>
      <c r="J863" s="12">
        <v>0</v>
      </c>
      <c r="K863" s="11" t="s">
        <v>53</v>
      </c>
      <c r="L863" s="11" t="str">
        <f t="shared" si="56"/>
        <v>843880</v>
      </c>
      <c r="M863" s="11" t="str">
        <f>IF(I863&lt;&gt;"",DATA!E862,"")</f>
        <v>COTTON CANDY MACHINE</v>
      </c>
      <c r="N863" s="12">
        <v>0</v>
      </c>
      <c r="O863" s="11">
        <f>IF(I863&lt;&gt;"",DATA!C862,"")</f>
        <v>679.2</v>
      </c>
      <c r="P863" s="2">
        <v>294094</v>
      </c>
      <c r="Q863" s="2" t="s">
        <v>1304</v>
      </c>
      <c r="R863" s="2" t="s">
        <v>1323</v>
      </c>
      <c r="S863" s="2">
        <v>578</v>
      </c>
      <c r="T863" s="2">
        <v>1</v>
      </c>
      <c r="U863" s="2" t="s">
        <v>141</v>
      </c>
      <c r="Y863" s="2">
        <v>1700</v>
      </c>
      <c r="Z863" s="11" t="s">
        <v>54</v>
      </c>
      <c r="AA863" s="11" t="str">
        <f t="shared" si="57"/>
        <v>1700 - TBN</v>
      </c>
      <c r="AC863" s="2" t="s">
        <v>145</v>
      </c>
      <c r="AD863" s="11" t="str">
        <f>IF($I863&lt;&gt;"",VLOOKUP($AC863,GEADRESSEERDE!$A$2:$E$4,2,),"")</f>
        <v>LUITHAGEN HAVEN 2 D</v>
      </c>
      <c r="AE863" s="11">
        <f>IF($I863&lt;&gt;"",VLOOKUP($AC863,GEADRESSEERDE!$A$2:$E$4,3,),"")</f>
        <v>2030</v>
      </c>
      <c r="AF863" s="11" t="str">
        <f>IF($I863&lt;&gt;"",VLOOKUP($AC863,GEADRESSEERDE!$A$2:$E$4,4,),"")</f>
        <v>ANTWERPEN</v>
      </c>
      <c r="AG863" s="11" t="str">
        <f>IF($I863&lt;&gt;"",VLOOKUP($AC863,GEADRESSEERDE!$A$2:$E$4,5,),"")</f>
        <v>BE</v>
      </c>
      <c r="AH863" s="11" t="str">
        <f>IF(I863&lt;&gt;"",VLOOKUP(AP863,KvB!$A$2:$B$3,2,FALSE),"")</f>
        <v>BE101000</v>
      </c>
      <c r="AI863" s="11" t="s">
        <v>55</v>
      </c>
      <c r="AJ863" s="11"/>
      <c r="AK863" s="11"/>
      <c r="AL863" s="11"/>
      <c r="AM863" s="11"/>
      <c r="AN863" s="11"/>
      <c r="AO863" s="11"/>
      <c r="AP863" s="2" t="s">
        <v>70</v>
      </c>
      <c r="AQ863" s="11" t="str">
        <f>IF(I863&lt;&gt;"",DATA!D862,"")</f>
        <v>8438809900</v>
      </c>
    </row>
    <row r="864" spans="1:43" ht="15.75" x14ac:dyDescent="0.25">
      <c r="A864" s="11" t="s">
        <v>57</v>
      </c>
      <c r="B864" s="11" t="s">
        <v>56</v>
      </c>
      <c r="C864" s="22">
        <f t="shared" si="58"/>
        <v>25001620</v>
      </c>
      <c r="D864" s="11" t="str">
        <f t="shared" si="55"/>
        <v>SKIIFM_AT</v>
      </c>
      <c r="E864" s="11" t="str">
        <f>IF(I864&lt;&gt;"",VLOOKUP(F864,OPDRACHTGEVER!$A$2:$B$4,2,FALSE),"")</f>
        <v>SKIIFM_AT</v>
      </c>
      <c r="F864" s="11" t="s">
        <v>58</v>
      </c>
      <c r="I864" s="11" t="str">
        <f>IF(DATA!B863&lt;&gt;"",DATA!B863,"")</f>
        <v>FFAU3802677</v>
      </c>
      <c r="J864" s="12">
        <v>0</v>
      </c>
      <c r="K864" s="11" t="s">
        <v>53</v>
      </c>
      <c r="L864" s="11" t="str">
        <f t="shared" si="56"/>
        <v>830140</v>
      </c>
      <c r="M864" s="11" t="str">
        <f>IF(I864&lt;&gt;"",DATA!E863,"")</f>
        <v>DIGITAL DOOR LOCK</v>
      </c>
      <c r="N864" s="12">
        <v>0</v>
      </c>
      <c r="O864" s="11">
        <f>IF(I864&lt;&gt;"",DATA!C863,"")</f>
        <v>3.9</v>
      </c>
      <c r="P864" s="2">
        <v>294094</v>
      </c>
      <c r="Q864" s="2" t="s">
        <v>1304</v>
      </c>
      <c r="R864" s="2" t="s">
        <v>1323</v>
      </c>
      <c r="S864" s="2">
        <v>578</v>
      </c>
      <c r="T864" s="2">
        <v>1</v>
      </c>
      <c r="U864" s="2" t="s">
        <v>141</v>
      </c>
      <c r="Y864" s="2">
        <v>1700</v>
      </c>
      <c r="Z864" s="11" t="s">
        <v>54</v>
      </c>
      <c r="AA864" s="11" t="str">
        <f t="shared" si="57"/>
        <v>1700 - TBN</v>
      </c>
      <c r="AC864" s="2" t="s">
        <v>145</v>
      </c>
      <c r="AD864" s="11" t="str">
        <f>IF($I864&lt;&gt;"",VLOOKUP($AC864,GEADRESSEERDE!$A$2:$E$4,2,),"")</f>
        <v>LUITHAGEN HAVEN 2 D</v>
      </c>
      <c r="AE864" s="11">
        <f>IF($I864&lt;&gt;"",VLOOKUP($AC864,GEADRESSEERDE!$A$2:$E$4,3,),"")</f>
        <v>2030</v>
      </c>
      <c r="AF864" s="11" t="str">
        <f>IF($I864&lt;&gt;"",VLOOKUP($AC864,GEADRESSEERDE!$A$2:$E$4,4,),"")</f>
        <v>ANTWERPEN</v>
      </c>
      <c r="AG864" s="11" t="str">
        <f>IF($I864&lt;&gt;"",VLOOKUP($AC864,GEADRESSEERDE!$A$2:$E$4,5,),"")</f>
        <v>BE</v>
      </c>
      <c r="AH864" s="11" t="str">
        <f>IF(I864&lt;&gt;"",VLOOKUP(AP864,KvB!$A$2:$B$3,2,FALSE),"")</f>
        <v>BE101000</v>
      </c>
      <c r="AI864" s="11" t="s">
        <v>55</v>
      </c>
      <c r="AJ864" s="11"/>
      <c r="AK864" s="11"/>
      <c r="AL864" s="11"/>
      <c r="AM864" s="11"/>
      <c r="AN864" s="11"/>
      <c r="AO864" s="11"/>
      <c r="AP864" s="2" t="s">
        <v>70</v>
      </c>
      <c r="AQ864" s="11" t="str">
        <f>IF(I864&lt;&gt;"",DATA!D863,"")</f>
        <v>8301401900</v>
      </c>
    </row>
    <row r="865" spans="1:43" ht="15.75" x14ac:dyDescent="0.25">
      <c r="A865" s="11" t="s">
        <v>57</v>
      </c>
      <c r="B865" s="11" t="s">
        <v>56</v>
      </c>
      <c r="C865" s="22">
        <f t="shared" si="58"/>
        <v>25001620</v>
      </c>
      <c r="D865" s="11" t="str">
        <f t="shared" si="55"/>
        <v>SKIIFM_AT</v>
      </c>
      <c r="E865" s="11" t="str">
        <f>IF(I865&lt;&gt;"",VLOOKUP(F865,OPDRACHTGEVER!$A$2:$B$4,2,FALSE),"")</f>
        <v>SKIIFM_AT</v>
      </c>
      <c r="F865" s="11" t="s">
        <v>58</v>
      </c>
      <c r="I865" s="11" t="str">
        <f>IF(DATA!B864&lt;&gt;"",DATA!B864,"")</f>
        <v>FFAU3802677</v>
      </c>
      <c r="J865" s="12">
        <v>0</v>
      </c>
      <c r="K865" s="11" t="s">
        <v>53</v>
      </c>
      <c r="L865" s="11" t="str">
        <f t="shared" si="56"/>
        <v>830241</v>
      </c>
      <c r="M865" s="11" t="str">
        <f>IF(I865&lt;&gt;"",DATA!E864,"")</f>
        <v>DRAWER SLIDE</v>
      </c>
      <c r="N865" s="12">
        <v>0</v>
      </c>
      <c r="O865" s="11">
        <f>IF(I865&lt;&gt;"",DATA!C864,"")</f>
        <v>1565.78</v>
      </c>
      <c r="P865" s="2">
        <v>294094</v>
      </c>
      <c r="Q865" s="2" t="s">
        <v>1304</v>
      </c>
      <c r="R865" s="2" t="s">
        <v>1323</v>
      </c>
      <c r="S865" s="2">
        <v>578</v>
      </c>
      <c r="T865" s="2">
        <v>1</v>
      </c>
      <c r="U865" s="2" t="s">
        <v>141</v>
      </c>
      <c r="Y865" s="2">
        <v>1700</v>
      </c>
      <c r="Z865" s="11" t="s">
        <v>54</v>
      </c>
      <c r="AA865" s="11" t="str">
        <f t="shared" si="57"/>
        <v>1700 - TBN</v>
      </c>
      <c r="AC865" s="2" t="s">
        <v>145</v>
      </c>
      <c r="AD865" s="11" t="str">
        <f>IF($I865&lt;&gt;"",VLOOKUP($AC865,GEADRESSEERDE!$A$2:$E$4,2,),"")</f>
        <v>LUITHAGEN HAVEN 2 D</v>
      </c>
      <c r="AE865" s="11">
        <f>IF($I865&lt;&gt;"",VLOOKUP($AC865,GEADRESSEERDE!$A$2:$E$4,3,),"")</f>
        <v>2030</v>
      </c>
      <c r="AF865" s="11" t="str">
        <f>IF($I865&lt;&gt;"",VLOOKUP($AC865,GEADRESSEERDE!$A$2:$E$4,4,),"")</f>
        <v>ANTWERPEN</v>
      </c>
      <c r="AG865" s="11" t="str">
        <f>IF($I865&lt;&gt;"",VLOOKUP($AC865,GEADRESSEERDE!$A$2:$E$4,5,),"")</f>
        <v>BE</v>
      </c>
      <c r="AH865" s="11" t="str">
        <f>IF(I865&lt;&gt;"",VLOOKUP(AP865,KvB!$A$2:$B$3,2,FALSE),"")</f>
        <v>BE101000</v>
      </c>
      <c r="AI865" s="11" t="s">
        <v>55</v>
      </c>
      <c r="AJ865" s="11"/>
      <c r="AK865" s="11"/>
      <c r="AL865" s="11"/>
      <c r="AM865" s="11"/>
      <c r="AN865" s="11"/>
      <c r="AO865" s="11"/>
      <c r="AP865" s="2" t="s">
        <v>70</v>
      </c>
      <c r="AQ865" s="11" t="str">
        <f>IF(I865&lt;&gt;"",DATA!D864,"")</f>
        <v>8302419000</v>
      </c>
    </row>
    <row r="866" spans="1:43" ht="15.75" x14ac:dyDescent="0.25">
      <c r="A866" s="11" t="s">
        <v>57</v>
      </c>
      <c r="B866" s="11" t="s">
        <v>56</v>
      </c>
      <c r="C866" s="22">
        <f t="shared" si="58"/>
        <v>25001620</v>
      </c>
      <c r="D866" s="11" t="str">
        <f t="shared" si="55"/>
        <v>SKIIFM_AT</v>
      </c>
      <c r="E866" s="11" t="str">
        <f>IF(I866&lt;&gt;"",VLOOKUP(F866,OPDRACHTGEVER!$A$2:$B$4,2,FALSE),"")</f>
        <v>SKIIFM_AT</v>
      </c>
      <c r="F866" s="11" t="s">
        <v>58</v>
      </c>
      <c r="I866" s="11" t="str">
        <f>IF(DATA!B865&lt;&gt;"",DATA!B865,"")</f>
        <v>FFAU3802677</v>
      </c>
      <c r="J866" s="12">
        <v>0</v>
      </c>
      <c r="K866" s="11" t="s">
        <v>53</v>
      </c>
      <c r="L866" s="11" t="str">
        <f t="shared" si="56"/>
        <v>830242</v>
      </c>
      <c r="M866" s="11" t="str">
        <f>IF(I866&lt;&gt;"",DATA!E865,"")</f>
        <v>DRAWER SLIDES</v>
      </c>
      <c r="N866" s="12">
        <v>0</v>
      </c>
      <c r="O866" s="11">
        <f>IF(I866&lt;&gt;"",DATA!C865,"")</f>
        <v>2321.0100000000002</v>
      </c>
      <c r="P866" s="2">
        <v>294094</v>
      </c>
      <c r="Q866" s="2" t="s">
        <v>1304</v>
      </c>
      <c r="R866" s="2" t="s">
        <v>1323</v>
      </c>
      <c r="S866" s="2">
        <v>578</v>
      </c>
      <c r="T866" s="2">
        <v>1</v>
      </c>
      <c r="U866" s="2" t="s">
        <v>141</v>
      </c>
      <c r="Y866" s="2">
        <v>1700</v>
      </c>
      <c r="Z866" s="11" t="s">
        <v>54</v>
      </c>
      <c r="AA866" s="11" t="str">
        <f t="shared" si="57"/>
        <v>1700 - TBN</v>
      </c>
      <c r="AC866" s="2" t="s">
        <v>145</v>
      </c>
      <c r="AD866" s="11" t="str">
        <f>IF($I866&lt;&gt;"",VLOOKUP($AC866,GEADRESSEERDE!$A$2:$E$4,2,),"")</f>
        <v>LUITHAGEN HAVEN 2 D</v>
      </c>
      <c r="AE866" s="11">
        <f>IF($I866&lt;&gt;"",VLOOKUP($AC866,GEADRESSEERDE!$A$2:$E$4,3,),"")</f>
        <v>2030</v>
      </c>
      <c r="AF866" s="11" t="str">
        <f>IF($I866&lt;&gt;"",VLOOKUP($AC866,GEADRESSEERDE!$A$2:$E$4,4,),"")</f>
        <v>ANTWERPEN</v>
      </c>
      <c r="AG866" s="11" t="str">
        <f>IF($I866&lt;&gt;"",VLOOKUP($AC866,GEADRESSEERDE!$A$2:$E$4,5,),"")</f>
        <v>BE</v>
      </c>
      <c r="AH866" s="11" t="str">
        <f>IF(I866&lt;&gt;"",VLOOKUP(AP866,KvB!$A$2:$B$3,2,FALSE),"")</f>
        <v>BE101000</v>
      </c>
      <c r="AI866" s="11" t="s">
        <v>55</v>
      </c>
      <c r="AJ866" s="11"/>
      <c r="AK866" s="11"/>
      <c r="AL866" s="11"/>
      <c r="AM866" s="11"/>
      <c r="AN866" s="11"/>
      <c r="AO866" s="11"/>
      <c r="AP866" s="2" t="s">
        <v>70</v>
      </c>
      <c r="AQ866" s="11" t="str">
        <f>IF(I866&lt;&gt;"",DATA!D865,"")</f>
        <v>8302420090</v>
      </c>
    </row>
    <row r="867" spans="1:43" ht="15.75" x14ac:dyDescent="0.25">
      <c r="A867" s="11" t="s">
        <v>57</v>
      </c>
      <c r="B867" s="11" t="s">
        <v>56</v>
      </c>
      <c r="C867" s="22">
        <f t="shared" si="58"/>
        <v>25001620</v>
      </c>
      <c r="D867" s="11" t="str">
        <f t="shared" si="55"/>
        <v>SKIIFM_AT</v>
      </c>
      <c r="E867" s="11" t="str">
        <f>IF(I867&lt;&gt;"",VLOOKUP(F867,OPDRACHTGEVER!$A$2:$B$4,2,FALSE),"")</f>
        <v>SKIIFM_AT</v>
      </c>
      <c r="F867" s="11" t="s">
        <v>58</v>
      </c>
      <c r="I867" s="11" t="str">
        <f>IF(DATA!B866&lt;&gt;"",DATA!B866,"")</f>
        <v>FFAU3802677</v>
      </c>
      <c r="J867" s="12">
        <v>0</v>
      </c>
      <c r="K867" s="11" t="s">
        <v>53</v>
      </c>
      <c r="L867" s="11" t="str">
        <f t="shared" si="56"/>
        <v>851660</v>
      </c>
      <c r="M867" s="11" t="str">
        <f>IF(I867&lt;&gt;"",DATA!E866,"")</f>
        <v>ELECTRIC FRYER</v>
      </c>
      <c r="N867" s="12">
        <v>0</v>
      </c>
      <c r="O867" s="11">
        <f>IF(I867&lt;&gt;"",DATA!C866,"")</f>
        <v>500.31</v>
      </c>
      <c r="P867" s="2">
        <v>294094</v>
      </c>
      <c r="Q867" s="2" t="s">
        <v>1304</v>
      </c>
      <c r="R867" s="2" t="s">
        <v>1323</v>
      </c>
      <c r="S867" s="2">
        <v>578</v>
      </c>
      <c r="T867" s="2">
        <v>1</v>
      </c>
      <c r="U867" s="2" t="s">
        <v>141</v>
      </c>
      <c r="Y867" s="2">
        <v>1700</v>
      </c>
      <c r="Z867" s="11" t="s">
        <v>54</v>
      </c>
      <c r="AA867" s="11" t="str">
        <f t="shared" si="57"/>
        <v>1700 - TBN</v>
      </c>
      <c r="AC867" s="2" t="s">
        <v>145</v>
      </c>
      <c r="AD867" s="11" t="str">
        <f>IF($I867&lt;&gt;"",VLOOKUP($AC867,GEADRESSEERDE!$A$2:$E$4,2,),"")</f>
        <v>LUITHAGEN HAVEN 2 D</v>
      </c>
      <c r="AE867" s="11">
        <f>IF($I867&lt;&gt;"",VLOOKUP($AC867,GEADRESSEERDE!$A$2:$E$4,3,),"")</f>
        <v>2030</v>
      </c>
      <c r="AF867" s="11" t="str">
        <f>IF($I867&lt;&gt;"",VLOOKUP($AC867,GEADRESSEERDE!$A$2:$E$4,4,),"")</f>
        <v>ANTWERPEN</v>
      </c>
      <c r="AG867" s="11" t="str">
        <f>IF($I867&lt;&gt;"",VLOOKUP($AC867,GEADRESSEERDE!$A$2:$E$4,5,),"")</f>
        <v>BE</v>
      </c>
      <c r="AH867" s="11" t="str">
        <f>IF(I867&lt;&gt;"",VLOOKUP(AP867,KvB!$A$2:$B$3,2,FALSE),"")</f>
        <v>BE101000</v>
      </c>
      <c r="AI867" s="11" t="s">
        <v>55</v>
      </c>
      <c r="AJ867" s="11"/>
      <c r="AK867" s="11"/>
      <c r="AL867" s="11"/>
      <c r="AM867" s="11"/>
      <c r="AN867" s="11"/>
      <c r="AO867" s="11"/>
      <c r="AP867" s="2" t="s">
        <v>70</v>
      </c>
      <c r="AQ867" s="11" t="str">
        <f>IF(I867&lt;&gt;"",DATA!D866,"")</f>
        <v>8516609000</v>
      </c>
    </row>
    <row r="868" spans="1:43" ht="15.75" x14ac:dyDescent="0.25">
      <c r="A868" s="11" t="s">
        <v>57</v>
      </c>
      <c r="B868" s="11" t="s">
        <v>56</v>
      </c>
      <c r="C868" s="22">
        <f t="shared" si="58"/>
        <v>25001620</v>
      </c>
      <c r="D868" s="11" t="str">
        <f t="shared" si="55"/>
        <v>SKIIFM_AT</v>
      </c>
      <c r="E868" s="11" t="str">
        <f>IF(I868&lt;&gt;"",VLOOKUP(F868,OPDRACHTGEVER!$A$2:$B$4,2,FALSE),"")</f>
        <v>SKIIFM_AT</v>
      </c>
      <c r="F868" s="11" t="s">
        <v>58</v>
      </c>
      <c r="I868" s="11" t="str">
        <f>IF(DATA!B867&lt;&gt;"",DATA!B867,"")</f>
        <v>FFAU3802677</v>
      </c>
      <c r="J868" s="12">
        <v>0</v>
      </c>
      <c r="K868" s="11" t="s">
        <v>53</v>
      </c>
      <c r="L868" s="11" t="str">
        <f t="shared" si="56"/>
        <v>841459</v>
      </c>
      <c r="M868" s="11" t="str">
        <f>IF(I868&lt;&gt;"",DATA!E867,"")</f>
        <v>ELECTRONIC AXIAL FLOW FAN</v>
      </c>
      <c r="N868" s="12">
        <v>0</v>
      </c>
      <c r="O868" s="11">
        <f>IF(I868&lt;&gt;"",DATA!C867,"")</f>
        <v>50</v>
      </c>
      <c r="P868" s="2">
        <v>294094</v>
      </c>
      <c r="Q868" s="2" t="s">
        <v>1304</v>
      </c>
      <c r="R868" s="2" t="s">
        <v>1323</v>
      </c>
      <c r="S868" s="2">
        <v>578</v>
      </c>
      <c r="T868" s="2">
        <v>1</v>
      </c>
      <c r="U868" s="2" t="s">
        <v>141</v>
      </c>
      <c r="Y868" s="2">
        <v>1700</v>
      </c>
      <c r="Z868" s="11" t="s">
        <v>54</v>
      </c>
      <c r="AA868" s="11" t="str">
        <f t="shared" si="57"/>
        <v>1700 - TBN</v>
      </c>
      <c r="AC868" s="2" t="s">
        <v>145</v>
      </c>
      <c r="AD868" s="11" t="str">
        <f>IF($I868&lt;&gt;"",VLOOKUP($AC868,GEADRESSEERDE!$A$2:$E$4,2,),"")</f>
        <v>LUITHAGEN HAVEN 2 D</v>
      </c>
      <c r="AE868" s="11">
        <f>IF($I868&lt;&gt;"",VLOOKUP($AC868,GEADRESSEERDE!$A$2:$E$4,3,),"")</f>
        <v>2030</v>
      </c>
      <c r="AF868" s="11" t="str">
        <f>IF($I868&lt;&gt;"",VLOOKUP($AC868,GEADRESSEERDE!$A$2:$E$4,4,),"")</f>
        <v>ANTWERPEN</v>
      </c>
      <c r="AG868" s="11" t="str">
        <f>IF($I868&lt;&gt;"",VLOOKUP($AC868,GEADRESSEERDE!$A$2:$E$4,5,),"")</f>
        <v>BE</v>
      </c>
      <c r="AH868" s="11" t="str">
        <f>IF(I868&lt;&gt;"",VLOOKUP(AP868,KvB!$A$2:$B$3,2,FALSE),"")</f>
        <v>BE101000</v>
      </c>
      <c r="AI868" s="11" t="s">
        <v>55</v>
      </c>
      <c r="AJ868" s="11"/>
      <c r="AK868" s="11"/>
      <c r="AL868" s="11"/>
      <c r="AM868" s="11"/>
      <c r="AN868" s="11"/>
      <c r="AO868" s="11"/>
      <c r="AP868" s="2" t="s">
        <v>70</v>
      </c>
      <c r="AQ868" s="11" t="str">
        <f>IF(I868&lt;&gt;"",DATA!D867,"")</f>
        <v>8414599590</v>
      </c>
    </row>
    <row r="869" spans="1:43" ht="15.75" x14ac:dyDescent="0.25">
      <c r="A869" s="11" t="s">
        <v>57</v>
      </c>
      <c r="B869" s="11" t="s">
        <v>56</v>
      </c>
      <c r="C869" s="22">
        <f t="shared" si="58"/>
        <v>25001620</v>
      </c>
      <c r="D869" s="11" t="str">
        <f t="shared" si="55"/>
        <v>SKIIFM_AT</v>
      </c>
      <c r="E869" s="11" t="str">
        <f>IF(I869&lt;&gt;"",VLOOKUP(F869,OPDRACHTGEVER!$A$2:$B$4,2,FALSE),"")</f>
        <v>SKIIFM_AT</v>
      </c>
      <c r="F869" s="11" t="s">
        <v>58</v>
      </c>
      <c r="I869" s="11" t="str">
        <f>IF(DATA!B868&lt;&gt;"",DATA!B868,"")</f>
        <v>FFAU3802677</v>
      </c>
      <c r="J869" s="12">
        <v>0</v>
      </c>
      <c r="K869" s="11" t="s">
        <v>53</v>
      </c>
      <c r="L869" s="11" t="str">
        <f t="shared" si="56"/>
        <v>854442</v>
      </c>
      <c r="M869" s="11" t="str">
        <f>IF(I869&lt;&gt;"",DATA!E868,"")</f>
        <v>EXTENSION CORD WITH PLUG</v>
      </c>
      <c r="N869" s="12">
        <v>0</v>
      </c>
      <c r="O869" s="11">
        <f>IF(I869&lt;&gt;"",DATA!C868,"")</f>
        <v>1.77</v>
      </c>
      <c r="P869" s="2">
        <v>294094</v>
      </c>
      <c r="Q869" s="2" t="s">
        <v>1304</v>
      </c>
      <c r="R869" s="2" t="s">
        <v>1323</v>
      </c>
      <c r="S869" s="2">
        <v>578</v>
      </c>
      <c r="T869" s="2">
        <v>1</v>
      </c>
      <c r="U869" s="2" t="s">
        <v>141</v>
      </c>
      <c r="Y869" s="2">
        <v>1700</v>
      </c>
      <c r="Z869" s="11" t="s">
        <v>54</v>
      </c>
      <c r="AA869" s="11" t="str">
        <f t="shared" si="57"/>
        <v>1700 - TBN</v>
      </c>
      <c r="AC869" s="2" t="s">
        <v>145</v>
      </c>
      <c r="AD869" s="11" t="str">
        <f>IF($I869&lt;&gt;"",VLOOKUP($AC869,GEADRESSEERDE!$A$2:$E$4,2,),"")</f>
        <v>LUITHAGEN HAVEN 2 D</v>
      </c>
      <c r="AE869" s="11">
        <f>IF($I869&lt;&gt;"",VLOOKUP($AC869,GEADRESSEERDE!$A$2:$E$4,3,),"")</f>
        <v>2030</v>
      </c>
      <c r="AF869" s="11" t="str">
        <f>IF($I869&lt;&gt;"",VLOOKUP($AC869,GEADRESSEERDE!$A$2:$E$4,4,),"")</f>
        <v>ANTWERPEN</v>
      </c>
      <c r="AG869" s="11" t="str">
        <f>IF($I869&lt;&gt;"",VLOOKUP($AC869,GEADRESSEERDE!$A$2:$E$4,5,),"")</f>
        <v>BE</v>
      </c>
      <c r="AH869" s="11" t="str">
        <f>IF(I869&lt;&gt;"",VLOOKUP(AP869,KvB!$A$2:$B$3,2,FALSE),"")</f>
        <v>BE101000</v>
      </c>
      <c r="AI869" s="11" t="s">
        <v>55</v>
      </c>
      <c r="AJ869" s="11"/>
      <c r="AK869" s="11"/>
      <c r="AL869" s="11"/>
      <c r="AM869" s="11"/>
      <c r="AN869" s="11"/>
      <c r="AO869" s="11"/>
      <c r="AP869" s="2" t="s">
        <v>70</v>
      </c>
      <c r="AQ869" s="11" t="str">
        <f>IF(I869&lt;&gt;"",DATA!D868,"")</f>
        <v>8544429090</v>
      </c>
    </row>
    <row r="870" spans="1:43" ht="15.75" x14ac:dyDescent="0.25">
      <c r="A870" s="11" t="s">
        <v>57</v>
      </c>
      <c r="B870" s="11" t="s">
        <v>56</v>
      </c>
      <c r="C870" s="22">
        <f t="shared" si="58"/>
        <v>25001620</v>
      </c>
      <c r="D870" s="11" t="str">
        <f t="shared" si="55"/>
        <v>SKIIFM_AT</v>
      </c>
      <c r="E870" s="11" t="str">
        <f>IF(I870&lt;&gt;"",VLOOKUP(F870,OPDRACHTGEVER!$A$2:$B$4,2,FALSE),"")</f>
        <v>SKIIFM_AT</v>
      </c>
      <c r="F870" s="11" t="s">
        <v>58</v>
      </c>
      <c r="I870" s="11" t="str">
        <f>IF(DATA!B869&lt;&gt;"",DATA!B869,"")</f>
        <v>FFAU3802677</v>
      </c>
      <c r="J870" s="12">
        <v>0</v>
      </c>
      <c r="K870" s="11" t="s">
        <v>53</v>
      </c>
      <c r="L870" s="11" t="str">
        <f t="shared" si="56"/>
        <v>391739</v>
      </c>
      <c r="M870" s="11" t="str">
        <f>IF(I870&lt;&gt;"",DATA!E869,"")</f>
        <v>FLEXIBLE DUCT</v>
      </c>
      <c r="N870" s="12">
        <v>0</v>
      </c>
      <c r="O870" s="11">
        <f>IF(I870&lt;&gt;"",DATA!C869,"")</f>
        <v>357.5</v>
      </c>
      <c r="P870" s="2">
        <v>294094</v>
      </c>
      <c r="Q870" s="2" t="s">
        <v>1304</v>
      </c>
      <c r="R870" s="2" t="s">
        <v>1323</v>
      </c>
      <c r="S870" s="2">
        <v>578</v>
      </c>
      <c r="T870" s="2">
        <v>1</v>
      </c>
      <c r="U870" s="2" t="s">
        <v>141</v>
      </c>
      <c r="Y870" s="2">
        <v>1700</v>
      </c>
      <c r="Z870" s="11" t="s">
        <v>54</v>
      </c>
      <c r="AA870" s="11" t="str">
        <f t="shared" si="57"/>
        <v>1700 - TBN</v>
      </c>
      <c r="AC870" s="2" t="s">
        <v>145</v>
      </c>
      <c r="AD870" s="11" t="str">
        <f>IF($I870&lt;&gt;"",VLOOKUP($AC870,GEADRESSEERDE!$A$2:$E$4,2,),"")</f>
        <v>LUITHAGEN HAVEN 2 D</v>
      </c>
      <c r="AE870" s="11">
        <f>IF($I870&lt;&gt;"",VLOOKUP($AC870,GEADRESSEERDE!$A$2:$E$4,3,),"")</f>
        <v>2030</v>
      </c>
      <c r="AF870" s="11" t="str">
        <f>IF($I870&lt;&gt;"",VLOOKUP($AC870,GEADRESSEERDE!$A$2:$E$4,4,),"")</f>
        <v>ANTWERPEN</v>
      </c>
      <c r="AG870" s="11" t="str">
        <f>IF($I870&lt;&gt;"",VLOOKUP($AC870,GEADRESSEERDE!$A$2:$E$4,5,),"")</f>
        <v>BE</v>
      </c>
      <c r="AH870" s="11" t="str">
        <f>IF(I870&lt;&gt;"",VLOOKUP(AP870,KvB!$A$2:$B$3,2,FALSE),"")</f>
        <v>BE101000</v>
      </c>
      <c r="AI870" s="11" t="s">
        <v>55</v>
      </c>
      <c r="AJ870" s="11"/>
      <c r="AK870" s="11"/>
      <c r="AL870" s="11"/>
      <c r="AM870" s="11"/>
      <c r="AN870" s="11"/>
      <c r="AO870" s="11"/>
      <c r="AP870" s="2" t="s">
        <v>70</v>
      </c>
      <c r="AQ870" s="11" t="str">
        <f>IF(I870&lt;&gt;"",DATA!D869,"")</f>
        <v>3917390099</v>
      </c>
    </row>
    <row r="871" spans="1:43" ht="15.75" x14ac:dyDescent="0.25">
      <c r="A871" s="11" t="s">
        <v>57</v>
      </c>
      <c r="B871" s="11" t="s">
        <v>56</v>
      </c>
      <c r="C871" s="22">
        <f t="shared" si="58"/>
        <v>25001620</v>
      </c>
      <c r="D871" s="11" t="str">
        <f t="shared" si="55"/>
        <v>SKIIFM_AT</v>
      </c>
      <c r="E871" s="11" t="str">
        <f>IF(I871&lt;&gt;"",VLOOKUP(F871,OPDRACHTGEVER!$A$2:$B$4,2,FALSE),"")</f>
        <v>SKIIFM_AT</v>
      </c>
      <c r="F871" s="11" t="s">
        <v>58</v>
      </c>
      <c r="I871" s="11" t="str">
        <f>IF(DATA!B870&lt;&gt;"",DATA!B870,"")</f>
        <v>FFAU3802677</v>
      </c>
      <c r="J871" s="12">
        <v>0</v>
      </c>
      <c r="K871" s="11" t="s">
        <v>53</v>
      </c>
      <c r="L871" s="11" t="str">
        <f t="shared" si="56"/>
        <v>820110</v>
      </c>
      <c r="M871" s="11" t="str">
        <f>IF(I871&lt;&gt;"",DATA!E870,"")</f>
        <v>GARDEN TOOLS</v>
      </c>
      <c r="N871" s="12">
        <v>0</v>
      </c>
      <c r="O871" s="11">
        <f>IF(I871&lt;&gt;"",DATA!C870,"")</f>
        <v>2.6</v>
      </c>
      <c r="P871" s="2">
        <v>294094</v>
      </c>
      <c r="Q871" s="2" t="s">
        <v>1304</v>
      </c>
      <c r="R871" s="2" t="s">
        <v>1323</v>
      </c>
      <c r="S871" s="2">
        <v>578</v>
      </c>
      <c r="T871" s="2">
        <v>1</v>
      </c>
      <c r="U871" s="2" t="s">
        <v>141</v>
      </c>
      <c r="Y871" s="2">
        <v>1700</v>
      </c>
      <c r="Z871" s="11" t="s">
        <v>54</v>
      </c>
      <c r="AA871" s="11" t="str">
        <f t="shared" si="57"/>
        <v>1700 - TBN</v>
      </c>
      <c r="AC871" s="2" t="s">
        <v>145</v>
      </c>
      <c r="AD871" s="11" t="str">
        <f>IF($I871&lt;&gt;"",VLOOKUP($AC871,GEADRESSEERDE!$A$2:$E$4,2,),"")</f>
        <v>LUITHAGEN HAVEN 2 D</v>
      </c>
      <c r="AE871" s="11">
        <f>IF($I871&lt;&gt;"",VLOOKUP($AC871,GEADRESSEERDE!$A$2:$E$4,3,),"")</f>
        <v>2030</v>
      </c>
      <c r="AF871" s="11" t="str">
        <f>IF($I871&lt;&gt;"",VLOOKUP($AC871,GEADRESSEERDE!$A$2:$E$4,4,),"")</f>
        <v>ANTWERPEN</v>
      </c>
      <c r="AG871" s="11" t="str">
        <f>IF($I871&lt;&gt;"",VLOOKUP($AC871,GEADRESSEERDE!$A$2:$E$4,5,),"")</f>
        <v>BE</v>
      </c>
      <c r="AH871" s="11" t="str">
        <f>IF(I871&lt;&gt;"",VLOOKUP(AP871,KvB!$A$2:$B$3,2,FALSE),"")</f>
        <v>BE101000</v>
      </c>
      <c r="AI871" s="11" t="s">
        <v>55</v>
      </c>
      <c r="AJ871" s="11"/>
      <c r="AK871" s="11"/>
      <c r="AL871" s="11"/>
      <c r="AM871" s="11"/>
      <c r="AN871" s="11"/>
      <c r="AO871" s="11"/>
      <c r="AP871" s="2" t="s">
        <v>70</v>
      </c>
      <c r="AQ871" s="11" t="str">
        <f>IF(I871&lt;&gt;"",DATA!D870,"")</f>
        <v>8201100000</v>
      </c>
    </row>
    <row r="872" spans="1:43" ht="15.75" x14ac:dyDescent="0.25">
      <c r="A872" s="11" t="s">
        <v>57</v>
      </c>
      <c r="B872" s="11" t="s">
        <v>56</v>
      </c>
      <c r="C872" s="22">
        <f t="shared" si="58"/>
        <v>25001620</v>
      </c>
      <c r="D872" s="11" t="str">
        <f t="shared" si="55"/>
        <v>SKIIFM_AT</v>
      </c>
      <c r="E872" s="11" t="str">
        <f>IF(I872&lt;&gt;"",VLOOKUP(F872,OPDRACHTGEVER!$A$2:$B$4,2,FALSE),"")</f>
        <v>SKIIFM_AT</v>
      </c>
      <c r="F872" s="11" t="s">
        <v>58</v>
      </c>
      <c r="I872" s="11" t="str">
        <f>IF(DATA!B871&lt;&gt;"",DATA!B871,"")</f>
        <v>FFAU3802677</v>
      </c>
      <c r="J872" s="12">
        <v>0</v>
      </c>
      <c r="K872" s="11" t="s">
        <v>53</v>
      </c>
      <c r="L872" s="11" t="str">
        <f t="shared" si="56"/>
        <v>902580</v>
      </c>
      <c r="M872" s="11" t="str">
        <f>IF(I872&lt;&gt;"",DATA!E871,"")</f>
        <v>HANDHELD THERMOMETER</v>
      </c>
      <c r="N872" s="12">
        <v>0</v>
      </c>
      <c r="O872" s="11">
        <f>IF(I872&lt;&gt;"",DATA!C871,"")</f>
        <v>43.6</v>
      </c>
      <c r="P872" s="2">
        <v>294094</v>
      </c>
      <c r="Q872" s="2" t="s">
        <v>1304</v>
      </c>
      <c r="R872" s="2" t="s">
        <v>1323</v>
      </c>
      <c r="S872" s="2">
        <v>578</v>
      </c>
      <c r="T872" s="2">
        <v>1</v>
      </c>
      <c r="U872" s="2" t="s">
        <v>141</v>
      </c>
      <c r="Y872" s="2">
        <v>1700</v>
      </c>
      <c r="Z872" s="11" t="s">
        <v>54</v>
      </c>
      <c r="AA872" s="11" t="str">
        <f t="shared" si="57"/>
        <v>1700 - TBN</v>
      </c>
      <c r="AC872" s="2" t="s">
        <v>145</v>
      </c>
      <c r="AD872" s="11" t="str">
        <f>IF($I872&lt;&gt;"",VLOOKUP($AC872,GEADRESSEERDE!$A$2:$E$4,2,),"")</f>
        <v>LUITHAGEN HAVEN 2 D</v>
      </c>
      <c r="AE872" s="11">
        <f>IF($I872&lt;&gt;"",VLOOKUP($AC872,GEADRESSEERDE!$A$2:$E$4,3,),"")</f>
        <v>2030</v>
      </c>
      <c r="AF872" s="11" t="str">
        <f>IF($I872&lt;&gt;"",VLOOKUP($AC872,GEADRESSEERDE!$A$2:$E$4,4,),"")</f>
        <v>ANTWERPEN</v>
      </c>
      <c r="AG872" s="11" t="str">
        <f>IF($I872&lt;&gt;"",VLOOKUP($AC872,GEADRESSEERDE!$A$2:$E$4,5,),"")</f>
        <v>BE</v>
      </c>
      <c r="AH872" s="11" t="str">
        <f>IF(I872&lt;&gt;"",VLOOKUP(AP872,KvB!$A$2:$B$3,2,FALSE),"")</f>
        <v>BE101000</v>
      </c>
      <c r="AI872" s="11" t="s">
        <v>55</v>
      </c>
      <c r="AJ872" s="11"/>
      <c r="AK872" s="11"/>
      <c r="AL872" s="11"/>
      <c r="AM872" s="11"/>
      <c r="AN872" s="11"/>
      <c r="AO872" s="11"/>
      <c r="AP872" s="2" t="s">
        <v>70</v>
      </c>
      <c r="AQ872" s="11" t="str">
        <f>IF(I872&lt;&gt;"",DATA!D871,"")</f>
        <v>9025804089</v>
      </c>
    </row>
    <row r="873" spans="1:43" ht="15.75" x14ac:dyDescent="0.25">
      <c r="A873" s="11" t="s">
        <v>57</v>
      </c>
      <c r="B873" s="11" t="s">
        <v>56</v>
      </c>
      <c r="C873" s="22">
        <f t="shared" si="58"/>
        <v>25001620</v>
      </c>
      <c r="D873" s="11" t="str">
        <f t="shared" si="55"/>
        <v>SKIIFM_AT</v>
      </c>
      <c r="E873" s="11" t="str">
        <f>IF(I873&lt;&gt;"",VLOOKUP(F873,OPDRACHTGEVER!$A$2:$B$4,2,FALSE),"")</f>
        <v>SKIIFM_AT</v>
      </c>
      <c r="F873" s="11" t="s">
        <v>58</v>
      </c>
      <c r="I873" s="11" t="str">
        <f>IF(DATA!B872&lt;&gt;"",DATA!B872,"")</f>
        <v>FFAU3802677</v>
      </c>
      <c r="J873" s="12">
        <v>0</v>
      </c>
      <c r="K873" s="11" t="s">
        <v>53</v>
      </c>
      <c r="L873" s="11" t="str">
        <f t="shared" si="56"/>
        <v>841950</v>
      </c>
      <c r="M873" s="11" t="str">
        <f>IF(I873&lt;&gt;"",DATA!E872,"")</f>
        <v>HEAT EXCHANGER</v>
      </c>
      <c r="N873" s="12">
        <v>0</v>
      </c>
      <c r="O873" s="11">
        <f>IF(I873&lt;&gt;"",DATA!C872,"")</f>
        <v>2.3199999999999998</v>
      </c>
      <c r="P873" s="2">
        <v>294094</v>
      </c>
      <c r="Q873" s="2" t="s">
        <v>1304</v>
      </c>
      <c r="R873" s="2" t="s">
        <v>1323</v>
      </c>
      <c r="S873" s="2">
        <v>578</v>
      </c>
      <c r="T873" s="2">
        <v>1</v>
      </c>
      <c r="U873" s="2" t="s">
        <v>141</v>
      </c>
      <c r="Y873" s="2">
        <v>1700</v>
      </c>
      <c r="Z873" s="11" t="s">
        <v>54</v>
      </c>
      <c r="AA873" s="11" t="str">
        <f t="shared" si="57"/>
        <v>1700 - TBN</v>
      </c>
      <c r="AC873" s="2" t="s">
        <v>145</v>
      </c>
      <c r="AD873" s="11" t="str">
        <f>IF($I873&lt;&gt;"",VLOOKUP($AC873,GEADRESSEERDE!$A$2:$E$4,2,),"")</f>
        <v>LUITHAGEN HAVEN 2 D</v>
      </c>
      <c r="AE873" s="11">
        <f>IF($I873&lt;&gt;"",VLOOKUP($AC873,GEADRESSEERDE!$A$2:$E$4,3,),"")</f>
        <v>2030</v>
      </c>
      <c r="AF873" s="11" t="str">
        <f>IF($I873&lt;&gt;"",VLOOKUP($AC873,GEADRESSEERDE!$A$2:$E$4,4,),"")</f>
        <v>ANTWERPEN</v>
      </c>
      <c r="AG873" s="11" t="str">
        <f>IF($I873&lt;&gt;"",VLOOKUP($AC873,GEADRESSEERDE!$A$2:$E$4,5,),"")</f>
        <v>BE</v>
      </c>
      <c r="AH873" s="11" t="str">
        <f>IF(I873&lt;&gt;"",VLOOKUP(AP873,KvB!$A$2:$B$3,2,FALSE),"")</f>
        <v>BE101000</v>
      </c>
      <c r="AI873" s="11" t="s">
        <v>55</v>
      </c>
      <c r="AJ873" s="11"/>
      <c r="AK873" s="11"/>
      <c r="AL873" s="11"/>
      <c r="AM873" s="11"/>
      <c r="AN873" s="11"/>
      <c r="AO873" s="11"/>
      <c r="AP873" s="2" t="s">
        <v>70</v>
      </c>
      <c r="AQ873" s="11" t="str">
        <f>IF(I873&lt;&gt;"",DATA!D872,"")</f>
        <v>8419508090</v>
      </c>
    </row>
    <row r="874" spans="1:43" ht="15.75" x14ac:dyDescent="0.25">
      <c r="A874" s="11" t="s">
        <v>57</v>
      </c>
      <c r="B874" s="11" t="s">
        <v>56</v>
      </c>
      <c r="C874" s="22">
        <f t="shared" si="58"/>
        <v>25001620</v>
      </c>
      <c r="D874" s="11" t="str">
        <f t="shared" si="55"/>
        <v>SKIIFM_AT</v>
      </c>
      <c r="E874" s="11" t="str">
        <f>IF(I874&lt;&gt;"",VLOOKUP(F874,OPDRACHTGEVER!$A$2:$B$4,2,FALSE),"")</f>
        <v>SKIIFM_AT</v>
      </c>
      <c r="F874" s="11" t="s">
        <v>58</v>
      </c>
      <c r="I874" s="11" t="str">
        <f>IF(DATA!B873&lt;&gt;"",DATA!B873,"")</f>
        <v>FFAU3802677</v>
      </c>
      <c r="J874" s="12">
        <v>0</v>
      </c>
      <c r="K874" s="11" t="s">
        <v>53</v>
      </c>
      <c r="L874" s="11" t="str">
        <f t="shared" si="56"/>
        <v>820600</v>
      </c>
      <c r="M874" s="11" t="str">
        <f>IF(I874&lt;&gt;"",DATA!E873,"")</f>
        <v>HOUSEHOLD HAND TOOL KIT</v>
      </c>
      <c r="N874" s="12">
        <v>0</v>
      </c>
      <c r="O874" s="11">
        <f>IF(I874&lt;&gt;"",DATA!C873,"")</f>
        <v>198.4</v>
      </c>
      <c r="P874" s="2">
        <v>294094</v>
      </c>
      <c r="Q874" s="2" t="s">
        <v>1304</v>
      </c>
      <c r="R874" s="2" t="s">
        <v>1323</v>
      </c>
      <c r="S874" s="2">
        <v>578</v>
      </c>
      <c r="T874" s="2">
        <v>1</v>
      </c>
      <c r="U874" s="2" t="s">
        <v>141</v>
      </c>
      <c r="Y874" s="2">
        <v>1700</v>
      </c>
      <c r="Z874" s="11" t="s">
        <v>54</v>
      </c>
      <c r="AA874" s="11" t="str">
        <f t="shared" si="57"/>
        <v>1700 - TBN</v>
      </c>
      <c r="AC874" s="2" t="s">
        <v>145</v>
      </c>
      <c r="AD874" s="11" t="str">
        <f>IF($I874&lt;&gt;"",VLOOKUP($AC874,GEADRESSEERDE!$A$2:$E$4,2,),"")</f>
        <v>LUITHAGEN HAVEN 2 D</v>
      </c>
      <c r="AE874" s="11">
        <f>IF($I874&lt;&gt;"",VLOOKUP($AC874,GEADRESSEERDE!$A$2:$E$4,3,),"")</f>
        <v>2030</v>
      </c>
      <c r="AF874" s="11" t="str">
        <f>IF($I874&lt;&gt;"",VLOOKUP($AC874,GEADRESSEERDE!$A$2:$E$4,4,),"")</f>
        <v>ANTWERPEN</v>
      </c>
      <c r="AG874" s="11" t="str">
        <f>IF($I874&lt;&gt;"",VLOOKUP($AC874,GEADRESSEERDE!$A$2:$E$4,5,),"")</f>
        <v>BE</v>
      </c>
      <c r="AH874" s="11" t="str">
        <f>IF(I874&lt;&gt;"",VLOOKUP(AP874,KvB!$A$2:$B$3,2,FALSE),"")</f>
        <v>BE101000</v>
      </c>
      <c r="AI874" s="11" t="s">
        <v>55</v>
      </c>
      <c r="AJ874" s="11"/>
      <c r="AK874" s="11"/>
      <c r="AL874" s="11"/>
      <c r="AM874" s="11"/>
      <c r="AN874" s="11"/>
      <c r="AO874" s="11"/>
      <c r="AP874" s="2" t="s">
        <v>70</v>
      </c>
      <c r="AQ874" s="11" t="str">
        <f>IF(I874&lt;&gt;"",DATA!D873,"")</f>
        <v>8206000000</v>
      </c>
    </row>
    <row r="875" spans="1:43" ht="15.75" x14ac:dyDescent="0.25">
      <c r="A875" s="11" t="s">
        <v>57</v>
      </c>
      <c r="B875" s="11" t="s">
        <v>56</v>
      </c>
      <c r="C875" s="22">
        <f t="shared" si="58"/>
        <v>25001620</v>
      </c>
      <c r="D875" s="11" t="str">
        <f t="shared" si="55"/>
        <v>SKIIFM_AT</v>
      </c>
      <c r="E875" s="11" t="str">
        <f>IF(I875&lt;&gt;"",VLOOKUP(F875,OPDRACHTGEVER!$A$2:$B$4,2,FALSE),"")</f>
        <v>SKIIFM_AT</v>
      </c>
      <c r="F875" s="11" t="s">
        <v>58</v>
      </c>
      <c r="I875" s="11" t="str">
        <f>IF(DATA!B874&lt;&gt;"",DATA!B874,"")</f>
        <v>FFAU3802677</v>
      </c>
      <c r="J875" s="12">
        <v>0</v>
      </c>
      <c r="K875" s="11" t="s">
        <v>53</v>
      </c>
      <c r="L875" s="11" t="str">
        <f t="shared" si="56"/>
        <v>847989</v>
      </c>
      <c r="M875" s="11" t="str">
        <f>IF(I875&lt;&gt;"",DATA!E874,"")</f>
        <v>HUMIDIFIER</v>
      </c>
      <c r="N875" s="12">
        <v>0</v>
      </c>
      <c r="O875" s="11">
        <f>IF(I875&lt;&gt;"",DATA!C874,"")</f>
        <v>2.1</v>
      </c>
      <c r="P875" s="2">
        <v>294094</v>
      </c>
      <c r="Q875" s="2" t="s">
        <v>1304</v>
      </c>
      <c r="R875" s="2" t="s">
        <v>1323</v>
      </c>
      <c r="S875" s="2">
        <v>578</v>
      </c>
      <c r="T875" s="2">
        <v>1</v>
      </c>
      <c r="U875" s="2" t="s">
        <v>141</v>
      </c>
      <c r="Y875" s="2">
        <v>1700</v>
      </c>
      <c r="Z875" s="11" t="s">
        <v>54</v>
      </c>
      <c r="AA875" s="11" t="str">
        <f t="shared" si="57"/>
        <v>1700 - TBN</v>
      </c>
      <c r="AC875" s="2" t="s">
        <v>145</v>
      </c>
      <c r="AD875" s="11" t="str">
        <f>IF($I875&lt;&gt;"",VLOOKUP($AC875,GEADRESSEERDE!$A$2:$E$4,2,),"")</f>
        <v>LUITHAGEN HAVEN 2 D</v>
      </c>
      <c r="AE875" s="11">
        <f>IF($I875&lt;&gt;"",VLOOKUP($AC875,GEADRESSEERDE!$A$2:$E$4,3,),"")</f>
        <v>2030</v>
      </c>
      <c r="AF875" s="11" t="str">
        <f>IF($I875&lt;&gt;"",VLOOKUP($AC875,GEADRESSEERDE!$A$2:$E$4,4,),"")</f>
        <v>ANTWERPEN</v>
      </c>
      <c r="AG875" s="11" t="str">
        <f>IF($I875&lt;&gt;"",VLOOKUP($AC875,GEADRESSEERDE!$A$2:$E$4,5,),"")</f>
        <v>BE</v>
      </c>
      <c r="AH875" s="11" t="str">
        <f>IF(I875&lt;&gt;"",VLOOKUP(AP875,KvB!$A$2:$B$3,2,FALSE),"")</f>
        <v>BE101000</v>
      </c>
      <c r="AI875" s="11" t="s">
        <v>55</v>
      </c>
      <c r="AJ875" s="11"/>
      <c r="AK875" s="11"/>
      <c r="AL875" s="11"/>
      <c r="AM875" s="11"/>
      <c r="AN875" s="11"/>
      <c r="AO875" s="11"/>
      <c r="AP875" s="2" t="s">
        <v>70</v>
      </c>
      <c r="AQ875" s="11" t="str">
        <f>IF(I875&lt;&gt;"",DATA!D874,"")</f>
        <v>8479899790</v>
      </c>
    </row>
    <row r="876" spans="1:43" ht="15.75" x14ac:dyDescent="0.25">
      <c r="A876" s="11" t="s">
        <v>57</v>
      </c>
      <c r="B876" s="11" t="s">
        <v>56</v>
      </c>
      <c r="C876" s="22">
        <f t="shared" si="58"/>
        <v>25001620</v>
      </c>
      <c r="D876" s="11" t="str">
        <f t="shared" si="55"/>
        <v>SKIIFM_AT</v>
      </c>
      <c r="E876" s="11" t="str">
        <f>IF(I876&lt;&gt;"",VLOOKUP(F876,OPDRACHTGEVER!$A$2:$B$4,2,FALSE),"")</f>
        <v>SKIIFM_AT</v>
      </c>
      <c r="F876" s="11" t="s">
        <v>58</v>
      </c>
      <c r="I876" s="11" t="str">
        <f>IF(DATA!B875&lt;&gt;"",DATA!B875,"")</f>
        <v>FFAU3802677</v>
      </c>
      <c r="J876" s="12">
        <v>0</v>
      </c>
      <c r="K876" s="11" t="s">
        <v>53</v>
      </c>
      <c r="L876" s="11" t="str">
        <f t="shared" si="56"/>
        <v>846789</v>
      </c>
      <c r="M876" s="11" t="str">
        <f>IF(I876&lt;&gt;"",DATA!E875,"")</f>
        <v>HYDRAULIC  LIFT  MECHANISMS</v>
      </c>
      <c r="N876" s="12">
        <v>0</v>
      </c>
      <c r="O876" s="11">
        <f>IF(I876&lt;&gt;"",DATA!C875,"")</f>
        <v>402</v>
      </c>
      <c r="P876" s="2">
        <v>294094</v>
      </c>
      <c r="Q876" s="2" t="s">
        <v>1304</v>
      </c>
      <c r="R876" s="2" t="s">
        <v>1323</v>
      </c>
      <c r="S876" s="2">
        <v>578</v>
      </c>
      <c r="T876" s="2">
        <v>1</v>
      </c>
      <c r="U876" s="2" t="s">
        <v>141</v>
      </c>
      <c r="Y876" s="2">
        <v>1700</v>
      </c>
      <c r="Z876" s="11" t="s">
        <v>54</v>
      </c>
      <c r="AA876" s="11" t="str">
        <f t="shared" si="57"/>
        <v>1700 - TBN</v>
      </c>
      <c r="AC876" s="2" t="s">
        <v>145</v>
      </c>
      <c r="AD876" s="11" t="str">
        <f>IF($I876&lt;&gt;"",VLOOKUP($AC876,GEADRESSEERDE!$A$2:$E$4,2,),"")</f>
        <v>LUITHAGEN HAVEN 2 D</v>
      </c>
      <c r="AE876" s="11">
        <f>IF($I876&lt;&gt;"",VLOOKUP($AC876,GEADRESSEERDE!$A$2:$E$4,3,),"")</f>
        <v>2030</v>
      </c>
      <c r="AF876" s="11" t="str">
        <f>IF($I876&lt;&gt;"",VLOOKUP($AC876,GEADRESSEERDE!$A$2:$E$4,4,),"")</f>
        <v>ANTWERPEN</v>
      </c>
      <c r="AG876" s="11" t="str">
        <f>IF($I876&lt;&gt;"",VLOOKUP($AC876,GEADRESSEERDE!$A$2:$E$4,5,),"")</f>
        <v>BE</v>
      </c>
      <c r="AH876" s="11" t="str">
        <f>IF(I876&lt;&gt;"",VLOOKUP(AP876,KvB!$A$2:$B$3,2,FALSE),"")</f>
        <v>BE101000</v>
      </c>
      <c r="AI876" s="11" t="s">
        <v>55</v>
      </c>
      <c r="AJ876" s="11"/>
      <c r="AK876" s="11"/>
      <c r="AL876" s="11"/>
      <c r="AM876" s="11"/>
      <c r="AN876" s="11"/>
      <c r="AO876" s="11"/>
      <c r="AP876" s="2" t="s">
        <v>70</v>
      </c>
      <c r="AQ876" s="11" t="str">
        <f>IF(I876&lt;&gt;"",DATA!D875,"")</f>
        <v>8467890000</v>
      </c>
    </row>
    <row r="877" spans="1:43" ht="15.75" x14ac:dyDescent="0.25">
      <c r="A877" s="11" t="s">
        <v>57</v>
      </c>
      <c r="B877" s="11" t="s">
        <v>56</v>
      </c>
      <c r="C877" s="22">
        <f t="shared" si="58"/>
        <v>25001620</v>
      </c>
      <c r="D877" s="11" t="str">
        <f t="shared" si="55"/>
        <v>SKIIFM_AT</v>
      </c>
      <c r="E877" s="11" t="str">
        <f>IF(I877&lt;&gt;"",VLOOKUP(F877,OPDRACHTGEVER!$A$2:$B$4,2,FALSE),"")</f>
        <v>SKIIFM_AT</v>
      </c>
      <c r="F877" s="11" t="s">
        <v>58</v>
      </c>
      <c r="I877" s="11" t="str">
        <f>IF(DATA!B876&lt;&gt;"",DATA!B876,"")</f>
        <v>FFAU3802677</v>
      </c>
      <c r="J877" s="12">
        <v>0</v>
      </c>
      <c r="K877" s="11" t="s">
        <v>53</v>
      </c>
      <c r="L877" s="11" t="str">
        <f t="shared" si="56"/>
        <v>846719</v>
      </c>
      <c r="M877" s="11" t="str">
        <f>IF(I877&lt;&gt;"",DATA!E876,"")</f>
        <v>ICE HOCKEY PRESS</v>
      </c>
      <c r="N877" s="12">
        <v>0</v>
      </c>
      <c r="O877" s="11">
        <f>IF(I877&lt;&gt;"",DATA!C876,"")</f>
        <v>2.9</v>
      </c>
      <c r="P877" s="2">
        <v>294094</v>
      </c>
      <c r="Q877" s="2" t="s">
        <v>1304</v>
      </c>
      <c r="R877" s="2" t="s">
        <v>1323</v>
      </c>
      <c r="S877" s="2">
        <v>578</v>
      </c>
      <c r="T877" s="2">
        <v>1</v>
      </c>
      <c r="U877" s="2" t="s">
        <v>141</v>
      </c>
      <c r="Y877" s="2">
        <v>1700</v>
      </c>
      <c r="Z877" s="11" t="s">
        <v>54</v>
      </c>
      <c r="AA877" s="11" t="str">
        <f t="shared" si="57"/>
        <v>1700 - TBN</v>
      </c>
      <c r="AC877" s="2" t="s">
        <v>145</v>
      </c>
      <c r="AD877" s="11" t="str">
        <f>IF($I877&lt;&gt;"",VLOOKUP($AC877,GEADRESSEERDE!$A$2:$E$4,2,),"")</f>
        <v>LUITHAGEN HAVEN 2 D</v>
      </c>
      <c r="AE877" s="11">
        <f>IF($I877&lt;&gt;"",VLOOKUP($AC877,GEADRESSEERDE!$A$2:$E$4,3,),"")</f>
        <v>2030</v>
      </c>
      <c r="AF877" s="11" t="str">
        <f>IF($I877&lt;&gt;"",VLOOKUP($AC877,GEADRESSEERDE!$A$2:$E$4,4,),"")</f>
        <v>ANTWERPEN</v>
      </c>
      <c r="AG877" s="11" t="str">
        <f>IF($I877&lt;&gt;"",VLOOKUP($AC877,GEADRESSEERDE!$A$2:$E$4,5,),"")</f>
        <v>BE</v>
      </c>
      <c r="AH877" s="11" t="str">
        <f>IF(I877&lt;&gt;"",VLOOKUP(AP877,KvB!$A$2:$B$3,2,FALSE),"")</f>
        <v>BE101000</v>
      </c>
      <c r="AI877" s="11" t="s">
        <v>55</v>
      </c>
      <c r="AJ877" s="11"/>
      <c r="AK877" s="11"/>
      <c r="AL877" s="11"/>
      <c r="AM877" s="11"/>
      <c r="AN877" s="11"/>
      <c r="AO877" s="11"/>
      <c r="AP877" s="2" t="s">
        <v>70</v>
      </c>
      <c r="AQ877" s="11" t="str">
        <f>IF(I877&lt;&gt;"",DATA!D876,"")</f>
        <v>8467190000</v>
      </c>
    </row>
    <row r="878" spans="1:43" ht="15.75" x14ac:dyDescent="0.25">
      <c r="A878" s="11" t="s">
        <v>57</v>
      </c>
      <c r="B878" s="11" t="s">
        <v>56</v>
      </c>
      <c r="C878" s="22">
        <f t="shared" si="58"/>
        <v>25001620</v>
      </c>
      <c r="D878" s="11" t="str">
        <f t="shared" si="55"/>
        <v>SKIIFM_AT</v>
      </c>
      <c r="E878" s="11" t="str">
        <f>IF(I878&lt;&gt;"",VLOOKUP(F878,OPDRACHTGEVER!$A$2:$B$4,2,FALSE),"")</f>
        <v>SKIIFM_AT</v>
      </c>
      <c r="F878" s="11" t="s">
        <v>58</v>
      </c>
      <c r="I878" s="11" t="str">
        <f>IF(DATA!B877&lt;&gt;"",DATA!B877,"")</f>
        <v>FFAU3802677</v>
      </c>
      <c r="J878" s="12">
        <v>0</v>
      </c>
      <c r="K878" s="11" t="s">
        <v>53</v>
      </c>
      <c r="L878" s="11" t="str">
        <f t="shared" si="56"/>
        <v>392690</v>
      </c>
      <c r="M878" s="11" t="str">
        <f>IF(I878&lt;&gt;"",DATA!E877,"")</f>
        <v>INFLATABLE PAINT BOOTH WITH CENTRE DOOR</v>
      </c>
      <c r="N878" s="12">
        <v>0</v>
      </c>
      <c r="O878" s="11">
        <f>IF(I878&lt;&gt;"",DATA!C877,"")</f>
        <v>220.4</v>
      </c>
      <c r="P878" s="2">
        <v>294094</v>
      </c>
      <c r="Q878" s="2" t="s">
        <v>1304</v>
      </c>
      <c r="R878" s="2" t="s">
        <v>1323</v>
      </c>
      <c r="S878" s="2">
        <v>578</v>
      </c>
      <c r="T878" s="2">
        <v>1</v>
      </c>
      <c r="U878" s="2" t="s">
        <v>141</v>
      </c>
      <c r="Y878" s="2">
        <v>1700</v>
      </c>
      <c r="Z878" s="11" t="s">
        <v>54</v>
      </c>
      <c r="AA878" s="11" t="str">
        <f t="shared" si="57"/>
        <v>1700 - TBN</v>
      </c>
      <c r="AC878" s="2" t="s">
        <v>145</v>
      </c>
      <c r="AD878" s="11" t="str">
        <f>IF($I878&lt;&gt;"",VLOOKUP($AC878,GEADRESSEERDE!$A$2:$E$4,2,),"")</f>
        <v>LUITHAGEN HAVEN 2 D</v>
      </c>
      <c r="AE878" s="11">
        <f>IF($I878&lt;&gt;"",VLOOKUP($AC878,GEADRESSEERDE!$A$2:$E$4,3,),"")</f>
        <v>2030</v>
      </c>
      <c r="AF878" s="11" t="str">
        <f>IF($I878&lt;&gt;"",VLOOKUP($AC878,GEADRESSEERDE!$A$2:$E$4,4,),"")</f>
        <v>ANTWERPEN</v>
      </c>
      <c r="AG878" s="11" t="str">
        <f>IF($I878&lt;&gt;"",VLOOKUP($AC878,GEADRESSEERDE!$A$2:$E$4,5,),"")</f>
        <v>BE</v>
      </c>
      <c r="AH878" s="11" t="str">
        <f>IF(I878&lt;&gt;"",VLOOKUP(AP878,KvB!$A$2:$B$3,2,FALSE),"")</f>
        <v>BE101000</v>
      </c>
      <c r="AI878" s="11" t="s">
        <v>55</v>
      </c>
      <c r="AJ878" s="11"/>
      <c r="AK878" s="11"/>
      <c r="AL878" s="11"/>
      <c r="AM878" s="11"/>
      <c r="AN878" s="11"/>
      <c r="AO878" s="11"/>
      <c r="AP878" s="2" t="s">
        <v>70</v>
      </c>
      <c r="AQ878" s="11" t="str">
        <f>IF(I878&lt;&gt;"",DATA!D877,"")</f>
        <v>3926909790</v>
      </c>
    </row>
    <row r="879" spans="1:43" ht="15.75" x14ac:dyDescent="0.25">
      <c r="A879" s="11" t="s">
        <v>57</v>
      </c>
      <c r="B879" s="11" t="s">
        <v>56</v>
      </c>
      <c r="C879" s="22">
        <f t="shared" si="58"/>
        <v>25001620</v>
      </c>
      <c r="D879" s="11" t="str">
        <f t="shared" si="55"/>
        <v>SKIIFM_AT</v>
      </c>
      <c r="E879" s="11" t="str">
        <f>IF(I879&lt;&gt;"",VLOOKUP(F879,OPDRACHTGEVER!$A$2:$B$4,2,FALSE),"")</f>
        <v>SKIIFM_AT</v>
      </c>
      <c r="F879" s="11" t="s">
        <v>58</v>
      </c>
      <c r="I879" s="11" t="str">
        <f>IF(DATA!B878&lt;&gt;"",DATA!B878,"")</f>
        <v>FFAU3802677</v>
      </c>
      <c r="J879" s="12">
        <v>0</v>
      </c>
      <c r="K879" s="11" t="s">
        <v>53</v>
      </c>
      <c r="L879" s="11" t="str">
        <f t="shared" si="56"/>
        <v>902750</v>
      </c>
      <c r="M879" s="11" t="str">
        <f>IF(I879&lt;&gt;"",DATA!E878,"")</f>
        <v>INFRARED THERMAL IMAGER</v>
      </c>
      <c r="N879" s="12">
        <v>0</v>
      </c>
      <c r="O879" s="11">
        <f>IF(I879&lt;&gt;"",DATA!C878,"")</f>
        <v>0.25</v>
      </c>
      <c r="P879" s="2">
        <v>294094</v>
      </c>
      <c r="Q879" s="2" t="s">
        <v>1304</v>
      </c>
      <c r="R879" s="2" t="s">
        <v>1323</v>
      </c>
      <c r="S879" s="2">
        <v>578</v>
      </c>
      <c r="T879" s="2">
        <v>1</v>
      </c>
      <c r="U879" s="2" t="s">
        <v>141</v>
      </c>
      <c r="Y879" s="2">
        <v>1700</v>
      </c>
      <c r="Z879" s="11" t="s">
        <v>54</v>
      </c>
      <c r="AA879" s="11" t="str">
        <f t="shared" si="57"/>
        <v>1700 - TBN</v>
      </c>
      <c r="AC879" s="2" t="s">
        <v>145</v>
      </c>
      <c r="AD879" s="11" t="str">
        <f>IF($I879&lt;&gt;"",VLOOKUP($AC879,GEADRESSEERDE!$A$2:$E$4,2,),"")</f>
        <v>LUITHAGEN HAVEN 2 D</v>
      </c>
      <c r="AE879" s="11">
        <f>IF($I879&lt;&gt;"",VLOOKUP($AC879,GEADRESSEERDE!$A$2:$E$4,3,),"")</f>
        <v>2030</v>
      </c>
      <c r="AF879" s="11" t="str">
        <f>IF($I879&lt;&gt;"",VLOOKUP($AC879,GEADRESSEERDE!$A$2:$E$4,4,),"")</f>
        <v>ANTWERPEN</v>
      </c>
      <c r="AG879" s="11" t="str">
        <f>IF($I879&lt;&gt;"",VLOOKUP($AC879,GEADRESSEERDE!$A$2:$E$4,5,),"")</f>
        <v>BE</v>
      </c>
      <c r="AH879" s="11" t="str">
        <f>IF(I879&lt;&gt;"",VLOOKUP(AP879,KvB!$A$2:$B$3,2,FALSE),"")</f>
        <v>BE101000</v>
      </c>
      <c r="AI879" s="11" t="s">
        <v>55</v>
      </c>
      <c r="AJ879" s="11"/>
      <c r="AK879" s="11"/>
      <c r="AL879" s="11"/>
      <c r="AM879" s="11"/>
      <c r="AN879" s="11"/>
      <c r="AO879" s="11"/>
      <c r="AP879" s="2" t="s">
        <v>70</v>
      </c>
      <c r="AQ879" s="11" t="str">
        <f>IF(I879&lt;&gt;"",DATA!D878,"")</f>
        <v>9027500000</v>
      </c>
    </row>
    <row r="880" spans="1:43" ht="15.75" x14ac:dyDescent="0.25">
      <c r="A880" s="11" t="s">
        <v>57</v>
      </c>
      <c r="B880" s="11" t="s">
        <v>56</v>
      </c>
      <c r="C880" s="22">
        <f t="shared" si="58"/>
        <v>25001620</v>
      </c>
      <c r="D880" s="11" t="str">
        <f t="shared" si="55"/>
        <v>SKIIFM_AT</v>
      </c>
      <c r="E880" s="11" t="str">
        <f>IF(I880&lt;&gt;"",VLOOKUP(F880,OPDRACHTGEVER!$A$2:$B$4,2,FALSE),"")</f>
        <v>SKIIFM_AT</v>
      </c>
      <c r="F880" s="11" t="s">
        <v>58</v>
      </c>
      <c r="I880" s="11" t="str">
        <f>IF(DATA!B879&lt;&gt;"",DATA!B879,"")</f>
        <v>FFAU3802677</v>
      </c>
      <c r="J880" s="12">
        <v>0</v>
      </c>
      <c r="K880" s="11" t="s">
        <v>53</v>
      </c>
      <c r="L880" s="11" t="str">
        <f t="shared" si="56"/>
        <v>401691</v>
      </c>
      <c r="M880" s="11" t="str">
        <f>IF(I880&lt;&gt;"",DATA!E879,"")</f>
        <v>INSULATING COTTON</v>
      </c>
      <c r="N880" s="12">
        <v>0</v>
      </c>
      <c r="O880" s="11">
        <f>IF(I880&lt;&gt;"",DATA!C879,"")</f>
        <v>13.8</v>
      </c>
      <c r="P880" s="2">
        <v>294094</v>
      </c>
      <c r="Q880" s="2" t="s">
        <v>1304</v>
      </c>
      <c r="R880" s="2" t="s">
        <v>1323</v>
      </c>
      <c r="S880" s="2">
        <v>578</v>
      </c>
      <c r="T880" s="2">
        <v>1</v>
      </c>
      <c r="U880" s="2" t="s">
        <v>141</v>
      </c>
      <c r="Y880" s="2">
        <v>1700</v>
      </c>
      <c r="Z880" s="11" t="s">
        <v>54</v>
      </c>
      <c r="AA880" s="11" t="str">
        <f t="shared" si="57"/>
        <v>1700 - TBN</v>
      </c>
      <c r="AC880" s="2" t="s">
        <v>145</v>
      </c>
      <c r="AD880" s="11" t="str">
        <f>IF($I880&lt;&gt;"",VLOOKUP($AC880,GEADRESSEERDE!$A$2:$E$4,2,),"")</f>
        <v>LUITHAGEN HAVEN 2 D</v>
      </c>
      <c r="AE880" s="11">
        <f>IF($I880&lt;&gt;"",VLOOKUP($AC880,GEADRESSEERDE!$A$2:$E$4,3,),"")</f>
        <v>2030</v>
      </c>
      <c r="AF880" s="11" t="str">
        <f>IF($I880&lt;&gt;"",VLOOKUP($AC880,GEADRESSEERDE!$A$2:$E$4,4,),"")</f>
        <v>ANTWERPEN</v>
      </c>
      <c r="AG880" s="11" t="str">
        <f>IF($I880&lt;&gt;"",VLOOKUP($AC880,GEADRESSEERDE!$A$2:$E$4,5,),"")</f>
        <v>BE</v>
      </c>
      <c r="AH880" s="11" t="str">
        <f>IF(I880&lt;&gt;"",VLOOKUP(AP880,KvB!$A$2:$B$3,2,FALSE),"")</f>
        <v>BE101000</v>
      </c>
      <c r="AI880" s="11" t="s">
        <v>55</v>
      </c>
      <c r="AJ880" s="11"/>
      <c r="AK880" s="11"/>
      <c r="AL880" s="11"/>
      <c r="AM880" s="11"/>
      <c r="AN880" s="11"/>
      <c r="AO880" s="11"/>
      <c r="AP880" s="2" t="s">
        <v>70</v>
      </c>
      <c r="AQ880" s="11" t="str">
        <f>IF(I880&lt;&gt;"",DATA!D879,"")</f>
        <v>4016910000</v>
      </c>
    </row>
    <row r="881" spans="1:43" ht="15.75" x14ac:dyDescent="0.25">
      <c r="A881" s="11" t="s">
        <v>57</v>
      </c>
      <c r="B881" s="11" t="s">
        <v>56</v>
      </c>
      <c r="C881" s="22">
        <f t="shared" si="58"/>
        <v>25001620</v>
      </c>
      <c r="D881" s="11" t="str">
        <f t="shared" si="55"/>
        <v>SKIIFM_AT</v>
      </c>
      <c r="E881" s="11" t="str">
        <f>IF(I881&lt;&gt;"",VLOOKUP(F881,OPDRACHTGEVER!$A$2:$B$4,2,FALSE),"")</f>
        <v>SKIIFM_AT</v>
      </c>
      <c r="F881" s="11" t="s">
        <v>58</v>
      </c>
      <c r="I881" s="11" t="str">
        <f>IF(DATA!B880&lt;&gt;"",DATA!B880,"")</f>
        <v>FFAU3802677</v>
      </c>
      <c r="J881" s="12">
        <v>0</v>
      </c>
      <c r="K881" s="11" t="s">
        <v>53</v>
      </c>
      <c r="L881" s="11" t="str">
        <f t="shared" si="56"/>
        <v>902300</v>
      </c>
      <c r="M881" s="11" t="str">
        <f>IF(I881&lt;&gt;"",DATA!E880,"")</f>
        <v>INTUBATION MANIKIN STUDY TEACHING MODEL</v>
      </c>
      <c r="N881" s="12">
        <v>0</v>
      </c>
      <c r="O881" s="11">
        <f>IF(I881&lt;&gt;"",DATA!C880,"")</f>
        <v>3.15</v>
      </c>
      <c r="P881" s="2">
        <v>294094</v>
      </c>
      <c r="Q881" s="2" t="s">
        <v>1304</v>
      </c>
      <c r="R881" s="2" t="s">
        <v>1323</v>
      </c>
      <c r="S881" s="2">
        <v>578</v>
      </c>
      <c r="T881" s="2">
        <v>1</v>
      </c>
      <c r="U881" s="2" t="s">
        <v>141</v>
      </c>
      <c r="Y881" s="2">
        <v>1700</v>
      </c>
      <c r="Z881" s="11" t="s">
        <v>54</v>
      </c>
      <c r="AA881" s="11" t="str">
        <f t="shared" si="57"/>
        <v>1700 - TBN</v>
      </c>
      <c r="AC881" s="2" t="s">
        <v>145</v>
      </c>
      <c r="AD881" s="11" t="str">
        <f>IF($I881&lt;&gt;"",VLOOKUP($AC881,GEADRESSEERDE!$A$2:$E$4,2,),"")</f>
        <v>LUITHAGEN HAVEN 2 D</v>
      </c>
      <c r="AE881" s="11">
        <f>IF($I881&lt;&gt;"",VLOOKUP($AC881,GEADRESSEERDE!$A$2:$E$4,3,),"")</f>
        <v>2030</v>
      </c>
      <c r="AF881" s="11" t="str">
        <f>IF($I881&lt;&gt;"",VLOOKUP($AC881,GEADRESSEERDE!$A$2:$E$4,4,),"")</f>
        <v>ANTWERPEN</v>
      </c>
      <c r="AG881" s="11" t="str">
        <f>IF($I881&lt;&gt;"",VLOOKUP($AC881,GEADRESSEERDE!$A$2:$E$4,5,),"")</f>
        <v>BE</v>
      </c>
      <c r="AH881" s="11" t="str">
        <f>IF(I881&lt;&gt;"",VLOOKUP(AP881,KvB!$A$2:$B$3,2,FALSE),"")</f>
        <v>BE101000</v>
      </c>
      <c r="AI881" s="11" t="s">
        <v>55</v>
      </c>
      <c r="AJ881" s="11"/>
      <c r="AK881" s="11"/>
      <c r="AL881" s="11"/>
      <c r="AM881" s="11"/>
      <c r="AN881" s="11"/>
      <c r="AO881" s="11"/>
      <c r="AP881" s="2" t="s">
        <v>70</v>
      </c>
      <c r="AQ881" s="11" t="str">
        <f>IF(I881&lt;&gt;"",DATA!D880,"")</f>
        <v>9023008000</v>
      </c>
    </row>
    <row r="882" spans="1:43" ht="15.75" x14ac:dyDescent="0.25">
      <c r="A882" s="11" t="s">
        <v>57</v>
      </c>
      <c r="B882" s="11" t="s">
        <v>56</v>
      </c>
      <c r="C882" s="22">
        <f t="shared" si="58"/>
        <v>25001620</v>
      </c>
      <c r="D882" s="11" t="str">
        <f t="shared" si="55"/>
        <v>SKIIFM_AT</v>
      </c>
      <c r="E882" s="11" t="str">
        <f>IF(I882&lt;&gt;"",VLOOKUP(F882,OPDRACHTGEVER!$A$2:$B$4,2,FALSE),"")</f>
        <v>SKIIFM_AT</v>
      </c>
      <c r="F882" s="11" t="s">
        <v>58</v>
      </c>
      <c r="I882" s="11" t="str">
        <f>IF(DATA!B881&lt;&gt;"",DATA!B881,"")</f>
        <v>FFAU3802677</v>
      </c>
      <c r="J882" s="12">
        <v>0</v>
      </c>
      <c r="K882" s="11" t="s">
        <v>53</v>
      </c>
      <c r="L882" s="11" t="str">
        <f t="shared" si="56"/>
        <v>850440</v>
      </c>
      <c r="M882" s="11" t="str">
        <f>IF(I882&lt;&gt;"",DATA!E881,"")</f>
        <v>INVERTER</v>
      </c>
      <c r="N882" s="12">
        <v>0</v>
      </c>
      <c r="O882" s="11">
        <f>IF(I882&lt;&gt;"",DATA!C881,"")</f>
        <v>89.25</v>
      </c>
      <c r="P882" s="2">
        <v>294094</v>
      </c>
      <c r="Q882" s="2" t="s">
        <v>1304</v>
      </c>
      <c r="R882" s="2" t="s">
        <v>1323</v>
      </c>
      <c r="S882" s="2">
        <v>578</v>
      </c>
      <c r="T882" s="2">
        <v>1</v>
      </c>
      <c r="U882" s="2" t="s">
        <v>141</v>
      </c>
      <c r="Y882" s="2">
        <v>1700</v>
      </c>
      <c r="Z882" s="11" t="s">
        <v>54</v>
      </c>
      <c r="AA882" s="11" t="str">
        <f t="shared" si="57"/>
        <v>1700 - TBN</v>
      </c>
      <c r="AC882" s="2" t="s">
        <v>145</v>
      </c>
      <c r="AD882" s="11" t="str">
        <f>IF($I882&lt;&gt;"",VLOOKUP($AC882,GEADRESSEERDE!$A$2:$E$4,2,),"")</f>
        <v>LUITHAGEN HAVEN 2 D</v>
      </c>
      <c r="AE882" s="11">
        <f>IF($I882&lt;&gt;"",VLOOKUP($AC882,GEADRESSEERDE!$A$2:$E$4,3,),"")</f>
        <v>2030</v>
      </c>
      <c r="AF882" s="11" t="str">
        <f>IF($I882&lt;&gt;"",VLOOKUP($AC882,GEADRESSEERDE!$A$2:$E$4,4,),"")</f>
        <v>ANTWERPEN</v>
      </c>
      <c r="AG882" s="11" t="str">
        <f>IF($I882&lt;&gt;"",VLOOKUP($AC882,GEADRESSEERDE!$A$2:$E$4,5,),"")</f>
        <v>BE</v>
      </c>
      <c r="AH882" s="11" t="str">
        <f>IF(I882&lt;&gt;"",VLOOKUP(AP882,KvB!$A$2:$B$3,2,FALSE),"")</f>
        <v>BE101000</v>
      </c>
      <c r="AI882" s="11" t="s">
        <v>55</v>
      </c>
      <c r="AJ882" s="11"/>
      <c r="AK882" s="11"/>
      <c r="AL882" s="11"/>
      <c r="AM882" s="11"/>
      <c r="AN882" s="11"/>
      <c r="AO882" s="11"/>
      <c r="AP882" s="2" t="s">
        <v>70</v>
      </c>
      <c r="AQ882" s="11" t="str">
        <f>IF(I882&lt;&gt;"",DATA!D881,"")</f>
        <v>8504406090</v>
      </c>
    </row>
    <row r="883" spans="1:43" ht="15.75" x14ac:dyDescent="0.25">
      <c r="A883" s="11" t="s">
        <v>57</v>
      </c>
      <c r="B883" s="11" t="s">
        <v>56</v>
      </c>
      <c r="C883" s="22">
        <f t="shared" si="58"/>
        <v>25001620</v>
      </c>
      <c r="D883" s="11" t="str">
        <f t="shared" si="55"/>
        <v>SKIIFM_AT</v>
      </c>
      <c r="E883" s="11" t="str">
        <f>IF(I883&lt;&gt;"",VLOOKUP(F883,OPDRACHTGEVER!$A$2:$B$4,2,FALSE),"")</f>
        <v>SKIIFM_AT</v>
      </c>
      <c r="F883" s="11" t="s">
        <v>58</v>
      </c>
      <c r="I883" s="11" t="str">
        <f>IF(DATA!B882&lt;&gt;"",DATA!B882,"")</f>
        <v>FFAU3802677</v>
      </c>
      <c r="J883" s="12">
        <v>0</v>
      </c>
      <c r="K883" s="11" t="s">
        <v>53</v>
      </c>
      <c r="L883" s="11" t="str">
        <f t="shared" si="56"/>
        <v>741920</v>
      </c>
      <c r="M883" s="11" t="str">
        <f>IF(I883&lt;&gt;"",DATA!E882,"")</f>
        <v>IRON BASE</v>
      </c>
      <c r="N883" s="12">
        <v>0</v>
      </c>
      <c r="O883" s="11">
        <f>IF(I883&lt;&gt;"",DATA!C882,"")</f>
        <v>9.3000000000000007</v>
      </c>
      <c r="P883" s="2">
        <v>294094</v>
      </c>
      <c r="Q883" s="2" t="s">
        <v>1304</v>
      </c>
      <c r="R883" s="2" t="s">
        <v>1323</v>
      </c>
      <c r="S883" s="2">
        <v>578</v>
      </c>
      <c r="T883" s="2">
        <v>1</v>
      </c>
      <c r="U883" s="2" t="s">
        <v>141</v>
      </c>
      <c r="Y883" s="2">
        <v>1700</v>
      </c>
      <c r="Z883" s="11" t="s">
        <v>54</v>
      </c>
      <c r="AA883" s="11" t="str">
        <f t="shared" si="57"/>
        <v>1700 - TBN</v>
      </c>
      <c r="AC883" s="2" t="s">
        <v>145</v>
      </c>
      <c r="AD883" s="11" t="str">
        <f>IF($I883&lt;&gt;"",VLOOKUP($AC883,GEADRESSEERDE!$A$2:$E$4,2,),"")</f>
        <v>LUITHAGEN HAVEN 2 D</v>
      </c>
      <c r="AE883" s="11">
        <f>IF($I883&lt;&gt;"",VLOOKUP($AC883,GEADRESSEERDE!$A$2:$E$4,3,),"")</f>
        <v>2030</v>
      </c>
      <c r="AF883" s="11" t="str">
        <f>IF($I883&lt;&gt;"",VLOOKUP($AC883,GEADRESSEERDE!$A$2:$E$4,4,),"")</f>
        <v>ANTWERPEN</v>
      </c>
      <c r="AG883" s="11" t="str">
        <f>IF($I883&lt;&gt;"",VLOOKUP($AC883,GEADRESSEERDE!$A$2:$E$4,5,),"")</f>
        <v>BE</v>
      </c>
      <c r="AH883" s="11" t="str">
        <f>IF(I883&lt;&gt;"",VLOOKUP(AP883,KvB!$A$2:$B$3,2,FALSE),"")</f>
        <v>BE101000</v>
      </c>
      <c r="AI883" s="11" t="s">
        <v>55</v>
      </c>
      <c r="AJ883" s="11"/>
      <c r="AK883" s="11"/>
      <c r="AL883" s="11"/>
      <c r="AM883" s="11"/>
      <c r="AN883" s="11"/>
      <c r="AO883" s="11"/>
      <c r="AP883" s="2" t="s">
        <v>70</v>
      </c>
      <c r="AQ883" s="11" t="str">
        <f>IF(I883&lt;&gt;"",DATA!D882,"")</f>
        <v>7419200090</v>
      </c>
    </row>
    <row r="884" spans="1:43" ht="15.75" x14ac:dyDescent="0.25">
      <c r="A884" s="11" t="s">
        <v>57</v>
      </c>
      <c r="B884" s="11" t="s">
        <v>56</v>
      </c>
      <c r="C884" s="22">
        <f t="shared" si="58"/>
        <v>25001620</v>
      </c>
      <c r="D884" s="11" t="str">
        <f t="shared" ref="D884:D947" si="59">E884</f>
        <v>SKIIFM_AT</v>
      </c>
      <c r="E884" s="11" t="str">
        <f>IF(I884&lt;&gt;"",VLOOKUP(F884,OPDRACHTGEVER!$A$2:$B$4,2,FALSE),"")</f>
        <v>SKIIFM_AT</v>
      </c>
      <c r="F884" s="11" t="s">
        <v>58</v>
      </c>
      <c r="I884" s="11" t="str">
        <f>IF(DATA!B883&lt;&gt;"",DATA!B883,"")</f>
        <v>FFAU3802677</v>
      </c>
      <c r="J884" s="12">
        <v>0</v>
      </c>
      <c r="K884" s="11" t="s">
        <v>53</v>
      </c>
      <c r="L884" s="11" t="str">
        <f t="shared" ref="L884:L947" si="60">LEFT(AQ884,6)</f>
        <v>830220</v>
      </c>
      <c r="M884" s="11" t="str">
        <f>IF(I884&lt;&gt;"",DATA!E883,"")</f>
        <v>IRON SWIVEL CASTER WHEELS</v>
      </c>
      <c r="N884" s="12">
        <v>0</v>
      </c>
      <c r="O884" s="11">
        <f>IF(I884&lt;&gt;"",DATA!C883,"")</f>
        <v>86.5</v>
      </c>
      <c r="P884" s="2">
        <v>294094</v>
      </c>
      <c r="Q884" s="2" t="s">
        <v>1304</v>
      </c>
      <c r="R884" s="2" t="s">
        <v>1323</v>
      </c>
      <c r="S884" s="2">
        <v>578</v>
      </c>
      <c r="T884" s="2">
        <v>1</v>
      </c>
      <c r="U884" s="2" t="s">
        <v>141</v>
      </c>
      <c r="Y884" s="2">
        <v>1700</v>
      </c>
      <c r="Z884" s="11" t="s">
        <v>54</v>
      </c>
      <c r="AA884" s="11" t="str">
        <f t="shared" ref="AA884:AA947" si="61">IF(I884&lt;&gt;"",Y884&amp;" - "&amp;Z884,"")</f>
        <v>1700 - TBN</v>
      </c>
      <c r="AC884" s="2" t="s">
        <v>145</v>
      </c>
      <c r="AD884" s="11" t="str">
        <f>IF($I884&lt;&gt;"",VLOOKUP($AC884,GEADRESSEERDE!$A$2:$E$4,2,),"")</f>
        <v>LUITHAGEN HAVEN 2 D</v>
      </c>
      <c r="AE884" s="11">
        <f>IF($I884&lt;&gt;"",VLOOKUP($AC884,GEADRESSEERDE!$A$2:$E$4,3,),"")</f>
        <v>2030</v>
      </c>
      <c r="AF884" s="11" t="str">
        <f>IF($I884&lt;&gt;"",VLOOKUP($AC884,GEADRESSEERDE!$A$2:$E$4,4,),"")</f>
        <v>ANTWERPEN</v>
      </c>
      <c r="AG884" s="11" t="str">
        <f>IF($I884&lt;&gt;"",VLOOKUP($AC884,GEADRESSEERDE!$A$2:$E$4,5,),"")</f>
        <v>BE</v>
      </c>
      <c r="AH884" s="11" t="str">
        <f>IF(I884&lt;&gt;"",VLOOKUP(AP884,KvB!$A$2:$B$3,2,FALSE),"")</f>
        <v>BE101000</v>
      </c>
      <c r="AI884" s="11" t="s">
        <v>55</v>
      </c>
      <c r="AJ884" s="11"/>
      <c r="AK884" s="11"/>
      <c r="AL884" s="11"/>
      <c r="AM884" s="11"/>
      <c r="AN884" s="11"/>
      <c r="AO884" s="11"/>
      <c r="AP884" s="2" t="s">
        <v>70</v>
      </c>
      <c r="AQ884" s="11" t="str">
        <f>IF(I884&lt;&gt;"",DATA!D883,"")</f>
        <v>8302200090</v>
      </c>
    </row>
    <row r="885" spans="1:43" ht="15.75" x14ac:dyDescent="0.25">
      <c r="A885" s="11" t="s">
        <v>57</v>
      </c>
      <c r="B885" s="11" t="s">
        <v>56</v>
      </c>
      <c r="C885" s="22">
        <f t="shared" si="58"/>
        <v>25001620</v>
      </c>
      <c r="D885" s="11" t="str">
        <f t="shared" si="59"/>
        <v>SKIIFM_AT</v>
      </c>
      <c r="E885" s="11" t="str">
        <f>IF(I885&lt;&gt;"",VLOOKUP(F885,OPDRACHTGEVER!$A$2:$B$4,2,FALSE),"")</f>
        <v>SKIIFM_AT</v>
      </c>
      <c r="F885" s="11" t="s">
        <v>58</v>
      </c>
      <c r="I885" s="11" t="str">
        <f>IF(DATA!B884&lt;&gt;"",DATA!B884,"")</f>
        <v>FFAU3802677</v>
      </c>
      <c r="J885" s="12">
        <v>0</v>
      </c>
      <c r="K885" s="11" t="s">
        <v>53</v>
      </c>
      <c r="L885" s="11" t="str">
        <f t="shared" si="60"/>
        <v>741920</v>
      </c>
      <c r="M885" s="11" t="str">
        <f>IF(I885&lt;&gt;"",DATA!E884,"")</f>
        <v>JAM BUCKET</v>
      </c>
      <c r="N885" s="12">
        <v>0</v>
      </c>
      <c r="O885" s="11">
        <f>IF(I885&lt;&gt;"",DATA!C884,"")</f>
        <v>171.65</v>
      </c>
      <c r="P885" s="2">
        <v>294094</v>
      </c>
      <c r="Q885" s="2" t="s">
        <v>1304</v>
      </c>
      <c r="R885" s="2" t="s">
        <v>1323</v>
      </c>
      <c r="S885" s="2">
        <v>578</v>
      </c>
      <c r="T885" s="2">
        <v>1</v>
      </c>
      <c r="U885" s="2" t="s">
        <v>141</v>
      </c>
      <c r="Y885" s="2">
        <v>1700</v>
      </c>
      <c r="Z885" s="11" t="s">
        <v>54</v>
      </c>
      <c r="AA885" s="11" t="str">
        <f t="shared" si="61"/>
        <v>1700 - TBN</v>
      </c>
      <c r="AC885" s="2" t="s">
        <v>145</v>
      </c>
      <c r="AD885" s="11" t="str">
        <f>IF($I885&lt;&gt;"",VLOOKUP($AC885,GEADRESSEERDE!$A$2:$E$4,2,),"")</f>
        <v>LUITHAGEN HAVEN 2 D</v>
      </c>
      <c r="AE885" s="11">
        <f>IF($I885&lt;&gt;"",VLOOKUP($AC885,GEADRESSEERDE!$A$2:$E$4,3,),"")</f>
        <v>2030</v>
      </c>
      <c r="AF885" s="11" t="str">
        <f>IF($I885&lt;&gt;"",VLOOKUP($AC885,GEADRESSEERDE!$A$2:$E$4,4,),"")</f>
        <v>ANTWERPEN</v>
      </c>
      <c r="AG885" s="11" t="str">
        <f>IF($I885&lt;&gt;"",VLOOKUP($AC885,GEADRESSEERDE!$A$2:$E$4,5,),"")</f>
        <v>BE</v>
      </c>
      <c r="AH885" s="11" t="str">
        <f>IF(I885&lt;&gt;"",VLOOKUP(AP885,KvB!$A$2:$B$3,2,FALSE),"")</f>
        <v>BE101000</v>
      </c>
      <c r="AI885" s="11" t="s">
        <v>55</v>
      </c>
      <c r="AJ885" s="11"/>
      <c r="AK885" s="11"/>
      <c r="AL885" s="11"/>
      <c r="AM885" s="11"/>
      <c r="AN885" s="11"/>
      <c r="AO885" s="11"/>
      <c r="AP885" s="2" t="s">
        <v>70</v>
      </c>
      <c r="AQ885" s="11" t="str">
        <f>IF(I885&lt;&gt;"",DATA!D884,"")</f>
        <v>7419200090</v>
      </c>
    </row>
    <row r="886" spans="1:43" ht="15.75" x14ac:dyDescent="0.25">
      <c r="A886" s="11" t="s">
        <v>57</v>
      </c>
      <c r="B886" s="11" t="s">
        <v>56</v>
      </c>
      <c r="C886" s="22">
        <f t="shared" si="58"/>
        <v>25001620</v>
      </c>
      <c r="D886" s="11" t="str">
        <f t="shared" si="59"/>
        <v>SKIIFM_AT</v>
      </c>
      <c r="E886" s="11" t="str">
        <f>IF(I886&lt;&gt;"",VLOOKUP(F886,OPDRACHTGEVER!$A$2:$B$4,2,FALSE),"")</f>
        <v>SKIIFM_AT</v>
      </c>
      <c r="F886" s="11" t="s">
        <v>58</v>
      </c>
      <c r="I886" s="11" t="str">
        <f>IF(DATA!B885&lt;&gt;"",DATA!B885,"")</f>
        <v>FFAU3802677</v>
      </c>
      <c r="J886" s="12">
        <v>0</v>
      </c>
      <c r="K886" s="11" t="s">
        <v>53</v>
      </c>
      <c r="L886" s="11" t="str">
        <f t="shared" si="60"/>
        <v>741920</v>
      </c>
      <c r="M886" s="11" t="str">
        <f>IF(I886&lt;&gt;"",DATA!E885,"")</f>
        <v>METAL FENCE</v>
      </c>
      <c r="N886" s="12">
        <v>0</v>
      </c>
      <c r="O886" s="11">
        <f>IF(I886&lt;&gt;"",DATA!C885,"")</f>
        <v>2.8</v>
      </c>
      <c r="P886" s="2">
        <v>294094</v>
      </c>
      <c r="Q886" s="2" t="s">
        <v>1304</v>
      </c>
      <c r="R886" s="2" t="s">
        <v>1323</v>
      </c>
      <c r="S886" s="2">
        <v>578</v>
      </c>
      <c r="T886" s="2">
        <v>1</v>
      </c>
      <c r="U886" s="2" t="s">
        <v>141</v>
      </c>
      <c r="Y886" s="2">
        <v>1700</v>
      </c>
      <c r="Z886" s="11" t="s">
        <v>54</v>
      </c>
      <c r="AA886" s="11" t="str">
        <f t="shared" si="61"/>
        <v>1700 - TBN</v>
      </c>
      <c r="AC886" s="2" t="s">
        <v>145</v>
      </c>
      <c r="AD886" s="11" t="str">
        <f>IF($I886&lt;&gt;"",VLOOKUP($AC886,GEADRESSEERDE!$A$2:$E$4,2,),"")</f>
        <v>LUITHAGEN HAVEN 2 D</v>
      </c>
      <c r="AE886" s="11">
        <f>IF($I886&lt;&gt;"",VLOOKUP($AC886,GEADRESSEERDE!$A$2:$E$4,3,),"")</f>
        <v>2030</v>
      </c>
      <c r="AF886" s="11" t="str">
        <f>IF($I886&lt;&gt;"",VLOOKUP($AC886,GEADRESSEERDE!$A$2:$E$4,4,),"")</f>
        <v>ANTWERPEN</v>
      </c>
      <c r="AG886" s="11" t="str">
        <f>IF($I886&lt;&gt;"",VLOOKUP($AC886,GEADRESSEERDE!$A$2:$E$4,5,),"")</f>
        <v>BE</v>
      </c>
      <c r="AH886" s="11" t="str">
        <f>IF(I886&lt;&gt;"",VLOOKUP(AP886,KvB!$A$2:$B$3,2,FALSE),"")</f>
        <v>BE101000</v>
      </c>
      <c r="AI886" s="11" t="s">
        <v>55</v>
      </c>
      <c r="AJ886" s="11"/>
      <c r="AK886" s="11"/>
      <c r="AL886" s="11"/>
      <c r="AM886" s="11"/>
      <c r="AN886" s="11"/>
      <c r="AO886" s="11"/>
      <c r="AP886" s="2" t="s">
        <v>70</v>
      </c>
      <c r="AQ886" s="11" t="str">
        <f>IF(I886&lt;&gt;"",DATA!D885,"")</f>
        <v>7419200090</v>
      </c>
    </row>
    <row r="887" spans="1:43" ht="15.75" x14ac:dyDescent="0.25">
      <c r="A887" s="11" t="s">
        <v>57</v>
      </c>
      <c r="B887" s="11" t="s">
        <v>56</v>
      </c>
      <c r="C887" s="22">
        <f t="shared" si="58"/>
        <v>25001620</v>
      </c>
      <c r="D887" s="11" t="str">
        <f t="shared" si="59"/>
        <v>SKIIFM_AT</v>
      </c>
      <c r="E887" s="11" t="str">
        <f>IF(I887&lt;&gt;"",VLOOKUP(F887,OPDRACHTGEVER!$A$2:$B$4,2,FALSE),"")</f>
        <v>SKIIFM_AT</v>
      </c>
      <c r="F887" s="11" t="s">
        <v>58</v>
      </c>
      <c r="I887" s="11" t="str">
        <f>IF(DATA!B886&lt;&gt;"",DATA!B886,"")</f>
        <v>FFAU3802677</v>
      </c>
      <c r="J887" s="12">
        <v>0</v>
      </c>
      <c r="K887" s="11" t="s">
        <v>53</v>
      </c>
      <c r="L887" s="11" t="str">
        <f t="shared" si="60"/>
        <v>902720</v>
      </c>
      <c r="M887" s="11" t="str">
        <f>IF(I887&lt;&gt;"",DATA!E886,"")</f>
        <v>METEOROGRAPH</v>
      </c>
      <c r="N887" s="12">
        <v>0</v>
      </c>
      <c r="O887" s="11">
        <f>IF(I887&lt;&gt;"",DATA!C886,"")</f>
        <v>484.4</v>
      </c>
      <c r="P887" s="2">
        <v>294094</v>
      </c>
      <c r="Q887" s="2" t="s">
        <v>1304</v>
      </c>
      <c r="R887" s="2" t="s">
        <v>1323</v>
      </c>
      <c r="S887" s="2">
        <v>578</v>
      </c>
      <c r="T887" s="2">
        <v>1</v>
      </c>
      <c r="U887" s="2" t="s">
        <v>141</v>
      </c>
      <c r="Y887" s="2">
        <v>1700</v>
      </c>
      <c r="Z887" s="11" t="s">
        <v>54</v>
      </c>
      <c r="AA887" s="11" t="str">
        <f t="shared" si="61"/>
        <v>1700 - TBN</v>
      </c>
      <c r="AC887" s="2" t="s">
        <v>145</v>
      </c>
      <c r="AD887" s="11" t="str">
        <f>IF($I887&lt;&gt;"",VLOOKUP($AC887,GEADRESSEERDE!$A$2:$E$4,2,),"")</f>
        <v>LUITHAGEN HAVEN 2 D</v>
      </c>
      <c r="AE887" s="11">
        <f>IF($I887&lt;&gt;"",VLOOKUP($AC887,GEADRESSEERDE!$A$2:$E$4,3,),"")</f>
        <v>2030</v>
      </c>
      <c r="AF887" s="11" t="str">
        <f>IF($I887&lt;&gt;"",VLOOKUP($AC887,GEADRESSEERDE!$A$2:$E$4,4,),"")</f>
        <v>ANTWERPEN</v>
      </c>
      <c r="AG887" s="11" t="str">
        <f>IF($I887&lt;&gt;"",VLOOKUP($AC887,GEADRESSEERDE!$A$2:$E$4,5,),"")</f>
        <v>BE</v>
      </c>
      <c r="AH887" s="11" t="str">
        <f>IF(I887&lt;&gt;"",VLOOKUP(AP887,KvB!$A$2:$B$3,2,FALSE),"")</f>
        <v>BE101000</v>
      </c>
      <c r="AI887" s="11" t="s">
        <v>55</v>
      </c>
      <c r="AJ887" s="11"/>
      <c r="AK887" s="11"/>
      <c r="AL887" s="11"/>
      <c r="AM887" s="11"/>
      <c r="AN887" s="11"/>
      <c r="AO887" s="11"/>
      <c r="AP887" s="2" t="s">
        <v>70</v>
      </c>
      <c r="AQ887" s="11" t="str">
        <f>IF(I887&lt;&gt;"",DATA!D886,"")</f>
        <v>9027200000</v>
      </c>
    </row>
    <row r="888" spans="1:43" ht="15.75" x14ac:dyDescent="0.25">
      <c r="A888" s="11" t="s">
        <v>57</v>
      </c>
      <c r="B888" s="11" t="s">
        <v>56</v>
      </c>
      <c r="C888" s="22">
        <f t="shared" si="58"/>
        <v>25001620</v>
      </c>
      <c r="D888" s="11" t="str">
        <f t="shared" si="59"/>
        <v>SKIIFM_AT</v>
      </c>
      <c r="E888" s="11" t="str">
        <f>IF(I888&lt;&gt;"",VLOOKUP(F888,OPDRACHTGEVER!$A$2:$B$4,2,FALSE),"")</f>
        <v>SKIIFM_AT</v>
      </c>
      <c r="F888" s="11" t="s">
        <v>58</v>
      </c>
      <c r="I888" s="11" t="str">
        <f>IF(DATA!B887&lt;&gt;"",DATA!B887,"")</f>
        <v>FFAU3802677</v>
      </c>
      <c r="J888" s="12">
        <v>0</v>
      </c>
      <c r="K888" s="11" t="s">
        <v>53</v>
      </c>
      <c r="L888" s="11" t="str">
        <f t="shared" si="60"/>
        <v>741920</v>
      </c>
      <c r="M888" s="11" t="str">
        <f>IF(I888&lt;&gt;"",DATA!E887,"")</f>
        <v>PIZZA PLATE</v>
      </c>
      <c r="N888" s="12">
        <v>0</v>
      </c>
      <c r="O888" s="11">
        <f>IF(I888&lt;&gt;"",DATA!C887,"")</f>
        <v>5.9</v>
      </c>
      <c r="P888" s="2">
        <v>294094</v>
      </c>
      <c r="Q888" s="2" t="s">
        <v>1304</v>
      </c>
      <c r="R888" s="2" t="s">
        <v>1323</v>
      </c>
      <c r="S888" s="2">
        <v>578</v>
      </c>
      <c r="T888" s="2">
        <v>1</v>
      </c>
      <c r="U888" s="2" t="s">
        <v>141</v>
      </c>
      <c r="Y888" s="2">
        <v>1700</v>
      </c>
      <c r="Z888" s="11" t="s">
        <v>54</v>
      </c>
      <c r="AA888" s="11" t="str">
        <f t="shared" si="61"/>
        <v>1700 - TBN</v>
      </c>
      <c r="AC888" s="2" t="s">
        <v>145</v>
      </c>
      <c r="AD888" s="11" t="str">
        <f>IF($I888&lt;&gt;"",VLOOKUP($AC888,GEADRESSEERDE!$A$2:$E$4,2,),"")</f>
        <v>LUITHAGEN HAVEN 2 D</v>
      </c>
      <c r="AE888" s="11">
        <f>IF($I888&lt;&gt;"",VLOOKUP($AC888,GEADRESSEERDE!$A$2:$E$4,3,),"")</f>
        <v>2030</v>
      </c>
      <c r="AF888" s="11" t="str">
        <f>IF($I888&lt;&gt;"",VLOOKUP($AC888,GEADRESSEERDE!$A$2:$E$4,4,),"")</f>
        <v>ANTWERPEN</v>
      </c>
      <c r="AG888" s="11" t="str">
        <f>IF($I888&lt;&gt;"",VLOOKUP($AC888,GEADRESSEERDE!$A$2:$E$4,5,),"")</f>
        <v>BE</v>
      </c>
      <c r="AH888" s="11" t="str">
        <f>IF(I888&lt;&gt;"",VLOOKUP(AP888,KvB!$A$2:$B$3,2,FALSE),"")</f>
        <v>BE101000</v>
      </c>
      <c r="AI888" s="11" t="s">
        <v>55</v>
      </c>
      <c r="AJ888" s="11"/>
      <c r="AK888" s="11"/>
      <c r="AL888" s="11"/>
      <c r="AM888" s="11"/>
      <c r="AN888" s="11"/>
      <c r="AO888" s="11"/>
      <c r="AP888" s="2" t="s">
        <v>70</v>
      </c>
      <c r="AQ888" s="11" t="str">
        <f>IF(I888&lt;&gt;"",DATA!D887,"")</f>
        <v>7419200090</v>
      </c>
    </row>
    <row r="889" spans="1:43" ht="15.75" x14ac:dyDescent="0.25">
      <c r="A889" s="11" t="s">
        <v>57</v>
      </c>
      <c r="B889" s="11" t="s">
        <v>56</v>
      </c>
      <c r="C889" s="22">
        <f t="shared" si="58"/>
        <v>25001620</v>
      </c>
      <c r="D889" s="11" t="str">
        <f t="shared" si="59"/>
        <v>SKIIFM_AT</v>
      </c>
      <c r="E889" s="11" t="str">
        <f>IF(I889&lt;&gt;"",VLOOKUP(F889,OPDRACHTGEVER!$A$2:$B$4,2,FALSE),"")</f>
        <v>SKIIFM_AT</v>
      </c>
      <c r="F889" s="11" t="s">
        <v>58</v>
      </c>
      <c r="I889" s="11" t="str">
        <f>IF(DATA!B888&lt;&gt;"",DATA!B888,"")</f>
        <v>FFAU3802677</v>
      </c>
      <c r="J889" s="12">
        <v>0</v>
      </c>
      <c r="K889" s="11" t="s">
        <v>53</v>
      </c>
      <c r="L889" s="11" t="str">
        <f t="shared" si="60"/>
        <v>940180</v>
      </c>
      <c r="M889" s="11" t="str">
        <f>IF(I889&lt;&gt;"",DATA!E888,"")</f>
        <v>POOL LOUNGE CHAIRS</v>
      </c>
      <c r="N889" s="12">
        <v>0</v>
      </c>
      <c r="O889" s="11">
        <f>IF(I889&lt;&gt;"",DATA!C888,"")</f>
        <v>78.2</v>
      </c>
      <c r="P889" s="2">
        <v>294094</v>
      </c>
      <c r="Q889" s="2" t="s">
        <v>1304</v>
      </c>
      <c r="R889" s="2" t="s">
        <v>1323</v>
      </c>
      <c r="S889" s="2">
        <v>578</v>
      </c>
      <c r="T889" s="2">
        <v>1</v>
      </c>
      <c r="U889" s="2" t="s">
        <v>141</v>
      </c>
      <c r="Y889" s="2">
        <v>1700</v>
      </c>
      <c r="Z889" s="11" t="s">
        <v>54</v>
      </c>
      <c r="AA889" s="11" t="str">
        <f t="shared" si="61"/>
        <v>1700 - TBN</v>
      </c>
      <c r="AC889" s="2" t="s">
        <v>145</v>
      </c>
      <c r="AD889" s="11" t="str">
        <f>IF($I889&lt;&gt;"",VLOOKUP($AC889,GEADRESSEERDE!$A$2:$E$4,2,),"")</f>
        <v>LUITHAGEN HAVEN 2 D</v>
      </c>
      <c r="AE889" s="11">
        <f>IF($I889&lt;&gt;"",VLOOKUP($AC889,GEADRESSEERDE!$A$2:$E$4,3,),"")</f>
        <v>2030</v>
      </c>
      <c r="AF889" s="11" t="str">
        <f>IF($I889&lt;&gt;"",VLOOKUP($AC889,GEADRESSEERDE!$A$2:$E$4,4,),"")</f>
        <v>ANTWERPEN</v>
      </c>
      <c r="AG889" s="11" t="str">
        <f>IF($I889&lt;&gt;"",VLOOKUP($AC889,GEADRESSEERDE!$A$2:$E$4,5,),"")</f>
        <v>BE</v>
      </c>
      <c r="AH889" s="11" t="str">
        <f>IF(I889&lt;&gt;"",VLOOKUP(AP889,KvB!$A$2:$B$3,2,FALSE),"")</f>
        <v>BE101000</v>
      </c>
      <c r="AI889" s="11" t="s">
        <v>55</v>
      </c>
      <c r="AJ889" s="11"/>
      <c r="AK889" s="11"/>
      <c r="AL889" s="11"/>
      <c r="AM889" s="11"/>
      <c r="AN889" s="11"/>
      <c r="AO889" s="11"/>
      <c r="AP889" s="2" t="s">
        <v>70</v>
      </c>
      <c r="AQ889" s="11" t="str">
        <f>IF(I889&lt;&gt;"",DATA!D888,"")</f>
        <v>9401800000</v>
      </c>
    </row>
    <row r="890" spans="1:43" ht="15.75" x14ac:dyDescent="0.25">
      <c r="A890" s="11" t="s">
        <v>57</v>
      </c>
      <c r="B890" s="11" t="s">
        <v>56</v>
      </c>
      <c r="C890" s="22">
        <f t="shared" si="58"/>
        <v>25001620</v>
      </c>
      <c r="D890" s="11" t="str">
        <f t="shared" si="59"/>
        <v>SKIIFM_AT</v>
      </c>
      <c r="E890" s="11" t="str">
        <f>IF(I890&lt;&gt;"",VLOOKUP(F890,OPDRACHTGEVER!$A$2:$B$4,2,FALSE),"")</f>
        <v>SKIIFM_AT</v>
      </c>
      <c r="F890" s="11" t="s">
        <v>58</v>
      </c>
      <c r="I890" s="11" t="str">
        <f>IF(DATA!B889&lt;&gt;"",DATA!B889,"")</f>
        <v>FFAU3802677</v>
      </c>
      <c r="J890" s="12">
        <v>0</v>
      </c>
      <c r="K890" s="11" t="s">
        <v>53</v>
      </c>
      <c r="L890" s="11" t="str">
        <f t="shared" si="60"/>
        <v>950490</v>
      </c>
      <c r="M890" s="11" t="str">
        <f>IF(I890&lt;&gt;"",DATA!E889,"")</f>
        <v>RAFFLE DRUM</v>
      </c>
      <c r="N890" s="12">
        <v>0</v>
      </c>
      <c r="O890" s="11">
        <f>IF(I890&lt;&gt;"",DATA!C889,"")</f>
        <v>43.7</v>
      </c>
      <c r="P890" s="2">
        <v>294094</v>
      </c>
      <c r="Q890" s="2" t="s">
        <v>1304</v>
      </c>
      <c r="R890" s="2" t="s">
        <v>1323</v>
      </c>
      <c r="S890" s="2">
        <v>578</v>
      </c>
      <c r="T890" s="2">
        <v>1</v>
      </c>
      <c r="U890" s="2" t="s">
        <v>141</v>
      </c>
      <c r="Y890" s="2">
        <v>1700</v>
      </c>
      <c r="Z890" s="11" t="s">
        <v>54</v>
      </c>
      <c r="AA890" s="11" t="str">
        <f t="shared" si="61"/>
        <v>1700 - TBN</v>
      </c>
      <c r="AC890" s="2" t="s">
        <v>145</v>
      </c>
      <c r="AD890" s="11" t="str">
        <f>IF($I890&lt;&gt;"",VLOOKUP($AC890,GEADRESSEERDE!$A$2:$E$4,2,),"")</f>
        <v>LUITHAGEN HAVEN 2 D</v>
      </c>
      <c r="AE890" s="11">
        <f>IF($I890&lt;&gt;"",VLOOKUP($AC890,GEADRESSEERDE!$A$2:$E$4,3,),"")</f>
        <v>2030</v>
      </c>
      <c r="AF890" s="11" t="str">
        <f>IF($I890&lt;&gt;"",VLOOKUP($AC890,GEADRESSEERDE!$A$2:$E$4,4,),"")</f>
        <v>ANTWERPEN</v>
      </c>
      <c r="AG890" s="11" t="str">
        <f>IF($I890&lt;&gt;"",VLOOKUP($AC890,GEADRESSEERDE!$A$2:$E$4,5,),"")</f>
        <v>BE</v>
      </c>
      <c r="AH890" s="11" t="str">
        <f>IF(I890&lt;&gt;"",VLOOKUP(AP890,KvB!$A$2:$B$3,2,FALSE),"")</f>
        <v>BE101000</v>
      </c>
      <c r="AI890" s="11" t="s">
        <v>55</v>
      </c>
      <c r="AJ890" s="11"/>
      <c r="AK890" s="11"/>
      <c r="AL890" s="11"/>
      <c r="AM890" s="11"/>
      <c r="AN890" s="11"/>
      <c r="AO890" s="11"/>
      <c r="AP890" s="2" t="s">
        <v>70</v>
      </c>
      <c r="AQ890" s="11" t="str">
        <f>IF(I890&lt;&gt;"",DATA!D889,"")</f>
        <v>9504908000</v>
      </c>
    </row>
    <row r="891" spans="1:43" ht="15.75" x14ac:dyDescent="0.25">
      <c r="A891" s="11" t="s">
        <v>57</v>
      </c>
      <c r="B891" s="11" t="s">
        <v>56</v>
      </c>
      <c r="C891" s="22">
        <f t="shared" si="58"/>
        <v>25001620</v>
      </c>
      <c r="D891" s="11" t="str">
        <f t="shared" si="59"/>
        <v>SKIIFM_AT</v>
      </c>
      <c r="E891" s="11" t="str">
        <f>IF(I891&lt;&gt;"",VLOOKUP(F891,OPDRACHTGEVER!$A$2:$B$4,2,FALSE),"")</f>
        <v>SKIIFM_AT</v>
      </c>
      <c r="F891" s="11" t="s">
        <v>58</v>
      </c>
      <c r="I891" s="11" t="str">
        <f>IF(DATA!B890&lt;&gt;"",DATA!B890,"")</f>
        <v>FFAU3802677</v>
      </c>
      <c r="J891" s="12">
        <v>0</v>
      </c>
      <c r="K891" s="11" t="s">
        <v>53</v>
      </c>
      <c r="L891" s="11" t="str">
        <f t="shared" si="60"/>
        <v>844332</v>
      </c>
      <c r="M891" s="11" t="str">
        <f>IF(I891&lt;&gt;"",DATA!E890,"")</f>
        <v>RECEIPT PRINTER</v>
      </c>
      <c r="N891" s="12">
        <v>0</v>
      </c>
      <c r="O891" s="11">
        <f>IF(I891&lt;&gt;"",DATA!C890,"")</f>
        <v>1.85</v>
      </c>
      <c r="P891" s="2">
        <v>294094</v>
      </c>
      <c r="Q891" s="2" t="s">
        <v>1304</v>
      </c>
      <c r="R891" s="2" t="s">
        <v>1323</v>
      </c>
      <c r="S891" s="2">
        <v>578</v>
      </c>
      <c r="T891" s="2">
        <v>1</v>
      </c>
      <c r="U891" s="2" t="s">
        <v>141</v>
      </c>
      <c r="Y891" s="2">
        <v>1700</v>
      </c>
      <c r="Z891" s="11" t="s">
        <v>54</v>
      </c>
      <c r="AA891" s="11" t="str">
        <f t="shared" si="61"/>
        <v>1700 - TBN</v>
      </c>
      <c r="AC891" s="2" t="s">
        <v>145</v>
      </c>
      <c r="AD891" s="11" t="str">
        <f>IF($I891&lt;&gt;"",VLOOKUP($AC891,GEADRESSEERDE!$A$2:$E$4,2,),"")</f>
        <v>LUITHAGEN HAVEN 2 D</v>
      </c>
      <c r="AE891" s="11">
        <f>IF($I891&lt;&gt;"",VLOOKUP($AC891,GEADRESSEERDE!$A$2:$E$4,3,),"")</f>
        <v>2030</v>
      </c>
      <c r="AF891" s="11" t="str">
        <f>IF($I891&lt;&gt;"",VLOOKUP($AC891,GEADRESSEERDE!$A$2:$E$4,4,),"")</f>
        <v>ANTWERPEN</v>
      </c>
      <c r="AG891" s="11" t="str">
        <f>IF($I891&lt;&gt;"",VLOOKUP($AC891,GEADRESSEERDE!$A$2:$E$4,5,),"")</f>
        <v>BE</v>
      </c>
      <c r="AH891" s="11" t="str">
        <f>IF(I891&lt;&gt;"",VLOOKUP(AP891,KvB!$A$2:$B$3,2,FALSE),"")</f>
        <v>BE101000</v>
      </c>
      <c r="AI891" s="11" t="s">
        <v>55</v>
      </c>
      <c r="AJ891" s="11"/>
      <c r="AK891" s="11"/>
      <c r="AL891" s="11"/>
      <c r="AM891" s="11"/>
      <c r="AN891" s="11"/>
      <c r="AO891" s="11"/>
      <c r="AP891" s="2" t="s">
        <v>70</v>
      </c>
      <c r="AQ891" s="11" t="str">
        <f>IF(I891&lt;&gt;"",DATA!D890,"")</f>
        <v>8443328000</v>
      </c>
    </row>
    <row r="892" spans="1:43" ht="15.75" x14ac:dyDescent="0.25">
      <c r="A892" s="11" t="s">
        <v>57</v>
      </c>
      <c r="B892" s="11" t="s">
        <v>56</v>
      </c>
      <c r="C892" s="22">
        <f t="shared" si="58"/>
        <v>25001620</v>
      </c>
      <c r="D892" s="11" t="str">
        <f t="shared" si="59"/>
        <v>SKIIFM_AT</v>
      </c>
      <c r="E892" s="11" t="str">
        <f>IF(I892&lt;&gt;"",VLOOKUP(F892,OPDRACHTGEVER!$A$2:$B$4,2,FALSE),"")</f>
        <v>SKIIFM_AT</v>
      </c>
      <c r="F892" s="11" t="s">
        <v>58</v>
      </c>
      <c r="I892" s="11" t="str">
        <f>IF(DATA!B891&lt;&gt;"",DATA!B891,"")</f>
        <v>FFAU3802677</v>
      </c>
      <c r="J892" s="12">
        <v>0</v>
      </c>
      <c r="K892" s="11" t="s">
        <v>53</v>
      </c>
      <c r="L892" s="11" t="str">
        <f t="shared" si="60"/>
        <v>391910</v>
      </c>
      <c r="M892" s="11" t="str">
        <f>IF(I892&lt;&gt;"",DATA!E891,"")</f>
        <v>SEALING TAPE</v>
      </c>
      <c r="N892" s="12">
        <v>0</v>
      </c>
      <c r="O892" s="11">
        <f>IF(I892&lt;&gt;"",DATA!C891,"")</f>
        <v>2.7</v>
      </c>
      <c r="P892" s="2">
        <v>294094</v>
      </c>
      <c r="Q892" s="2" t="s">
        <v>1304</v>
      </c>
      <c r="R892" s="2" t="s">
        <v>1323</v>
      </c>
      <c r="S892" s="2">
        <v>578</v>
      </c>
      <c r="T892" s="2">
        <v>1</v>
      </c>
      <c r="U892" s="2" t="s">
        <v>141</v>
      </c>
      <c r="Y892" s="2">
        <v>1700</v>
      </c>
      <c r="Z892" s="11" t="s">
        <v>54</v>
      </c>
      <c r="AA892" s="11" t="str">
        <f t="shared" si="61"/>
        <v>1700 - TBN</v>
      </c>
      <c r="AC892" s="2" t="s">
        <v>145</v>
      </c>
      <c r="AD892" s="11" t="str">
        <f>IF($I892&lt;&gt;"",VLOOKUP($AC892,GEADRESSEERDE!$A$2:$E$4,2,),"")</f>
        <v>LUITHAGEN HAVEN 2 D</v>
      </c>
      <c r="AE892" s="11">
        <f>IF($I892&lt;&gt;"",VLOOKUP($AC892,GEADRESSEERDE!$A$2:$E$4,3,),"")</f>
        <v>2030</v>
      </c>
      <c r="AF892" s="11" t="str">
        <f>IF($I892&lt;&gt;"",VLOOKUP($AC892,GEADRESSEERDE!$A$2:$E$4,4,),"")</f>
        <v>ANTWERPEN</v>
      </c>
      <c r="AG892" s="11" t="str">
        <f>IF($I892&lt;&gt;"",VLOOKUP($AC892,GEADRESSEERDE!$A$2:$E$4,5,),"")</f>
        <v>BE</v>
      </c>
      <c r="AH892" s="11" t="str">
        <f>IF(I892&lt;&gt;"",VLOOKUP(AP892,KvB!$A$2:$B$3,2,FALSE),"")</f>
        <v>BE101000</v>
      </c>
      <c r="AI892" s="11" t="s">
        <v>55</v>
      </c>
      <c r="AJ892" s="11"/>
      <c r="AK892" s="11"/>
      <c r="AL892" s="11"/>
      <c r="AM892" s="11"/>
      <c r="AN892" s="11"/>
      <c r="AO892" s="11"/>
      <c r="AP892" s="2" t="s">
        <v>70</v>
      </c>
      <c r="AQ892" s="11" t="str">
        <f>IF(I892&lt;&gt;"",DATA!D891,"")</f>
        <v>3919108090</v>
      </c>
    </row>
    <row r="893" spans="1:43" ht="15.75" x14ac:dyDescent="0.25">
      <c r="A893" s="11" t="s">
        <v>57</v>
      </c>
      <c r="B893" s="11" t="s">
        <v>56</v>
      </c>
      <c r="C893" s="22">
        <f t="shared" si="58"/>
        <v>25001620</v>
      </c>
      <c r="D893" s="11" t="str">
        <f t="shared" si="59"/>
        <v>SKIIFM_AT</v>
      </c>
      <c r="E893" s="11" t="str">
        <f>IF(I893&lt;&gt;"",VLOOKUP(F893,OPDRACHTGEVER!$A$2:$B$4,2,FALSE),"")</f>
        <v>SKIIFM_AT</v>
      </c>
      <c r="F893" s="11" t="s">
        <v>58</v>
      </c>
      <c r="I893" s="11" t="str">
        <f>IF(DATA!B892&lt;&gt;"",DATA!B892,"")</f>
        <v>FFAU3802677</v>
      </c>
      <c r="J893" s="12">
        <v>0</v>
      </c>
      <c r="K893" s="11" t="s">
        <v>53</v>
      </c>
      <c r="L893" s="11" t="str">
        <f t="shared" si="60"/>
        <v>854370</v>
      </c>
      <c r="M893" s="11" t="str">
        <f>IF(I893&lt;&gt;"",DATA!E892,"")</f>
        <v>SLIDING DOOR OPENING MOTOR</v>
      </c>
      <c r="N893" s="12">
        <v>0</v>
      </c>
      <c r="O893" s="11">
        <f>IF(I893&lt;&gt;"",DATA!C892,"")</f>
        <v>63</v>
      </c>
      <c r="P893" s="2">
        <v>294094</v>
      </c>
      <c r="Q893" s="2" t="s">
        <v>1304</v>
      </c>
      <c r="R893" s="2" t="s">
        <v>1323</v>
      </c>
      <c r="S893" s="2">
        <v>578</v>
      </c>
      <c r="T893" s="2">
        <v>1</v>
      </c>
      <c r="U893" s="2" t="s">
        <v>141</v>
      </c>
      <c r="Y893" s="2">
        <v>1700</v>
      </c>
      <c r="Z893" s="11" t="s">
        <v>54</v>
      </c>
      <c r="AA893" s="11" t="str">
        <f t="shared" si="61"/>
        <v>1700 - TBN</v>
      </c>
      <c r="AC893" s="2" t="s">
        <v>145</v>
      </c>
      <c r="AD893" s="11" t="str">
        <f>IF($I893&lt;&gt;"",VLOOKUP($AC893,GEADRESSEERDE!$A$2:$E$4,2,),"")</f>
        <v>LUITHAGEN HAVEN 2 D</v>
      </c>
      <c r="AE893" s="11">
        <f>IF($I893&lt;&gt;"",VLOOKUP($AC893,GEADRESSEERDE!$A$2:$E$4,3,),"")</f>
        <v>2030</v>
      </c>
      <c r="AF893" s="11" t="str">
        <f>IF($I893&lt;&gt;"",VLOOKUP($AC893,GEADRESSEERDE!$A$2:$E$4,4,),"")</f>
        <v>ANTWERPEN</v>
      </c>
      <c r="AG893" s="11" t="str">
        <f>IF($I893&lt;&gt;"",VLOOKUP($AC893,GEADRESSEERDE!$A$2:$E$4,5,),"")</f>
        <v>BE</v>
      </c>
      <c r="AH893" s="11" t="str">
        <f>IF(I893&lt;&gt;"",VLOOKUP(AP893,KvB!$A$2:$B$3,2,FALSE),"")</f>
        <v>BE101000</v>
      </c>
      <c r="AI893" s="11" t="s">
        <v>55</v>
      </c>
      <c r="AJ893" s="11"/>
      <c r="AK893" s="11"/>
      <c r="AL893" s="11"/>
      <c r="AM893" s="11"/>
      <c r="AN893" s="11"/>
      <c r="AO893" s="11"/>
      <c r="AP893" s="2" t="s">
        <v>70</v>
      </c>
      <c r="AQ893" s="11" t="str">
        <f>IF(I893&lt;&gt;"",DATA!D892,"")</f>
        <v>8543709099</v>
      </c>
    </row>
    <row r="894" spans="1:43" ht="15.75" x14ac:dyDescent="0.25">
      <c r="A894" s="11" t="s">
        <v>57</v>
      </c>
      <c r="B894" s="11" t="s">
        <v>56</v>
      </c>
      <c r="C894" s="22">
        <f t="shared" si="58"/>
        <v>25001620</v>
      </c>
      <c r="D894" s="11" t="str">
        <f t="shared" si="59"/>
        <v>SKIIFM_AT</v>
      </c>
      <c r="E894" s="11" t="str">
        <f>IF(I894&lt;&gt;"",VLOOKUP(F894,OPDRACHTGEVER!$A$2:$B$4,2,FALSE),"")</f>
        <v>SKIIFM_AT</v>
      </c>
      <c r="F894" s="11" t="s">
        <v>58</v>
      </c>
      <c r="I894" s="11" t="str">
        <f>IF(DATA!B893&lt;&gt;"",DATA!B893,"")</f>
        <v>FFAU3802677</v>
      </c>
      <c r="J894" s="12">
        <v>0</v>
      </c>
      <c r="K894" s="11" t="s">
        <v>53</v>
      </c>
      <c r="L894" s="11" t="str">
        <f t="shared" si="60"/>
        <v>846039</v>
      </c>
      <c r="M894" s="11" t="str">
        <f>IF(I894&lt;&gt;"",DATA!E893,"")</f>
        <v>SMOOTHIE MACHINE</v>
      </c>
      <c r="N894" s="12">
        <v>0</v>
      </c>
      <c r="O894" s="11">
        <f>IF(I894&lt;&gt;"",DATA!C893,"")</f>
        <v>371.3</v>
      </c>
      <c r="P894" s="2">
        <v>294094</v>
      </c>
      <c r="Q894" s="2" t="s">
        <v>1304</v>
      </c>
      <c r="R894" s="2" t="s">
        <v>1323</v>
      </c>
      <c r="S894" s="2">
        <v>578</v>
      </c>
      <c r="T894" s="2">
        <v>1</v>
      </c>
      <c r="U894" s="2" t="s">
        <v>141</v>
      </c>
      <c r="Y894" s="2">
        <v>1700</v>
      </c>
      <c r="Z894" s="11" t="s">
        <v>54</v>
      </c>
      <c r="AA894" s="11" t="str">
        <f t="shared" si="61"/>
        <v>1700 - TBN</v>
      </c>
      <c r="AC894" s="2" t="s">
        <v>145</v>
      </c>
      <c r="AD894" s="11" t="str">
        <f>IF($I894&lt;&gt;"",VLOOKUP($AC894,GEADRESSEERDE!$A$2:$E$4,2,),"")</f>
        <v>LUITHAGEN HAVEN 2 D</v>
      </c>
      <c r="AE894" s="11">
        <f>IF($I894&lt;&gt;"",VLOOKUP($AC894,GEADRESSEERDE!$A$2:$E$4,3,),"")</f>
        <v>2030</v>
      </c>
      <c r="AF894" s="11" t="str">
        <f>IF($I894&lt;&gt;"",VLOOKUP($AC894,GEADRESSEERDE!$A$2:$E$4,4,),"")</f>
        <v>ANTWERPEN</v>
      </c>
      <c r="AG894" s="11" t="str">
        <f>IF($I894&lt;&gt;"",VLOOKUP($AC894,GEADRESSEERDE!$A$2:$E$4,5,),"")</f>
        <v>BE</v>
      </c>
      <c r="AH894" s="11" t="str">
        <f>IF(I894&lt;&gt;"",VLOOKUP(AP894,KvB!$A$2:$B$3,2,FALSE),"")</f>
        <v>BE101000</v>
      </c>
      <c r="AI894" s="11" t="s">
        <v>55</v>
      </c>
      <c r="AJ894" s="11"/>
      <c r="AK894" s="11"/>
      <c r="AL894" s="11"/>
      <c r="AM894" s="11"/>
      <c r="AN894" s="11"/>
      <c r="AO894" s="11"/>
      <c r="AP894" s="2" t="s">
        <v>70</v>
      </c>
      <c r="AQ894" s="11" t="str">
        <f>IF(I894&lt;&gt;"",DATA!D893,"")</f>
        <v>8460390000</v>
      </c>
    </row>
    <row r="895" spans="1:43" ht="15.75" x14ac:dyDescent="0.25">
      <c r="A895" s="11" t="s">
        <v>57</v>
      </c>
      <c r="B895" s="11" t="s">
        <v>56</v>
      </c>
      <c r="C895" s="22">
        <f t="shared" si="58"/>
        <v>25001620</v>
      </c>
      <c r="D895" s="11" t="str">
        <f t="shared" si="59"/>
        <v>SKIIFM_AT</v>
      </c>
      <c r="E895" s="11" t="str">
        <f>IF(I895&lt;&gt;"",VLOOKUP(F895,OPDRACHTGEVER!$A$2:$B$4,2,FALSE),"")</f>
        <v>SKIIFM_AT</v>
      </c>
      <c r="F895" s="11" t="s">
        <v>58</v>
      </c>
      <c r="I895" s="11" t="str">
        <f>IF(DATA!B894&lt;&gt;"",DATA!B894,"")</f>
        <v>FFAU3802677</v>
      </c>
      <c r="J895" s="12">
        <v>0</v>
      </c>
      <c r="K895" s="11" t="s">
        <v>53</v>
      </c>
      <c r="L895" s="11" t="str">
        <f t="shared" si="60"/>
        <v>940399</v>
      </c>
      <c r="M895" s="11" t="str">
        <f>IF(I895&lt;&gt;"",DATA!E894,"")</f>
        <v>DOOR</v>
      </c>
      <c r="N895" s="12">
        <v>0</v>
      </c>
      <c r="O895" s="11">
        <f>IF(I895&lt;&gt;"",DATA!C894,"")</f>
        <v>275.60000000000002</v>
      </c>
      <c r="P895" s="2">
        <v>294094</v>
      </c>
      <c r="Q895" s="2" t="s">
        <v>1304</v>
      </c>
      <c r="R895" s="2" t="s">
        <v>1323</v>
      </c>
      <c r="S895" s="2">
        <v>578</v>
      </c>
      <c r="T895" s="2">
        <v>1</v>
      </c>
      <c r="U895" s="2" t="s">
        <v>141</v>
      </c>
      <c r="Y895" s="2">
        <v>1700</v>
      </c>
      <c r="Z895" s="11" t="s">
        <v>54</v>
      </c>
      <c r="AA895" s="11" t="str">
        <f t="shared" si="61"/>
        <v>1700 - TBN</v>
      </c>
      <c r="AC895" s="2" t="s">
        <v>145</v>
      </c>
      <c r="AD895" s="11" t="str">
        <f>IF($I895&lt;&gt;"",VLOOKUP($AC895,GEADRESSEERDE!$A$2:$E$4,2,),"")</f>
        <v>LUITHAGEN HAVEN 2 D</v>
      </c>
      <c r="AE895" s="11">
        <f>IF($I895&lt;&gt;"",VLOOKUP($AC895,GEADRESSEERDE!$A$2:$E$4,3,),"")</f>
        <v>2030</v>
      </c>
      <c r="AF895" s="11" t="str">
        <f>IF($I895&lt;&gt;"",VLOOKUP($AC895,GEADRESSEERDE!$A$2:$E$4,4,),"")</f>
        <v>ANTWERPEN</v>
      </c>
      <c r="AG895" s="11" t="str">
        <f>IF($I895&lt;&gt;"",VLOOKUP($AC895,GEADRESSEERDE!$A$2:$E$4,5,),"")</f>
        <v>BE</v>
      </c>
      <c r="AH895" s="11" t="str">
        <f>IF(I895&lt;&gt;"",VLOOKUP(AP895,KvB!$A$2:$B$3,2,FALSE),"")</f>
        <v>BE101000</v>
      </c>
      <c r="AI895" s="11" t="s">
        <v>55</v>
      </c>
      <c r="AJ895" s="11"/>
      <c r="AK895" s="11"/>
      <c r="AL895" s="11"/>
      <c r="AM895" s="11"/>
      <c r="AN895" s="11"/>
      <c r="AO895" s="11"/>
      <c r="AP895" s="2" t="s">
        <v>70</v>
      </c>
      <c r="AQ895" s="11" t="str">
        <f>IF(I895&lt;&gt;"",DATA!D894,"")</f>
        <v>9403999090</v>
      </c>
    </row>
    <row r="896" spans="1:43" ht="15.75" x14ac:dyDescent="0.25">
      <c r="A896" s="11" t="s">
        <v>57</v>
      </c>
      <c r="B896" s="11" t="s">
        <v>56</v>
      </c>
      <c r="C896" s="22">
        <f t="shared" si="58"/>
        <v>25001620</v>
      </c>
      <c r="D896" s="11" t="str">
        <f t="shared" si="59"/>
        <v>SKIIFM_AT</v>
      </c>
      <c r="E896" s="11" t="str">
        <f>IF(I896&lt;&gt;"",VLOOKUP(F896,OPDRACHTGEVER!$A$2:$B$4,2,FALSE),"")</f>
        <v>SKIIFM_AT</v>
      </c>
      <c r="F896" s="11" t="s">
        <v>58</v>
      </c>
      <c r="I896" s="11" t="str">
        <f>IF(DATA!B895&lt;&gt;"",DATA!B895,"")</f>
        <v>FFAU3802677</v>
      </c>
      <c r="J896" s="12">
        <v>0</v>
      </c>
      <c r="K896" s="11" t="s">
        <v>53</v>
      </c>
      <c r="L896" s="11" t="str">
        <f t="shared" si="60"/>
        <v>850940</v>
      </c>
      <c r="M896" s="11" t="str">
        <f>IF(I896&lt;&gt;"",DATA!E895,"")</f>
        <v>MIXER</v>
      </c>
      <c r="N896" s="12">
        <v>0</v>
      </c>
      <c r="O896" s="11">
        <f>IF(I896&lt;&gt;"",DATA!C895,"")</f>
        <v>185.5</v>
      </c>
      <c r="P896" s="2">
        <v>294094</v>
      </c>
      <c r="Q896" s="2" t="s">
        <v>1304</v>
      </c>
      <c r="R896" s="2" t="s">
        <v>1323</v>
      </c>
      <c r="S896" s="2">
        <v>578</v>
      </c>
      <c r="T896" s="2">
        <v>1</v>
      </c>
      <c r="U896" s="2" t="s">
        <v>141</v>
      </c>
      <c r="Y896" s="2">
        <v>1700</v>
      </c>
      <c r="Z896" s="11" t="s">
        <v>54</v>
      </c>
      <c r="AA896" s="11" t="str">
        <f t="shared" si="61"/>
        <v>1700 - TBN</v>
      </c>
      <c r="AC896" s="2" t="s">
        <v>145</v>
      </c>
      <c r="AD896" s="11" t="str">
        <f>IF($I896&lt;&gt;"",VLOOKUP($AC896,GEADRESSEERDE!$A$2:$E$4,2,),"")</f>
        <v>LUITHAGEN HAVEN 2 D</v>
      </c>
      <c r="AE896" s="11">
        <f>IF($I896&lt;&gt;"",VLOOKUP($AC896,GEADRESSEERDE!$A$2:$E$4,3,),"")</f>
        <v>2030</v>
      </c>
      <c r="AF896" s="11" t="str">
        <f>IF($I896&lt;&gt;"",VLOOKUP($AC896,GEADRESSEERDE!$A$2:$E$4,4,),"")</f>
        <v>ANTWERPEN</v>
      </c>
      <c r="AG896" s="11" t="str">
        <f>IF($I896&lt;&gt;"",VLOOKUP($AC896,GEADRESSEERDE!$A$2:$E$4,5,),"")</f>
        <v>BE</v>
      </c>
      <c r="AH896" s="11" t="str">
        <f>IF(I896&lt;&gt;"",VLOOKUP(AP896,KvB!$A$2:$B$3,2,FALSE),"")</f>
        <v>BE101000</v>
      </c>
      <c r="AI896" s="11" t="s">
        <v>55</v>
      </c>
      <c r="AJ896" s="11"/>
      <c r="AK896" s="11"/>
      <c r="AL896" s="11"/>
      <c r="AM896" s="11"/>
      <c r="AN896" s="11"/>
      <c r="AO896" s="11"/>
      <c r="AP896" s="2" t="s">
        <v>70</v>
      </c>
      <c r="AQ896" s="11" t="str">
        <f>IF(I896&lt;&gt;"",DATA!D895,"")</f>
        <v>8509400000</v>
      </c>
    </row>
    <row r="897" spans="1:43" ht="15.75" x14ac:dyDescent="0.25">
      <c r="A897" s="11" t="s">
        <v>57</v>
      </c>
      <c r="B897" s="11" t="s">
        <v>56</v>
      </c>
      <c r="C897" s="22">
        <f t="shared" si="58"/>
        <v>25001620</v>
      </c>
      <c r="D897" s="11" t="str">
        <f t="shared" si="59"/>
        <v>SKIIFM_AT</v>
      </c>
      <c r="E897" s="11" t="str">
        <f>IF(I897&lt;&gt;"",VLOOKUP(F897,OPDRACHTGEVER!$A$2:$B$4,2,FALSE),"")</f>
        <v>SKIIFM_AT</v>
      </c>
      <c r="F897" s="11" t="s">
        <v>58</v>
      </c>
      <c r="I897" s="11" t="str">
        <f>IF(DATA!B896&lt;&gt;"",DATA!B896,"")</f>
        <v>FFAU3802677</v>
      </c>
      <c r="J897" s="12">
        <v>0</v>
      </c>
      <c r="K897" s="11" t="s">
        <v>53</v>
      </c>
      <c r="L897" s="11" t="str">
        <f t="shared" si="60"/>
        <v>420292</v>
      </c>
      <c r="M897" s="11" t="str">
        <f>IF(I897&lt;&gt;"",DATA!E896,"")</f>
        <v>STORAGE BAG</v>
      </c>
      <c r="N897" s="12">
        <v>0</v>
      </c>
      <c r="O897" s="11">
        <f>IF(I897&lt;&gt;"",DATA!C896,"")</f>
        <v>205</v>
      </c>
      <c r="P897" s="2">
        <v>294094</v>
      </c>
      <c r="Q897" s="2" t="s">
        <v>1304</v>
      </c>
      <c r="R897" s="2" t="s">
        <v>1323</v>
      </c>
      <c r="S897" s="2">
        <v>578</v>
      </c>
      <c r="T897" s="2">
        <v>1</v>
      </c>
      <c r="U897" s="2" t="s">
        <v>141</v>
      </c>
      <c r="Y897" s="2">
        <v>1700</v>
      </c>
      <c r="Z897" s="11" t="s">
        <v>54</v>
      </c>
      <c r="AA897" s="11" t="str">
        <f t="shared" si="61"/>
        <v>1700 - TBN</v>
      </c>
      <c r="AC897" s="2" t="s">
        <v>145</v>
      </c>
      <c r="AD897" s="11" t="str">
        <f>IF($I897&lt;&gt;"",VLOOKUP($AC897,GEADRESSEERDE!$A$2:$E$4,2,),"")</f>
        <v>LUITHAGEN HAVEN 2 D</v>
      </c>
      <c r="AE897" s="11">
        <f>IF($I897&lt;&gt;"",VLOOKUP($AC897,GEADRESSEERDE!$A$2:$E$4,3,),"")</f>
        <v>2030</v>
      </c>
      <c r="AF897" s="11" t="str">
        <f>IF($I897&lt;&gt;"",VLOOKUP($AC897,GEADRESSEERDE!$A$2:$E$4,4,),"")</f>
        <v>ANTWERPEN</v>
      </c>
      <c r="AG897" s="11" t="str">
        <f>IF($I897&lt;&gt;"",VLOOKUP($AC897,GEADRESSEERDE!$A$2:$E$4,5,),"")</f>
        <v>BE</v>
      </c>
      <c r="AH897" s="11" t="str">
        <f>IF(I897&lt;&gt;"",VLOOKUP(AP897,KvB!$A$2:$B$3,2,FALSE),"")</f>
        <v>BE101000</v>
      </c>
      <c r="AI897" s="11" t="s">
        <v>55</v>
      </c>
      <c r="AJ897" s="11"/>
      <c r="AK897" s="11"/>
      <c r="AL897" s="11"/>
      <c r="AM897" s="11"/>
      <c r="AN897" s="11"/>
      <c r="AO897" s="11"/>
      <c r="AP897" s="2" t="s">
        <v>70</v>
      </c>
      <c r="AQ897" s="11" t="str">
        <f>IF(I897&lt;&gt;"",DATA!D896,"")</f>
        <v>4202929890</v>
      </c>
    </row>
    <row r="898" spans="1:43" ht="15.75" x14ac:dyDescent="0.25">
      <c r="A898" s="11" t="s">
        <v>57</v>
      </c>
      <c r="B898" s="11" t="s">
        <v>56</v>
      </c>
      <c r="C898" s="22">
        <f t="shared" si="58"/>
        <v>25001620</v>
      </c>
      <c r="D898" s="11" t="str">
        <f t="shared" si="59"/>
        <v>SKIIFM_AT</v>
      </c>
      <c r="E898" s="11" t="str">
        <f>IF(I898&lt;&gt;"",VLOOKUP(F898,OPDRACHTGEVER!$A$2:$B$4,2,FALSE),"")</f>
        <v>SKIIFM_AT</v>
      </c>
      <c r="F898" s="11" t="s">
        <v>58</v>
      </c>
      <c r="I898" s="11" t="str">
        <f>IF(DATA!B897&lt;&gt;"",DATA!B897,"")</f>
        <v>FFAU3802677</v>
      </c>
      <c r="J898" s="12">
        <v>0</v>
      </c>
      <c r="K898" s="11" t="s">
        <v>53</v>
      </c>
      <c r="L898" s="11" t="str">
        <f t="shared" si="60"/>
        <v>820551</v>
      </c>
      <c r="M898" s="11" t="str">
        <f>IF(I898&lt;&gt;"",DATA!E897,"")</f>
        <v>SURFACE PRESS</v>
      </c>
      <c r="N898" s="12">
        <v>0</v>
      </c>
      <c r="O898" s="11">
        <f>IF(I898&lt;&gt;"",DATA!C897,"")</f>
        <v>1.1000000000000001</v>
      </c>
      <c r="P898" s="2">
        <v>294094</v>
      </c>
      <c r="Q898" s="2" t="s">
        <v>1304</v>
      </c>
      <c r="R898" s="2" t="s">
        <v>1323</v>
      </c>
      <c r="S898" s="2">
        <v>578</v>
      </c>
      <c r="T898" s="2">
        <v>1</v>
      </c>
      <c r="U898" s="2" t="s">
        <v>141</v>
      </c>
      <c r="Y898" s="2">
        <v>1700</v>
      </c>
      <c r="Z898" s="11" t="s">
        <v>54</v>
      </c>
      <c r="AA898" s="11" t="str">
        <f t="shared" si="61"/>
        <v>1700 - TBN</v>
      </c>
      <c r="AC898" s="2" t="s">
        <v>145</v>
      </c>
      <c r="AD898" s="11" t="str">
        <f>IF($I898&lt;&gt;"",VLOOKUP($AC898,GEADRESSEERDE!$A$2:$E$4,2,),"")</f>
        <v>LUITHAGEN HAVEN 2 D</v>
      </c>
      <c r="AE898" s="11">
        <f>IF($I898&lt;&gt;"",VLOOKUP($AC898,GEADRESSEERDE!$A$2:$E$4,3,),"")</f>
        <v>2030</v>
      </c>
      <c r="AF898" s="11" t="str">
        <f>IF($I898&lt;&gt;"",VLOOKUP($AC898,GEADRESSEERDE!$A$2:$E$4,4,),"")</f>
        <v>ANTWERPEN</v>
      </c>
      <c r="AG898" s="11" t="str">
        <f>IF($I898&lt;&gt;"",VLOOKUP($AC898,GEADRESSEERDE!$A$2:$E$4,5,),"")</f>
        <v>BE</v>
      </c>
      <c r="AH898" s="11" t="str">
        <f>IF(I898&lt;&gt;"",VLOOKUP(AP898,KvB!$A$2:$B$3,2,FALSE),"")</f>
        <v>BE101000</v>
      </c>
      <c r="AI898" s="11" t="s">
        <v>55</v>
      </c>
      <c r="AJ898" s="11"/>
      <c r="AK898" s="11"/>
      <c r="AL898" s="11"/>
      <c r="AM898" s="11"/>
      <c r="AN898" s="11"/>
      <c r="AO898" s="11"/>
      <c r="AP898" s="2" t="s">
        <v>70</v>
      </c>
      <c r="AQ898" s="11" t="str">
        <f>IF(I898&lt;&gt;"",DATA!D897,"")</f>
        <v>8205510000</v>
      </c>
    </row>
    <row r="899" spans="1:43" ht="15.75" x14ac:dyDescent="0.25">
      <c r="A899" s="11" t="s">
        <v>57</v>
      </c>
      <c r="B899" s="11" t="s">
        <v>56</v>
      </c>
      <c r="C899" s="22">
        <f t="shared" si="58"/>
        <v>25001620</v>
      </c>
      <c r="D899" s="11" t="str">
        <f t="shared" si="59"/>
        <v>SKIIFM_AT</v>
      </c>
      <c r="E899" s="11" t="str">
        <f>IF(I899&lt;&gt;"",VLOOKUP(F899,OPDRACHTGEVER!$A$2:$B$4,2,FALSE),"")</f>
        <v>SKIIFM_AT</v>
      </c>
      <c r="F899" s="11" t="s">
        <v>58</v>
      </c>
      <c r="I899" s="11" t="str">
        <f>IF(DATA!B898&lt;&gt;"",DATA!B898,"")</f>
        <v>FFAU3802677</v>
      </c>
      <c r="J899" s="12">
        <v>0</v>
      </c>
      <c r="K899" s="11" t="s">
        <v>53</v>
      </c>
      <c r="L899" s="11" t="str">
        <f t="shared" si="60"/>
        <v>392490</v>
      </c>
      <c r="M899" s="11" t="str">
        <f>IF(I899&lt;&gt;"",DATA!E898,"")</f>
        <v>TABLE MAT</v>
      </c>
      <c r="N899" s="12">
        <v>0</v>
      </c>
      <c r="O899" s="11">
        <f>IF(I899&lt;&gt;"",DATA!C898,"")</f>
        <v>9.4</v>
      </c>
      <c r="P899" s="2">
        <v>294094</v>
      </c>
      <c r="Q899" s="2" t="s">
        <v>1304</v>
      </c>
      <c r="R899" s="2" t="s">
        <v>1323</v>
      </c>
      <c r="S899" s="2">
        <v>578</v>
      </c>
      <c r="T899" s="2">
        <v>1</v>
      </c>
      <c r="U899" s="2" t="s">
        <v>141</v>
      </c>
      <c r="Y899" s="2">
        <v>1700</v>
      </c>
      <c r="Z899" s="11" t="s">
        <v>54</v>
      </c>
      <c r="AA899" s="11" t="str">
        <f t="shared" si="61"/>
        <v>1700 - TBN</v>
      </c>
      <c r="AC899" s="2" t="s">
        <v>145</v>
      </c>
      <c r="AD899" s="11" t="str">
        <f>IF($I899&lt;&gt;"",VLOOKUP($AC899,GEADRESSEERDE!$A$2:$E$4,2,),"")</f>
        <v>LUITHAGEN HAVEN 2 D</v>
      </c>
      <c r="AE899" s="11">
        <f>IF($I899&lt;&gt;"",VLOOKUP($AC899,GEADRESSEERDE!$A$2:$E$4,3,),"")</f>
        <v>2030</v>
      </c>
      <c r="AF899" s="11" t="str">
        <f>IF($I899&lt;&gt;"",VLOOKUP($AC899,GEADRESSEERDE!$A$2:$E$4,4,),"")</f>
        <v>ANTWERPEN</v>
      </c>
      <c r="AG899" s="11" t="str">
        <f>IF($I899&lt;&gt;"",VLOOKUP($AC899,GEADRESSEERDE!$A$2:$E$4,5,),"")</f>
        <v>BE</v>
      </c>
      <c r="AH899" s="11" t="str">
        <f>IF(I899&lt;&gt;"",VLOOKUP(AP899,KvB!$A$2:$B$3,2,FALSE),"")</f>
        <v>BE101000</v>
      </c>
      <c r="AI899" s="11" t="s">
        <v>55</v>
      </c>
      <c r="AJ899" s="11"/>
      <c r="AK899" s="11"/>
      <c r="AL899" s="11"/>
      <c r="AM899" s="11"/>
      <c r="AN899" s="11"/>
      <c r="AO899" s="11"/>
      <c r="AP899" s="2" t="s">
        <v>70</v>
      </c>
      <c r="AQ899" s="11" t="str">
        <f>IF(I899&lt;&gt;"",DATA!D898,"")</f>
        <v>3924900090</v>
      </c>
    </row>
    <row r="900" spans="1:43" ht="15.75" x14ac:dyDescent="0.25">
      <c r="A900" s="11" t="s">
        <v>57</v>
      </c>
      <c r="B900" s="11" t="s">
        <v>56</v>
      </c>
      <c r="C900" s="22">
        <f t="shared" si="58"/>
        <v>25001620</v>
      </c>
      <c r="D900" s="11" t="str">
        <f t="shared" si="59"/>
        <v>SKIIFM_AT</v>
      </c>
      <c r="E900" s="11" t="str">
        <f>IF(I900&lt;&gt;"",VLOOKUP(F900,OPDRACHTGEVER!$A$2:$B$4,2,FALSE),"")</f>
        <v>SKIIFM_AT</v>
      </c>
      <c r="F900" s="11" t="s">
        <v>58</v>
      </c>
      <c r="I900" s="11" t="str">
        <f>IF(DATA!B899&lt;&gt;"",DATA!B899,"")</f>
        <v>FFAU3802677</v>
      </c>
      <c r="J900" s="12">
        <v>0</v>
      </c>
      <c r="K900" s="11" t="s">
        <v>53</v>
      </c>
      <c r="L900" s="11" t="str">
        <f t="shared" si="60"/>
        <v>820559</v>
      </c>
      <c r="M900" s="11" t="str">
        <f>IF(I900&lt;&gt;"",DATA!E899,"")</f>
        <v>TABLE SAW MITER GAUGE</v>
      </c>
      <c r="N900" s="12">
        <v>0</v>
      </c>
      <c r="O900" s="11">
        <f>IF(I900&lt;&gt;"",DATA!C899,"")</f>
        <v>52.9</v>
      </c>
      <c r="P900" s="2">
        <v>294094</v>
      </c>
      <c r="Q900" s="2" t="s">
        <v>1304</v>
      </c>
      <c r="R900" s="2" t="s">
        <v>1323</v>
      </c>
      <c r="S900" s="2">
        <v>578</v>
      </c>
      <c r="T900" s="2">
        <v>1</v>
      </c>
      <c r="U900" s="2" t="s">
        <v>141</v>
      </c>
      <c r="Y900" s="2">
        <v>1700</v>
      </c>
      <c r="Z900" s="11" t="s">
        <v>54</v>
      </c>
      <c r="AA900" s="11" t="str">
        <f t="shared" si="61"/>
        <v>1700 - TBN</v>
      </c>
      <c r="AC900" s="2" t="s">
        <v>145</v>
      </c>
      <c r="AD900" s="11" t="str">
        <f>IF($I900&lt;&gt;"",VLOOKUP($AC900,GEADRESSEERDE!$A$2:$E$4,2,),"")</f>
        <v>LUITHAGEN HAVEN 2 D</v>
      </c>
      <c r="AE900" s="11">
        <f>IF($I900&lt;&gt;"",VLOOKUP($AC900,GEADRESSEERDE!$A$2:$E$4,3,),"")</f>
        <v>2030</v>
      </c>
      <c r="AF900" s="11" t="str">
        <f>IF($I900&lt;&gt;"",VLOOKUP($AC900,GEADRESSEERDE!$A$2:$E$4,4,),"")</f>
        <v>ANTWERPEN</v>
      </c>
      <c r="AG900" s="11" t="str">
        <f>IF($I900&lt;&gt;"",VLOOKUP($AC900,GEADRESSEERDE!$A$2:$E$4,5,),"")</f>
        <v>BE</v>
      </c>
      <c r="AH900" s="11" t="str">
        <f>IF(I900&lt;&gt;"",VLOOKUP(AP900,KvB!$A$2:$B$3,2,FALSE),"")</f>
        <v>BE101000</v>
      </c>
      <c r="AI900" s="11" t="s">
        <v>55</v>
      </c>
      <c r="AJ900" s="11"/>
      <c r="AK900" s="11"/>
      <c r="AL900" s="11"/>
      <c r="AM900" s="11"/>
      <c r="AN900" s="11"/>
      <c r="AO900" s="11"/>
      <c r="AP900" s="2" t="s">
        <v>70</v>
      </c>
      <c r="AQ900" s="11" t="str">
        <f>IF(I900&lt;&gt;"",DATA!D899,"")</f>
        <v>8205598000</v>
      </c>
    </row>
    <row r="901" spans="1:43" ht="15.75" x14ac:dyDescent="0.25">
      <c r="A901" s="11" t="s">
        <v>57</v>
      </c>
      <c r="B901" s="11" t="s">
        <v>56</v>
      </c>
      <c r="C901" s="22">
        <f t="shared" ref="C901:C964" si="62">C900</f>
        <v>25001620</v>
      </c>
      <c r="D901" s="11" t="str">
        <f t="shared" si="59"/>
        <v>SKIIFM_AT</v>
      </c>
      <c r="E901" s="11" t="str">
        <f>IF(I901&lt;&gt;"",VLOOKUP(F901,OPDRACHTGEVER!$A$2:$B$4,2,FALSE),"")</f>
        <v>SKIIFM_AT</v>
      </c>
      <c r="F901" s="11" t="s">
        <v>58</v>
      </c>
      <c r="I901" s="11" t="str">
        <f>IF(DATA!B900&lt;&gt;"",DATA!B900,"")</f>
        <v>FFAU3802677</v>
      </c>
      <c r="J901" s="12">
        <v>0</v>
      </c>
      <c r="K901" s="11" t="s">
        <v>53</v>
      </c>
      <c r="L901" s="11" t="str">
        <f t="shared" si="60"/>
        <v>392690</v>
      </c>
      <c r="M901" s="11" t="str">
        <f>IF(I901&lt;&gt;"",DATA!E900,"")</f>
        <v>VACUUM SIPHON GRAVEL CLEANER</v>
      </c>
      <c r="N901" s="12">
        <v>0</v>
      </c>
      <c r="O901" s="11">
        <f>IF(I901&lt;&gt;"",DATA!C900,"")</f>
        <v>1.3</v>
      </c>
      <c r="P901" s="2">
        <v>294094</v>
      </c>
      <c r="Q901" s="2" t="s">
        <v>1304</v>
      </c>
      <c r="R901" s="2" t="s">
        <v>1323</v>
      </c>
      <c r="S901" s="2">
        <v>578</v>
      </c>
      <c r="T901" s="2">
        <v>1</v>
      </c>
      <c r="U901" s="2" t="s">
        <v>141</v>
      </c>
      <c r="Y901" s="2">
        <v>1700</v>
      </c>
      <c r="Z901" s="11" t="s">
        <v>54</v>
      </c>
      <c r="AA901" s="11" t="str">
        <f t="shared" si="61"/>
        <v>1700 - TBN</v>
      </c>
      <c r="AC901" s="2" t="s">
        <v>145</v>
      </c>
      <c r="AD901" s="11" t="str">
        <f>IF($I901&lt;&gt;"",VLOOKUP($AC901,GEADRESSEERDE!$A$2:$E$4,2,),"")</f>
        <v>LUITHAGEN HAVEN 2 D</v>
      </c>
      <c r="AE901" s="11">
        <f>IF($I901&lt;&gt;"",VLOOKUP($AC901,GEADRESSEERDE!$A$2:$E$4,3,),"")</f>
        <v>2030</v>
      </c>
      <c r="AF901" s="11" t="str">
        <f>IF($I901&lt;&gt;"",VLOOKUP($AC901,GEADRESSEERDE!$A$2:$E$4,4,),"")</f>
        <v>ANTWERPEN</v>
      </c>
      <c r="AG901" s="11" t="str">
        <f>IF($I901&lt;&gt;"",VLOOKUP($AC901,GEADRESSEERDE!$A$2:$E$4,5,),"")</f>
        <v>BE</v>
      </c>
      <c r="AH901" s="11" t="str">
        <f>IF(I901&lt;&gt;"",VLOOKUP(AP901,KvB!$A$2:$B$3,2,FALSE),"")</f>
        <v>BE101000</v>
      </c>
      <c r="AI901" s="11" t="s">
        <v>55</v>
      </c>
      <c r="AJ901" s="11"/>
      <c r="AK901" s="11"/>
      <c r="AL901" s="11"/>
      <c r="AM901" s="11"/>
      <c r="AN901" s="11"/>
      <c r="AO901" s="11"/>
      <c r="AP901" s="2" t="s">
        <v>70</v>
      </c>
      <c r="AQ901" s="11" t="str">
        <f>IF(I901&lt;&gt;"",DATA!D900,"")</f>
        <v>3926909790</v>
      </c>
    </row>
    <row r="902" spans="1:43" ht="15.75" x14ac:dyDescent="0.25">
      <c r="A902" s="11" t="s">
        <v>57</v>
      </c>
      <c r="B902" s="11" t="s">
        <v>56</v>
      </c>
      <c r="C902" s="22">
        <f t="shared" si="62"/>
        <v>25001620</v>
      </c>
      <c r="D902" s="11" t="str">
        <f t="shared" si="59"/>
        <v>SKIIFM_AT</v>
      </c>
      <c r="E902" s="11" t="str">
        <f>IF(I902&lt;&gt;"",VLOOKUP(F902,OPDRACHTGEVER!$A$2:$B$4,2,FALSE),"")</f>
        <v>SKIIFM_AT</v>
      </c>
      <c r="F902" s="11" t="s">
        <v>58</v>
      </c>
      <c r="I902" s="11" t="str">
        <f>IF(DATA!B901&lt;&gt;"",DATA!B901,"")</f>
        <v>FFAU3802677</v>
      </c>
      <c r="J902" s="12">
        <v>0</v>
      </c>
      <c r="K902" s="11" t="s">
        <v>53</v>
      </c>
      <c r="L902" s="11" t="str">
        <f t="shared" si="60"/>
        <v>841830</v>
      </c>
      <c r="M902" s="11" t="str">
        <f>IF(I902&lt;&gt;"",DATA!E901,"")</f>
        <v>VEHICLE REFRIGERATOR</v>
      </c>
      <c r="N902" s="12">
        <v>0</v>
      </c>
      <c r="O902" s="11">
        <f>IF(I902&lt;&gt;"",DATA!C901,"")</f>
        <v>1144.9100000000001</v>
      </c>
      <c r="P902" s="2">
        <v>294094</v>
      </c>
      <c r="Q902" s="2" t="s">
        <v>1304</v>
      </c>
      <c r="R902" s="2" t="s">
        <v>1323</v>
      </c>
      <c r="S902" s="2">
        <v>578</v>
      </c>
      <c r="T902" s="2">
        <v>1</v>
      </c>
      <c r="U902" s="2" t="s">
        <v>141</v>
      </c>
      <c r="Y902" s="2">
        <v>1700</v>
      </c>
      <c r="Z902" s="11" t="s">
        <v>54</v>
      </c>
      <c r="AA902" s="11" t="str">
        <f t="shared" si="61"/>
        <v>1700 - TBN</v>
      </c>
      <c r="AC902" s="2" t="s">
        <v>145</v>
      </c>
      <c r="AD902" s="11" t="str">
        <f>IF($I902&lt;&gt;"",VLOOKUP($AC902,GEADRESSEERDE!$A$2:$E$4,2,),"")</f>
        <v>LUITHAGEN HAVEN 2 D</v>
      </c>
      <c r="AE902" s="11">
        <f>IF($I902&lt;&gt;"",VLOOKUP($AC902,GEADRESSEERDE!$A$2:$E$4,3,),"")</f>
        <v>2030</v>
      </c>
      <c r="AF902" s="11" t="str">
        <f>IF($I902&lt;&gt;"",VLOOKUP($AC902,GEADRESSEERDE!$A$2:$E$4,4,),"")</f>
        <v>ANTWERPEN</v>
      </c>
      <c r="AG902" s="11" t="str">
        <f>IF($I902&lt;&gt;"",VLOOKUP($AC902,GEADRESSEERDE!$A$2:$E$4,5,),"")</f>
        <v>BE</v>
      </c>
      <c r="AH902" s="11" t="str">
        <f>IF(I902&lt;&gt;"",VLOOKUP(AP902,KvB!$A$2:$B$3,2,FALSE),"")</f>
        <v>BE101000</v>
      </c>
      <c r="AI902" s="11" t="s">
        <v>55</v>
      </c>
      <c r="AJ902" s="11"/>
      <c r="AK902" s="11"/>
      <c r="AL902" s="11"/>
      <c r="AM902" s="11"/>
      <c r="AN902" s="11"/>
      <c r="AO902" s="11"/>
      <c r="AP902" s="2" t="s">
        <v>70</v>
      </c>
      <c r="AQ902" s="11" t="str">
        <f>IF(I902&lt;&gt;"",DATA!D901,"")</f>
        <v>8418302099</v>
      </c>
    </row>
    <row r="903" spans="1:43" ht="15.75" x14ac:dyDescent="0.25">
      <c r="A903" s="11" t="s">
        <v>57</v>
      </c>
      <c r="B903" s="11" t="s">
        <v>56</v>
      </c>
      <c r="C903" s="22">
        <f t="shared" si="62"/>
        <v>25001620</v>
      </c>
      <c r="D903" s="11" t="str">
        <f t="shared" si="59"/>
        <v>SKIIFM_AT</v>
      </c>
      <c r="E903" s="11" t="str">
        <f>IF(I903&lt;&gt;"",VLOOKUP(F903,OPDRACHTGEVER!$A$2:$B$4,2,FALSE),"")</f>
        <v>SKIIFM_AT</v>
      </c>
      <c r="F903" s="11" t="s">
        <v>58</v>
      </c>
      <c r="I903" s="11" t="str">
        <f>IF(DATA!B902&lt;&gt;"",DATA!B902,"")</f>
        <v>FFAU3802677</v>
      </c>
      <c r="J903" s="12">
        <v>0</v>
      </c>
      <c r="K903" s="11" t="s">
        <v>53</v>
      </c>
      <c r="L903" s="11" t="str">
        <f t="shared" si="60"/>
        <v>841360</v>
      </c>
      <c r="M903" s="11" t="str">
        <f>IF(I903&lt;&gt;"",DATA!E902,"")</f>
        <v>WATER PUMP</v>
      </c>
      <c r="N903" s="12">
        <v>0</v>
      </c>
      <c r="O903" s="11">
        <f>IF(I903&lt;&gt;"",DATA!C902,"")</f>
        <v>0.66</v>
      </c>
      <c r="P903" s="2">
        <v>294094</v>
      </c>
      <c r="Q903" s="2" t="s">
        <v>1304</v>
      </c>
      <c r="R903" s="2" t="s">
        <v>1323</v>
      </c>
      <c r="S903" s="2">
        <v>578</v>
      </c>
      <c r="T903" s="2">
        <v>1</v>
      </c>
      <c r="U903" s="2" t="s">
        <v>141</v>
      </c>
      <c r="Y903" s="2">
        <v>1700</v>
      </c>
      <c r="Z903" s="11" t="s">
        <v>54</v>
      </c>
      <c r="AA903" s="11" t="str">
        <f t="shared" si="61"/>
        <v>1700 - TBN</v>
      </c>
      <c r="AC903" s="2" t="s">
        <v>145</v>
      </c>
      <c r="AD903" s="11" t="str">
        <f>IF($I903&lt;&gt;"",VLOOKUP($AC903,GEADRESSEERDE!$A$2:$E$4,2,),"")</f>
        <v>LUITHAGEN HAVEN 2 D</v>
      </c>
      <c r="AE903" s="11">
        <f>IF($I903&lt;&gt;"",VLOOKUP($AC903,GEADRESSEERDE!$A$2:$E$4,3,),"")</f>
        <v>2030</v>
      </c>
      <c r="AF903" s="11" t="str">
        <f>IF($I903&lt;&gt;"",VLOOKUP($AC903,GEADRESSEERDE!$A$2:$E$4,4,),"")</f>
        <v>ANTWERPEN</v>
      </c>
      <c r="AG903" s="11" t="str">
        <f>IF($I903&lt;&gt;"",VLOOKUP($AC903,GEADRESSEERDE!$A$2:$E$4,5,),"")</f>
        <v>BE</v>
      </c>
      <c r="AH903" s="11" t="str">
        <f>IF(I903&lt;&gt;"",VLOOKUP(AP903,KvB!$A$2:$B$3,2,FALSE),"")</f>
        <v>BE101000</v>
      </c>
      <c r="AI903" s="11" t="s">
        <v>55</v>
      </c>
      <c r="AJ903" s="11"/>
      <c r="AK903" s="11"/>
      <c r="AL903" s="11"/>
      <c r="AM903" s="11"/>
      <c r="AN903" s="11"/>
      <c r="AO903" s="11"/>
      <c r="AP903" s="2" t="s">
        <v>70</v>
      </c>
      <c r="AQ903" s="11" t="str">
        <f>IF(I903&lt;&gt;"",DATA!D902,"")</f>
        <v>8413608090</v>
      </c>
    </row>
    <row r="904" spans="1:43" ht="15.75" x14ac:dyDescent="0.25">
      <c r="A904" s="11" t="s">
        <v>57</v>
      </c>
      <c r="B904" s="11" t="s">
        <v>56</v>
      </c>
      <c r="C904" s="22">
        <f t="shared" si="62"/>
        <v>25001620</v>
      </c>
      <c r="D904" s="11" t="str">
        <f t="shared" si="59"/>
        <v>SKIIFM_AT</v>
      </c>
      <c r="E904" s="11" t="str">
        <f>IF(I904&lt;&gt;"",VLOOKUP(F904,OPDRACHTGEVER!$A$2:$B$4,2,FALSE),"")</f>
        <v>SKIIFM_AT</v>
      </c>
      <c r="F904" s="11" t="s">
        <v>58</v>
      </c>
      <c r="I904" s="11" t="str">
        <f>IF(DATA!B903&lt;&gt;"",DATA!B903,"")</f>
        <v>FFAU3802677</v>
      </c>
      <c r="J904" s="12">
        <v>0</v>
      </c>
      <c r="K904" s="11" t="s">
        <v>53</v>
      </c>
      <c r="L904" s="11" t="str">
        <f t="shared" si="60"/>
        <v>901580</v>
      </c>
      <c r="M904" s="11" t="str">
        <f>IF(I904&lt;&gt;"",DATA!E903,"")</f>
        <v>WEATHER STATION</v>
      </c>
      <c r="N904" s="12">
        <v>0</v>
      </c>
      <c r="O904" s="11">
        <f>IF(I904&lt;&gt;"",DATA!C903,"")</f>
        <v>114.4</v>
      </c>
      <c r="P904" s="2">
        <v>294094</v>
      </c>
      <c r="Q904" s="2" t="s">
        <v>1304</v>
      </c>
      <c r="R904" s="2" t="s">
        <v>1323</v>
      </c>
      <c r="S904" s="2">
        <v>578</v>
      </c>
      <c r="T904" s="2">
        <v>1</v>
      </c>
      <c r="U904" s="2" t="s">
        <v>141</v>
      </c>
      <c r="Y904" s="2">
        <v>1700</v>
      </c>
      <c r="Z904" s="11" t="s">
        <v>54</v>
      </c>
      <c r="AA904" s="11" t="str">
        <f t="shared" si="61"/>
        <v>1700 - TBN</v>
      </c>
      <c r="AC904" s="2" t="s">
        <v>145</v>
      </c>
      <c r="AD904" s="11" t="str">
        <f>IF($I904&lt;&gt;"",VLOOKUP($AC904,GEADRESSEERDE!$A$2:$E$4,2,),"")</f>
        <v>LUITHAGEN HAVEN 2 D</v>
      </c>
      <c r="AE904" s="11">
        <f>IF($I904&lt;&gt;"",VLOOKUP($AC904,GEADRESSEERDE!$A$2:$E$4,3,),"")</f>
        <v>2030</v>
      </c>
      <c r="AF904" s="11" t="str">
        <f>IF($I904&lt;&gt;"",VLOOKUP($AC904,GEADRESSEERDE!$A$2:$E$4,4,),"")</f>
        <v>ANTWERPEN</v>
      </c>
      <c r="AG904" s="11" t="str">
        <f>IF($I904&lt;&gt;"",VLOOKUP($AC904,GEADRESSEERDE!$A$2:$E$4,5,),"")</f>
        <v>BE</v>
      </c>
      <c r="AH904" s="11" t="str">
        <f>IF(I904&lt;&gt;"",VLOOKUP(AP904,KvB!$A$2:$B$3,2,FALSE),"")</f>
        <v>BE101000</v>
      </c>
      <c r="AI904" s="11" t="s">
        <v>55</v>
      </c>
      <c r="AJ904" s="11"/>
      <c r="AK904" s="11"/>
      <c r="AL904" s="11"/>
      <c r="AM904" s="11"/>
      <c r="AN904" s="11"/>
      <c r="AO904" s="11"/>
      <c r="AP904" s="2" t="s">
        <v>70</v>
      </c>
      <c r="AQ904" s="11" t="str">
        <f>IF(I904&lt;&gt;"",DATA!D903,"")</f>
        <v>9015808000</v>
      </c>
    </row>
    <row r="905" spans="1:43" ht="15.75" x14ac:dyDescent="0.25">
      <c r="A905" s="11" t="s">
        <v>57</v>
      </c>
      <c r="B905" s="11" t="s">
        <v>56</v>
      </c>
      <c r="C905" s="22">
        <f t="shared" si="62"/>
        <v>25001620</v>
      </c>
      <c r="D905" s="11" t="str">
        <f t="shared" si="59"/>
        <v>SKIIFM_AT</v>
      </c>
      <c r="E905" s="11" t="str">
        <f>IF(I905&lt;&gt;"",VLOOKUP(F905,OPDRACHTGEVER!$A$2:$B$4,2,FALSE),"")</f>
        <v>SKIIFM_AT</v>
      </c>
      <c r="F905" s="11" t="s">
        <v>58</v>
      </c>
      <c r="I905" s="11" t="str">
        <f>IF(DATA!B904&lt;&gt;"",DATA!B904,"")</f>
        <v>FFAU3802677</v>
      </c>
      <c r="J905" s="12">
        <v>0</v>
      </c>
      <c r="K905" s="11" t="s">
        <v>53</v>
      </c>
      <c r="L905" s="11" t="str">
        <f t="shared" si="60"/>
        <v>851511</v>
      </c>
      <c r="M905" s="11" t="str">
        <f>IF(I905&lt;&gt;"",DATA!E904,"")</f>
        <v>WELDING DEVICE</v>
      </c>
      <c r="N905" s="12">
        <v>0</v>
      </c>
      <c r="O905" s="11">
        <f>IF(I905&lt;&gt;"",DATA!C904,"")</f>
        <v>2</v>
      </c>
      <c r="P905" s="2">
        <v>294094</v>
      </c>
      <c r="Q905" s="2" t="s">
        <v>1304</v>
      </c>
      <c r="R905" s="2" t="s">
        <v>1323</v>
      </c>
      <c r="S905" s="2">
        <v>578</v>
      </c>
      <c r="T905" s="2">
        <v>1</v>
      </c>
      <c r="U905" s="2" t="s">
        <v>141</v>
      </c>
      <c r="Y905" s="2">
        <v>1700</v>
      </c>
      <c r="Z905" s="11" t="s">
        <v>54</v>
      </c>
      <c r="AA905" s="11" t="str">
        <f t="shared" si="61"/>
        <v>1700 - TBN</v>
      </c>
      <c r="AC905" s="2" t="s">
        <v>145</v>
      </c>
      <c r="AD905" s="11" t="str">
        <f>IF($I905&lt;&gt;"",VLOOKUP($AC905,GEADRESSEERDE!$A$2:$E$4,2,),"")</f>
        <v>LUITHAGEN HAVEN 2 D</v>
      </c>
      <c r="AE905" s="11">
        <f>IF($I905&lt;&gt;"",VLOOKUP($AC905,GEADRESSEERDE!$A$2:$E$4,3,),"")</f>
        <v>2030</v>
      </c>
      <c r="AF905" s="11" t="str">
        <f>IF($I905&lt;&gt;"",VLOOKUP($AC905,GEADRESSEERDE!$A$2:$E$4,4,),"")</f>
        <v>ANTWERPEN</v>
      </c>
      <c r="AG905" s="11" t="str">
        <f>IF($I905&lt;&gt;"",VLOOKUP($AC905,GEADRESSEERDE!$A$2:$E$4,5,),"")</f>
        <v>BE</v>
      </c>
      <c r="AH905" s="11" t="str">
        <f>IF(I905&lt;&gt;"",VLOOKUP(AP905,KvB!$A$2:$B$3,2,FALSE),"")</f>
        <v>BE101000</v>
      </c>
      <c r="AI905" s="11" t="s">
        <v>55</v>
      </c>
      <c r="AJ905" s="11"/>
      <c r="AK905" s="11"/>
      <c r="AL905" s="11"/>
      <c r="AM905" s="11"/>
      <c r="AN905" s="11"/>
      <c r="AO905" s="11"/>
      <c r="AP905" s="2" t="s">
        <v>70</v>
      </c>
      <c r="AQ905" s="11" t="str">
        <f>IF(I905&lt;&gt;"",DATA!D904,"")</f>
        <v>8515110000</v>
      </c>
    </row>
    <row r="906" spans="1:43" ht="15.75" x14ac:dyDescent="0.25">
      <c r="A906" s="11" t="s">
        <v>57</v>
      </c>
      <c r="B906" s="11" t="s">
        <v>56</v>
      </c>
      <c r="C906" s="22">
        <f t="shared" si="62"/>
        <v>25001620</v>
      </c>
      <c r="D906" s="11" t="str">
        <f t="shared" si="59"/>
        <v>SKIIFM_AT</v>
      </c>
      <c r="E906" s="11" t="str">
        <f>IF(I906&lt;&gt;"",VLOOKUP(F906,OPDRACHTGEVER!$A$2:$B$4,2,FALSE),"")</f>
        <v>SKIIFM_AT</v>
      </c>
      <c r="F906" s="11" t="s">
        <v>58</v>
      </c>
      <c r="I906" s="11" t="str">
        <f>IF(DATA!B905&lt;&gt;"",DATA!B905,"")</f>
        <v>FSCU7996366</v>
      </c>
      <c r="J906" s="12">
        <v>1324</v>
      </c>
      <c r="K906" s="11" t="s">
        <v>53</v>
      </c>
      <c r="L906" s="11" t="str">
        <f t="shared" si="60"/>
        <v>841480</v>
      </c>
      <c r="M906" s="11" t="str">
        <f>IF(I906&lt;&gt;"",DATA!E905,"")</f>
        <v>AIR COMPRESSOR</v>
      </c>
      <c r="N906" s="12">
        <v>14957</v>
      </c>
      <c r="O906" s="11">
        <f>IF(I906&lt;&gt;"",DATA!C905,"")</f>
        <v>55.3</v>
      </c>
      <c r="P906" s="2">
        <v>294094</v>
      </c>
      <c r="Q906" s="2" t="s">
        <v>1304</v>
      </c>
      <c r="R906" s="2" t="s">
        <v>1324</v>
      </c>
      <c r="S906" s="2">
        <v>209</v>
      </c>
      <c r="T906" s="2">
        <v>1</v>
      </c>
      <c r="U906" s="2" t="s">
        <v>141</v>
      </c>
      <c r="Y906" s="2">
        <v>1700</v>
      </c>
      <c r="Z906" s="11" t="s">
        <v>54</v>
      </c>
      <c r="AA906" s="11" t="str">
        <f t="shared" si="61"/>
        <v>1700 - TBN</v>
      </c>
      <c r="AC906" s="2" t="s">
        <v>145</v>
      </c>
      <c r="AD906" s="11" t="str">
        <f>IF($I906&lt;&gt;"",VLOOKUP($AC906,GEADRESSEERDE!$A$2:$E$4,2,),"")</f>
        <v>LUITHAGEN HAVEN 2 D</v>
      </c>
      <c r="AE906" s="11">
        <f>IF($I906&lt;&gt;"",VLOOKUP($AC906,GEADRESSEERDE!$A$2:$E$4,3,),"")</f>
        <v>2030</v>
      </c>
      <c r="AF906" s="11" t="str">
        <f>IF($I906&lt;&gt;"",VLOOKUP($AC906,GEADRESSEERDE!$A$2:$E$4,4,),"")</f>
        <v>ANTWERPEN</v>
      </c>
      <c r="AG906" s="11" t="str">
        <f>IF($I906&lt;&gt;"",VLOOKUP($AC906,GEADRESSEERDE!$A$2:$E$4,5,),"")</f>
        <v>BE</v>
      </c>
      <c r="AH906" s="11" t="str">
        <f>IF(I906&lt;&gt;"",VLOOKUP(AP906,KvB!$A$2:$B$3,2,FALSE),"")</f>
        <v>BE101000</v>
      </c>
      <c r="AI906" s="11" t="s">
        <v>55</v>
      </c>
      <c r="AJ906" s="11"/>
      <c r="AK906" s="11"/>
      <c r="AL906" s="11"/>
      <c r="AM906" s="11"/>
      <c r="AN906" s="11"/>
      <c r="AO906" s="11"/>
      <c r="AP906" s="2" t="s">
        <v>70</v>
      </c>
      <c r="AQ906" s="11" t="str">
        <f>IF(I906&lt;&gt;"",DATA!D905,"")</f>
        <v>8414808090</v>
      </c>
    </row>
    <row r="907" spans="1:43" ht="15.75" x14ac:dyDescent="0.25">
      <c r="A907" s="11" t="s">
        <v>57</v>
      </c>
      <c r="B907" s="11" t="s">
        <v>56</v>
      </c>
      <c r="C907" s="22">
        <f t="shared" si="62"/>
        <v>25001620</v>
      </c>
      <c r="D907" s="11" t="str">
        <f t="shared" si="59"/>
        <v>SKIIFM_AT</v>
      </c>
      <c r="E907" s="11" t="str">
        <f>IF(I907&lt;&gt;"",VLOOKUP(F907,OPDRACHTGEVER!$A$2:$B$4,2,FALSE),"")</f>
        <v>SKIIFM_AT</v>
      </c>
      <c r="F907" s="11" t="s">
        <v>58</v>
      </c>
      <c r="I907" s="11" t="str">
        <f>IF(DATA!B906&lt;&gt;"",DATA!B906,"")</f>
        <v>FSCU7996366</v>
      </c>
      <c r="J907" s="12">
        <v>0</v>
      </c>
      <c r="K907" s="11" t="s">
        <v>53</v>
      </c>
      <c r="L907" s="11" t="str">
        <f t="shared" si="60"/>
        <v>741920</v>
      </c>
      <c r="M907" s="11" t="str">
        <f>IF(I907&lt;&gt;"",DATA!E906,"")</f>
        <v>ALUMINUM RAILS FOR SAWS</v>
      </c>
      <c r="N907" s="12">
        <v>0</v>
      </c>
      <c r="O907" s="11">
        <f>IF(I907&lt;&gt;"",DATA!C906,"")</f>
        <v>63.15</v>
      </c>
      <c r="P907" s="2">
        <v>294094</v>
      </c>
      <c r="Q907" s="2" t="s">
        <v>1304</v>
      </c>
      <c r="R907" s="2" t="s">
        <v>1324</v>
      </c>
      <c r="S907" s="2">
        <v>209</v>
      </c>
      <c r="T907" s="2">
        <v>1</v>
      </c>
      <c r="U907" s="2" t="s">
        <v>141</v>
      </c>
      <c r="Y907" s="2">
        <v>1700</v>
      </c>
      <c r="Z907" s="11" t="s">
        <v>54</v>
      </c>
      <c r="AA907" s="11" t="str">
        <f t="shared" si="61"/>
        <v>1700 - TBN</v>
      </c>
      <c r="AC907" s="2" t="s">
        <v>145</v>
      </c>
      <c r="AD907" s="11" t="str">
        <f>IF($I907&lt;&gt;"",VLOOKUP($AC907,GEADRESSEERDE!$A$2:$E$4,2,),"")</f>
        <v>LUITHAGEN HAVEN 2 D</v>
      </c>
      <c r="AE907" s="11">
        <f>IF($I907&lt;&gt;"",VLOOKUP($AC907,GEADRESSEERDE!$A$2:$E$4,3,),"")</f>
        <v>2030</v>
      </c>
      <c r="AF907" s="11" t="str">
        <f>IF($I907&lt;&gt;"",VLOOKUP($AC907,GEADRESSEERDE!$A$2:$E$4,4,),"")</f>
        <v>ANTWERPEN</v>
      </c>
      <c r="AG907" s="11" t="str">
        <f>IF($I907&lt;&gt;"",VLOOKUP($AC907,GEADRESSEERDE!$A$2:$E$4,5,),"")</f>
        <v>BE</v>
      </c>
      <c r="AH907" s="11" t="str">
        <f>IF(I907&lt;&gt;"",VLOOKUP(AP907,KvB!$A$2:$B$3,2,FALSE),"")</f>
        <v>BE101000</v>
      </c>
      <c r="AI907" s="11" t="s">
        <v>55</v>
      </c>
      <c r="AJ907" s="11"/>
      <c r="AK907" s="11"/>
      <c r="AL907" s="11"/>
      <c r="AM907" s="11"/>
      <c r="AN907" s="11"/>
      <c r="AO907" s="11"/>
      <c r="AP907" s="2" t="s">
        <v>70</v>
      </c>
      <c r="AQ907" s="11" t="str">
        <f>IF(I907&lt;&gt;"",DATA!D906,"")</f>
        <v>7419200090</v>
      </c>
    </row>
    <row r="908" spans="1:43" ht="15.75" x14ac:dyDescent="0.25">
      <c r="A908" s="11" t="s">
        <v>57</v>
      </c>
      <c r="B908" s="11" t="s">
        <v>56</v>
      </c>
      <c r="C908" s="22">
        <f t="shared" si="62"/>
        <v>25001620</v>
      </c>
      <c r="D908" s="11" t="str">
        <f t="shared" si="59"/>
        <v>SKIIFM_AT</v>
      </c>
      <c r="E908" s="11" t="str">
        <f>IF(I908&lt;&gt;"",VLOOKUP(F908,OPDRACHTGEVER!$A$2:$B$4,2,FALSE),"")</f>
        <v>SKIIFM_AT</v>
      </c>
      <c r="F908" s="11" t="s">
        <v>58</v>
      </c>
      <c r="I908" s="11" t="str">
        <f>IF(DATA!B907&lt;&gt;"",DATA!B907,"")</f>
        <v>FSCU7996366</v>
      </c>
      <c r="J908" s="12">
        <v>0</v>
      </c>
      <c r="K908" s="11" t="s">
        <v>53</v>
      </c>
      <c r="L908" s="11" t="str">
        <f t="shared" si="60"/>
        <v>851531</v>
      </c>
      <c r="M908" s="11" t="str">
        <f>IF(I908&lt;&gt;"",DATA!E907,"")</f>
        <v>ARC WELDING MACHINE</v>
      </c>
      <c r="N908" s="12">
        <v>0</v>
      </c>
      <c r="O908" s="11">
        <f>IF(I908&lt;&gt;"",DATA!C907,"")</f>
        <v>385.85</v>
      </c>
      <c r="P908" s="2">
        <v>294094</v>
      </c>
      <c r="Q908" s="2" t="s">
        <v>1304</v>
      </c>
      <c r="R908" s="2" t="s">
        <v>1324</v>
      </c>
      <c r="S908" s="2">
        <v>209</v>
      </c>
      <c r="T908" s="2">
        <v>1</v>
      </c>
      <c r="U908" s="2" t="s">
        <v>141</v>
      </c>
      <c r="Y908" s="2">
        <v>1700</v>
      </c>
      <c r="Z908" s="11" t="s">
        <v>54</v>
      </c>
      <c r="AA908" s="11" t="str">
        <f t="shared" si="61"/>
        <v>1700 - TBN</v>
      </c>
      <c r="AC908" s="2" t="s">
        <v>145</v>
      </c>
      <c r="AD908" s="11" t="str">
        <f>IF($I908&lt;&gt;"",VLOOKUP($AC908,GEADRESSEERDE!$A$2:$E$4,2,),"")</f>
        <v>LUITHAGEN HAVEN 2 D</v>
      </c>
      <c r="AE908" s="11">
        <f>IF($I908&lt;&gt;"",VLOOKUP($AC908,GEADRESSEERDE!$A$2:$E$4,3,),"")</f>
        <v>2030</v>
      </c>
      <c r="AF908" s="11" t="str">
        <f>IF($I908&lt;&gt;"",VLOOKUP($AC908,GEADRESSEERDE!$A$2:$E$4,4,),"")</f>
        <v>ANTWERPEN</v>
      </c>
      <c r="AG908" s="11" t="str">
        <f>IF($I908&lt;&gt;"",VLOOKUP($AC908,GEADRESSEERDE!$A$2:$E$4,5,),"")</f>
        <v>BE</v>
      </c>
      <c r="AH908" s="11" t="str">
        <f>IF(I908&lt;&gt;"",VLOOKUP(AP908,KvB!$A$2:$B$3,2,FALSE),"")</f>
        <v>BE101000</v>
      </c>
      <c r="AI908" s="11" t="s">
        <v>55</v>
      </c>
      <c r="AJ908" s="11"/>
      <c r="AK908" s="11"/>
      <c r="AL908" s="11"/>
      <c r="AM908" s="11"/>
      <c r="AN908" s="11"/>
      <c r="AO908" s="11"/>
      <c r="AP908" s="2" t="s">
        <v>70</v>
      </c>
      <c r="AQ908" s="11" t="str">
        <f>IF(I908&lt;&gt;"",DATA!D907,"")</f>
        <v>8515310000</v>
      </c>
    </row>
    <row r="909" spans="1:43" ht="15.75" x14ac:dyDescent="0.25">
      <c r="A909" s="11" t="s">
        <v>57</v>
      </c>
      <c r="B909" s="11" t="s">
        <v>56</v>
      </c>
      <c r="C909" s="22">
        <f t="shared" si="62"/>
        <v>25001620</v>
      </c>
      <c r="D909" s="11" t="str">
        <f t="shared" si="59"/>
        <v>SKIIFM_AT</v>
      </c>
      <c r="E909" s="11" t="str">
        <f>IF(I909&lt;&gt;"",VLOOKUP(F909,OPDRACHTGEVER!$A$2:$B$4,2,FALSE),"")</f>
        <v>SKIIFM_AT</v>
      </c>
      <c r="F909" s="11" t="s">
        <v>58</v>
      </c>
      <c r="I909" s="11" t="str">
        <f>IF(DATA!B908&lt;&gt;"",DATA!B908,"")</f>
        <v>FSCU7996366</v>
      </c>
      <c r="J909" s="12">
        <v>0</v>
      </c>
      <c r="K909" s="11" t="s">
        <v>53</v>
      </c>
      <c r="L909" s="11" t="str">
        <f t="shared" si="60"/>
        <v>870870</v>
      </c>
      <c r="M909" s="11" t="str">
        <f>IF(I909&lt;&gt;"",DATA!E908,"")</f>
        <v>BEACH WHEEL</v>
      </c>
      <c r="N909" s="12">
        <v>0</v>
      </c>
      <c r="O909" s="11">
        <f>IF(I909&lt;&gt;"",DATA!C908,"")</f>
        <v>9.4</v>
      </c>
      <c r="P909" s="2">
        <v>294094</v>
      </c>
      <c r="Q909" s="2" t="s">
        <v>1304</v>
      </c>
      <c r="R909" s="2" t="s">
        <v>1324</v>
      </c>
      <c r="S909" s="2">
        <v>209</v>
      </c>
      <c r="T909" s="2">
        <v>1</v>
      </c>
      <c r="U909" s="2" t="s">
        <v>141</v>
      </c>
      <c r="Y909" s="2">
        <v>1700</v>
      </c>
      <c r="Z909" s="11" t="s">
        <v>54</v>
      </c>
      <c r="AA909" s="11" t="str">
        <f t="shared" si="61"/>
        <v>1700 - TBN</v>
      </c>
      <c r="AC909" s="2" t="s">
        <v>145</v>
      </c>
      <c r="AD909" s="11" t="str">
        <f>IF($I909&lt;&gt;"",VLOOKUP($AC909,GEADRESSEERDE!$A$2:$E$4,2,),"")</f>
        <v>LUITHAGEN HAVEN 2 D</v>
      </c>
      <c r="AE909" s="11">
        <f>IF($I909&lt;&gt;"",VLOOKUP($AC909,GEADRESSEERDE!$A$2:$E$4,3,),"")</f>
        <v>2030</v>
      </c>
      <c r="AF909" s="11" t="str">
        <f>IF($I909&lt;&gt;"",VLOOKUP($AC909,GEADRESSEERDE!$A$2:$E$4,4,),"")</f>
        <v>ANTWERPEN</v>
      </c>
      <c r="AG909" s="11" t="str">
        <f>IF($I909&lt;&gt;"",VLOOKUP($AC909,GEADRESSEERDE!$A$2:$E$4,5,),"")</f>
        <v>BE</v>
      </c>
      <c r="AH909" s="11" t="str">
        <f>IF(I909&lt;&gt;"",VLOOKUP(AP909,KvB!$A$2:$B$3,2,FALSE),"")</f>
        <v>BE101000</v>
      </c>
      <c r="AI909" s="11" t="s">
        <v>55</v>
      </c>
      <c r="AJ909" s="11"/>
      <c r="AK909" s="11"/>
      <c r="AL909" s="11"/>
      <c r="AM909" s="11"/>
      <c r="AN909" s="11"/>
      <c r="AO909" s="11"/>
      <c r="AP909" s="2" t="s">
        <v>70</v>
      </c>
      <c r="AQ909" s="11" t="str">
        <f>IF(I909&lt;&gt;"",DATA!D908,"")</f>
        <v>8708705085</v>
      </c>
    </row>
    <row r="910" spans="1:43" ht="15.75" x14ac:dyDescent="0.25">
      <c r="A910" s="11" t="s">
        <v>57</v>
      </c>
      <c r="B910" s="11" t="s">
        <v>56</v>
      </c>
      <c r="C910" s="22">
        <f t="shared" si="62"/>
        <v>25001620</v>
      </c>
      <c r="D910" s="11" t="str">
        <f t="shared" si="59"/>
        <v>SKIIFM_AT</v>
      </c>
      <c r="E910" s="11" t="str">
        <f>IF(I910&lt;&gt;"",VLOOKUP(F910,OPDRACHTGEVER!$A$2:$B$4,2,FALSE),"")</f>
        <v>SKIIFM_AT</v>
      </c>
      <c r="F910" s="11" t="s">
        <v>58</v>
      </c>
      <c r="I910" s="11" t="str">
        <f>IF(DATA!B909&lt;&gt;"",DATA!B909,"")</f>
        <v>FSCU7996366</v>
      </c>
      <c r="J910" s="12">
        <v>0</v>
      </c>
      <c r="K910" s="11" t="s">
        <v>53</v>
      </c>
      <c r="L910" s="11" t="str">
        <f t="shared" si="60"/>
        <v>392410</v>
      </c>
      <c r="M910" s="11" t="str">
        <f>IF(I910&lt;&gt;"",DATA!E909,"")</f>
        <v>BEVERAGE BUCKET</v>
      </c>
      <c r="N910" s="12">
        <v>0</v>
      </c>
      <c r="O910" s="11">
        <f>IF(I910&lt;&gt;"",DATA!C909,"")</f>
        <v>114.75</v>
      </c>
      <c r="P910" s="2">
        <v>294094</v>
      </c>
      <c r="Q910" s="2" t="s">
        <v>1304</v>
      </c>
      <c r="R910" s="2" t="s">
        <v>1324</v>
      </c>
      <c r="S910" s="2">
        <v>209</v>
      </c>
      <c r="T910" s="2">
        <v>1</v>
      </c>
      <c r="U910" s="2" t="s">
        <v>141</v>
      </c>
      <c r="Y910" s="2">
        <v>1700</v>
      </c>
      <c r="Z910" s="11" t="s">
        <v>54</v>
      </c>
      <c r="AA910" s="11" t="str">
        <f t="shared" si="61"/>
        <v>1700 - TBN</v>
      </c>
      <c r="AC910" s="2" t="s">
        <v>145</v>
      </c>
      <c r="AD910" s="11" t="str">
        <f>IF($I910&lt;&gt;"",VLOOKUP($AC910,GEADRESSEERDE!$A$2:$E$4,2,),"")</f>
        <v>LUITHAGEN HAVEN 2 D</v>
      </c>
      <c r="AE910" s="11">
        <f>IF($I910&lt;&gt;"",VLOOKUP($AC910,GEADRESSEERDE!$A$2:$E$4,3,),"")</f>
        <v>2030</v>
      </c>
      <c r="AF910" s="11" t="str">
        <f>IF($I910&lt;&gt;"",VLOOKUP($AC910,GEADRESSEERDE!$A$2:$E$4,4,),"")</f>
        <v>ANTWERPEN</v>
      </c>
      <c r="AG910" s="11" t="str">
        <f>IF($I910&lt;&gt;"",VLOOKUP($AC910,GEADRESSEERDE!$A$2:$E$4,5,),"")</f>
        <v>BE</v>
      </c>
      <c r="AH910" s="11" t="str">
        <f>IF(I910&lt;&gt;"",VLOOKUP(AP910,KvB!$A$2:$B$3,2,FALSE),"")</f>
        <v>BE101000</v>
      </c>
      <c r="AI910" s="11" t="s">
        <v>55</v>
      </c>
      <c r="AJ910" s="11"/>
      <c r="AK910" s="11"/>
      <c r="AL910" s="11"/>
      <c r="AM910" s="11"/>
      <c r="AN910" s="11"/>
      <c r="AO910" s="11"/>
      <c r="AP910" s="2" t="s">
        <v>70</v>
      </c>
      <c r="AQ910" s="11" t="str">
        <f>IF(I910&lt;&gt;"",DATA!D909,"")</f>
        <v>3924100090</v>
      </c>
    </row>
    <row r="911" spans="1:43" ht="15.75" x14ac:dyDescent="0.25">
      <c r="A911" s="11" t="s">
        <v>57</v>
      </c>
      <c r="B911" s="11" t="s">
        <v>56</v>
      </c>
      <c r="C911" s="22">
        <f t="shared" si="62"/>
        <v>25001620</v>
      </c>
      <c r="D911" s="11" t="str">
        <f t="shared" si="59"/>
        <v>SKIIFM_AT</v>
      </c>
      <c r="E911" s="11" t="str">
        <f>IF(I911&lt;&gt;"",VLOOKUP(F911,OPDRACHTGEVER!$A$2:$B$4,2,FALSE),"")</f>
        <v>SKIIFM_AT</v>
      </c>
      <c r="F911" s="11" t="s">
        <v>58</v>
      </c>
      <c r="I911" s="11" t="str">
        <f>IF(DATA!B910&lt;&gt;"",DATA!B910,"")</f>
        <v>FSCU7996366</v>
      </c>
      <c r="J911" s="12">
        <v>0</v>
      </c>
      <c r="K911" s="11" t="s">
        <v>53</v>
      </c>
      <c r="L911" s="11" t="str">
        <f t="shared" si="60"/>
        <v>820420</v>
      </c>
      <c r="M911" s="11" t="str">
        <f>IF(I911&lt;&gt;"",DATA!E910,"")</f>
        <v>BIT SOCKET SET</v>
      </c>
      <c r="N911" s="12">
        <v>0</v>
      </c>
      <c r="O911" s="11">
        <f>IF(I911&lt;&gt;"",DATA!C910,"")</f>
        <v>30.35</v>
      </c>
      <c r="P911" s="2">
        <v>294094</v>
      </c>
      <c r="Q911" s="2" t="s">
        <v>1304</v>
      </c>
      <c r="R911" s="2" t="s">
        <v>1324</v>
      </c>
      <c r="S911" s="2">
        <v>209</v>
      </c>
      <c r="T911" s="2">
        <v>1</v>
      </c>
      <c r="U911" s="2" t="s">
        <v>141</v>
      </c>
      <c r="Y911" s="2">
        <v>1700</v>
      </c>
      <c r="Z911" s="11" t="s">
        <v>54</v>
      </c>
      <c r="AA911" s="11" t="str">
        <f t="shared" si="61"/>
        <v>1700 - TBN</v>
      </c>
      <c r="AC911" s="2" t="s">
        <v>145</v>
      </c>
      <c r="AD911" s="11" t="str">
        <f>IF($I911&lt;&gt;"",VLOOKUP($AC911,GEADRESSEERDE!$A$2:$E$4,2,),"")</f>
        <v>LUITHAGEN HAVEN 2 D</v>
      </c>
      <c r="AE911" s="11">
        <f>IF($I911&lt;&gt;"",VLOOKUP($AC911,GEADRESSEERDE!$A$2:$E$4,3,),"")</f>
        <v>2030</v>
      </c>
      <c r="AF911" s="11" t="str">
        <f>IF($I911&lt;&gt;"",VLOOKUP($AC911,GEADRESSEERDE!$A$2:$E$4,4,),"")</f>
        <v>ANTWERPEN</v>
      </c>
      <c r="AG911" s="11" t="str">
        <f>IF($I911&lt;&gt;"",VLOOKUP($AC911,GEADRESSEERDE!$A$2:$E$4,5,),"")</f>
        <v>BE</v>
      </c>
      <c r="AH911" s="11" t="str">
        <f>IF(I911&lt;&gt;"",VLOOKUP(AP911,KvB!$A$2:$B$3,2,FALSE),"")</f>
        <v>BE101000</v>
      </c>
      <c r="AI911" s="11" t="s">
        <v>55</v>
      </c>
      <c r="AJ911" s="11"/>
      <c r="AK911" s="11"/>
      <c r="AL911" s="11"/>
      <c r="AM911" s="11"/>
      <c r="AN911" s="11"/>
      <c r="AO911" s="11"/>
      <c r="AP911" s="2" t="s">
        <v>70</v>
      </c>
      <c r="AQ911" s="11" t="str">
        <f>IF(I911&lt;&gt;"",DATA!D910,"")</f>
        <v>8204200000</v>
      </c>
    </row>
    <row r="912" spans="1:43" ht="15.75" x14ac:dyDescent="0.25">
      <c r="A912" s="11" t="s">
        <v>57</v>
      </c>
      <c r="B912" s="11" t="s">
        <v>56</v>
      </c>
      <c r="C912" s="22">
        <f t="shared" si="62"/>
        <v>25001620</v>
      </c>
      <c r="D912" s="11" t="str">
        <f t="shared" si="59"/>
        <v>SKIIFM_AT</v>
      </c>
      <c r="E912" s="11" t="str">
        <f>IF(I912&lt;&gt;"",VLOOKUP(F912,OPDRACHTGEVER!$A$2:$B$4,2,FALSE),"")</f>
        <v>SKIIFM_AT</v>
      </c>
      <c r="F912" s="11" t="s">
        <v>58</v>
      </c>
      <c r="I912" s="11" t="str">
        <f>IF(DATA!B911&lt;&gt;"",DATA!B911,"")</f>
        <v>FSCU7996366</v>
      </c>
      <c r="J912" s="12">
        <v>0</v>
      </c>
      <c r="K912" s="11" t="s">
        <v>53</v>
      </c>
      <c r="L912" s="11" t="str">
        <f t="shared" si="60"/>
        <v>960390</v>
      </c>
      <c r="M912" s="11" t="str">
        <f>IF(I912&lt;&gt;"",DATA!E911,"")</f>
        <v>BRUSH</v>
      </c>
      <c r="N912" s="12">
        <v>0</v>
      </c>
      <c r="O912" s="11">
        <f>IF(I912&lt;&gt;"",DATA!C911,"")</f>
        <v>12</v>
      </c>
      <c r="P912" s="2">
        <v>294094</v>
      </c>
      <c r="Q912" s="2" t="s">
        <v>1304</v>
      </c>
      <c r="R912" s="2" t="s">
        <v>1324</v>
      </c>
      <c r="S912" s="2">
        <v>209</v>
      </c>
      <c r="T912" s="2">
        <v>1</v>
      </c>
      <c r="U912" s="2" t="s">
        <v>141</v>
      </c>
      <c r="Y912" s="2">
        <v>1700</v>
      </c>
      <c r="Z912" s="11" t="s">
        <v>54</v>
      </c>
      <c r="AA912" s="11" t="str">
        <f t="shared" si="61"/>
        <v>1700 - TBN</v>
      </c>
      <c r="AC912" s="2" t="s">
        <v>145</v>
      </c>
      <c r="AD912" s="11" t="str">
        <f>IF($I912&lt;&gt;"",VLOOKUP($AC912,GEADRESSEERDE!$A$2:$E$4,2,),"")</f>
        <v>LUITHAGEN HAVEN 2 D</v>
      </c>
      <c r="AE912" s="11">
        <f>IF($I912&lt;&gt;"",VLOOKUP($AC912,GEADRESSEERDE!$A$2:$E$4,3,),"")</f>
        <v>2030</v>
      </c>
      <c r="AF912" s="11" t="str">
        <f>IF($I912&lt;&gt;"",VLOOKUP($AC912,GEADRESSEERDE!$A$2:$E$4,4,),"")</f>
        <v>ANTWERPEN</v>
      </c>
      <c r="AG912" s="11" t="str">
        <f>IF($I912&lt;&gt;"",VLOOKUP($AC912,GEADRESSEERDE!$A$2:$E$4,5,),"")</f>
        <v>BE</v>
      </c>
      <c r="AH912" s="11" t="str">
        <f>IF(I912&lt;&gt;"",VLOOKUP(AP912,KvB!$A$2:$B$3,2,FALSE),"")</f>
        <v>BE101000</v>
      </c>
      <c r="AI912" s="11" t="s">
        <v>55</v>
      </c>
      <c r="AJ912" s="11"/>
      <c r="AK912" s="11"/>
      <c r="AL912" s="11"/>
      <c r="AM912" s="11"/>
      <c r="AN912" s="11"/>
      <c r="AO912" s="11"/>
      <c r="AP912" s="2" t="s">
        <v>70</v>
      </c>
      <c r="AQ912" s="11" t="str">
        <f>IF(I912&lt;&gt;"",DATA!D911,"")</f>
        <v>9603901000</v>
      </c>
    </row>
    <row r="913" spans="1:43" ht="15.75" x14ac:dyDescent="0.25">
      <c r="A913" s="11" t="s">
        <v>57</v>
      </c>
      <c r="B913" s="11" t="s">
        <v>56</v>
      </c>
      <c r="C913" s="22">
        <f t="shared" si="62"/>
        <v>25001620</v>
      </c>
      <c r="D913" s="11" t="str">
        <f t="shared" si="59"/>
        <v>SKIIFM_AT</v>
      </c>
      <c r="E913" s="11" t="str">
        <f>IF(I913&lt;&gt;"",VLOOKUP(F913,OPDRACHTGEVER!$A$2:$B$4,2,FALSE),"")</f>
        <v>SKIIFM_AT</v>
      </c>
      <c r="F913" s="11" t="s">
        <v>58</v>
      </c>
      <c r="I913" s="11" t="str">
        <f>IF(DATA!B912&lt;&gt;"",DATA!B912,"")</f>
        <v>FSCU7996366</v>
      </c>
      <c r="J913" s="12">
        <v>0</v>
      </c>
      <c r="K913" s="11" t="s">
        <v>53</v>
      </c>
      <c r="L913" s="11" t="str">
        <f t="shared" si="60"/>
        <v>392690</v>
      </c>
      <c r="M913" s="11" t="str">
        <f>IF(I913&lt;&gt;"",DATA!E912,"")</f>
        <v>BUMPING POST</v>
      </c>
      <c r="N913" s="12">
        <v>0</v>
      </c>
      <c r="O913" s="11">
        <f>IF(I913&lt;&gt;"",DATA!C912,"")</f>
        <v>73.599999999999994</v>
      </c>
      <c r="P913" s="2">
        <v>294094</v>
      </c>
      <c r="Q913" s="2" t="s">
        <v>1304</v>
      </c>
      <c r="R913" s="2" t="s">
        <v>1324</v>
      </c>
      <c r="S913" s="2">
        <v>209</v>
      </c>
      <c r="T913" s="2">
        <v>1</v>
      </c>
      <c r="U913" s="2" t="s">
        <v>141</v>
      </c>
      <c r="Y913" s="2">
        <v>1700</v>
      </c>
      <c r="Z913" s="11" t="s">
        <v>54</v>
      </c>
      <c r="AA913" s="11" t="str">
        <f t="shared" si="61"/>
        <v>1700 - TBN</v>
      </c>
      <c r="AC913" s="2" t="s">
        <v>145</v>
      </c>
      <c r="AD913" s="11" t="str">
        <f>IF($I913&lt;&gt;"",VLOOKUP($AC913,GEADRESSEERDE!$A$2:$E$4,2,),"")</f>
        <v>LUITHAGEN HAVEN 2 D</v>
      </c>
      <c r="AE913" s="11">
        <f>IF($I913&lt;&gt;"",VLOOKUP($AC913,GEADRESSEERDE!$A$2:$E$4,3,),"")</f>
        <v>2030</v>
      </c>
      <c r="AF913" s="11" t="str">
        <f>IF($I913&lt;&gt;"",VLOOKUP($AC913,GEADRESSEERDE!$A$2:$E$4,4,),"")</f>
        <v>ANTWERPEN</v>
      </c>
      <c r="AG913" s="11" t="str">
        <f>IF($I913&lt;&gt;"",VLOOKUP($AC913,GEADRESSEERDE!$A$2:$E$4,5,),"")</f>
        <v>BE</v>
      </c>
      <c r="AH913" s="11" t="str">
        <f>IF(I913&lt;&gt;"",VLOOKUP(AP913,KvB!$A$2:$B$3,2,FALSE),"")</f>
        <v>BE101000</v>
      </c>
      <c r="AI913" s="11" t="s">
        <v>55</v>
      </c>
      <c r="AJ913" s="11"/>
      <c r="AK913" s="11"/>
      <c r="AL913" s="11"/>
      <c r="AM913" s="11"/>
      <c r="AN913" s="11"/>
      <c r="AO913" s="11"/>
      <c r="AP913" s="2" t="s">
        <v>70</v>
      </c>
      <c r="AQ913" s="11" t="str">
        <f>IF(I913&lt;&gt;"",DATA!D912,"")</f>
        <v>3926909790</v>
      </c>
    </row>
    <row r="914" spans="1:43" ht="15.75" x14ac:dyDescent="0.25">
      <c r="A914" s="11" t="s">
        <v>57</v>
      </c>
      <c r="B914" s="11" t="s">
        <v>56</v>
      </c>
      <c r="C914" s="22">
        <f t="shared" si="62"/>
        <v>25001620</v>
      </c>
      <c r="D914" s="11" t="str">
        <f t="shared" si="59"/>
        <v>SKIIFM_AT</v>
      </c>
      <c r="E914" s="11" t="str">
        <f>IF(I914&lt;&gt;"",VLOOKUP(F914,OPDRACHTGEVER!$A$2:$B$4,2,FALSE),"")</f>
        <v>SKIIFM_AT</v>
      </c>
      <c r="F914" s="11" t="s">
        <v>58</v>
      </c>
      <c r="I914" s="11" t="str">
        <f>IF(DATA!B913&lt;&gt;"",DATA!B913,"")</f>
        <v>FSCU7996366</v>
      </c>
      <c r="J914" s="12">
        <v>0</v>
      </c>
      <c r="K914" s="11" t="s">
        <v>53</v>
      </c>
      <c r="L914" s="11" t="str">
        <f t="shared" si="60"/>
        <v>401699</v>
      </c>
      <c r="M914" s="11" t="str">
        <f>IF(I914&lt;&gt;"",DATA!E913,"")</f>
        <v>CABLE PROTECTOR</v>
      </c>
      <c r="N914" s="12">
        <v>0</v>
      </c>
      <c r="O914" s="11">
        <f>IF(I914&lt;&gt;"",DATA!C913,"")</f>
        <v>150</v>
      </c>
      <c r="P914" s="2">
        <v>294094</v>
      </c>
      <c r="Q914" s="2" t="s">
        <v>1304</v>
      </c>
      <c r="R914" s="2" t="s">
        <v>1324</v>
      </c>
      <c r="S914" s="2">
        <v>209</v>
      </c>
      <c r="T914" s="2">
        <v>1</v>
      </c>
      <c r="U914" s="2" t="s">
        <v>141</v>
      </c>
      <c r="Y914" s="2">
        <v>1700</v>
      </c>
      <c r="Z914" s="11" t="s">
        <v>54</v>
      </c>
      <c r="AA914" s="11" t="str">
        <f t="shared" si="61"/>
        <v>1700 - TBN</v>
      </c>
      <c r="AC914" s="2" t="s">
        <v>145</v>
      </c>
      <c r="AD914" s="11" t="str">
        <f>IF($I914&lt;&gt;"",VLOOKUP($AC914,GEADRESSEERDE!$A$2:$E$4,2,),"")</f>
        <v>LUITHAGEN HAVEN 2 D</v>
      </c>
      <c r="AE914" s="11">
        <f>IF($I914&lt;&gt;"",VLOOKUP($AC914,GEADRESSEERDE!$A$2:$E$4,3,),"")</f>
        <v>2030</v>
      </c>
      <c r="AF914" s="11" t="str">
        <f>IF($I914&lt;&gt;"",VLOOKUP($AC914,GEADRESSEERDE!$A$2:$E$4,4,),"")</f>
        <v>ANTWERPEN</v>
      </c>
      <c r="AG914" s="11" t="str">
        <f>IF($I914&lt;&gt;"",VLOOKUP($AC914,GEADRESSEERDE!$A$2:$E$4,5,),"")</f>
        <v>BE</v>
      </c>
      <c r="AH914" s="11" t="str">
        <f>IF(I914&lt;&gt;"",VLOOKUP(AP914,KvB!$A$2:$B$3,2,FALSE),"")</f>
        <v>BE101000</v>
      </c>
      <c r="AI914" s="11" t="s">
        <v>55</v>
      </c>
      <c r="AJ914" s="11"/>
      <c r="AK914" s="11"/>
      <c r="AL914" s="11"/>
      <c r="AM914" s="11"/>
      <c r="AN914" s="11"/>
      <c r="AO914" s="11"/>
      <c r="AP914" s="2" t="s">
        <v>70</v>
      </c>
      <c r="AQ914" s="11" t="str">
        <f>IF(I914&lt;&gt;"",DATA!D913,"")</f>
        <v>4016999790</v>
      </c>
    </row>
    <row r="915" spans="1:43" ht="15.75" x14ac:dyDescent="0.25">
      <c r="A915" s="11" t="s">
        <v>57</v>
      </c>
      <c r="B915" s="11" t="s">
        <v>56</v>
      </c>
      <c r="C915" s="22">
        <f t="shared" si="62"/>
        <v>25001620</v>
      </c>
      <c r="D915" s="11" t="str">
        <f t="shared" si="59"/>
        <v>SKIIFM_AT</v>
      </c>
      <c r="E915" s="11" t="str">
        <f>IF(I915&lt;&gt;"",VLOOKUP(F915,OPDRACHTGEVER!$A$2:$B$4,2,FALSE),"")</f>
        <v>SKIIFM_AT</v>
      </c>
      <c r="F915" s="11" t="s">
        <v>58</v>
      </c>
      <c r="I915" s="11" t="str">
        <f>IF(DATA!B914&lt;&gt;"",DATA!B914,"")</f>
        <v>FSCU7996366</v>
      </c>
      <c r="J915" s="12">
        <v>0</v>
      </c>
      <c r="K915" s="11" t="s">
        <v>53</v>
      </c>
      <c r="L915" s="11" t="str">
        <f t="shared" si="60"/>
        <v>391890</v>
      </c>
      <c r="M915" s="11" t="str">
        <f>IF(I915&lt;&gt;"",DATA!E914,"")</f>
        <v>CARPET</v>
      </c>
      <c r="N915" s="12">
        <v>0</v>
      </c>
      <c r="O915" s="11">
        <f>IF(I915&lt;&gt;"",DATA!C914,"")</f>
        <v>87.4</v>
      </c>
      <c r="P915" s="2">
        <v>294094</v>
      </c>
      <c r="Q915" s="2" t="s">
        <v>1304</v>
      </c>
      <c r="R915" s="2" t="s">
        <v>1324</v>
      </c>
      <c r="S915" s="2">
        <v>209</v>
      </c>
      <c r="T915" s="2">
        <v>1</v>
      </c>
      <c r="U915" s="2" t="s">
        <v>141</v>
      </c>
      <c r="Y915" s="2">
        <v>1700</v>
      </c>
      <c r="Z915" s="11" t="s">
        <v>54</v>
      </c>
      <c r="AA915" s="11" t="str">
        <f t="shared" si="61"/>
        <v>1700 - TBN</v>
      </c>
      <c r="AC915" s="2" t="s">
        <v>145</v>
      </c>
      <c r="AD915" s="11" t="str">
        <f>IF($I915&lt;&gt;"",VLOOKUP($AC915,GEADRESSEERDE!$A$2:$E$4,2,),"")</f>
        <v>LUITHAGEN HAVEN 2 D</v>
      </c>
      <c r="AE915" s="11">
        <f>IF($I915&lt;&gt;"",VLOOKUP($AC915,GEADRESSEERDE!$A$2:$E$4,3,),"")</f>
        <v>2030</v>
      </c>
      <c r="AF915" s="11" t="str">
        <f>IF($I915&lt;&gt;"",VLOOKUP($AC915,GEADRESSEERDE!$A$2:$E$4,4,),"")</f>
        <v>ANTWERPEN</v>
      </c>
      <c r="AG915" s="11" t="str">
        <f>IF($I915&lt;&gt;"",VLOOKUP($AC915,GEADRESSEERDE!$A$2:$E$4,5,),"")</f>
        <v>BE</v>
      </c>
      <c r="AH915" s="11" t="str">
        <f>IF(I915&lt;&gt;"",VLOOKUP(AP915,KvB!$A$2:$B$3,2,FALSE),"")</f>
        <v>BE101000</v>
      </c>
      <c r="AI915" s="11" t="s">
        <v>55</v>
      </c>
      <c r="AJ915" s="11"/>
      <c r="AK915" s="11"/>
      <c r="AL915" s="11"/>
      <c r="AM915" s="11"/>
      <c r="AN915" s="11"/>
      <c r="AO915" s="11"/>
      <c r="AP915" s="2" t="s">
        <v>70</v>
      </c>
      <c r="AQ915" s="11" t="str">
        <f>IF(I915&lt;&gt;"",DATA!D914,"")</f>
        <v>3918900090</v>
      </c>
    </row>
    <row r="916" spans="1:43" ht="15.75" x14ac:dyDescent="0.25">
      <c r="A916" s="11" t="s">
        <v>57</v>
      </c>
      <c r="B916" s="11" t="s">
        <v>56</v>
      </c>
      <c r="C916" s="22">
        <f t="shared" si="62"/>
        <v>25001620</v>
      </c>
      <c r="D916" s="11" t="str">
        <f t="shared" si="59"/>
        <v>SKIIFM_AT</v>
      </c>
      <c r="E916" s="11" t="str">
        <f>IF(I916&lt;&gt;"",VLOOKUP(F916,OPDRACHTGEVER!$A$2:$B$4,2,FALSE),"")</f>
        <v>SKIIFM_AT</v>
      </c>
      <c r="F916" s="11" t="s">
        <v>58</v>
      </c>
      <c r="I916" s="11" t="str">
        <f>IF(DATA!B915&lt;&gt;"",DATA!B915,"")</f>
        <v>FSCU7996366</v>
      </c>
      <c r="J916" s="12">
        <v>0</v>
      </c>
      <c r="K916" s="11" t="s">
        <v>53</v>
      </c>
      <c r="L916" s="11" t="str">
        <f t="shared" si="60"/>
        <v>391739</v>
      </c>
      <c r="M916" s="11" t="str">
        <f>IF(I916&lt;&gt;"",DATA!E915,"")</f>
        <v>CARPET CLEANING HOSE</v>
      </c>
      <c r="N916" s="12">
        <v>0</v>
      </c>
      <c r="O916" s="11">
        <f>IF(I916&lt;&gt;"",DATA!C915,"")</f>
        <v>91.6</v>
      </c>
      <c r="P916" s="2">
        <v>294094</v>
      </c>
      <c r="Q916" s="2" t="s">
        <v>1304</v>
      </c>
      <c r="R916" s="2" t="s">
        <v>1324</v>
      </c>
      <c r="S916" s="2">
        <v>209</v>
      </c>
      <c r="T916" s="2">
        <v>1</v>
      </c>
      <c r="U916" s="2" t="s">
        <v>141</v>
      </c>
      <c r="Y916" s="2">
        <v>1700</v>
      </c>
      <c r="Z916" s="11" t="s">
        <v>54</v>
      </c>
      <c r="AA916" s="11" t="str">
        <f t="shared" si="61"/>
        <v>1700 - TBN</v>
      </c>
      <c r="AC916" s="2" t="s">
        <v>145</v>
      </c>
      <c r="AD916" s="11" t="str">
        <f>IF($I916&lt;&gt;"",VLOOKUP($AC916,GEADRESSEERDE!$A$2:$E$4,2,),"")</f>
        <v>LUITHAGEN HAVEN 2 D</v>
      </c>
      <c r="AE916" s="11">
        <f>IF($I916&lt;&gt;"",VLOOKUP($AC916,GEADRESSEERDE!$A$2:$E$4,3,),"")</f>
        <v>2030</v>
      </c>
      <c r="AF916" s="11" t="str">
        <f>IF($I916&lt;&gt;"",VLOOKUP($AC916,GEADRESSEERDE!$A$2:$E$4,4,),"")</f>
        <v>ANTWERPEN</v>
      </c>
      <c r="AG916" s="11" t="str">
        <f>IF($I916&lt;&gt;"",VLOOKUP($AC916,GEADRESSEERDE!$A$2:$E$4,5,),"")</f>
        <v>BE</v>
      </c>
      <c r="AH916" s="11" t="str">
        <f>IF(I916&lt;&gt;"",VLOOKUP(AP916,KvB!$A$2:$B$3,2,FALSE),"")</f>
        <v>BE101000</v>
      </c>
      <c r="AI916" s="11" t="s">
        <v>55</v>
      </c>
      <c r="AJ916" s="11"/>
      <c r="AK916" s="11"/>
      <c r="AL916" s="11"/>
      <c r="AM916" s="11"/>
      <c r="AN916" s="11"/>
      <c r="AO916" s="11"/>
      <c r="AP916" s="2" t="s">
        <v>70</v>
      </c>
      <c r="AQ916" s="11" t="str">
        <f>IF(I916&lt;&gt;"",DATA!D915,"")</f>
        <v>3917390099</v>
      </c>
    </row>
    <row r="917" spans="1:43" ht="15.75" x14ac:dyDescent="0.25">
      <c r="A917" s="11" t="s">
        <v>57</v>
      </c>
      <c r="B917" s="11" t="s">
        <v>56</v>
      </c>
      <c r="C917" s="22">
        <f t="shared" si="62"/>
        <v>25001620</v>
      </c>
      <c r="D917" s="11" t="str">
        <f t="shared" si="59"/>
        <v>SKIIFM_AT</v>
      </c>
      <c r="E917" s="11" t="str">
        <f>IF(I917&lt;&gt;"",VLOOKUP(F917,OPDRACHTGEVER!$A$2:$B$4,2,FALSE),"")</f>
        <v>SKIIFM_AT</v>
      </c>
      <c r="F917" s="11" t="s">
        <v>58</v>
      </c>
      <c r="I917" s="11" t="str">
        <f>IF(DATA!B916&lt;&gt;"",DATA!B916,"")</f>
        <v>FSCU7996366</v>
      </c>
      <c r="J917" s="12">
        <v>0</v>
      </c>
      <c r="K917" s="11" t="s">
        <v>53</v>
      </c>
      <c r="L917" s="11" t="str">
        <f t="shared" si="60"/>
        <v>871680</v>
      </c>
      <c r="M917" s="11" t="str">
        <f>IF(I917&lt;&gt;"",DATA!E916,"")</f>
        <v>CART</v>
      </c>
      <c r="N917" s="12">
        <v>0</v>
      </c>
      <c r="O917" s="11">
        <f>IF(I917&lt;&gt;"",DATA!C916,"")</f>
        <v>216.25</v>
      </c>
      <c r="P917" s="2">
        <v>294094</v>
      </c>
      <c r="Q917" s="2" t="s">
        <v>1304</v>
      </c>
      <c r="R917" s="2" t="s">
        <v>1324</v>
      </c>
      <c r="S917" s="2">
        <v>209</v>
      </c>
      <c r="T917" s="2">
        <v>1</v>
      </c>
      <c r="U917" s="2" t="s">
        <v>141</v>
      </c>
      <c r="Y917" s="2">
        <v>1700</v>
      </c>
      <c r="Z917" s="11" t="s">
        <v>54</v>
      </c>
      <c r="AA917" s="11" t="str">
        <f t="shared" si="61"/>
        <v>1700 - TBN</v>
      </c>
      <c r="AC917" s="2" t="s">
        <v>145</v>
      </c>
      <c r="AD917" s="11" t="str">
        <f>IF($I917&lt;&gt;"",VLOOKUP($AC917,GEADRESSEERDE!$A$2:$E$4,2,),"")</f>
        <v>LUITHAGEN HAVEN 2 D</v>
      </c>
      <c r="AE917" s="11">
        <f>IF($I917&lt;&gt;"",VLOOKUP($AC917,GEADRESSEERDE!$A$2:$E$4,3,),"")</f>
        <v>2030</v>
      </c>
      <c r="AF917" s="11" t="str">
        <f>IF($I917&lt;&gt;"",VLOOKUP($AC917,GEADRESSEERDE!$A$2:$E$4,4,),"")</f>
        <v>ANTWERPEN</v>
      </c>
      <c r="AG917" s="11" t="str">
        <f>IF($I917&lt;&gt;"",VLOOKUP($AC917,GEADRESSEERDE!$A$2:$E$4,5,),"")</f>
        <v>BE</v>
      </c>
      <c r="AH917" s="11" t="str">
        <f>IF(I917&lt;&gt;"",VLOOKUP(AP917,KvB!$A$2:$B$3,2,FALSE),"")</f>
        <v>BE101000</v>
      </c>
      <c r="AI917" s="11" t="s">
        <v>55</v>
      </c>
      <c r="AJ917" s="11"/>
      <c r="AK917" s="11"/>
      <c r="AL917" s="11"/>
      <c r="AM917" s="11"/>
      <c r="AN917" s="11"/>
      <c r="AO917" s="11"/>
      <c r="AP917" s="2" t="s">
        <v>70</v>
      </c>
      <c r="AQ917" s="11" t="str">
        <f>IF(I917&lt;&gt;"",DATA!D916,"")</f>
        <v>8716800000</v>
      </c>
    </row>
    <row r="918" spans="1:43" ht="15.75" x14ac:dyDescent="0.25">
      <c r="A918" s="11" t="s">
        <v>57</v>
      </c>
      <c r="B918" s="11" t="s">
        <v>56</v>
      </c>
      <c r="C918" s="22">
        <f t="shared" si="62"/>
        <v>25001620</v>
      </c>
      <c r="D918" s="11" t="str">
        <f t="shared" si="59"/>
        <v>SKIIFM_AT</v>
      </c>
      <c r="E918" s="11" t="str">
        <f>IF(I918&lt;&gt;"",VLOOKUP(F918,OPDRACHTGEVER!$A$2:$B$4,2,FALSE),"")</f>
        <v>SKIIFM_AT</v>
      </c>
      <c r="F918" s="11" t="s">
        <v>58</v>
      </c>
      <c r="I918" s="11" t="str">
        <f>IF(DATA!B917&lt;&gt;"",DATA!B917,"")</f>
        <v>FSCU7996366</v>
      </c>
      <c r="J918" s="12">
        <v>0</v>
      </c>
      <c r="K918" s="11" t="s">
        <v>53</v>
      </c>
      <c r="L918" s="11" t="str">
        <f t="shared" si="60"/>
        <v>841370</v>
      </c>
      <c r="M918" s="11" t="str">
        <f>IF(I918&lt;&gt;"",DATA!E917,"")</f>
        <v>CENTRIFUGAL PUMP</v>
      </c>
      <c r="N918" s="12">
        <v>0</v>
      </c>
      <c r="O918" s="11">
        <f>IF(I918&lt;&gt;"",DATA!C917,"")</f>
        <v>306.64999999999998</v>
      </c>
      <c r="P918" s="2">
        <v>294094</v>
      </c>
      <c r="Q918" s="2" t="s">
        <v>1304</v>
      </c>
      <c r="R918" s="2" t="s">
        <v>1324</v>
      </c>
      <c r="S918" s="2">
        <v>209</v>
      </c>
      <c r="T918" s="2">
        <v>1</v>
      </c>
      <c r="U918" s="2" t="s">
        <v>141</v>
      </c>
      <c r="Y918" s="2">
        <v>1700</v>
      </c>
      <c r="Z918" s="11" t="s">
        <v>54</v>
      </c>
      <c r="AA918" s="11" t="str">
        <f t="shared" si="61"/>
        <v>1700 - TBN</v>
      </c>
      <c r="AC918" s="2" t="s">
        <v>145</v>
      </c>
      <c r="AD918" s="11" t="str">
        <f>IF($I918&lt;&gt;"",VLOOKUP($AC918,GEADRESSEERDE!$A$2:$E$4,2,),"")</f>
        <v>LUITHAGEN HAVEN 2 D</v>
      </c>
      <c r="AE918" s="11">
        <f>IF($I918&lt;&gt;"",VLOOKUP($AC918,GEADRESSEERDE!$A$2:$E$4,3,),"")</f>
        <v>2030</v>
      </c>
      <c r="AF918" s="11" t="str">
        <f>IF($I918&lt;&gt;"",VLOOKUP($AC918,GEADRESSEERDE!$A$2:$E$4,4,),"")</f>
        <v>ANTWERPEN</v>
      </c>
      <c r="AG918" s="11" t="str">
        <f>IF($I918&lt;&gt;"",VLOOKUP($AC918,GEADRESSEERDE!$A$2:$E$4,5,),"")</f>
        <v>BE</v>
      </c>
      <c r="AH918" s="11" t="str">
        <f>IF(I918&lt;&gt;"",VLOOKUP(AP918,KvB!$A$2:$B$3,2,FALSE),"")</f>
        <v>BE101000</v>
      </c>
      <c r="AI918" s="11" t="s">
        <v>55</v>
      </c>
      <c r="AJ918" s="11"/>
      <c r="AK918" s="11"/>
      <c r="AL918" s="11"/>
      <c r="AM918" s="11"/>
      <c r="AN918" s="11"/>
      <c r="AO918" s="11"/>
      <c r="AP918" s="2" t="s">
        <v>70</v>
      </c>
      <c r="AQ918" s="11" t="str">
        <f>IF(I918&lt;&gt;"",DATA!D917,"")</f>
        <v>8413708990</v>
      </c>
    </row>
    <row r="919" spans="1:43" ht="15.75" x14ac:dyDescent="0.25">
      <c r="A919" s="11" t="s">
        <v>57</v>
      </c>
      <c r="B919" s="11" t="s">
        <v>56</v>
      </c>
      <c r="C919" s="22">
        <f t="shared" si="62"/>
        <v>25001620</v>
      </c>
      <c r="D919" s="11" t="str">
        <f t="shared" si="59"/>
        <v>SKIIFM_AT</v>
      </c>
      <c r="E919" s="11" t="str">
        <f>IF(I919&lt;&gt;"",VLOOKUP(F919,OPDRACHTGEVER!$A$2:$B$4,2,FALSE),"")</f>
        <v>SKIIFM_AT</v>
      </c>
      <c r="F919" s="11" t="s">
        <v>58</v>
      </c>
      <c r="I919" s="11" t="str">
        <f>IF(DATA!B918&lt;&gt;"",DATA!B918,"")</f>
        <v>FSCU7996366</v>
      </c>
      <c r="J919" s="12">
        <v>0</v>
      </c>
      <c r="K919" s="11" t="s">
        <v>53</v>
      </c>
      <c r="L919" s="11" t="str">
        <f t="shared" si="60"/>
        <v>846693</v>
      </c>
      <c r="M919" s="11" t="str">
        <f>IF(I919&lt;&gt;"",DATA!E918,"")</f>
        <v>CNC ROUTER RAIL</v>
      </c>
      <c r="N919" s="12">
        <v>0</v>
      </c>
      <c r="O919" s="11">
        <f>IF(I919&lt;&gt;"",DATA!C918,"")</f>
        <v>588</v>
      </c>
      <c r="P919" s="2">
        <v>294094</v>
      </c>
      <c r="Q919" s="2" t="s">
        <v>1304</v>
      </c>
      <c r="R919" s="2" t="s">
        <v>1324</v>
      </c>
      <c r="S919" s="2">
        <v>209</v>
      </c>
      <c r="T919" s="2">
        <v>1</v>
      </c>
      <c r="U919" s="2" t="s">
        <v>141</v>
      </c>
      <c r="Y919" s="2">
        <v>1700</v>
      </c>
      <c r="Z919" s="11" t="s">
        <v>54</v>
      </c>
      <c r="AA919" s="11" t="str">
        <f t="shared" si="61"/>
        <v>1700 - TBN</v>
      </c>
      <c r="AC919" s="2" t="s">
        <v>145</v>
      </c>
      <c r="AD919" s="11" t="str">
        <f>IF($I919&lt;&gt;"",VLOOKUP($AC919,GEADRESSEERDE!$A$2:$E$4,2,),"")</f>
        <v>LUITHAGEN HAVEN 2 D</v>
      </c>
      <c r="AE919" s="11">
        <f>IF($I919&lt;&gt;"",VLOOKUP($AC919,GEADRESSEERDE!$A$2:$E$4,3,),"")</f>
        <v>2030</v>
      </c>
      <c r="AF919" s="11" t="str">
        <f>IF($I919&lt;&gt;"",VLOOKUP($AC919,GEADRESSEERDE!$A$2:$E$4,4,),"")</f>
        <v>ANTWERPEN</v>
      </c>
      <c r="AG919" s="11" t="str">
        <f>IF($I919&lt;&gt;"",VLOOKUP($AC919,GEADRESSEERDE!$A$2:$E$4,5,),"")</f>
        <v>BE</v>
      </c>
      <c r="AH919" s="11" t="str">
        <f>IF(I919&lt;&gt;"",VLOOKUP(AP919,KvB!$A$2:$B$3,2,FALSE),"")</f>
        <v>BE101000</v>
      </c>
      <c r="AI919" s="11" t="s">
        <v>55</v>
      </c>
      <c r="AJ919" s="11"/>
      <c r="AK919" s="11"/>
      <c r="AL919" s="11"/>
      <c r="AM919" s="11"/>
      <c r="AN919" s="11"/>
      <c r="AO919" s="11"/>
      <c r="AP919" s="2" t="s">
        <v>70</v>
      </c>
      <c r="AQ919" s="11" t="str">
        <f>IF(I919&lt;&gt;"",DATA!D918,"")</f>
        <v>8466934000</v>
      </c>
    </row>
    <row r="920" spans="1:43" ht="15.75" x14ac:dyDescent="0.25">
      <c r="A920" s="11" t="s">
        <v>57</v>
      </c>
      <c r="B920" s="11" t="s">
        <v>56</v>
      </c>
      <c r="C920" s="22">
        <f t="shared" si="62"/>
        <v>25001620</v>
      </c>
      <c r="D920" s="11" t="str">
        <f t="shared" si="59"/>
        <v>SKIIFM_AT</v>
      </c>
      <c r="E920" s="11" t="str">
        <f>IF(I920&lt;&gt;"",VLOOKUP(F920,OPDRACHTGEVER!$A$2:$B$4,2,FALSE),"")</f>
        <v>SKIIFM_AT</v>
      </c>
      <c r="F920" s="11" t="s">
        <v>58</v>
      </c>
      <c r="I920" s="11" t="str">
        <f>IF(DATA!B919&lt;&gt;"",DATA!B919,"")</f>
        <v>FSCU7996366</v>
      </c>
      <c r="J920" s="12">
        <v>0</v>
      </c>
      <c r="K920" s="11" t="s">
        <v>53</v>
      </c>
      <c r="L920" s="11" t="str">
        <f t="shared" si="60"/>
        <v>846420</v>
      </c>
      <c r="M920" s="11" t="str">
        <f>IF(I920&lt;&gt;"",DATA!E919,"")</f>
        <v>CONCRETE SANDER</v>
      </c>
      <c r="N920" s="12">
        <v>0</v>
      </c>
      <c r="O920" s="11">
        <f>IF(I920&lt;&gt;"",DATA!C919,"")</f>
        <v>300.10000000000002</v>
      </c>
      <c r="P920" s="2">
        <v>294094</v>
      </c>
      <c r="Q920" s="2" t="s">
        <v>1304</v>
      </c>
      <c r="R920" s="2" t="s">
        <v>1324</v>
      </c>
      <c r="S920" s="2">
        <v>209</v>
      </c>
      <c r="T920" s="2">
        <v>1</v>
      </c>
      <c r="U920" s="2" t="s">
        <v>141</v>
      </c>
      <c r="Y920" s="2">
        <v>1700</v>
      </c>
      <c r="Z920" s="11" t="s">
        <v>54</v>
      </c>
      <c r="AA920" s="11" t="str">
        <f t="shared" si="61"/>
        <v>1700 - TBN</v>
      </c>
      <c r="AC920" s="2" t="s">
        <v>145</v>
      </c>
      <c r="AD920" s="11" t="str">
        <f>IF($I920&lt;&gt;"",VLOOKUP($AC920,GEADRESSEERDE!$A$2:$E$4,2,),"")</f>
        <v>LUITHAGEN HAVEN 2 D</v>
      </c>
      <c r="AE920" s="11">
        <f>IF($I920&lt;&gt;"",VLOOKUP($AC920,GEADRESSEERDE!$A$2:$E$4,3,),"")</f>
        <v>2030</v>
      </c>
      <c r="AF920" s="11" t="str">
        <f>IF($I920&lt;&gt;"",VLOOKUP($AC920,GEADRESSEERDE!$A$2:$E$4,4,),"")</f>
        <v>ANTWERPEN</v>
      </c>
      <c r="AG920" s="11" t="str">
        <f>IF($I920&lt;&gt;"",VLOOKUP($AC920,GEADRESSEERDE!$A$2:$E$4,5,),"")</f>
        <v>BE</v>
      </c>
      <c r="AH920" s="11" t="str">
        <f>IF(I920&lt;&gt;"",VLOOKUP(AP920,KvB!$A$2:$B$3,2,FALSE),"")</f>
        <v>BE101000</v>
      </c>
      <c r="AI920" s="11" t="s">
        <v>55</v>
      </c>
      <c r="AJ920" s="11"/>
      <c r="AK920" s="11"/>
      <c r="AL920" s="11"/>
      <c r="AM920" s="11"/>
      <c r="AN920" s="11"/>
      <c r="AO920" s="11"/>
      <c r="AP920" s="2" t="s">
        <v>70</v>
      </c>
      <c r="AQ920" s="11" t="str">
        <f>IF(I920&lt;&gt;"",DATA!D919,"")</f>
        <v>8464208000</v>
      </c>
    </row>
    <row r="921" spans="1:43" ht="15.75" x14ac:dyDescent="0.25">
      <c r="A921" s="11" t="s">
        <v>57</v>
      </c>
      <c r="B921" s="11" t="s">
        <v>56</v>
      </c>
      <c r="C921" s="22">
        <f t="shared" si="62"/>
        <v>25001620</v>
      </c>
      <c r="D921" s="11" t="str">
        <f t="shared" si="59"/>
        <v>SKIIFM_AT</v>
      </c>
      <c r="E921" s="11" t="str">
        <f>IF(I921&lt;&gt;"",VLOOKUP(F921,OPDRACHTGEVER!$A$2:$B$4,2,FALSE),"")</f>
        <v>SKIIFM_AT</v>
      </c>
      <c r="F921" s="11" t="s">
        <v>58</v>
      </c>
      <c r="I921" s="11" t="str">
        <f>IF(DATA!B920&lt;&gt;"",DATA!B920,"")</f>
        <v>FSCU7996366</v>
      </c>
      <c r="J921" s="12">
        <v>0</v>
      </c>
      <c r="K921" s="11" t="s">
        <v>53</v>
      </c>
      <c r="L921" s="11" t="str">
        <f t="shared" si="60"/>
        <v>847989</v>
      </c>
      <c r="M921" s="11" t="str">
        <f>IF(I921&lt;&gt;"",DATA!E920,"")</f>
        <v>DOUBLE NUT GUN</v>
      </c>
      <c r="N921" s="12">
        <v>0</v>
      </c>
      <c r="O921" s="11">
        <f>IF(I921&lt;&gt;"",DATA!C920,"")</f>
        <v>481.57</v>
      </c>
      <c r="P921" s="2">
        <v>294094</v>
      </c>
      <c r="Q921" s="2" t="s">
        <v>1304</v>
      </c>
      <c r="R921" s="2" t="s">
        <v>1324</v>
      </c>
      <c r="S921" s="2">
        <v>209</v>
      </c>
      <c r="T921" s="2">
        <v>1</v>
      </c>
      <c r="U921" s="2" t="s">
        <v>141</v>
      </c>
      <c r="Y921" s="2">
        <v>1700</v>
      </c>
      <c r="Z921" s="11" t="s">
        <v>54</v>
      </c>
      <c r="AA921" s="11" t="str">
        <f t="shared" si="61"/>
        <v>1700 - TBN</v>
      </c>
      <c r="AC921" s="2" t="s">
        <v>145</v>
      </c>
      <c r="AD921" s="11" t="str">
        <f>IF($I921&lt;&gt;"",VLOOKUP($AC921,GEADRESSEERDE!$A$2:$E$4,2,),"")</f>
        <v>LUITHAGEN HAVEN 2 D</v>
      </c>
      <c r="AE921" s="11">
        <f>IF($I921&lt;&gt;"",VLOOKUP($AC921,GEADRESSEERDE!$A$2:$E$4,3,),"")</f>
        <v>2030</v>
      </c>
      <c r="AF921" s="11" t="str">
        <f>IF($I921&lt;&gt;"",VLOOKUP($AC921,GEADRESSEERDE!$A$2:$E$4,4,),"")</f>
        <v>ANTWERPEN</v>
      </c>
      <c r="AG921" s="11" t="str">
        <f>IF($I921&lt;&gt;"",VLOOKUP($AC921,GEADRESSEERDE!$A$2:$E$4,5,),"")</f>
        <v>BE</v>
      </c>
      <c r="AH921" s="11" t="str">
        <f>IF(I921&lt;&gt;"",VLOOKUP(AP921,KvB!$A$2:$B$3,2,FALSE),"")</f>
        <v>BE101000</v>
      </c>
      <c r="AI921" s="11" t="s">
        <v>55</v>
      </c>
      <c r="AJ921" s="11"/>
      <c r="AK921" s="11"/>
      <c r="AL921" s="11"/>
      <c r="AM921" s="11"/>
      <c r="AN921" s="11"/>
      <c r="AO921" s="11"/>
      <c r="AP921" s="2" t="s">
        <v>70</v>
      </c>
      <c r="AQ921" s="11" t="str">
        <f>IF(I921&lt;&gt;"",DATA!D920,"")</f>
        <v>8479899790</v>
      </c>
    </row>
    <row r="922" spans="1:43" ht="15.75" x14ac:dyDescent="0.25">
      <c r="A922" s="11" t="s">
        <v>57</v>
      </c>
      <c r="B922" s="11" t="s">
        <v>56</v>
      </c>
      <c r="C922" s="22">
        <f t="shared" si="62"/>
        <v>25001620</v>
      </c>
      <c r="D922" s="11" t="str">
        <f t="shared" si="59"/>
        <v>SKIIFM_AT</v>
      </c>
      <c r="E922" s="11" t="str">
        <f>IF(I922&lt;&gt;"",VLOOKUP(F922,OPDRACHTGEVER!$A$2:$B$4,2,FALSE),"")</f>
        <v>SKIIFM_AT</v>
      </c>
      <c r="F922" s="11" t="s">
        <v>58</v>
      </c>
      <c r="I922" s="11" t="str">
        <f>IF(DATA!B921&lt;&gt;"",DATA!B921,"")</f>
        <v>FSCU7996366</v>
      </c>
      <c r="J922" s="12">
        <v>0</v>
      </c>
      <c r="K922" s="11" t="s">
        <v>53</v>
      </c>
      <c r="L922" s="11" t="str">
        <f t="shared" si="60"/>
        <v>820750</v>
      </c>
      <c r="M922" s="11" t="str">
        <f>IF(I922&lt;&gt;"",DATA!E921,"")</f>
        <v>DRILLING TOOL</v>
      </c>
      <c r="N922" s="12">
        <v>0</v>
      </c>
      <c r="O922" s="11">
        <f>IF(I922&lt;&gt;"",DATA!C921,"")</f>
        <v>40</v>
      </c>
      <c r="P922" s="2">
        <v>294094</v>
      </c>
      <c r="Q922" s="2" t="s">
        <v>1304</v>
      </c>
      <c r="R922" s="2" t="s">
        <v>1324</v>
      </c>
      <c r="S922" s="2">
        <v>209</v>
      </c>
      <c r="T922" s="2">
        <v>1</v>
      </c>
      <c r="U922" s="2" t="s">
        <v>141</v>
      </c>
      <c r="Y922" s="2">
        <v>1700</v>
      </c>
      <c r="Z922" s="11" t="s">
        <v>54</v>
      </c>
      <c r="AA922" s="11" t="str">
        <f t="shared" si="61"/>
        <v>1700 - TBN</v>
      </c>
      <c r="AC922" s="2" t="s">
        <v>145</v>
      </c>
      <c r="AD922" s="11" t="str">
        <f>IF($I922&lt;&gt;"",VLOOKUP($AC922,GEADRESSEERDE!$A$2:$E$4,2,),"")</f>
        <v>LUITHAGEN HAVEN 2 D</v>
      </c>
      <c r="AE922" s="11">
        <f>IF($I922&lt;&gt;"",VLOOKUP($AC922,GEADRESSEERDE!$A$2:$E$4,3,),"")</f>
        <v>2030</v>
      </c>
      <c r="AF922" s="11" t="str">
        <f>IF($I922&lt;&gt;"",VLOOKUP($AC922,GEADRESSEERDE!$A$2:$E$4,4,),"")</f>
        <v>ANTWERPEN</v>
      </c>
      <c r="AG922" s="11" t="str">
        <f>IF($I922&lt;&gt;"",VLOOKUP($AC922,GEADRESSEERDE!$A$2:$E$4,5,),"")</f>
        <v>BE</v>
      </c>
      <c r="AH922" s="11" t="str">
        <f>IF(I922&lt;&gt;"",VLOOKUP(AP922,KvB!$A$2:$B$3,2,FALSE),"")</f>
        <v>BE101000</v>
      </c>
      <c r="AI922" s="11" t="s">
        <v>55</v>
      </c>
      <c r="AJ922" s="11"/>
      <c r="AK922" s="11"/>
      <c r="AL922" s="11"/>
      <c r="AM922" s="11"/>
      <c r="AN922" s="11"/>
      <c r="AO922" s="11"/>
      <c r="AP922" s="2" t="s">
        <v>70</v>
      </c>
      <c r="AQ922" s="11" t="str">
        <f>IF(I922&lt;&gt;"",DATA!D921,"")</f>
        <v>8207509000</v>
      </c>
    </row>
    <row r="923" spans="1:43" ht="15.75" x14ac:dyDescent="0.25">
      <c r="A923" s="11" t="s">
        <v>57</v>
      </c>
      <c r="B923" s="11" t="s">
        <v>56</v>
      </c>
      <c r="C923" s="22">
        <f t="shared" si="62"/>
        <v>25001620</v>
      </c>
      <c r="D923" s="11" t="str">
        <f t="shared" si="59"/>
        <v>SKIIFM_AT</v>
      </c>
      <c r="E923" s="11" t="str">
        <f>IF(I923&lt;&gt;"",VLOOKUP(F923,OPDRACHTGEVER!$A$2:$B$4,2,FALSE),"")</f>
        <v>SKIIFM_AT</v>
      </c>
      <c r="F923" s="11" t="s">
        <v>58</v>
      </c>
      <c r="I923" s="11" t="str">
        <f>IF(DATA!B922&lt;&gt;"",DATA!B922,"")</f>
        <v>FSCU7996366</v>
      </c>
      <c r="J923" s="12">
        <v>0</v>
      </c>
      <c r="K923" s="11" t="s">
        <v>53</v>
      </c>
      <c r="L923" s="11" t="str">
        <f t="shared" si="60"/>
        <v>842531</v>
      </c>
      <c r="M923" s="11" t="str">
        <f>IF(I923&lt;&gt;"",DATA!E922,"")</f>
        <v>ELECTRIC WINCH</v>
      </c>
      <c r="N923" s="12">
        <v>0</v>
      </c>
      <c r="O923" s="11">
        <f>IF(I923&lt;&gt;"",DATA!C922,"")</f>
        <v>337.95</v>
      </c>
      <c r="P923" s="2">
        <v>294094</v>
      </c>
      <c r="Q923" s="2" t="s">
        <v>1304</v>
      </c>
      <c r="R923" s="2" t="s">
        <v>1324</v>
      </c>
      <c r="S923" s="2">
        <v>209</v>
      </c>
      <c r="T923" s="2">
        <v>1</v>
      </c>
      <c r="U923" s="2" t="s">
        <v>141</v>
      </c>
      <c r="Y923" s="2">
        <v>1700</v>
      </c>
      <c r="Z923" s="11" t="s">
        <v>54</v>
      </c>
      <c r="AA923" s="11" t="str">
        <f t="shared" si="61"/>
        <v>1700 - TBN</v>
      </c>
      <c r="AC923" s="2" t="s">
        <v>145</v>
      </c>
      <c r="AD923" s="11" t="str">
        <f>IF($I923&lt;&gt;"",VLOOKUP($AC923,GEADRESSEERDE!$A$2:$E$4,2,),"")</f>
        <v>LUITHAGEN HAVEN 2 D</v>
      </c>
      <c r="AE923" s="11">
        <f>IF($I923&lt;&gt;"",VLOOKUP($AC923,GEADRESSEERDE!$A$2:$E$4,3,),"")</f>
        <v>2030</v>
      </c>
      <c r="AF923" s="11" t="str">
        <f>IF($I923&lt;&gt;"",VLOOKUP($AC923,GEADRESSEERDE!$A$2:$E$4,4,),"")</f>
        <v>ANTWERPEN</v>
      </c>
      <c r="AG923" s="11" t="str">
        <f>IF($I923&lt;&gt;"",VLOOKUP($AC923,GEADRESSEERDE!$A$2:$E$4,5,),"")</f>
        <v>BE</v>
      </c>
      <c r="AH923" s="11" t="str">
        <f>IF(I923&lt;&gt;"",VLOOKUP(AP923,KvB!$A$2:$B$3,2,FALSE),"")</f>
        <v>BE101000</v>
      </c>
      <c r="AI923" s="11" t="s">
        <v>55</v>
      </c>
      <c r="AJ923" s="11"/>
      <c r="AK923" s="11"/>
      <c r="AL923" s="11"/>
      <c r="AM923" s="11"/>
      <c r="AN923" s="11"/>
      <c r="AO923" s="11"/>
      <c r="AP923" s="2" t="s">
        <v>70</v>
      </c>
      <c r="AQ923" s="11" t="str">
        <f>IF(I923&lt;&gt;"",DATA!D922,"")</f>
        <v>8425310000</v>
      </c>
    </row>
    <row r="924" spans="1:43" ht="15.75" x14ac:dyDescent="0.25">
      <c r="A924" s="11" t="s">
        <v>57</v>
      </c>
      <c r="B924" s="11" t="s">
        <v>56</v>
      </c>
      <c r="C924" s="22">
        <f t="shared" si="62"/>
        <v>25001620</v>
      </c>
      <c r="D924" s="11" t="str">
        <f t="shared" si="59"/>
        <v>SKIIFM_AT</v>
      </c>
      <c r="E924" s="11" t="str">
        <f>IF(I924&lt;&gt;"",VLOOKUP(F924,OPDRACHTGEVER!$A$2:$B$4,2,FALSE),"")</f>
        <v>SKIIFM_AT</v>
      </c>
      <c r="F924" s="11" t="s">
        <v>58</v>
      </c>
      <c r="I924" s="11" t="str">
        <f>IF(DATA!B923&lt;&gt;"",DATA!B923,"")</f>
        <v>FSCU7996366</v>
      </c>
      <c r="J924" s="12">
        <v>0</v>
      </c>
      <c r="K924" s="11" t="s">
        <v>53</v>
      </c>
      <c r="L924" s="11" t="str">
        <f t="shared" si="60"/>
        <v>841459</v>
      </c>
      <c r="M924" s="11" t="str">
        <f>IF(I924&lt;&gt;"",DATA!E923,"")</f>
        <v>EXHAUST FAN</v>
      </c>
      <c r="N924" s="12">
        <v>0</v>
      </c>
      <c r="O924" s="11">
        <f>IF(I924&lt;&gt;"",DATA!C923,"")</f>
        <v>47.6</v>
      </c>
      <c r="P924" s="2">
        <v>294094</v>
      </c>
      <c r="Q924" s="2" t="s">
        <v>1304</v>
      </c>
      <c r="R924" s="2" t="s">
        <v>1324</v>
      </c>
      <c r="S924" s="2">
        <v>209</v>
      </c>
      <c r="T924" s="2">
        <v>1</v>
      </c>
      <c r="U924" s="2" t="s">
        <v>141</v>
      </c>
      <c r="Y924" s="2">
        <v>1700</v>
      </c>
      <c r="Z924" s="11" t="s">
        <v>54</v>
      </c>
      <c r="AA924" s="11" t="str">
        <f t="shared" si="61"/>
        <v>1700 - TBN</v>
      </c>
      <c r="AC924" s="2" t="s">
        <v>145</v>
      </c>
      <c r="AD924" s="11" t="str">
        <f>IF($I924&lt;&gt;"",VLOOKUP($AC924,GEADRESSEERDE!$A$2:$E$4,2,),"")</f>
        <v>LUITHAGEN HAVEN 2 D</v>
      </c>
      <c r="AE924" s="11">
        <f>IF($I924&lt;&gt;"",VLOOKUP($AC924,GEADRESSEERDE!$A$2:$E$4,3,),"")</f>
        <v>2030</v>
      </c>
      <c r="AF924" s="11" t="str">
        <f>IF($I924&lt;&gt;"",VLOOKUP($AC924,GEADRESSEERDE!$A$2:$E$4,4,),"")</f>
        <v>ANTWERPEN</v>
      </c>
      <c r="AG924" s="11" t="str">
        <f>IF($I924&lt;&gt;"",VLOOKUP($AC924,GEADRESSEERDE!$A$2:$E$4,5,),"")</f>
        <v>BE</v>
      </c>
      <c r="AH924" s="11" t="str">
        <f>IF(I924&lt;&gt;"",VLOOKUP(AP924,KvB!$A$2:$B$3,2,FALSE),"")</f>
        <v>BE101000</v>
      </c>
      <c r="AI924" s="11" t="s">
        <v>55</v>
      </c>
      <c r="AJ924" s="11"/>
      <c r="AK924" s="11"/>
      <c r="AL924" s="11"/>
      <c r="AM924" s="11"/>
      <c r="AN924" s="11"/>
      <c r="AO924" s="11"/>
      <c r="AP924" s="2" t="s">
        <v>70</v>
      </c>
      <c r="AQ924" s="11" t="str">
        <f>IF(I924&lt;&gt;"",DATA!D923,"")</f>
        <v>8414599590</v>
      </c>
    </row>
    <row r="925" spans="1:43" ht="15.75" x14ac:dyDescent="0.25">
      <c r="A925" s="11" t="s">
        <v>57</v>
      </c>
      <c r="B925" s="11" t="s">
        <v>56</v>
      </c>
      <c r="C925" s="22">
        <f t="shared" si="62"/>
        <v>25001620</v>
      </c>
      <c r="D925" s="11" t="str">
        <f t="shared" si="59"/>
        <v>SKIIFM_AT</v>
      </c>
      <c r="E925" s="11" t="str">
        <f>IF(I925&lt;&gt;"",VLOOKUP(F925,OPDRACHTGEVER!$A$2:$B$4,2,FALSE),"")</f>
        <v>SKIIFM_AT</v>
      </c>
      <c r="F925" s="11" t="s">
        <v>58</v>
      </c>
      <c r="I925" s="11" t="str">
        <f>IF(DATA!B924&lt;&gt;"",DATA!B924,"")</f>
        <v>FSCU7996366</v>
      </c>
      <c r="J925" s="12">
        <v>0</v>
      </c>
      <c r="K925" s="11" t="s">
        <v>53</v>
      </c>
      <c r="L925" s="11" t="str">
        <f t="shared" si="60"/>
        <v>761090</v>
      </c>
      <c r="M925" s="11" t="str">
        <f>IF(I925&lt;&gt;"",DATA!E924,"")</f>
        <v>EXHIBITION STAND</v>
      </c>
      <c r="N925" s="12">
        <v>0</v>
      </c>
      <c r="O925" s="11">
        <f>IF(I925&lt;&gt;"",DATA!C924,"")</f>
        <v>185.55</v>
      </c>
      <c r="P925" s="2">
        <v>294094</v>
      </c>
      <c r="Q925" s="2" t="s">
        <v>1304</v>
      </c>
      <c r="R925" s="2" t="s">
        <v>1324</v>
      </c>
      <c r="S925" s="2">
        <v>209</v>
      </c>
      <c r="T925" s="2">
        <v>1</v>
      </c>
      <c r="U925" s="2" t="s">
        <v>141</v>
      </c>
      <c r="Y925" s="2">
        <v>1700</v>
      </c>
      <c r="Z925" s="11" t="s">
        <v>54</v>
      </c>
      <c r="AA925" s="11" t="str">
        <f t="shared" si="61"/>
        <v>1700 - TBN</v>
      </c>
      <c r="AC925" s="2" t="s">
        <v>145</v>
      </c>
      <c r="AD925" s="11" t="str">
        <f>IF($I925&lt;&gt;"",VLOOKUP($AC925,GEADRESSEERDE!$A$2:$E$4,2,),"")</f>
        <v>LUITHAGEN HAVEN 2 D</v>
      </c>
      <c r="AE925" s="11">
        <f>IF($I925&lt;&gt;"",VLOOKUP($AC925,GEADRESSEERDE!$A$2:$E$4,3,),"")</f>
        <v>2030</v>
      </c>
      <c r="AF925" s="11" t="str">
        <f>IF($I925&lt;&gt;"",VLOOKUP($AC925,GEADRESSEERDE!$A$2:$E$4,4,),"")</f>
        <v>ANTWERPEN</v>
      </c>
      <c r="AG925" s="11" t="str">
        <f>IF($I925&lt;&gt;"",VLOOKUP($AC925,GEADRESSEERDE!$A$2:$E$4,5,),"")</f>
        <v>BE</v>
      </c>
      <c r="AH925" s="11" t="str">
        <f>IF(I925&lt;&gt;"",VLOOKUP(AP925,KvB!$A$2:$B$3,2,FALSE),"")</f>
        <v>BE101000</v>
      </c>
      <c r="AI925" s="11" t="s">
        <v>55</v>
      </c>
      <c r="AJ925" s="11"/>
      <c r="AK925" s="11"/>
      <c r="AL925" s="11"/>
      <c r="AM925" s="11"/>
      <c r="AN925" s="11"/>
      <c r="AO925" s="11"/>
      <c r="AP925" s="2" t="s">
        <v>70</v>
      </c>
      <c r="AQ925" s="11" t="str">
        <f>IF(I925&lt;&gt;"",DATA!D924,"")</f>
        <v>7610909095</v>
      </c>
    </row>
    <row r="926" spans="1:43" ht="15.75" x14ac:dyDescent="0.25">
      <c r="A926" s="11" t="s">
        <v>57</v>
      </c>
      <c r="B926" s="11" t="s">
        <v>56</v>
      </c>
      <c r="C926" s="22">
        <f t="shared" si="62"/>
        <v>25001620</v>
      </c>
      <c r="D926" s="11" t="str">
        <f t="shared" si="59"/>
        <v>SKIIFM_AT</v>
      </c>
      <c r="E926" s="11" t="str">
        <f>IF(I926&lt;&gt;"",VLOOKUP(F926,OPDRACHTGEVER!$A$2:$B$4,2,FALSE),"")</f>
        <v>SKIIFM_AT</v>
      </c>
      <c r="F926" s="11" t="s">
        <v>58</v>
      </c>
      <c r="I926" s="11" t="str">
        <f>IF(DATA!B925&lt;&gt;"",DATA!B925,"")</f>
        <v>FSCU7996366</v>
      </c>
      <c r="J926" s="12">
        <v>0</v>
      </c>
      <c r="K926" s="11" t="s">
        <v>53</v>
      </c>
      <c r="L926" s="11" t="str">
        <f t="shared" si="60"/>
        <v>841320</v>
      </c>
      <c r="M926" s="11" t="str">
        <f>IF(I926&lt;&gt;"",DATA!E925,"")</f>
        <v>FILLING MACHINE</v>
      </c>
      <c r="N926" s="12">
        <v>0</v>
      </c>
      <c r="O926" s="11">
        <f>IF(I926&lt;&gt;"",DATA!C925,"")</f>
        <v>73</v>
      </c>
      <c r="P926" s="2">
        <v>294094</v>
      </c>
      <c r="Q926" s="2" t="s">
        <v>1304</v>
      </c>
      <c r="R926" s="2" t="s">
        <v>1324</v>
      </c>
      <c r="S926" s="2">
        <v>209</v>
      </c>
      <c r="T926" s="2">
        <v>1</v>
      </c>
      <c r="U926" s="2" t="s">
        <v>141</v>
      </c>
      <c r="Y926" s="2">
        <v>1700</v>
      </c>
      <c r="Z926" s="11" t="s">
        <v>54</v>
      </c>
      <c r="AA926" s="11" t="str">
        <f t="shared" si="61"/>
        <v>1700 - TBN</v>
      </c>
      <c r="AC926" s="2" t="s">
        <v>145</v>
      </c>
      <c r="AD926" s="11" t="str">
        <f>IF($I926&lt;&gt;"",VLOOKUP($AC926,GEADRESSEERDE!$A$2:$E$4,2,),"")</f>
        <v>LUITHAGEN HAVEN 2 D</v>
      </c>
      <c r="AE926" s="11">
        <f>IF($I926&lt;&gt;"",VLOOKUP($AC926,GEADRESSEERDE!$A$2:$E$4,3,),"")</f>
        <v>2030</v>
      </c>
      <c r="AF926" s="11" t="str">
        <f>IF($I926&lt;&gt;"",VLOOKUP($AC926,GEADRESSEERDE!$A$2:$E$4,4,),"")</f>
        <v>ANTWERPEN</v>
      </c>
      <c r="AG926" s="11" t="str">
        <f>IF($I926&lt;&gt;"",VLOOKUP($AC926,GEADRESSEERDE!$A$2:$E$4,5,),"")</f>
        <v>BE</v>
      </c>
      <c r="AH926" s="11" t="str">
        <f>IF(I926&lt;&gt;"",VLOOKUP(AP926,KvB!$A$2:$B$3,2,FALSE),"")</f>
        <v>BE101000</v>
      </c>
      <c r="AI926" s="11" t="s">
        <v>55</v>
      </c>
      <c r="AJ926" s="11"/>
      <c r="AK926" s="11"/>
      <c r="AL926" s="11"/>
      <c r="AM926" s="11"/>
      <c r="AN926" s="11"/>
      <c r="AO926" s="11"/>
      <c r="AP926" s="2" t="s">
        <v>70</v>
      </c>
      <c r="AQ926" s="11" t="str">
        <f>IF(I926&lt;&gt;"",DATA!D925,"")</f>
        <v>8413200090</v>
      </c>
    </row>
    <row r="927" spans="1:43" ht="15.75" x14ac:dyDescent="0.25">
      <c r="A927" s="11" t="s">
        <v>57</v>
      </c>
      <c r="B927" s="11" t="s">
        <v>56</v>
      </c>
      <c r="C927" s="22">
        <f t="shared" si="62"/>
        <v>25001620</v>
      </c>
      <c r="D927" s="11" t="str">
        <f t="shared" si="59"/>
        <v>SKIIFM_AT</v>
      </c>
      <c r="E927" s="11" t="str">
        <f>IF(I927&lt;&gt;"",VLOOKUP(F927,OPDRACHTGEVER!$A$2:$B$4,2,FALSE),"")</f>
        <v>SKIIFM_AT</v>
      </c>
      <c r="F927" s="11" t="s">
        <v>58</v>
      </c>
      <c r="I927" s="11" t="str">
        <f>IF(DATA!B926&lt;&gt;"",DATA!B926,"")</f>
        <v>FSCU7996366</v>
      </c>
      <c r="J927" s="12">
        <v>0</v>
      </c>
      <c r="K927" s="11" t="s">
        <v>53</v>
      </c>
      <c r="L927" s="11" t="str">
        <f t="shared" si="60"/>
        <v>761699</v>
      </c>
      <c r="M927" s="11" t="str">
        <f>IF(I927&lt;&gt;"",DATA!E926,"")</f>
        <v>FLAGPOLE KITS</v>
      </c>
      <c r="N927" s="12">
        <v>0</v>
      </c>
      <c r="O927" s="11">
        <f>IF(I927&lt;&gt;"",DATA!C926,"")</f>
        <v>202.15</v>
      </c>
      <c r="P927" s="2">
        <v>294094</v>
      </c>
      <c r="Q927" s="2" t="s">
        <v>1304</v>
      </c>
      <c r="R927" s="2" t="s">
        <v>1324</v>
      </c>
      <c r="S927" s="2">
        <v>209</v>
      </c>
      <c r="T927" s="2">
        <v>1</v>
      </c>
      <c r="U927" s="2" t="s">
        <v>141</v>
      </c>
      <c r="Y927" s="2">
        <v>1700</v>
      </c>
      <c r="Z927" s="11" t="s">
        <v>54</v>
      </c>
      <c r="AA927" s="11" t="str">
        <f t="shared" si="61"/>
        <v>1700 - TBN</v>
      </c>
      <c r="AC927" s="2" t="s">
        <v>145</v>
      </c>
      <c r="AD927" s="11" t="str">
        <f>IF($I927&lt;&gt;"",VLOOKUP($AC927,GEADRESSEERDE!$A$2:$E$4,2,),"")</f>
        <v>LUITHAGEN HAVEN 2 D</v>
      </c>
      <c r="AE927" s="11">
        <f>IF($I927&lt;&gt;"",VLOOKUP($AC927,GEADRESSEERDE!$A$2:$E$4,3,),"")</f>
        <v>2030</v>
      </c>
      <c r="AF927" s="11" t="str">
        <f>IF($I927&lt;&gt;"",VLOOKUP($AC927,GEADRESSEERDE!$A$2:$E$4,4,),"")</f>
        <v>ANTWERPEN</v>
      </c>
      <c r="AG927" s="11" t="str">
        <f>IF($I927&lt;&gt;"",VLOOKUP($AC927,GEADRESSEERDE!$A$2:$E$4,5,),"")</f>
        <v>BE</v>
      </c>
      <c r="AH927" s="11" t="str">
        <f>IF(I927&lt;&gt;"",VLOOKUP(AP927,KvB!$A$2:$B$3,2,FALSE),"")</f>
        <v>BE101000</v>
      </c>
      <c r="AI927" s="11" t="s">
        <v>55</v>
      </c>
      <c r="AJ927" s="11"/>
      <c r="AK927" s="11"/>
      <c r="AL927" s="11"/>
      <c r="AM927" s="11"/>
      <c r="AN927" s="11"/>
      <c r="AO927" s="11"/>
      <c r="AP927" s="2" t="s">
        <v>70</v>
      </c>
      <c r="AQ927" s="11" t="str">
        <f>IF(I927&lt;&gt;"",DATA!D926,"")</f>
        <v>7616999009</v>
      </c>
    </row>
    <row r="928" spans="1:43" ht="15.75" x14ac:dyDescent="0.25">
      <c r="A928" s="11" t="s">
        <v>57</v>
      </c>
      <c r="B928" s="11" t="s">
        <v>56</v>
      </c>
      <c r="C928" s="22">
        <f t="shared" si="62"/>
        <v>25001620</v>
      </c>
      <c r="D928" s="11" t="str">
        <f t="shared" si="59"/>
        <v>SKIIFM_AT</v>
      </c>
      <c r="E928" s="11" t="str">
        <f>IF(I928&lt;&gt;"",VLOOKUP(F928,OPDRACHTGEVER!$A$2:$B$4,2,FALSE),"")</f>
        <v>SKIIFM_AT</v>
      </c>
      <c r="F928" s="11" t="s">
        <v>58</v>
      </c>
      <c r="I928" s="11" t="str">
        <f>IF(DATA!B927&lt;&gt;"",DATA!B927,"")</f>
        <v>FSCU7996366</v>
      </c>
      <c r="J928" s="12">
        <v>0</v>
      </c>
      <c r="K928" s="11" t="s">
        <v>53</v>
      </c>
      <c r="L928" s="11" t="str">
        <f t="shared" si="60"/>
        <v>842549</v>
      </c>
      <c r="M928" s="11" t="str">
        <f>IF(I928&lt;&gt;"",DATA!E927,"")</f>
        <v>FLOOR SUPPORT JACKS</v>
      </c>
      <c r="N928" s="12">
        <v>0</v>
      </c>
      <c r="O928" s="11">
        <f>IF(I928&lt;&gt;"",DATA!C927,"")</f>
        <v>43.7</v>
      </c>
      <c r="P928" s="2">
        <v>294094</v>
      </c>
      <c r="Q928" s="2" t="s">
        <v>1304</v>
      </c>
      <c r="R928" s="2" t="s">
        <v>1324</v>
      </c>
      <c r="S928" s="2">
        <v>209</v>
      </c>
      <c r="T928" s="2">
        <v>1</v>
      </c>
      <c r="U928" s="2" t="s">
        <v>141</v>
      </c>
      <c r="Y928" s="2">
        <v>1700</v>
      </c>
      <c r="Z928" s="11" t="s">
        <v>54</v>
      </c>
      <c r="AA928" s="11" t="str">
        <f t="shared" si="61"/>
        <v>1700 - TBN</v>
      </c>
      <c r="AC928" s="2" t="s">
        <v>145</v>
      </c>
      <c r="AD928" s="11" t="str">
        <f>IF($I928&lt;&gt;"",VLOOKUP($AC928,GEADRESSEERDE!$A$2:$E$4,2,),"")</f>
        <v>LUITHAGEN HAVEN 2 D</v>
      </c>
      <c r="AE928" s="11">
        <f>IF($I928&lt;&gt;"",VLOOKUP($AC928,GEADRESSEERDE!$A$2:$E$4,3,),"")</f>
        <v>2030</v>
      </c>
      <c r="AF928" s="11" t="str">
        <f>IF($I928&lt;&gt;"",VLOOKUP($AC928,GEADRESSEERDE!$A$2:$E$4,4,),"")</f>
        <v>ANTWERPEN</v>
      </c>
      <c r="AG928" s="11" t="str">
        <f>IF($I928&lt;&gt;"",VLOOKUP($AC928,GEADRESSEERDE!$A$2:$E$4,5,),"")</f>
        <v>BE</v>
      </c>
      <c r="AH928" s="11" t="str">
        <f>IF(I928&lt;&gt;"",VLOOKUP(AP928,KvB!$A$2:$B$3,2,FALSE),"")</f>
        <v>BE101000</v>
      </c>
      <c r="AI928" s="11" t="s">
        <v>55</v>
      </c>
      <c r="AJ928" s="11"/>
      <c r="AK928" s="11"/>
      <c r="AL928" s="11"/>
      <c r="AM928" s="11"/>
      <c r="AN928" s="11"/>
      <c r="AO928" s="11"/>
      <c r="AP928" s="2" t="s">
        <v>70</v>
      </c>
      <c r="AQ928" s="11" t="str">
        <f>IF(I928&lt;&gt;"",DATA!D927,"")</f>
        <v>8425490000</v>
      </c>
    </row>
    <row r="929" spans="1:43" ht="15.75" x14ac:dyDescent="0.25">
      <c r="A929" s="11" t="s">
        <v>57</v>
      </c>
      <c r="B929" s="11" t="s">
        <v>56</v>
      </c>
      <c r="C929" s="22">
        <f t="shared" si="62"/>
        <v>25001620</v>
      </c>
      <c r="D929" s="11" t="str">
        <f t="shared" si="59"/>
        <v>SKIIFM_AT</v>
      </c>
      <c r="E929" s="11" t="str">
        <f>IF(I929&lt;&gt;"",VLOOKUP(F929,OPDRACHTGEVER!$A$2:$B$4,2,FALSE),"")</f>
        <v>SKIIFM_AT</v>
      </c>
      <c r="F929" s="11" t="s">
        <v>58</v>
      </c>
      <c r="I929" s="11" t="str">
        <f>IF(DATA!B928&lt;&gt;"",DATA!B928,"")</f>
        <v>FSCU7996366</v>
      </c>
      <c r="J929" s="12">
        <v>0</v>
      </c>
      <c r="K929" s="11" t="s">
        <v>53</v>
      </c>
      <c r="L929" s="11" t="str">
        <f t="shared" si="60"/>
        <v>940179</v>
      </c>
      <c r="M929" s="11" t="str">
        <f>IF(I929&lt;&gt;"",DATA!E928,"")</f>
        <v>GARAGE STOOL</v>
      </c>
      <c r="N929" s="12">
        <v>0</v>
      </c>
      <c r="O929" s="11">
        <f>IF(I929&lt;&gt;"",DATA!C928,"")</f>
        <v>148</v>
      </c>
      <c r="P929" s="2">
        <v>294094</v>
      </c>
      <c r="Q929" s="2" t="s">
        <v>1304</v>
      </c>
      <c r="R929" s="2" t="s">
        <v>1324</v>
      </c>
      <c r="S929" s="2">
        <v>209</v>
      </c>
      <c r="T929" s="2">
        <v>1</v>
      </c>
      <c r="U929" s="2" t="s">
        <v>141</v>
      </c>
      <c r="Y929" s="2">
        <v>1700</v>
      </c>
      <c r="Z929" s="11" t="s">
        <v>54</v>
      </c>
      <c r="AA929" s="11" t="str">
        <f t="shared" si="61"/>
        <v>1700 - TBN</v>
      </c>
      <c r="AC929" s="2" t="s">
        <v>145</v>
      </c>
      <c r="AD929" s="11" t="str">
        <f>IF($I929&lt;&gt;"",VLOOKUP($AC929,GEADRESSEERDE!$A$2:$E$4,2,),"")</f>
        <v>LUITHAGEN HAVEN 2 D</v>
      </c>
      <c r="AE929" s="11">
        <f>IF($I929&lt;&gt;"",VLOOKUP($AC929,GEADRESSEERDE!$A$2:$E$4,3,),"")</f>
        <v>2030</v>
      </c>
      <c r="AF929" s="11" t="str">
        <f>IF($I929&lt;&gt;"",VLOOKUP($AC929,GEADRESSEERDE!$A$2:$E$4,4,),"")</f>
        <v>ANTWERPEN</v>
      </c>
      <c r="AG929" s="11" t="str">
        <f>IF($I929&lt;&gt;"",VLOOKUP($AC929,GEADRESSEERDE!$A$2:$E$4,5,),"")</f>
        <v>BE</v>
      </c>
      <c r="AH929" s="11" t="str">
        <f>IF(I929&lt;&gt;"",VLOOKUP(AP929,KvB!$A$2:$B$3,2,FALSE),"")</f>
        <v>BE101000</v>
      </c>
      <c r="AI929" s="11" t="s">
        <v>55</v>
      </c>
      <c r="AJ929" s="11"/>
      <c r="AK929" s="11"/>
      <c r="AL929" s="11"/>
      <c r="AM929" s="11"/>
      <c r="AN929" s="11"/>
      <c r="AO929" s="11"/>
      <c r="AP929" s="2" t="s">
        <v>70</v>
      </c>
      <c r="AQ929" s="11" t="str">
        <f>IF(I929&lt;&gt;"",DATA!D928,"")</f>
        <v>9401790000</v>
      </c>
    </row>
    <row r="930" spans="1:43" ht="15.75" x14ac:dyDescent="0.25">
      <c r="A930" s="11" t="s">
        <v>57</v>
      </c>
      <c r="B930" s="11" t="s">
        <v>56</v>
      </c>
      <c r="C930" s="22">
        <f t="shared" si="62"/>
        <v>25001620</v>
      </c>
      <c r="D930" s="11" t="str">
        <f t="shared" si="59"/>
        <v>SKIIFM_AT</v>
      </c>
      <c r="E930" s="11" t="str">
        <f>IF(I930&lt;&gt;"",VLOOKUP(F930,OPDRACHTGEVER!$A$2:$B$4,2,FALSE),"")</f>
        <v>SKIIFM_AT</v>
      </c>
      <c r="F930" s="11" t="s">
        <v>58</v>
      </c>
      <c r="I930" s="11" t="str">
        <f>IF(DATA!B929&lt;&gt;"",DATA!B929,"")</f>
        <v>FSCU7996366</v>
      </c>
      <c r="J930" s="12">
        <v>0</v>
      </c>
      <c r="K930" s="11" t="s">
        <v>53</v>
      </c>
      <c r="L930" s="11" t="str">
        <f t="shared" si="60"/>
        <v>853110</v>
      </c>
      <c r="M930" s="11" t="str">
        <f>IF(I930&lt;&gt;"",DATA!E929,"")</f>
        <v>GLASS FIBER</v>
      </c>
      <c r="N930" s="12">
        <v>0</v>
      </c>
      <c r="O930" s="11">
        <f>IF(I930&lt;&gt;"",DATA!C929,"")</f>
        <v>42.55</v>
      </c>
      <c r="P930" s="2">
        <v>294094</v>
      </c>
      <c r="Q930" s="2" t="s">
        <v>1304</v>
      </c>
      <c r="R930" s="2" t="s">
        <v>1324</v>
      </c>
      <c r="S930" s="2">
        <v>209</v>
      </c>
      <c r="T930" s="2">
        <v>1</v>
      </c>
      <c r="U930" s="2" t="s">
        <v>141</v>
      </c>
      <c r="Y930" s="2">
        <v>1700</v>
      </c>
      <c r="Z930" s="11" t="s">
        <v>54</v>
      </c>
      <c r="AA930" s="11" t="str">
        <f t="shared" si="61"/>
        <v>1700 - TBN</v>
      </c>
      <c r="AC930" s="2" t="s">
        <v>145</v>
      </c>
      <c r="AD930" s="11" t="str">
        <f>IF($I930&lt;&gt;"",VLOOKUP($AC930,GEADRESSEERDE!$A$2:$E$4,2,),"")</f>
        <v>LUITHAGEN HAVEN 2 D</v>
      </c>
      <c r="AE930" s="11">
        <f>IF($I930&lt;&gt;"",VLOOKUP($AC930,GEADRESSEERDE!$A$2:$E$4,3,),"")</f>
        <v>2030</v>
      </c>
      <c r="AF930" s="11" t="str">
        <f>IF($I930&lt;&gt;"",VLOOKUP($AC930,GEADRESSEERDE!$A$2:$E$4,4,),"")</f>
        <v>ANTWERPEN</v>
      </c>
      <c r="AG930" s="11" t="str">
        <f>IF($I930&lt;&gt;"",VLOOKUP($AC930,GEADRESSEERDE!$A$2:$E$4,5,),"")</f>
        <v>BE</v>
      </c>
      <c r="AH930" s="11" t="str">
        <f>IF(I930&lt;&gt;"",VLOOKUP(AP930,KvB!$A$2:$B$3,2,FALSE),"")</f>
        <v>BE101000</v>
      </c>
      <c r="AI930" s="11" t="s">
        <v>55</v>
      </c>
      <c r="AJ930" s="11"/>
      <c r="AK930" s="11"/>
      <c r="AL930" s="11"/>
      <c r="AM930" s="11"/>
      <c r="AN930" s="11"/>
      <c r="AO930" s="11"/>
      <c r="AP930" s="2" t="s">
        <v>70</v>
      </c>
      <c r="AQ930" s="11" t="str">
        <f>IF(I930&lt;&gt;"",DATA!D929,"")</f>
        <v>8531109590</v>
      </c>
    </row>
    <row r="931" spans="1:43" ht="15.75" x14ac:dyDescent="0.25">
      <c r="A931" s="11" t="s">
        <v>57</v>
      </c>
      <c r="B931" s="11" t="s">
        <v>56</v>
      </c>
      <c r="C931" s="22">
        <f t="shared" si="62"/>
        <v>25001620</v>
      </c>
      <c r="D931" s="11" t="str">
        <f t="shared" si="59"/>
        <v>SKIIFM_AT</v>
      </c>
      <c r="E931" s="11" t="str">
        <f>IF(I931&lt;&gt;"",VLOOKUP(F931,OPDRACHTGEVER!$A$2:$B$4,2,FALSE),"")</f>
        <v>SKIIFM_AT</v>
      </c>
      <c r="F931" s="11" t="s">
        <v>58</v>
      </c>
      <c r="I931" s="11" t="str">
        <f>IF(DATA!B930&lt;&gt;"",DATA!B930,"")</f>
        <v>FSCU7996366</v>
      </c>
      <c r="J931" s="12">
        <v>0</v>
      </c>
      <c r="K931" s="11" t="s">
        <v>53</v>
      </c>
      <c r="L931" s="11" t="str">
        <f t="shared" si="60"/>
        <v>845959</v>
      </c>
      <c r="M931" s="11" t="str">
        <f>IF(I931&lt;&gt;"",DATA!E930,"")</f>
        <v>GUIDE</v>
      </c>
      <c r="N931" s="12">
        <v>0</v>
      </c>
      <c r="O931" s="11">
        <f>IF(I931&lt;&gt;"",DATA!C930,"")</f>
        <v>227.2</v>
      </c>
      <c r="P931" s="2">
        <v>294094</v>
      </c>
      <c r="Q931" s="2" t="s">
        <v>1304</v>
      </c>
      <c r="R931" s="2" t="s">
        <v>1324</v>
      </c>
      <c r="S931" s="2">
        <v>209</v>
      </c>
      <c r="T931" s="2">
        <v>1</v>
      </c>
      <c r="U931" s="2" t="s">
        <v>141</v>
      </c>
      <c r="Y931" s="2">
        <v>1700</v>
      </c>
      <c r="Z931" s="11" t="s">
        <v>54</v>
      </c>
      <c r="AA931" s="11" t="str">
        <f t="shared" si="61"/>
        <v>1700 - TBN</v>
      </c>
      <c r="AC931" s="2" t="s">
        <v>145</v>
      </c>
      <c r="AD931" s="11" t="str">
        <f>IF($I931&lt;&gt;"",VLOOKUP($AC931,GEADRESSEERDE!$A$2:$E$4,2,),"")</f>
        <v>LUITHAGEN HAVEN 2 D</v>
      </c>
      <c r="AE931" s="11">
        <f>IF($I931&lt;&gt;"",VLOOKUP($AC931,GEADRESSEERDE!$A$2:$E$4,3,),"")</f>
        <v>2030</v>
      </c>
      <c r="AF931" s="11" t="str">
        <f>IF($I931&lt;&gt;"",VLOOKUP($AC931,GEADRESSEERDE!$A$2:$E$4,4,),"")</f>
        <v>ANTWERPEN</v>
      </c>
      <c r="AG931" s="11" t="str">
        <f>IF($I931&lt;&gt;"",VLOOKUP($AC931,GEADRESSEERDE!$A$2:$E$4,5,),"")</f>
        <v>BE</v>
      </c>
      <c r="AH931" s="11" t="str">
        <f>IF(I931&lt;&gt;"",VLOOKUP(AP931,KvB!$A$2:$B$3,2,FALSE),"")</f>
        <v>BE101000</v>
      </c>
      <c r="AI931" s="11" t="s">
        <v>55</v>
      </c>
      <c r="AJ931" s="11"/>
      <c r="AK931" s="11"/>
      <c r="AL931" s="11"/>
      <c r="AM931" s="11"/>
      <c r="AN931" s="11"/>
      <c r="AO931" s="11"/>
      <c r="AP931" s="2" t="s">
        <v>70</v>
      </c>
      <c r="AQ931" s="11" t="str">
        <f>IF(I931&lt;&gt;"",DATA!D930,"")</f>
        <v>8459590000</v>
      </c>
    </row>
    <row r="932" spans="1:43" ht="15.75" x14ac:dyDescent="0.25">
      <c r="A932" s="11" t="s">
        <v>57</v>
      </c>
      <c r="B932" s="11" t="s">
        <v>56</v>
      </c>
      <c r="C932" s="22">
        <f t="shared" si="62"/>
        <v>25001620</v>
      </c>
      <c r="D932" s="11" t="str">
        <f t="shared" si="59"/>
        <v>SKIIFM_AT</v>
      </c>
      <c r="E932" s="11" t="str">
        <f>IF(I932&lt;&gt;"",VLOOKUP(F932,OPDRACHTGEVER!$A$2:$B$4,2,FALSE),"")</f>
        <v>SKIIFM_AT</v>
      </c>
      <c r="F932" s="11" t="s">
        <v>58</v>
      </c>
      <c r="I932" s="11" t="str">
        <f>IF(DATA!B931&lt;&gt;"",DATA!B931,"")</f>
        <v>FSCU7996366</v>
      </c>
      <c r="J932" s="12">
        <v>0</v>
      </c>
      <c r="K932" s="11" t="s">
        <v>53</v>
      </c>
      <c r="L932" s="11" t="str">
        <f t="shared" si="60"/>
        <v>844339</v>
      </c>
      <c r="M932" s="11" t="str">
        <f>IF(I932&lt;&gt;"",DATA!E931,"")</f>
        <v>HEAT PRESS MACHINE</v>
      </c>
      <c r="N932" s="12">
        <v>0</v>
      </c>
      <c r="O932" s="11">
        <f>IF(I932&lt;&gt;"",DATA!C931,"")</f>
        <v>17</v>
      </c>
      <c r="P932" s="2">
        <v>294094</v>
      </c>
      <c r="Q932" s="2" t="s">
        <v>1304</v>
      </c>
      <c r="R932" s="2" t="s">
        <v>1324</v>
      </c>
      <c r="S932" s="2">
        <v>209</v>
      </c>
      <c r="T932" s="2">
        <v>1</v>
      </c>
      <c r="U932" s="2" t="s">
        <v>141</v>
      </c>
      <c r="Y932" s="2">
        <v>1700</v>
      </c>
      <c r="Z932" s="11" t="s">
        <v>54</v>
      </c>
      <c r="AA932" s="11" t="str">
        <f t="shared" si="61"/>
        <v>1700 - TBN</v>
      </c>
      <c r="AC932" s="2" t="s">
        <v>145</v>
      </c>
      <c r="AD932" s="11" t="str">
        <f>IF($I932&lt;&gt;"",VLOOKUP($AC932,GEADRESSEERDE!$A$2:$E$4,2,),"")</f>
        <v>LUITHAGEN HAVEN 2 D</v>
      </c>
      <c r="AE932" s="11">
        <f>IF($I932&lt;&gt;"",VLOOKUP($AC932,GEADRESSEERDE!$A$2:$E$4,3,),"")</f>
        <v>2030</v>
      </c>
      <c r="AF932" s="11" t="str">
        <f>IF($I932&lt;&gt;"",VLOOKUP($AC932,GEADRESSEERDE!$A$2:$E$4,4,),"")</f>
        <v>ANTWERPEN</v>
      </c>
      <c r="AG932" s="11" t="str">
        <f>IF($I932&lt;&gt;"",VLOOKUP($AC932,GEADRESSEERDE!$A$2:$E$4,5,),"")</f>
        <v>BE</v>
      </c>
      <c r="AH932" s="11" t="str">
        <f>IF(I932&lt;&gt;"",VLOOKUP(AP932,KvB!$A$2:$B$3,2,FALSE),"")</f>
        <v>BE101000</v>
      </c>
      <c r="AI932" s="11" t="s">
        <v>55</v>
      </c>
      <c r="AJ932" s="11"/>
      <c r="AK932" s="11"/>
      <c r="AL932" s="11"/>
      <c r="AM932" s="11"/>
      <c r="AN932" s="11"/>
      <c r="AO932" s="11"/>
      <c r="AP932" s="2" t="s">
        <v>70</v>
      </c>
      <c r="AQ932" s="11" t="str">
        <f>IF(I932&lt;&gt;"",DATA!D931,"")</f>
        <v>8443390000</v>
      </c>
    </row>
    <row r="933" spans="1:43" ht="15.75" x14ac:dyDescent="0.25">
      <c r="A933" s="11" t="s">
        <v>57</v>
      </c>
      <c r="B933" s="11" t="s">
        <v>56</v>
      </c>
      <c r="C933" s="22">
        <f t="shared" si="62"/>
        <v>25001620</v>
      </c>
      <c r="D933" s="11" t="str">
        <f t="shared" si="59"/>
        <v>SKIIFM_AT</v>
      </c>
      <c r="E933" s="11" t="str">
        <f>IF(I933&lt;&gt;"",VLOOKUP(F933,OPDRACHTGEVER!$A$2:$B$4,2,FALSE),"")</f>
        <v>SKIIFM_AT</v>
      </c>
      <c r="F933" s="11" t="s">
        <v>58</v>
      </c>
      <c r="I933" s="11" t="str">
        <f>IF(DATA!B932&lt;&gt;"",DATA!B932,"")</f>
        <v>FSCU7996366</v>
      </c>
      <c r="J933" s="12">
        <v>0</v>
      </c>
      <c r="K933" s="11" t="s">
        <v>53</v>
      </c>
      <c r="L933" s="11" t="str">
        <f t="shared" si="60"/>
        <v>391890</v>
      </c>
      <c r="M933" s="11" t="str">
        <f>IF(I933&lt;&gt;"",DATA!E932,"")</f>
        <v>HEATING PLATE</v>
      </c>
      <c r="N933" s="12">
        <v>0</v>
      </c>
      <c r="O933" s="11">
        <f>IF(I933&lt;&gt;"",DATA!C932,"")</f>
        <v>133.1</v>
      </c>
      <c r="P933" s="2">
        <v>294094</v>
      </c>
      <c r="Q933" s="2" t="s">
        <v>1304</v>
      </c>
      <c r="R933" s="2" t="s">
        <v>1324</v>
      </c>
      <c r="S933" s="2">
        <v>209</v>
      </c>
      <c r="T933" s="2">
        <v>1</v>
      </c>
      <c r="U933" s="2" t="s">
        <v>141</v>
      </c>
      <c r="Y933" s="2">
        <v>1700</v>
      </c>
      <c r="Z933" s="11" t="s">
        <v>54</v>
      </c>
      <c r="AA933" s="11" t="str">
        <f t="shared" si="61"/>
        <v>1700 - TBN</v>
      </c>
      <c r="AC933" s="2" t="s">
        <v>145</v>
      </c>
      <c r="AD933" s="11" t="str">
        <f>IF($I933&lt;&gt;"",VLOOKUP($AC933,GEADRESSEERDE!$A$2:$E$4,2,),"")</f>
        <v>LUITHAGEN HAVEN 2 D</v>
      </c>
      <c r="AE933" s="11">
        <f>IF($I933&lt;&gt;"",VLOOKUP($AC933,GEADRESSEERDE!$A$2:$E$4,3,),"")</f>
        <v>2030</v>
      </c>
      <c r="AF933" s="11" t="str">
        <f>IF($I933&lt;&gt;"",VLOOKUP($AC933,GEADRESSEERDE!$A$2:$E$4,4,),"")</f>
        <v>ANTWERPEN</v>
      </c>
      <c r="AG933" s="11" t="str">
        <f>IF($I933&lt;&gt;"",VLOOKUP($AC933,GEADRESSEERDE!$A$2:$E$4,5,),"")</f>
        <v>BE</v>
      </c>
      <c r="AH933" s="11" t="str">
        <f>IF(I933&lt;&gt;"",VLOOKUP(AP933,KvB!$A$2:$B$3,2,FALSE),"")</f>
        <v>BE101000</v>
      </c>
      <c r="AI933" s="11" t="s">
        <v>55</v>
      </c>
      <c r="AJ933" s="11"/>
      <c r="AK933" s="11"/>
      <c r="AL933" s="11"/>
      <c r="AM933" s="11"/>
      <c r="AN933" s="11"/>
      <c r="AO933" s="11"/>
      <c r="AP933" s="2" t="s">
        <v>70</v>
      </c>
      <c r="AQ933" s="11" t="str">
        <f>IF(I933&lt;&gt;"",DATA!D932,"")</f>
        <v>3918900090</v>
      </c>
    </row>
    <row r="934" spans="1:43" ht="15.75" x14ac:dyDescent="0.25">
      <c r="A934" s="11" t="s">
        <v>57</v>
      </c>
      <c r="B934" s="11" t="s">
        <v>56</v>
      </c>
      <c r="C934" s="22">
        <f t="shared" si="62"/>
        <v>25001620</v>
      </c>
      <c r="D934" s="11" t="str">
        <f t="shared" si="59"/>
        <v>SKIIFM_AT</v>
      </c>
      <c r="E934" s="11" t="str">
        <f>IF(I934&lt;&gt;"",VLOOKUP(F934,OPDRACHTGEVER!$A$2:$B$4,2,FALSE),"")</f>
        <v>SKIIFM_AT</v>
      </c>
      <c r="F934" s="11" t="s">
        <v>58</v>
      </c>
      <c r="I934" s="11" t="str">
        <f>IF(DATA!B933&lt;&gt;"",DATA!B933,"")</f>
        <v>FSCU7996366</v>
      </c>
      <c r="J934" s="12">
        <v>0</v>
      </c>
      <c r="K934" s="11" t="s">
        <v>53</v>
      </c>
      <c r="L934" s="11" t="str">
        <f t="shared" si="60"/>
        <v>761699</v>
      </c>
      <c r="M934" s="11" t="str">
        <f>IF(I934&lt;&gt;"",DATA!E933,"")</f>
        <v>HEAVY DUTY ALUMINUM TOOL BOX</v>
      </c>
      <c r="N934" s="12">
        <v>0</v>
      </c>
      <c r="O934" s="11">
        <f>IF(I934&lt;&gt;"",DATA!C933,"")</f>
        <v>245.45</v>
      </c>
      <c r="P934" s="2">
        <v>294094</v>
      </c>
      <c r="Q934" s="2" t="s">
        <v>1304</v>
      </c>
      <c r="R934" s="2" t="s">
        <v>1324</v>
      </c>
      <c r="S934" s="2">
        <v>209</v>
      </c>
      <c r="T934" s="2">
        <v>1</v>
      </c>
      <c r="U934" s="2" t="s">
        <v>141</v>
      </c>
      <c r="Y934" s="2">
        <v>1700</v>
      </c>
      <c r="Z934" s="11" t="s">
        <v>54</v>
      </c>
      <c r="AA934" s="11" t="str">
        <f t="shared" si="61"/>
        <v>1700 - TBN</v>
      </c>
      <c r="AC934" s="2" t="s">
        <v>145</v>
      </c>
      <c r="AD934" s="11" t="str">
        <f>IF($I934&lt;&gt;"",VLOOKUP($AC934,GEADRESSEERDE!$A$2:$E$4,2,),"")</f>
        <v>LUITHAGEN HAVEN 2 D</v>
      </c>
      <c r="AE934" s="11">
        <f>IF($I934&lt;&gt;"",VLOOKUP($AC934,GEADRESSEERDE!$A$2:$E$4,3,),"")</f>
        <v>2030</v>
      </c>
      <c r="AF934" s="11" t="str">
        <f>IF($I934&lt;&gt;"",VLOOKUP($AC934,GEADRESSEERDE!$A$2:$E$4,4,),"")</f>
        <v>ANTWERPEN</v>
      </c>
      <c r="AG934" s="11" t="str">
        <f>IF($I934&lt;&gt;"",VLOOKUP($AC934,GEADRESSEERDE!$A$2:$E$4,5,),"")</f>
        <v>BE</v>
      </c>
      <c r="AH934" s="11" t="str">
        <f>IF(I934&lt;&gt;"",VLOOKUP(AP934,KvB!$A$2:$B$3,2,FALSE),"")</f>
        <v>BE101000</v>
      </c>
      <c r="AI934" s="11" t="s">
        <v>55</v>
      </c>
      <c r="AJ934" s="11"/>
      <c r="AK934" s="11"/>
      <c r="AL934" s="11"/>
      <c r="AM934" s="11"/>
      <c r="AN934" s="11"/>
      <c r="AO934" s="11"/>
      <c r="AP934" s="2" t="s">
        <v>70</v>
      </c>
      <c r="AQ934" s="11" t="str">
        <f>IF(I934&lt;&gt;"",DATA!D933,"")</f>
        <v>7616999009</v>
      </c>
    </row>
    <row r="935" spans="1:43" ht="15.75" x14ac:dyDescent="0.25">
      <c r="A935" s="11" t="s">
        <v>57</v>
      </c>
      <c r="B935" s="11" t="s">
        <v>56</v>
      </c>
      <c r="C935" s="22">
        <f t="shared" si="62"/>
        <v>25001620</v>
      </c>
      <c r="D935" s="11" t="str">
        <f t="shared" si="59"/>
        <v>SKIIFM_AT</v>
      </c>
      <c r="E935" s="11" t="str">
        <f>IF(I935&lt;&gt;"",VLOOKUP(F935,OPDRACHTGEVER!$A$2:$B$4,2,FALSE),"")</f>
        <v>SKIIFM_AT</v>
      </c>
      <c r="F935" s="11" t="s">
        <v>58</v>
      </c>
      <c r="I935" s="11" t="str">
        <f>IF(DATA!B934&lt;&gt;"",DATA!B934,"")</f>
        <v>FSCU7996366</v>
      </c>
      <c r="J935" s="12">
        <v>0</v>
      </c>
      <c r="K935" s="11" t="s">
        <v>53</v>
      </c>
      <c r="L935" s="11" t="str">
        <f t="shared" si="60"/>
        <v>846719</v>
      </c>
      <c r="M935" s="11" t="str">
        <f>IF(I935&lt;&gt;"",DATA!E934,"")</f>
        <v>HEAVY DUTY CONCRETE NAILER</v>
      </c>
      <c r="N935" s="12">
        <v>0</v>
      </c>
      <c r="O935" s="11">
        <f>IF(I935&lt;&gt;"",DATA!C934,"")</f>
        <v>118.8</v>
      </c>
      <c r="P935" s="2">
        <v>294094</v>
      </c>
      <c r="Q935" s="2" t="s">
        <v>1304</v>
      </c>
      <c r="R935" s="2" t="s">
        <v>1324</v>
      </c>
      <c r="S935" s="2">
        <v>209</v>
      </c>
      <c r="T935" s="2">
        <v>1</v>
      </c>
      <c r="U935" s="2" t="s">
        <v>141</v>
      </c>
      <c r="Y935" s="2">
        <v>1700</v>
      </c>
      <c r="Z935" s="11" t="s">
        <v>54</v>
      </c>
      <c r="AA935" s="11" t="str">
        <f t="shared" si="61"/>
        <v>1700 - TBN</v>
      </c>
      <c r="AC935" s="2" t="s">
        <v>145</v>
      </c>
      <c r="AD935" s="11" t="str">
        <f>IF($I935&lt;&gt;"",VLOOKUP($AC935,GEADRESSEERDE!$A$2:$E$4,2,),"")</f>
        <v>LUITHAGEN HAVEN 2 D</v>
      </c>
      <c r="AE935" s="11">
        <f>IF($I935&lt;&gt;"",VLOOKUP($AC935,GEADRESSEERDE!$A$2:$E$4,3,),"")</f>
        <v>2030</v>
      </c>
      <c r="AF935" s="11" t="str">
        <f>IF($I935&lt;&gt;"",VLOOKUP($AC935,GEADRESSEERDE!$A$2:$E$4,4,),"")</f>
        <v>ANTWERPEN</v>
      </c>
      <c r="AG935" s="11" t="str">
        <f>IF($I935&lt;&gt;"",VLOOKUP($AC935,GEADRESSEERDE!$A$2:$E$4,5,),"")</f>
        <v>BE</v>
      </c>
      <c r="AH935" s="11" t="str">
        <f>IF(I935&lt;&gt;"",VLOOKUP(AP935,KvB!$A$2:$B$3,2,FALSE),"")</f>
        <v>BE101000</v>
      </c>
      <c r="AI935" s="11" t="s">
        <v>55</v>
      </c>
      <c r="AJ935" s="11"/>
      <c r="AK935" s="11"/>
      <c r="AL935" s="11"/>
      <c r="AM935" s="11"/>
      <c r="AN935" s="11"/>
      <c r="AO935" s="11"/>
      <c r="AP935" s="2" t="s">
        <v>70</v>
      </c>
      <c r="AQ935" s="11" t="str">
        <f>IF(I935&lt;&gt;"",DATA!D934,"")</f>
        <v>8467190000</v>
      </c>
    </row>
    <row r="936" spans="1:43" ht="15.75" x14ac:dyDescent="0.25">
      <c r="A936" s="11" t="s">
        <v>57</v>
      </c>
      <c r="B936" s="11" t="s">
        <v>56</v>
      </c>
      <c r="C936" s="22">
        <f t="shared" si="62"/>
        <v>25001620</v>
      </c>
      <c r="D936" s="11" t="str">
        <f t="shared" si="59"/>
        <v>SKIIFM_AT</v>
      </c>
      <c r="E936" s="11" t="str">
        <f>IF(I936&lt;&gt;"",VLOOKUP(F936,OPDRACHTGEVER!$A$2:$B$4,2,FALSE),"")</f>
        <v>SKIIFM_AT</v>
      </c>
      <c r="F936" s="11" t="s">
        <v>58</v>
      </c>
      <c r="I936" s="11" t="str">
        <f>IF(DATA!B935&lt;&gt;"",DATA!B935,"")</f>
        <v>FSCU7996366</v>
      </c>
      <c r="J936" s="12">
        <v>0</v>
      </c>
      <c r="K936" s="11" t="s">
        <v>53</v>
      </c>
      <c r="L936" s="11" t="str">
        <f t="shared" si="60"/>
        <v>820530</v>
      </c>
      <c r="M936" s="11" t="str">
        <f>IF(I936&lt;&gt;"",DATA!E935,"")</f>
        <v>HSS LATHE CHISEL</v>
      </c>
      <c r="N936" s="12">
        <v>0</v>
      </c>
      <c r="O936" s="11">
        <f>IF(I936&lt;&gt;"",DATA!C935,"")</f>
        <v>94.63</v>
      </c>
      <c r="P936" s="2">
        <v>294094</v>
      </c>
      <c r="Q936" s="2" t="s">
        <v>1304</v>
      </c>
      <c r="R936" s="2" t="s">
        <v>1324</v>
      </c>
      <c r="S936" s="2">
        <v>209</v>
      </c>
      <c r="T936" s="2">
        <v>1</v>
      </c>
      <c r="U936" s="2" t="s">
        <v>141</v>
      </c>
      <c r="Y936" s="2">
        <v>1700</v>
      </c>
      <c r="Z936" s="11" t="s">
        <v>54</v>
      </c>
      <c r="AA936" s="11" t="str">
        <f t="shared" si="61"/>
        <v>1700 - TBN</v>
      </c>
      <c r="AC936" s="2" t="s">
        <v>145</v>
      </c>
      <c r="AD936" s="11" t="str">
        <f>IF($I936&lt;&gt;"",VLOOKUP($AC936,GEADRESSEERDE!$A$2:$E$4,2,),"")</f>
        <v>LUITHAGEN HAVEN 2 D</v>
      </c>
      <c r="AE936" s="11">
        <f>IF($I936&lt;&gt;"",VLOOKUP($AC936,GEADRESSEERDE!$A$2:$E$4,3,),"")</f>
        <v>2030</v>
      </c>
      <c r="AF936" s="11" t="str">
        <f>IF($I936&lt;&gt;"",VLOOKUP($AC936,GEADRESSEERDE!$A$2:$E$4,4,),"")</f>
        <v>ANTWERPEN</v>
      </c>
      <c r="AG936" s="11" t="str">
        <f>IF($I936&lt;&gt;"",VLOOKUP($AC936,GEADRESSEERDE!$A$2:$E$4,5,),"")</f>
        <v>BE</v>
      </c>
      <c r="AH936" s="11" t="str">
        <f>IF(I936&lt;&gt;"",VLOOKUP(AP936,KvB!$A$2:$B$3,2,FALSE),"")</f>
        <v>BE101000</v>
      </c>
      <c r="AI936" s="11" t="s">
        <v>55</v>
      </c>
      <c r="AJ936" s="11"/>
      <c r="AK936" s="11"/>
      <c r="AL936" s="11"/>
      <c r="AM936" s="11"/>
      <c r="AN936" s="11"/>
      <c r="AO936" s="11"/>
      <c r="AP936" s="2" t="s">
        <v>70</v>
      </c>
      <c r="AQ936" s="11" t="str">
        <f>IF(I936&lt;&gt;"",DATA!D935,"")</f>
        <v>8205300000</v>
      </c>
    </row>
    <row r="937" spans="1:43" ht="15.75" x14ac:dyDescent="0.25">
      <c r="A937" s="11" t="s">
        <v>57</v>
      </c>
      <c r="B937" s="11" t="s">
        <v>56</v>
      </c>
      <c r="C937" s="22">
        <f t="shared" si="62"/>
        <v>25001620</v>
      </c>
      <c r="D937" s="11" t="str">
        <f t="shared" si="59"/>
        <v>SKIIFM_AT</v>
      </c>
      <c r="E937" s="11" t="str">
        <f>IF(I937&lt;&gt;"",VLOOKUP(F937,OPDRACHTGEVER!$A$2:$B$4,2,FALSE),"")</f>
        <v>SKIIFM_AT</v>
      </c>
      <c r="F937" s="11" t="s">
        <v>58</v>
      </c>
      <c r="I937" s="11" t="str">
        <f>IF(DATA!B936&lt;&gt;"",DATA!B936,"")</f>
        <v>FSCU7996366</v>
      </c>
      <c r="J937" s="12">
        <v>0</v>
      </c>
      <c r="K937" s="11" t="s">
        <v>53</v>
      </c>
      <c r="L937" s="11" t="str">
        <f t="shared" si="60"/>
        <v>741920</v>
      </c>
      <c r="M937" s="11" t="str">
        <f>IF(I937&lt;&gt;"",DATA!E936,"")</f>
        <v>HYDRAULIC OPENING DEVICE</v>
      </c>
      <c r="N937" s="12">
        <v>0</v>
      </c>
      <c r="O937" s="11">
        <f>IF(I937&lt;&gt;"",DATA!C936,"")</f>
        <v>280.5</v>
      </c>
      <c r="P937" s="2">
        <v>294094</v>
      </c>
      <c r="Q937" s="2" t="s">
        <v>1304</v>
      </c>
      <c r="R937" s="2" t="s">
        <v>1324</v>
      </c>
      <c r="S937" s="2">
        <v>209</v>
      </c>
      <c r="T937" s="2">
        <v>1</v>
      </c>
      <c r="U937" s="2" t="s">
        <v>141</v>
      </c>
      <c r="Y937" s="2">
        <v>1700</v>
      </c>
      <c r="Z937" s="11" t="s">
        <v>54</v>
      </c>
      <c r="AA937" s="11" t="str">
        <f t="shared" si="61"/>
        <v>1700 - TBN</v>
      </c>
      <c r="AC937" s="2" t="s">
        <v>145</v>
      </c>
      <c r="AD937" s="11" t="str">
        <f>IF($I937&lt;&gt;"",VLOOKUP($AC937,GEADRESSEERDE!$A$2:$E$4,2,),"")</f>
        <v>LUITHAGEN HAVEN 2 D</v>
      </c>
      <c r="AE937" s="11">
        <f>IF($I937&lt;&gt;"",VLOOKUP($AC937,GEADRESSEERDE!$A$2:$E$4,3,),"")</f>
        <v>2030</v>
      </c>
      <c r="AF937" s="11" t="str">
        <f>IF($I937&lt;&gt;"",VLOOKUP($AC937,GEADRESSEERDE!$A$2:$E$4,4,),"")</f>
        <v>ANTWERPEN</v>
      </c>
      <c r="AG937" s="11" t="str">
        <f>IF($I937&lt;&gt;"",VLOOKUP($AC937,GEADRESSEERDE!$A$2:$E$4,5,),"")</f>
        <v>BE</v>
      </c>
      <c r="AH937" s="11" t="str">
        <f>IF(I937&lt;&gt;"",VLOOKUP(AP937,KvB!$A$2:$B$3,2,FALSE),"")</f>
        <v>BE101000</v>
      </c>
      <c r="AI937" s="11" t="s">
        <v>55</v>
      </c>
      <c r="AJ937" s="11"/>
      <c r="AK937" s="11"/>
      <c r="AL937" s="11"/>
      <c r="AM937" s="11"/>
      <c r="AN937" s="11"/>
      <c r="AO937" s="11"/>
      <c r="AP937" s="2" t="s">
        <v>70</v>
      </c>
      <c r="AQ937" s="11" t="str">
        <f>IF(I937&lt;&gt;"",DATA!D936,"")</f>
        <v>7419200090</v>
      </c>
    </row>
    <row r="938" spans="1:43" ht="15.75" x14ac:dyDescent="0.25">
      <c r="A938" s="11" t="s">
        <v>57</v>
      </c>
      <c r="B938" s="11" t="s">
        <v>56</v>
      </c>
      <c r="C938" s="22">
        <f t="shared" si="62"/>
        <v>25001620</v>
      </c>
      <c r="D938" s="11" t="str">
        <f t="shared" si="59"/>
        <v>SKIIFM_AT</v>
      </c>
      <c r="E938" s="11" t="str">
        <f>IF(I938&lt;&gt;"",VLOOKUP(F938,OPDRACHTGEVER!$A$2:$B$4,2,FALSE),"")</f>
        <v>SKIIFM_AT</v>
      </c>
      <c r="F938" s="11" t="s">
        <v>58</v>
      </c>
      <c r="I938" s="11" t="str">
        <f>IF(DATA!B937&lt;&gt;"",DATA!B937,"")</f>
        <v>FSCU7996366</v>
      </c>
      <c r="J938" s="12">
        <v>0</v>
      </c>
      <c r="K938" s="11" t="s">
        <v>53</v>
      </c>
      <c r="L938" s="11" t="str">
        <f t="shared" si="60"/>
        <v>841869</v>
      </c>
      <c r="M938" s="11" t="str">
        <f>IF(I938&lt;&gt;"",DATA!E937,"")</f>
        <v>ICE MAKER</v>
      </c>
      <c r="N938" s="12">
        <v>0</v>
      </c>
      <c r="O938" s="11">
        <f>IF(I938&lt;&gt;"",DATA!C937,"")</f>
        <v>2011.1</v>
      </c>
      <c r="P938" s="2">
        <v>294094</v>
      </c>
      <c r="Q938" s="2" t="s">
        <v>1304</v>
      </c>
      <c r="R938" s="2" t="s">
        <v>1324</v>
      </c>
      <c r="S938" s="2">
        <v>209</v>
      </c>
      <c r="T938" s="2">
        <v>1</v>
      </c>
      <c r="U938" s="2" t="s">
        <v>141</v>
      </c>
      <c r="Y938" s="2">
        <v>1700</v>
      </c>
      <c r="Z938" s="11" t="s">
        <v>54</v>
      </c>
      <c r="AA938" s="11" t="str">
        <f t="shared" si="61"/>
        <v>1700 - TBN</v>
      </c>
      <c r="AC938" s="2" t="s">
        <v>145</v>
      </c>
      <c r="AD938" s="11" t="str">
        <f>IF($I938&lt;&gt;"",VLOOKUP($AC938,GEADRESSEERDE!$A$2:$E$4,2,),"")</f>
        <v>LUITHAGEN HAVEN 2 D</v>
      </c>
      <c r="AE938" s="11">
        <f>IF($I938&lt;&gt;"",VLOOKUP($AC938,GEADRESSEERDE!$A$2:$E$4,3,),"")</f>
        <v>2030</v>
      </c>
      <c r="AF938" s="11" t="str">
        <f>IF($I938&lt;&gt;"",VLOOKUP($AC938,GEADRESSEERDE!$A$2:$E$4,4,),"")</f>
        <v>ANTWERPEN</v>
      </c>
      <c r="AG938" s="11" t="str">
        <f>IF($I938&lt;&gt;"",VLOOKUP($AC938,GEADRESSEERDE!$A$2:$E$4,5,),"")</f>
        <v>BE</v>
      </c>
      <c r="AH938" s="11" t="str">
        <f>IF(I938&lt;&gt;"",VLOOKUP(AP938,KvB!$A$2:$B$3,2,FALSE),"")</f>
        <v>BE101000</v>
      </c>
      <c r="AI938" s="11" t="s">
        <v>55</v>
      </c>
      <c r="AJ938" s="11"/>
      <c r="AK938" s="11"/>
      <c r="AL938" s="11"/>
      <c r="AM938" s="11"/>
      <c r="AN938" s="11"/>
      <c r="AO938" s="11"/>
      <c r="AP938" s="2" t="s">
        <v>70</v>
      </c>
      <c r="AQ938" s="11" t="str">
        <f>IF(I938&lt;&gt;"",DATA!D937,"")</f>
        <v>8418690099</v>
      </c>
    </row>
    <row r="939" spans="1:43" ht="15.75" x14ac:dyDescent="0.25">
      <c r="A939" s="11" t="s">
        <v>57</v>
      </c>
      <c r="B939" s="11" t="s">
        <v>56</v>
      </c>
      <c r="C939" s="22">
        <f t="shared" si="62"/>
        <v>25001620</v>
      </c>
      <c r="D939" s="11" t="str">
        <f t="shared" si="59"/>
        <v>SKIIFM_AT</v>
      </c>
      <c r="E939" s="11" t="str">
        <f>IF(I939&lt;&gt;"",VLOOKUP(F939,OPDRACHTGEVER!$A$2:$B$4,2,FALSE),"")</f>
        <v>SKIIFM_AT</v>
      </c>
      <c r="F939" s="11" t="s">
        <v>58</v>
      </c>
      <c r="I939" s="11" t="str">
        <f>IF(DATA!B938&lt;&gt;"",DATA!B938,"")</f>
        <v>FSCU7996366</v>
      </c>
      <c r="J939" s="12">
        <v>0</v>
      </c>
      <c r="K939" s="11" t="s">
        <v>53</v>
      </c>
      <c r="L939" s="11" t="str">
        <f t="shared" si="60"/>
        <v>850440</v>
      </c>
      <c r="M939" s="11" t="str">
        <f>IF(I939&lt;&gt;"",DATA!E938,"")</f>
        <v>INVERTER</v>
      </c>
      <c r="N939" s="12">
        <v>0</v>
      </c>
      <c r="O939" s="11">
        <f>IF(I939&lt;&gt;"",DATA!C938,"")</f>
        <v>58.8</v>
      </c>
      <c r="P939" s="2">
        <v>294094</v>
      </c>
      <c r="Q939" s="2" t="s">
        <v>1304</v>
      </c>
      <c r="R939" s="2" t="s">
        <v>1324</v>
      </c>
      <c r="S939" s="2">
        <v>209</v>
      </c>
      <c r="T939" s="2">
        <v>1</v>
      </c>
      <c r="U939" s="2" t="s">
        <v>141</v>
      </c>
      <c r="Y939" s="2">
        <v>1700</v>
      </c>
      <c r="Z939" s="11" t="s">
        <v>54</v>
      </c>
      <c r="AA939" s="11" t="str">
        <f t="shared" si="61"/>
        <v>1700 - TBN</v>
      </c>
      <c r="AC939" s="2" t="s">
        <v>145</v>
      </c>
      <c r="AD939" s="11" t="str">
        <f>IF($I939&lt;&gt;"",VLOOKUP($AC939,GEADRESSEERDE!$A$2:$E$4,2,),"")</f>
        <v>LUITHAGEN HAVEN 2 D</v>
      </c>
      <c r="AE939" s="11">
        <f>IF($I939&lt;&gt;"",VLOOKUP($AC939,GEADRESSEERDE!$A$2:$E$4,3,),"")</f>
        <v>2030</v>
      </c>
      <c r="AF939" s="11" t="str">
        <f>IF($I939&lt;&gt;"",VLOOKUP($AC939,GEADRESSEERDE!$A$2:$E$4,4,),"")</f>
        <v>ANTWERPEN</v>
      </c>
      <c r="AG939" s="11" t="str">
        <f>IF($I939&lt;&gt;"",VLOOKUP($AC939,GEADRESSEERDE!$A$2:$E$4,5,),"")</f>
        <v>BE</v>
      </c>
      <c r="AH939" s="11" t="str">
        <f>IF(I939&lt;&gt;"",VLOOKUP(AP939,KvB!$A$2:$B$3,2,FALSE),"")</f>
        <v>BE101000</v>
      </c>
      <c r="AI939" s="11" t="s">
        <v>55</v>
      </c>
      <c r="AJ939" s="11"/>
      <c r="AK939" s="11"/>
      <c r="AL939" s="11"/>
      <c r="AM939" s="11"/>
      <c r="AN939" s="11"/>
      <c r="AO939" s="11"/>
      <c r="AP939" s="2" t="s">
        <v>70</v>
      </c>
      <c r="AQ939" s="11" t="str">
        <f>IF(I939&lt;&gt;"",DATA!D938,"")</f>
        <v>8504406090</v>
      </c>
    </row>
    <row r="940" spans="1:43" ht="15.75" x14ac:dyDescent="0.25">
      <c r="A940" s="11" t="s">
        <v>57</v>
      </c>
      <c r="B940" s="11" t="s">
        <v>56</v>
      </c>
      <c r="C940" s="22">
        <f t="shared" si="62"/>
        <v>25001620</v>
      </c>
      <c r="D940" s="11" t="str">
        <f t="shared" si="59"/>
        <v>SKIIFM_AT</v>
      </c>
      <c r="E940" s="11" t="str">
        <f>IF(I940&lt;&gt;"",VLOOKUP(F940,OPDRACHTGEVER!$A$2:$B$4,2,FALSE),"")</f>
        <v>SKIIFM_AT</v>
      </c>
      <c r="F940" s="11" t="s">
        <v>58</v>
      </c>
      <c r="I940" s="11" t="str">
        <f>IF(DATA!B939&lt;&gt;"",DATA!B939,"")</f>
        <v>FSCU7996366</v>
      </c>
      <c r="J940" s="12">
        <v>0</v>
      </c>
      <c r="K940" s="11" t="s">
        <v>53</v>
      </c>
      <c r="L940" s="11" t="str">
        <f t="shared" si="60"/>
        <v>950300</v>
      </c>
      <c r="M940" s="11" t="str">
        <f>IF(I940&lt;&gt;"",DATA!E939,"")</f>
        <v>KIDS WORKBENCH-WOODEN</v>
      </c>
      <c r="N940" s="12">
        <v>0</v>
      </c>
      <c r="O940" s="11">
        <f>IF(I940&lt;&gt;"",DATA!C939,"")</f>
        <v>8</v>
      </c>
      <c r="P940" s="2">
        <v>294094</v>
      </c>
      <c r="Q940" s="2" t="s">
        <v>1304</v>
      </c>
      <c r="R940" s="2" t="s">
        <v>1324</v>
      </c>
      <c r="S940" s="2">
        <v>209</v>
      </c>
      <c r="T940" s="2">
        <v>1</v>
      </c>
      <c r="U940" s="2" t="s">
        <v>141</v>
      </c>
      <c r="Y940" s="2">
        <v>1700</v>
      </c>
      <c r="Z940" s="11" t="s">
        <v>54</v>
      </c>
      <c r="AA940" s="11" t="str">
        <f t="shared" si="61"/>
        <v>1700 - TBN</v>
      </c>
      <c r="AC940" s="2" t="s">
        <v>145</v>
      </c>
      <c r="AD940" s="11" t="str">
        <f>IF($I940&lt;&gt;"",VLOOKUP($AC940,GEADRESSEERDE!$A$2:$E$4,2,),"")</f>
        <v>LUITHAGEN HAVEN 2 D</v>
      </c>
      <c r="AE940" s="11">
        <f>IF($I940&lt;&gt;"",VLOOKUP($AC940,GEADRESSEERDE!$A$2:$E$4,3,),"")</f>
        <v>2030</v>
      </c>
      <c r="AF940" s="11" t="str">
        <f>IF($I940&lt;&gt;"",VLOOKUP($AC940,GEADRESSEERDE!$A$2:$E$4,4,),"")</f>
        <v>ANTWERPEN</v>
      </c>
      <c r="AG940" s="11" t="str">
        <f>IF($I940&lt;&gt;"",VLOOKUP($AC940,GEADRESSEERDE!$A$2:$E$4,5,),"")</f>
        <v>BE</v>
      </c>
      <c r="AH940" s="11" t="str">
        <f>IF(I940&lt;&gt;"",VLOOKUP(AP940,KvB!$A$2:$B$3,2,FALSE),"")</f>
        <v>BE101000</v>
      </c>
      <c r="AI940" s="11" t="s">
        <v>55</v>
      </c>
      <c r="AJ940" s="11"/>
      <c r="AK940" s="11"/>
      <c r="AL940" s="11"/>
      <c r="AM940" s="11"/>
      <c r="AN940" s="11"/>
      <c r="AO940" s="11"/>
      <c r="AP940" s="2" t="s">
        <v>70</v>
      </c>
      <c r="AQ940" s="11" t="str">
        <f>IF(I940&lt;&gt;"",DATA!D939,"")</f>
        <v>9503006900</v>
      </c>
    </row>
    <row r="941" spans="1:43" ht="15.75" x14ac:dyDescent="0.25">
      <c r="A941" s="11" t="s">
        <v>57</v>
      </c>
      <c r="B941" s="11" t="s">
        <v>56</v>
      </c>
      <c r="C941" s="22">
        <f t="shared" si="62"/>
        <v>25001620</v>
      </c>
      <c r="D941" s="11" t="str">
        <f t="shared" si="59"/>
        <v>SKIIFM_AT</v>
      </c>
      <c r="E941" s="11" t="str">
        <f>IF(I941&lt;&gt;"",VLOOKUP(F941,OPDRACHTGEVER!$A$2:$B$4,2,FALSE),"")</f>
        <v>SKIIFM_AT</v>
      </c>
      <c r="F941" s="11" t="s">
        <v>58</v>
      </c>
      <c r="I941" s="11" t="str">
        <f>IF(DATA!B940&lt;&gt;"",DATA!B940,"")</f>
        <v>FSCU7996366</v>
      </c>
      <c r="J941" s="12">
        <v>0</v>
      </c>
      <c r="K941" s="11" t="s">
        <v>53</v>
      </c>
      <c r="L941" s="11" t="str">
        <f t="shared" si="60"/>
        <v>846620</v>
      </c>
      <c r="M941" s="11" t="str">
        <f>IF(I941&lt;&gt;"",DATA!E940,"")</f>
        <v>LATHE CHUCK</v>
      </c>
      <c r="N941" s="12">
        <v>0</v>
      </c>
      <c r="O941" s="11">
        <f>IF(I941&lt;&gt;"",DATA!C940,"")</f>
        <v>818.6</v>
      </c>
      <c r="P941" s="2">
        <v>294094</v>
      </c>
      <c r="Q941" s="2" t="s">
        <v>1304</v>
      </c>
      <c r="R941" s="2" t="s">
        <v>1324</v>
      </c>
      <c r="S941" s="2">
        <v>209</v>
      </c>
      <c r="T941" s="2">
        <v>1</v>
      </c>
      <c r="U941" s="2" t="s">
        <v>141</v>
      </c>
      <c r="Y941" s="2">
        <v>1700</v>
      </c>
      <c r="Z941" s="11" t="s">
        <v>54</v>
      </c>
      <c r="AA941" s="11" t="str">
        <f t="shared" si="61"/>
        <v>1700 - TBN</v>
      </c>
      <c r="AC941" s="2" t="s">
        <v>145</v>
      </c>
      <c r="AD941" s="11" t="str">
        <f>IF($I941&lt;&gt;"",VLOOKUP($AC941,GEADRESSEERDE!$A$2:$E$4,2,),"")</f>
        <v>LUITHAGEN HAVEN 2 D</v>
      </c>
      <c r="AE941" s="11">
        <f>IF($I941&lt;&gt;"",VLOOKUP($AC941,GEADRESSEERDE!$A$2:$E$4,3,),"")</f>
        <v>2030</v>
      </c>
      <c r="AF941" s="11" t="str">
        <f>IF($I941&lt;&gt;"",VLOOKUP($AC941,GEADRESSEERDE!$A$2:$E$4,4,),"")</f>
        <v>ANTWERPEN</v>
      </c>
      <c r="AG941" s="11" t="str">
        <f>IF($I941&lt;&gt;"",VLOOKUP($AC941,GEADRESSEERDE!$A$2:$E$4,5,),"")</f>
        <v>BE</v>
      </c>
      <c r="AH941" s="11" t="str">
        <f>IF(I941&lt;&gt;"",VLOOKUP(AP941,KvB!$A$2:$B$3,2,FALSE),"")</f>
        <v>BE101000</v>
      </c>
      <c r="AI941" s="11" t="s">
        <v>55</v>
      </c>
      <c r="AJ941" s="11"/>
      <c r="AK941" s="11"/>
      <c r="AL941" s="11"/>
      <c r="AM941" s="11"/>
      <c r="AN941" s="11"/>
      <c r="AO941" s="11"/>
      <c r="AP941" s="2" t="s">
        <v>70</v>
      </c>
      <c r="AQ941" s="11" t="str">
        <f>IF(I941&lt;&gt;"",DATA!D940,"")</f>
        <v>8466202000</v>
      </c>
    </row>
    <row r="942" spans="1:43" ht="15.75" x14ac:dyDescent="0.25">
      <c r="A942" s="11" t="s">
        <v>57</v>
      </c>
      <c r="B942" s="11" t="s">
        <v>56</v>
      </c>
      <c r="C942" s="22">
        <f t="shared" si="62"/>
        <v>25001620</v>
      </c>
      <c r="D942" s="11" t="str">
        <f t="shared" si="59"/>
        <v>SKIIFM_AT</v>
      </c>
      <c r="E942" s="11" t="str">
        <f>IF(I942&lt;&gt;"",VLOOKUP(F942,OPDRACHTGEVER!$A$2:$B$4,2,FALSE),"")</f>
        <v>SKIIFM_AT</v>
      </c>
      <c r="F942" s="11" t="s">
        <v>58</v>
      </c>
      <c r="I942" s="11" t="str">
        <f>IF(DATA!B941&lt;&gt;"",DATA!B941,"")</f>
        <v>FSCU7996366</v>
      </c>
      <c r="J942" s="12">
        <v>0</v>
      </c>
      <c r="K942" s="11" t="s">
        <v>53</v>
      </c>
      <c r="L942" s="11" t="str">
        <f t="shared" si="60"/>
        <v>901530</v>
      </c>
      <c r="M942" s="11" t="str">
        <f>IF(I942&lt;&gt;"",DATA!E941,"")</f>
        <v>LEVELLING INSTRUMENT</v>
      </c>
      <c r="N942" s="12">
        <v>0</v>
      </c>
      <c r="O942" s="11">
        <f>IF(I942&lt;&gt;"",DATA!C941,"")</f>
        <v>23.4</v>
      </c>
      <c r="P942" s="2">
        <v>294094</v>
      </c>
      <c r="Q942" s="2" t="s">
        <v>1304</v>
      </c>
      <c r="R942" s="2" t="s">
        <v>1324</v>
      </c>
      <c r="S942" s="2">
        <v>209</v>
      </c>
      <c r="T942" s="2">
        <v>1</v>
      </c>
      <c r="U942" s="2" t="s">
        <v>141</v>
      </c>
      <c r="Y942" s="2">
        <v>1700</v>
      </c>
      <c r="Z942" s="11" t="s">
        <v>54</v>
      </c>
      <c r="AA942" s="11" t="str">
        <f t="shared" si="61"/>
        <v>1700 - TBN</v>
      </c>
      <c r="AC942" s="2" t="s">
        <v>145</v>
      </c>
      <c r="AD942" s="11" t="str">
        <f>IF($I942&lt;&gt;"",VLOOKUP($AC942,GEADRESSEERDE!$A$2:$E$4,2,),"")</f>
        <v>LUITHAGEN HAVEN 2 D</v>
      </c>
      <c r="AE942" s="11">
        <f>IF($I942&lt;&gt;"",VLOOKUP($AC942,GEADRESSEERDE!$A$2:$E$4,3,),"")</f>
        <v>2030</v>
      </c>
      <c r="AF942" s="11" t="str">
        <f>IF($I942&lt;&gt;"",VLOOKUP($AC942,GEADRESSEERDE!$A$2:$E$4,4,),"")</f>
        <v>ANTWERPEN</v>
      </c>
      <c r="AG942" s="11" t="str">
        <f>IF($I942&lt;&gt;"",VLOOKUP($AC942,GEADRESSEERDE!$A$2:$E$4,5,),"")</f>
        <v>BE</v>
      </c>
      <c r="AH942" s="11" t="str">
        <f>IF(I942&lt;&gt;"",VLOOKUP(AP942,KvB!$A$2:$B$3,2,FALSE),"")</f>
        <v>BE101000</v>
      </c>
      <c r="AI942" s="11" t="s">
        <v>55</v>
      </c>
      <c r="AJ942" s="11"/>
      <c r="AK942" s="11"/>
      <c r="AL942" s="11"/>
      <c r="AM942" s="11"/>
      <c r="AN942" s="11"/>
      <c r="AO942" s="11"/>
      <c r="AP942" s="2" t="s">
        <v>70</v>
      </c>
      <c r="AQ942" s="11" t="str">
        <f>IF(I942&lt;&gt;"",DATA!D941,"")</f>
        <v>9015301000</v>
      </c>
    </row>
    <row r="943" spans="1:43" ht="15.75" x14ac:dyDescent="0.25">
      <c r="A943" s="11" t="s">
        <v>57</v>
      </c>
      <c r="B943" s="11" t="s">
        <v>56</v>
      </c>
      <c r="C943" s="22">
        <f t="shared" si="62"/>
        <v>25001620</v>
      </c>
      <c r="D943" s="11" t="str">
        <f t="shared" si="59"/>
        <v>SKIIFM_AT</v>
      </c>
      <c r="E943" s="11" t="str">
        <f>IF(I943&lt;&gt;"",VLOOKUP(F943,OPDRACHTGEVER!$A$2:$B$4,2,FALSE),"")</f>
        <v>SKIIFM_AT</v>
      </c>
      <c r="F943" s="11" t="s">
        <v>58</v>
      </c>
      <c r="I943" s="11" t="str">
        <f>IF(DATA!B942&lt;&gt;"",DATA!B942,"")</f>
        <v>FSCU7996366</v>
      </c>
      <c r="J943" s="12">
        <v>0</v>
      </c>
      <c r="K943" s="11" t="s">
        <v>53</v>
      </c>
      <c r="L943" s="11" t="str">
        <f t="shared" si="60"/>
        <v>842230</v>
      </c>
      <c r="M943" s="11" t="str">
        <f>IF(I943&lt;&gt;"",DATA!E942,"")</f>
        <v>LIQUID FILLING MACHINE</v>
      </c>
      <c r="N943" s="12">
        <v>0</v>
      </c>
      <c r="O943" s="11">
        <f>IF(I943&lt;&gt;"",DATA!C942,"")</f>
        <v>384.4</v>
      </c>
      <c r="P943" s="2">
        <v>294094</v>
      </c>
      <c r="Q943" s="2" t="s">
        <v>1304</v>
      </c>
      <c r="R943" s="2" t="s">
        <v>1324</v>
      </c>
      <c r="S943" s="2">
        <v>209</v>
      </c>
      <c r="T943" s="2">
        <v>1</v>
      </c>
      <c r="U943" s="2" t="s">
        <v>141</v>
      </c>
      <c r="Y943" s="2">
        <v>1700</v>
      </c>
      <c r="Z943" s="11" t="s">
        <v>54</v>
      </c>
      <c r="AA943" s="11" t="str">
        <f t="shared" si="61"/>
        <v>1700 - TBN</v>
      </c>
      <c r="AC943" s="2" t="s">
        <v>145</v>
      </c>
      <c r="AD943" s="11" t="str">
        <f>IF($I943&lt;&gt;"",VLOOKUP($AC943,GEADRESSEERDE!$A$2:$E$4,2,),"")</f>
        <v>LUITHAGEN HAVEN 2 D</v>
      </c>
      <c r="AE943" s="11">
        <f>IF($I943&lt;&gt;"",VLOOKUP($AC943,GEADRESSEERDE!$A$2:$E$4,3,),"")</f>
        <v>2030</v>
      </c>
      <c r="AF943" s="11" t="str">
        <f>IF($I943&lt;&gt;"",VLOOKUP($AC943,GEADRESSEERDE!$A$2:$E$4,4,),"")</f>
        <v>ANTWERPEN</v>
      </c>
      <c r="AG943" s="11" t="str">
        <f>IF($I943&lt;&gt;"",VLOOKUP($AC943,GEADRESSEERDE!$A$2:$E$4,5,),"")</f>
        <v>BE</v>
      </c>
      <c r="AH943" s="11" t="str">
        <f>IF(I943&lt;&gt;"",VLOOKUP(AP943,KvB!$A$2:$B$3,2,FALSE),"")</f>
        <v>BE101000</v>
      </c>
      <c r="AI943" s="11" t="s">
        <v>55</v>
      </c>
      <c r="AJ943" s="11"/>
      <c r="AK943" s="11"/>
      <c r="AL943" s="11"/>
      <c r="AM943" s="11"/>
      <c r="AN943" s="11"/>
      <c r="AO943" s="11"/>
      <c r="AP943" s="2" t="s">
        <v>70</v>
      </c>
      <c r="AQ943" s="11" t="str">
        <f>IF(I943&lt;&gt;"",DATA!D942,"")</f>
        <v>8422300000</v>
      </c>
    </row>
    <row r="944" spans="1:43" ht="15.75" x14ac:dyDescent="0.25">
      <c r="A944" s="11" t="s">
        <v>57</v>
      </c>
      <c r="B944" s="11" t="s">
        <v>56</v>
      </c>
      <c r="C944" s="22">
        <f t="shared" si="62"/>
        <v>25001620</v>
      </c>
      <c r="D944" s="11" t="str">
        <f t="shared" si="59"/>
        <v>SKIIFM_AT</v>
      </c>
      <c r="E944" s="11" t="str">
        <f>IF(I944&lt;&gt;"",VLOOKUP(F944,OPDRACHTGEVER!$A$2:$B$4,2,FALSE),"")</f>
        <v>SKIIFM_AT</v>
      </c>
      <c r="F944" s="11" t="s">
        <v>58</v>
      </c>
      <c r="I944" s="11" t="str">
        <f>IF(DATA!B943&lt;&gt;"",DATA!B943,"")</f>
        <v>FSCU7996366</v>
      </c>
      <c r="J944" s="12">
        <v>0</v>
      </c>
      <c r="K944" s="11" t="s">
        <v>53</v>
      </c>
      <c r="L944" s="11" t="str">
        <f t="shared" si="60"/>
        <v>854370</v>
      </c>
      <c r="M944" s="11" t="str">
        <f>IF(I944&lt;&gt;"",DATA!E943,"")</f>
        <v>METAL CHICKEN NEST BOX</v>
      </c>
      <c r="N944" s="12">
        <v>0</v>
      </c>
      <c r="O944" s="11">
        <f>IF(I944&lt;&gt;"",DATA!C943,"")</f>
        <v>38.200000000000003</v>
      </c>
      <c r="P944" s="2">
        <v>294094</v>
      </c>
      <c r="Q944" s="2" t="s">
        <v>1304</v>
      </c>
      <c r="R944" s="2" t="s">
        <v>1324</v>
      </c>
      <c r="S944" s="2">
        <v>209</v>
      </c>
      <c r="T944" s="2">
        <v>1</v>
      </c>
      <c r="U944" s="2" t="s">
        <v>141</v>
      </c>
      <c r="Y944" s="2">
        <v>1700</v>
      </c>
      <c r="Z944" s="11" t="s">
        <v>54</v>
      </c>
      <c r="AA944" s="11" t="str">
        <f t="shared" si="61"/>
        <v>1700 - TBN</v>
      </c>
      <c r="AC944" s="2" t="s">
        <v>145</v>
      </c>
      <c r="AD944" s="11" t="str">
        <f>IF($I944&lt;&gt;"",VLOOKUP($AC944,GEADRESSEERDE!$A$2:$E$4,2,),"")</f>
        <v>LUITHAGEN HAVEN 2 D</v>
      </c>
      <c r="AE944" s="11">
        <f>IF($I944&lt;&gt;"",VLOOKUP($AC944,GEADRESSEERDE!$A$2:$E$4,3,),"")</f>
        <v>2030</v>
      </c>
      <c r="AF944" s="11" t="str">
        <f>IF($I944&lt;&gt;"",VLOOKUP($AC944,GEADRESSEERDE!$A$2:$E$4,4,),"")</f>
        <v>ANTWERPEN</v>
      </c>
      <c r="AG944" s="11" t="str">
        <f>IF($I944&lt;&gt;"",VLOOKUP($AC944,GEADRESSEERDE!$A$2:$E$4,5,),"")</f>
        <v>BE</v>
      </c>
      <c r="AH944" s="11" t="str">
        <f>IF(I944&lt;&gt;"",VLOOKUP(AP944,KvB!$A$2:$B$3,2,FALSE),"")</f>
        <v>BE101000</v>
      </c>
      <c r="AI944" s="11" t="s">
        <v>55</v>
      </c>
      <c r="AJ944" s="11"/>
      <c r="AK944" s="11"/>
      <c r="AL944" s="11"/>
      <c r="AM944" s="11"/>
      <c r="AN944" s="11"/>
      <c r="AO944" s="11"/>
      <c r="AP944" s="2" t="s">
        <v>70</v>
      </c>
      <c r="AQ944" s="11" t="str">
        <f>IF(I944&lt;&gt;"",DATA!D943,"")</f>
        <v>8543709099</v>
      </c>
    </row>
    <row r="945" spans="1:43" ht="15.75" x14ac:dyDescent="0.25">
      <c r="A945" s="11" t="s">
        <v>57</v>
      </c>
      <c r="B945" s="11" t="s">
        <v>56</v>
      </c>
      <c r="C945" s="22">
        <f t="shared" si="62"/>
        <v>25001620</v>
      </c>
      <c r="D945" s="11" t="str">
        <f t="shared" si="59"/>
        <v>SKIIFM_AT</v>
      </c>
      <c r="E945" s="11" t="str">
        <f>IF(I945&lt;&gt;"",VLOOKUP(F945,OPDRACHTGEVER!$A$2:$B$4,2,FALSE),"")</f>
        <v>SKIIFM_AT</v>
      </c>
      <c r="F945" s="11" t="s">
        <v>58</v>
      </c>
      <c r="I945" s="11" t="str">
        <f>IF(DATA!B944&lt;&gt;"",DATA!B944,"")</f>
        <v>FSCU7996366</v>
      </c>
      <c r="J945" s="12">
        <v>0</v>
      </c>
      <c r="K945" s="11" t="s">
        <v>53</v>
      </c>
      <c r="L945" s="11" t="str">
        <f t="shared" si="60"/>
        <v>840999</v>
      </c>
      <c r="M945" s="11" t="str">
        <f>IF(I945&lt;&gt;"",DATA!E944,"")</f>
        <v>MOTORCYCLE BRACKET</v>
      </c>
      <c r="N945" s="12">
        <v>0</v>
      </c>
      <c r="O945" s="11">
        <f>IF(I945&lt;&gt;"",DATA!C944,"")</f>
        <v>81.2</v>
      </c>
      <c r="P945" s="2">
        <v>294094</v>
      </c>
      <c r="Q945" s="2" t="s">
        <v>1304</v>
      </c>
      <c r="R945" s="2" t="s">
        <v>1324</v>
      </c>
      <c r="S945" s="2">
        <v>209</v>
      </c>
      <c r="T945" s="2">
        <v>1</v>
      </c>
      <c r="U945" s="2" t="s">
        <v>141</v>
      </c>
      <c r="Y945" s="2">
        <v>1700</v>
      </c>
      <c r="Z945" s="11" t="s">
        <v>54</v>
      </c>
      <c r="AA945" s="11" t="str">
        <f t="shared" si="61"/>
        <v>1700 - TBN</v>
      </c>
      <c r="AC945" s="2" t="s">
        <v>145</v>
      </c>
      <c r="AD945" s="11" t="str">
        <f>IF($I945&lt;&gt;"",VLOOKUP($AC945,GEADRESSEERDE!$A$2:$E$4,2,),"")</f>
        <v>LUITHAGEN HAVEN 2 D</v>
      </c>
      <c r="AE945" s="11">
        <f>IF($I945&lt;&gt;"",VLOOKUP($AC945,GEADRESSEERDE!$A$2:$E$4,3,),"")</f>
        <v>2030</v>
      </c>
      <c r="AF945" s="11" t="str">
        <f>IF($I945&lt;&gt;"",VLOOKUP($AC945,GEADRESSEERDE!$A$2:$E$4,4,),"")</f>
        <v>ANTWERPEN</v>
      </c>
      <c r="AG945" s="11" t="str">
        <f>IF($I945&lt;&gt;"",VLOOKUP($AC945,GEADRESSEERDE!$A$2:$E$4,5,),"")</f>
        <v>BE</v>
      </c>
      <c r="AH945" s="11" t="str">
        <f>IF(I945&lt;&gt;"",VLOOKUP(AP945,KvB!$A$2:$B$3,2,FALSE),"")</f>
        <v>BE101000</v>
      </c>
      <c r="AI945" s="11" t="s">
        <v>55</v>
      </c>
      <c r="AJ945" s="11"/>
      <c r="AK945" s="11"/>
      <c r="AL945" s="11"/>
      <c r="AM945" s="11"/>
      <c r="AN945" s="11"/>
      <c r="AO945" s="11"/>
      <c r="AP945" s="2" t="s">
        <v>70</v>
      </c>
      <c r="AQ945" s="11" t="str">
        <f>IF(I945&lt;&gt;"",DATA!D944,"")</f>
        <v>8409990090</v>
      </c>
    </row>
    <row r="946" spans="1:43" ht="15.75" x14ac:dyDescent="0.25">
      <c r="A946" s="11" t="s">
        <v>57</v>
      </c>
      <c r="B946" s="11" t="s">
        <v>56</v>
      </c>
      <c r="C946" s="22">
        <f t="shared" si="62"/>
        <v>25001620</v>
      </c>
      <c r="D946" s="11" t="str">
        <f t="shared" si="59"/>
        <v>SKIIFM_AT</v>
      </c>
      <c r="E946" s="11" t="str">
        <f>IF(I946&lt;&gt;"",VLOOKUP(F946,OPDRACHTGEVER!$A$2:$B$4,2,FALSE),"")</f>
        <v>SKIIFM_AT</v>
      </c>
      <c r="F946" s="11" t="s">
        <v>58</v>
      </c>
      <c r="I946" s="11" t="str">
        <f>IF(DATA!B945&lt;&gt;"",DATA!B945,"")</f>
        <v>FSCU7996366</v>
      </c>
      <c r="J946" s="12">
        <v>0</v>
      </c>
      <c r="K946" s="11" t="s">
        <v>53</v>
      </c>
      <c r="L946" s="11" t="str">
        <f t="shared" si="60"/>
        <v>961700</v>
      </c>
      <c r="M946" s="11" t="str">
        <f>IF(I946&lt;&gt;"",DATA!E945,"")</f>
        <v>MUG HEAT PRESS ACCESSORIES</v>
      </c>
      <c r="N946" s="12">
        <v>0</v>
      </c>
      <c r="O946" s="11">
        <f>IF(I946&lt;&gt;"",DATA!C945,"")</f>
        <v>159.80000000000001</v>
      </c>
      <c r="P946" s="2">
        <v>294094</v>
      </c>
      <c r="Q946" s="2" t="s">
        <v>1304</v>
      </c>
      <c r="R946" s="2" t="s">
        <v>1324</v>
      </c>
      <c r="S946" s="2">
        <v>209</v>
      </c>
      <c r="T946" s="2">
        <v>1</v>
      </c>
      <c r="U946" s="2" t="s">
        <v>141</v>
      </c>
      <c r="Y946" s="2">
        <v>1700</v>
      </c>
      <c r="Z946" s="11" t="s">
        <v>54</v>
      </c>
      <c r="AA946" s="11" t="str">
        <f t="shared" si="61"/>
        <v>1700 - TBN</v>
      </c>
      <c r="AC946" s="2" t="s">
        <v>145</v>
      </c>
      <c r="AD946" s="11" t="str">
        <f>IF($I946&lt;&gt;"",VLOOKUP($AC946,GEADRESSEERDE!$A$2:$E$4,2,),"")</f>
        <v>LUITHAGEN HAVEN 2 D</v>
      </c>
      <c r="AE946" s="11">
        <f>IF($I946&lt;&gt;"",VLOOKUP($AC946,GEADRESSEERDE!$A$2:$E$4,3,),"")</f>
        <v>2030</v>
      </c>
      <c r="AF946" s="11" t="str">
        <f>IF($I946&lt;&gt;"",VLOOKUP($AC946,GEADRESSEERDE!$A$2:$E$4,4,),"")</f>
        <v>ANTWERPEN</v>
      </c>
      <c r="AG946" s="11" t="str">
        <f>IF($I946&lt;&gt;"",VLOOKUP($AC946,GEADRESSEERDE!$A$2:$E$4,5,),"")</f>
        <v>BE</v>
      </c>
      <c r="AH946" s="11" t="str">
        <f>IF(I946&lt;&gt;"",VLOOKUP(AP946,KvB!$A$2:$B$3,2,FALSE),"")</f>
        <v>BE101000</v>
      </c>
      <c r="AI946" s="11" t="s">
        <v>55</v>
      </c>
      <c r="AJ946" s="11"/>
      <c r="AK946" s="11"/>
      <c r="AL946" s="11"/>
      <c r="AM946" s="11"/>
      <c r="AN946" s="11"/>
      <c r="AO946" s="11"/>
      <c r="AP946" s="2" t="s">
        <v>70</v>
      </c>
      <c r="AQ946" s="11" t="str">
        <f>IF(I946&lt;&gt;"",DATA!D945,"")</f>
        <v>9617000000</v>
      </c>
    </row>
    <row r="947" spans="1:43" ht="15.75" x14ac:dyDescent="0.25">
      <c r="A947" s="11" t="s">
        <v>57</v>
      </c>
      <c r="B947" s="11" t="s">
        <v>56</v>
      </c>
      <c r="C947" s="22">
        <f t="shared" si="62"/>
        <v>25001620</v>
      </c>
      <c r="D947" s="11" t="str">
        <f t="shared" si="59"/>
        <v>SKIIFM_AT</v>
      </c>
      <c r="E947" s="11" t="str">
        <f>IF(I947&lt;&gt;"",VLOOKUP(F947,OPDRACHTGEVER!$A$2:$B$4,2,FALSE),"")</f>
        <v>SKIIFM_AT</v>
      </c>
      <c r="F947" s="11" t="s">
        <v>58</v>
      </c>
      <c r="I947" s="11" t="str">
        <f>IF(DATA!B946&lt;&gt;"",DATA!B946,"")</f>
        <v>FSCU7996366</v>
      </c>
      <c r="J947" s="12">
        <v>0</v>
      </c>
      <c r="K947" s="11" t="s">
        <v>53</v>
      </c>
      <c r="L947" s="11" t="str">
        <f t="shared" si="60"/>
        <v>741920</v>
      </c>
      <c r="M947" s="11" t="str">
        <f>IF(I947&lt;&gt;"",DATA!E946,"")</f>
        <v>NICHE</v>
      </c>
      <c r="N947" s="12">
        <v>0</v>
      </c>
      <c r="O947" s="11">
        <f>IF(I947&lt;&gt;"",DATA!C946,"")</f>
        <v>67.5</v>
      </c>
      <c r="P947" s="2">
        <v>294094</v>
      </c>
      <c r="Q947" s="2" t="s">
        <v>1304</v>
      </c>
      <c r="R947" s="2" t="s">
        <v>1324</v>
      </c>
      <c r="S947" s="2">
        <v>209</v>
      </c>
      <c r="T947" s="2">
        <v>1</v>
      </c>
      <c r="U947" s="2" t="s">
        <v>141</v>
      </c>
      <c r="Y947" s="2">
        <v>1700</v>
      </c>
      <c r="Z947" s="11" t="s">
        <v>54</v>
      </c>
      <c r="AA947" s="11" t="str">
        <f t="shared" si="61"/>
        <v>1700 - TBN</v>
      </c>
      <c r="AC947" s="2" t="s">
        <v>145</v>
      </c>
      <c r="AD947" s="11" t="str">
        <f>IF($I947&lt;&gt;"",VLOOKUP($AC947,GEADRESSEERDE!$A$2:$E$4,2,),"")</f>
        <v>LUITHAGEN HAVEN 2 D</v>
      </c>
      <c r="AE947" s="11">
        <f>IF($I947&lt;&gt;"",VLOOKUP($AC947,GEADRESSEERDE!$A$2:$E$4,3,),"")</f>
        <v>2030</v>
      </c>
      <c r="AF947" s="11" t="str">
        <f>IF($I947&lt;&gt;"",VLOOKUP($AC947,GEADRESSEERDE!$A$2:$E$4,4,),"")</f>
        <v>ANTWERPEN</v>
      </c>
      <c r="AG947" s="11" t="str">
        <f>IF($I947&lt;&gt;"",VLOOKUP($AC947,GEADRESSEERDE!$A$2:$E$4,5,),"")</f>
        <v>BE</v>
      </c>
      <c r="AH947" s="11" t="str">
        <f>IF(I947&lt;&gt;"",VLOOKUP(AP947,KvB!$A$2:$B$3,2,FALSE),"")</f>
        <v>BE101000</v>
      </c>
      <c r="AI947" s="11" t="s">
        <v>55</v>
      </c>
      <c r="AJ947" s="11"/>
      <c r="AK947" s="11"/>
      <c r="AL947" s="11"/>
      <c r="AM947" s="11"/>
      <c r="AN947" s="11"/>
      <c r="AO947" s="11"/>
      <c r="AP947" s="2" t="s">
        <v>70</v>
      </c>
      <c r="AQ947" s="11" t="str">
        <f>IF(I947&lt;&gt;"",DATA!D946,"")</f>
        <v>7419200090</v>
      </c>
    </row>
    <row r="948" spans="1:43" ht="15.75" x14ac:dyDescent="0.25">
      <c r="A948" s="11" t="s">
        <v>57</v>
      </c>
      <c r="B948" s="11" t="s">
        <v>56</v>
      </c>
      <c r="C948" s="22">
        <f t="shared" si="62"/>
        <v>25001620</v>
      </c>
      <c r="D948" s="11" t="str">
        <f t="shared" ref="D948:D1011" si="63">E948</f>
        <v>SKIIFM_AT</v>
      </c>
      <c r="E948" s="11" t="str">
        <f>IF(I948&lt;&gt;"",VLOOKUP(F948,OPDRACHTGEVER!$A$2:$B$4,2,FALSE),"")</f>
        <v>SKIIFM_AT</v>
      </c>
      <c r="F948" s="11" t="s">
        <v>58</v>
      </c>
      <c r="I948" s="11" t="str">
        <f>IF(DATA!B947&lt;&gt;"",DATA!B947,"")</f>
        <v>FSCU7996366</v>
      </c>
      <c r="J948" s="12">
        <v>0</v>
      </c>
      <c r="K948" s="11" t="s">
        <v>53</v>
      </c>
      <c r="L948" s="11" t="str">
        <f t="shared" ref="L948:L1011" si="64">LEFT(AQ948,6)</f>
        <v>841311</v>
      </c>
      <c r="M948" s="11" t="str">
        <f>IF(I948&lt;&gt;"",DATA!E947,"")</f>
        <v>OIL PUMP</v>
      </c>
      <c r="N948" s="12">
        <v>0</v>
      </c>
      <c r="O948" s="11">
        <f>IF(I948&lt;&gt;"",DATA!C947,"")</f>
        <v>427.35</v>
      </c>
      <c r="P948" s="2">
        <v>294094</v>
      </c>
      <c r="Q948" s="2" t="s">
        <v>1304</v>
      </c>
      <c r="R948" s="2" t="s">
        <v>1324</v>
      </c>
      <c r="S948" s="2">
        <v>209</v>
      </c>
      <c r="T948" s="2">
        <v>1</v>
      </c>
      <c r="U948" s="2" t="s">
        <v>141</v>
      </c>
      <c r="Y948" s="2">
        <v>1700</v>
      </c>
      <c r="Z948" s="11" t="s">
        <v>54</v>
      </c>
      <c r="AA948" s="11" t="str">
        <f t="shared" ref="AA948:AA1011" si="65">IF(I948&lt;&gt;"",Y948&amp;" - "&amp;Z948,"")</f>
        <v>1700 - TBN</v>
      </c>
      <c r="AC948" s="2" t="s">
        <v>145</v>
      </c>
      <c r="AD948" s="11" t="str">
        <f>IF($I948&lt;&gt;"",VLOOKUP($AC948,GEADRESSEERDE!$A$2:$E$4,2,),"")</f>
        <v>LUITHAGEN HAVEN 2 D</v>
      </c>
      <c r="AE948" s="11">
        <f>IF($I948&lt;&gt;"",VLOOKUP($AC948,GEADRESSEERDE!$A$2:$E$4,3,),"")</f>
        <v>2030</v>
      </c>
      <c r="AF948" s="11" t="str">
        <f>IF($I948&lt;&gt;"",VLOOKUP($AC948,GEADRESSEERDE!$A$2:$E$4,4,),"")</f>
        <v>ANTWERPEN</v>
      </c>
      <c r="AG948" s="11" t="str">
        <f>IF($I948&lt;&gt;"",VLOOKUP($AC948,GEADRESSEERDE!$A$2:$E$4,5,),"")</f>
        <v>BE</v>
      </c>
      <c r="AH948" s="11" t="str">
        <f>IF(I948&lt;&gt;"",VLOOKUP(AP948,KvB!$A$2:$B$3,2,FALSE),"")</f>
        <v>BE101000</v>
      </c>
      <c r="AI948" s="11" t="s">
        <v>55</v>
      </c>
      <c r="AJ948" s="11"/>
      <c r="AK948" s="11"/>
      <c r="AL948" s="11"/>
      <c r="AM948" s="11"/>
      <c r="AN948" s="11"/>
      <c r="AO948" s="11"/>
      <c r="AP948" s="2" t="s">
        <v>70</v>
      </c>
      <c r="AQ948" s="11" t="str">
        <f>IF(I948&lt;&gt;"",DATA!D947,"")</f>
        <v>8413110000</v>
      </c>
    </row>
    <row r="949" spans="1:43" ht="15.75" x14ac:dyDescent="0.25">
      <c r="A949" s="11" t="s">
        <v>57</v>
      </c>
      <c r="B949" s="11" t="s">
        <v>56</v>
      </c>
      <c r="C949" s="22">
        <f t="shared" si="62"/>
        <v>25001620</v>
      </c>
      <c r="D949" s="11" t="str">
        <f t="shared" si="63"/>
        <v>SKIIFM_AT</v>
      </c>
      <c r="E949" s="11" t="str">
        <f>IF(I949&lt;&gt;"",VLOOKUP(F949,OPDRACHTGEVER!$A$2:$B$4,2,FALSE),"")</f>
        <v>SKIIFM_AT</v>
      </c>
      <c r="F949" s="11" t="s">
        <v>58</v>
      </c>
      <c r="I949" s="11" t="str">
        <f>IF(DATA!B948&lt;&gt;"",DATA!B948,"")</f>
        <v>FSCU7996366</v>
      </c>
      <c r="J949" s="12">
        <v>0</v>
      </c>
      <c r="K949" s="11" t="s">
        <v>53</v>
      </c>
      <c r="L949" s="11" t="str">
        <f t="shared" si="64"/>
        <v>851821</v>
      </c>
      <c r="M949" s="11" t="str">
        <f>IF(I949&lt;&gt;"",DATA!E948,"")</f>
        <v>ON-BOARD LOUDSPEAKER</v>
      </c>
      <c r="N949" s="12">
        <v>0</v>
      </c>
      <c r="O949" s="11">
        <f>IF(I949&lt;&gt;"",DATA!C948,"")</f>
        <v>21</v>
      </c>
      <c r="P949" s="2">
        <v>294094</v>
      </c>
      <c r="Q949" s="2" t="s">
        <v>1304</v>
      </c>
      <c r="R949" s="2" t="s">
        <v>1324</v>
      </c>
      <c r="S949" s="2">
        <v>209</v>
      </c>
      <c r="T949" s="2">
        <v>1</v>
      </c>
      <c r="U949" s="2" t="s">
        <v>141</v>
      </c>
      <c r="Y949" s="2">
        <v>1700</v>
      </c>
      <c r="Z949" s="11" t="s">
        <v>54</v>
      </c>
      <c r="AA949" s="11" t="str">
        <f t="shared" si="65"/>
        <v>1700 - TBN</v>
      </c>
      <c r="AC949" s="2" t="s">
        <v>145</v>
      </c>
      <c r="AD949" s="11" t="str">
        <f>IF($I949&lt;&gt;"",VLOOKUP($AC949,GEADRESSEERDE!$A$2:$E$4,2,),"")</f>
        <v>LUITHAGEN HAVEN 2 D</v>
      </c>
      <c r="AE949" s="11">
        <f>IF($I949&lt;&gt;"",VLOOKUP($AC949,GEADRESSEERDE!$A$2:$E$4,3,),"")</f>
        <v>2030</v>
      </c>
      <c r="AF949" s="11" t="str">
        <f>IF($I949&lt;&gt;"",VLOOKUP($AC949,GEADRESSEERDE!$A$2:$E$4,4,),"")</f>
        <v>ANTWERPEN</v>
      </c>
      <c r="AG949" s="11" t="str">
        <f>IF($I949&lt;&gt;"",VLOOKUP($AC949,GEADRESSEERDE!$A$2:$E$4,5,),"")</f>
        <v>BE</v>
      </c>
      <c r="AH949" s="11" t="str">
        <f>IF(I949&lt;&gt;"",VLOOKUP(AP949,KvB!$A$2:$B$3,2,FALSE),"")</f>
        <v>BE101000</v>
      </c>
      <c r="AI949" s="11" t="s">
        <v>55</v>
      </c>
      <c r="AJ949" s="11"/>
      <c r="AK949" s="11"/>
      <c r="AL949" s="11"/>
      <c r="AM949" s="11"/>
      <c r="AN949" s="11"/>
      <c r="AO949" s="11"/>
      <c r="AP949" s="2" t="s">
        <v>70</v>
      </c>
      <c r="AQ949" s="11" t="str">
        <f>IF(I949&lt;&gt;"",DATA!D948,"")</f>
        <v>8518210000</v>
      </c>
    </row>
    <row r="950" spans="1:43" ht="15.75" x14ac:dyDescent="0.25">
      <c r="A950" s="11" t="s">
        <v>57</v>
      </c>
      <c r="B950" s="11" t="s">
        <v>56</v>
      </c>
      <c r="C950" s="22">
        <f t="shared" si="62"/>
        <v>25001620</v>
      </c>
      <c r="D950" s="11" t="str">
        <f t="shared" si="63"/>
        <v>SKIIFM_AT</v>
      </c>
      <c r="E950" s="11" t="str">
        <f>IF(I950&lt;&gt;"",VLOOKUP(F950,OPDRACHTGEVER!$A$2:$B$4,2,FALSE),"")</f>
        <v>SKIIFM_AT</v>
      </c>
      <c r="F950" s="11" t="s">
        <v>58</v>
      </c>
      <c r="I950" s="11" t="str">
        <f>IF(DATA!B949&lt;&gt;"",DATA!B949,"")</f>
        <v>FSCU7996366</v>
      </c>
      <c r="J950" s="12">
        <v>0</v>
      </c>
      <c r="K950" s="11" t="s">
        <v>53</v>
      </c>
      <c r="L950" s="11" t="str">
        <f t="shared" si="64"/>
        <v>940320</v>
      </c>
      <c r="M950" s="11" t="str">
        <f>IF(I950&lt;&gt;"",DATA!E949,"")</f>
        <v>PARCEL BOX</v>
      </c>
      <c r="N950" s="12">
        <v>0</v>
      </c>
      <c r="O950" s="11">
        <f>IF(I950&lt;&gt;"",DATA!C949,"")</f>
        <v>83.5</v>
      </c>
      <c r="P950" s="2">
        <v>294094</v>
      </c>
      <c r="Q950" s="2" t="s">
        <v>1304</v>
      </c>
      <c r="R950" s="2" t="s">
        <v>1324</v>
      </c>
      <c r="S950" s="2">
        <v>209</v>
      </c>
      <c r="T950" s="2">
        <v>1</v>
      </c>
      <c r="U950" s="2" t="s">
        <v>141</v>
      </c>
      <c r="Y950" s="2">
        <v>1700</v>
      </c>
      <c r="Z950" s="11" t="s">
        <v>54</v>
      </c>
      <c r="AA950" s="11" t="str">
        <f t="shared" si="65"/>
        <v>1700 - TBN</v>
      </c>
      <c r="AC950" s="2" t="s">
        <v>145</v>
      </c>
      <c r="AD950" s="11" t="str">
        <f>IF($I950&lt;&gt;"",VLOOKUP($AC950,GEADRESSEERDE!$A$2:$E$4,2,),"")</f>
        <v>LUITHAGEN HAVEN 2 D</v>
      </c>
      <c r="AE950" s="11">
        <f>IF($I950&lt;&gt;"",VLOOKUP($AC950,GEADRESSEERDE!$A$2:$E$4,3,),"")</f>
        <v>2030</v>
      </c>
      <c r="AF950" s="11" t="str">
        <f>IF($I950&lt;&gt;"",VLOOKUP($AC950,GEADRESSEERDE!$A$2:$E$4,4,),"")</f>
        <v>ANTWERPEN</v>
      </c>
      <c r="AG950" s="11" t="str">
        <f>IF($I950&lt;&gt;"",VLOOKUP($AC950,GEADRESSEERDE!$A$2:$E$4,5,),"")</f>
        <v>BE</v>
      </c>
      <c r="AH950" s="11" t="str">
        <f>IF(I950&lt;&gt;"",VLOOKUP(AP950,KvB!$A$2:$B$3,2,FALSE),"")</f>
        <v>BE101000</v>
      </c>
      <c r="AI950" s="11" t="s">
        <v>55</v>
      </c>
      <c r="AJ950" s="11"/>
      <c r="AK950" s="11"/>
      <c r="AL950" s="11"/>
      <c r="AM950" s="11"/>
      <c r="AN950" s="11"/>
      <c r="AO950" s="11"/>
      <c r="AP950" s="2" t="s">
        <v>70</v>
      </c>
      <c r="AQ950" s="11" t="str">
        <f>IF(I950&lt;&gt;"",DATA!D949,"")</f>
        <v>9403208000</v>
      </c>
    </row>
    <row r="951" spans="1:43" ht="15.75" x14ac:dyDescent="0.25">
      <c r="A951" s="11" t="s">
        <v>57</v>
      </c>
      <c r="B951" s="11" t="s">
        <v>56</v>
      </c>
      <c r="C951" s="22">
        <f t="shared" si="62"/>
        <v>25001620</v>
      </c>
      <c r="D951" s="11" t="str">
        <f t="shared" si="63"/>
        <v>SKIIFM_AT</v>
      </c>
      <c r="E951" s="11" t="str">
        <f>IF(I951&lt;&gt;"",VLOOKUP(F951,OPDRACHTGEVER!$A$2:$B$4,2,FALSE),"")</f>
        <v>SKIIFM_AT</v>
      </c>
      <c r="F951" s="11" t="s">
        <v>58</v>
      </c>
      <c r="I951" s="11" t="str">
        <f>IF(DATA!B950&lt;&gt;"",DATA!B950,"")</f>
        <v>FSCU7996366</v>
      </c>
      <c r="J951" s="12">
        <v>0</v>
      </c>
      <c r="K951" s="11" t="s">
        <v>53</v>
      </c>
      <c r="L951" s="11" t="str">
        <f t="shared" si="64"/>
        <v>392590</v>
      </c>
      <c r="M951" s="11" t="str">
        <f>IF(I951&lt;&gt;"",DATA!E950,"")</f>
        <v>PLASTIC FLOWER POT</v>
      </c>
      <c r="N951" s="12">
        <v>0</v>
      </c>
      <c r="O951" s="11">
        <f>IF(I951&lt;&gt;"",DATA!C950,"")</f>
        <v>33.35</v>
      </c>
      <c r="P951" s="2">
        <v>294094</v>
      </c>
      <c r="Q951" s="2" t="s">
        <v>1304</v>
      </c>
      <c r="R951" s="2" t="s">
        <v>1324</v>
      </c>
      <c r="S951" s="2">
        <v>209</v>
      </c>
      <c r="T951" s="2">
        <v>1</v>
      </c>
      <c r="U951" s="2" t="s">
        <v>141</v>
      </c>
      <c r="Y951" s="2">
        <v>1700</v>
      </c>
      <c r="Z951" s="11" t="s">
        <v>54</v>
      </c>
      <c r="AA951" s="11" t="str">
        <f t="shared" si="65"/>
        <v>1700 - TBN</v>
      </c>
      <c r="AC951" s="2" t="s">
        <v>145</v>
      </c>
      <c r="AD951" s="11" t="str">
        <f>IF($I951&lt;&gt;"",VLOOKUP($AC951,GEADRESSEERDE!$A$2:$E$4,2,),"")</f>
        <v>LUITHAGEN HAVEN 2 D</v>
      </c>
      <c r="AE951" s="11">
        <f>IF($I951&lt;&gt;"",VLOOKUP($AC951,GEADRESSEERDE!$A$2:$E$4,3,),"")</f>
        <v>2030</v>
      </c>
      <c r="AF951" s="11" t="str">
        <f>IF($I951&lt;&gt;"",VLOOKUP($AC951,GEADRESSEERDE!$A$2:$E$4,4,),"")</f>
        <v>ANTWERPEN</v>
      </c>
      <c r="AG951" s="11" t="str">
        <f>IF($I951&lt;&gt;"",VLOOKUP($AC951,GEADRESSEERDE!$A$2:$E$4,5,),"")</f>
        <v>BE</v>
      </c>
      <c r="AH951" s="11" t="str">
        <f>IF(I951&lt;&gt;"",VLOOKUP(AP951,KvB!$A$2:$B$3,2,FALSE),"")</f>
        <v>BE101000</v>
      </c>
      <c r="AI951" s="11" t="s">
        <v>55</v>
      </c>
      <c r="AJ951" s="11"/>
      <c r="AK951" s="11"/>
      <c r="AL951" s="11"/>
      <c r="AM951" s="11"/>
      <c r="AN951" s="11"/>
      <c r="AO951" s="11"/>
      <c r="AP951" s="2" t="s">
        <v>70</v>
      </c>
      <c r="AQ951" s="11" t="str">
        <f>IF(I951&lt;&gt;"",DATA!D950,"")</f>
        <v>3925908000</v>
      </c>
    </row>
    <row r="952" spans="1:43" ht="15.75" x14ac:dyDescent="0.25">
      <c r="A952" s="11" t="s">
        <v>57</v>
      </c>
      <c r="B952" s="11" t="s">
        <v>56</v>
      </c>
      <c r="C952" s="22">
        <f t="shared" si="62"/>
        <v>25001620</v>
      </c>
      <c r="D952" s="11" t="str">
        <f t="shared" si="63"/>
        <v>SKIIFM_AT</v>
      </c>
      <c r="E952" s="11" t="str">
        <f>IF(I952&lt;&gt;"",VLOOKUP(F952,OPDRACHTGEVER!$A$2:$B$4,2,FALSE),"")</f>
        <v>SKIIFM_AT</v>
      </c>
      <c r="F952" s="11" t="s">
        <v>58</v>
      </c>
      <c r="I952" s="11" t="str">
        <f>IF(DATA!B951&lt;&gt;"",DATA!B951,"")</f>
        <v>FSCU7996366</v>
      </c>
      <c r="J952" s="12">
        <v>0</v>
      </c>
      <c r="K952" s="11" t="s">
        <v>53</v>
      </c>
      <c r="L952" s="11" t="str">
        <f t="shared" si="64"/>
        <v>845150</v>
      </c>
      <c r="M952" s="11" t="str">
        <f>IF(I952&lt;&gt;"",DATA!E951,"")</f>
        <v>RAG CUTTER</v>
      </c>
      <c r="N952" s="12">
        <v>0</v>
      </c>
      <c r="O952" s="11">
        <f>IF(I952&lt;&gt;"",DATA!C951,"")</f>
        <v>12.25</v>
      </c>
      <c r="P952" s="2">
        <v>294094</v>
      </c>
      <c r="Q952" s="2" t="s">
        <v>1304</v>
      </c>
      <c r="R952" s="2" t="s">
        <v>1324</v>
      </c>
      <c r="S952" s="2">
        <v>209</v>
      </c>
      <c r="T952" s="2">
        <v>1</v>
      </c>
      <c r="U952" s="2" t="s">
        <v>141</v>
      </c>
      <c r="Y952" s="2">
        <v>1700</v>
      </c>
      <c r="Z952" s="11" t="s">
        <v>54</v>
      </c>
      <c r="AA952" s="11" t="str">
        <f t="shared" si="65"/>
        <v>1700 - TBN</v>
      </c>
      <c r="AC952" s="2" t="s">
        <v>145</v>
      </c>
      <c r="AD952" s="11" t="str">
        <f>IF($I952&lt;&gt;"",VLOOKUP($AC952,GEADRESSEERDE!$A$2:$E$4,2,),"")</f>
        <v>LUITHAGEN HAVEN 2 D</v>
      </c>
      <c r="AE952" s="11">
        <f>IF($I952&lt;&gt;"",VLOOKUP($AC952,GEADRESSEERDE!$A$2:$E$4,3,),"")</f>
        <v>2030</v>
      </c>
      <c r="AF952" s="11" t="str">
        <f>IF($I952&lt;&gt;"",VLOOKUP($AC952,GEADRESSEERDE!$A$2:$E$4,4,),"")</f>
        <v>ANTWERPEN</v>
      </c>
      <c r="AG952" s="11" t="str">
        <f>IF($I952&lt;&gt;"",VLOOKUP($AC952,GEADRESSEERDE!$A$2:$E$4,5,),"")</f>
        <v>BE</v>
      </c>
      <c r="AH952" s="11" t="str">
        <f>IF(I952&lt;&gt;"",VLOOKUP(AP952,KvB!$A$2:$B$3,2,FALSE),"")</f>
        <v>BE101000</v>
      </c>
      <c r="AI952" s="11" t="s">
        <v>55</v>
      </c>
      <c r="AJ952" s="11"/>
      <c r="AK952" s="11"/>
      <c r="AL952" s="11"/>
      <c r="AM952" s="11"/>
      <c r="AN952" s="11"/>
      <c r="AO952" s="11"/>
      <c r="AP952" s="2" t="s">
        <v>70</v>
      </c>
      <c r="AQ952" s="11" t="str">
        <f>IF(I952&lt;&gt;"",DATA!D951,"")</f>
        <v>8451500000</v>
      </c>
    </row>
    <row r="953" spans="1:43" ht="15.75" x14ac:dyDescent="0.25">
      <c r="A953" s="11" t="s">
        <v>57</v>
      </c>
      <c r="B953" s="11" t="s">
        <v>56</v>
      </c>
      <c r="C953" s="22">
        <f t="shared" si="62"/>
        <v>25001620</v>
      </c>
      <c r="D953" s="11" t="str">
        <f t="shared" si="63"/>
        <v>SKIIFM_AT</v>
      </c>
      <c r="E953" s="11" t="str">
        <f>IF(I953&lt;&gt;"",VLOOKUP(F953,OPDRACHTGEVER!$A$2:$B$4,2,FALSE),"")</f>
        <v>SKIIFM_AT</v>
      </c>
      <c r="F953" s="11" t="s">
        <v>58</v>
      </c>
      <c r="I953" s="11" t="str">
        <f>IF(DATA!B952&lt;&gt;"",DATA!B952,"")</f>
        <v>FSCU7996366</v>
      </c>
      <c r="J953" s="12">
        <v>0</v>
      </c>
      <c r="K953" s="11" t="s">
        <v>53</v>
      </c>
      <c r="L953" s="11" t="str">
        <f t="shared" si="64"/>
        <v>902620</v>
      </c>
      <c r="M953" s="11" t="str">
        <f>IF(I953&lt;&gt;"",DATA!E952,"")</f>
        <v>REFRIGERANT METER</v>
      </c>
      <c r="N953" s="12">
        <v>0</v>
      </c>
      <c r="O953" s="11">
        <f>IF(I953&lt;&gt;"",DATA!C952,"")</f>
        <v>70.400000000000006</v>
      </c>
      <c r="P953" s="2">
        <v>294094</v>
      </c>
      <c r="Q953" s="2" t="s">
        <v>1304</v>
      </c>
      <c r="R953" s="2" t="s">
        <v>1324</v>
      </c>
      <c r="S953" s="2">
        <v>209</v>
      </c>
      <c r="T953" s="2">
        <v>1</v>
      </c>
      <c r="U953" s="2" t="s">
        <v>141</v>
      </c>
      <c r="Y953" s="2">
        <v>1700</v>
      </c>
      <c r="Z953" s="11" t="s">
        <v>54</v>
      </c>
      <c r="AA953" s="11" t="str">
        <f t="shared" si="65"/>
        <v>1700 - TBN</v>
      </c>
      <c r="AC953" s="2" t="s">
        <v>145</v>
      </c>
      <c r="AD953" s="11" t="str">
        <f>IF($I953&lt;&gt;"",VLOOKUP($AC953,GEADRESSEERDE!$A$2:$E$4,2,),"")</f>
        <v>LUITHAGEN HAVEN 2 D</v>
      </c>
      <c r="AE953" s="11">
        <f>IF($I953&lt;&gt;"",VLOOKUP($AC953,GEADRESSEERDE!$A$2:$E$4,3,),"")</f>
        <v>2030</v>
      </c>
      <c r="AF953" s="11" t="str">
        <f>IF($I953&lt;&gt;"",VLOOKUP($AC953,GEADRESSEERDE!$A$2:$E$4,4,),"")</f>
        <v>ANTWERPEN</v>
      </c>
      <c r="AG953" s="11" t="str">
        <f>IF($I953&lt;&gt;"",VLOOKUP($AC953,GEADRESSEERDE!$A$2:$E$4,5,),"")</f>
        <v>BE</v>
      </c>
      <c r="AH953" s="11" t="str">
        <f>IF(I953&lt;&gt;"",VLOOKUP(AP953,KvB!$A$2:$B$3,2,FALSE),"")</f>
        <v>BE101000</v>
      </c>
      <c r="AI953" s="11" t="s">
        <v>55</v>
      </c>
      <c r="AJ953" s="11"/>
      <c r="AK953" s="11"/>
      <c r="AL953" s="11"/>
      <c r="AM953" s="11"/>
      <c r="AN953" s="11"/>
      <c r="AO953" s="11"/>
      <c r="AP953" s="2" t="s">
        <v>70</v>
      </c>
      <c r="AQ953" s="11" t="str">
        <f>IF(I953&lt;&gt;"",DATA!D952,"")</f>
        <v>9026208000</v>
      </c>
    </row>
    <row r="954" spans="1:43" ht="15.75" x14ac:dyDescent="0.25">
      <c r="A954" s="11" t="s">
        <v>57</v>
      </c>
      <c r="B954" s="11" t="s">
        <v>56</v>
      </c>
      <c r="C954" s="22">
        <f t="shared" si="62"/>
        <v>25001620</v>
      </c>
      <c r="D954" s="11" t="str">
        <f t="shared" si="63"/>
        <v>SKIIFM_AT</v>
      </c>
      <c r="E954" s="11" t="str">
        <f>IF(I954&lt;&gt;"",VLOOKUP(F954,OPDRACHTGEVER!$A$2:$B$4,2,FALSE),"")</f>
        <v>SKIIFM_AT</v>
      </c>
      <c r="F954" s="11" t="s">
        <v>58</v>
      </c>
      <c r="I954" s="11" t="str">
        <f>IF(DATA!B953&lt;&gt;"",DATA!B953,"")</f>
        <v>FSCU7996366</v>
      </c>
      <c r="J954" s="12">
        <v>0</v>
      </c>
      <c r="K954" s="11" t="s">
        <v>53</v>
      </c>
      <c r="L954" s="11" t="str">
        <f t="shared" si="64"/>
        <v>902610</v>
      </c>
      <c r="M954" s="11" t="str">
        <f>IF(I954&lt;&gt;"",DATA!E953,"")</f>
        <v>REFRIGERANT SCALE</v>
      </c>
      <c r="N954" s="12">
        <v>0</v>
      </c>
      <c r="O954" s="11">
        <f>IF(I954&lt;&gt;"",DATA!C953,"")</f>
        <v>28.4</v>
      </c>
      <c r="P954" s="2">
        <v>294094</v>
      </c>
      <c r="Q954" s="2" t="s">
        <v>1304</v>
      </c>
      <c r="R954" s="2" t="s">
        <v>1324</v>
      </c>
      <c r="S954" s="2">
        <v>209</v>
      </c>
      <c r="T954" s="2">
        <v>1</v>
      </c>
      <c r="U954" s="2" t="s">
        <v>141</v>
      </c>
      <c r="Y954" s="2">
        <v>1700</v>
      </c>
      <c r="Z954" s="11" t="s">
        <v>54</v>
      </c>
      <c r="AA954" s="11" t="str">
        <f t="shared" si="65"/>
        <v>1700 - TBN</v>
      </c>
      <c r="AC954" s="2" t="s">
        <v>145</v>
      </c>
      <c r="AD954" s="11" t="str">
        <f>IF($I954&lt;&gt;"",VLOOKUP($AC954,GEADRESSEERDE!$A$2:$E$4,2,),"")</f>
        <v>LUITHAGEN HAVEN 2 D</v>
      </c>
      <c r="AE954" s="11">
        <f>IF($I954&lt;&gt;"",VLOOKUP($AC954,GEADRESSEERDE!$A$2:$E$4,3,),"")</f>
        <v>2030</v>
      </c>
      <c r="AF954" s="11" t="str">
        <f>IF($I954&lt;&gt;"",VLOOKUP($AC954,GEADRESSEERDE!$A$2:$E$4,4,),"")</f>
        <v>ANTWERPEN</v>
      </c>
      <c r="AG954" s="11" t="str">
        <f>IF($I954&lt;&gt;"",VLOOKUP($AC954,GEADRESSEERDE!$A$2:$E$4,5,),"")</f>
        <v>BE</v>
      </c>
      <c r="AH954" s="11" t="str">
        <f>IF(I954&lt;&gt;"",VLOOKUP(AP954,KvB!$A$2:$B$3,2,FALSE),"")</f>
        <v>BE101000</v>
      </c>
      <c r="AI954" s="11" t="s">
        <v>55</v>
      </c>
      <c r="AJ954" s="11"/>
      <c r="AK954" s="11"/>
      <c r="AL954" s="11"/>
      <c r="AM954" s="11"/>
      <c r="AN954" s="11"/>
      <c r="AO954" s="11"/>
      <c r="AP954" s="2" t="s">
        <v>70</v>
      </c>
      <c r="AQ954" s="11" t="str">
        <f>IF(I954&lt;&gt;"",DATA!D953,"")</f>
        <v>9026108900</v>
      </c>
    </row>
    <row r="955" spans="1:43" ht="15.75" x14ac:dyDescent="0.25">
      <c r="A955" s="11" t="s">
        <v>57</v>
      </c>
      <c r="B955" s="11" t="s">
        <v>56</v>
      </c>
      <c r="C955" s="22">
        <f t="shared" si="62"/>
        <v>25001620</v>
      </c>
      <c r="D955" s="11" t="str">
        <f t="shared" si="63"/>
        <v>SKIIFM_AT</v>
      </c>
      <c r="E955" s="11" t="str">
        <f>IF(I955&lt;&gt;"",VLOOKUP(F955,OPDRACHTGEVER!$A$2:$B$4,2,FALSE),"")</f>
        <v>SKIIFM_AT</v>
      </c>
      <c r="F955" s="11" t="s">
        <v>58</v>
      </c>
      <c r="I955" s="11" t="str">
        <f>IF(DATA!B954&lt;&gt;"",DATA!B954,"")</f>
        <v>FSCU7996366</v>
      </c>
      <c r="J955" s="12">
        <v>0</v>
      </c>
      <c r="K955" s="11" t="s">
        <v>53</v>
      </c>
      <c r="L955" s="11" t="str">
        <f t="shared" si="64"/>
        <v>940399</v>
      </c>
      <c r="M955" s="11" t="str">
        <f>IF(I955&lt;&gt;"",DATA!E954,"")</f>
        <v>REGULAR DRAWER</v>
      </c>
      <c r="N955" s="12">
        <v>0</v>
      </c>
      <c r="O955" s="11">
        <f>IF(I955&lt;&gt;"",DATA!C954,"")</f>
        <v>49.8</v>
      </c>
      <c r="P955" s="2">
        <v>294094</v>
      </c>
      <c r="Q955" s="2" t="s">
        <v>1304</v>
      </c>
      <c r="R955" s="2" t="s">
        <v>1324</v>
      </c>
      <c r="S955" s="2">
        <v>209</v>
      </c>
      <c r="T955" s="2">
        <v>1</v>
      </c>
      <c r="U955" s="2" t="s">
        <v>141</v>
      </c>
      <c r="Y955" s="2">
        <v>1700</v>
      </c>
      <c r="Z955" s="11" t="s">
        <v>54</v>
      </c>
      <c r="AA955" s="11" t="str">
        <f t="shared" si="65"/>
        <v>1700 - TBN</v>
      </c>
      <c r="AC955" s="2" t="s">
        <v>145</v>
      </c>
      <c r="AD955" s="11" t="str">
        <f>IF($I955&lt;&gt;"",VLOOKUP($AC955,GEADRESSEERDE!$A$2:$E$4,2,),"")</f>
        <v>LUITHAGEN HAVEN 2 D</v>
      </c>
      <c r="AE955" s="11">
        <f>IF($I955&lt;&gt;"",VLOOKUP($AC955,GEADRESSEERDE!$A$2:$E$4,3,),"")</f>
        <v>2030</v>
      </c>
      <c r="AF955" s="11" t="str">
        <f>IF($I955&lt;&gt;"",VLOOKUP($AC955,GEADRESSEERDE!$A$2:$E$4,4,),"")</f>
        <v>ANTWERPEN</v>
      </c>
      <c r="AG955" s="11" t="str">
        <f>IF($I955&lt;&gt;"",VLOOKUP($AC955,GEADRESSEERDE!$A$2:$E$4,5,),"")</f>
        <v>BE</v>
      </c>
      <c r="AH955" s="11" t="str">
        <f>IF(I955&lt;&gt;"",VLOOKUP(AP955,KvB!$A$2:$B$3,2,FALSE),"")</f>
        <v>BE101000</v>
      </c>
      <c r="AI955" s="11" t="s">
        <v>55</v>
      </c>
      <c r="AJ955" s="11"/>
      <c r="AK955" s="11"/>
      <c r="AL955" s="11"/>
      <c r="AM955" s="11"/>
      <c r="AN955" s="11"/>
      <c r="AO955" s="11"/>
      <c r="AP955" s="2" t="s">
        <v>70</v>
      </c>
      <c r="AQ955" s="11" t="str">
        <f>IF(I955&lt;&gt;"",DATA!D954,"")</f>
        <v>9403999090</v>
      </c>
    </row>
    <row r="956" spans="1:43" ht="15.75" x14ac:dyDescent="0.25">
      <c r="A956" s="11" t="s">
        <v>57</v>
      </c>
      <c r="B956" s="11" t="s">
        <v>56</v>
      </c>
      <c r="C956" s="22">
        <f t="shared" si="62"/>
        <v>25001620</v>
      </c>
      <c r="D956" s="11" t="str">
        <f t="shared" si="63"/>
        <v>SKIIFM_AT</v>
      </c>
      <c r="E956" s="11" t="str">
        <f>IF(I956&lt;&gt;"",VLOOKUP(F956,OPDRACHTGEVER!$A$2:$B$4,2,FALSE),"")</f>
        <v>SKIIFM_AT</v>
      </c>
      <c r="F956" s="11" t="s">
        <v>58</v>
      </c>
      <c r="I956" s="11" t="str">
        <f>IF(DATA!B955&lt;&gt;"",DATA!B955,"")</f>
        <v>FSCU7996366</v>
      </c>
      <c r="J956" s="12">
        <v>0</v>
      </c>
      <c r="K956" s="11" t="s">
        <v>53</v>
      </c>
      <c r="L956" s="11" t="str">
        <f t="shared" si="64"/>
        <v>741920</v>
      </c>
      <c r="M956" s="11" t="str">
        <f>IF(I956&lt;&gt;"",DATA!E955,"")</f>
        <v>RESTAURANT BRACKET</v>
      </c>
      <c r="N956" s="12">
        <v>0</v>
      </c>
      <c r="O956" s="11">
        <f>IF(I956&lt;&gt;"",DATA!C955,"")</f>
        <v>58</v>
      </c>
      <c r="P956" s="2">
        <v>294094</v>
      </c>
      <c r="Q956" s="2" t="s">
        <v>1304</v>
      </c>
      <c r="R956" s="2" t="s">
        <v>1324</v>
      </c>
      <c r="S956" s="2">
        <v>209</v>
      </c>
      <c r="T956" s="2">
        <v>1</v>
      </c>
      <c r="U956" s="2" t="s">
        <v>141</v>
      </c>
      <c r="Y956" s="2">
        <v>1700</v>
      </c>
      <c r="Z956" s="11" t="s">
        <v>54</v>
      </c>
      <c r="AA956" s="11" t="str">
        <f t="shared" si="65"/>
        <v>1700 - TBN</v>
      </c>
      <c r="AC956" s="2" t="s">
        <v>145</v>
      </c>
      <c r="AD956" s="11" t="str">
        <f>IF($I956&lt;&gt;"",VLOOKUP($AC956,GEADRESSEERDE!$A$2:$E$4,2,),"")</f>
        <v>LUITHAGEN HAVEN 2 D</v>
      </c>
      <c r="AE956" s="11">
        <f>IF($I956&lt;&gt;"",VLOOKUP($AC956,GEADRESSEERDE!$A$2:$E$4,3,),"")</f>
        <v>2030</v>
      </c>
      <c r="AF956" s="11" t="str">
        <f>IF($I956&lt;&gt;"",VLOOKUP($AC956,GEADRESSEERDE!$A$2:$E$4,4,),"")</f>
        <v>ANTWERPEN</v>
      </c>
      <c r="AG956" s="11" t="str">
        <f>IF($I956&lt;&gt;"",VLOOKUP($AC956,GEADRESSEERDE!$A$2:$E$4,5,),"")</f>
        <v>BE</v>
      </c>
      <c r="AH956" s="11" t="str">
        <f>IF(I956&lt;&gt;"",VLOOKUP(AP956,KvB!$A$2:$B$3,2,FALSE),"")</f>
        <v>BE101000</v>
      </c>
      <c r="AI956" s="11" t="s">
        <v>55</v>
      </c>
      <c r="AJ956" s="11"/>
      <c r="AK956" s="11"/>
      <c r="AL956" s="11"/>
      <c r="AM956" s="11"/>
      <c r="AN956" s="11"/>
      <c r="AO956" s="11"/>
      <c r="AP956" s="2" t="s">
        <v>70</v>
      </c>
      <c r="AQ956" s="11" t="str">
        <f>IF(I956&lt;&gt;"",DATA!D955,"")</f>
        <v>7419200090</v>
      </c>
    </row>
    <row r="957" spans="1:43" ht="15.75" x14ac:dyDescent="0.25">
      <c r="A957" s="11" t="s">
        <v>57</v>
      </c>
      <c r="B957" s="11" t="s">
        <v>56</v>
      </c>
      <c r="C957" s="22">
        <f t="shared" si="62"/>
        <v>25001620</v>
      </c>
      <c r="D957" s="11" t="str">
        <f t="shared" si="63"/>
        <v>SKIIFM_AT</v>
      </c>
      <c r="E957" s="11" t="str">
        <f>IF(I957&lt;&gt;"",VLOOKUP(F957,OPDRACHTGEVER!$A$2:$B$4,2,FALSE),"")</f>
        <v>SKIIFM_AT</v>
      </c>
      <c r="F957" s="11" t="s">
        <v>58</v>
      </c>
      <c r="I957" s="11" t="str">
        <f>IF(DATA!B956&lt;&gt;"",DATA!B956,"")</f>
        <v>FSCU7996366</v>
      </c>
      <c r="J957" s="12">
        <v>0</v>
      </c>
      <c r="K957" s="11" t="s">
        <v>53</v>
      </c>
      <c r="L957" s="11" t="str">
        <f t="shared" si="64"/>
        <v>843850</v>
      </c>
      <c r="M957" s="11" t="str">
        <f>IF(I957&lt;&gt;"",DATA!E956,"")</f>
        <v>SAWING MACHINE</v>
      </c>
      <c r="N957" s="12">
        <v>0</v>
      </c>
      <c r="O957" s="11">
        <f>IF(I957&lt;&gt;"",DATA!C956,"")</f>
        <v>767.55</v>
      </c>
      <c r="P957" s="2">
        <v>294094</v>
      </c>
      <c r="Q957" s="2" t="s">
        <v>1304</v>
      </c>
      <c r="R957" s="2" t="s">
        <v>1324</v>
      </c>
      <c r="S957" s="2">
        <v>209</v>
      </c>
      <c r="T957" s="2">
        <v>1</v>
      </c>
      <c r="U957" s="2" t="s">
        <v>141</v>
      </c>
      <c r="Y957" s="2">
        <v>1700</v>
      </c>
      <c r="Z957" s="11" t="s">
        <v>54</v>
      </c>
      <c r="AA957" s="11" t="str">
        <f t="shared" si="65"/>
        <v>1700 - TBN</v>
      </c>
      <c r="AC957" s="2" t="s">
        <v>145</v>
      </c>
      <c r="AD957" s="11" t="str">
        <f>IF($I957&lt;&gt;"",VLOOKUP($AC957,GEADRESSEERDE!$A$2:$E$4,2,),"")</f>
        <v>LUITHAGEN HAVEN 2 D</v>
      </c>
      <c r="AE957" s="11">
        <f>IF($I957&lt;&gt;"",VLOOKUP($AC957,GEADRESSEERDE!$A$2:$E$4,3,),"")</f>
        <v>2030</v>
      </c>
      <c r="AF957" s="11" t="str">
        <f>IF($I957&lt;&gt;"",VLOOKUP($AC957,GEADRESSEERDE!$A$2:$E$4,4,),"")</f>
        <v>ANTWERPEN</v>
      </c>
      <c r="AG957" s="11" t="str">
        <f>IF($I957&lt;&gt;"",VLOOKUP($AC957,GEADRESSEERDE!$A$2:$E$4,5,),"")</f>
        <v>BE</v>
      </c>
      <c r="AH957" s="11" t="str">
        <f>IF(I957&lt;&gt;"",VLOOKUP(AP957,KvB!$A$2:$B$3,2,FALSE),"")</f>
        <v>BE101000</v>
      </c>
      <c r="AI957" s="11" t="s">
        <v>55</v>
      </c>
      <c r="AJ957" s="11"/>
      <c r="AK957" s="11"/>
      <c r="AL957" s="11"/>
      <c r="AM957" s="11"/>
      <c r="AN957" s="11"/>
      <c r="AO957" s="11"/>
      <c r="AP957" s="2" t="s">
        <v>70</v>
      </c>
      <c r="AQ957" s="11" t="str">
        <f>IF(I957&lt;&gt;"",DATA!D956,"")</f>
        <v>8438500000</v>
      </c>
    </row>
    <row r="958" spans="1:43" ht="15.75" x14ac:dyDescent="0.25">
      <c r="A958" s="11" t="s">
        <v>57</v>
      </c>
      <c r="B958" s="11" t="s">
        <v>56</v>
      </c>
      <c r="C958" s="22">
        <f t="shared" si="62"/>
        <v>25001620</v>
      </c>
      <c r="D958" s="11" t="str">
        <f t="shared" si="63"/>
        <v>SKIIFM_AT</v>
      </c>
      <c r="E958" s="11" t="str">
        <f>IF(I958&lt;&gt;"",VLOOKUP(F958,OPDRACHTGEVER!$A$2:$B$4,2,FALSE),"")</f>
        <v>SKIIFM_AT</v>
      </c>
      <c r="F958" s="11" t="s">
        <v>58</v>
      </c>
      <c r="I958" s="11" t="str">
        <f>IF(DATA!B957&lt;&gt;"",DATA!B957,"")</f>
        <v>FSCU7996366</v>
      </c>
      <c r="J958" s="12">
        <v>0</v>
      </c>
      <c r="K958" s="11" t="s">
        <v>53</v>
      </c>
      <c r="L958" s="11" t="str">
        <f t="shared" si="64"/>
        <v>940180</v>
      </c>
      <c r="M958" s="11" t="str">
        <f>IF(I958&lt;&gt;"",DATA!E957,"")</f>
        <v>SHOWER SEATS</v>
      </c>
      <c r="N958" s="12">
        <v>0</v>
      </c>
      <c r="O958" s="11">
        <f>IF(I958&lt;&gt;"",DATA!C957,"")</f>
        <v>32</v>
      </c>
      <c r="P958" s="2">
        <v>294094</v>
      </c>
      <c r="Q958" s="2" t="s">
        <v>1304</v>
      </c>
      <c r="R958" s="2" t="s">
        <v>1324</v>
      </c>
      <c r="S958" s="2">
        <v>209</v>
      </c>
      <c r="T958" s="2">
        <v>1</v>
      </c>
      <c r="U958" s="2" t="s">
        <v>141</v>
      </c>
      <c r="Y958" s="2">
        <v>1700</v>
      </c>
      <c r="Z958" s="11" t="s">
        <v>54</v>
      </c>
      <c r="AA958" s="11" t="str">
        <f t="shared" si="65"/>
        <v>1700 - TBN</v>
      </c>
      <c r="AC958" s="2" t="s">
        <v>145</v>
      </c>
      <c r="AD958" s="11" t="str">
        <f>IF($I958&lt;&gt;"",VLOOKUP($AC958,GEADRESSEERDE!$A$2:$E$4,2,),"")</f>
        <v>LUITHAGEN HAVEN 2 D</v>
      </c>
      <c r="AE958" s="11">
        <f>IF($I958&lt;&gt;"",VLOOKUP($AC958,GEADRESSEERDE!$A$2:$E$4,3,),"")</f>
        <v>2030</v>
      </c>
      <c r="AF958" s="11" t="str">
        <f>IF($I958&lt;&gt;"",VLOOKUP($AC958,GEADRESSEERDE!$A$2:$E$4,4,),"")</f>
        <v>ANTWERPEN</v>
      </c>
      <c r="AG958" s="11" t="str">
        <f>IF($I958&lt;&gt;"",VLOOKUP($AC958,GEADRESSEERDE!$A$2:$E$4,5,),"")</f>
        <v>BE</v>
      </c>
      <c r="AH958" s="11" t="str">
        <f>IF(I958&lt;&gt;"",VLOOKUP(AP958,KvB!$A$2:$B$3,2,FALSE),"")</f>
        <v>BE101000</v>
      </c>
      <c r="AI958" s="11" t="s">
        <v>55</v>
      </c>
      <c r="AJ958" s="11"/>
      <c r="AK958" s="11"/>
      <c r="AL958" s="11"/>
      <c r="AM958" s="11"/>
      <c r="AN958" s="11"/>
      <c r="AO958" s="11"/>
      <c r="AP958" s="2" t="s">
        <v>70</v>
      </c>
      <c r="AQ958" s="11" t="str">
        <f>IF(I958&lt;&gt;"",DATA!D957,"")</f>
        <v>9401800000</v>
      </c>
    </row>
    <row r="959" spans="1:43" ht="15.75" x14ac:dyDescent="0.25">
      <c r="A959" s="11" t="s">
        <v>57</v>
      </c>
      <c r="B959" s="11" t="s">
        <v>56</v>
      </c>
      <c r="C959" s="22">
        <f t="shared" si="62"/>
        <v>25001620</v>
      </c>
      <c r="D959" s="11" t="str">
        <f t="shared" si="63"/>
        <v>SKIIFM_AT</v>
      </c>
      <c r="E959" s="11" t="str">
        <f>IF(I959&lt;&gt;"",VLOOKUP(F959,OPDRACHTGEVER!$A$2:$B$4,2,FALSE),"")</f>
        <v>SKIIFM_AT</v>
      </c>
      <c r="F959" s="11" t="s">
        <v>58</v>
      </c>
      <c r="I959" s="11" t="str">
        <f>IF(DATA!B958&lt;&gt;"",DATA!B958,"")</f>
        <v>FSCU7996366</v>
      </c>
      <c r="J959" s="12">
        <v>0</v>
      </c>
      <c r="K959" s="11" t="s">
        <v>53</v>
      </c>
      <c r="L959" s="11" t="str">
        <f t="shared" si="64"/>
        <v>843880</v>
      </c>
      <c r="M959" s="11" t="str">
        <f>IF(I959&lt;&gt;"",DATA!E958,"")</f>
        <v>SLICER</v>
      </c>
      <c r="N959" s="12">
        <v>0</v>
      </c>
      <c r="O959" s="11">
        <f>IF(I959&lt;&gt;"",DATA!C958,"")</f>
        <v>207.45</v>
      </c>
      <c r="P959" s="2">
        <v>294094</v>
      </c>
      <c r="Q959" s="2" t="s">
        <v>1304</v>
      </c>
      <c r="R959" s="2" t="s">
        <v>1324</v>
      </c>
      <c r="S959" s="2">
        <v>209</v>
      </c>
      <c r="T959" s="2">
        <v>1</v>
      </c>
      <c r="U959" s="2" t="s">
        <v>141</v>
      </c>
      <c r="Y959" s="2">
        <v>1700</v>
      </c>
      <c r="Z959" s="11" t="s">
        <v>54</v>
      </c>
      <c r="AA959" s="11" t="str">
        <f t="shared" si="65"/>
        <v>1700 - TBN</v>
      </c>
      <c r="AC959" s="2" t="s">
        <v>145</v>
      </c>
      <c r="AD959" s="11" t="str">
        <f>IF($I959&lt;&gt;"",VLOOKUP($AC959,GEADRESSEERDE!$A$2:$E$4,2,),"")</f>
        <v>LUITHAGEN HAVEN 2 D</v>
      </c>
      <c r="AE959" s="11">
        <f>IF($I959&lt;&gt;"",VLOOKUP($AC959,GEADRESSEERDE!$A$2:$E$4,3,),"")</f>
        <v>2030</v>
      </c>
      <c r="AF959" s="11" t="str">
        <f>IF($I959&lt;&gt;"",VLOOKUP($AC959,GEADRESSEERDE!$A$2:$E$4,4,),"")</f>
        <v>ANTWERPEN</v>
      </c>
      <c r="AG959" s="11" t="str">
        <f>IF($I959&lt;&gt;"",VLOOKUP($AC959,GEADRESSEERDE!$A$2:$E$4,5,),"")</f>
        <v>BE</v>
      </c>
      <c r="AH959" s="11" t="str">
        <f>IF(I959&lt;&gt;"",VLOOKUP(AP959,KvB!$A$2:$B$3,2,FALSE),"")</f>
        <v>BE101000</v>
      </c>
      <c r="AI959" s="11" t="s">
        <v>55</v>
      </c>
      <c r="AJ959" s="11"/>
      <c r="AK959" s="11"/>
      <c r="AL959" s="11"/>
      <c r="AM959" s="11"/>
      <c r="AN959" s="11"/>
      <c r="AO959" s="11"/>
      <c r="AP959" s="2" t="s">
        <v>70</v>
      </c>
      <c r="AQ959" s="11" t="str">
        <f>IF(I959&lt;&gt;"",DATA!D958,"")</f>
        <v>8438809900</v>
      </c>
    </row>
    <row r="960" spans="1:43" ht="15.75" x14ac:dyDescent="0.25">
      <c r="A960" s="11" t="s">
        <v>57</v>
      </c>
      <c r="B960" s="11" t="s">
        <v>56</v>
      </c>
      <c r="C960" s="22">
        <f t="shared" si="62"/>
        <v>25001620</v>
      </c>
      <c r="D960" s="11" t="str">
        <f t="shared" si="63"/>
        <v>SKIIFM_AT</v>
      </c>
      <c r="E960" s="11" t="str">
        <f>IF(I960&lt;&gt;"",VLOOKUP(F960,OPDRACHTGEVER!$A$2:$B$4,2,FALSE),"")</f>
        <v>SKIIFM_AT</v>
      </c>
      <c r="F960" s="11" t="s">
        <v>58</v>
      </c>
      <c r="I960" s="11" t="str">
        <f>IF(DATA!B959&lt;&gt;"",DATA!B959,"")</f>
        <v>FSCU7996366</v>
      </c>
      <c r="J960" s="12">
        <v>0</v>
      </c>
      <c r="K960" s="11" t="s">
        <v>53</v>
      </c>
      <c r="L960" s="11" t="str">
        <f t="shared" si="64"/>
        <v>842441</v>
      </c>
      <c r="M960" s="11" t="str">
        <f>IF(I960&lt;&gt;"",DATA!E959,"")</f>
        <v>SPRAYER</v>
      </c>
      <c r="N960" s="12">
        <v>0</v>
      </c>
      <c r="O960" s="11">
        <f>IF(I960&lt;&gt;"",DATA!C959,"")</f>
        <v>17.22</v>
      </c>
      <c r="P960" s="2">
        <v>294094</v>
      </c>
      <c r="Q960" s="2" t="s">
        <v>1304</v>
      </c>
      <c r="R960" s="2" t="s">
        <v>1324</v>
      </c>
      <c r="S960" s="2">
        <v>209</v>
      </c>
      <c r="T960" s="2">
        <v>1</v>
      </c>
      <c r="U960" s="2" t="s">
        <v>141</v>
      </c>
      <c r="Y960" s="2">
        <v>1700</v>
      </c>
      <c r="Z960" s="11" t="s">
        <v>54</v>
      </c>
      <c r="AA960" s="11" t="str">
        <f t="shared" si="65"/>
        <v>1700 - TBN</v>
      </c>
      <c r="AC960" s="2" t="s">
        <v>145</v>
      </c>
      <c r="AD960" s="11" t="str">
        <f>IF($I960&lt;&gt;"",VLOOKUP($AC960,GEADRESSEERDE!$A$2:$E$4,2,),"")</f>
        <v>LUITHAGEN HAVEN 2 D</v>
      </c>
      <c r="AE960" s="11">
        <f>IF($I960&lt;&gt;"",VLOOKUP($AC960,GEADRESSEERDE!$A$2:$E$4,3,),"")</f>
        <v>2030</v>
      </c>
      <c r="AF960" s="11" t="str">
        <f>IF($I960&lt;&gt;"",VLOOKUP($AC960,GEADRESSEERDE!$A$2:$E$4,4,),"")</f>
        <v>ANTWERPEN</v>
      </c>
      <c r="AG960" s="11" t="str">
        <f>IF($I960&lt;&gt;"",VLOOKUP($AC960,GEADRESSEERDE!$A$2:$E$4,5,),"")</f>
        <v>BE</v>
      </c>
      <c r="AH960" s="11" t="str">
        <f>IF(I960&lt;&gt;"",VLOOKUP(AP960,KvB!$A$2:$B$3,2,FALSE),"")</f>
        <v>BE101000</v>
      </c>
      <c r="AI960" s="11" t="s">
        <v>55</v>
      </c>
      <c r="AJ960" s="11"/>
      <c r="AK960" s="11"/>
      <c r="AL960" s="11"/>
      <c r="AM960" s="11"/>
      <c r="AN960" s="11"/>
      <c r="AO960" s="11"/>
      <c r="AP960" s="2" t="s">
        <v>70</v>
      </c>
      <c r="AQ960" s="11" t="str">
        <f>IF(I960&lt;&gt;"",DATA!D959,"")</f>
        <v>8424410000</v>
      </c>
    </row>
    <row r="961" spans="1:43" ht="15.75" x14ac:dyDescent="0.25">
      <c r="A961" s="11" t="s">
        <v>57</v>
      </c>
      <c r="B961" s="11" t="s">
        <v>56</v>
      </c>
      <c r="C961" s="22">
        <f t="shared" si="62"/>
        <v>25001620</v>
      </c>
      <c r="D961" s="11" t="str">
        <f t="shared" si="63"/>
        <v>SKIIFM_AT</v>
      </c>
      <c r="E961" s="11" t="str">
        <f>IF(I961&lt;&gt;"",VLOOKUP(F961,OPDRACHTGEVER!$A$2:$B$4,2,FALSE),"")</f>
        <v>SKIIFM_AT</v>
      </c>
      <c r="F961" s="11" t="s">
        <v>58</v>
      </c>
      <c r="I961" s="11" t="str">
        <f>IF(DATA!B960&lt;&gt;"",DATA!B960,"")</f>
        <v>FSCU7996366</v>
      </c>
      <c r="J961" s="12">
        <v>0</v>
      </c>
      <c r="K961" s="11" t="s">
        <v>53</v>
      </c>
      <c r="L961" s="11" t="str">
        <f t="shared" si="64"/>
        <v>741920</v>
      </c>
      <c r="M961" s="11" t="str">
        <f>IF(I961&lt;&gt;"",DATA!E960,"")</f>
        <v>SINK</v>
      </c>
      <c r="N961" s="12">
        <v>0</v>
      </c>
      <c r="O961" s="11">
        <f>IF(I961&lt;&gt;"",DATA!C960,"")</f>
        <v>55.2</v>
      </c>
      <c r="P961" s="2">
        <v>294094</v>
      </c>
      <c r="Q961" s="2" t="s">
        <v>1304</v>
      </c>
      <c r="R961" s="2" t="s">
        <v>1324</v>
      </c>
      <c r="S961" s="2">
        <v>209</v>
      </c>
      <c r="T961" s="2">
        <v>1</v>
      </c>
      <c r="U961" s="2" t="s">
        <v>141</v>
      </c>
      <c r="Y961" s="2">
        <v>1700</v>
      </c>
      <c r="Z961" s="11" t="s">
        <v>54</v>
      </c>
      <c r="AA961" s="11" t="str">
        <f t="shared" si="65"/>
        <v>1700 - TBN</v>
      </c>
      <c r="AC961" s="2" t="s">
        <v>145</v>
      </c>
      <c r="AD961" s="11" t="str">
        <f>IF($I961&lt;&gt;"",VLOOKUP($AC961,GEADRESSEERDE!$A$2:$E$4,2,),"")</f>
        <v>LUITHAGEN HAVEN 2 D</v>
      </c>
      <c r="AE961" s="11">
        <f>IF($I961&lt;&gt;"",VLOOKUP($AC961,GEADRESSEERDE!$A$2:$E$4,3,),"")</f>
        <v>2030</v>
      </c>
      <c r="AF961" s="11" t="str">
        <f>IF($I961&lt;&gt;"",VLOOKUP($AC961,GEADRESSEERDE!$A$2:$E$4,4,),"")</f>
        <v>ANTWERPEN</v>
      </c>
      <c r="AG961" s="11" t="str">
        <f>IF($I961&lt;&gt;"",VLOOKUP($AC961,GEADRESSEERDE!$A$2:$E$4,5,),"")</f>
        <v>BE</v>
      </c>
      <c r="AH961" s="11" t="str">
        <f>IF(I961&lt;&gt;"",VLOOKUP(AP961,KvB!$A$2:$B$3,2,FALSE),"")</f>
        <v>BE101000</v>
      </c>
      <c r="AI961" s="11" t="s">
        <v>55</v>
      </c>
      <c r="AJ961" s="11"/>
      <c r="AK961" s="11"/>
      <c r="AL961" s="11"/>
      <c r="AM961" s="11"/>
      <c r="AN961" s="11"/>
      <c r="AO961" s="11"/>
      <c r="AP961" s="2" t="s">
        <v>70</v>
      </c>
      <c r="AQ961" s="11" t="str">
        <f>IF(I961&lt;&gt;"",DATA!D960,"")</f>
        <v>7419200090</v>
      </c>
    </row>
    <row r="962" spans="1:43" ht="15.75" x14ac:dyDescent="0.25">
      <c r="A962" s="11" t="s">
        <v>57</v>
      </c>
      <c r="B962" s="11" t="s">
        <v>56</v>
      </c>
      <c r="C962" s="22">
        <f t="shared" si="62"/>
        <v>25001620</v>
      </c>
      <c r="D962" s="11" t="str">
        <f t="shared" si="63"/>
        <v>SKIIFM_AT</v>
      </c>
      <c r="E962" s="11" t="str">
        <f>IF(I962&lt;&gt;"",VLOOKUP(F962,OPDRACHTGEVER!$A$2:$B$4,2,FALSE),"")</f>
        <v>SKIIFM_AT</v>
      </c>
      <c r="F962" s="11" t="s">
        <v>58</v>
      </c>
      <c r="I962" s="11" t="str">
        <f>IF(DATA!B961&lt;&gt;"",DATA!B961,"")</f>
        <v>FSCU7996366</v>
      </c>
      <c r="J962" s="12">
        <v>0</v>
      </c>
      <c r="K962" s="11" t="s">
        <v>53</v>
      </c>
      <c r="L962" s="11" t="str">
        <f t="shared" si="64"/>
        <v>420292</v>
      </c>
      <c r="M962" s="11" t="str">
        <f>IF(I962&lt;&gt;"",DATA!E961,"")</f>
        <v>STORAGE CASE</v>
      </c>
      <c r="N962" s="12">
        <v>0</v>
      </c>
      <c r="O962" s="11">
        <f>IF(I962&lt;&gt;"",DATA!C961,"")</f>
        <v>172.2</v>
      </c>
      <c r="P962" s="2">
        <v>294094</v>
      </c>
      <c r="Q962" s="2" t="s">
        <v>1304</v>
      </c>
      <c r="R962" s="2" t="s">
        <v>1324</v>
      </c>
      <c r="S962" s="2">
        <v>209</v>
      </c>
      <c r="T962" s="2">
        <v>1</v>
      </c>
      <c r="U962" s="2" t="s">
        <v>141</v>
      </c>
      <c r="Y962" s="2">
        <v>1700</v>
      </c>
      <c r="Z962" s="11" t="s">
        <v>54</v>
      </c>
      <c r="AA962" s="11" t="str">
        <f t="shared" si="65"/>
        <v>1700 - TBN</v>
      </c>
      <c r="AC962" s="2" t="s">
        <v>145</v>
      </c>
      <c r="AD962" s="11" t="str">
        <f>IF($I962&lt;&gt;"",VLOOKUP($AC962,GEADRESSEERDE!$A$2:$E$4,2,),"")</f>
        <v>LUITHAGEN HAVEN 2 D</v>
      </c>
      <c r="AE962" s="11">
        <f>IF($I962&lt;&gt;"",VLOOKUP($AC962,GEADRESSEERDE!$A$2:$E$4,3,),"")</f>
        <v>2030</v>
      </c>
      <c r="AF962" s="11" t="str">
        <f>IF($I962&lt;&gt;"",VLOOKUP($AC962,GEADRESSEERDE!$A$2:$E$4,4,),"")</f>
        <v>ANTWERPEN</v>
      </c>
      <c r="AG962" s="11" t="str">
        <f>IF($I962&lt;&gt;"",VLOOKUP($AC962,GEADRESSEERDE!$A$2:$E$4,5,),"")</f>
        <v>BE</v>
      </c>
      <c r="AH962" s="11" t="str">
        <f>IF(I962&lt;&gt;"",VLOOKUP(AP962,KvB!$A$2:$B$3,2,FALSE),"")</f>
        <v>BE101000</v>
      </c>
      <c r="AI962" s="11" t="s">
        <v>55</v>
      </c>
      <c r="AJ962" s="11"/>
      <c r="AK962" s="11"/>
      <c r="AL962" s="11"/>
      <c r="AM962" s="11"/>
      <c r="AN962" s="11"/>
      <c r="AO962" s="11"/>
      <c r="AP962" s="2" t="s">
        <v>70</v>
      </c>
      <c r="AQ962" s="11" t="str">
        <f>IF(I962&lt;&gt;"",DATA!D961,"")</f>
        <v>4202929890</v>
      </c>
    </row>
    <row r="963" spans="1:43" ht="15.75" x14ac:dyDescent="0.25">
      <c r="A963" s="11" t="s">
        <v>57</v>
      </c>
      <c r="B963" s="11" t="s">
        <v>56</v>
      </c>
      <c r="C963" s="22">
        <f t="shared" si="62"/>
        <v>25001620</v>
      </c>
      <c r="D963" s="11" t="str">
        <f t="shared" si="63"/>
        <v>SKIIFM_AT</v>
      </c>
      <c r="E963" s="11" t="str">
        <f>IF(I963&lt;&gt;"",VLOOKUP(F963,OPDRACHTGEVER!$A$2:$B$4,2,FALSE),"")</f>
        <v>SKIIFM_AT</v>
      </c>
      <c r="F963" s="11" t="s">
        <v>58</v>
      </c>
      <c r="I963" s="11" t="str">
        <f>IF(DATA!B962&lt;&gt;"",DATA!B962,"")</f>
        <v>FSCU7996366</v>
      </c>
      <c r="J963" s="12">
        <v>0</v>
      </c>
      <c r="K963" s="11" t="s">
        <v>53</v>
      </c>
      <c r="L963" s="11" t="str">
        <f t="shared" si="64"/>
        <v>741920</v>
      </c>
      <c r="M963" s="11" t="str">
        <f>IF(I963&lt;&gt;"",DATA!E962,"")</f>
        <v>STORAGE RACK</v>
      </c>
      <c r="N963" s="12">
        <v>0</v>
      </c>
      <c r="O963" s="11">
        <f>IF(I963&lt;&gt;"",DATA!C962,"")</f>
        <v>35.700000000000003</v>
      </c>
      <c r="P963" s="2">
        <v>294094</v>
      </c>
      <c r="Q963" s="2" t="s">
        <v>1304</v>
      </c>
      <c r="R963" s="2" t="s">
        <v>1324</v>
      </c>
      <c r="S963" s="2">
        <v>209</v>
      </c>
      <c r="T963" s="2">
        <v>1</v>
      </c>
      <c r="U963" s="2" t="s">
        <v>141</v>
      </c>
      <c r="Y963" s="2">
        <v>1700</v>
      </c>
      <c r="Z963" s="11" t="s">
        <v>54</v>
      </c>
      <c r="AA963" s="11" t="str">
        <f t="shared" si="65"/>
        <v>1700 - TBN</v>
      </c>
      <c r="AC963" s="2" t="s">
        <v>145</v>
      </c>
      <c r="AD963" s="11" t="str">
        <f>IF($I963&lt;&gt;"",VLOOKUP($AC963,GEADRESSEERDE!$A$2:$E$4,2,),"")</f>
        <v>LUITHAGEN HAVEN 2 D</v>
      </c>
      <c r="AE963" s="11">
        <f>IF($I963&lt;&gt;"",VLOOKUP($AC963,GEADRESSEERDE!$A$2:$E$4,3,),"")</f>
        <v>2030</v>
      </c>
      <c r="AF963" s="11" t="str">
        <f>IF($I963&lt;&gt;"",VLOOKUP($AC963,GEADRESSEERDE!$A$2:$E$4,4,),"")</f>
        <v>ANTWERPEN</v>
      </c>
      <c r="AG963" s="11" t="str">
        <f>IF($I963&lt;&gt;"",VLOOKUP($AC963,GEADRESSEERDE!$A$2:$E$4,5,),"")</f>
        <v>BE</v>
      </c>
      <c r="AH963" s="11" t="str">
        <f>IF(I963&lt;&gt;"",VLOOKUP(AP963,KvB!$A$2:$B$3,2,FALSE),"")</f>
        <v>BE101000</v>
      </c>
      <c r="AI963" s="11" t="s">
        <v>55</v>
      </c>
      <c r="AJ963" s="11"/>
      <c r="AK963" s="11"/>
      <c r="AL963" s="11"/>
      <c r="AM963" s="11"/>
      <c r="AN963" s="11"/>
      <c r="AO963" s="11"/>
      <c r="AP963" s="2" t="s">
        <v>70</v>
      </c>
      <c r="AQ963" s="11" t="str">
        <f>IF(I963&lt;&gt;"",DATA!D962,"")</f>
        <v>7419200090</v>
      </c>
    </row>
    <row r="964" spans="1:43" ht="15.75" x14ac:dyDescent="0.25">
      <c r="A964" s="11" t="s">
        <v>57</v>
      </c>
      <c r="B964" s="11" t="s">
        <v>56</v>
      </c>
      <c r="C964" s="22">
        <f t="shared" si="62"/>
        <v>25001620</v>
      </c>
      <c r="D964" s="11" t="str">
        <f t="shared" si="63"/>
        <v>SKIIFM_AT</v>
      </c>
      <c r="E964" s="11" t="str">
        <f>IF(I964&lt;&gt;"",VLOOKUP(F964,OPDRACHTGEVER!$A$2:$B$4,2,FALSE),"")</f>
        <v>SKIIFM_AT</v>
      </c>
      <c r="F964" s="11" t="s">
        <v>58</v>
      </c>
      <c r="I964" s="11" t="str">
        <f>IF(DATA!B963&lt;&gt;"",DATA!B963,"")</f>
        <v>FSCU7996366</v>
      </c>
      <c r="J964" s="12">
        <v>0</v>
      </c>
      <c r="K964" s="11" t="s">
        <v>53</v>
      </c>
      <c r="L964" s="11" t="str">
        <f t="shared" si="64"/>
        <v>830220</v>
      </c>
      <c r="M964" s="11" t="str">
        <f>IF(I964&lt;&gt;"",DATA!E963,"")</f>
        <v>SWIVEL CASTERS WHEEL</v>
      </c>
      <c r="N964" s="12">
        <v>0</v>
      </c>
      <c r="O964" s="11">
        <f>IF(I964&lt;&gt;"",DATA!C963,"")</f>
        <v>83.2</v>
      </c>
      <c r="P964" s="2">
        <v>294094</v>
      </c>
      <c r="Q964" s="2" t="s">
        <v>1304</v>
      </c>
      <c r="R964" s="2" t="s">
        <v>1324</v>
      </c>
      <c r="S964" s="2">
        <v>209</v>
      </c>
      <c r="T964" s="2">
        <v>1</v>
      </c>
      <c r="U964" s="2" t="s">
        <v>141</v>
      </c>
      <c r="Y964" s="2">
        <v>1700</v>
      </c>
      <c r="Z964" s="11" t="s">
        <v>54</v>
      </c>
      <c r="AA964" s="11" t="str">
        <f t="shared" si="65"/>
        <v>1700 - TBN</v>
      </c>
      <c r="AC964" s="2" t="s">
        <v>145</v>
      </c>
      <c r="AD964" s="11" t="str">
        <f>IF($I964&lt;&gt;"",VLOOKUP($AC964,GEADRESSEERDE!$A$2:$E$4,2,),"")</f>
        <v>LUITHAGEN HAVEN 2 D</v>
      </c>
      <c r="AE964" s="11">
        <f>IF($I964&lt;&gt;"",VLOOKUP($AC964,GEADRESSEERDE!$A$2:$E$4,3,),"")</f>
        <v>2030</v>
      </c>
      <c r="AF964" s="11" t="str">
        <f>IF($I964&lt;&gt;"",VLOOKUP($AC964,GEADRESSEERDE!$A$2:$E$4,4,),"")</f>
        <v>ANTWERPEN</v>
      </c>
      <c r="AG964" s="11" t="str">
        <f>IF($I964&lt;&gt;"",VLOOKUP($AC964,GEADRESSEERDE!$A$2:$E$4,5,),"")</f>
        <v>BE</v>
      </c>
      <c r="AH964" s="11" t="str">
        <f>IF(I964&lt;&gt;"",VLOOKUP(AP964,KvB!$A$2:$B$3,2,FALSE),"")</f>
        <v>BE101000</v>
      </c>
      <c r="AI964" s="11" t="s">
        <v>55</v>
      </c>
      <c r="AJ964" s="11"/>
      <c r="AK964" s="11"/>
      <c r="AL964" s="11"/>
      <c r="AM964" s="11"/>
      <c r="AN964" s="11"/>
      <c r="AO964" s="11"/>
      <c r="AP964" s="2" t="s">
        <v>70</v>
      </c>
      <c r="AQ964" s="11" t="str">
        <f>IF(I964&lt;&gt;"",DATA!D963,"")</f>
        <v>8302200090</v>
      </c>
    </row>
    <row r="965" spans="1:43" ht="15.75" x14ac:dyDescent="0.25">
      <c r="A965" s="11" t="s">
        <v>57</v>
      </c>
      <c r="B965" s="11" t="s">
        <v>56</v>
      </c>
      <c r="C965" s="22">
        <f t="shared" ref="C965:C1028" si="66">C964</f>
        <v>25001620</v>
      </c>
      <c r="D965" s="11" t="str">
        <f t="shared" si="63"/>
        <v>SKIIFM_AT</v>
      </c>
      <c r="E965" s="11" t="str">
        <f>IF(I965&lt;&gt;"",VLOOKUP(F965,OPDRACHTGEVER!$A$2:$B$4,2,FALSE),"")</f>
        <v>SKIIFM_AT</v>
      </c>
      <c r="F965" s="11" t="s">
        <v>58</v>
      </c>
      <c r="I965" s="11" t="str">
        <f>IF(DATA!B964&lt;&gt;"",DATA!B964,"")</f>
        <v>FSCU7996366</v>
      </c>
      <c r="J965" s="12">
        <v>0</v>
      </c>
      <c r="K965" s="11" t="s">
        <v>53</v>
      </c>
      <c r="L965" s="11" t="str">
        <f t="shared" si="64"/>
        <v>741920</v>
      </c>
      <c r="M965" s="11" t="str">
        <f>IF(I965&lt;&gt;"",DATA!E964,"")</f>
        <v>TELESCOPIC LADDER</v>
      </c>
      <c r="N965" s="12">
        <v>0</v>
      </c>
      <c r="O965" s="11">
        <f>IF(I965&lt;&gt;"",DATA!C964,"")</f>
        <v>385.9</v>
      </c>
      <c r="P965" s="2">
        <v>294094</v>
      </c>
      <c r="Q965" s="2" t="s">
        <v>1304</v>
      </c>
      <c r="R965" s="2" t="s">
        <v>1324</v>
      </c>
      <c r="S965" s="2">
        <v>209</v>
      </c>
      <c r="T965" s="2">
        <v>1</v>
      </c>
      <c r="U965" s="2" t="s">
        <v>141</v>
      </c>
      <c r="Y965" s="2">
        <v>1700</v>
      </c>
      <c r="Z965" s="11" t="s">
        <v>54</v>
      </c>
      <c r="AA965" s="11" t="str">
        <f t="shared" si="65"/>
        <v>1700 - TBN</v>
      </c>
      <c r="AC965" s="2" t="s">
        <v>145</v>
      </c>
      <c r="AD965" s="11" t="str">
        <f>IF($I965&lt;&gt;"",VLOOKUP($AC965,GEADRESSEERDE!$A$2:$E$4,2,),"")</f>
        <v>LUITHAGEN HAVEN 2 D</v>
      </c>
      <c r="AE965" s="11">
        <f>IF($I965&lt;&gt;"",VLOOKUP($AC965,GEADRESSEERDE!$A$2:$E$4,3,),"")</f>
        <v>2030</v>
      </c>
      <c r="AF965" s="11" t="str">
        <f>IF($I965&lt;&gt;"",VLOOKUP($AC965,GEADRESSEERDE!$A$2:$E$4,4,),"")</f>
        <v>ANTWERPEN</v>
      </c>
      <c r="AG965" s="11" t="str">
        <f>IF($I965&lt;&gt;"",VLOOKUP($AC965,GEADRESSEERDE!$A$2:$E$4,5,),"")</f>
        <v>BE</v>
      </c>
      <c r="AH965" s="11" t="str">
        <f>IF(I965&lt;&gt;"",VLOOKUP(AP965,KvB!$A$2:$B$3,2,FALSE),"")</f>
        <v>BE101000</v>
      </c>
      <c r="AI965" s="11" t="s">
        <v>55</v>
      </c>
      <c r="AJ965" s="11"/>
      <c r="AK965" s="11"/>
      <c r="AL965" s="11"/>
      <c r="AM965" s="11"/>
      <c r="AN965" s="11"/>
      <c r="AO965" s="11"/>
      <c r="AP965" s="2" t="s">
        <v>70</v>
      </c>
      <c r="AQ965" s="11" t="str">
        <f>IF(I965&lt;&gt;"",DATA!D964,"")</f>
        <v>7419200090</v>
      </c>
    </row>
    <row r="966" spans="1:43" ht="15.75" x14ac:dyDescent="0.25">
      <c r="A966" s="11" t="s">
        <v>57</v>
      </c>
      <c r="B966" s="11" t="s">
        <v>56</v>
      </c>
      <c r="C966" s="22">
        <f t="shared" si="66"/>
        <v>25001620</v>
      </c>
      <c r="D966" s="11" t="str">
        <f t="shared" si="63"/>
        <v>SKIIFM_AT</v>
      </c>
      <c r="E966" s="11" t="str">
        <f>IF(I966&lt;&gt;"",VLOOKUP(F966,OPDRACHTGEVER!$A$2:$B$4,2,FALSE),"")</f>
        <v>SKIIFM_AT</v>
      </c>
      <c r="F966" s="11" t="s">
        <v>58</v>
      </c>
      <c r="I966" s="11" t="str">
        <f>IF(DATA!B965&lt;&gt;"",DATA!B965,"")</f>
        <v>FSCU7996366</v>
      </c>
      <c r="J966" s="12">
        <v>0</v>
      </c>
      <c r="K966" s="11" t="s">
        <v>53</v>
      </c>
      <c r="L966" s="11" t="str">
        <f t="shared" si="64"/>
        <v>820559</v>
      </c>
      <c r="M966" s="11" t="str">
        <f>IF(I966&lt;&gt;"",DATA!E965,"")</f>
        <v>TIGHTENER</v>
      </c>
      <c r="N966" s="12">
        <v>0</v>
      </c>
      <c r="O966" s="11">
        <f>IF(I966&lt;&gt;"",DATA!C965,"")</f>
        <v>583.5</v>
      </c>
      <c r="P966" s="2">
        <v>294094</v>
      </c>
      <c r="Q966" s="2" t="s">
        <v>1304</v>
      </c>
      <c r="R966" s="2" t="s">
        <v>1324</v>
      </c>
      <c r="S966" s="2">
        <v>209</v>
      </c>
      <c r="T966" s="2">
        <v>1</v>
      </c>
      <c r="U966" s="2" t="s">
        <v>141</v>
      </c>
      <c r="Y966" s="2">
        <v>1700</v>
      </c>
      <c r="Z966" s="11" t="s">
        <v>54</v>
      </c>
      <c r="AA966" s="11" t="str">
        <f t="shared" si="65"/>
        <v>1700 - TBN</v>
      </c>
      <c r="AC966" s="2" t="s">
        <v>145</v>
      </c>
      <c r="AD966" s="11" t="str">
        <f>IF($I966&lt;&gt;"",VLOOKUP($AC966,GEADRESSEERDE!$A$2:$E$4,2,),"")</f>
        <v>LUITHAGEN HAVEN 2 D</v>
      </c>
      <c r="AE966" s="11">
        <f>IF($I966&lt;&gt;"",VLOOKUP($AC966,GEADRESSEERDE!$A$2:$E$4,3,),"")</f>
        <v>2030</v>
      </c>
      <c r="AF966" s="11" t="str">
        <f>IF($I966&lt;&gt;"",VLOOKUP($AC966,GEADRESSEERDE!$A$2:$E$4,4,),"")</f>
        <v>ANTWERPEN</v>
      </c>
      <c r="AG966" s="11" t="str">
        <f>IF($I966&lt;&gt;"",VLOOKUP($AC966,GEADRESSEERDE!$A$2:$E$4,5,),"")</f>
        <v>BE</v>
      </c>
      <c r="AH966" s="11" t="str">
        <f>IF(I966&lt;&gt;"",VLOOKUP(AP966,KvB!$A$2:$B$3,2,FALSE),"")</f>
        <v>BE101000</v>
      </c>
      <c r="AI966" s="11" t="s">
        <v>55</v>
      </c>
      <c r="AJ966" s="11"/>
      <c r="AK966" s="11"/>
      <c r="AL966" s="11"/>
      <c r="AM966" s="11"/>
      <c r="AN966" s="11"/>
      <c r="AO966" s="11"/>
      <c r="AP966" s="2" t="s">
        <v>70</v>
      </c>
      <c r="AQ966" s="11" t="str">
        <f>IF(I966&lt;&gt;"",DATA!D965,"")</f>
        <v>8205598000</v>
      </c>
    </row>
    <row r="967" spans="1:43" ht="15.75" x14ac:dyDescent="0.25">
      <c r="A967" s="11" t="s">
        <v>57</v>
      </c>
      <c r="B967" s="11" t="s">
        <v>56</v>
      </c>
      <c r="C967" s="22">
        <f t="shared" si="66"/>
        <v>25001620</v>
      </c>
      <c r="D967" s="11" t="str">
        <f t="shared" si="63"/>
        <v>SKIIFM_AT</v>
      </c>
      <c r="E967" s="11" t="str">
        <f>IF(I967&lt;&gt;"",VLOOKUP(F967,OPDRACHTGEVER!$A$2:$B$4,2,FALSE),"")</f>
        <v>SKIIFM_AT</v>
      </c>
      <c r="F967" s="11" t="s">
        <v>58</v>
      </c>
      <c r="I967" s="11" t="str">
        <f>IF(DATA!B966&lt;&gt;"",DATA!B966,"")</f>
        <v>FSCU7996366</v>
      </c>
      <c r="J967" s="12">
        <v>0</v>
      </c>
      <c r="K967" s="11" t="s">
        <v>53</v>
      </c>
      <c r="L967" s="11" t="str">
        <f t="shared" si="64"/>
        <v>843860</v>
      </c>
      <c r="M967" s="11" t="str">
        <f>IF(I967&lt;&gt;"",DATA!E966,"")</f>
        <v>TOMATO SLICER</v>
      </c>
      <c r="N967" s="12">
        <v>0</v>
      </c>
      <c r="O967" s="11">
        <f>IF(I967&lt;&gt;"",DATA!C966,"")</f>
        <v>16</v>
      </c>
      <c r="P967" s="2">
        <v>294094</v>
      </c>
      <c r="Q967" s="2" t="s">
        <v>1304</v>
      </c>
      <c r="R967" s="2" t="s">
        <v>1324</v>
      </c>
      <c r="S967" s="2">
        <v>209</v>
      </c>
      <c r="T967" s="2">
        <v>1</v>
      </c>
      <c r="U967" s="2" t="s">
        <v>141</v>
      </c>
      <c r="Y967" s="2">
        <v>1700</v>
      </c>
      <c r="Z967" s="11" t="s">
        <v>54</v>
      </c>
      <c r="AA967" s="11" t="str">
        <f t="shared" si="65"/>
        <v>1700 - TBN</v>
      </c>
      <c r="AC967" s="2" t="s">
        <v>145</v>
      </c>
      <c r="AD967" s="11" t="str">
        <f>IF($I967&lt;&gt;"",VLOOKUP($AC967,GEADRESSEERDE!$A$2:$E$4,2,),"")</f>
        <v>LUITHAGEN HAVEN 2 D</v>
      </c>
      <c r="AE967" s="11">
        <f>IF($I967&lt;&gt;"",VLOOKUP($AC967,GEADRESSEERDE!$A$2:$E$4,3,),"")</f>
        <v>2030</v>
      </c>
      <c r="AF967" s="11" t="str">
        <f>IF($I967&lt;&gt;"",VLOOKUP($AC967,GEADRESSEERDE!$A$2:$E$4,4,),"")</f>
        <v>ANTWERPEN</v>
      </c>
      <c r="AG967" s="11" t="str">
        <f>IF($I967&lt;&gt;"",VLOOKUP($AC967,GEADRESSEERDE!$A$2:$E$4,5,),"")</f>
        <v>BE</v>
      </c>
      <c r="AH967" s="11" t="str">
        <f>IF(I967&lt;&gt;"",VLOOKUP(AP967,KvB!$A$2:$B$3,2,FALSE),"")</f>
        <v>BE101000</v>
      </c>
      <c r="AI967" s="11" t="s">
        <v>55</v>
      </c>
      <c r="AJ967" s="11"/>
      <c r="AK967" s="11"/>
      <c r="AL967" s="11"/>
      <c r="AM967" s="11"/>
      <c r="AN967" s="11"/>
      <c r="AO967" s="11"/>
      <c r="AP967" s="2" t="s">
        <v>70</v>
      </c>
      <c r="AQ967" s="11" t="str">
        <f>IF(I967&lt;&gt;"",DATA!D966,"")</f>
        <v>8438600000</v>
      </c>
    </row>
    <row r="968" spans="1:43" ht="15.75" x14ac:dyDescent="0.25">
      <c r="A968" s="11" t="s">
        <v>57</v>
      </c>
      <c r="B968" s="11" t="s">
        <v>56</v>
      </c>
      <c r="C968" s="22">
        <f t="shared" si="66"/>
        <v>25001620</v>
      </c>
      <c r="D968" s="11" t="str">
        <f t="shared" si="63"/>
        <v>SKIIFM_AT</v>
      </c>
      <c r="E968" s="11" t="str">
        <f>IF(I968&lt;&gt;"",VLOOKUP(F968,OPDRACHTGEVER!$A$2:$B$4,2,FALSE),"")</f>
        <v>SKIIFM_AT</v>
      </c>
      <c r="F968" s="11" t="s">
        <v>58</v>
      </c>
      <c r="I968" s="11" t="str">
        <f>IF(DATA!B967&lt;&gt;"",DATA!B967,"")</f>
        <v>FSCU7996366</v>
      </c>
      <c r="J968" s="12">
        <v>0</v>
      </c>
      <c r="K968" s="11" t="s">
        <v>53</v>
      </c>
      <c r="L968" s="11" t="str">
        <f t="shared" si="64"/>
        <v>871690</v>
      </c>
      <c r="M968" s="11" t="str">
        <f>IF(I968&lt;&gt;"",DATA!E967,"")</f>
        <v>TOW BAR</v>
      </c>
      <c r="N968" s="12">
        <v>0</v>
      </c>
      <c r="O968" s="11">
        <f>IF(I968&lt;&gt;"",DATA!C967,"")</f>
        <v>42.45</v>
      </c>
      <c r="P968" s="2">
        <v>294094</v>
      </c>
      <c r="Q968" s="2" t="s">
        <v>1304</v>
      </c>
      <c r="R968" s="2" t="s">
        <v>1324</v>
      </c>
      <c r="S968" s="2">
        <v>209</v>
      </c>
      <c r="T968" s="2">
        <v>1</v>
      </c>
      <c r="U968" s="2" t="s">
        <v>141</v>
      </c>
      <c r="Y968" s="2">
        <v>1700</v>
      </c>
      <c r="Z968" s="11" t="s">
        <v>54</v>
      </c>
      <c r="AA968" s="11" t="str">
        <f t="shared" si="65"/>
        <v>1700 - TBN</v>
      </c>
      <c r="AC968" s="2" t="s">
        <v>145</v>
      </c>
      <c r="AD968" s="11" t="str">
        <f>IF($I968&lt;&gt;"",VLOOKUP($AC968,GEADRESSEERDE!$A$2:$E$4,2,),"")</f>
        <v>LUITHAGEN HAVEN 2 D</v>
      </c>
      <c r="AE968" s="11">
        <f>IF($I968&lt;&gt;"",VLOOKUP($AC968,GEADRESSEERDE!$A$2:$E$4,3,),"")</f>
        <v>2030</v>
      </c>
      <c r="AF968" s="11" t="str">
        <f>IF($I968&lt;&gt;"",VLOOKUP($AC968,GEADRESSEERDE!$A$2:$E$4,4,),"")</f>
        <v>ANTWERPEN</v>
      </c>
      <c r="AG968" s="11" t="str">
        <f>IF($I968&lt;&gt;"",VLOOKUP($AC968,GEADRESSEERDE!$A$2:$E$4,5,),"")</f>
        <v>BE</v>
      </c>
      <c r="AH968" s="11" t="str">
        <f>IF(I968&lt;&gt;"",VLOOKUP(AP968,KvB!$A$2:$B$3,2,FALSE),"")</f>
        <v>BE101000</v>
      </c>
      <c r="AI968" s="11" t="s">
        <v>55</v>
      </c>
      <c r="AJ968" s="11"/>
      <c r="AK968" s="11"/>
      <c r="AL968" s="11"/>
      <c r="AM968" s="11"/>
      <c r="AN968" s="11"/>
      <c r="AO968" s="11"/>
      <c r="AP968" s="2" t="s">
        <v>70</v>
      </c>
      <c r="AQ968" s="11" t="str">
        <f>IF(I968&lt;&gt;"",DATA!D967,"")</f>
        <v>8716909050</v>
      </c>
    </row>
    <row r="969" spans="1:43" ht="15.75" x14ac:dyDescent="0.25">
      <c r="A969" s="11" t="s">
        <v>57</v>
      </c>
      <c r="B969" s="11" t="s">
        <v>56</v>
      </c>
      <c r="C969" s="22">
        <f t="shared" si="66"/>
        <v>25001620</v>
      </c>
      <c r="D969" s="11" t="str">
        <f t="shared" si="63"/>
        <v>SKIIFM_AT</v>
      </c>
      <c r="E969" s="11" t="str">
        <f>IF(I969&lt;&gt;"",VLOOKUP(F969,OPDRACHTGEVER!$A$2:$B$4,2,FALSE),"")</f>
        <v>SKIIFM_AT</v>
      </c>
      <c r="F969" s="11" t="s">
        <v>58</v>
      </c>
      <c r="I969" s="11" t="str">
        <f>IF(DATA!B968&lt;&gt;"",DATA!B968,"")</f>
        <v>FSCU7996366</v>
      </c>
      <c r="J969" s="12">
        <v>0</v>
      </c>
      <c r="K969" s="11" t="s">
        <v>53</v>
      </c>
      <c r="L969" s="11" t="str">
        <f t="shared" si="64"/>
        <v>841382</v>
      </c>
      <c r="M969" s="11" t="str">
        <f>IF(I969&lt;&gt;"",DATA!E968,"")</f>
        <v>TRANSFER PUMP</v>
      </c>
      <c r="N969" s="12">
        <v>0</v>
      </c>
      <c r="O969" s="11">
        <f>IF(I969&lt;&gt;"",DATA!C968,"")</f>
        <v>137.19999999999999</v>
      </c>
      <c r="P969" s="2">
        <v>294094</v>
      </c>
      <c r="Q969" s="2" t="s">
        <v>1304</v>
      </c>
      <c r="R969" s="2" t="s">
        <v>1324</v>
      </c>
      <c r="S969" s="2">
        <v>209</v>
      </c>
      <c r="T969" s="2">
        <v>1</v>
      </c>
      <c r="U969" s="2" t="s">
        <v>141</v>
      </c>
      <c r="Y969" s="2">
        <v>1700</v>
      </c>
      <c r="Z969" s="11" t="s">
        <v>54</v>
      </c>
      <c r="AA969" s="11" t="str">
        <f t="shared" si="65"/>
        <v>1700 - TBN</v>
      </c>
      <c r="AC969" s="2" t="s">
        <v>145</v>
      </c>
      <c r="AD969" s="11" t="str">
        <f>IF($I969&lt;&gt;"",VLOOKUP($AC969,GEADRESSEERDE!$A$2:$E$4,2,),"")</f>
        <v>LUITHAGEN HAVEN 2 D</v>
      </c>
      <c r="AE969" s="11">
        <f>IF($I969&lt;&gt;"",VLOOKUP($AC969,GEADRESSEERDE!$A$2:$E$4,3,),"")</f>
        <v>2030</v>
      </c>
      <c r="AF969" s="11" t="str">
        <f>IF($I969&lt;&gt;"",VLOOKUP($AC969,GEADRESSEERDE!$A$2:$E$4,4,),"")</f>
        <v>ANTWERPEN</v>
      </c>
      <c r="AG969" s="11" t="str">
        <f>IF($I969&lt;&gt;"",VLOOKUP($AC969,GEADRESSEERDE!$A$2:$E$4,5,),"")</f>
        <v>BE</v>
      </c>
      <c r="AH969" s="11" t="str">
        <f>IF(I969&lt;&gt;"",VLOOKUP(AP969,KvB!$A$2:$B$3,2,FALSE),"")</f>
        <v>BE101000</v>
      </c>
      <c r="AI969" s="11" t="s">
        <v>55</v>
      </c>
      <c r="AJ969" s="11"/>
      <c r="AK969" s="11"/>
      <c r="AL969" s="11"/>
      <c r="AM969" s="11"/>
      <c r="AN969" s="11"/>
      <c r="AO969" s="11"/>
      <c r="AP969" s="2" t="s">
        <v>70</v>
      </c>
      <c r="AQ969" s="11" t="str">
        <f>IF(I969&lt;&gt;"",DATA!D968,"")</f>
        <v>8413820000</v>
      </c>
    </row>
    <row r="970" spans="1:43" ht="15.75" x14ac:dyDescent="0.25">
      <c r="A970" s="11" t="s">
        <v>57</v>
      </c>
      <c r="B970" s="11" t="s">
        <v>56</v>
      </c>
      <c r="C970" s="22">
        <f t="shared" si="66"/>
        <v>25001620</v>
      </c>
      <c r="D970" s="11" t="str">
        <f t="shared" si="63"/>
        <v>SKIIFM_AT</v>
      </c>
      <c r="E970" s="11" t="str">
        <f>IF(I970&lt;&gt;"",VLOOKUP(F970,OPDRACHTGEVER!$A$2:$B$4,2,FALSE),"")</f>
        <v>SKIIFM_AT</v>
      </c>
      <c r="F970" s="11" t="s">
        <v>58</v>
      </c>
      <c r="I970" s="11" t="str">
        <f>IF(DATA!B969&lt;&gt;"",DATA!B969,"")</f>
        <v>FSCU7996366</v>
      </c>
      <c r="J970" s="12">
        <v>0</v>
      </c>
      <c r="K970" s="11" t="s">
        <v>53</v>
      </c>
      <c r="L970" s="11" t="str">
        <f t="shared" si="64"/>
        <v>850819</v>
      </c>
      <c r="M970" s="11" t="str">
        <f>IF(I970&lt;&gt;"",DATA!E969,"")</f>
        <v>VACUUM CLEANER</v>
      </c>
      <c r="N970" s="12">
        <v>0</v>
      </c>
      <c r="O970" s="11">
        <f>IF(I970&lt;&gt;"",DATA!C969,"")</f>
        <v>223.1</v>
      </c>
      <c r="P970" s="2">
        <v>294094</v>
      </c>
      <c r="Q970" s="2" t="s">
        <v>1304</v>
      </c>
      <c r="R970" s="2" t="s">
        <v>1324</v>
      </c>
      <c r="S970" s="2">
        <v>209</v>
      </c>
      <c r="T970" s="2">
        <v>1</v>
      </c>
      <c r="U970" s="2" t="s">
        <v>141</v>
      </c>
      <c r="Y970" s="2">
        <v>1700</v>
      </c>
      <c r="Z970" s="11" t="s">
        <v>54</v>
      </c>
      <c r="AA970" s="11" t="str">
        <f t="shared" si="65"/>
        <v>1700 - TBN</v>
      </c>
      <c r="AC970" s="2" t="s">
        <v>145</v>
      </c>
      <c r="AD970" s="11" t="str">
        <f>IF($I970&lt;&gt;"",VLOOKUP($AC970,GEADRESSEERDE!$A$2:$E$4,2,),"")</f>
        <v>LUITHAGEN HAVEN 2 D</v>
      </c>
      <c r="AE970" s="11">
        <f>IF($I970&lt;&gt;"",VLOOKUP($AC970,GEADRESSEERDE!$A$2:$E$4,3,),"")</f>
        <v>2030</v>
      </c>
      <c r="AF970" s="11" t="str">
        <f>IF($I970&lt;&gt;"",VLOOKUP($AC970,GEADRESSEERDE!$A$2:$E$4,4,),"")</f>
        <v>ANTWERPEN</v>
      </c>
      <c r="AG970" s="11" t="str">
        <f>IF($I970&lt;&gt;"",VLOOKUP($AC970,GEADRESSEERDE!$A$2:$E$4,5,),"")</f>
        <v>BE</v>
      </c>
      <c r="AH970" s="11" t="str">
        <f>IF(I970&lt;&gt;"",VLOOKUP(AP970,KvB!$A$2:$B$3,2,FALSE),"")</f>
        <v>BE101000</v>
      </c>
      <c r="AI970" s="11" t="s">
        <v>55</v>
      </c>
      <c r="AJ970" s="11"/>
      <c r="AK970" s="11"/>
      <c r="AL970" s="11"/>
      <c r="AM970" s="11"/>
      <c r="AN970" s="11"/>
      <c r="AO970" s="11"/>
      <c r="AP970" s="2" t="s">
        <v>70</v>
      </c>
      <c r="AQ970" s="11" t="str">
        <f>IF(I970&lt;&gt;"",DATA!D969,"")</f>
        <v>8508190000</v>
      </c>
    </row>
    <row r="971" spans="1:43" ht="15.75" x14ac:dyDescent="0.25">
      <c r="A971" s="11" t="s">
        <v>57</v>
      </c>
      <c r="B971" s="11" t="s">
        <v>56</v>
      </c>
      <c r="C971" s="22">
        <f t="shared" si="66"/>
        <v>25001620</v>
      </c>
      <c r="D971" s="11" t="str">
        <f t="shared" si="63"/>
        <v>SKIIFM_AT</v>
      </c>
      <c r="E971" s="11" t="str">
        <f>IF(I971&lt;&gt;"",VLOOKUP(F971,OPDRACHTGEVER!$A$2:$B$4,2,FALSE),"")</f>
        <v>SKIIFM_AT</v>
      </c>
      <c r="F971" s="11" t="s">
        <v>58</v>
      </c>
      <c r="I971" s="11" t="str">
        <f>IF(DATA!B970&lt;&gt;"",DATA!B970,"")</f>
        <v>FSCU7996366</v>
      </c>
      <c r="J971" s="12">
        <v>0</v>
      </c>
      <c r="K971" s="11" t="s">
        <v>53</v>
      </c>
      <c r="L971" s="11" t="str">
        <f t="shared" si="64"/>
        <v>841410</v>
      </c>
      <c r="M971" s="11" t="str">
        <f>IF(I971&lt;&gt;"",DATA!E970,"")</f>
        <v>VACUUM PUMP</v>
      </c>
      <c r="N971" s="12">
        <v>0</v>
      </c>
      <c r="O971" s="11">
        <f>IF(I971&lt;&gt;"",DATA!C970,"")</f>
        <v>1023.75</v>
      </c>
      <c r="P971" s="2">
        <v>294094</v>
      </c>
      <c r="Q971" s="2" t="s">
        <v>1304</v>
      </c>
      <c r="R971" s="2" t="s">
        <v>1324</v>
      </c>
      <c r="S971" s="2">
        <v>209</v>
      </c>
      <c r="T971" s="2">
        <v>1</v>
      </c>
      <c r="U971" s="2" t="s">
        <v>141</v>
      </c>
      <c r="Y971" s="2">
        <v>1700</v>
      </c>
      <c r="Z971" s="11" t="s">
        <v>54</v>
      </c>
      <c r="AA971" s="11" t="str">
        <f t="shared" si="65"/>
        <v>1700 - TBN</v>
      </c>
      <c r="AC971" s="2" t="s">
        <v>145</v>
      </c>
      <c r="AD971" s="11" t="str">
        <f>IF($I971&lt;&gt;"",VLOOKUP($AC971,GEADRESSEERDE!$A$2:$E$4,2,),"")</f>
        <v>LUITHAGEN HAVEN 2 D</v>
      </c>
      <c r="AE971" s="11">
        <f>IF($I971&lt;&gt;"",VLOOKUP($AC971,GEADRESSEERDE!$A$2:$E$4,3,),"")</f>
        <v>2030</v>
      </c>
      <c r="AF971" s="11" t="str">
        <f>IF($I971&lt;&gt;"",VLOOKUP($AC971,GEADRESSEERDE!$A$2:$E$4,4,),"")</f>
        <v>ANTWERPEN</v>
      </c>
      <c r="AG971" s="11" t="str">
        <f>IF($I971&lt;&gt;"",VLOOKUP($AC971,GEADRESSEERDE!$A$2:$E$4,5,),"")</f>
        <v>BE</v>
      </c>
      <c r="AH971" s="11" t="str">
        <f>IF(I971&lt;&gt;"",VLOOKUP(AP971,KvB!$A$2:$B$3,2,FALSE),"")</f>
        <v>BE101000</v>
      </c>
      <c r="AI971" s="11" t="s">
        <v>55</v>
      </c>
      <c r="AJ971" s="11"/>
      <c r="AK971" s="11"/>
      <c r="AL971" s="11"/>
      <c r="AM971" s="11"/>
      <c r="AN971" s="11"/>
      <c r="AO971" s="11"/>
      <c r="AP971" s="2" t="s">
        <v>70</v>
      </c>
      <c r="AQ971" s="11" t="str">
        <f>IF(I971&lt;&gt;"",DATA!D970,"")</f>
        <v>8414108990</v>
      </c>
    </row>
    <row r="972" spans="1:43" ht="15.75" x14ac:dyDescent="0.25">
      <c r="A972" s="11" t="s">
        <v>57</v>
      </c>
      <c r="B972" s="11" t="s">
        <v>56</v>
      </c>
      <c r="C972" s="22">
        <f t="shared" si="66"/>
        <v>25001620</v>
      </c>
      <c r="D972" s="11" t="str">
        <f t="shared" si="63"/>
        <v>SKIIFM_AT</v>
      </c>
      <c r="E972" s="11" t="str">
        <f>IF(I972&lt;&gt;"",VLOOKUP(F972,OPDRACHTGEVER!$A$2:$B$4,2,FALSE),"")</f>
        <v>SKIIFM_AT</v>
      </c>
      <c r="F972" s="11" t="s">
        <v>58</v>
      </c>
      <c r="I972" s="11" t="str">
        <f>IF(DATA!B971&lt;&gt;"",DATA!B971,"")</f>
        <v>FSCU7996366</v>
      </c>
      <c r="J972" s="12">
        <v>0</v>
      </c>
      <c r="K972" s="11" t="s">
        <v>53</v>
      </c>
      <c r="L972" s="11" t="str">
        <f t="shared" si="64"/>
        <v>902781</v>
      </c>
      <c r="M972" s="11" t="str">
        <f>IF(I972&lt;&gt;"",DATA!E971,"")</f>
        <v>VISCOMETER</v>
      </c>
      <c r="N972" s="12">
        <v>0</v>
      </c>
      <c r="O972" s="11">
        <f>IF(I972&lt;&gt;"",DATA!C971,"")</f>
        <v>7.35</v>
      </c>
      <c r="P972" s="2">
        <v>294094</v>
      </c>
      <c r="Q972" s="2" t="s">
        <v>1304</v>
      </c>
      <c r="R972" s="2" t="s">
        <v>1324</v>
      </c>
      <c r="S972" s="2">
        <v>209</v>
      </c>
      <c r="T972" s="2">
        <v>1</v>
      </c>
      <c r="U972" s="2" t="s">
        <v>141</v>
      </c>
      <c r="Y972" s="2">
        <v>1700</v>
      </c>
      <c r="Z972" s="11" t="s">
        <v>54</v>
      </c>
      <c r="AA972" s="11" t="str">
        <f t="shared" si="65"/>
        <v>1700 - TBN</v>
      </c>
      <c r="AC972" s="2" t="s">
        <v>145</v>
      </c>
      <c r="AD972" s="11" t="str">
        <f>IF($I972&lt;&gt;"",VLOOKUP($AC972,GEADRESSEERDE!$A$2:$E$4,2,),"")</f>
        <v>LUITHAGEN HAVEN 2 D</v>
      </c>
      <c r="AE972" s="11">
        <f>IF($I972&lt;&gt;"",VLOOKUP($AC972,GEADRESSEERDE!$A$2:$E$4,3,),"")</f>
        <v>2030</v>
      </c>
      <c r="AF972" s="11" t="str">
        <f>IF($I972&lt;&gt;"",VLOOKUP($AC972,GEADRESSEERDE!$A$2:$E$4,4,),"")</f>
        <v>ANTWERPEN</v>
      </c>
      <c r="AG972" s="11" t="str">
        <f>IF($I972&lt;&gt;"",VLOOKUP($AC972,GEADRESSEERDE!$A$2:$E$4,5,),"")</f>
        <v>BE</v>
      </c>
      <c r="AH972" s="11" t="str">
        <f>IF(I972&lt;&gt;"",VLOOKUP(AP972,KvB!$A$2:$B$3,2,FALSE),"")</f>
        <v>BE101000</v>
      </c>
      <c r="AI972" s="11" t="s">
        <v>55</v>
      </c>
      <c r="AJ972" s="11"/>
      <c r="AK972" s="11"/>
      <c r="AL972" s="11"/>
      <c r="AM972" s="11"/>
      <c r="AN972" s="11"/>
      <c r="AO972" s="11"/>
      <c r="AP972" s="2" t="s">
        <v>70</v>
      </c>
      <c r="AQ972" s="11" t="str">
        <f>IF(I972&lt;&gt;"",DATA!D971,"")</f>
        <v>9027810000</v>
      </c>
    </row>
    <row r="973" spans="1:43" ht="15.75" x14ac:dyDescent="0.25">
      <c r="A973" s="11" t="s">
        <v>57</v>
      </c>
      <c r="B973" s="11" t="s">
        <v>56</v>
      </c>
      <c r="C973" s="22">
        <f t="shared" si="66"/>
        <v>25001620</v>
      </c>
      <c r="D973" s="11" t="str">
        <f t="shared" si="63"/>
        <v>SKIIFM_AT</v>
      </c>
      <c r="E973" s="11" t="str">
        <f>IF(I973&lt;&gt;"",VLOOKUP(F973,OPDRACHTGEVER!$A$2:$B$4,2,FALSE),"")</f>
        <v>SKIIFM_AT</v>
      </c>
      <c r="F973" s="11" t="s">
        <v>58</v>
      </c>
      <c r="I973" s="11" t="str">
        <f>IF(DATA!B972&lt;&gt;"",DATA!B972,"")</f>
        <v>FSCU7996366</v>
      </c>
      <c r="J973" s="12">
        <v>0</v>
      </c>
      <c r="K973" s="11" t="s">
        <v>53</v>
      </c>
      <c r="L973" s="11" t="str">
        <f t="shared" si="64"/>
        <v>442090</v>
      </c>
      <c r="M973" s="11" t="str">
        <f>IF(I973&lt;&gt;"",DATA!E972,"")</f>
        <v>WATCH WINDER</v>
      </c>
      <c r="N973" s="12">
        <v>0</v>
      </c>
      <c r="O973" s="11">
        <f>IF(I973&lt;&gt;"",DATA!C972,"")</f>
        <v>404.25</v>
      </c>
      <c r="P973" s="2">
        <v>294094</v>
      </c>
      <c r="Q973" s="2" t="s">
        <v>1304</v>
      </c>
      <c r="R973" s="2" t="s">
        <v>1324</v>
      </c>
      <c r="S973" s="2">
        <v>209</v>
      </c>
      <c r="T973" s="2">
        <v>1</v>
      </c>
      <c r="U973" s="2" t="s">
        <v>141</v>
      </c>
      <c r="Y973" s="2">
        <v>1700</v>
      </c>
      <c r="Z973" s="11" t="s">
        <v>54</v>
      </c>
      <c r="AA973" s="11" t="str">
        <f t="shared" si="65"/>
        <v>1700 - TBN</v>
      </c>
      <c r="AC973" s="2" t="s">
        <v>145</v>
      </c>
      <c r="AD973" s="11" t="str">
        <f>IF($I973&lt;&gt;"",VLOOKUP($AC973,GEADRESSEERDE!$A$2:$E$4,2,),"")</f>
        <v>LUITHAGEN HAVEN 2 D</v>
      </c>
      <c r="AE973" s="11">
        <f>IF($I973&lt;&gt;"",VLOOKUP($AC973,GEADRESSEERDE!$A$2:$E$4,3,),"")</f>
        <v>2030</v>
      </c>
      <c r="AF973" s="11" t="str">
        <f>IF($I973&lt;&gt;"",VLOOKUP($AC973,GEADRESSEERDE!$A$2:$E$4,4,),"")</f>
        <v>ANTWERPEN</v>
      </c>
      <c r="AG973" s="11" t="str">
        <f>IF($I973&lt;&gt;"",VLOOKUP($AC973,GEADRESSEERDE!$A$2:$E$4,5,),"")</f>
        <v>BE</v>
      </c>
      <c r="AH973" s="11" t="str">
        <f>IF(I973&lt;&gt;"",VLOOKUP(AP973,KvB!$A$2:$B$3,2,FALSE),"")</f>
        <v>BE101000</v>
      </c>
      <c r="AI973" s="11" t="s">
        <v>55</v>
      </c>
      <c r="AJ973" s="11"/>
      <c r="AK973" s="11"/>
      <c r="AL973" s="11"/>
      <c r="AM973" s="11"/>
      <c r="AN973" s="11"/>
      <c r="AO973" s="11"/>
      <c r="AP973" s="2" t="s">
        <v>70</v>
      </c>
      <c r="AQ973" s="11" t="str">
        <f>IF(I973&lt;&gt;"",DATA!D972,"")</f>
        <v>4420909990</v>
      </c>
    </row>
    <row r="974" spans="1:43" ht="15.75" x14ac:dyDescent="0.25">
      <c r="A974" s="11" t="s">
        <v>57</v>
      </c>
      <c r="B974" s="11" t="s">
        <v>56</v>
      </c>
      <c r="C974" s="22">
        <f t="shared" si="66"/>
        <v>25001620</v>
      </c>
      <c r="D974" s="11" t="str">
        <f t="shared" si="63"/>
        <v>SKIIFM_AT</v>
      </c>
      <c r="E974" s="11" t="str">
        <f>IF(I974&lt;&gt;"",VLOOKUP(F974,OPDRACHTGEVER!$A$2:$B$4,2,FALSE),"")</f>
        <v>SKIIFM_AT</v>
      </c>
      <c r="F974" s="11" t="s">
        <v>58</v>
      </c>
      <c r="I974" s="11" t="str">
        <f>IF(DATA!B973&lt;&gt;"",DATA!B973,"")</f>
        <v>FSCU7996366</v>
      </c>
      <c r="J974" s="12">
        <v>0</v>
      </c>
      <c r="K974" s="11" t="s">
        <v>53</v>
      </c>
      <c r="L974" s="11" t="str">
        <f t="shared" si="64"/>
        <v>841350</v>
      </c>
      <c r="M974" s="11" t="str">
        <f>IF(I974&lt;&gt;"",DATA!E973,"")</f>
        <v>WATER PUMP</v>
      </c>
      <c r="N974" s="12">
        <v>0</v>
      </c>
      <c r="O974" s="11">
        <f>IF(I974&lt;&gt;"",DATA!C973,"")</f>
        <v>807.25</v>
      </c>
      <c r="P974" s="2">
        <v>294094</v>
      </c>
      <c r="Q974" s="2" t="s">
        <v>1304</v>
      </c>
      <c r="R974" s="2" t="s">
        <v>1324</v>
      </c>
      <c r="S974" s="2">
        <v>209</v>
      </c>
      <c r="T974" s="2">
        <v>1</v>
      </c>
      <c r="U974" s="2" t="s">
        <v>141</v>
      </c>
      <c r="Y974" s="2">
        <v>1700</v>
      </c>
      <c r="Z974" s="11" t="s">
        <v>54</v>
      </c>
      <c r="AA974" s="11" t="str">
        <f t="shared" si="65"/>
        <v>1700 - TBN</v>
      </c>
      <c r="AC974" s="2" t="s">
        <v>145</v>
      </c>
      <c r="AD974" s="11" t="str">
        <f>IF($I974&lt;&gt;"",VLOOKUP($AC974,GEADRESSEERDE!$A$2:$E$4,2,),"")</f>
        <v>LUITHAGEN HAVEN 2 D</v>
      </c>
      <c r="AE974" s="11">
        <f>IF($I974&lt;&gt;"",VLOOKUP($AC974,GEADRESSEERDE!$A$2:$E$4,3,),"")</f>
        <v>2030</v>
      </c>
      <c r="AF974" s="11" t="str">
        <f>IF($I974&lt;&gt;"",VLOOKUP($AC974,GEADRESSEERDE!$A$2:$E$4,4,),"")</f>
        <v>ANTWERPEN</v>
      </c>
      <c r="AG974" s="11" t="str">
        <f>IF($I974&lt;&gt;"",VLOOKUP($AC974,GEADRESSEERDE!$A$2:$E$4,5,),"")</f>
        <v>BE</v>
      </c>
      <c r="AH974" s="11" t="str">
        <f>IF(I974&lt;&gt;"",VLOOKUP(AP974,KvB!$A$2:$B$3,2,FALSE),"")</f>
        <v>BE101000</v>
      </c>
      <c r="AI974" s="11" t="s">
        <v>55</v>
      </c>
      <c r="AJ974" s="11"/>
      <c r="AK974" s="11"/>
      <c r="AL974" s="11"/>
      <c r="AM974" s="11"/>
      <c r="AN974" s="11"/>
      <c r="AO974" s="11"/>
      <c r="AP974" s="2" t="s">
        <v>70</v>
      </c>
      <c r="AQ974" s="11" t="str">
        <f>IF(I974&lt;&gt;"",DATA!D973,"")</f>
        <v>8413502090</v>
      </c>
    </row>
    <row r="975" spans="1:43" ht="15.75" x14ac:dyDescent="0.25">
      <c r="A975" s="11" t="s">
        <v>57</v>
      </c>
      <c r="B975" s="11" t="s">
        <v>56</v>
      </c>
      <c r="C975" s="22">
        <f t="shared" si="66"/>
        <v>25001620</v>
      </c>
      <c r="D975" s="11" t="str">
        <f t="shared" si="63"/>
        <v>SKIIFM_AT</v>
      </c>
      <c r="E975" s="11" t="str">
        <f>IF(I975&lt;&gt;"",VLOOKUP(F975,OPDRACHTGEVER!$A$2:$B$4,2,FALSE),"")</f>
        <v>SKIIFM_AT</v>
      </c>
      <c r="F975" s="11" t="s">
        <v>58</v>
      </c>
      <c r="I975" s="11" t="str">
        <f>IF(DATA!B974&lt;&gt;"",DATA!B974,"")</f>
        <v>FSCU7996366</v>
      </c>
      <c r="J975" s="12">
        <v>0</v>
      </c>
      <c r="K975" s="11" t="s">
        <v>53</v>
      </c>
      <c r="L975" s="11" t="str">
        <f t="shared" si="64"/>
        <v>940320</v>
      </c>
      <c r="M975" s="11" t="str">
        <f>IF(I975&lt;&gt;"",DATA!E974,"")</f>
        <v>WELDING WORKBENCH</v>
      </c>
      <c r="N975" s="12">
        <v>0</v>
      </c>
      <c r="O975" s="11">
        <f>IF(I975&lt;&gt;"",DATA!C974,"")</f>
        <v>317.39999999999998</v>
      </c>
      <c r="P975" s="2">
        <v>294094</v>
      </c>
      <c r="Q975" s="2" t="s">
        <v>1304</v>
      </c>
      <c r="R975" s="2" t="s">
        <v>1324</v>
      </c>
      <c r="S975" s="2">
        <v>209</v>
      </c>
      <c r="T975" s="2">
        <v>1</v>
      </c>
      <c r="U975" s="2" t="s">
        <v>141</v>
      </c>
      <c r="Y975" s="2">
        <v>1700</v>
      </c>
      <c r="Z975" s="11" t="s">
        <v>54</v>
      </c>
      <c r="AA975" s="11" t="str">
        <f t="shared" si="65"/>
        <v>1700 - TBN</v>
      </c>
      <c r="AC975" s="2" t="s">
        <v>145</v>
      </c>
      <c r="AD975" s="11" t="str">
        <f>IF($I975&lt;&gt;"",VLOOKUP($AC975,GEADRESSEERDE!$A$2:$E$4,2,),"")</f>
        <v>LUITHAGEN HAVEN 2 D</v>
      </c>
      <c r="AE975" s="11">
        <f>IF($I975&lt;&gt;"",VLOOKUP($AC975,GEADRESSEERDE!$A$2:$E$4,3,),"")</f>
        <v>2030</v>
      </c>
      <c r="AF975" s="11" t="str">
        <f>IF($I975&lt;&gt;"",VLOOKUP($AC975,GEADRESSEERDE!$A$2:$E$4,4,),"")</f>
        <v>ANTWERPEN</v>
      </c>
      <c r="AG975" s="11" t="str">
        <f>IF($I975&lt;&gt;"",VLOOKUP($AC975,GEADRESSEERDE!$A$2:$E$4,5,),"")</f>
        <v>BE</v>
      </c>
      <c r="AH975" s="11" t="str">
        <f>IF(I975&lt;&gt;"",VLOOKUP(AP975,KvB!$A$2:$B$3,2,FALSE),"")</f>
        <v>BE101000</v>
      </c>
      <c r="AI975" s="11" t="s">
        <v>55</v>
      </c>
      <c r="AJ975" s="11"/>
      <c r="AK975" s="11"/>
      <c r="AL975" s="11"/>
      <c r="AM975" s="11"/>
      <c r="AN975" s="11"/>
      <c r="AO975" s="11"/>
      <c r="AP975" s="2" t="s">
        <v>70</v>
      </c>
      <c r="AQ975" s="11" t="str">
        <f>IF(I975&lt;&gt;"",DATA!D974,"")</f>
        <v>9403208000</v>
      </c>
    </row>
    <row r="976" spans="1:43" ht="15.75" x14ac:dyDescent="0.25">
      <c r="A976" s="11" t="s">
        <v>57</v>
      </c>
      <c r="B976" s="11" t="s">
        <v>56</v>
      </c>
      <c r="C976" s="22">
        <f t="shared" si="66"/>
        <v>25001620</v>
      </c>
      <c r="D976" s="11" t="str">
        <f t="shared" si="63"/>
        <v>SKIIFM_AT</v>
      </c>
      <c r="E976" s="11" t="str">
        <f>IF(I976&lt;&gt;"",VLOOKUP(F976,OPDRACHTGEVER!$A$2:$B$4,2,FALSE),"")</f>
        <v>SKIIFM_AT</v>
      </c>
      <c r="F976" s="11" t="s">
        <v>58</v>
      </c>
      <c r="I976" s="11" t="str">
        <f>IF(DATA!B975&lt;&gt;"",DATA!B975,"")</f>
        <v>GLDU0704021</v>
      </c>
      <c r="J976" s="12">
        <v>1764</v>
      </c>
      <c r="K976" s="11" t="s">
        <v>53</v>
      </c>
      <c r="L976" s="11" t="str">
        <f t="shared" si="64"/>
        <v>820570</v>
      </c>
      <c r="M976" s="11" t="str">
        <f>IF(I976&lt;&gt;"",DATA!E975,"")</f>
        <v>A VICE</v>
      </c>
      <c r="N976" s="12">
        <v>21526</v>
      </c>
      <c r="O976" s="11">
        <f>IF(I976&lt;&gt;"",DATA!C975,"")</f>
        <v>252.95</v>
      </c>
      <c r="P976" s="2">
        <v>294094</v>
      </c>
      <c r="Q976" s="2" t="s">
        <v>1304</v>
      </c>
      <c r="R976" s="2" t="s">
        <v>1325</v>
      </c>
      <c r="S976" s="2">
        <v>8</v>
      </c>
      <c r="T976" s="2">
        <v>1</v>
      </c>
      <c r="U976" s="2" t="s">
        <v>141</v>
      </c>
      <c r="Y976" s="2">
        <v>1700</v>
      </c>
      <c r="Z976" s="11" t="s">
        <v>54</v>
      </c>
      <c r="AA976" s="11" t="str">
        <f t="shared" si="65"/>
        <v>1700 - TBN</v>
      </c>
      <c r="AC976" s="2" t="s">
        <v>145</v>
      </c>
      <c r="AD976" s="11" t="str">
        <f>IF($I976&lt;&gt;"",VLOOKUP($AC976,GEADRESSEERDE!$A$2:$E$4,2,),"")</f>
        <v>LUITHAGEN HAVEN 2 D</v>
      </c>
      <c r="AE976" s="11">
        <f>IF($I976&lt;&gt;"",VLOOKUP($AC976,GEADRESSEERDE!$A$2:$E$4,3,),"")</f>
        <v>2030</v>
      </c>
      <c r="AF976" s="11" t="str">
        <f>IF($I976&lt;&gt;"",VLOOKUP($AC976,GEADRESSEERDE!$A$2:$E$4,4,),"")</f>
        <v>ANTWERPEN</v>
      </c>
      <c r="AG976" s="11" t="str">
        <f>IF($I976&lt;&gt;"",VLOOKUP($AC976,GEADRESSEERDE!$A$2:$E$4,5,),"")</f>
        <v>BE</v>
      </c>
      <c r="AH976" s="11" t="str">
        <f>IF(I976&lt;&gt;"",VLOOKUP(AP976,KvB!$A$2:$B$3,2,FALSE),"")</f>
        <v>BE101000</v>
      </c>
      <c r="AI976" s="11" t="s">
        <v>55</v>
      </c>
      <c r="AJ976" s="11"/>
      <c r="AK976" s="11"/>
      <c r="AL976" s="11"/>
      <c r="AM976" s="11"/>
      <c r="AN976" s="11"/>
      <c r="AO976" s="11"/>
      <c r="AP976" s="2" t="s">
        <v>70</v>
      </c>
      <c r="AQ976" s="11" t="str">
        <f>IF(I976&lt;&gt;"",DATA!D975,"")</f>
        <v>8205700000</v>
      </c>
    </row>
    <row r="977" spans="1:43" ht="15.75" x14ac:dyDescent="0.25">
      <c r="A977" s="11" t="s">
        <v>57</v>
      </c>
      <c r="B977" s="11" t="s">
        <v>56</v>
      </c>
      <c r="C977" s="22">
        <f t="shared" si="66"/>
        <v>25001620</v>
      </c>
      <c r="D977" s="11" t="str">
        <f t="shared" si="63"/>
        <v>SKIIFM_AT</v>
      </c>
      <c r="E977" s="11" t="str">
        <f>IF(I977&lt;&gt;"",VLOOKUP(F977,OPDRACHTGEVER!$A$2:$B$4,2,FALSE),"")</f>
        <v>SKIIFM_AT</v>
      </c>
      <c r="F977" s="11" t="s">
        <v>58</v>
      </c>
      <c r="I977" s="11" t="str">
        <f>IF(DATA!B976&lt;&gt;"",DATA!B976,"")</f>
        <v>GLDU0704021</v>
      </c>
      <c r="J977" s="12">
        <v>0</v>
      </c>
      <c r="K977" s="11" t="s">
        <v>53</v>
      </c>
      <c r="L977" s="11" t="str">
        <f t="shared" si="64"/>
        <v>741920</v>
      </c>
      <c r="M977" s="11" t="str">
        <f>IF(I977&lt;&gt;"",DATA!E976,"")</f>
        <v>AIR HEATER</v>
      </c>
      <c r="N977" s="12">
        <v>0</v>
      </c>
      <c r="O977" s="11">
        <f>IF(I977&lt;&gt;"",DATA!C976,"")</f>
        <v>160.46</v>
      </c>
      <c r="P977" s="2">
        <v>294094</v>
      </c>
      <c r="Q977" s="2" t="s">
        <v>1304</v>
      </c>
      <c r="R977" s="2" t="s">
        <v>1325</v>
      </c>
      <c r="S977" s="2">
        <v>8</v>
      </c>
      <c r="T977" s="2">
        <v>1</v>
      </c>
      <c r="U977" s="2" t="s">
        <v>141</v>
      </c>
      <c r="Y977" s="2">
        <v>1700</v>
      </c>
      <c r="Z977" s="11" t="s">
        <v>54</v>
      </c>
      <c r="AA977" s="11" t="str">
        <f t="shared" si="65"/>
        <v>1700 - TBN</v>
      </c>
      <c r="AC977" s="2" t="s">
        <v>145</v>
      </c>
      <c r="AD977" s="11" t="str">
        <f>IF($I977&lt;&gt;"",VLOOKUP($AC977,GEADRESSEERDE!$A$2:$E$4,2,),"")</f>
        <v>LUITHAGEN HAVEN 2 D</v>
      </c>
      <c r="AE977" s="11">
        <f>IF($I977&lt;&gt;"",VLOOKUP($AC977,GEADRESSEERDE!$A$2:$E$4,3,),"")</f>
        <v>2030</v>
      </c>
      <c r="AF977" s="11" t="str">
        <f>IF($I977&lt;&gt;"",VLOOKUP($AC977,GEADRESSEERDE!$A$2:$E$4,4,),"")</f>
        <v>ANTWERPEN</v>
      </c>
      <c r="AG977" s="11" t="str">
        <f>IF($I977&lt;&gt;"",VLOOKUP($AC977,GEADRESSEERDE!$A$2:$E$4,5,),"")</f>
        <v>BE</v>
      </c>
      <c r="AH977" s="11" t="str">
        <f>IF(I977&lt;&gt;"",VLOOKUP(AP977,KvB!$A$2:$B$3,2,FALSE),"")</f>
        <v>BE101000</v>
      </c>
      <c r="AI977" s="11" t="s">
        <v>55</v>
      </c>
      <c r="AJ977" s="11"/>
      <c r="AK977" s="11"/>
      <c r="AL977" s="11"/>
      <c r="AM977" s="11"/>
      <c r="AN977" s="11"/>
      <c r="AO977" s="11"/>
      <c r="AP977" s="2" t="s">
        <v>70</v>
      </c>
      <c r="AQ977" s="11" t="str">
        <f>IF(I977&lt;&gt;"",DATA!D976,"")</f>
        <v>7419200090</v>
      </c>
    </row>
    <row r="978" spans="1:43" ht="15.75" x14ac:dyDescent="0.25">
      <c r="A978" s="11" t="s">
        <v>57</v>
      </c>
      <c r="B978" s="11" t="s">
        <v>56</v>
      </c>
      <c r="C978" s="22">
        <f t="shared" si="66"/>
        <v>25001620</v>
      </c>
      <c r="D978" s="11" t="str">
        <f t="shared" si="63"/>
        <v>SKIIFM_AT</v>
      </c>
      <c r="E978" s="11" t="str">
        <f>IF(I978&lt;&gt;"",VLOOKUP(F978,OPDRACHTGEVER!$A$2:$B$4,2,FALSE),"")</f>
        <v>SKIIFM_AT</v>
      </c>
      <c r="F978" s="11" t="s">
        <v>58</v>
      </c>
      <c r="I978" s="11" t="str">
        <f>IF(DATA!B977&lt;&gt;"",DATA!B977,"")</f>
        <v>GLDU0704021</v>
      </c>
      <c r="J978" s="12">
        <v>0</v>
      </c>
      <c r="K978" s="11" t="s">
        <v>53</v>
      </c>
      <c r="L978" s="11" t="str">
        <f t="shared" si="64"/>
        <v>741920</v>
      </c>
      <c r="M978" s="11" t="str">
        <f>IF(I978&lt;&gt;"",DATA!E977,"")</f>
        <v>BARBED WIRE MESH</v>
      </c>
      <c r="N978" s="12">
        <v>0</v>
      </c>
      <c r="O978" s="11">
        <f>IF(I978&lt;&gt;"",DATA!C977,"")</f>
        <v>35.86</v>
      </c>
      <c r="P978" s="2">
        <v>294094</v>
      </c>
      <c r="Q978" s="2" t="s">
        <v>1304</v>
      </c>
      <c r="R978" s="2" t="s">
        <v>1325</v>
      </c>
      <c r="S978" s="2">
        <v>8</v>
      </c>
      <c r="T978" s="2">
        <v>1</v>
      </c>
      <c r="U978" s="2" t="s">
        <v>141</v>
      </c>
      <c r="Y978" s="2">
        <v>1700</v>
      </c>
      <c r="Z978" s="11" t="s">
        <v>54</v>
      </c>
      <c r="AA978" s="11" t="str">
        <f t="shared" si="65"/>
        <v>1700 - TBN</v>
      </c>
      <c r="AC978" s="2" t="s">
        <v>145</v>
      </c>
      <c r="AD978" s="11" t="str">
        <f>IF($I978&lt;&gt;"",VLOOKUP($AC978,GEADRESSEERDE!$A$2:$E$4,2,),"")</f>
        <v>LUITHAGEN HAVEN 2 D</v>
      </c>
      <c r="AE978" s="11">
        <f>IF($I978&lt;&gt;"",VLOOKUP($AC978,GEADRESSEERDE!$A$2:$E$4,3,),"")</f>
        <v>2030</v>
      </c>
      <c r="AF978" s="11" t="str">
        <f>IF($I978&lt;&gt;"",VLOOKUP($AC978,GEADRESSEERDE!$A$2:$E$4,4,),"")</f>
        <v>ANTWERPEN</v>
      </c>
      <c r="AG978" s="11" t="str">
        <f>IF($I978&lt;&gt;"",VLOOKUP($AC978,GEADRESSEERDE!$A$2:$E$4,5,),"")</f>
        <v>BE</v>
      </c>
      <c r="AH978" s="11" t="str">
        <f>IF(I978&lt;&gt;"",VLOOKUP(AP978,KvB!$A$2:$B$3,2,FALSE),"")</f>
        <v>BE101000</v>
      </c>
      <c r="AI978" s="11" t="s">
        <v>55</v>
      </c>
      <c r="AJ978" s="11"/>
      <c r="AK978" s="11"/>
      <c r="AL978" s="11"/>
      <c r="AM978" s="11"/>
      <c r="AN978" s="11"/>
      <c r="AO978" s="11"/>
      <c r="AP978" s="2" t="s">
        <v>70</v>
      </c>
      <c r="AQ978" s="11" t="str">
        <f>IF(I978&lt;&gt;"",DATA!D977,"")</f>
        <v>7419200090</v>
      </c>
    </row>
    <row r="979" spans="1:43" ht="15.75" x14ac:dyDescent="0.25">
      <c r="A979" s="11" t="s">
        <v>57</v>
      </c>
      <c r="B979" s="11" t="s">
        <v>56</v>
      </c>
      <c r="C979" s="22">
        <f t="shared" si="66"/>
        <v>25001620</v>
      </c>
      <c r="D979" s="11" t="str">
        <f t="shared" si="63"/>
        <v>SKIIFM_AT</v>
      </c>
      <c r="E979" s="11" t="str">
        <f>IF(I979&lt;&gt;"",VLOOKUP(F979,OPDRACHTGEVER!$A$2:$B$4,2,FALSE),"")</f>
        <v>SKIIFM_AT</v>
      </c>
      <c r="F979" s="11" t="s">
        <v>58</v>
      </c>
      <c r="I979" s="11" t="str">
        <f>IF(DATA!B978&lt;&gt;"",DATA!B978,"")</f>
        <v>GLDU0704021</v>
      </c>
      <c r="J979" s="12">
        <v>0</v>
      </c>
      <c r="K979" s="11" t="s">
        <v>53</v>
      </c>
      <c r="L979" s="11" t="str">
        <f t="shared" si="64"/>
        <v>761699</v>
      </c>
      <c r="M979" s="11" t="str">
        <f>IF(I979&lt;&gt;"",DATA!E978,"")</f>
        <v>BICYCLE REPAIR STAND</v>
      </c>
      <c r="N979" s="12">
        <v>0</v>
      </c>
      <c r="O979" s="11">
        <f>IF(I979&lt;&gt;"",DATA!C978,"")</f>
        <v>14.86</v>
      </c>
      <c r="P979" s="2">
        <v>294094</v>
      </c>
      <c r="Q979" s="2" t="s">
        <v>1304</v>
      </c>
      <c r="R979" s="2" t="s">
        <v>1325</v>
      </c>
      <c r="S979" s="2">
        <v>8</v>
      </c>
      <c r="T979" s="2">
        <v>1</v>
      </c>
      <c r="U979" s="2" t="s">
        <v>141</v>
      </c>
      <c r="Y979" s="2">
        <v>1700</v>
      </c>
      <c r="Z979" s="11" t="s">
        <v>54</v>
      </c>
      <c r="AA979" s="11" t="str">
        <f t="shared" si="65"/>
        <v>1700 - TBN</v>
      </c>
      <c r="AC979" s="2" t="s">
        <v>145</v>
      </c>
      <c r="AD979" s="11" t="str">
        <f>IF($I979&lt;&gt;"",VLOOKUP($AC979,GEADRESSEERDE!$A$2:$E$4,2,),"")</f>
        <v>LUITHAGEN HAVEN 2 D</v>
      </c>
      <c r="AE979" s="11">
        <f>IF($I979&lt;&gt;"",VLOOKUP($AC979,GEADRESSEERDE!$A$2:$E$4,3,),"")</f>
        <v>2030</v>
      </c>
      <c r="AF979" s="11" t="str">
        <f>IF($I979&lt;&gt;"",VLOOKUP($AC979,GEADRESSEERDE!$A$2:$E$4,4,),"")</f>
        <v>ANTWERPEN</v>
      </c>
      <c r="AG979" s="11" t="str">
        <f>IF($I979&lt;&gt;"",VLOOKUP($AC979,GEADRESSEERDE!$A$2:$E$4,5,),"")</f>
        <v>BE</v>
      </c>
      <c r="AH979" s="11" t="str">
        <f>IF(I979&lt;&gt;"",VLOOKUP(AP979,KvB!$A$2:$B$3,2,FALSE),"")</f>
        <v>BE101000</v>
      </c>
      <c r="AI979" s="11" t="s">
        <v>55</v>
      </c>
      <c r="AJ979" s="11"/>
      <c r="AK979" s="11"/>
      <c r="AL979" s="11"/>
      <c r="AM979" s="11"/>
      <c r="AN979" s="11"/>
      <c r="AO979" s="11"/>
      <c r="AP979" s="2" t="s">
        <v>70</v>
      </c>
      <c r="AQ979" s="11" t="str">
        <f>IF(I979&lt;&gt;"",DATA!D978,"")</f>
        <v>7616999009</v>
      </c>
    </row>
    <row r="980" spans="1:43" ht="15.75" x14ac:dyDescent="0.25">
      <c r="A980" s="11" t="s">
        <v>57</v>
      </c>
      <c r="B980" s="11" t="s">
        <v>56</v>
      </c>
      <c r="C980" s="22">
        <f t="shared" si="66"/>
        <v>25001620</v>
      </c>
      <c r="D980" s="11" t="str">
        <f t="shared" si="63"/>
        <v>SKIIFM_AT</v>
      </c>
      <c r="E980" s="11" t="str">
        <f>IF(I980&lt;&gt;"",VLOOKUP(F980,OPDRACHTGEVER!$A$2:$B$4,2,FALSE),"")</f>
        <v>SKIIFM_AT</v>
      </c>
      <c r="F980" s="11" t="s">
        <v>58</v>
      </c>
      <c r="I980" s="11" t="str">
        <f>IF(DATA!B979&lt;&gt;"",DATA!B979,"")</f>
        <v>GLDU0704021</v>
      </c>
      <c r="J980" s="12">
        <v>0</v>
      </c>
      <c r="K980" s="11" t="s">
        <v>53</v>
      </c>
      <c r="L980" s="11" t="str">
        <f t="shared" si="64"/>
        <v>871499</v>
      </c>
      <c r="M980" s="11" t="str">
        <f>IF(I980&lt;&gt;"",DATA!E979,"")</f>
        <v>BIKE BASKET</v>
      </c>
      <c r="N980" s="12">
        <v>0</v>
      </c>
      <c r="O980" s="11">
        <f>IF(I980&lt;&gt;"",DATA!C979,"")</f>
        <v>17.940000000000001</v>
      </c>
      <c r="P980" s="2">
        <v>294094</v>
      </c>
      <c r="Q980" s="2" t="s">
        <v>1304</v>
      </c>
      <c r="R980" s="2" t="s">
        <v>1325</v>
      </c>
      <c r="S980" s="2">
        <v>8</v>
      </c>
      <c r="T980" s="2">
        <v>1</v>
      </c>
      <c r="U980" s="2" t="s">
        <v>141</v>
      </c>
      <c r="Y980" s="2">
        <v>1700</v>
      </c>
      <c r="Z980" s="11" t="s">
        <v>54</v>
      </c>
      <c r="AA980" s="11" t="str">
        <f t="shared" si="65"/>
        <v>1700 - TBN</v>
      </c>
      <c r="AC980" s="2" t="s">
        <v>145</v>
      </c>
      <c r="AD980" s="11" t="str">
        <f>IF($I980&lt;&gt;"",VLOOKUP($AC980,GEADRESSEERDE!$A$2:$E$4,2,),"")</f>
        <v>LUITHAGEN HAVEN 2 D</v>
      </c>
      <c r="AE980" s="11">
        <f>IF($I980&lt;&gt;"",VLOOKUP($AC980,GEADRESSEERDE!$A$2:$E$4,3,),"")</f>
        <v>2030</v>
      </c>
      <c r="AF980" s="11" t="str">
        <f>IF($I980&lt;&gt;"",VLOOKUP($AC980,GEADRESSEERDE!$A$2:$E$4,4,),"")</f>
        <v>ANTWERPEN</v>
      </c>
      <c r="AG980" s="11" t="str">
        <f>IF($I980&lt;&gt;"",VLOOKUP($AC980,GEADRESSEERDE!$A$2:$E$4,5,),"")</f>
        <v>BE</v>
      </c>
      <c r="AH980" s="11" t="str">
        <f>IF(I980&lt;&gt;"",VLOOKUP(AP980,KvB!$A$2:$B$3,2,FALSE),"")</f>
        <v>BE101000</v>
      </c>
      <c r="AI980" s="11" t="s">
        <v>55</v>
      </c>
      <c r="AJ980" s="11"/>
      <c r="AK980" s="11"/>
      <c r="AL980" s="11"/>
      <c r="AM980" s="11"/>
      <c r="AN980" s="11"/>
      <c r="AO980" s="11"/>
      <c r="AP980" s="2" t="s">
        <v>70</v>
      </c>
      <c r="AQ980" s="11" t="str">
        <f>IF(I980&lt;&gt;"",DATA!D979,"")</f>
        <v>8714999089</v>
      </c>
    </row>
    <row r="981" spans="1:43" ht="15.75" x14ac:dyDescent="0.25">
      <c r="A981" s="11" t="s">
        <v>57</v>
      </c>
      <c r="B981" s="11" t="s">
        <v>56</v>
      </c>
      <c r="C981" s="22">
        <f t="shared" si="66"/>
        <v>25001620</v>
      </c>
      <c r="D981" s="11" t="str">
        <f t="shared" si="63"/>
        <v>SKIIFM_AT</v>
      </c>
      <c r="E981" s="11" t="str">
        <f>IF(I981&lt;&gt;"",VLOOKUP(F981,OPDRACHTGEVER!$A$2:$B$4,2,FALSE),"")</f>
        <v>SKIIFM_AT</v>
      </c>
      <c r="F981" s="11" t="s">
        <v>58</v>
      </c>
      <c r="I981" s="11" t="str">
        <f>IF(DATA!B980&lt;&gt;"",DATA!B980,"")</f>
        <v>GLDU0704021</v>
      </c>
      <c r="J981" s="12">
        <v>0</v>
      </c>
      <c r="K981" s="11" t="s">
        <v>53</v>
      </c>
      <c r="L981" s="11" t="str">
        <f t="shared" si="64"/>
        <v>400700</v>
      </c>
      <c r="M981" s="11" t="str">
        <f>IF(I981&lt;&gt;"",DATA!E980,"")</f>
        <v>BUNGEE STRAPS</v>
      </c>
      <c r="N981" s="12">
        <v>0</v>
      </c>
      <c r="O981" s="11">
        <f>IF(I981&lt;&gt;"",DATA!C980,"")</f>
        <v>1.25</v>
      </c>
      <c r="P981" s="2">
        <v>294094</v>
      </c>
      <c r="Q981" s="2" t="s">
        <v>1304</v>
      </c>
      <c r="R981" s="2" t="s">
        <v>1325</v>
      </c>
      <c r="S981" s="2">
        <v>8</v>
      </c>
      <c r="T981" s="2">
        <v>1</v>
      </c>
      <c r="U981" s="2" t="s">
        <v>141</v>
      </c>
      <c r="Y981" s="2">
        <v>1700</v>
      </c>
      <c r="Z981" s="11" t="s">
        <v>54</v>
      </c>
      <c r="AA981" s="11" t="str">
        <f t="shared" si="65"/>
        <v>1700 - TBN</v>
      </c>
      <c r="AC981" s="2" t="s">
        <v>145</v>
      </c>
      <c r="AD981" s="11" t="str">
        <f>IF($I981&lt;&gt;"",VLOOKUP($AC981,GEADRESSEERDE!$A$2:$E$4,2,),"")</f>
        <v>LUITHAGEN HAVEN 2 D</v>
      </c>
      <c r="AE981" s="11">
        <f>IF($I981&lt;&gt;"",VLOOKUP($AC981,GEADRESSEERDE!$A$2:$E$4,3,),"")</f>
        <v>2030</v>
      </c>
      <c r="AF981" s="11" t="str">
        <f>IF($I981&lt;&gt;"",VLOOKUP($AC981,GEADRESSEERDE!$A$2:$E$4,4,),"")</f>
        <v>ANTWERPEN</v>
      </c>
      <c r="AG981" s="11" t="str">
        <f>IF($I981&lt;&gt;"",VLOOKUP($AC981,GEADRESSEERDE!$A$2:$E$4,5,),"")</f>
        <v>BE</v>
      </c>
      <c r="AH981" s="11" t="str">
        <f>IF(I981&lt;&gt;"",VLOOKUP(AP981,KvB!$A$2:$B$3,2,FALSE),"")</f>
        <v>BE101000</v>
      </c>
      <c r="AI981" s="11" t="s">
        <v>55</v>
      </c>
      <c r="AJ981" s="11"/>
      <c r="AK981" s="11"/>
      <c r="AL981" s="11"/>
      <c r="AM981" s="11"/>
      <c r="AN981" s="11"/>
      <c r="AO981" s="11"/>
      <c r="AP981" s="2" t="s">
        <v>70</v>
      </c>
      <c r="AQ981" s="11" t="str">
        <f>IF(I981&lt;&gt;"",DATA!D980,"")</f>
        <v>4007000090</v>
      </c>
    </row>
    <row r="982" spans="1:43" ht="15.75" x14ac:dyDescent="0.25">
      <c r="A982" s="11" t="s">
        <v>57</v>
      </c>
      <c r="B982" s="11" t="s">
        <v>56</v>
      </c>
      <c r="C982" s="22">
        <f t="shared" si="66"/>
        <v>25001620</v>
      </c>
      <c r="D982" s="11" t="str">
        <f t="shared" si="63"/>
        <v>SKIIFM_AT</v>
      </c>
      <c r="E982" s="11" t="str">
        <f>IF(I982&lt;&gt;"",VLOOKUP(F982,OPDRACHTGEVER!$A$2:$B$4,2,FALSE),"")</f>
        <v>SKIIFM_AT</v>
      </c>
      <c r="F982" s="11" t="s">
        <v>58</v>
      </c>
      <c r="I982" s="11" t="str">
        <f>IF(DATA!B981&lt;&gt;"",DATA!B981,"")</f>
        <v>GLDU0704021</v>
      </c>
      <c r="J982" s="12">
        <v>0</v>
      </c>
      <c r="K982" s="11" t="s">
        <v>53</v>
      </c>
      <c r="L982" s="11" t="str">
        <f t="shared" si="64"/>
        <v>870870</v>
      </c>
      <c r="M982" s="11" t="str">
        <f>IF(I982&lt;&gt;"",DATA!E981,"")</f>
        <v>CAR WHEEL COVER</v>
      </c>
      <c r="N982" s="12">
        <v>0</v>
      </c>
      <c r="O982" s="11">
        <f>IF(I982&lt;&gt;"",DATA!C981,"")</f>
        <v>21.86</v>
      </c>
      <c r="P982" s="2">
        <v>294094</v>
      </c>
      <c r="Q982" s="2" t="s">
        <v>1304</v>
      </c>
      <c r="R982" s="2" t="s">
        <v>1325</v>
      </c>
      <c r="S982" s="2">
        <v>8</v>
      </c>
      <c r="T982" s="2">
        <v>1</v>
      </c>
      <c r="U982" s="2" t="s">
        <v>141</v>
      </c>
      <c r="Y982" s="2">
        <v>1700</v>
      </c>
      <c r="Z982" s="11" t="s">
        <v>54</v>
      </c>
      <c r="AA982" s="11" t="str">
        <f t="shared" si="65"/>
        <v>1700 - TBN</v>
      </c>
      <c r="AC982" s="2" t="s">
        <v>145</v>
      </c>
      <c r="AD982" s="11" t="str">
        <f>IF($I982&lt;&gt;"",VLOOKUP($AC982,GEADRESSEERDE!$A$2:$E$4,2,),"")</f>
        <v>LUITHAGEN HAVEN 2 D</v>
      </c>
      <c r="AE982" s="11">
        <f>IF($I982&lt;&gt;"",VLOOKUP($AC982,GEADRESSEERDE!$A$2:$E$4,3,),"")</f>
        <v>2030</v>
      </c>
      <c r="AF982" s="11" t="str">
        <f>IF($I982&lt;&gt;"",VLOOKUP($AC982,GEADRESSEERDE!$A$2:$E$4,4,),"")</f>
        <v>ANTWERPEN</v>
      </c>
      <c r="AG982" s="11" t="str">
        <f>IF($I982&lt;&gt;"",VLOOKUP($AC982,GEADRESSEERDE!$A$2:$E$4,5,),"")</f>
        <v>BE</v>
      </c>
      <c r="AH982" s="11" t="str">
        <f>IF(I982&lt;&gt;"",VLOOKUP(AP982,KvB!$A$2:$B$3,2,FALSE),"")</f>
        <v>BE101000</v>
      </c>
      <c r="AI982" s="11" t="s">
        <v>55</v>
      </c>
      <c r="AJ982" s="11"/>
      <c r="AK982" s="11"/>
      <c r="AL982" s="11"/>
      <c r="AM982" s="11"/>
      <c r="AN982" s="11"/>
      <c r="AO982" s="11"/>
      <c r="AP982" s="2" t="s">
        <v>70</v>
      </c>
      <c r="AQ982" s="11" t="str">
        <f>IF(I982&lt;&gt;"",DATA!D981,"")</f>
        <v>8708709985</v>
      </c>
    </row>
    <row r="983" spans="1:43" ht="15.75" x14ac:dyDescent="0.25">
      <c r="A983" s="11" t="s">
        <v>57</v>
      </c>
      <c r="B983" s="11" t="s">
        <v>56</v>
      </c>
      <c r="C983" s="22">
        <f t="shared" si="66"/>
        <v>25001620</v>
      </c>
      <c r="D983" s="11" t="str">
        <f t="shared" si="63"/>
        <v>SKIIFM_AT</v>
      </c>
      <c r="E983" s="11" t="str">
        <f>IF(I983&lt;&gt;"",VLOOKUP(F983,OPDRACHTGEVER!$A$2:$B$4,2,FALSE),"")</f>
        <v>SKIIFM_AT</v>
      </c>
      <c r="F983" s="11" t="s">
        <v>58</v>
      </c>
      <c r="I983" s="11" t="str">
        <f>IF(DATA!B982&lt;&gt;"",DATA!B982,"")</f>
        <v>GLDU0704021</v>
      </c>
      <c r="J983" s="12">
        <v>0</v>
      </c>
      <c r="K983" s="11" t="s">
        <v>53</v>
      </c>
      <c r="L983" s="11" t="str">
        <f t="shared" si="64"/>
        <v>391890</v>
      </c>
      <c r="M983" s="11" t="str">
        <f>IF(I983&lt;&gt;"",DATA!E982,"")</f>
        <v>CARPET</v>
      </c>
      <c r="N983" s="12">
        <v>0</v>
      </c>
      <c r="O983" s="11">
        <f>IF(I983&lt;&gt;"",DATA!C982,"")</f>
        <v>116.9</v>
      </c>
      <c r="P983" s="2">
        <v>294094</v>
      </c>
      <c r="Q983" s="2" t="s">
        <v>1304</v>
      </c>
      <c r="R983" s="2" t="s">
        <v>1325</v>
      </c>
      <c r="S983" s="2">
        <v>8</v>
      </c>
      <c r="T983" s="2">
        <v>1</v>
      </c>
      <c r="U983" s="2" t="s">
        <v>141</v>
      </c>
      <c r="Y983" s="2">
        <v>1700</v>
      </c>
      <c r="Z983" s="11" t="s">
        <v>54</v>
      </c>
      <c r="AA983" s="11" t="str">
        <f t="shared" si="65"/>
        <v>1700 - TBN</v>
      </c>
      <c r="AC983" s="2" t="s">
        <v>145</v>
      </c>
      <c r="AD983" s="11" t="str">
        <f>IF($I983&lt;&gt;"",VLOOKUP($AC983,GEADRESSEERDE!$A$2:$E$4,2,),"")</f>
        <v>LUITHAGEN HAVEN 2 D</v>
      </c>
      <c r="AE983" s="11">
        <f>IF($I983&lt;&gt;"",VLOOKUP($AC983,GEADRESSEERDE!$A$2:$E$4,3,),"")</f>
        <v>2030</v>
      </c>
      <c r="AF983" s="11" t="str">
        <f>IF($I983&lt;&gt;"",VLOOKUP($AC983,GEADRESSEERDE!$A$2:$E$4,4,),"")</f>
        <v>ANTWERPEN</v>
      </c>
      <c r="AG983" s="11" t="str">
        <f>IF($I983&lt;&gt;"",VLOOKUP($AC983,GEADRESSEERDE!$A$2:$E$4,5,),"")</f>
        <v>BE</v>
      </c>
      <c r="AH983" s="11" t="str">
        <f>IF(I983&lt;&gt;"",VLOOKUP(AP983,KvB!$A$2:$B$3,2,FALSE),"")</f>
        <v>BE101000</v>
      </c>
      <c r="AI983" s="11" t="s">
        <v>55</v>
      </c>
      <c r="AJ983" s="11"/>
      <c r="AK983" s="11"/>
      <c r="AL983" s="11"/>
      <c r="AM983" s="11"/>
      <c r="AN983" s="11"/>
      <c r="AO983" s="11"/>
      <c r="AP983" s="2" t="s">
        <v>70</v>
      </c>
      <c r="AQ983" s="11" t="str">
        <f>IF(I983&lt;&gt;"",DATA!D982,"")</f>
        <v>3918900090</v>
      </c>
    </row>
    <row r="984" spans="1:43" ht="15.75" x14ac:dyDescent="0.25">
      <c r="A984" s="11" t="s">
        <v>57</v>
      </c>
      <c r="B984" s="11" t="s">
        <v>56</v>
      </c>
      <c r="C984" s="22">
        <f t="shared" si="66"/>
        <v>25001620</v>
      </c>
      <c r="D984" s="11" t="str">
        <f t="shared" si="63"/>
        <v>SKIIFM_AT</v>
      </c>
      <c r="E984" s="11" t="str">
        <f>IF(I984&lt;&gt;"",VLOOKUP(F984,OPDRACHTGEVER!$A$2:$B$4,2,FALSE),"")</f>
        <v>SKIIFM_AT</v>
      </c>
      <c r="F984" s="11" t="s">
        <v>58</v>
      </c>
      <c r="I984" s="11" t="str">
        <f>IF(DATA!B983&lt;&gt;"",DATA!B983,"")</f>
        <v>GLDU0704021</v>
      </c>
      <c r="J984" s="12">
        <v>0</v>
      </c>
      <c r="K984" s="11" t="s">
        <v>53</v>
      </c>
      <c r="L984" s="11" t="str">
        <f t="shared" si="64"/>
        <v>843139</v>
      </c>
      <c r="M984" s="11" t="str">
        <f>IF(I984&lt;&gt;"",DATA!E983,"")</f>
        <v>CLAMP</v>
      </c>
      <c r="N984" s="12">
        <v>0</v>
      </c>
      <c r="O984" s="11">
        <f>IF(I984&lt;&gt;"",DATA!C983,"")</f>
        <v>133.72</v>
      </c>
      <c r="P984" s="2">
        <v>294094</v>
      </c>
      <c r="Q984" s="2" t="s">
        <v>1304</v>
      </c>
      <c r="R984" s="2" t="s">
        <v>1325</v>
      </c>
      <c r="S984" s="2">
        <v>8</v>
      </c>
      <c r="T984" s="2">
        <v>1</v>
      </c>
      <c r="U984" s="2" t="s">
        <v>141</v>
      </c>
      <c r="Y984" s="2">
        <v>1700</v>
      </c>
      <c r="Z984" s="11" t="s">
        <v>54</v>
      </c>
      <c r="AA984" s="11" t="str">
        <f t="shared" si="65"/>
        <v>1700 - TBN</v>
      </c>
      <c r="AC984" s="2" t="s">
        <v>145</v>
      </c>
      <c r="AD984" s="11" t="str">
        <f>IF($I984&lt;&gt;"",VLOOKUP($AC984,GEADRESSEERDE!$A$2:$E$4,2,),"")</f>
        <v>LUITHAGEN HAVEN 2 D</v>
      </c>
      <c r="AE984" s="11">
        <f>IF($I984&lt;&gt;"",VLOOKUP($AC984,GEADRESSEERDE!$A$2:$E$4,3,),"")</f>
        <v>2030</v>
      </c>
      <c r="AF984" s="11" t="str">
        <f>IF($I984&lt;&gt;"",VLOOKUP($AC984,GEADRESSEERDE!$A$2:$E$4,4,),"")</f>
        <v>ANTWERPEN</v>
      </c>
      <c r="AG984" s="11" t="str">
        <f>IF($I984&lt;&gt;"",VLOOKUP($AC984,GEADRESSEERDE!$A$2:$E$4,5,),"")</f>
        <v>BE</v>
      </c>
      <c r="AH984" s="11" t="str">
        <f>IF(I984&lt;&gt;"",VLOOKUP(AP984,KvB!$A$2:$B$3,2,FALSE),"")</f>
        <v>BE101000</v>
      </c>
      <c r="AI984" s="11" t="s">
        <v>55</v>
      </c>
      <c r="AJ984" s="11"/>
      <c r="AK984" s="11"/>
      <c r="AL984" s="11"/>
      <c r="AM984" s="11"/>
      <c r="AN984" s="11"/>
      <c r="AO984" s="11"/>
      <c r="AP984" s="2" t="s">
        <v>70</v>
      </c>
      <c r="AQ984" s="11" t="str">
        <f>IF(I984&lt;&gt;"",DATA!D983,"")</f>
        <v>8431390090</v>
      </c>
    </row>
    <row r="985" spans="1:43" ht="15.75" x14ac:dyDescent="0.25">
      <c r="A985" s="11" t="s">
        <v>57</v>
      </c>
      <c r="B985" s="11" t="s">
        <v>56</v>
      </c>
      <c r="C985" s="22">
        <f t="shared" si="66"/>
        <v>25001620</v>
      </c>
      <c r="D985" s="11" t="str">
        <f t="shared" si="63"/>
        <v>SKIIFM_AT</v>
      </c>
      <c r="E985" s="11" t="str">
        <f>IF(I985&lt;&gt;"",VLOOKUP(F985,OPDRACHTGEVER!$A$2:$B$4,2,FALSE),"")</f>
        <v>SKIIFM_AT</v>
      </c>
      <c r="F985" s="11" t="s">
        <v>58</v>
      </c>
      <c r="I985" s="11" t="str">
        <f>IF(DATA!B984&lt;&gt;"",DATA!B984,"")</f>
        <v>GLDU0704021</v>
      </c>
      <c r="J985" s="12">
        <v>0</v>
      </c>
      <c r="K985" s="11" t="s">
        <v>53</v>
      </c>
      <c r="L985" s="11" t="str">
        <f t="shared" si="64"/>
        <v>392490</v>
      </c>
      <c r="M985" s="11" t="str">
        <f>IF(I985&lt;&gt;"",DATA!E984,"")</f>
        <v>COMPOST BARREL</v>
      </c>
      <c r="N985" s="12">
        <v>0</v>
      </c>
      <c r="O985" s="11">
        <f>IF(I985&lt;&gt;"",DATA!C984,"")</f>
        <v>37.549999999999997</v>
      </c>
      <c r="P985" s="2">
        <v>294094</v>
      </c>
      <c r="Q985" s="2" t="s">
        <v>1304</v>
      </c>
      <c r="R985" s="2" t="s">
        <v>1325</v>
      </c>
      <c r="S985" s="2">
        <v>8</v>
      </c>
      <c r="T985" s="2">
        <v>1</v>
      </c>
      <c r="U985" s="2" t="s">
        <v>141</v>
      </c>
      <c r="Y985" s="2">
        <v>1700</v>
      </c>
      <c r="Z985" s="11" t="s">
        <v>54</v>
      </c>
      <c r="AA985" s="11" t="str">
        <f t="shared" si="65"/>
        <v>1700 - TBN</v>
      </c>
      <c r="AC985" s="2" t="s">
        <v>145</v>
      </c>
      <c r="AD985" s="11" t="str">
        <f>IF($I985&lt;&gt;"",VLOOKUP($AC985,GEADRESSEERDE!$A$2:$E$4,2,),"")</f>
        <v>LUITHAGEN HAVEN 2 D</v>
      </c>
      <c r="AE985" s="11">
        <f>IF($I985&lt;&gt;"",VLOOKUP($AC985,GEADRESSEERDE!$A$2:$E$4,3,),"")</f>
        <v>2030</v>
      </c>
      <c r="AF985" s="11" t="str">
        <f>IF($I985&lt;&gt;"",VLOOKUP($AC985,GEADRESSEERDE!$A$2:$E$4,4,),"")</f>
        <v>ANTWERPEN</v>
      </c>
      <c r="AG985" s="11" t="str">
        <f>IF($I985&lt;&gt;"",VLOOKUP($AC985,GEADRESSEERDE!$A$2:$E$4,5,),"")</f>
        <v>BE</v>
      </c>
      <c r="AH985" s="11" t="str">
        <f>IF(I985&lt;&gt;"",VLOOKUP(AP985,KvB!$A$2:$B$3,2,FALSE),"")</f>
        <v>BE101000</v>
      </c>
      <c r="AI985" s="11" t="s">
        <v>55</v>
      </c>
      <c r="AJ985" s="11"/>
      <c r="AK985" s="11"/>
      <c r="AL985" s="11"/>
      <c r="AM985" s="11"/>
      <c r="AN985" s="11"/>
      <c r="AO985" s="11"/>
      <c r="AP985" s="2" t="s">
        <v>70</v>
      </c>
      <c r="AQ985" s="11" t="str">
        <f>IF(I985&lt;&gt;"",DATA!D984,"")</f>
        <v>3924900090</v>
      </c>
    </row>
    <row r="986" spans="1:43" ht="15.75" x14ac:dyDescent="0.25">
      <c r="A986" s="11" t="s">
        <v>57</v>
      </c>
      <c r="B986" s="11" t="s">
        <v>56</v>
      </c>
      <c r="C986" s="22">
        <f t="shared" si="66"/>
        <v>25001620</v>
      </c>
      <c r="D986" s="11" t="str">
        <f t="shared" si="63"/>
        <v>SKIIFM_AT</v>
      </c>
      <c r="E986" s="11" t="str">
        <f>IF(I986&lt;&gt;"",VLOOKUP(F986,OPDRACHTGEVER!$A$2:$B$4,2,FALSE),"")</f>
        <v>SKIIFM_AT</v>
      </c>
      <c r="F986" s="11" t="s">
        <v>58</v>
      </c>
      <c r="I986" s="11" t="str">
        <f>IF(DATA!B985&lt;&gt;"",DATA!B985,"")</f>
        <v>GLDU0704021</v>
      </c>
      <c r="J986" s="12">
        <v>0</v>
      </c>
      <c r="K986" s="11" t="s">
        <v>53</v>
      </c>
      <c r="L986" s="11" t="str">
        <f t="shared" si="64"/>
        <v>560900</v>
      </c>
      <c r="M986" s="11" t="str">
        <f>IF(I986&lt;&gt;"",DATA!E985,"")</f>
        <v>CORE LANYARD</v>
      </c>
      <c r="N986" s="12">
        <v>0</v>
      </c>
      <c r="O986" s="11">
        <f>IF(I986&lt;&gt;"",DATA!C985,"")</f>
        <v>83.65</v>
      </c>
      <c r="P986" s="2">
        <v>294094</v>
      </c>
      <c r="Q986" s="2" t="s">
        <v>1304</v>
      </c>
      <c r="R986" s="2" t="s">
        <v>1325</v>
      </c>
      <c r="S986" s="2">
        <v>8</v>
      </c>
      <c r="T986" s="2">
        <v>1</v>
      </c>
      <c r="U986" s="2" t="s">
        <v>141</v>
      </c>
      <c r="Y986" s="2">
        <v>1700</v>
      </c>
      <c r="Z986" s="11" t="s">
        <v>54</v>
      </c>
      <c r="AA986" s="11" t="str">
        <f t="shared" si="65"/>
        <v>1700 - TBN</v>
      </c>
      <c r="AC986" s="2" t="s">
        <v>145</v>
      </c>
      <c r="AD986" s="11" t="str">
        <f>IF($I986&lt;&gt;"",VLOOKUP($AC986,GEADRESSEERDE!$A$2:$E$4,2,),"")</f>
        <v>LUITHAGEN HAVEN 2 D</v>
      </c>
      <c r="AE986" s="11">
        <f>IF($I986&lt;&gt;"",VLOOKUP($AC986,GEADRESSEERDE!$A$2:$E$4,3,),"")</f>
        <v>2030</v>
      </c>
      <c r="AF986" s="11" t="str">
        <f>IF($I986&lt;&gt;"",VLOOKUP($AC986,GEADRESSEERDE!$A$2:$E$4,4,),"")</f>
        <v>ANTWERPEN</v>
      </c>
      <c r="AG986" s="11" t="str">
        <f>IF($I986&lt;&gt;"",VLOOKUP($AC986,GEADRESSEERDE!$A$2:$E$4,5,),"")</f>
        <v>BE</v>
      </c>
      <c r="AH986" s="11" t="str">
        <f>IF(I986&lt;&gt;"",VLOOKUP(AP986,KvB!$A$2:$B$3,2,FALSE),"")</f>
        <v>BE101000</v>
      </c>
      <c r="AI986" s="11" t="s">
        <v>55</v>
      </c>
      <c r="AJ986" s="11"/>
      <c r="AK986" s="11"/>
      <c r="AL986" s="11"/>
      <c r="AM986" s="11"/>
      <c r="AN986" s="11"/>
      <c r="AO986" s="11"/>
      <c r="AP986" s="2" t="s">
        <v>70</v>
      </c>
      <c r="AQ986" s="11" t="str">
        <f>IF(I986&lt;&gt;"",DATA!D985,"")</f>
        <v>5609000000</v>
      </c>
    </row>
    <row r="987" spans="1:43" ht="15.75" x14ac:dyDescent="0.25">
      <c r="A987" s="11" t="s">
        <v>57</v>
      </c>
      <c r="B987" s="11" t="s">
        <v>56</v>
      </c>
      <c r="C987" s="22">
        <f t="shared" si="66"/>
        <v>25001620</v>
      </c>
      <c r="D987" s="11" t="str">
        <f t="shared" si="63"/>
        <v>SKIIFM_AT</v>
      </c>
      <c r="E987" s="11" t="str">
        <f>IF(I987&lt;&gt;"",VLOOKUP(F987,OPDRACHTGEVER!$A$2:$B$4,2,FALSE),"")</f>
        <v>SKIIFM_AT</v>
      </c>
      <c r="F987" s="11" t="s">
        <v>58</v>
      </c>
      <c r="I987" s="11" t="str">
        <f>IF(DATA!B986&lt;&gt;"",DATA!B986,"")</f>
        <v>GLDU0704021</v>
      </c>
      <c r="J987" s="12">
        <v>0</v>
      </c>
      <c r="K987" s="11" t="s">
        <v>53</v>
      </c>
      <c r="L987" s="11" t="str">
        <f t="shared" si="64"/>
        <v>870892</v>
      </c>
      <c r="M987" s="11" t="str">
        <f>IF(I987&lt;&gt;"",DATA!E986,"")</f>
        <v>CUSTOM EXHAUST PIPE KIT</v>
      </c>
      <c r="N987" s="12">
        <v>0</v>
      </c>
      <c r="O987" s="11">
        <f>IF(I987&lt;&gt;"",DATA!C986,"")</f>
        <v>20</v>
      </c>
      <c r="P987" s="2">
        <v>294094</v>
      </c>
      <c r="Q987" s="2" t="s">
        <v>1304</v>
      </c>
      <c r="R987" s="2" t="s">
        <v>1325</v>
      </c>
      <c r="S987" s="2">
        <v>8</v>
      </c>
      <c r="T987" s="2">
        <v>1</v>
      </c>
      <c r="U987" s="2" t="s">
        <v>141</v>
      </c>
      <c r="Y987" s="2">
        <v>1700</v>
      </c>
      <c r="Z987" s="11" t="s">
        <v>54</v>
      </c>
      <c r="AA987" s="11" t="str">
        <f t="shared" si="65"/>
        <v>1700 - TBN</v>
      </c>
      <c r="AC987" s="2" t="s">
        <v>145</v>
      </c>
      <c r="AD987" s="11" t="str">
        <f>IF($I987&lt;&gt;"",VLOOKUP($AC987,GEADRESSEERDE!$A$2:$E$4,2,),"")</f>
        <v>LUITHAGEN HAVEN 2 D</v>
      </c>
      <c r="AE987" s="11">
        <f>IF($I987&lt;&gt;"",VLOOKUP($AC987,GEADRESSEERDE!$A$2:$E$4,3,),"")</f>
        <v>2030</v>
      </c>
      <c r="AF987" s="11" t="str">
        <f>IF($I987&lt;&gt;"",VLOOKUP($AC987,GEADRESSEERDE!$A$2:$E$4,4,),"")</f>
        <v>ANTWERPEN</v>
      </c>
      <c r="AG987" s="11" t="str">
        <f>IF($I987&lt;&gt;"",VLOOKUP($AC987,GEADRESSEERDE!$A$2:$E$4,5,),"")</f>
        <v>BE</v>
      </c>
      <c r="AH987" s="11" t="str">
        <f>IF(I987&lt;&gt;"",VLOOKUP(AP987,KvB!$A$2:$B$3,2,FALSE),"")</f>
        <v>BE101000</v>
      </c>
      <c r="AI987" s="11" t="s">
        <v>55</v>
      </c>
      <c r="AJ987" s="11"/>
      <c r="AK987" s="11"/>
      <c r="AL987" s="11"/>
      <c r="AM987" s="11"/>
      <c r="AN987" s="11"/>
      <c r="AO987" s="11"/>
      <c r="AP987" s="2" t="s">
        <v>70</v>
      </c>
      <c r="AQ987" s="11" t="str">
        <f>IF(I987&lt;&gt;"",DATA!D986,"")</f>
        <v>8708929900</v>
      </c>
    </row>
    <row r="988" spans="1:43" ht="15.75" x14ac:dyDescent="0.25">
      <c r="A988" s="11" t="s">
        <v>57</v>
      </c>
      <c r="B988" s="11" t="s">
        <v>56</v>
      </c>
      <c r="C988" s="22">
        <f t="shared" si="66"/>
        <v>25001620</v>
      </c>
      <c r="D988" s="11" t="str">
        <f t="shared" si="63"/>
        <v>SKIIFM_AT</v>
      </c>
      <c r="E988" s="11" t="str">
        <f>IF(I988&lt;&gt;"",VLOOKUP(F988,OPDRACHTGEVER!$A$2:$B$4,2,FALSE),"")</f>
        <v>SKIIFM_AT</v>
      </c>
      <c r="F988" s="11" t="s">
        <v>58</v>
      </c>
      <c r="I988" s="11" t="str">
        <f>IF(DATA!B987&lt;&gt;"",DATA!B987,"")</f>
        <v>GLDU0704021</v>
      </c>
      <c r="J988" s="12">
        <v>0</v>
      </c>
      <c r="K988" s="11" t="s">
        <v>53</v>
      </c>
      <c r="L988" s="11" t="str">
        <f t="shared" si="64"/>
        <v>843311</v>
      </c>
      <c r="M988" s="11" t="str">
        <f>IF(I988&lt;&gt;"",DATA!E987,"")</f>
        <v>CYCLONE DUST SEPARATOR KIT WITH BUCKET</v>
      </c>
      <c r="N988" s="12">
        <v>0</v>
      </c>
      <c r="O988" s="11">
        <f>IF(I988&lt;&gt;"",DATA!C987,"")</f>
        <v>17.079999999999998</v>
      </c>
      <c r="P988" s="2">
        <v>294094</v>
      </c>
      <c r="Q988" s="2" t="s">
        <v>1304</v>
      </c>
      <c r="R988" s="2" t="s">
        <v>1325</v>
      </c>
      <c r="S988" s="2">
        <v>8</v>
      </c>
      <c r="T988" s="2">
        <v>1</v>
      </c>
      <c r="U988" s="2" t="s">
        <v>141</v>
      </c>
      <c r="Y988" s="2">
        <v>1700</v>
      </c>
      <c r="Z988" s="11" t="s">
        <v>54</v>
      </c>
      <c r="AA988" s="11" t="str">
        <f t="shared" si="65"/>
        <v>1700 - TBN</v>
      </c>
      <c r="AC988" s="2" t="s">
        <v>145</v>
      </c>
      <c r="AD988" s="11" t="str">
        <f>IF($I988&lt;&gt;"",VLOOKUP($AC988,GEADRESSEERDE!$A$2:$E$4,2,),"")</f>
        <v>LUITHAGEN HAVEN 2 D</v>
      </c>
      <c r="AE988" s="11">
        <f>IF($I988&lt;&gt;"",VLOOKUP($AC988,GEADRESSEERDE!$A$2:$E$4,3,),"")</f>
        <v>2030</v>
      </c>
      <c r="AF988" s="11" t="str">
        <f>IF($I988&lt;&gt;"",VLOOKUP($AC988,GEADRESSEERDE!$A$2:$E$4,4,),"")</f>
        <v>ANTWERPEN</v>
      </c>
      <c r="AG988" s="11" t="str">
        <f>IF($I988&lt;&gt;"",VLOOKUP($AC988,GEADRESSEERDE!$A$2:$E$4,5,),"")</f>
        <v>BE</v>
      </c>
      <c r="AH988" s="11" t="str">
        <f>IF(I988&lt;&gt;"",VLOOKUP(AP988,KvB!$A$2:$B$3,2,FALSE),"")</f>
        <v>BE101000</v>
      </c>
      <c r="AI988" s="11" t="s">
        <v>55</v>
      </c>
      <c r="AJ988" s="11"/>
      <c r="AK988" s="11"/>
      <c r="AL988" s="11"/>
      <c r="AM988" s="11"/>
      <c r="AN988" s="11"/>
      <c r="AO988" s="11"/>
      <c r="AP988" s="2" t="s">
        <v>70</v>
      </c>
      <c r="AQ988" s="11" t="str">
        <f>IF(I988&lt;&gt;"",DATA!D987,"")</f>
        <v>8433111000</v>
      </c>
    </row>
    <row r="989" spans="1:43" ht="15.75" x14ac:dyDescent="0.25">
      <c r="A989" s="11" t="s">
        <v>57</v>
      </c>
      <c r="B989" s="11" t="s">
        <v>56</v>
      </c>
      <c r="C989" s="22">
        <f t="shared" si="66"/>
        <v>25001620</v>
      </c>
      <c r="D989" s="11" t="str">
        <f t="shared" si="63"/>
        <v>SKIIFM_AT</v>
      </c>
      <c r="E989" s="11" t="str">
        <f>IF(I989&lt;&gt;"",VLOOKUP(F989,OPDRACHTGEVER!$A$2:$B$4,2,FALSE),"")</f>
        <v>SKIIFM_AT</v>
      </c>
      <c r="F989" s="11" t="s">
        <v>58</v>
      </c>
      <c r="I989" s="11" t="str">
        <f>IF(DATA!B988&lt;&gt;"",DATA!B988,"")</f>
        <v>GLDU0704021</v>
      </c>
      <c r="J989" s="12">
        <v>0</v>
      </c>
      <c r="K989" s="11" t="s">
        <v>53</v>
      </c>
      <c r="L989" s="11" t="str">
        <f t="shared" si="64"/>
        <v>851519</v>
      </c>
      <c r="M989" s="11" t="str">
        <f>IF(I989&lt;&gt;"",DATA!E988,"")</f>
        <v>DENT REPAIR TOOL</v>
      </c>
      <c r="N989" s="12">
        <v>0</v>
      </c>
      <c r="O989" s="11">
        <f>IF(I989&lt;&gt;"",DATA!C988,"")</f>
        <v>2787.88</v>
      </c>
      <c r="P989" s="2">
        <v>294094</v>
      </c>
      <c r="Q989" s="2" t="s">
        <v>1304</v>
      </c>
      <c r="R989" s="2" t="s">
        <v>1325</v>
      </c>
      <c r="S989" s="2">
        <v>8</v>
      </c>
      <c r="T989" s="2">
        <v>1</v>
      </c>
      <c r="U989" s="2" t="s">
        <v>141</v>
      </c>
      <c r="Y989" s="2">
        <v>1700</v>
      </c>
      <c r="Z989" s="11" t="s">
        <v>54</v>
      </c>
      <c r="AA989" s="11" t="str">
        <f t="shared" si="65"/>
        <v>1700 - TBN</v>
      </c>
      <c r="AC989" s="2" t="s">
        <v>145</v>
      </c>
      <c r="AD989" s="11" t="str">
        <f>IF($I989&lt;&gt;"",VLOOKUP($AC989,GEADRESSEERDE!$A$2:$E$4,2,),"")</f>
        <v>LUITHAGEN HAVEN 2 D</v>
      </c>
      <c r="AE989" s="11">
        <f>IF($I989&lt;&gt;"",VLOOKUP($AC989,GEADRESSEERDE!$A$2:$E$4,3,),"")</f>
        <v>2030</v>
      </c>
      <c r="AF989" s="11" t="str">
        <f>IF($I989&lt;&gt;"",VLOOKUP($AC989,GEADRESSEERDE!$A$2:$E$4,4,),"")</f>
        <v>ANTWERPEN</v>
      </c>
      <c r="AG989" s="11" t="str">
        <f>IF($I989&lt;&gt;"",VLOOKUP($AC989,GEADRESSEERDE!$A$2:$E$4,5,),"")</f>
        <v>BE</v>
      </c>
      <c r="AH989" s="11" t="str">
        <f>IF(I989&lt;&gt;"",VLOOKUP(AP989,KvB!$A$2:$B$3,2,FALSE),"")</f>
        <v>BE101000</v>
      </c>
      <c r="AI989" s="11" t="s">
        <v>55</v>
      </c>
      <c r="AJ989" s="11"/>
      <c r="AK989" s="11"/>
      <c r="AL989" s="11"/>
      <c r="AM989" s="11"/>
      <c r="AN989" s="11"/>
      <c r="AO989" s="11"/>
      <c r="AP989" s="2" t="s">
        <v>70</v>
      </c>
      <c r="AQ989" s="11" t="str">
        <f>IF(I989&lt;&gt;"",DATA!D988,"")</f>
        <v>8515199000</v>
      </c>
    </row>
    <row r="990" spans="1:43" ht="15.75" x14ac:dyDescent="0.25">
      <c r="A990" s="11" t="s">
        <v>57</v>
      </c>
      <c r="B990" s="11" t="s">
        <v>56</v>
      </c>
      <c r="C990" s="22">
        <f t="shared" si="66"/>
        <v>25001620</v>
      </c>
      <c r="D990" s="11" t="str">
        <f t="shared" si="63"/>
        <v>SKIIFM_AT</v>
      </c>
      <c r="E990" s="11" t="str">
        <f>IF(I990&lt;&gt;"",VLOOKUP(F990,OPDRACHTGEVER!$A$2:$B$4,2,FALSE),"")</f>
        <v>SKIIFM_AT</v>
      </c>
      <c r="F990" s="11" t="s">
        <v>58</v>
      </c>
      <c r="I990" s="11" t="str">
        <f>IF(DATA!B989&lt;&gt;"",DATA!B989,"")</f>
        <v>GLDU0704021</v>
      </c>
      <c r="J990" s="12">
        <v>0</v>
      </c>
      <c r="K990" s="11" t="s">
        <v>53</v>
      </c>
      <c r="L990" s="11" t="str">
        <f t="shared" si="64"/>
        <v>847989</v>
      </c>
      <c r="M990" s="11" t="str">
        <f>IF(I990&lt;&gt;"",DATA!E989,"")</f>
        <v>DISASSEMBLER</v>
      </c>
      <c r="N990" s="12">
        <v>0</v>
      </c>
      <c r="O990" s="11">
        <f>IF(I990&lt;&gt;"",DATA!C989,"")</f>
        <v>196.7</v>
      </c>
      <c r="P990" s="2">
        <v>294094</v>
      </c>
      <c r="Q990" s="2" t="s">
        <v>1304</v>
      </c>
      <c r="R990" s="2" t="s">
        <v>1325</v>
      </c>
      <c r="S990" s="2">
        <v>8</v>
      </c>
      <c r="T990" s="2">
        <v>1</v>
      </c>
      <c r="U990" s="2" t="s">
        <v>141</v>
      </c>
      <c r="Y990" s="2">
        <v>1700</v>
      </c>
      <c r="Z990" s="11" t="s">
        <v>54</v>
      </c>
      <c r="AA990" s="11" t="str">
        <f t="shared" si="65"/>
        <v>1700 - TBN</v>
      </c>
      <c r="AC990" s="2" t="s">
        <v>145</v>
      </c>
      <c r="AD990" s="11" t="str">
        <f>IF($I990&lt;&gt;"",VLOOKUP($AC990,GEADRESSEERDE!$A$2:$E$4,2,),"")</f>
        <v>LUITHAGEN HAVEN 2 D</v>
      </c>
      <c r="AE990" s="11">
        <f>IF($I990&lt;&gt;"",VLOOKUP($AC990,GEADRESSEERDE!$A$2:$E$4,3,),"")</f>
        <v>2030</v>
      </c>
      <c r="AF990" s="11" t="str">
        <f>IF($I990&lt;&gt;"",VLOOKUP($AC990,GEADRESSEERDE!$A$2:$E$4,4,),"")</f>
        <v>ANTWERPEN</v>
      </c>
      <c r="AG990" s="11" t="str">
        <f>IF($I990&lt;&gt;"",VLOOKUP($AC990,GEADRESSEERDE!$A$2:$E$4,5,),"")</f>
        <v>BE</v>
      </c>
      <c r="AH990" s="11" t="str">
        <f>IF(I990&lt;&gt;"",VLOOKUP(AP990,KvB!$A$2:$B$3,2,FALSE),"")</f>
        <v>BE101000</v>
      </c>
      <c r="AI990" s="11" t="s">
        <v>55</v>
      </c>
      <c r="AJ990" s="11"/>
      <c r="AK990" s="11"/>
      <c r="AL990" s="11"/>
      <c r="AM990" s="11"/>
      <c r="AN990" s="11"/>
      <c r="AO990" s="11"/>
      <c r="AP990" s="2" t="s">
        <v>70</v>
      </c>
      <c r="AQ990" s="11" t="str">
        <f>IF(I990&lt;&gt;"",DATA!D989,"")</f>
        <v>8479899790</v>
      </c>
    </row>
    <row r="991" spans="1:43" ht="15.75" x14ac:dyDescent="0.25">
      <c r="A991" s="11" t="s">
        <v>57</v>
      </c>
      <c r="B991" s="11" t="s">
        <v>56</v>
      </c>
      <c r="C991" s="22">
        <f t="shared" si="66"/>
        <v>25001620</v>
      </c>
      <c r="D991" s="11" t="str">
        <f t="shared" si="63"/>
        <v>SKIIFM_AT</v>
      </c>
      <c r="E991" s="11" t="str">
        <f>IF(I991&lt;&gt;"",VLOOKUP(F991,OPDRACHTGEVER!$A$2:$B$4,2,FALSE),"")</f>
        <v>SKIIFM_AT</v>
      </c>
      <c r="F991" s="11" t="s">
        <v>58</v>
      </c>
      <c r="I991" s="11" t="str">
        <f>IF(DATA!B990&lt;&gt;"",DATA!B990,"")</f>
        <v>GLDU0704021</v>
      </c>
      <c r="J991" s="12">
        <v>0</v>
      </c>
      <c r="K991" s="11" t="s">
        <v>53</v>
      </c>
      <c r="L991" s="11" t="str">
        <f t="shared" si="64"/>
        <v>843290</v>
      </c>
      <c r="M991" s="11" t="str">
        <f>IF(I991&lt;&gt;"",DATA!E990,"")</f>
        <v>DRAG HARROW DRIVEWAY</v>
      </c>
      <c r="N991" s="12">
        <v>0</v>
      </c>
      <c r="O991" s="11">
        <f>IF(I991&lt;&gt;"",DATA!C990,"")</f>
        <v>83.84</v>
      </c>
      <c r="P991" s="2">
        <v>294094</v>
      </c>
      <c r="Q991" s="2" t="s">
        <v>1304</v>
      </c>
      <c r="R991" s="2" t="s">
        <v>1325</v>
      </c>
      <c r="S991" s="2">
        <v>8</v>
      </c>
      <c r="T991" s="2">
        <v>1</v>
      </c>
      <c r="U991" s="2" t="s">
        <v>141</v>
      </c>
      <c r="Y991" s="2">
        <v>1700</v>
      </c>
      <c r="Z991" s="11" t="s">
        <v>54</v>
      </c>
      <c r="AA991" s="11" t="str">
        <f t="shared" si="65"/>
        <v>1700 - TBN</v>
      </c>
      <c r="AC991" s="2" t="s">
        <v>145</v>
      </c>
      <c r="AD991" s="11" t="str">
        <f>IF($I991&lt;&gt;"",VLOOKUP($AC991,GEADRESSEERDE!$A$2:$E$4,2,),"")</f>
        <v>LUITHAGEN HAVEN 2 D</v>
      </c>
      <c r="AE991" s="11">
        <f>IF($I991&lt;&gt;"",VLOOKUP($AC991,GEADRESSEERDE!$A$2:$E$4,3,),"")</f>
        <v>2030</v>
      </c>
      <c r="AF991" s="11" t="str">
        <f>IF($I991&lt;&gt;"",VLOOKUP($AC991,GEADRESSEERDE!$A$2:$E$4,4,),"")</f>
        <v>ANTWERPEN</v>
      </c>
      <c r="AG991" s="11" t="str">
        <f>IF($I991&lt;&gt;"",VLOOKUP($AC991,GEADRESSEERDE!$A$2:$E$4,5,),"")</f>
        <v>BE</v>
      </c>
      <c r="AH991" s="11" t="str">
        <f>IF(I991&lt;&gt;"",VLOOKUP(AP991,KvB!$A$2:$B$3,2,FALSE),"")</f>
        <v>BE101000</v>
      </c>
      <c r="AI991" s="11" t="s">
        <v>55</v>
      </c>
      <c r="AJ991" s="11"/>
      <c r="AK991" s="11"/>
      <c r="AL991" s="11"/>
      <c r="AM991" s="11"/>
      <c r="AN991" s="11"/>
      <c r="AO991" s="11"/>
      <c r="AP991" s="2" t="s">
        <v>70</v>
      </c>
      <c r="AQ991" s="11" t="str">
        <f>IF(I991&lt;&gt;"",DATA!D990,"")</f>
        <v>8432900000</v>
      </c>
    </row>
    <row r="992" spans="1:43" ht="15.75" x14ac:dyDescent="0.25">
      <c r="A992" s="11" t="s">
        <v>57</v>
      </c>
      <c r="B992" s="11" t="s">
        <v>56</v>
      </c>
      <c r="C992" s="22">
        <f t="shared" si="66"/>
        <v>25001620</v>
      </c>
      <c r="D992" s="11" t="str">
        <f t="shared" si="63"/>
        <v>SKIIFM_AT</v>
      </c>
      <c r="E992" s="11" t="str">
        <f>IF(I992&lt;&gt;"",VLOOKUP(F992,OPDRACHTGEVER!$A$2:$B$4,2,FALSE),"")</f>
        <v>SKIIFM_AT</v>
      </c>
      <c r="F992" s="11" t="s">
        <v>58</v>
      </c>
      <c r="I992" s="11" t="str">
        <f>IF(DATA!B991&lt;&gt;"",DATA!B991,"")</f>
        <v>GLDU0704021</v>
      </c>
      <c r="J992" s="12">
        <v>0</v>
      </c>
      <c r="K992" s="11" t="s">
        <v>53</v>
      </c>
      <c r="L992" s="11" t="str">
        <f t="shared" si="64"/>
        <v>847480</v>
      </c>
      <c r="M992" s="11" t="str">
        <f>IF(I992&lt;&gt;"",DATA!E991,"")</f>
        <v>DRAWING MACHINE</v>
      </c>
      <c r="N992" s="12">
        <v>0</v>
      </c>
      <c r="O992" s="11">
        <f>IF(I992&lt;&gt;"",DATA!C991,"")</f>
        <v>134.91999999999999</v>
      </c>
      <c r="P992" s="2">
        <v>294094</v>
      </c>
      <c r="Q992" s="2" t="s">
        <v>1304</v>
      </c>
      <c r="R992" s="2" t="s">
        <v>1325</v>
      </c>
      <c r="S992" s="2">
        <v>8</v>
      </c>
      <c r="T992" s="2">
        <v>1</v>
      </c>
      <c r="U992" s="2" t="s">
        <v>141</v>
      </c>
      <c r="Y992" s="2">
        <v>1700</v>
      </c>
      <c r="Z992" s="11" t="s">
        <v>54</v>
      </c>
      <c r="AA992" s="11" t="str">
        <f t="shared" si="65"/>
        <v>1700 - TBN</v>
      </c>
      <c r="AC992" s="2" t="s">
        <v>145</v>
      </c>
      <c r="AD992" s="11" t="str">
        <f>IF($I992&lt;&gt;"",VLOOKUP($AC992,GEADRESSEERDE!$A$2:$E$4,2,),"")</f>
        <v>LUITHAGEN HAVEN 2 D</v>
      </c>
      <c r="AE992" s="11">
        <f>IF($I992&lt;&gt;"",VLOOKUP($AC992,GEADRESSEERDE!$A$2:$E$4,3,),"")</f>
        <v>2030</v>
      </c>
      <c r="AF992" s="11" t="str">
        <f>IF($I992&lt;&gt;"",VLOOKUP($AC992,GEADRESSEERDE!$A$2:$E$4,4,),"")</f>
        <v>ANTWERPEN</v>
      </c>
      <c r="AG992" s="11" t="str">
        <f>IF($I992&lt;&gt;"",VLOOKUP($AC992,GEADRESSEERDE!$A$2:$E$4,5,),"")</f>
        <v>BE</v>
      </c>
      <c r="AH992" s="11" t="str">
        <f>IF(I992&lt;&gt;"",VLOOKUP(AP992,KvB!$A$2:$B$3,2,FALSE),"")</f>
        <v>BE101000</v>
      </c>
      <c r="AI992" s="11" t="s">
        <v>55</v>
      </c>
      <c r="AJ992" s="11"/>
      <c r="AK992" s="11"/>
      <c r="AL992" s="11"/>
      <c r="AM992" s="11"/>
      <c r="AN992" s="11"/>
      <c r="AO992" s="11"/>
      <c r="AP992" s="2" t="s">
        <v>70</v>
      </c>
      <c r="AQ992" s="11" t="str">
        <f>IF(I992&lt;&gt;"",DATA!D991,"")</f>
        <v>8474809000</v>
      </c>
    </row>
    <row r="993" spans="1:43" ht="15.75" x14ac:dyDescent="0.25">
      <c r="A993" s="11" t="s">
        <v>57</v>
      </c>
      <c r="B993" s="11" t="s">
        <v>56</v>
      </c>
      <c r="C993" s="22">
        <f t="shared" si="66"/>
        <v>25001620</v>
      </c>
      <c r="D993" s="11" t="str">
        <f t="shared" si="63"/>
        <v>SKIIFM_AT</v>
      </c>
      <c r="E993" s="11" t="str">
        <f>IF(I993&lt;&gt;"",VLOOKUP(F993,OPDRACHTGEVER!$A$2:$B$4,2,FALSE),"")</f>
        <v>SKIIFM_AT</v>
      </c>
      <c r="F993" s="11" t="s">
        <v>58</v>
      </c>
      <c r="I993" s="11" t="str">
        <f>IF(DATA!B992&lt;&gt;"",DATA!B992,"")</f>
        <v>GLDU0704021</v>
      </c>
      <c r="J993" s="12">
        <v>0</v>
      </c>
      <c r="K993" s="11" t="s">
        <v>53</v>
      </c>
      <c r="L993" s="11" t="str">
        <f t="shared" si="64"/>
        <v>842511</v>
      </c>
      <c r="M993" s="11" t="str">
        <f>IF(I993&lt;&gt;"",DATA!E992,"")</f>
        <v>ELECTRIC HOIST</v>
      </c>
      <c r="N993" s="12">
        <v>0</v>
      </c>
      <c r="O993" s="11">
        <f>IF(I993&lt;&gt;"",DATA!C992,"")</f>
        <v>1783.68</v>
      </c>
      <c r="P993" s="2">
        <v>294094</v>
      </c>
      <c r="Q993" s="2" t="s">
        <v>1304</v>
      </c>
      <c r="R993" s="2" t="s">
        <v>1325</v>
      </c>
      <c r="S993" s="2">
        <v>8</v>
      </c>
      <c r="T993" s="2">
        <v>1</v>
      </c>
      <c r="U993" s="2" t="s">
        <v>141</v>
      </c>
      <c r="Y993" s="2">
        <v>1700</v>
      </c>
      <c r="Z993" s="11" t="s">
        <v>54</v>
      </c>
      <c r="AA993" s="11" t="str">
        <f t="shared" si="65"/>
        <v>1700 - TBN</v>
      </c>
      <c r="AC993" s="2" t="s">
        <v>145</v>
      </c>
      <c r="AD993" s="11" t="str">
        <f>IF($I993&lt;&gt;"",VLOOKUP($AC993,GEADRESSEERDE!$A$2:$E$4,2,),"")</f>
        <v>LUITHAGEN HAVEN 2 D</v>
      </c>
      <c r="AE993" s="11">
        <f>IF($I993&lt;&gt;"",VLOOKUP($AC993,GEADRESSEERDE!$A$2:$E$4,3,),"")</f>
        <v>2030</v>
      </c>
      <c r="AF993" s="11" t="str">
        <f>IF($I993&lt;&gt;"",VLOOKUP($AC993,GEADRESSEERDE!$A$2:$E$4,4,),"")</f>
        <v>ANTWERPEN</v>
      </c>
      <c r="AG993" s="11" t="str">
        <f>IF($I993&lt;&gt;"",VLOOKUP($AC993,GEADRESSEERDE!$A$2:$E$4,5,),"")</f>
        <v>BE</v>
      </c>
      <c r="AH993" s="11" t="str">
        <f>IF(I993&lt;&gt;"",VLOOKUP(AP993,KvB!$A$2:$B$3,2,FALSE),"")</f>
        <v>BE101000</v>
      </c>
      <c r="AI993" s="11" t="s">
        <v>55</v>
      </c>
      <c r="AJ993" s="11"/>
      <c r="AK993" s="11"/>
      <c r="AL993" s="11"/>
      <c r="AM993" s="11"/>
      <c r="AN993" s="11"/>
      <c r="AO993" s="11"/>
      <c r="AP993" s="2" t="s">
        <v>70</v>
      </c>
      <c r="AQ993" s="11" t="str">
        <f>IF(I993&lt;&gt;"",DATA!D992,"")</f>
        <v>8425110000</v>
      </c>
    </row>
    <row r="994" spans="1:43" ht="15.75" x14ac:dyDescent="0.25">
      <c r="A994" s="11" t="s">
        <v>57</v>
      </c>
      <c r="B994" s="11" t="s">
        <v>56</v>
      </c>
      <c r="C994" s="22">
        <f t="shared" si="66"/>
        <v>25001620</v>
      </c>
      <c r="D994" s="11" t="str">
        <f t="shared" si="63"/>
        <v>SKIIFM_AT</v>
      </c>
      <c r="E994" s="11" t="str">
        <f>IF(I994&lt;&gt;"",VLOOKUP(F994,OPDRACHTGEVER!$A$2:$B$4,2,FALSE),"")</f>
        <v>SKIIFM_AT</v>
      </c>
      <c r="F994" s="11" t="s">
        <v>58</v>
      </c>
      <c r="I994" s="11" t="str">
        <f>IF(DATA!B993&lt;&gt;"",DATA!B993,"")</f>
        <v>GLDU0704021</v>
      </c>
      <c r="J994" s="12">
        <v>0</v>
      </c>
      <c r="K994" s="11" t="s">
        <v>53</v>
      </c>
      <c r="L994" s="11" t="str">
        <f t="shared" si="64"/>
        <v>841869</v>
      </c>
      <c r="M994" s="11" t="str">
        <f>IF(I994&lt;&gt;"",DATA!E993,"")</f>
        <v>ENGRAVING MACHINE CHILLER</v>
      </c>
      <c r="N994" s="12">
        <v>0</v>
      </c>
      <c r="O994" s="11">
        <f>IF(I994&lt;&gt;"",DATA!C993,"")</f>
        <v>72</v>
      </c>
      <c r="P994" s="2">
        <v>294094</v>
      </c>
      <c r="Q994" s="2" t="s">
        <v>1304</v>
      </c>
      <c r="R994" s="2" t="s">
        <v>1325</v>
      </c>
      <c r="S994" s="2">
        <v>8</v>
      </c>
      <c r="T994" s="2">
        <v>1</v>
      </c>
      <c r="U994" s="2" t="s">
        <v>141</v>
      </c>
      <c r="Y994" s="2">
        <v>1700</v>
      </c>
      <c r="Z994" s="11" t="s">
        <v>54</v>
      </c>
      <c r="AA994" s="11" t="str">
        <f t="shared" si="65"/>
        <v>1700 - TBN</v>
      </c>
      <c r="AC994" s="2" t="s">
        <v>145</v>
      </c>
      <c r="AD994" s="11" t="str">
        <f>IF($I994&lt;&gt;"",VLOOKUP($AC994,GEADRESSEERDE!$A$2:$E$4,2,),"")</f>
        <v>LUITHAGEN HAVEN 2 D</v>
      </c>
      <c r="AE994" s="11">
        <f>IF($I994&lt;&gt;"",VLOOKUP($AC994,GEADRESSEERDE!$A$2:$E$4,3,),"")</f>
        <v>2030</v>
      </c>
      <c r="AF994" s="11" t="str">
        <f>IF($I994&lt;&gt;"",VLOOKUP($AC994,GEADRESSEERDE!$A$2:$E$4,4,),"")</f>
        <v>ANTWERPEN</v>
      </c>
      <c r="AG994" s="11" t="str">
        <f>IF($I994&lt;&gt;"",VLOOKUP($AC994,GEADRESSEERDE!$A$2:$E$4,5,),"")</f>
        <v>BE</v>
      </c>
      <c r="AH994" s="11" t="str">
        <f>IF(I994&lt;&gt;"",VLOOKUP(AP994,KvB!$A$2:$B$3,2,FALSE),"")</f>
        <v>BE101000</v>
      </c>
      <c r="AI994" s="11" t="s">
        <v>55</v>
      </c>
      <c r="AJ994" s="11"/>
      <c r="AK994" s="11"/>
      <c r="AL994" s="11"/>
      <c r="AM994" s="11"/>
      <c r="AN994" s="11"/>
      <c r="AO994" s="11"/>
      <c r="AP994" s="2" t="s">
        <v>70</v>
      </c>
      <c r="AQ994" s="11" t="str">
        <f>IF(I994&lt;&gt;"",DATA!D993,"")</f>
        <v>8418690099</v>
      </c>
    </row>
    <row r="995" spans="1:43" ht="15.75" x14ac:dyDescent="0.25">
      <c r="A995" s="11" t="s">
        <v>57</v>
      </c>
      <c r="B995" s="11" t="s">
        <v>56</v>
      </c>
      <c r="C995" s="22">
        <f t="shared" si="66"/>
        <v>25001620</v>
      </c>
      <c r="D995" s="11" t="str">
        <f t="shared" si="63"/>
        <v>SKIIFM_AT</v>
      </c>
      <c r="E995" s="11" t="str">
        <f>IF(I995&lt;&gt;"",VLOOKUP(F995,OPDRACHTGEVER!$A$2:$B$4,2,FALSE),"")</f>
        <v>SKIIFM_AT</v>
      </c>
      <c r="F995" s="11" t="s">
        <v>58</v>
      </c>
      <c r="I995" s="11" t="str">
        <f>IF(DATA!B994&lt;&gt;"",DATA!B994,"")</f>
        <v>GLDU0704021</v>
      </c>
      <c r="J995" s="12">
        <v>0</v>
      </c>
      <c r="K995" s="11" t="s">
        <v>53</v>
      </c>
      <c r="L995" s="11" t="str">
        <f t="shared" si="64"/>
        <v>851690</v>
      </c>
      <c r="M995" s="11" t="str">
        <f>IF(I995&lt;&gt;"",DATA!E994,"")</f>
        <v>EXHAUST PIPE KIT</v>
      </c>
      <c r="N995" s="12">
        <v>0</v>
      </c>
      <c r="O995" s="11">
        <f>IF(I995&lt;&gt;"",DATA!C994,"")</f>
        <v>0.6</v>
      </c>
      <c r="P995" s="2">
        <v>294094</v>
      </c>
      <c r="Q995" s="2" t="s">
        <v>1304</v>
      </c>
      <c r="R995" s="2" t="s">
        <v>1325</v>
      </c>
      <c r="S995" s="2">
        <v>8</v>
      </c>
      <c r="T995" s="2">
        <v>1</v>
      </c>
      <c r="U995" s="2" t="s">
        <v>141</v>
      </c>
      <c r="Y995" s="2">
        <v>1700</v>
      </c>
      <c r="Z995" s="11" t="s">
        <v>54</v>
      </c>
      <c r="AA995" s="11" t="str">
        <f t="shared" si="65"/>
        <v>1700 - TBN</v>
      </c>
      <c r="AC995" s="2" t="s">
        <v>145</v>
      </c>
      <c r="AD995" s="11" t="str">
        <f>IF($I995&lt;&gt;"",VLOOKUP($AC995,GEADRESSEERDE!$A$2:$E$4,2,),"")</f>
        <v>LUITHAGEN HAVEN 2 D</v>
      </c>
      <c r="AE995" s="11">
        <f>IF($I995&lt;&gt;"",VLOOKUP($AC995,GEADRESSEERDE!$A$2:$E$4,3,),"")</f>
        <v>2030</v>
      </c>
      <c r="AF995" s="11" t="str">
        <f>IF($I995&lt;&gt;"",VLOOKUP($AC995,GEADRESSEERDE!$A$2:$E$4,4,),"")</f>
        <v>ANTWERPEN</v>
      </c>
      <c r="AG995" s="11" t="str">
        <f>IF($I995&lt;&gt;"",VLOOKUP($AC995,GEADRESSEERDE!$A$2:$E$4,5,),"")</f>
        <v>BE</v>
      </c>
      <c r="AH995" s="11" t="str">
        <f>IF(I995&lt;&gt;"",VLOOKUP(AP995,KvB!$A$2:$B$3,2,FALSE),"")</f>
        <v>BE101000</v>
      </c>
      <c r="AI995" s="11" t="s">
        <v>55</v>
      </c>
      <c r="AJ995" s="11"/>
      <c r="AK995" s="11"/>
      <c r="AL995" s="11"/>
      <c r="AM995" s="11"/>
      <c r="AN995" s="11"/>
      <c r="AO995" s="11"/>
      <c r="AP995" s="2" t="s">
        <v>70</v>
      </c>
      <c r="AQ995" s="11" t="str">
        <f>IF(I995&lt;&gt;"",DATA!D994,"")</f>
        <v>8516900099</v>
      </c>
    </row>
    <row r="996" spans="1:43" ht="15.75" x14ac:dyDescent="0.25">
      <c r="A996" s="11" t="s">
        <v>57</v>
      </c>
      <c r="B996" s="11" t="s">
        <v>56</v>
      </c>
      <c r="C996" s="22">
        <f t="shared" si="66"/>
        <v>25001620</v>
      </c>
      <c r="D996" s="11" t="str">
        <f t="shared" si="63"/>
        <v>SKIIFM_AT</v>
      </c>
      <c r="E996" s="11" t="str">
        <f>IF(I996&lt;&gt;"",VLOOKUP(F996,OPDRACHTGEVER!$A$2:$B$4,2,FALSE),"")</f>
        <v>SKIIFM_AT</v>
      </c>
      <c r="F996" s="11" t="s">
        <v>58</v>
      </c>
      <c r="I996" s="11" t="str">
        <f>IF(DATA!B995&lt;&gt;"",DATA!B995,"")</f>
        <v>GLDU0704021</v>
      </c>
      <c r="J996" s="12">
        <v>0</v>
      </c>
      <c r="K996" s="11" t="s">
        <v>53</v>
      </c>
      <c r="L996" s="11" t="str">
        <f t="shared" si="64"/>
        <v>741920</v>
      </c>
      <c r="M996" s="11" t="str">
        <f>IF(I996&lt;&gt;"",DATA!E995,"")</f>
        <v>FENCE GATE</v>
      </c>
      <c r="N996" s="12">
        <v>0</v>
      </c>
      <c r="O996" s="11">
        <f>IF(I996&lt;&gt;"",DATA!C995,"")</f>
        <v>90.64</v>
      </c>
      <c r="P996" s="2">
        <v>294094</v>
      </c>
      <c r="Q996" s="2" t="s">
        <v>1304</v>
      </c>
      <c r="R996" s="2" t="s">
        <v>1325</v>
      </c>
      <c r="S996" s="2">
        <v>8</v>
      </c>
      <c r="T996" s="2">
        <v>1</v>
      </c>
      <c r="U996" s="2" t="s">
        <v>141</v>
      </c>
      <c r="Y996" s="2">
        <v>1700</v>
      </c>
      <c r="Z996" s="11" t="s">
        <v>54</v>
      </c>
      <c r="AA996" s="11" t="str">
        <f t="shared" si="65"/>
        <v>1700 - TBN</v>
      </c>
      <c r="AC996" s="2" t="s">
        <v>145</v>
      </c>
      <c r="AD996" s="11" t="str">
        <f>IF($I996&lt;&gt;"",VLOOKUP($AC996,GEADRESSEERDE!$A$2:$E$4,2,),"")</f>
        <v>LUITHAGEN HAVEN 2 D</v>
      </c>
      <c r="AE996" s="11">
        <f>IF($I996&lt;&gt;"",VLOOKUP($AC996,GEADRESSEERDE!$A$2:$E$4,3,),"")</f>
        <v>2030</v>
      </c>
      <c r="AF996" s="11" t="str">
        <f>IF($I996&lt;&gt;"",VLOOKUP($AC996,GEADRESSEERDE!$A$2:$E$4,4,),"")</f>
        <v>ANTWERPEN</v>
      </c>
      <c r="AG996" s="11" t="str">
        <f>IF($I996&lt;&gt;"",VLOOKUP($AC996,GEADRESSEERDE!$A$2:$E$4,5,),"")</f>
        <v>BE</v>
      </c>
      <c r="AH996" s="11" t="str">
        <f>IF(I996&lt;&gt;"",VLOOKUP(AP996,KvB!$A$2:$B$3,2,FALSE),"")</f>
        <v>BE101000</v>
      </c>
      <c r="AI996" s="11" t="s">
        <v>55</v>
      </c>
      <c r="AJ996" s="11"/>
      <c r="AK996" s="11"/>
      <c r="AL996" s="11"/>
      <c r="AM996" s="11"/>
      <c r="AN996" s="11"/>
      <c r="AO996" s="11"/>
      <c r="AP996" s="2" t="s">
        <v>70</v>
      </c>
      <c r="AQ996" s="11" t="str">
        <f>IF(I996&lt;&gt;"",DATA!D995,"")</f>
        <v>7419200090</v>
      </c>
    </row>
    <row r="997" spans="1:43" ht="15.75" x14ac:dyDescent="0.25">
      <c r="A997" s="11" t="s">
        <v>57</v>
      </c>
      <c r="B997" s="11" t="s">
        <v>56</v>
      </c>
      <c r="C997" s="22">
        <f t="shared" si="66"/>
        <v>25001620</v>
      </c>
      <c r="D997" s="11" t="str">
        <f t="shared" si="63"/>
        <v>SKIIFM_AT</v>
      </c>
      <c r="E997" s="11" t="str">
        <f>IF(I997&lt;&gt;"",VLOOKUP(F997,OPDRACHTGEVER!$A$2:$B$4,2,FALSE),"")</f>
        <v>SKIIFM_AT</v>
      </c>
      <c r="F997" s="11" t="s">
        <v>58</v>
      </c>
      <c r="I997" s="11" t="str">
        <f>IF(DATA!B996&lt;&gt;"",DATA!B996,"")</f>
        <v>GLDU0704021</v>
      </c>
      <c r="J997" s="12">
        <v>0</v>
      </c>
      <c r="K997" s="11" t="s">
        <v>53</v>
      </c>
      <c r="L997" s="11" t="str">
        <f t="shared" si="64"/>
        <v>391810</v>
      </c>
      <c r="M997" s="11" t="str">
        <f>IF(I997&lt;&gt;"",DATA!E996,"")</f>
        <v>FLOOR MATS</v>
      </c>
      <c r="N997" s="12">
        <v>0</v>
      </c>
      <c r="O997" s="11">
        <f>IF(I997&lt;&gt;"",DATA!C996,"")</f>
        <v>130.56</v>
      </c>
      <c r="P997" s="2">
        <v>294094</v>
      </c>
      <c r="Q997" s="2" t="s">
        <v>1304</v>
      </c>
      <c r="R997" s="2" t="s">
        <v>1325</v>
      </c>
      <c r="S997" s="2">
        <v>8</v>
      </c>
      <c r="T997" s="2">
        <v>1</v>
      </c>
      <c r="U997" s="2" t="s">
        <v>141</v>
      </c>
      <c r="Y997" s="2">
        <v>1700</v>
      </c>
      <c r="Z997" s="11" t="s">
        <v>54</v>
      </c>
      <c r="AA997" s="11" t="str">
        <f t="shared" si="65"/>
        <v>1700 - TBN</v>
      </c>
      <c r="AC997" s="2" t="s">
        <v>145</v>
      </c>
      <c r="AD997" s="11" t="str">
        <f>IF($I997&lt;&gt;"",VLOOKUP($AC997,GEADRESSEERDE!$A$2:$E$4,2,),"")</f>
        <v>LUITHAGEN HAVEN 2 D</v>
      </c>
      <c r="AE997" s="11">
        <f>IF($I997&lt;&gt;"",VLOOKUP($AC997,GEADRESSEERDE!$A$2:$E$4,3,),"")</f>
        <v>2030</v>
      </c>
      <c r="AF997" s="11" t="str">
        <f>IF($I997&lt;&gt;"",VLOOKUP($AC997,GEADRESSEERDE!$A$2:$E$4,4,),"")</f>
        <v>ANTWERPEN</v>
      </c>
      <c r="AG997" s="11" t="str">
        <f>IF($I997&lt;&gt;"",VLOOKUP($AC997,GEADRESSEERDE!$A$2:$E$4,5,),"")</f>
        <v>BE</v>
      </c>
      <c r="AH997" s="11" t="str">
        <f>IF(I997&lt;&gt;"",VLOOKUP(AP997,KvB!$A$2:$B$3,2,FALSE),"")</f>
        <v>BE101000</v>
      </c>
      <c r="AI997" s="11" t="s">
        <v>55</v>
      </c>
      <c r="AJ997" s="11"/>
      <c r="AK997" s="11"/>
      <c r="AL997" s="11"/>
      <c r="AM997" s="11"/>
      <c r="AN997" s="11"/>
      <c r="AO997" s="11"/>
      <c r="AP997" s="2" t="s">
        <v>70</v>
      </c>
      <c r="AQ997" s="11" t="str">
        <f>IF(I997&lt;&gt;"",DATA!D996,"")</f>
        <v>3918109090</v>
      </c>
    </row>
    <row r="998" spans="1:43" ht="15.75" x14ac:dyDescent="0.25">
      <c r="A998" s="11" t="s">
        <v>57</v>
      </c>
      <c r="B998" s="11" t="s">
        <v>56</v>
      </c>
      <c r="C998" s="22">
        <f t="shared" si="66"/>
        <v>25001620</v>
      </c>
      <c r="D998" s="11" t="str">
        <f t="shared" si="63"/>
        <v>SKIIFM_AT</v>
      </c>
      <c r="E998" s="11" t="str">
        <f>IF(I998&lt;&gt;"",VLOOKUP(F998,OPDRACHTGEVER!$A$2:$B$4,2,FALSE),"")</f>
        <v>SKIIFM_AT</v>
      </c>
      <c r="F998" s="11" t="s">
        <v>58</v>
      </c>
      <c r="I998" s="11" t="str">
        <f>IF(DATA!B997&lt;&gt;"",DATA!B997,"")</f>
        <v>GLDU0704021</v>
      </c>
      <c r="J998" s="12">
        <v>0</v>
      </c>
      <c r="K998" s="11" t="s">
        <v>53</v>
      </c>
      <c r="L998" s="11" t="str">
        <f t="shared" si="64"/>
        <v>831120</v>
      </c>
      <c r="M998" s="11" t="str">
        <f>IF(I998&lt;&gt;"",DATA!E997,"")</f>
        <v>FLUX CORE WELDING WIRE</v>
      </c>
      <c r="N998" s="12">
        <v>0</v>
      </c>
      <c r="O998" s="11">
        <f>IF(I998&lt;&gt;"",DATA!C997,"")</f>
        <v>123.38</v>
      </c>
      <c r="P998" s="2">
        <v>294094</v>
      </c>
      <c r="Q998" s="2" t="s">
        <v>1304</v>
      </c>
      <c r="R998" s="2" t="s">
        <v>1325</v>
      </c>
      <c r="S998" s="2">
        <v>8</v>
      </c>
      <c r="T998" s="2">
        <v>1</v>
      </c>
      <c r="U998" s="2" t="s">
        <v>141</v>
      </c>
      <c r="Y998" s="2">
        <v>1700</v>
      </c>
      <c r="Z998" s="11" t="s">
        <v>54</v>
      </c>
      <c r="AA998" s="11" t="str">
        <f t="shared" si="65"/>
        <v>1700 - TBN</v>
      </c>
      <c r="AC998" s="2" t="s">
        <v>145</v>
      </c>
      <c r="AD998" s="11" t="str">
        <f>IF($I998&lt;&gt;"",VLOOKUP($AC998,GEADRESSEERDE!$A$2:$E$4,2,),"")</f>
        <v>LUITHAGEN HAVEN 2 D</v>
      </c>
      <c r="AE998" s="11">
        <f>IF($I998&lt;&gt;"",VLOOKUP($AC998,GEADRESSEERDE!$A$2:$E$4,3,),"")</f>
        <v>2030</v>
      </c>
      <c r="AF998" s="11" t="str">
        <f>IF($I998&lt;&gt;"",VLOOKUP($AC998,GEADRESSEERDE!$A$2:$E$4,4,),"")</f>
        <v>ANTWERPEN</v>
      </c>
      <c r="AG998" s="11" t="str">
        <f>IF($I998&lt;&gt;"",VLOOKUP($AC998,GEADRESSEERDE!$A$2:$E$4,5,),"")</f>
        <v>BE</v>
      </c>
      <c r="AH998" s="11" t="str">
        <f>IF(I998&lt;&gt;"",VLOOKUP(AP998,KvB!$A$2:$B$3,2,FALSE),"")</f>
        <v>BE101000</v>
      </c>
      <c r="AI998" s="11" t="s">
        <v>55</v>
      </c>
      <c r="AJ998" s="11"/>
      <c r="AK998" s="11"/>
      <c r="AL998" s="11"/>
      <c r="AM998" s="11"/>
      <c r="AN998" s="11"/>
      <c r="AO998" s="11"/>
      <c r="AP998" s="2" t="s">
        <v>70</v>
      </c>
      <c r="AQ998" s="11" t="str">
        <f>IF(I998&lt;&gt;"",DATA!D997,"")</f>
        <v>8311200000</v>
      </c>
    </row>
    <row r="999" spans="1:43" ht="15.75" x14ac:dyDescent="0.25">
      <c r="A999" s="11" t="s">
        <v>57</v>
      </c>
      <c r="B999" s="11" t="s">
        <v>56</v>
      </c>
      <c r="C999" s="22">
        <f t="shared" si="66"/>
        <v>25001620</v>
      </c>
      <c r="D999" s="11" t="str">
        <f t="shared" si="63"/>
        <v>SKIIFM_AT</v>
      </c>
      <c r="E999" s="11" t="str">
        <f>IF(I999&lt;&gt;"",VLOOKUP(F999,OPDRACHTGEVER!$A$2:$B$4,2,FALSE),"")</f>
        <v>SKIIFM_AT</v>
      </c>
      <c r="F999" s="11" t="s">
        <v>58</v>
      </c>
      <c r="I999" s="11" t="str">
        <f>IF(DATA!B998&lt;&gt;"",DATA!B998,"")</f>
        <v>GLDU0704021</v>
      </c>
      <c r="J999" s="12">
        <v>0</v>
      </c>
      <c r="K999" s="11" t="s">
        <v>53</v>
      </c>
      <c r="L999" s="11" t="str">
        <f t="shared" si="64"/>
        <v>950691</v>
      </c>
      <c r="M999" s="11" t="str">
        <f>IF(I999&lt;&gt;"",DATA!E998,"")</f>
        <v>FOOTBALL REBOUND DEVICE</v>
      </c>
      <c r="N999" s="12">
        <v>0</v>
      </c>
      <c r="O999" s="11">
        <f>IF(I999&lt;&gt;"",DATA!C998,"")</f>
        <v>124.02</v>
      </c>
      <c r="P999" s="2">
        <v>294094</v>
      </c>
      <c r="Q999" s="2" t="s">
        <v>1304</v>
      </c>
      <c r="R999" s="2" t="s">
        <v>1325</v>
      </c>
      <c r="S999" s="2">
        <v>8</v>
      </c>
      <c r="T999" s="2">
        <v>1</v>
      </c>
      <c r="U999" s="2" t="s">
        <v>141</v>
      </c>
      <c r="Y999" s="2">
        <v>1700</v>
      </c>
      <c r="Z999" s="11" t="s">
        <v>54</v>
      </c>
      <c r="AA999" s="11" t="str">
        <f t="shared" si="65"/>
        <v>1700 - TBN</v>
      </c>
      <c r="AC999" s="2" t="s">
        <v>145</v>
      </c>
      <c r="AD999" s="11" t="str">
        <f>IF($I999&lt;&gt;"",VLOOKUP($AC999,GEADRESSEERDE!$A$2:$E$4,2,),"")</f>
        <v>LUITHAGEN HAVEN 2 D</v>
      </c>
      <c r="AE999" s="11">
        <f>IF($I999&lt;&gt;"",VLOOKUP($AC999,GEADRESSEERDE!$A$2:$E$4,3,),"")</f>
        <v>2030</v>
      </c>
      <c r="AF999" s="11" t="str">
        <f>IF($I999&lt;&gt;"",VLOOKUP($AC999,GEADRESSEERDE!$A$2:$E$4,4,),"")</f>
        <v>ANTWERPEN</v>
      </c>
      <c r="AG999" s="11" t="str">
        <f>IF($I999&lt;&gt;"",VLOOKUP($AC999,GEADRESSEERDE!$A$2:$E$4,5,),"")</f>
        <v>BE</v>
      </c>
      <c r="AH999" s="11" t="str">
        <f>IF(I999&lt;&gt;"",VLOOKUP(AP999,KvB!$A$2:$B$3,2,FALSE),"")</f>
        <v>BE101000</v>
      </c>
      <c r="AI999" s="11" t="s">
        <v>55</v>
      </c>
      <c r="AJ999" s="11"/>
      <c r="AK999" s="11"/>
      <c r="AL999" s="11"/>
      <c r="AM999" s="11"/>
      <c r="AN999" s="11"/>
      <c r="AO999" s="11"/>
      <c r="AP999" s="2" t="s">
        <v>70</v>
      </c>
      <c r="AQ999" s="11" t="str">
        <f>IF(I999&lt;&gt;"",DATA!D998,"")</f>
        <v>9506919000</v>
      </c>
    </row>
    <row r="1000" spans="1:43" ht="15.75" x14ac:dyDescent="0.25">
      <c r="A1000" s="11" t="s">
        <v>57</v>
      </c>
      <c r="B1000" s="11" t="s">
        <v>56</v>
      </c>
      <c r="C1000" s="22">
        <f t="shared" si="66"/>
        <v>25001620</v>
      </c>
      <c r="D1000" s="11" t="str">
        <f t="shared" si="63"/>
        <v>SKIIFM_AT</v>
      </c>
      <c r="E1000" s="11" t="str">
        <f>IF(I1000&lt;&gt;"",VLOOKUP(F1000,OPDRACHTGEVER!$A$2:$B$4,2,FALSE),"")</f>
        <v>SKIIFM_AT</v>
      </c>
      <c r="F1000" s="11" t="s">
        <v>58</v>
      </c>
      <c r="I1000" s="11" t="str">
        <f>IF(DATA!B999&lt;&gt;"",DATA!B999,"")</f>
        <v>GLDU0704021</v>
      </c>
      <c r="J1000" s="12">
        <v>0</v>
      </c>
      <c r="K1000" s="11" t="s">
        <v>53</v>
      </c>
      <c r="L1000" s="11" t="str">
        <f t="shared" si="64"/>
        <v>842139</v>
      </c>
      <c r="M1000" s="11" t="str">
        <f>IF(I1000&lt;&gt;"",DATA!E999,"")</f>
        <v>FUME PURIFIER</v>
      </c>
      <c r="N1000" s="12">
        <v>0</v>
      </c>
      <c r="O1000" s="11">
        <f>IF(I1000&lt;&gt;"",DATA!C999,"")</f>
        <v>17.84</v>
      </c>
      <c r="P1000" s="2">
        <v>294094</v>
      </c>
      <c r="Q1000" s="2" t="s">
        <v>1304</v>
      </c>
      <c r="R1000" s="2" t="s">
        <v>1325</v>
      </c>
      <c r="S1000" s="2">
        <v>8</v>
      </c>
      <c r="T1000" s="2">
        <v>1</v>
      </c>
      <c r="U1000" s="2" t="s">
        <v>141</v>
      </c>
      <c r="Y1000" s="2">
        <v>1700</v>
      </c>
      <c r="Z1000" s="11" t="s">
        <v>54</v>
      </c>
      <c r="AA1000" s="11" t="str">
        <f t="shared" si="65"/>
        <v>1700 - TBN</v>
      </c>
      <c r="AC1000" s="2" t="s">
        <v>145</v>
      </c>
      <c r="AD1000" s="11" t="str">
        <f>IF($I1000&lt;&gt;"",VLOOKUP($AC1000,GEADRESSEERDE!$A$2:$E$4,2,),"")</f>
        <v>LUITHAGEN HAVEN 2 D</v>
      </c>
      <c r="AE1000" s="11">
        <f>IF($I1000&lt;&gt;"",VLOOKUP($AC1000,GEADRESSEERDE!$A$2:$E$4,3,),"")</f>
        <v>2030</v>
      </c>
      <c r="AF1000" s="11" t="str">
        <f>IF($I1000&lt;&gt;"",VLOOKUP($AC1000,GEADRESSEERDE!$A$2:$E$4,4,),"")</f>
        <v>ANTWERPEN</v>
      </c>
      <c r="AG1000" s="11" t="str">
        <f>IF($I1000&lt;&gt;"",VLOOKUP($AC1000,GEADRESSEERDE!$A$2:$E$4,5,),"")</f>
        <v>BE</v>
      </c>
      <c r="AH1000" s="11" t="str">
        <f>IF(I1000&lt;&gt;"",VLOOKUP(AP1000,KvB!$A$2:$B$3,2,FALSE),"")</f>
        <v>BE101000</v>
      </c>
      <c r="AI1000" s="11" t="s">
        <v>55</v>
      </c>
      <c r="AJ1000" s="11"/>
      <c r="AK1000" s="11"/>
      <c r="AL1000" s="11"/>
      <c r="AM1000" s="11"/>
      <c r="AN1000" s="11"/>
      <c r="AO1000" s="11"/>
      <c r="AP1000" s="2" t="s">
        <v>70</v>
      </c>
      <c r="AQ1000" s="11" t="str">
        <f>IF(I1000&lt;&gt;"",DATA!D999,"")</f>
        <v>8421392590</v>
      </c>
    </row>
    <row r="1001" spans="1:43" ht="15.75" x14ac:dyDescent="0.25">
      <c r="A1001" s="11" t="s">
        <v>57</v>
      </c>
      <c r="B1001" s="11" t="s">
        <v>56</v>
      </c>
      <c r="C1001" s="22">
        <f t="shared" si="66"/>
        <v>25001620</v>
      </c>
      <c r="D1001" s="11" t="str">
        <f t="shared" si="63"/>
        <v>SKIIFM_AT</v>
      </c>
      <c r="E1001" s="11" t="str">
        <f>IF(I1001&lt;&gt;"",VLOOKUP(F1001,OPDRACHTGEVER!$A$2:$B$4,2,FALSE),"")</f>
        <v>SKIIFM_AT</v>
      </c>
      <c r="F1001" s="11" t="s">
        <v>58</v>
      </c>
      <c r="I1001" s="11" t="str">
        <f>IF(DATA!B1000&lt;&gt;"",DATA!B1000,"")</f>
        <v>GLDU0704021</v>
      </c>
      <c r="J1001" s="12">
        <v>0</v>
      </c>
      <c r="K1001" s="11" t="s">
        <v>53</v>
      </c>
      <c r="L1001" s="11" t="str">
        <f t="shared" si="64"/>
        <v>871680</v>
      </c>
      <c r="M1001" s="11" t="str">
        <f>IF(I1001&lt;&gt;"",DATA!E1000,"")</f>
        <v>GARDEN CART</v>
      </c>
      <c r="N1001" s="12">
        <v>0</v>
      </c>
      <c r="O1001" s="11">
        <f>IF(I1001&lt;&gt;"",DATA!C1000,"")</f>
        <v>2040.1</v>
      </c>
      <c r="P1001" s="2">
        <v>294094</v>
      </c>
      <c r="Q1001" s="2" t="s">
        <v>1304</v>
      </c>
      <c r="R1001" s="2" t="s">
        <v>1325</v>
      </c>
      <c r="S1001" s="2">
        <v>8</v>
      </c>
      <c r="T1001" s="2">
        <v>1</v>
      </c>
      <c r="U1001" s="2" t="s">
        <v>141</v>
      </c>
      <c r="Y1001" s="2">
        <v>1700</v>
      </c>
      <c r="Z1001" s="11" t="s">
        <v>54</v>
      </c>
      <c r="AA1001" s="11" t="str">
        <f t="shared" si="65"/>
        <v>1700 - TBN</v>
      </c>
      <c r="AC1001" s="2" t="s">
        <v>145</v>
      </c>
      <c r="AD1001" s="11" t="str">
        <f>IF($I1001&lt;&gt;"",VLOOKUP($AC1001,GEADRESSEERDE!$A$2:$E$4,2,),"")</f>
        <v>LUITHAGEN HAVEN 2 D</v>
      </c>
      <c r="AE1001" s="11">
        <f>IF($I1001&lt;&gt;"",VLOOKUP($AC1001,GEADRESSEERDE!$A$2:$E$4,3,),"")</f>
        <v>2030</v>
      </c>
      <c r="AF1001" s="11" t="str">
        <f>IF($I1001&lt;&gt;"",VLOOKUP($AC1001,GEADRESSEERDE!$A$2:$E$4,4,),"")</f>
        <v>ANTWERPEN</v>
      </c>
      <c r="AG1001" s="11" t="str">
        <f>IF($I1001&lt;&gt;"",VLOOKUP($AC1001,GEADRESSEERDE!$A$2:$E$4,5,),"")</f>
        <v>BE</v>
      </c>
      <c r="AH1001" s="11" t="str">
        <f>IF(I1001&lt;&gt;"",VLOOKUP(AP1001,KvB!$A$2:$B$3,2,FALSE),"")</f>
        <v>BE101000</v>
      </c>
      <c r="AI1001" s="11" t="s">
        <v>55</v>
      </c>
      <c r="AJ1001" s="11"/>
      <c r="AK1001" s="11"/>
      <c r="AL1001" s="11"/>
      <c r="AM1001" s="11"/>
      <c r="AN1001" s="11"/>
      <c r="AO1001" s="11"/>
      <c r="AP1001" s="2" t="s">
        <v>70</v>
      </c>
      <c r="AQ1001" s="11" t="str">
        <f>IF(I1001&lt;&gt;"",DATA!D1000,"")</f>
        <v>8716800000</v>
      </c>
    </row>
    <row r="1002" spans="1:43" ht="15.75" x14ac:dyDescent="0.25">
      <c r="A1002" s="11" t="s">
        <v>57</v>
      </c>
      <c r="B1002" s="11" t="s">
        <v>56</v>
      </c>
      <c r="C1002" s="22">
        <f t="shared" si="66"/>
        <v>25001620</v>
      </c>
      <c r="D1002" s="11" t="str">
        <f t="shared" si="63"/>
        <v>SKIIFM_AT</v>
      </c>
      <c r="E1002" s="11" t="str">
        <f>IF(I1002&lt;&gt;"",VLOOKUP(F1002,OPDRACHTGEVER!$A$2:$B$4,2,FALSE),"")</f>
        <v>SKIIFM_AT</v>
      </c>
      <c r="F1002" s="11" t="s">
        <v>58</v>
      </c>
      <c r="I1002" s="11" t="str">
        <f>IF(DATA!B1001&lt;&gt;"",DATA!B1001,"")</f>
        <v>GLDU0704021</v>
      </c>
      <c r="J1002" s="12">
        <v>0</v>
      </c>
      <c r="K1002" s="11" t="s">
        <v>53</v>
      </c>
      <c r="L1002" s="11" t="str">
        <f t="shared" si="64"/>
        <v>845899</v>
      </c>
      <c r="M1002" s="11" t="str">
        <f>IF(I1002&lt;&gt;"",DATA!E1001,"")</f>
        <v>HANDRAIL</v>
      </c>
      <c r="N1002" s="12">
        <v>0</v>
      </c>
      <c r="O1002" s="11">
        <f>IF(I1002&lt;&gt;"",DATA!C1001,"")</f>
        <v>28.08</v>
      </c>
      <c r="P1002" s="2">
        <v>294094</v>
      </c>
      <c r="Q1002" s="2" t="s">
        <v>1304</v>
      </c>
      <c r="R1002" s="2" t="s">
        <v>1325</v>
      </c>
      <c r="S1002" s="2">
        <v>8</v>
      </c>
      <c r="T1002" s="2">
        <v>1</v>
      </c>
      <c r="U1002" s="2" t="s">
        <v>141</v>
      </c>
      <c r="Y1002" s="2">
        <v>1700</v>
      </c>
      <c r="Z1002" s="11" t="s">
        <v>54</v>
      </c>
      <c r="AA1002" s="11" t="str">
        <f t="shared" si="65"/>
        <v>1700 - TBN</v>
      </c>
      <c r="AC1002" s="2" t="s">
        <v>145</v>
      </c>
      <c r="AD1002" s="11" t="str">
        <f>IF($I1002&lt;&gt;"",VLOOKUP($AC1002,GEADRESSEERDE!$A$2:$E$4,2,),"")</f>
        <v>LUITHAGEN HAVEN 2 D</v>
      </c>
      <c r="AE1002" s="11">
        <f>IF($I1002&lt;&gt;"",VLOOKUP($AC1002,GEADRESSEERDE!$A$2:$E$4,3,),"")</f>
        <v>2030</v>
      </c>
      <c r="AF1002" s="11" t="str">
        <f>IF($I1002&lt;&gt;"",VLOOKUP($AC1002,GEADRESSEERDE!$A$2:$E$4,4,),"")</f>
        <v>ANTWERPEN</v>
      </c>
      <c r="AG1002" s="11" t="str">
        <f>IF($I1002&lt;&gt;"",VLOOKUP($AC1002,GEADRESSEERDE!$A$2:$E$4,5,),"")</f>
        <v>BE</v>
      </c>
      <c r="AH1002" s="11" t="str">
        <f>IF(I1002&lt;&gt;"",VLOOKUP(AP1002,KvB!$A$2:$B$3,2,FALSE),"")</f>
        <v>BE101000</v>
      </c>
      <c r="AI1002" s="11" t="s">
        <v>55</v>
      </c>
      <c r="AJ1002" s="11"/>
      <c r="AK1002" s="11"/>
      <c r="AL1002" s="11"/>
      <c r="AM1002" s="11"/>
      <c r="AN1002" s="11"/>
      <c r="AO1002" s="11"/>
      <c r="AP1002" s="2" t="s">
        <v>70</v>
      </c>
      <c r="AQ1002" s="11" t="str">
        <f>IF(I1002&lt;&gt;"",DATA!D1001,"")</f>
        <v>8458990000</v>
      </c>
    </row>
    <row r="1003" spans="1:43" ht="15.75" x14ac:dyDescent="0.25">
      <c r="A1003" s="11" t="s">
        <v>57</v>
      </c>
      <c r="B1003" s="11" t="s">
        <v>56</v>
      </c>
      <c r="C1003" s="22">
        <f t="shared" si="66"/>
        <v>25001620</v>
      </c>
      <c r="D1003" s="11" t="str">
        <f t="shared" si="63"/>
        <v>SKIIFM_AT</v>
      </c>
      <c r="E1003" s="11" t="str">
        <f>IF(I1003&lt;&gt;"",VLOOKUP(F1003,OPDRACHTGEVER!$A$2:$B$4,2,FALSE),"")</f>
        <v>SKIIFM_AT</v>
      </c>
      <c r="F1003" s="11" t="s">
        <v>58</v>
      </c>
      <c r="I1003" s="11" t="str">
        <f>IF(DATA!B1002&lt;&gt;"",DATA!B1002,"")</f>
        <v>GLDU0704021</v>
      </c>
      <c r="J1003" s="12">
        <v>0</v>
      </c>
      <c r="K1003" s="11" t="s">
        <v>53</v>
      </c>
      <c r="L1003" s="11" t="str">
        <f t="shared" si="64"/>
        <v>841989</v>
      </c>
      <c r="M1003" s="11" t="str">
        <f>IF(I1003&lt;&gt;"",DATA!E1002,"")</f>
        <v>HEATING MANTLE</v>
      </c>
      <c r="N1003" s="12">
        <v>0</v>
      </c>
      <c r="O1003" s="11">
        <f>IF(I1003&lt;&gt;"",DATA!C1002,"")</f>
        <v>2.5499999999999998</v>
      </c>
      <c r="P1003" s="2">
        <v>294094</v>
      </c>
      <c r="Q1003" s="2" t="s">
        <v>1304</v>
      </c>
      <c r="R1003" s="2" t="s">
        <v>1325</v>
      </c>
      <c r="S1003" s="2">
        <v>8</v>
      </c>
      <c r="T1003" s="2">
        <v>1</v>
      </c>
      <c r="U1003" s="2" t="s">
        <v>141</v>
      </c>
      <c r="Y1003" s="2">
        <v>1700</v>
      </c>
      <c r="Z1003" s="11" t="s">
        <v>54</v>
      </c>
      <c r="AA1003" s="11" t="str">
        <f t="shared" si="65"/>
        <v>1700 - TBN</v>
      </c>
      <c r="AC1003" s="2" t="s">
        <v>145</v>
      </c>
      <c r="AD1003" s="11" t="str">
        <f>IF($I1003&lt;&gt;"",VLOOKUP($AC1003,GEADRESSEERDE!$A$2:$E$4,2,),"")</f>
        <v>LUITHAGEN HAVEN 2 D</v>
      </c>
      <c r="AE1003" s="11">
        <f>IF($I1003&lt;&gt;"",VLOOKUP($AC1003,GEADRESSEERDE!$A$2:$E$4,3,),"")</f>
        <v>2030</v>
      </c>
      <c r="AF1003" s="11" t="str">
        <f>IF($I1003&lt;&gt;"",VLOOKUP($AC1003,GEADRESSEERDE!$A$2:$E$4,4,),"")</f>
        <v>ANTWERPEN</v>
      </c>
      <c r="AG1003" s="11" t="str">
        <f>IF($I1003&lt;&gt;"",VLOOKUP($AC1003,GEADRESSEERDE!$A$2:$E$4,5,),"")</f>
        <v>BE</v>
      </c>
      <c r="AH1003" s="11" t="str">
        <f>IF(I1003&lt;&gt;"",VLOOKUP(AP1003,KvB!$A$2:$B$3,2,FALSE),"")</f>
        <v>BE101000</v>
      </c>
      <c r="AI1003" s="11" t="s">
        <v>55</v>
      </c>
      <c r="AJ1003" s="11"/>
      <c r="AK1003" s="11"/>
      <c r="AL1003" s="11"/>
      <c r="AM1003" s="11"/>
      <c r="AN1003" s="11"/>
      <c r="AO1003" s="11"/>
      <c r="AP1003" s="2" t="s">
        <v>70</v>
      </c>
      <c r="AQ1003" s="11" t="str">
        <f>IF(I1003&lt;&gt;"",DATA!D1002,"")</f>
        <v>8419899890</v>
      </c>
    </row>
    <row r="1004" spans="1:43" ht="15.75" x14ac:dyDescent="0.25">
      <c r="A1004" s="11" t="s">
        <v>57</v>
      </c>
      <c r="B1004" s="11" t="s">
        <v>56</v>
      </c>
      <c r="C1004" s="22">
        <f t="shared" si="66"/>
        <v>25001620</v>
      </c>
      <c r="D1004" s="11" t="str">
        <f t="shared" si="63"/>
        <v>SKIIFM_AT</v>
      </c>
      <c r="E1004" s="11" t="str">
        <f>IF(I1004&lt;&gt;"",VLOOKUP(F1004,OPDRACHTGEVER!$A$2:$B$4,2,FALSE),"")</f>
        <v>SKIIFM_AT</v>
      </c>
      <c r="F1004" s="11" t="s">
        <v>58</v>
      </c>
      <c r="I1004" s="11" t="str">
        <f>IF(DATA!B1003&lt;&gt;"",DATA!B1003,"")</f>
        <v>GLDU0704021</v>
      </c>
      <c r="J1004" s="12">
        <v>0</v>
      </c>
      <c r="K1004" s="11" t="s">
        <v>53</v>
      </c>
      <c r="L1004" s="11" t="str">
        <f t="shared" si="64"/>
        <v>741920</v>
      </c>
      <c r="M1004" s="11" t="str">
        <f>IF(I1004&lt;&gt;"",DATA!E1003,"")</f>
        <v>HOIST SUPPORT ARM MOUNTING ROD</v>
      </c>
      <c r="N1004" s="12">
        <v>0</v>
      </c>
      <c r="O1004" s="11">
        <f>IF(I1004&lt;&gt;"",DATA!C1003,"")</f>
        <v>248.23</v>
      </c>
      <c r="P1004" s="2">
        <v>294094</v>
      </c>
      <c r="Q1004" s="2" t="s">
        <v>1304</v>
      </c>
      <c r="R1004" s="2" t="s">
        <v>1325</v>
      </c>
      <c r="S1004" s="2">
        <v>8</v>
      </c>
      <c r="T1004" s="2">
        <v>1</v>
      </c>
      <c r="U1004" s="2" t="s">
        <v>141</v>
      </c>
      <c r="Y1004" s="2">
        <v>1700</v>
      </c>
      <c r="Z1004" s="11" t="s">
        <v>54</v>
      </c>
      <c r="AA1004" s="11" t="str">
        <f t="shared" si="65"/>
        <v>1700 - TBN</v>
      </c>
      <c r="AC1004" s="2" t="s">
        <v>145</v>
      </c>
      <c r="AD1004" s="11" t="str">
        <f>IF($I1004&lt;&gt;"",VLOOKUP($AC1004,GEADRESSEERDE!$A$2:$E$4,2,),"")</f>
        <v>LUITHAGEN HAVEN 2 D</v>
      </c>
      <c r="AE1004" s="11">
        <f>IF($I1004&lt;&gt;"",VLOOKUP($AC1004,GEADRESSEERDE!$A$2:$E$4,3,),"")</f>
        <v>2030</v>
      </c>
      <c r="AF1004" s="11" t="str">
        <f>IF($I1004&lt;&gt;"",VLOOKUP($AC1004,GEADRESSEERDE!$A$2:$E$4,4,),"")</f>
        <v>ANTWERPEN</v>
      </c>
      <c r="AG1004" s="11" t="str">
        <f>IF($I1004&lt;&gt;"",VLOOKUP($AC1004,GEADRESSEERDE!$A$2:$E$4,5,),"")</f>
        <v>BE</v>
      </c>
      <c r="AH1004" s="11" t="str">
        <f>IF(I1004&lt;&gt;"",VLOOKUP(AP1004,KvB!$A$2:$B$3,2,FALSE),"")</f>
        <v>BE101000</v>
      </c>
      <c r="AI1004" s="11" t="s">
        <v>55</v>
      </c>
      <c r="AJ1004" s="11"/>
      <c r="AK1004" s="11"/>
      <c r="AL1004" s="11"/>
      <c r="AM1004" s="11"/>
      <c r="AN1004" s="11"/>
      <c r="AO1004" s="11"/>
      <c r="AP1004" s="2" t="s">
        <v>70</v>
      </c>
      <c r="AQ1004" s="11" t="str">
        <f>IF(I1004&lt;&gt;"",DATA!D1003,"")</f>
        <v>7419200090</v>
      </c>
    </row>
    <row r="1005" spans="1:43" ht="15.75" x14ac:dyDescent="0.25">
      <c r="A1005" s="11" t="s">
        <v>57</v>
      </c>
      <c r="B1005" s="11" t="s">
        <v>56</v>
      </c>
      <c r="C1005" s="22">
        <f t="shared" si="66"/>
        <v>25001620</v>
      </c>
      <c r="D1005" s="11" t="str">
        <f t="shared" si="63"/>
        <v>SKIIFM_AT</v>
      </c>
      <c r="E1005" s="11" t="str">
        <f>IF(I1005&lt;&gt;"",VLOOKUP(F1005,OPDRACHTGEVER!$A$2:$B$4,2,FALSE),"")</f>
        <v>SKIIFM_AT</v>
      </c>
      <c r="F1005" s="11" t="s">
        <v>58</v>
      </c>
      <c r="I1005" s="11" t="str">
        <f>IF(DATA!B1004&lt;&gt;"",DATA!B1004,"")</f>
        <v>GLDU0704021</v>
      </c>
      <c r="J1005" s="12">
        <v>0</v>
      </c>
      <c r="K1005" s="11" t="s">
        <v>53</v>
      </c>
      <c r="L1005" s="11" t="str">
        <f t="shared" si="64"/>
        <v>843680</v>
      </c>
      <c r="M1005" s="11" t="str">
        <f>IF(I1005&lt;&gt;"",DATA!E1004,"")</f>
        <v>HONEY EXTRACTOR</v>
      </c>
      <c r="N1005" s="12">
        <v>0</v>
      </c>
      <c r="O1005" s="11">
        <f>IF(I1005&lt;&gt;"",DATA!C1004,"")</f>
        <v>213.3</v>
      </c>
      <c r="P1005" s="2">
        <v>294094</v>
      </c>
      <c r="Q1005" s="2" t="s">
        <v>1304</v>
      </c>
      <c r="R1005" s="2" t="s">
        <v>1325</v>
      </c>
      <c r="S1005" s="2">
        <v>8</v>
      </c>
      <c r="T1005" s="2">
        <v>1</v>
      </c>
      <c r="U1005" s="2" t="s">
        <v>141</v>
      </c>
      <c r="Y1005" s="2">
        <v>1700</v>
      </c>
      <c r="Z1005" s="11" t="s">
        <v>54</v>
      </c>
      <c r="AA1005" s="11" t="str">
        <f t="shared" si="65"/>
        <v>1700 - TBN</v>
      </c>
      <c r="AC1005" s="2" t="s">
        <v>145</v>
      </c>
      <c r="AD1005" s="11" t="str">
        <f>IF($I1005&lt;&gt;"",VLOOKUP($AC1005,GEADRESSEERDE!$A$2:$E$4,2,),"")</f>
        <v>LUITHAGEN HAVEN 2 D</v>
      </c>
      <c r="AE1005" s="11">
        <f>IF($I1005&lt;&gt;"",VLOOKUP($AC1005,GEADRESSEERDE!$A$2:$E$4,3,),"")</f>
        <v>2030</v>
      </c>
      <c r="AF1005" s="11" t="str">
        <f>IF($I1005&lt;&gt;"",VLOOKUP($AC1005,GEADRESSEERDE!$A$2:$E$4,4,),"")</f>
        <v>ANTWERPEN</v>
      </c>
      <c r="AG1005" s="11" t="str">
        <f>IF($I1005&lt;&gt;"",VLOOKUP($AC1005,GEADRESSEERDE!$A$2:$E$4,5,),"")</f>
        <v>BE</v>
      </c>
      <c r="AH1005" s="11" t="str">
        <f>IF(I1005&lt;&gt;"",VLOOKUP(AP1005,KvB!$A$2:$B$3,2,FALSE),"")</f>
        <v>BE101000</v>
      </c>
      <c r="AI1005" s="11" t="s">
        <v>55</v>
      </c>
      <c r="AJ1005" s="11"/>
      <c r="AK1005" s="11"/>
      <c r="AL1005" s="11"/>
      <c r="AM1005" s="11"/>
      <c r="AN1005" s="11"/>
      <c r="AO1005" s="11"/>
      <c r="AP1005" s="2" t="s">
        <v>70</v>
      </c>
      <c r="AQ1005" s="11" t="str">
        <f>IF(I1005&lt;&gt;"",DATA!D1004,"")</f>
        <v>8436809000</v>
      </c>
    </row>
    <row r="1006" spans="1:43" ht="15.75" x14ac:dyDescent="0.25">
      <c r="A1006" s="11" t="s">
        <v>57</v>
      </c>
      <c r="B1006" s="11" t="s">
        <v>56</v>
      </c>
      <c r="C1006" s="22">
        <f t="shared" si="66"/>
        <v>25001620</v>
      </c>
      <c r="D1006" s="11" t="str">
        <f t="shared" si="63"/>
        <v>SKIIFM_AT</v>
      </c>
      <c r="E1006" s="11" t="str">
        <f>IF(I1006&lt;&gt;"",VLOOKUP(F1006,OPDRACHTGEVER!$A$2:$B$4,2,FALSE),"")</f>
        <v>SKIIFM_AT</v>
      </c>
      <c r="F1006" s="11" t="s">
        <v>58</v>
      </c>
      <c r="I1006" s="11" t="str">
        <f>IF(DATA!B1005&lt;&gt;"",DATA!B1005,"")</f>
        <v>GLDU0704021</v>
      </c>
      <c r="J1006" s="12">
        <v>0</v>
      </c>
      <c r="K1006" s="11" t="s">
        <v>53</v>
      </c>
      <c r="L1006" s="11" t="str">
        <f t="shared" si="64"/>
        <v>841229</v>
      </c>
      <c r="M1006" s="11" t="str">
        <f>IF(I1006&lt;&gt;"",DATA!E1005,"")</f>
        <v>HYDRAULIC POWER UNIT</v>
      </c>
      <c r="N1006" s="12">
        <v>0</v>
      </c>
      <c r="O1006" s="11">
        <f>IF(I1006&lt;&gt;"",DATA!C1005,"")</f>
        <v>207.72</v>
      </c>
      <c r="P1006" s="2">
        <v>294094</v>
      </c>
      <c r="Q1006" s="2" t="s">
        <v>1304</v>
      </c>
      <c r="R1006" s="2" t="s">
        <v>1325</v>
      </c>
      <c r="S1006" s="2">
        <v>8</v>
      </c>
      <c r="T1006" s="2">
        <v>1</v>
      </c>
      <c r="U1006" s="2" t="s">
        <v>141</v>
      </c>
      <c r="Y1006" s="2">
        <v>1700</v>
      </c>
      <c r="Z1006" s="11" t="s">
        <v>54</v>
      </c>
      <c r="AA1006" s="11" t="str">
        <f t="shared" si="65"/>
        <v>1700 - TBN</v>
      </c>
      <c r="AC1006" s="2" t="s">
        <v>145</v>
      </c>
      <c r="AD1006" s="11" t="str">
        <f>IF($I1006&lt;&gt;"",VLOOKUP($AC1006,GEADRESSEERDE!$A$2:$E$4,2,),"")</f>
        <v>LUITHAGEN HAVEN 2 D</v>
      </c>
      <c r="AE1006" s="11">
        <f>IF($I1006&lt;&gt;"",VLOOKUP($AC1006,GEADRESSEERDE!$A$2:$E$4,3,),"")</f>
        <v>2030</v>
      </c>
      <c r="AF1006" s="11" t="str">
        <f>IF($I1006&lt;&gt;"",VLOOKUP($AC1006,GEADRESSEERDE!$A$2:$E$4,4,),"")</f>
        <v>ANTWERPEN</v>
      </c>
      <c r="AG1006" s="11" t="str">
        <f>IF($I1006&lt;&gt;"",VLOOKUP($AC1006,GEADRESSEERDE!$A$2:$E$4,5,),"")</f>
        <v>BE</v>
      </c>
      <c r="AH1006" s="11" t="str">
        <f>IF(I1006&lt;&gt;"",VLOOKUP(AP1006,KvB!$A$2:$B$3,2,FALSE),"")</f>
        <v>BE101000</v>
      </c>
      <c r="AI1006" s="11" t="s">
        <v>55</v>
      </c>
      <c r="AJ1006" s="11"/>
      <c r="AK1006" s="11"/>
      <c r="AL1006" s="11"/>
      <c r="AM1006" s="11"/>
      <c r="AN1006" s="11"/>
      <c r="AO1006" s="11"/>
      <c r="AP1006" s="2" t="s">
        <v>70</v>
      </c>
      <c r="AQ1006" s="11" t="str">
        <f>IF(I1006&lt;&gt;"",DATA!D1005,"")</f>
        <v>8412298990</v>
      </c>
    </row>
    <row r="1007" spans="1:43" ht="15.75" x14ac:dyDescent="0.25">
      <c r="A1007" s="11" t="s">
        <v>57</v>
      </c>
      <c r="B1007" s="11" t="s">
        <v>56</v>
      </c>
      <c r="C1007" s="22">
        <f t="shared" si="66"/>
        <v>25001620</v>
      </c>
      <c r="D1007" s="11" t="str">
        <f t="shared" si="63"/>
        <v>SKIIFM_AT</v>
      </c>
      <c r="E1007" s="11" t="str">
        <f>IF(I1007&lt;&gt;"",VLOOKUP(F1007,OPDRACHTGEVER!$A$2:$B$4,2,FALSE),"")</f>
        <v>SKIIFM_AT</v>
      </c>
      <c r="F1007" s="11" t="s">
        <v>58</v>
      </c>
      <c r="I1007" s="11" t="str">
        <f>IF(DATA!B1006&lt;&gt;"",DATA!B1006,"")</f>
        <v>GLDU0704021</v>
      </c>
      <c r="J1007" s="12">
        <v>0</v>
      </c>
      <c r="K1007" s="11" t="s">
        <v>53</v>
      </c>
      <c r="L1007" s="11" t="str">
        <f t="shared" si="64"/>
        <v>841420</v>
      </c>
      <c r="M1007" s="11" t="str">
        <f>IF(I1007&lt;&gt;"",DATA!E1006,"")</f>
        <v>HYDRAULIC PUMP</v>
      </c>
      <c r="N1007" s="12">
        <v>0</v>
      </c>
      <c r="O1007" s="11">
        <f>IF(I1007&lt;&gt;"",DATA!C1006,"")</f>
        <v>175.1</v>
      </c>
      <c r="P1007" s="2">
        <v>294094</v>
      </c>
      <c r="Q1007" s="2" t="s">
        <v>1304</v>
      </c>
      <c r="R1007" s="2" t="s">
        <v>1325</v>
      </c>
      <c r="S1007" s="2">
        <v>8</v>
      </c>
      <c r="T1007" s="2">
        <v>1</v>
      </c>
      <c r="U1007" s="2" t="s">
        <v>141</v>
      </c>
      <c r="Y1007" s="2">
        <v>1700</v>
      </c>
      <c r="Z1007" s="11" t="s">
        <v>54</v>
      </c>
      <c r="AA1007" s="11" t="str">
        <f t="shared" si="65"/>
        <v>1700 - TBN</v>
      </c>
      <c r="AC1007" s="2" t="s">
        <v>145</v>
      </c>
      <c r="AD1007" s="11" t="str">
        <f>IF($I1007&lt;&gt;"",VLOOKUP($AC1007,GEADRESSEERDE!$A$2:$E$4,2,),"")</f>
        <v>LUITHAGEN HAVEN 2 D</v>
      </c>
      <c r="AE1007" s="11">
        <f>IF($I1007&lt;&gt;"",VLOOKUP($AC1007,GEADRESSEERDE!$A$2:$E$4,3,),"")</f>
        <v>2030</v>
      </c>
      <c r="AF1007" s="11" t="str">
        <f>IF($I1007&lt;&gt;"",VLOOKUP($AC1007,GEADRESSEERDE!$A$2:$E$4,4,),"")</f>
        <v>ANTWERPEN</v>
      </c>
      <c r="AG1007" s="11" t="str">
        <f>IF($I1007&lt;&gt;"",VLOOKUP($AC1007,GEADRESSEERDE!$A$2:$E$4,5,),"")</f>
        <v>BE</v>
      </c>
      <c r="AH1007" s="11" t="str">
        <f>IF(I1007&lt;&gt;"",VLOOKUP(AP1007,KvB!$A$2:$B$3,2,FALSE),"")</f>
        <v>BE101000</v>
      </c>
      <c r="AI1007" s="11" t="s">
        <v>55</v>
      </c>
      <c r="AJ1007" s="11"/>
      <c r="AK1007" s="11"/>
      <c r="AL1007" s="11"/>
      <c r="AM1007" s="11"/>
      <c r="AN1007" s="11"/>
      <c r="AO1007" s="11"/>
      <c r="AP1007" s="2" t="s">
        <v>70</v>
      </c>
      <c r="AQ1007" s="11" t="str">
        <f>IF(I1007&lt;&gt;"",DATA!D1006,"")</f>
        <v>8414208090</v>
      </c>
    </row>
    <row r="1008" spans="1:43" ht="15.75" x14ac:dyDescent="0.25">
      <c r="A1008" s="11" t="s">
        <v>57</v>
      </c>
      <c r="B1008" s="11" t="s">
        <v>56</v>
      </c>
      <c r="C1008" s="22">
        <f t="shared" si="66"/>
        <v>25001620</v>
      </c>
      <c r="D1008" s="11" t="str">
        <f t="shared" si="63"/>
        <v>SKIIFM_AT</v>
      </c>
      <c r="E1008" s="11" t="str">
        <f>IF(I1008&lt;&gt;"",VLOOKUP(F1008,OPDRACHTGEVER!$A$2:$B$4,2,FALSE),"")</f>
        <v>SKIIFM_AT</v>
      </c>
      <c r="F1008" s="11" t="s">
        <v>58</v>
      </c>
      <c r="I1008" s="11" t="str">
        <f>IF(DATA!B1007&lt;&gt;"",DATA!B1007,"")</f>
        <v>GLDU0704021</v>
      </c>
      <c r="J1008" s="12">
        <v>0</v>
      </c>
      <c r="K1008" s="11" t="s">
        <v>53</v>
      </c>
      <c r="L1008" s="11" t="str">
        <f t="shared" si="64"/>
        <v>847989</v>
      </c>
      <c r="M1008" s="11" t="str">
        <f>IF(I1008&lt;&gt;"",DATA!E1007,"")</f>
        <v>HYDRAULIC RUDDER</v>
      </c>
      <c r="N1008" s="12">
        <v>0</v>
      </c>
      <c r="O1008" s="11">
        <f>IF(I1008&lt;&gt;"",DATA!C1007,"")</f>
        <v>102.16</v>
      </c>
      <c r="P1008" s="2">
        <v>294094</v>
      </c>
      <c r="Q1008" s="2" t="s">
        <v>1304</v>
      </c>
      <c r="R1008" s="2" t="s">
        <v>1325</v>
      </c>
      <c r="S1008" s="2">
        <v>8</v>
      </c>
      <c r="T1008" s="2">
        <v>1</v>
      </c>
      <c r="U1008" s="2" t="s">
        <v>141</v>
      </c>
      <c r="Y1008" s="2">
        <v>1700</v>
      </c>
      <c r="Z1008" s="11" t="s">
        <v>54</v>
      </c>
      <c r="AA1008" s="11" t="str">
        <f t="shared" si="65"/>
        <v>1700 - TBN</v>
      </c>
      <c r="AC1008" s="2" t="s">
        <v>145</v>
      </c>
      <c r="AD1008" s="11" t="str">
        <f>IF($I1008&lt;&gt;"",VLOOKUP($AC1008,GEADRESSEERDE!$A$2:$E$4,2,),"")</f>
        <v>LUITHAGEN HAVEN 2 D</v>
      </c>
      <c r="AE1008" s="11">
        <f>IF($I1008&lt;&gt;"",VLOOKUP($AC1008,GEADRESSEERDE!$A$2:$E$4,3,),"")</f>
        <v>2030</v>
      </c>
      <c r="AF1008" s="11" t="str">
        <f>IF($I1008&lt;&gt;"",VLOOKUP($AC1008,GEADRESSEERDE!$A$2:$E$4,4,),"")</f>
        <v>ANTWERPEN</v>
      </c>
      <c r="AG1008" s="11" t="str">
        <f>IF($I1008&lt;&gt;"",VLOOKUP($AC1008,GEADRESSEERDE!$A$2:$E$4,5,),"")</f>
        <v>BE</v>
      </c>
      <c r="AH1008" s="11" t="str">
        <f>IF(I1008&lt;&gt;"",VLOOKUP(AP1008,KvB!$A$2:$B$3,2,FALSE),"")</f>
        <v>BE101000</v>
      </c>
      <c r="AI1008" s="11" t="s">
        <v>55</v>
      </c>
      <c r="AJ1008" s="11"/>
      <c r="AK1008" s="11"/>
      <c r="AL1008" s="11"/>
      <c r="AM1008" s="11"/>
      <c r="AN1008" s="11"/>
      <c r="AO1008" s="11"/>
      <c r="AP1008" s="2" t="s">
        <v>70</v>
      </c>
      <c r="AQ1008" s="11" t="str">
        <f>IF(I1008&lt;&gt;"",DATA!D1007,"")</f>
        <v>8479899790</v>
      </c>
    </row>
    <row r="1009" spans="1:43" ht="15.75" x14ac:dyDescent="0.25">
      <c r="A1009" s="11" t="s">
        <v>57</v>
      </c>
      <c r="B1009" s="11" t="s">
        <v>56</v>
      </c>
      <c r="C1009" s="22">
        <f t="shared" si="66"/>
        <v>25001620</v>
      </c>
      <c r="D1009" s="11" t="str">
        <f t="shared" si="63"/>
        <v>SKIIFM_AT</v>
      </c>
      <c r="E1009" s="11" t="str">
        <f>IF(I1009&lt;&gt;"",VLOOKUP(F1009,OPDRACHTGEVER!$A$2:$B$4,2,FALSE),"")</f>
        <v>SKIIFM_AT</v>
      </c>
      <c r="F1009" s="11" t="s">
        <v>58</v>
      </c>
      <c r="I1009" s="11" t="str">
        <f>IF(DATA!B1008&lt;&gt;"",DATA!B1008,"")</f>
        <v>GLDU0704021</v>
      </c>
      <c r="J1009" s="12">
        <v>0</v>
      </c>
      <c r="K1009" s="11" t="s">
        <v>53</v>
      </c>
      <c r="L1009" s="11" t="str">
        <f t="shared" si="64"/>
        <v>846630</v>
      </c>
      <c r="M1009" s="11" t="str">
        <f>IF(I1009&lt;&gt;"",DATA!E1008,"")</f>
        <v>INDEXING PLATE</v>
      </c>
      <c r="N1009" s="12">
        <v>0</v>
      </c>
      <c r="O1009" s="11">
        <f>IF(I1009&lt;&gt;"",DATA!C1008,"")</f>
        <v>107.35</v>
      </c>
      <c r="P1009" s="2">
        <v>294094</v>
      </c>
      <c r="Q1009" s="2" t="s">
        <v>1304</v>
      </c>
      <c r="R1009" s="2" t="s">
        <v>1325</v>
      </c>
      <c r="S1009" s="2">
        <v>8</v>
      </c>
      <c r="T1009" s="2">
        <v>1</v>
      </c>
      <c r="U1009" s="2" t="s">
        <v>141</v>
      </c>
      <c r="Y1009" s="2">
        <v>1700</v>
      </c>
      <c r="Z1009" s="11" t="s">
        <v>54</v>
      </c>
      <c r="AA1009" s="11" t="str">
        <f t="shared" si="65"/>
        <v>1700 - TBN</v>
      </c>
      <c r="AC1009" s="2" t="s">
        <v>145</v>
      </c>
      <c r="AD1009" s="11" t="str">
        <f>IF($I1009&lt;&gt;"",VLOOKUP($AC1009,GEADRESSEERDE!$A$2:$E$4,2,),"")</f>
        <v>LUITHAGEN HAVEN 2 D</v>
      </c>
      <c r="AE1009" s="11">
        <f>IF($I1009&lt;&gt;"",VLOOKUP($AC1009,GEADRESSEERDE!$A$2:$E$4,3,),"")</f>
        <v>2030</v>
      </c>
      <c r="AF1009" s="11" t="str">
        <f>IF($I1009&lt;&gt;"",VLOOKUP($AC1009,GEADRESSEERDE!$A$2:$E$4,4,),"")</f>
        <v>ANTWERPEN</v>
      </c>
      <c r="AG1009" s="11" t="str">
        <f>IF($I1009&lt;&gt;"",VLOOKUP($AC1009,GEADRESSEERDE!$A$2:$E$4,5,),"")</f>
        <v>BE</v>
      </c>
      <c r="AH1009" s="11" t="str">
        <f>IF(I1009&lt;&gt;"",VLOOKUP(AP1009,KvB!$A$2:$B$3,2,FALSE),"")</f>
        <v>BE101000</v>
      </c>
      <c r="AI1009" s="11" t="s">
        <v>55</v>
      </c>
      <c r="AJ1009" s="11"/>
      <c r="AK1009" s="11"/>
      <c r="AL1009" s="11"/>
      <c r="AM1009" s="11"/>
      <c r="AN1009" s="11"/>
      <c r="AO1009" s="11"/>
      <c r="AP1009" s="2" t="s">
        <v>70</v>
      </c>
      <c r="AQ1009" s="11" t="str">
        <f>IF(I1009&lt;&gt;"",DATA!D1008,"")</f>
        <v>8466300000</v>
      </c>
    </row>
    <row r="1010" spans="1:43" ht="15.75" x14ac:dyDescent="0.25">
      <c r="A1010" s="11" t="s">
        <v>57</v>
      </c>
      <c r="B1010" s="11" t="s">
        <v>56</v>
      </c>
      <c r="C1010" s="22">
        <f t="shared" si="66"/>
        <v>25001620</v>
      </c>
      <c r="D1010" s="11" t="str">
        <f t="shared" si="63"/>
        <v>SKIIFM_AT</v>
      </c>
      <c r="E1010" s="11" t="str">
        <f>IF(I1010&lt;&gt;"",VLOOKUP(F1010,OPDRACHTGEVER!$A$2:$B$4,2,FALSE),"")</f>
        <v>SKIIFM_AT</v>
      </c>
      <c r="F1010" s="11" t="s">
        <v>58</v>
      </c>
      <c r="I1010" s="11" t="str">
        <f>IF(DATA!B1009&lt;&gt;"",DATA!B1009,"")</f>
        <v>GLDU0704021</v>
      </c>
      <c r="J1010" s="12">
        <v>0</v>
      </c>
      <c r="K1010" s="11" t="s">
        <v>53</v>
      </c>
      <c r="L1010" s="11" t="str">
        <f t="shared" si="64"/>
        <v>842549</v>
      </c>
      <c r="M1010" s="11" t="str">
        <f>IF(I1010&lt;&gt;"",DATA!E1009,"")</f>
        <v>JACK</v>
      </c>
      <c r="N1010" s="12">
        <v>0</v>
      </c>
      <c r="O1010" s="11">
        <f>IF(I1010&lt;&gt;"",DATA!C1009,"")</f>
        <v>1142.55</v>
      </c>
      <c r="P1010" s="2">
        <v>294094</v>
      </c>
      <c r="Q1010" s="2" t="s">
        <v>1304</v>
      </c>
      <c r="R1010" s="2" t="s">
        <v>1325</v>
      </c>
      <c r="S1010" s="2">
        <v>8</v>
      </c>
      <c r="T1010" s="2">
        <v>1</v>
      </c>
      <c r="U1010" s="2" t="s">
        <v>141</v>
      </c>
      <c r="Y1010" s="2">
        <v>1700</v>
      </c>
      <c r="Z1010" s="11" t="s">
        <v>54</v>
      </c>
      <c r="AA1010" s="11" t="str">
        <f t="shared" si="65"/>
        <v>1700 - TBN</v>
      </c>
      <c r="AC1010" s="2" t="s">
        <v>145</v>
      </c>
      <c r="AD1010" s="11" t="str">
        <f>IF($I1010&lt;&gt;"",VLOOKUP($AC1010,GEADRESSEERDE!$A$2:$E$4,2,),"")</f>
        <v>LUITHAGEN HAVEN 2 D</v>
      </c>
      <c r="AE1010" s="11">
        <f>IF($I1010&lt;&gt;"",VLOOKUP($AC1010,GEADRESSEERDE!$A$2:$E$4,3,),"")</f>
        <v>2030</v>
      </c>
      <c r="AF1010" s="11" t="str">
        <f>IF($I1010&lt;&gt;"",VLOOKUP($AC1010,GEADRESSEERDE!$A$2:$E$4,4,),"")</f>
        <v>ANTWERPEN</v>
      </c>
      <c r="AG1010" s="11" t="str">
        <f>IF($I1010&lt;&gt;"",VLOOKUP($AC1010,GEADRESSEERDE!$A$2:$E$4,5,),"")</f>
        <v>BE</v>
      </c>
      <c r="AH1010" s="11" t="str">
        <f>IF(I1010&lt;&gt;"",VLOOKUP(AP1010,KvB!$A$2:$B$3,2,FALSE),"")</f>
        <v>BE101000</v>
      </c>
      <c r="AI1010" s="11" t="s">
        <v>55</v>
      </c>
      <c r="AJ1010" s="11"/>
      <c r="AK1010" s="11"/>
      <c r="AL1010" s="11"/>
      <c r="AM1010" s="11"/>
      <c r="AN1010" s="11"/>
      <c r="AO1010" s="11"/>
      <c r="AP1010" s="2" t="s">
        <v>70</v>
      </c>
      <c r="AQ1010" s="11" t="str">
        <f>IF(I1010&lt;&gt;"",DATA!D1009,"")</f>
        <v>8425490000</v>
      </c>
    </row>
    <row r="1011" spans="1:43" ht="15.75" x14ac:dyDescent="0.25">
      <c r="A1011" s="11" t="s">
        <v>57</v>
      </c>
      <c r="B1011" s="11" t="s">
        <v>56</v>
      </c>
      <c r="C1011" s="22">
        <f t="shared" si="66"/>
        <v>25001620</v>
      </c>
      <c r="D1011" s="11" t="str">
        <f t="shared" si="63"/>
        <v>SKIIFM_AT</v>
      </c>
      <c r="E1011" s="11" t="str">
        <f>IF(I1011&lt;&gt;"",VLOOKUP(F1011,OPDRACHTGEVER!$A$2:$B$4,2,FALSE),"")</f>
        <v>SKIIFM_AT</v>
      </c>
      <c r="F1011" s="11" t="s">
        <v>58</v>
      </c>
      <c r="I1011" s="11" t="str">
        <f>IF(DATA!B1010&lt;&gt;"",DATA!B1010,"")</f>
        <v>GLDU0704021</v>
      </c>
      <c r="J1011" s="12">
        <v>0</v>
      </c>
      <c r="K1011" s="11" t="s">
        <v>53</v>
      </c>
      <c r="L1011" s="11" t="str">
        <f t="shared" si="64"/>
        <v>741920</v>
      </c>
      <c r="M1011" s="11" t="str">
        <f>IF(I1011&lt;&gt;"",DATA!E1010,"")</f>
        <v>JACK STAND</v>
      </c>
      <c r="N1011" s="12">
        <v>0</v>
      </c>
      <c r="O1011" s="11">
        <f>IF(I1011&lt;&gt;"",DATA!C1010,"")</f>
        <v>28.5</v>
      </c>
      <c r="P1011" s="2">
        <v>294094</v>
      </c>
      <c r="Q1011" s="2" t="s">
        <v>1304</v>
      </c>
      <c r="R1011" s="2" t="s">
        <v>1325</v>
      </c>
      <c r="S1011" s="2">
        <v>8</v>
      </c>
      <c r="T1011" s="2">
        <v>1</v>
      </c>
      <c r="U1011" s="2" t="s">
        <v>141</v>
      </c>
      <c r="Y1011" s="2">
        <v>1700</v>
      </c>
      <c r="Z1011" s="11" t="s">
        <v>54</v>
      </c>
      <c r="AA1011" s="11" t="str">
        <f t="shared" si="65"/>
        <v>1700 - TBN</v>
      </c>
      <c r="AC1011" s="2" t="s">
        <v>145</v>
      </c>
      <c r="AD1011" s="11" t="str">
        <f>IF($I1011&lt;&gt;"",VLOOKUP($AC1011,GEADRESSEERDE!$A$2:$E$4,2,),"")</f>
        <v>LUITHAGEN HAVEN 2 D</v>
      </c>
      <c r="AE1011" s="11">
        <f>IF($I1011&lt;&gt;"",VLOOKUP($AC1011,GEADRESSEERDE!$A$2:$E$4,3,),"")</f>
        <v>2030</v>
      </c>
      <c r="AF1011" s="11" t="str">
        <f>IF($I1011&lt;&gt;"",VLOOKUP($AC1011,GEADRESSEERDE!$A$2:$E$4,4,),"")</f>
        <v>ANTWERPEN</v>
      </c>
      <c r="AG1011" s="11" t="str">
        <f>IF($I1011&lt;&gt;"",VLOOKUP($AC1011,GEADRESSEERDE!$A$2:$E$4,5,),"")</f>
        <v>BE</v>
      </c>
      <c r="AH1011" s="11" t="str">
        <f>IF(I1011&lt;&gt;"",VLOOKUP(AP1011,KvB!$A$2:$B$3,2,FALSE),"")</f>
        <v>BE101000</v>
      </c>
      <c r="AI1011" s="11" t="s">
        <v>55</v>
      </c>
      <c r="AJ1011" s="11"/>
      <c r="AK1011" s="11"/>
      <c r="AL1011" s="11"/>
      <c r="AM1011" s="11"/>
      <c r="AN1011" s="11"/>
      <c r="AO1011" s="11"/>
      <c r="AP1011" s="2" t="s">
        <v>70</v>
      </c>
      <c r="AQ1011" s="11" t="str">
        <f>IF(I1011&lt;&gt;"",DATA!D1010,"")</f>
        <v>7419200090</v>
      </c>
    </row>
    <row r="1012" spans="1:43" ht="15.75" x14ac:dyDescent="0.25">
      <c r="A1012" s="11" t="s">
        <v>57</v>
      </c>
      <c r="B1012" s="11" t="s">
        <v>56</v>
      </c>
      <c r="C1012" s="22">
        <f t="shared" si="66"/>
        <v>25001620</v>
      </c>
      <c r="D1012" s="11" t="str">
        <f t="shared" ref="D1012:D1075" si="67">E1012</f>
        <v>SKIIFM_AT</v>
      </c>
      <c r="E1012" s="11" t="str">
        <f>IF(I1012&lt;&gt;"",VLOOKUP(F1012,OPDRACHTGEVER!$A$2:$B$4,2,FALSE),"")</f>
        <v>SKIIFM_AT</v>
      </c>
      <c r="F1012" s="11" t="s">
        <v>58</v>
      </c>
      <c r="I1012" s="11" t="str">
        <f>IF(DATA!B1011&lt;&gt;"",DATA!B1011,"")</f>
        <v>GLDU0704021</v>
      </c>
      <c r="J1012" s="12">
        <v>0</v>
      </c>
      <c r="K1012" s="11" t="s">
        <v>53</v>
      </c>
      <c r="L1012" s="11" t="str">
        <f t="shared" ref="L1012:L1075" si="68">LEFT(AQ1012,6)</f>
        <v>741920</v>
      </c>
      <c r="M1012" s="11" t="str">
        <f>IF(I1012&lt;&gt;"",DATA!E1011,"")</f>
        <v>KAYAK ANCHOR</v>
      </c>
      <c r="N1012" s="12">
        <v>0</v>
      </c>
      <c r="O1012" s="11">
        <f>IF(I1012&lt;&gt;"",DATA!C1011,"")</f>
        <v>2.08</v>
      </c>
      <c r="P1012" s="2">
        <v>294094</v>
      </c>
      <c r="Q1012" s="2" t="s">
        <v>1304</v>
      </c>
      <c r="R1012" s="2" t="s">
        <v>1325</v>
      </c>
      <c r="S1012" s="2">
        <v>8</v>
      </c>
      <c r="T1012" s="2">
        <v>1</v>
      </c>
      <c r="U1012" s="2" t="s">
        <v>141</v>
      </c>
      <c r="Y1012" s="2">
        <v>1700</v>
      </c>
      <c r="Z1012" s="11" t="s">
        <v>54</v>
      </c>
      <c r="AA1012" s="11" t="str">
        <f t="shared" ref="AA1012:AA1075" si="69">IF(I1012&lt;&gt;"",Y1012&amp;" - "&amp;Z1012,"")</f>
        <v>1700 - TBN</v>
      </c>
      <c r="AC1012" s="2" t="s">
        <v>145</v>
      </c>
      <c r="AD1012" s="11" t="str">
        <f>IF($I1012&lt;&gt;"",VLOOKUP($AC1012,GEADRESSEERDE!$A$2:$E$4,2,),"")</f>
        <v>LUITHAGEN HAVEN 2 D</v>
      </c>
      <c r="AE1012" s="11">
        <f>IF($I1012&lt;&gt;"",VLOOKUP($AC1012,GEADRESSEERDE!$A$2:$E$4,3,),"")</f>
        <v>2030</v>
      </c>
      <c r="AF1012" s="11" t="str">
        <f>IF($I1012&lt;&gt;"",VLOOKUP($AC1012,GEADRESSEERDE!$A$2:$E$4,4,),"")</f>
        <v>ANTWERPEN</v>
      </c>
      <c r="AG1012" s="11" t="str">
        <f>IF($I1012&lt;&gt;"",VLOOKUP($AC1012,GEADRESSEERDE!$A$2:$E$4,5,),"")</f>
        <v>BE</v>
      </c>
      <c r="AH1012" s="11" t="str">
        <f>IF(I1012&lt;&gt;"",VLOOKUP(AP1012,KvB!$A$2:$B$3,2,FALSE),"")</f>
        <v>BE101000</v>
      </c>
      <c r="AI1012" s="11" t="s">
        <v>55</v>
      </c>
      <c r="AJ1012" s="11"/>
      <c r="AK1012" s="11"/>
      <c r="AL1012" s="11"/>
      <c r="AM1012" s="11"/>
      <c r="AN1012" s="11"/>
      <c r="AO1012" s="11"/>
      <c r="AP1012" s="2" t="s">
        <v>70</v>
      </c>
      <c r="AQ1012" s="11" t="str">
        <f>IF(I1012&lt;&gt;"",DATA!D1011,"")</f>
        <v>7419200090</v>
      </c>
    </row>
    <row r="1013" spans="1:43" ht="15.75" x14ac:dyDescent="0.25">
      <c r="A1013" s="11" t="s">
        <v>57</v>
      </c>
      <c r="B1013" s="11" t="s">
        <v>56</v>
      </c>
      <c r="C1013" s="22">
        <f t="shared" si="66"/>
        <v>25001620</v>
      </c>
      <c r="D1013" s="11" t="str">
        <f t="shared" si="67"/>
        <v>SKIIFM_AT</v>
      </c>
      <c r="E1013" s="11" t="str">
        <f>IF(I1013&lt;&gt;"",VLOOKUP(F1013,OPDRACHTGEVER!$A$2:$B$4,2,FALSE),"")</f>
        <v>SKIIFM_AT</v>
      </c>
      <c r="F1013" s="11" t="s">
        <v>58</v>
      </c>
      <c r="I1013" s="11" t="str">
        <f>IF(DATA!B1012&lt;&gt;"",DATA!B1012,"")</f>
        <v>GLDU0704021</v>
      </c>
      <c r="J1013" s="12">
        <v>0</v>
      </c>
      <c r="K1013" s="11" t="s">
        <v>53</v>
      </c>
      <c r="L1013" s="11" t="str">
        <f t="shared" si="68"/>
        <v>846620</v>
      </c>
      <c r="M1013" s="11" t="str">
        <f>IF(I1013&lt;&gt;"",DATA!E1012,"")</f>
        <v>LATHE CHUCK</v>
      </c>
      <c r="N1013" s="12">
        <v>0</v>
      </c>
      <c r="O1013" s="11">
        <f>IF(I1013&lt;&gt;"",DATA!C1012,"")</f>
        <v>59.8</v>
      </c>
      <c r="P1013" s="2">
        <v>294094</v>
      </c>
      <c r="Q1013" s="2" t="s">
        <v>1304</v>
      </c>
      <c r="R1013" s="2" t="s">
        <v>1325</v>
      </c>
      <c r="S1013" s="2">
        <v>8</v>
      </c>
      <c r="T1013" s="2">
        <v>1</v>
      </c>
      <c r="U1013" s="2" t="s">
        <v>141</v>
      </c>
      <c r="Y1013" s="2">
        <v>1700</v>
      </c>
      <c r="Z1013" s="11" t="s">
        <v>54</v>
      </c>
      <c r="AA1013" s="11" t="str">
        <f t="shared" si="69"/>
        <v>1700 - TBN</v>
      </c>
      <c r="AC1013" s="2" t="s">
        <v>145</v>
      </c>
      <c r="AD1013" s="11" t="str">
        <f>IF($I1013&lt;&gt;"",VLOOKUP($AC1013,GEADRESSEERDE!$A$2:$E$4,2,),"")</f>
        <v>LUITHAGEN HAVEN 2 D</v>
      </c>
      <c r="AE1013" s="11">
        <f>IF($I1013&lt;&gt;"",VLOOKUP($AC1013,GEADRESSEERDE!$A$2:$E$4,3,),"")</f>
        <v>2030</v>
      </c>
      <c r="AF1013" s="11" t="str">
        <f>IF($I1013&lt;&gt;"",VLOOKUP($AC1013,GEADRESSEERDE!$A$2:$E$4,4,),"")</f>
        <v>ANTWERPEN</v>
      </c>
      <c r="AG1013" s="11" t="str">
        <f>IF($I1013&lt;&gt;"",VLOOKUP($AC1013,GEADRESSEERDE!$A$2:$E$4,5,),"")</f>
        <v>BE</v>
      </c>
      <c r="AH1013" s="11" t="str">
        <f>IF(I1013&lt;&gt;"",VLOOKUP(AP1013,KvB!$A$2:$B$3,2,FALSE),"")</f>
        <v>BE101000</v>
      </c>
      <c r="AI1013" s="11" t="s">
        <v>55</v>
      </c>
      <c r="AJ1013" s="11"/>
      <c r="AK1013" s="11"/>
      <c r="AL1013" s="11"/>
      <c r="AM1013" s="11"/>
      <c r="AN1013" s="11"/>
      <c r="AO1013" s="11"/>
      <c r="AP1013" s="2" t="s">
        <v>70</v>
      </c>
      <c r="AQ1013" s="11" t="str">
        <f>IF(I1013&lt;&gt;"",DATA!D1012,"")</f>
        <v>8466202000</v>
      </c>
    </row>
    <row r="1014" spans="1:43" ht="15.75" x14ac:dyDescent="0.25">
      <c r="A1014" s="11" t="s">
        <v>57</v>
      </c>
      <c r="B1014" s="11" t="s">
        <v>56</v>
      </c>
      <c r="C1014" s="22">
        <f t="shared" si="66"/>
        <v>25001620</v>
      </c>
      <c r="D1014" s="11" t="str">
        <f t="shared" si="67"/>
        <v>SKIIFM_AT</v>
      </c>
      <c r="E1014" s="11" t="str">
        <f>IF(I1014&lt;&gt;"",VLOOKUP(F1014,OPDRACHTGEVER!$A$2:$B$4,2,FALSE),"")</f>
        <v>SKIIFM_AT</v>
      </c>
      <c r="F1014" s="11" t="s">
        <v>58</v>
      </c>
      <c r="I1014" s="11" t="str">
        <f>IF(DATA!B1013&lt;&gt;"",DATA!B1013,"")</f>
        <v>GLDU0704021</v>
      </c>
      <c r="J1014" s="12">
        <v>0</v>
      </c>
      <c r="K1014" s="11" t="s">
        <v>53</v>
      </c>
      <c r="L1014" s="11" t="str">
        <f t="shared" si="68"/>
        <v>820190</v>
      </c>
      <c r="M1014" s="11" t="str">
        <f>IF(I1014&lt;&gt;"",DATA!E1013,"")</f>
        <v>LAWN RAKE</v>
      </c>
      <c r="N1014" s="12">
        <v>0</v>
      </c>
      <c r="O1014" s="11">
        <f>IF(I1014&lt;&gt;"",DATA!C1013,"")</f>
        <v>47.28</v>
      </c>
      <c r="P1014" s="2">
        <v>294094</v>
      </c>
      <c r="Q1014" s="2" t="s">
        <v>1304</v>
      </c>
      <c r="R1014" s="2" t="s">
        <v>1325</v>
      </c>
      <c r="S1014" s="2">
        <v>8</v>
      </c>
      <c r="T1014" s="2">
        <v>1</v>
      </c>
      <c r="U1014" s="2" t="s">
        <v>141</v>
      </c>
      <c r="Y1014" s="2">
        <v>1700</v>
      </c>
      <c r="Z1014" s="11" t="s">
        <v>54</v>
      </c>
      <c r="AA1014" s="11" t="str">
        <f t="shared" si="69"/>
        <v>1700 - TBN</v>
      </c>
      <c r="AC1014" s="2" t="s">
        <v>145</v>
      </c>
      <c r="AD1014" s="11" t="str">
        <f>IF($I1014&lt;&gt;"",VLOOKUP($AC1014,GEADRESSEERDE!$A$2:$E$4,2,),"")</f>
        <v>LUITHAGEN HAVEN 2 D</v>
      </c>
      <c r="AE1014" s="11">
        <f>IF($I1014&lt;&gt;"",VLOOKUP($AC1014,GEADRESSEERDE!$A$2:$E$4,3,),"")</f>
        <v>2030</v>
      </c>
      <c r="AF1014" s="11" t="str">
        <f>IF($I1014&lt;&gt;"",VLOOKUP($AC1014,GEADRESSEERDE!$A$2:$E$4,4,),"")</f>
        <v>ANTWERPEN</v>
      </c>
      <c r="AG1014" s="11" t="str">
        <f>IF($I1014&lt;&gt;"",VLOOKUP($AC1014,GEADRESSEERDE!$A$2:$E$4,5,),"")</f>
        <v>BE</v>
      </c>
      <c r="AH1014" s="11" t="str">
        <f>IF(I1014&lt;&gt;"",VLOOKUP(AP1014,KvB!$A$2:$B$3,2,FALSE),"")</f>
        <v>BE101000</v>
      </c>
      <c r="AI1014" s="11" t="s">
        <v>55</v>
      </c>
      <c r="AJ1014" s="11"/>
      <c r="AK1014" s="11"/>
      <c r="AL1014" s="11"/>
      <c r="AM1014" s="11"/>
      <c r="AN1014" s="11"/>
      <c r="AO1014" s="11"/>
      <c r="AP1014" s="2" t="s">
        <v>70</v>
      </c>
      <c r="AQ1014" s="11" t="str">
        <f>IF(I1014&lt;&gt;"",DATA!D1013,"")</f>
        <v>8201900000</v>
      </c>
    </row>
    <row r="1015" spans="1:43" ht="15.75" x14ac:dyDescent="0.25">
      <c r="A1015" s="11" t="s">
        <v>57</v>
      </c>
      <c r="B1015" s="11" t="s">
        <v>56</v>
      </c>
      <c r="C1015" s="22">
        <f t="shared" si="66"/>
        <v>25001620</v>
      </c>
      <c r="D1015" s="11" t="str">
        <f t="shared" si="67"/>
        <v>SKIIFM_AT</v>
      </c>
      <c r="E1015" s="11" t="str">
        <f>IF(I1015&lt;&gt;"",VLOOKUP(F1015,OPDRACHTGEVER!$A$2:$B$4,2,FALSE),"")</f>
        <v>SKIIFM_AT</v>
      </c>
      <c r="F1015" s="11" t="s">
        <v>58</v>
      </c>
      <c r="I1015" s="11" t="str">
        <f>IF(DATA!B1014&lt;&gt;"",DATA!B1014,"")</f>
        <v>GLDU0704021</v>
      </c>
      <c r="J1015" s="12">
        <v>0</v>
      </c>
      <c r="K1015" s="11" t="s">
        <v>53</v>
      </c>
      <c r="L1015" s="11" t="str">
        <f t="shared" si="68"/>
        <v>842519</v>
      </c>
      <c r="M1015" s="11" t="str">
        <f>IF(I1015&lt;&gt;"",DATA!E1014,"")</f>
        <v>LIFTING BLOCK</v>
      </c>
      <c r="N1015" s="12">
        <v>0</v>
      </c>
      <c r="O1015" s="11">
        <f>IF(I1015&lt;&gt;"",DATA!C1014,"")</f>
        <v>228.1</v>
      </c>
      <c r="P1015" s="2">
        <v>294094</v>
      </c>
      <c r="Q1015" s="2" t="s">
        <v>1304</v>
      </c>
      <c r="R1015" s="2" t="s">
        <v>1325</v>
      </c>
      <c r="S1015" s="2">
        <v>8</v>
      </c>
      <c r="T1015" s="2">
        <v>1</v>
      </c>
      <c r="U1015" s="2" t="s">
        <v>141</v>
      </c>
      <c r="Y1015" s="2">
        <v>1700</v>
      </c>
      <c r="Z1015" s="11" t="s">
        <v>54</v>
      </c>
      <c r="AA1015" s="11" t="str">
        <f t="shared" si="69"/>
        <v>1700 - TBN</v>
      </c>
      <c r="AC1015" s="2" t="s">
        <v>145</v>
      </c>
      <c r="AD1015" s="11" t="str">
        <f>IF($I1015&lt;&gt;"",VLOOKUP($AC1015,GEADRESSEERDE!$A$2:$E$4,2,),"")</f>
        <v>LUITHAGEN HAVEN 2 D</v>
      </c>
      <c r="AE1015" s="11">
        <f>IF($I1015&lt;&gt;"",VLOOKUP($AC1015,GEADRESSEERDE!$A$2:$E$4,3,),"")</f>
        <v>2030</v>
      </c>
      <c r="AF1015" s="11" t="str">
        <f>IF($I1015&lt;&gt;"",VLOOKUP($AC1015,GEADRESSEERDE!$A$2:$E$4,4,),"")</f>
        <v>ANTWERPEN</v>
      </c>
      <c r="AG1015" s="11" t="str">
        <f>IF($I1015&lt;&gt;"",VLOOKUP($AC1015,GEADRESSEERDE!$A$2:$E$4,5,),"")</f>
        <v>BE</v>
      </c>
      <c r="AH1015" s="11" t="str">
        <f>IF(I1015&lt;&gt;"",VLOOKUP(AP1015,KvB!$A$2:$B$3,2,FALSE),"")</f>
        <v>BE101000</v>
      </c>
      <c r="AI1015" s="11" t="s">
        <v>55</v>
      </c>
      <c r="AJ1015" s="11"/>
      <c r="AK1015" s="11"/>
      <c r="AL1015" s="11"/>
      <c r="AM1015" s="11"/>
      <c r="AN1015" s="11"/>
      <c r="AO1015" s="11"/>
      <c r="AP1015" s="2" t="s">
        <v>70</v>
      </c>
      <c r="AQ1015" s="11" t="str">
        <f>IF(I1015&lt;&gt;"",DATA!D1014,"")</f>
        <v>8425190000</v>
      </c>
    </row>
    <row r="1016" spans="1:43" ht="15.75" x14ac:dyDescent="0.25">
      <c r="A1016" s="11" t="s">
        <v>57</v>
      </c>
      <c r="B1016" s="11" t="s">
        <v>56</v>
      </c>
      <c r="C1016" s="22">
        <f t="shared" si="66"/>
        <v>25001620</v>
      </c>
      <c r="D1016" s="11" t="str">
        <f t="shared" si="67"/>
        <v>SKIIFM_AT</v>
      </c>
      <c r="E1016" s="11" t="str">
        <f>IF(I1016&lt;&gt;"",VLOOKUP(F1016,OPDRACHTGEVER!$A$2:$B$4,2,FALSE),"")</f>
        <v>SKIIFM_AT</v>
      </c>
      <c r="F1016" s="11" t="s">
        <v>58</v>
      </c>
      <c r="I1016" s="11" t="str">
        <f>IF(DATA!B1015&lt;&gt;"",DATA!B1015,"")</f>
        <v>GLDU0704021</v>
      </c>
      <c r="J1016" s="12">
        <v>0</v>
      </c>
      <c r="K1016" s="11" t="s">
        <v>53</v>
      </c>
      <c r="L1016" s="11" t="str">
        <f t="shared" si="68"/>
        <v>761300</v>
      </c>
      <c r="M1016" s="11" t="str">
        <f>IF(I1016&lt;&gt;"",DATA!E1015,"")</f>
        <v>LIQUID NITROGEN TANK</v>
      </c>
      <c r="N1016" s="12">
        <v>0</v>
      </c>
      <c r="O1016" s="11">
        <f>IF(I1016&lt;&gt;"",DATA!C1015,"")</f>
        <v>10</v>
      </c>
      <c r="P1016" s="2">
        <v>294094</v>
      </c>
      <c r="Q1016" s="2" t="s">
        <v>1304</v>
      </c>
      <c r="R1016" s="2" t="s">
        <v>1325</v>
      </c>
      <c r="S1016" s="2">
        <v>8</v>
      </c>
      <c r="T1016" s="2">
        <v>1</v>
      </c>
      <c r="U1016" s="2" t="s">
        <v>141</v>
      </c>
      <c r="Y1016" s="2">
        <v>1700</v>
      </c>
      <c r="Z1016" s="11" t="s">
        <v>54</v>
      </c>
      <c r="AA1016" s="11" t="str">
        <f t="shared" si="69"/>
        <v>1700 - TBN</v>
      </c>
      <c r="AC1016" s="2" t="s">
        <v>145</v>
      </c>
      <c r="AD1016" s="11" t="str">
        <f>IF($I1016&lt;&gt;"",VLOOKUP($AC1016,GEADRESSEERDE!$A$2:$E$4,2,),"")</f>
        <v>LUITHAGEN HAVEN 2 D</v>
      </c>
      <c r="AE1016" s="11">
        <f>IF($I1016&lt;&gt;"",VLOOKUP($AC1016,GEADRESSEERDE!$A$2:$E$4,3,),"")</f>
        <v>2030</v>
      </c>
      <c r="AF1016" s="11" t="str">
        <f>IF($I1016&lt;&gt;"",VLOOKUP($AC1016,GEADRESSEERDE!$A$2:$E$4,4,),"")</f>
        <v>ANTWERPEN</v>
      </c>
      <c r="AG1016" s="11" t="str">
        <f>IF($I1016&lt;&gt;"",VLOOKUP($AC1016,GEADRESSEERDE!$A$2:$E$4,5,),"")</f>
        <v>BE</v>
      </c>
      <c r="AH1016" s="11" t="str">
        <f>IF(I1016&lt;&gt;"",VLOOKUP(AP1016,KvB!$A$2:$B$3,2,FALSE),"")</f>
        <v>BE101000</v>
      </c>
      <c r="AI1016" s="11" t="s">
        <v>55</v>
      </c>
      <c r="AJ1016" s="11"/>
      <c r="AK1016" s="11"/>
      <c r="AL1016" s="11"/>
      <c r="AM1016" s="11"/>
      <c r="AN1016" s="11"/>
      <c r="AO1016" s="11"/>
      <c r="AP1016" s="2" t="s">
        <v>70</v>
      </c>
      <c r="AQ1016" s="11" t="str">
        <f>IF(I1016&lt;&gt;"",DATA!D1015,"")</f>
        <v>7613000090</v>
      </c>
    </row>
    <row r="1017" spans="1:43" ht="15.75" x14ac:dyDescent="0.25">
      <c r="A1017" s="11" t="s">
        <v>57</v>
      </c>
      <c r="B1017" s="11" t="s">
        <v>56</v>
      </c>
      <c r="C1017" s="22">
        <f t="shared" si="66"/>
        <v>25001620</v>
      </c>
      <c r="D1017" s="11" t="str">
        <f t="shared" si="67"/>
        <v>SKIIFM_AT</v>
      </c>
      <c r="E1017" s="11" t="str">
        <f>IF(I1017&lt;&gt;"",VLOOKUP(F1017,OPDRACHTGEVER!$A$2:$B$4,2,FALSE),"")</f>
        <v>SKIIFM_AT</v>
      </c>
      <c r="F1017" s="11" t="s">
        <v>58</v>
      </c>
      <c r="I1017" s="11" t="str">
        <f>IF(DATA!B1016&lt;&gt;"",DATA!B1016,"")</f>
        <v>GLDU0704021</v>
      </c>
      <c r="J1017" s="12">
        <v>0</v>
      </c>
      <c r="K1017" s="11" t="s">
        <v>53</v>
      </c>
      <c r="L1017" s="11" t="str">
        <f t="shared" si="68"/>
        <v>741920</v>
      </c>
      <c r="M1017" s="11" t="str">
        <f>IF(I1017&lt;&gt;"",DATA!E1016,"")</f>
        <v>LOG TONGS</v>
      </c>
      <c r="N1017" s="12">
        <v>0</v>
      </c>
      <c r="O1017" s="11">
        <f>IF(I1017&lt;&gt;"",DATA!C1016,"")</f>
        <v>92.24</v>
      </c>
      <c r="P1017" s="2">
        <v>294094</v>
      </c>
      <c r="Q1017" s="2" t="s">
        <v>1304</v>
      </c>
      <c r="R1017" s="2" t="s">
        <v>1325</v>
      </c>
      <c r="S1017" s="2">
        <v>8</v>
      </c>
      <c r="T1017" s="2">
        <v>1</v>
      </c>
      <c r="U1017" s="2" t="s">
        <v>141</v>
      </c>
      <c r="Y1017" s="2">
        <v>1700</v>
      </c>
      <c r="Z1017" s="11" t="s">
        <v>54</v>
      </c>
      <c r="AA1017" s="11" t="str">
        <f t="shared" si="69"/>
        <v>1700 - TBN</v>
      </c>
      <c r="AC1017" s="2" t="s">
        <v>145</v>
      </c>
      <c r="AD1017" s="11" t="str">
        <f>IF($I1017&lt;&gt;"",VLOOKUP($AC1017,GEADRESSEERDE!$A$2:$E$4,2,),"")</f>
        <v>LUITHAGEN HAVEN 2 D</v>
      </c>
      <c r="AE1017" s="11">
        <f>IF($I1017&lt;&gt;"",VLOOKUP($AC1017,GEADRESSEERDE!$A$2:$E$4,3,),"")</f>
        <v>2030</v>
      </c>
      <c r="AF1017" s="11" t="str">
        <f>IF($I1017&lt;&gt;"",VLOOKUP($AC1017,GEADRESSEERDE!$A$2:$E$4,4,),"")</f>
        <v>ANTWERPEN</v>
      </c>
      <c r="AG1017" s="11" t="str">
        <f>IF($I1017&lt;&gt;"",VLOOKUP($AC1017,GEADRESSEERDE!$A$2:$E$4,5,),"")</f>
        <v>BE</v>
      </c>
      <c r="AH1017" s="11" t="str">
        <f>IF(I1017&lt;&gt;"",VLOOKUP(AP1017,KvB!$A$2:$B$3,2,FALSE),"")</f>
        <v>BE101000</v>
      </c>
      <c r="AI1017" s="11" t="s">
        <v>55</v>
      </c>
      <c r="AJ1017" s="11"/>
      <c r="AK1017" s="11"/>
      <c r="AL1017" s="11"/>
      <c r="AM1017" s="11"/>
      <c r="AN1017" s="11"/>
      <c r="AO1017" s="11"/>
      <c r="AP1017" s="2" t="s">
        <v>70</v>
      </c>
      <c r="AQ1017" s="11" t="str">
        <f>IF(I1017&lt;&gt;"",DATA!D1016,"")</f>
        <v>7419200090</v>
      </c>
    </row>
    <row r="1018" spans="1:43" ht="15.75" x14ac:dyDescent="0.25">
      <c r="A1018" s="11" t="s">
        <v>57</v>
      </c>
      <c r="B1018" s="11" t="s">
        <v>56</v>
      </c>
      <c r="C1018" s="22">
        <f t="shared" si="66"/>
        <v>25001620</v>
      </c>
      <c r="D1018" s="11" t="str">
        <f t="shared" si="67"/>
        <v>SKIIFM_AT</v>
      </c>
      <c r="E1018" s="11" t="str">
        <f>IF(I1018&lt;&gt;"",VLOOKUP(F1018,OPDRACHTGEVER!$A$2:$B$4,2,FALSE),"")</f>
        <v>SKIIFM_AT</v>
      </c>
      <c r="F1018" s="11" t="s">
        <v>58</v>
      </c>
      <c r="I1018" s="11" t="str">
        <f>IF(DATA!B1017&lt;&gt;"",DATA!B1017,"")</f>
        <v>GLDU0704021</v>
      </c>
      <c r="J1018" s="12">
        <v>0</v>
      </c>
      <c r="K1018" s="11" t="s">
        <v>53</v>
      </c>
      <c r="L1018" s="11" t="str">
        <f t="shared" si="68"/>
        <v>850590</v>
      </c>
      <c r="M1018" s="11" t="str">
        <f>IF(I1018&lt;&gt;"",DATA!E1017,"")</f>
        <v>MAGNETIC LIFTER</v>
      </c>
      <c r="N1018" s="12">
        <v>0</v>
      </c>
      <c r="O1018" s="11">
        <f>IF(I1018&lt;&gt;"",DATA!C1017,"")</f>
        <v>530.45000000000005</v>
      </c>
      <c r="P1018" s="2">
        <v>294094</v>
      </c>
      <c r="Q1018" s="2" t="s">
        <v>1304</v>
      </c>
      <c r="R1018" s="2" t="s">
        <v>1325</v>
      </c>
      <c r="S1018" s="2">
        <v>8</v>
      </c>
      <c r="T1018" s="2">
        <v>1</v>
      </c>
      <c r="U1018" s="2" t="s">
        <v>141</v>
      </c>
      <c r="Y1018" s="2">
        <v>1700</v>
      </c>
      <c r="Z1018" s="11" t="s">
        <v>54</v>
      </c>
      <c r="AA1018" s="11" t="str">
        <f t="shared" si="69"/>
        <v>1700 - TBN</v>
      </c>
      <c r="AC1018" s="2" t="s">
        <v>145</v>
      </c>
      <c r="AD1018" s="11" t="str">
        <f>IF($I1018&lt;&gt;"",VLOOKUP($AC1018,GEADRESSEERDE!$A$2:$E$4,2,),"")</f>
        <v>LUITHAGEN HAVEN 2 D</v>
      </c>
      <c r="AE1018" s="11">
        <f>IF($I1018&lt;&gt;"",VLOOKUP($AC1018,GEADRESSEERDE!$A$2:$E$4,3,),"")</f>
        <v>2030</v>
      </c>
      <c r="AF1018" s="11" t="str">
        <f>IF($I1018&lt;&gt;"",VLOOKUP($AC1018,GEADRESSEERDE!$A$2:$E$4,4,),"")</f>
        <v>ANTWERPEN</v>
      </c>
      <c r="AG1018" s="11" t="str">
        <f>IF($I1018&lt;&gt;"",VLOOKUP($AC1018,GEADRESSEERDE!$A$2:$E$4,5,),"")</f>
        <v>BE</v>
      </c>
      <c r="AH1018" s="11" t="str">
        <f>IF(I1018&lt;&gt;"",VLOOKUP(AP1018,KvB!$A$2:$B$3,2,FALSE),"")</f>
        <v>BE101000</v>
      </c>
      <c r="AI1018" s="11" t="s">
        <v>55</v>
      </c>
      <c r="AJ1018" s="11"/>
      <c r="AK1018" s="11"/>
      <c r="AL1018" s="11"/>
      <c r="AM1018" s="11"/>
      <c r="AN1018" s="11"/>
      <c r="AO1018" s="11"/>
      <c r="AP1018" s="2" t="s">
        <v>70</v>
      </c>
      <c r="AQ1018" s="11" t="str">
        <f>IF(I1018&lt;&gt;"",DATA!D1017,"")</f>
        <v>8505909090</v>
      </c>
    </row>
    <row r="1019" spans="1:43" ht="15.75" x14ac:dyDescent="0.25">
      <c r="A1019" s="11" t="s">
        <v>57</v>
      </c>
      <c r="B1019" s="11" t="s">
        <v>56</v>
      </c>
      <c r="C1019" s="22">
        <f t="shared" si="66"/>
        <v>25001620</v>
      </c>
      <c r="D1019" s="11" t="str">
        <f t="shared" si="67"/>
        <v>SKIIFM_AT</v>
      </c>
      <c r="E1019" s="11" t="str">
        <f>IF(I1019&lt;&gt;"",VLOOKUP(F1019,OPDRACHTGEVER!$A$2:$B$4,2,FALSE),"")</f>
        <v>SKIIFM_AT</v>
      </c>
      <c r="F1019" s="11" t="s">
        <v>58</v>
      </c>
      <c r="I1019" s="11" t="str">
        <f>IF(DATA!B1018&lt;&gt;"",DATA!B1018,"")</f>
        <v>GLDU0704021</v>
      </c>
      <c r="J1019" s="12">
        <v>0</v>
      </c>
      <c r="K1019" s="11" t="s">
        <v>53</v>
      </c>
      <c r="L1019" s="11" t="str">
        <f t="shared" si="68"/>
        <v>392690</v>
      </c>
      <c r="M1019" s="11" t="str">
        <f>IF(I1019&lt;&gt;"",DATA!E1018,"")</f>
        <v>TRACTION BOARDS</v>
      </c>
      <c r="N1019" s="12">
        <v>0</v>
      </c>
      <c r="O1019" s="11">
        <f>IF(I1019&lt;&gt;"",DATA!C1018,"")</f>
        <v>235.68</v>
      </c>
      <c r="P1019" s="2">
        <v>294094</v>
      </c>
      <c r="Q1019" s="2" t="s">
        <v>1304</v>
      </c>
      <c r="R1019" s="2" t="s">
        <v>1325</v>
      </c>
      <c r="S1019" s="2">
        <v>8</v>
      </c>
      <c r="T1019" s="2">
        <v>1</v>
      </c>
      <c r="U1019" s="2" t="s">
        <v>141</v>
      </c>
      <c r="Y1019" s="2">
        <v>1700</v>
      </c>
      <c r="Z1019" s="11" t="s">
        <v>54</v>
      </c>
      <c r="AA1019" s="11" t="str">
        <f t="shared" si="69"/>
        <v>1700 - TBN</v>
      </c>
      <c r="AC1019" s="2" t="s">
        <v>145</v>
      </c>
      <c r="AD1019" s="11" t="str">
        <f>IF($I1019&lt;&gt;"",VLOOKUP($AC1019,GEADRESSEERDE!$A$2:$E$4,2,),"")</f>
        <v>LUITHAGEN HAVEN 2 D</v>
      </c>
      <c r="AE1019" s="11">
        <f>IF($I1019&lt;&gt;"",VLOOKUP($AC1019,GEADRESSEERDE!$A$2:$E$4,3,),"")</f>
        <v>2030</v>
      </c>
      <c r="AF1019" s="11" t="str">
        <f>IF($I1019&lt;&gt;"",VLOOKUP($AC1019,GEADRESSEERDE!$A$2:$E$4,4,),"")</f>
        <v>ANTWERPEN</v>
      </c>
      <c r="AG1019" s="11" t="str">
        <f>IF($I1019&lt;&gt;"",VLOOKUP($AC1019,GEADRESSEERDE!$A$2:$E$4,5,),"")</f>
        <v>BE</v>
      </c>
      <c r="AH1019" s="11" t="str">
        <f>IF(I1019&lt;&gt;"",VLOOKUP(AP1019,KvB!$A$2:$B$3,2,FALSE),"")</f>
        <v>BE101000</v>
      </c>
      <c r="AI1019" s="11" t="s">
        <v>55</v>
      </c>
      <c r="AJ1019" s="11"/>
      <c r="AK1019" s="11"/>
      <c r="AL1019" s="11"/>
      <c r="AM1019" s="11"/>
      <c r="AN1019" s="11"/>
      <c r="AO1019" s="11"/>
      <c r="AP1019" s="2" t="s">
        <v>70</v>
      </c>
      <c r="AQ1019" s="11" t="str">
        <f>IF(I1019&lt;&gt;"",DATA!D1018,"")</f>
        <v>3926909790</v>
      </c>
    </row>
    <row r="1020" spans="1:43" ht="15.75" x14ac:dyDescent="0.25">
      <c r="A1020" s="11" t="s">
        <v>57</v>
      </c>
      <c r="B1020" s="11" t="s">
        <v>56</v>
      </c>
      <c r="C1020" s="22">
        <f t="shared" si="66"/>
        <v>25001620</v>
      </c>
      <c r="D1020" s="11" t="str">
        <f t="shared" si="67"/>
        <v>SKIIFM_AT</v>
      </c>
      <c r="E1020" s="11" t="str">
        <f>IF(I1020&lt;&gt;"",VLOOKUP(F1020,OPDRACHTGEVER!$A$2:$B$4,2,FALSE),"")</f>
        <v>SKIIFM_AT</v>
      </c>
      <c r="F1020" s="11" t="s">
        <v>58</v>
      </c>
      <c r="I1020" s="11" t="str">
        <f>IF(DATA!B1019&lt;&gt;"",DATA!B1019,"")</f>
        <v>GLDU0704021</v>
      </c>
      <c r="J1020" s="12">
        <v>0</v>
      </c>
      <c r="K1020" s="11" t="s">
        <v>53</v>
      </c>
      <c r="L1020" s="11" t="str">
        <f t="shared" si="68"/>
        <v>821000</v>
      </c>
      <c r="M1020" s="11" t="str">
        <f>IF(I1020&lt;&gt;"",DATA!E1019,"")</f>
        <v>MINCER</v>
      </c>
      <c r="N1020" s="12">
        <v>0</v>
      </c>
      <c r="O1020" s="11">
        <f>IF(I1020&lt;&gt;"",DATA!C1019,"")</f>
        <v>658.59</v>
      </c>
      <c r="P1020" s="2">
        <v>294094</v>
      </c>
      <c r="Q1020" s="2" t="s">
        <v>1304</v>
      </c>
      <c r="R1020" s="2" t="s">
        <v>1325</v>
      </c>
      <c r="S1020" s="2">
        <v>8</v>
      </c>
      <c r="T1020" s="2">
        <v>1</v>
      </c>
      <c r="U1020" s="2" t="s">
        <v>141</v>
      </c>
      <c r="Y1020" s="2">
        <v>1700</v>
      </c>
      <c r="Z1020" s="11" t="s">
        <v>54</v>
      </c>
      <c r="AA1020" s="11" t="str">
        <f t="shared" si="69"/>
        <v>1700 - TBN</v>
      </c>
      <c r="AC1020" s="2" t="s">
        <v>145</v>
      </c>
      <c r="AD1020" s="11" t="str">
        <f>IF($I1020&lt;&gt;"",VLOOKUP($AC1020,GEADRESSEERDE!$A$2:$E$4,2,),"")</f>
        <v>LUITHAGEN HAVEN 2 D</v>
      </c>
      <c r="AE1020" s="11">
        <f>IF($I1020&lt;&gt;"",VLOOKUP($AC1020,GEADRESSEERDE!$A$2:$E$4,3,),"")</f>
        <v>2030</v>
      </c>
      <c r="AF1020" s="11" t="str">
        <f>IF($I1020&lt;&gt;"",VLOOKUP($AC1020,GEADRESSEERDE!$A$2:$E$4,4,),"")</f>
        <v>ANTWERPEN</v>
      </c>
      <c r="AG1020" s="11" t="str">
        <f>IF($I1020&lt;&gt;"",VLOOKUP($AC1020,GEADRESSEERDE!$A$2:$E$4,5,),"")</f>
        <v>BE</v>
      </c>
      <c r="AH1020" s="11" t="str">
        <f>IF(I1020&lt;&gt;"",VLOOKUP(AP1020,KvB!$A$2:$B$3,2,FALSE),"")</f>
        <v>BE101000</v>
      </c>
      <c r="AI1020" s="11" t="s">
        <v>55</v>
      </c>
      <c r="AJ1020" s="11"/>
      <c r="AK1020" s="11"/>
      <c r="AL1020" s="11"/>
      <c r="AM1020" s="11"/>
      <c r="AN1020" s="11"/>
      <c r="AO1020" s="11"/>
      <c r="AP1020" s="2" t="s">
        <v>70</v>
      </c>
      <c r="AQ1020" s="11" t="str">
        <f>IF(I1020&lt;&gt;"",DATA!D1019,"")</f>
        <v>8210000000</v>
      </c>
    </row>
    <row r="1021" spans="1:43" ht="15.75" x14ac:dyDescent="0.25">
      <c r="A1021" s="11" t="s">
        <v>57</v>
      </c>
      <c r="B1021" s="11" t="s">
        <v>56</v>
      </c>
      <c r="C1021" s="22">
        <f t="shared" si="66"/>
        <v>25001620</v>
      </c>
      <c r="D1021" s="11" t="str">
        <f t="shared" si="67"/>
        <v>SKIIFM_AT</v>
      </c>
      <c r="E1021" s="11" t="str">
        <f>IF(I1021&lt;&gt;"",VLOOKUP(F1021,OPDRACHTGEVER!$A$2:$B$4,2,FALSE),"")</f>
        <v>SKIIFM_AT</v>
      </c>
      <c r="F1021" s="11" t="s">
        <v>58</v>
      </c>
      <c r="I1021" s="11" t="str">
        <f>IF(DATA!B1020&lt;&gt;"",DATA!B1020,"")</f>
        <v>GLDU0704021</v>
      </c>
      <c r="J1021" s="12">
        <v>0</v>
      </c>
      <c r="K1021" s="11" t="s">
        <v>53</v>
      </c>
      <c r="L1021" s="11" t="str">
        <f t="shared" si="68"/>
        <v>820210</v>
      </c>
      <c r="M1021" s="11" t="str">
        <f>IF(I1021&lt;&gt;"",DATA!E1020,"")</f>
        <v>MANUAL HIGH BRANCH SAW</v>
      </c>
      <c r="N1021" s="12">
        <v>0</v>
      </c>
      <c r="O1021" s="11">
        <f>IF(I1021&lt;&gt;"",DATA!C1020,"")</f>
        <v>99.55</v>
      </c>
      <c r="P1021" s="2">
        <v>294094</v>
      </c>
      <c r="Q1021" s="2" t="s">
        <v>1304</v>
      </c>
      <c r="R1021" s="2" t="s">
        <v>1325</v>
      </c>
      <c r="S1021" s="2">
        <v>8</v>
      </c>
      <c r="T1021" s="2">
        <v>1</v>
      </c>
      <c r="U1021" s="2" t="s">
        <v>141</v>
      </c>
      <c r="Y1021" s="2">
        <v>1700</v>
      </c>
      <c r="Z1021" s="11" t="s">
        <v>54</v>
      </c>
      <c r="AA1021" s="11" t="str">
        <f t="shared" si="69"/>
        <v>1700 - TBN</v>
      </c>
      <c r="AC1021" s="2" t="s">
        <v>145</v>
      </c>
      <c r="AD1021" s="11" t="str">
        <f>IF($I1021&lt;&gt;"",VLOOKUP($AC1021,GEADRESSEERDE!$A$2:$E$4,2,),"")</f>
        <v>LUITHAGEN HAVEN 2 D</v>
      </c>
      <c r="AE1021" s="11">
        <f>IF($I1021&lt;&gt;"",VLOOKUP($AC1021,GEADRESSEERDE!$A$2:$E$4,3,),"")</f>
        <v>2030</v>
      </c>
      <c r="AF1021" s="11" t="str">
        <f>IF($I1021&lt;&gt;"",VLOOKUP($AC1021,GEADRESSEERDE!$A$2:$E$4,4,),"")</f>
        <v>ANTWERPEN</v>
      </c>
      <c r="AG1021" s="11" t="str">
        <f>IF($I1021&lt;&gt;"",VLOOKUP($AC1021,GEADRESSEERDE!$A$2:$E$4,5,),"")</f>
        <v>BE</v>
      </c>
      <c r="AH1021" s="11" t="str">
        <f>IF(I1021&lt;&gt;"",VLOOKUP(AP1021,KvB!$A$2:$B$3,2,FALSE),"")</f>
        <v>BE101000</v>
      </c>
      <c r="AI1021" s="11" t="s">
        <v>55</v>
      </c>
      <c r="AJ1021" s="11"/>
      <c r="AK1021" s="11"/>
      <c r="AL1021" s="11"/>
      <c r="AM1021" s="11"/>
      <c r="AN1021" s="11"/>
      <c r="AO1021" s="11"/>
      <c r="AP1021" s="2" t="s">
        <v>70</v>
      </c>
      <c r="AQ1021" s="11" t="str">
        <f>IF(I1021&lt;&gt;"",DATA!D1020,"")</f>
        <v>8202100000</v>
      </c>
    </row>
    <row r="1022" spans="1:43" ht="15.75" x14ac:dyDescent="0.25">
      <c r="A1022" s="11" t="s">
        <v>57</v>
      </c>
      <c r="B1022" s="11" t="s">
        <v>56</v>
      </c>
      <c r="C1022" s="22">
        <f t="shared" si="66"/>
        <v>25001620</v>
      </c>
      <c r="D1022" s="11" t="str">
        <f t="shared" si="67"/>
        <v>SKIIFM_AT</v>
      </c>
      <c r="E1022" s="11" t="str">
        <f>IF(I1022&lt;&gt;"",VLOOKUP(F1022,OPDRACHTGEVER!$A$2:$B$4,2,FALSE),"")</f>
        <v>SKIIFM_AT</v>
      </c>
      <c r="F1022" s="11" t="s">
        <v>58</v>
      </c>
      <c r="I1022" s="11" t="str">
        <f>IF(DATA!B1021&lt;&gt;"",DATA!B1021,"")</f>
        <v>GLDU0704021</v>
      </c>
      <c r="J1022" s="12">
        <v>0</v>
      </c>
      <c r="K1022" s="11" t="s">
        <v>53</v>
      </c>
      <c r="L1022" s="11" t="str">
        <f t="shared" si="68"/>
        <v>846229</v>
      </c>
      <c r="M1022" s="11" t="str">
        <f>IF(I1022&lt;&gt;"",DATA!E1021,"")</f>
        <v>MANUAL PIPE BENDER</v>
      </c>
      <c r="N1022" s="12">
        <v>0</v>
      </c>
      <c r="O1022" s="11">
        <f>IF(I1022&lt;&gt;"",DATA!C1021,"")</f>
        <v>40.299999999999997</v>
      </c>
      <c r="P1022" s="2">
        <v>294094</v>
      </c>
      <c r="Q1022" s="2" t="s">
        <v>1304</v>
      </c>
      <c r="R1022" s="2" t="s">
        <v>1325</v>
      </c>
      <c r="S1022" s="2">
        <v>8</v>
      </c>
      <c r="T1022" s="2">
        <v>1</v>
      </c>
      <c r="U1022" s="2" t="s">
        <v>141</v>
      </c>
      <c r="Y1022" s="2">
        <v>1700</v>
      </c>
      <c r="Z1022" s="11" t="s">
        <v>54</v>
      </c>
      <c r="AA1022" s="11" t="str">
        <f t="shared" si="69"/>
        <v>1700 - TBN</v>
      </c>
      <c r="AC1022" s="2" t="s">
        <v>145</v>
      </c>
      <c r="AD1022" s="11" t="str">
        <f>IF($I1022&lt;&gt;"",VLOOKUP($AC1022,GEADRESSEERDE!$A$2:$E$4,2,),"")</f>
        <v>LUITHAGEN HAVEN 2 D</v>
      </c>
      <c r="AE1022" s="11">
        <f>IF($I1022&lt;&gt;"",VLOOKUP($AC1022,GEADRESSEERDE!$A$2:$E$4,3,),"")</f>
        <v>2030</v>
      </c>
      <c r="AF1022" s="11" t="str">
        <f>IF($I1022&lt;&gt;"",VLOOKUP($AC1022,GEADRESSEERDE!$A$2:$E$4,4,),"")</f>
        <v>ANTWERPEN</v>
      </c>
      <c r="AG1022" s="11" t="str">
        <f>IF($I1022&lt;&gt;"",VLOOKUP($AC1022,GEADRESSEERDE!$A$2:$E$4,5,),"")</f>
        <v>BE</v>
      </c>
      <c r="AH1022" s="11" t="str">
        <f>IF(I1022&lt;&gt;"",VLOOKUP(AP1022,KvB!$A$2:$B$3,2,FALSE),"")</f>
        <v>BE101000</v>
      </c>
      <c r="AI1022" s="11" t="s">
        <v>55</v>
      </c>
      <c r="AJ1022" s="11"/>
      <c r="AK1022" s="11"/>
      <c r="AL1022" s="11"/>
      <c r="AM1022" s="11"/>
      <c r="AN1022" s="11"/>
      <c r="AO1022" s="11"/>
      <c r="AP1022" s="2" t="s">
        <v>70</v>
      </c>
      <c r="AQ1022" s="11" t="str">
        <f>IF(I1022&lt;&gt;"",DATA!D1021,"")</f>
        <v>8462290000</v>
      </c>
    </row>
    <row r="1023" spans="1:43" ht="15.75" x14ac:dyDescent="0.25">
      <c r="A1023" s="11" t="s">
        <v>57</v>
      </c>
      <c r="B1023" s="11" t="s">
        <v>56</v>
      </c>
      <c r="C1023" s="22">
        <f t="shared" si="66"/>
        <v>25001620</v>
      </c>
      <c r="D1023" s="11" t="str">
        <f t="shared" si="67"/>
        <v>SKIIFM_AT</v>
      </c>
      <c r="E1023" s="11" t="str">
        <f>IF(I1023&lt;&gt;"",VLOOKUP(F1023,OPDRACHTGEVER!$A$2:$B$4,2,FALSE),"")</f>
        <v>SKIIFM_AT</v>
      </c>
      <c r="F1023" s="11" t="s">
        <v>58</v>
      </c>
      <c r="I1023" s="11" t="str">
        <f>IF(DATA!B1022&lt;&gt;"",DATA!B1022,"")</f>
        <v>GLDU0704021</v>
      </c>
      <c r="J1023" s="12">
        <v>0</v>
      </c>
      <c r="K1023" s="11" t="s">
        <v>53</v>
      </c>
      <c r="L1023" s="11" t="str">
        <f t="shared" si="68"/>
        <v>820559</v>
      </c>
      <c r="M1023" s="11" t="str">
        <f>IF(I1023&lt;&gt;"",DATA!E1022,"")</f>
        <v>MANUAL TIRE REMOVAL TOOL</v>
      </c>
      <c r="N1023" s="12">
        <v>0</v>
      </c>
      <c r="O1023" s="11">
        <f>IF(I1023&lt;&gt;"",DATA!C1022,"")</f>
        <v>1322.2</v>
      </c>
      <c r="P1023" s="2">
        <v>294094</v>
      </c>
      <c r="Q1023" s="2" t="s">
        <v>1304</v>
      </c>
      <c r="R1023" s="2" t="s">
        <v>1325</v>
      </c>
      <c r="S1023" s="2">
        <v>8</v>
      </c>
      <c r="T1023" s="2">
        <v>1</v>
      </c>
      <c r="U1023" s="2" t="s">
        <v>141</v>
      </c>
      <c r="Y1023" s="2">
        <v>1700</v>
      </c>
      <c r="Z1023" s="11" t="s">
        <v>54</v>
      </c>
      <c r="AA1023" s="11" t="str">
        <f t="shared" si="69"/>
        <v>1700 - TBN</v>
      </c>
      <c r="AC1023" s="2" t="s">
        <v>145</v>
      </c>
      <c r="AD1023" s="11" t="str">
        <f>IF($I1023&lt;&gt;"",VLOOKUP($AC1023,GEADRESSEERDE!$A$2:$E$4,2,),"")</f>
        <v>LUITHAGEN HAVEN 2 D</v>
      </c>
      <c r="AE1023" s="11">
        <f>IF($I1023&lt;&gt;"",VLOOKUP($AC1023,GEADRESSEERDE!$A$2:$E$4,3,),"")</f>
        <v>2030</v>
      </c>
      <c r="AF1023" s="11" t="str">
        <f>IF($I1023&lt;&gt;"",VLOOKUP($AC1023,GEADRESSEERDE!$A$2:$E$4,4,),"")</f>
        <v>ANTWERPEN</v>
      </c>
      <c r="AG1023" s="11" t="str">
        <f>IF($I1023&lt;&gt;"",VLOOKUP($AC1023,GEADRESSEERDE!$A$2:$E$4,5,),"")</f>
        <v>BE</v>
      </c>
      <c r="AH1023" s="11" t="str">
        <f>IF(I1023&lt;&gt;"",VLOOKUP(AP1023,KvB!$A$2:$B$3,2,FALSE),"")</f>
        <v>BE101000</v>
      </c>
      <c r="AI1023" s="11" t="s">
        <v>55</v>
      </c>
      <c r="AJ1023" s="11"/>
      <c r="AK1023" s="11"/>
      <c r="AL1023" s="11"/>
      <c r="AM1023" s="11"/>
      <c r="AN1023" s="11"/>
      <c r="AO1023" s="11"/>
      <c r="AP1023" s="2" t="s">
        <v>70</v>
      </c>
      <c r="AQ1023" s="11" t="str">
        <f>IF(I1023&lt;&gt;"",DATA!D1022,"")</f>
        <v>8205598000</v>
      </c>
    </row>
    <row r="1024" spans="1:43" ht="15.75" x14ac:dyDescent="0.25">
      <c r="A1024" s="11" t="s">
        <v>57</v>
      </c>
      <c r="B1024" s="11" t="s">
        <v>56</v>
      </c>
      <c r="C1024" s="22">
        <f t="shared" si="66"/>
        <v>25001620</v>
      </c>
      <c r="D1024" s="11" t="str">
        <f t="shared" si="67"/>
        <v>SKIIFM_AT</v>
      </c>
      <c r="E1024" s="11" t="str">
        <f>IF(I1024&lt;&gt;"",VLOOKUP(F1024,OPDRACHTGEVER!$A$2:$B$4,2,FALSE),"")</f>
        <v>SKIIFM_AT</v>
      </c>
      <c r="F1024" s="11" t="s">
        <v>58</v>
      </c>
      <c r="I1024" s="11" t="str">
        <f>IF(DATA!B1023&lt;&gt;"",DATA!B1023,"")</f>
        <v>GLDU0704021</v>
      </c>
      <c r="J1024" s="12">
        <v>0</v>
      </c>
      <c r="K1024" s="11" t="s">
        <v>53</v>
      </c>
      <c r="L1024" s="11" t="str">
        <f t="shared" si="68"/>
        <v>853890</v>
      </c>
      <c r="M1024" s="11" t="str">
        <f>IF(I1024&lt;&gt;"",DATA!E1023,"")</f>
        <v>METAL ELECTRICAL CABINET</v>
      </c>
      <c r="N1024" s="12">
        <v>0</v>
      </c>
      <c r="O1024" s="11">
        <f>IF(I1024&lt;&gt;"",DATA!C1023,"")</f>
        <v>22.9</v>
      </c>
      <c r="P1024" s="2">
        <v>294094</v>
      </c>
      <c r="Q1024" s="2" t="s">
        <v>1304</v>
      </c>
      <c r="R1024" s="2" t="s">
        <v>1325</v>
      </c>
      <c r="S1024" s="2">
        <v>8</v>
      </c>
      <c r="T1024" s="2">
        <v>1</v>
      </c>
      <c r="U1024" s="2" t="s">
        <v>141</v>
      </c>
      <c r="Y1024" s="2">
        <v>1700</v>
      </c>
      <c r="Z1024" s="11" t="s">
        <v>54</v>
      </c>
      <c r="AA1024" s="11" t="str">
        <f t="shared" si="69"/>
        <v>1700 - TBN</v>
      </c>
      <c r="AC1024" s="2" t="s">
        <v>145</v>
      </c>
      <c r="AD1024" s="11" t="str">
        <f>IF($I1024&lt;&gt;"",VLOOKUP($AC1024,GEADRESSEERDE!$A$2:$E$4,2,),"")</f>
        <v>LUITHAGEN HAVEN 2 D</v>
      </c>
      <c r="AE1024" s="11">
        <f>IF($I1024&lt;&gt;"",VLOOKUP($AC1024,GEADRESSEERDE!$A$2:$E$4,3,),"")</f>
        <v>2030</v>
      </c>
      <c r="AF1024" s="11" t="str">
        <f>IF($I1024&lt;&gt;"",VLOOKUP($AC1024,GEADRESSEERDE!$A$2:$E$4,4,),"")</f>
        <v>ANTWERPEN</v>
      </c>
      <c r="AG1024" s="11" t="str">
        <f>IF($I1024&lt;&gt;"",VLOOKUP($AC1024,GEADRESSEERDE!$A$2:$E$4,5,),"")</f>
        <v>BE</v>
      </c>
      <c r="AH1024" s="11" t="str">
        <f>IF(I1024&lt;&gt;"",VLOOKUP(AP1024,KvB!$A$2:$B$3,2,FALSE),"")</f>
        <v>BE101000</v>
      </c>
      <c r="AI1024" s="11" t="s">
        <v>55</v>
      </c>
      <c r="AJ1024" s="11"/>
      <c r="AK1024" s="11"/>
      <c r="AL1024" s="11"/>
      <c r="AM1024" s="11"/>
      <c r="AN1024" s="11"/>
      <c r="AO1024" s="11"/>
      <c r="AP1024" s="2" t="s">
        <v>70</v>
      </c>
      <c r="AQ1024" s="11" t="str">
        <f>IF(I1024&lt;&gt;"",DATA!D1023,"")</f>
        <v>8538909999</v>
      </c>
    </row>
    <row r="1025" spans="1:43" ht="15.75" x14ac:dyDescent="0.25">
      <c r="A1025" s="11" t="s">
        <v>57</v>
      </c>
      <c r="B1025" s="11" t="s">
        <v>56</v>
      </c>
      <c r="C1025" s="22">
        <f t="shared" si="66"/>
        <v>25001620</v>
      </c>
      <c r="D1025" s="11" t="str">
        <f t="shared" si="67"/>
        <v>SKIIFM_AT</v>
      </c>
      <c r="E1025" s="11" t="str">
        <f>IF(I1025&lt;&gt;"",VLOOKUP(F1025,OPDRACHTGEVER!$A$2:$B$4,2,FALSE),"")</f>
        <v>SKIIFM_AT</v>
      </c>
      <c r="F1025" s="11" t="s">
        <v>58</v>
      </c>
      <c r="I1025" s="11" t="str">
        <f>IF(DATA!B1024&lt;&gt;"",DATA!B1024,"")</f>
        <v>GLDU0704021</v>
      </c>
      <c r="J1025" s="12">
        <v>0</v>
      </c>
      <c r="K1025" s="11" t="s">
        <v>53</v>
      </c>
      <c r="L1025" s="11" t="str">
        <f t="shared" si="68"/>
        <v>741920</v>
      </c>
      <c r="M1025" s="11" t="str">
        <f>IF(I1025&lt;&gt;"",DATA!E1024,"")</f>
        <v>METAL FENCE</v>
      </c>
      <c r="N1025" s="12">
        <v>0</v>
      </c>
      <c r="O1025" s="11">
        <f>IF(I1025&lt;&gt;"",DATA!C1024,"")</f>
        <v>247.81</v>
      </c>
      <c r="P1025" s="2">
        <v>294094</v>
      </c>
      <c r="Q1025" s="2" t="s">
        <v>1304</v>
      </c>
      <c r="R1025" s="2" t="s">
        <v>1325</v>
      </c>
      <c r="S1025" s="2">
        <v>8</v>
      </c>
      <c r="T1025" s="2">
        <v>1</v>
      </c>
      <c r="U1025" s="2" t="s">
        <v>141</v>
      </c>
      <c r="Y1025" s="2">
        <v>1700</v>
      </c>
      <c r="Z1025" s="11" t="s">
        <v>54</v>
      </c>
      <c r="AA1025" s="11" t="str">
        <f t="shared" si="69"/>
        <v>1700 - TBN</v>
      </c>
      <c r="AC1025" s="2" t="s">
        <v>145</v>
      </c>
      <c r="AD1025" s="11" t="str">
        <f>IF($I1025&lt;&gt;"",VLOOKUP($AC1025,GEADRESSEERDE!$A$2:$E$4,2,),"")</f>
        <v>LUITHAGEN HAVEN 2 D</v>
      </c>
      <c r="AE1025" s="11">
        <f>IF($I1025&lt;&gt;"",VLOOKUP($AC1025,GEADRESSEERDE!$A$2:$E$4,3,),"")</f>
        <v>2030</v>
      </c>
      <c r="AF1025" s="11" t="str">
        <f>IF($I1025&lt;&gt;"",VLOOKUP($AC1025,GEADRESSEERDE!$A$2:$E$4,4,),"")</f>
        <v>ANTWERPEN</v>
      </c>
      <c r="AG1025" s="11" t="str">
        <f>IF($I1025&lt;&gt;"",VLOOKUP($AC1025,GEADRESSEERDE!$A$2:$E$4,5,),"")</f>
        <v>BE</v>
      </c>
      <c r="AH1025" s="11" t="str">
        <f>IF(I1025&lt;&gt;"",VLOOKUP(AP1025,KvB!$A$2:$B$3,2,FALSE),"")</f>
        <v>BE101000</v>
      </c>
      <c r="AI1025" s="11" t="s">
        <v>55</v>
      </c>
      <c r="AJ1025" s="11"/>
      <c r="AK1025" s="11"/>
      <c r="AL1025" s="11"/>
      <c r="AM1025" s="11"/>
      <c r="AN1025" s="11"/>
      <c r="AO1025" s="11"/>
      <c r="AP1025" s="2" t="s">
        <v>70</v>
      </c>
      <c r="AQ1025" s="11" t="str">
        <f>IF(I1025&lt;&gt;"",DATA!D1024,"")</f>
        <v>7419200090</v>
      </c>
    </row>
    <row r="1026" spans="1:43" ht="15.75" x14ac:dyDescent="0.25">
      <c r="A1026" s="11" t="s">
        <v>57</v>
      </c>
      <c r="B1026" s="11" t="s">
        <v>56</v>
      </c>
      <c r="C1026" s="22">
        <f t="shared" si="66"/>
        <v>25001620</v>
      </c>
      <c r="D1026" s="11" t="str">
        <f t="shared" si="67"/>
        <v>SKIIFM_AT</v>
      </c>
      <c r="E1026" s="11" t="str">
        <f>IF(I1026&lt;&gt;"",VLOOKUP(F1026,OPDRACHTGEVER!$A$2:$B$4,2,FALSE),"")</f>
        <v>SKIIFM_AT</v>
      </c>
      <c r="F1026" s="11" t="s">
        <v>58</v>
      </c>
      <c r="I1026" s="11" t="str">
        <f>IF(DATA!B1025&lt;&gt;"",DATA!B1025,"")</f>
        <v>GLDU0704021</v>
      </c>
      <c r="J1026" s="12">
        <v>0</v>
      </c>
      <c r="K1026" s="11" t="s">
        <v>53</v>
      </c>
      <c r="L1026" s="11" t="str">
        <f t="shared" si="68"/>
        <v>846693</v>
      </c>
      <c r="M1026" s="11" t="str">
        <f>IF(I1026&lt;&gt;"",DATA!E1025,"")</f>
        <v>MILLING MACHINE TABLE</v>
      </c>
      <c r="N1026" s="12">
        <v>0</v>
      </c>
      <c r="O1026" s="11">
        <f>IF(I1026&lt;&gt;"",DATA!C1025,"")</f>
        <v>223.45</v>
      </c>
      <c r="P1026" s="2">
        <v>294094</v>
      </c>
      <c r="Q1026" s="2" t="s">
        <v>1304</v>
      </c>
      <c r="R1026" s="2" t="s">
        <v>1325</v>
      </c>
      <c r="S1026" s="2">
        <v>8</v>
      </c>
      <c r="T1026" s="2">
        <v>1</v>
      </c>
      <c r="U1026" s="2" t="s">
        <v>141</v>
      </c>
      <c r="Y1026" s="2">
        <v>1700</v>
      </c>
      <c r="Z1026" s="11" t="s">
        <v>54</v>
      </c>
      <c r="AA1026" s="11" t="str">
        <f t="shared" si="69"/>
        <v>1700 - TBN</v>
      </c>
      <c r="AC1026" s="2" t="s">
        <v>145</v>
      </c>
      <c r="AD1026" s="11" t="str">
        <f>IF($I1026&lt;&gt;"",VLOOKUP($AC1026,GEADRESSEERDE!$A$2:$E$4,2,),"")</f>
        <v>LUITHAGEN HAVEN 2 D</v>
      </c>
      <c r="AE1026" s="11">
        <f>IF($I1026&lt;&gt;"",VLOOKUP($AC1026,GEADRESSEERDE!$A$2:$E$4,3,),"")</f>
        <v>2030</v>
      </c>
      <c r="AF1026" s="11" t="str">
        <f>IF($I1026&lt;&gt;"",VLOOKUP($AC1026,GEADRESSEERDE!$A$2:$E$4,4,),"")</f>
        <v>ANTWERPEN</v>
      </c>
      <c r="AG1026" s="11" t="str">
        <f>IF($I1026&lt;&gt;"",VLOOKUP($AC1026,GEADRESSEERDE!$A$2:$E$4,5,),"")</f>
        <v>BE</v>
      </c>
      <c r="AH1026" s="11" t="str">
        <f>IF(I1026&lt;&gt;"",VLOOKUP(AP1026,KvB!$A$2:$B$3,2,FALSE),"")</f>
        <v>BE101000</v>
      </c>
      <c r="AI1026" s="11" t="s">
        <v>55</v>
      </c>
      <c r="AJ1026" s="11"/>
      <c r="AK1026" s="11"/>
      <c r="AL1026" s="11"/>
      <c r="AM1026" s="11"/>
      <c r="AN1026" s="11"/>
      <c r="AO1026" s="11"/>
      <c r="AP1026" s="2" t="s">
        <v>70</v>
      </c>
      <c r="AQ1026" s="11" t="str">
        <f>IF(I1026&lt;&gt;"",DATA!D1025,"")</f>
        <v>8466936000</v>
      </c>
    </row>
    <row r="1027" spans="1:43" ht="15.75" x14ac:dyDescent="0.25">
      <c r="A1027" s="11" t="s">
        <v>57</v>
      </c>
      <c r="B1027" s="11" t="s">
        <v>56</v>
      </c>
      <c r="C1027" s="22">
        <f t="shared" si="66"/>
        <v>25001620</v>
      </c>
      <c r="D1027" s="11" t="str">
        <f t="shared" si="67"/>
        <v>SKIIFM_AT</v>
      </c>
      <c r="E1027" s="11" t="str">
        <f>IF(I1027&lt;&gt;"",VLOOKUP(F1027,OPDRACHTGEVER!$A$2:$B$4,2,FALSE),"")</f>
        <v>SKIIFM_AT</v>
      </c>
      <c r="F1027" s="11" t="s">
        <v>58</v>
      </c>
      <c r="I1027" s="11" t="str">
        <f>IF(DATA!B1026&lt;&gt;"",DATA!B1026,"")</f>
        <v>GLDU0704021</v>
      </c>
      <c r="J1027" s="12">
        <v>0</v>
      </c>
      <c r="K1027" s="11" t="s">
        <v>53</v>
      </c>
      <c r="L1027" s="11" t="str">
        <f t="shared" si="68"/>
        <v>700992</v>
      </c>
      <c r="M1027" s="11" t="str">
        <f>IF(I1027&lt;&gt;"",DATA!E1026,"")</f>
        <v>MIRROR</v>
      </c>
      <c r="N1027" s="12">
        <v>0</v>
      </c>
      <c r="O1027" s="11">
        <f>IF(I1027&lt;&gt;"",DATA!C1026,"")</f>
        <v>30.66</v>
      </c>
      <c r="P1027" s="2">
        <v>294094</v>
      </c>
      <c r="Q1027" s="2" t="s">
        <v>1304</v>
      </c>
      <c r="R1027" s="2" t="s">
        <v>1325</v>
      </c>
      <c r="S1027" s="2">
        <v>8</v>
      </c>
      <c r="T1027" s="2">
        <v>1</v>
      </c>
      <c r="U1027" s="2" t="s">
        <v>141</v>
      </c>
      <c r="Y1027" s="2">
        <v>1700</v>
      </c>
      <c r="Z1027" s="11" t="s">
        <v>54</v>
      </c>
      <c r="AA1027" s="11" t="str">
        <f t="shared" si="69"/>
        <v>1700 - TBN</v>
      </c>
      <c r="AC1027" s="2" t="s">
        <v>145</v>
      </c>
      <c r="AD1027" s="11" t="str">
        <f>IF($I1027&lt;&gt;"",VLOOKUP($AC1027,GEADRESSEERDE!$A$2:$E$4,2,),"")</f>
        <v>LUITHAGEN HAVEN 2 D</v>
      </c>
      <c r="AE1027" s="11">
        <f>IF($I1027&lt;&gt;"",VLOOKUP($AC1027,GEADRESSEERDE!$A$2:$E$4,3,),"")</f>
        <v>2030</v>
      </c>
      <c r="AF1027" s="11" t="str">
        <f>IF($I1027&lt;&gt;"",VLOOKUP($AC1027,GEADRESSEERDE!$A$2:$E$4,4,),"")</f>
        <v>ANTWERPEN</v>
      </c>
      <c r="AG1027" s="11" t="str">
        <f>IF($I1027&lt;&gt;"",VLOOKUP($AC1027,GEADRESSEERDE!$A$2:$E$4,5,),"")</f>
        <v>BE</v>
      </c>
      <c r="AH1027" s="11" t="str">
        <f>IF(I1027&lt;&gt;"",VLOOKUP(AP1027,KvB!$A$2:$B$3,2,FALSE),"")</f>
        <v>BE101000</v>
      </c>
      <c r="AI1027" s="11" t="s">
        <v>55</v>
      </c>
      <c r="AJ1027" s="11"/>
      <c r="AK1027" s="11"/>
      <c r="AL1027" s="11"/>
      <c r="AM1027" s="11"/>
      <c r="AN1027" s="11"/>
      <c r="AO1027" s="11"/>
      <c r="AP1027" s="2" t="s">
        <v>70</v>
      </c>
      <c r="AQ1027" s="11" t="str">
        <f>IF(I1027&lt;&gt;"",DATA!D1026,"")</f>
        <v>7009920000</v>
      </c>
    </row>
    <row r="1028" spans="1:43" ht="15.75" x14ac:dyDescent="0.25">
      <c r="A1028" s="11" t="s">
        <v>57</v>
      </c>
      <c r="B1028" s="11" t="s">
        <v>56</v>
      </c>
      <c r="C1028" s="22">
        <f t="shared" si="66"/>
        <v>25001620</v>
      </c>
      <c r="D1028" s="11" t="str">
        <f t="shared" si="67"/>
        <v>SKIIFM_AT</v>
      </c>
      <c r="E1028" s="11" t="str">
        <f>IF(I1028&lt;&gt;"",VLOOKUP(F1028,OPDRACHTGEVER!$A$2:$B$4,2,FALSE),"")</f>
        <v>SKIIFM_AT</v>
      </c>
      <c r="F1028" s="11" t="s">
        <v>58</v>
      </c>
      <c r="I1028" s="11" t="str">
        <f>IF(DATA!B1027&lt;&gt;"",DATA!B1027,"")</f>
        <v>GLDU0704021</v>
      </c>
      <c r="J1028" s="12">
        <v>0</v>
      </c>
      <c r="K1028" s="11" t="s">
        <v>53</v>
      </c>
      <c r="L1028" s="11" t="str">
        <f t="shared" si="68"/>
        <v>741920</v>
      </c>
      <c r="M1028" s="11" t="str">
        <f>IF(I1028&lt;&gt;"",DATA!E1027,"")</f>
        <v>MOBILE BASE</v>
      </c>
      <c r="N1028" s="12">
        <v>0</v>
      </c>
      <c r="O1028" s="11">
        <f>IF(I1028&lt;&gt;"",DATA!C1027,"")</f>
        <v>315.25</v>
      </c>
      <c r="P1028" s="2">
        <v>294094</v>
      </c>
      <c r="Q1028" s="2" t="s">
        <v>1304</v>
      </c>
      <c r="R1028" s="2" t="s">
        <v>1325</v>
      </c>
      <c r="S1028" s="2">
        <v>8</v>
      </c>
      <c r="T1028" s="2">
        <v>1</v>
      </c>
      <c r="U1028" s="2" t="s">
        <v>141</v>
      </c>
      <c r="Y1028" s="2">
        <v>1700</v>
      </c>
      <c r="Z1028" s="11" t="s">
        <v>54</v>
      </c>
      <c r="AA1028" s="11" t="str">
        <f t="shared" si="69"/>
        <v>1700 - TBN</v>
      </c>
      <c r="AC1028" s="2" t="s">
        <v>145</v>
      </c>
      <c r="AD1028" s="11" t="str">
        <f>IF($I1028&lt;&gt;"",VLOOKUP($AC1028,GEADRESSEERDE!$A$2:$E$4,2,),"")</f>
        <v>LUITHAGEN HAVEN 2 D</v>
      </c>
      <c r="AE1028" s="11">
        <f>IF($I1028&lt;&gt;"",VLOOKUP($AC1028,GEADRESSEERDE!$A$2:$E$4,3,),"")</f>
        <v>2030</v>
      </c>
      <c r="AF1028" s="11" t="str">
        <f>IF($I1028&lt;&gt;"",VLOOKUP($AC1028,GEADRESSEERDE!$A$2:$E$4,4,),"")</f>
        <v>ANTWERPEN</v>
      </c>
      <c r="AG1028" s="11" t="str">
        <f>IF($I1028&lt;&gt;"",VLOOKUP($AC1028,GEADRESSEERDE!$A$2:$E$4,5,),"")</f>
        <v>BE</v>
      </c>
      <c r="AH1028" s="11" t="str">
        <f>IF(I1028&lt;&gt;"",VLOOKUP(AP1028,KvB!$A$2:$B$3,2,FALSE),"")</f>
        <v>BE101000</v>
      </c>
      <c r="AI1028" s="11" t="s">
        <v>55</v>
      </c>
      <c r="AJ1028" s="11"/>
      <c r="AK1028" s="11"/>
      <c r="AL1028" s="11"/>
      <c r="AM1028" s="11"/>
      <c r="AN1028" s="11"/>
      <c r="AO1028" s="11"/>
      <c r="AP1028" s="2" t="s">
        <v>70</v>
      </c>
      <c r="AQ1028" s="11" t="str">
        <f>IF(I1028&lt;&gt;"",DATA!D1027,"")</f>
        <v>7419200090</v>
      </c>
    </row>
    <row r="1029" spans="1:43" ht="15.75" x14ac:dyDescent="0.25">
      <c r="A1029" s="11" t="s">
        <v>57</v>
      </c>
      <c r="B1029" s="11" t="s">
        <v>56</v>
      </c>
      <c r="C1029" s="22">
        <f t="shared" ref="C1029:C1092" si="70">C1028</f>
        <v>25001620</v>
      </c>
      <c r="D1029" s="11" t="str">
        <f t="shared" si="67"/>
        <v>SKIIFM_AT</v>
      </c>
      <c r="E1029" s="11" t="str">
        <f>IF(I1029&lt;&gt;"",VLOOKUP(F1029,OPDRACHTGEVER!$A$2:$B$4,2,FALSE),"")</f>
        <v>SKIIFM_AT</v>
      </c>
      <c r="F1029" s="11" t="s">
        <v>58</v>
      </c>
      <c r="I1029" s="11" t="str">
        <f>IF(DATA!B1028&lt;&gt;"",DATA!B1028,"")</f>
        <v>GLDU0704021</v>
      </c>
      <c r="J1029" s="12">
        <v>0</v>
      </c>
      <c r="K1029" s="11" t="s">
        <v>53</v>
      </c>
      <c r="L1029" s="11" t="str">
        <f t="shared" si="68"/>
        <v>843110</v>
      </c>
      <c r="M1029" s="11" t="str">
        <f>IF(I1029&lt;&gt;"",DATA!E1028,"")</f>
        <v>MONORAIL CAR</v>
      </c>
      <c r="N1029" s="12">
        <v>0</v>
      </c>
      <c r="O1029" s="11">
        <f>IF(I1029&lt;&gt;"",DATA!C1028,"")</f>
        <v>240.8</v>
      </c>
      <c r="P1029" s="2">
        <v>294094</v>
      </c>
      <c r="Q1029" s="2" t="s">
        <v>1304</v>
      </c>
      <c r="R1029" s="2" t="s">
        <v>1325</v>
      </c>
      <c r="S1029" s="2">
        <v>8</v>
      </c>
      <c r="T1029" s="2">
        <v>1</v>
      </c>
      <c r="U1029" s="2" t="s">
        <v>141</v>
      </c>
      <c r="Y1029" s="2">
        <v>1700</v>
      </c>
      <c r="Z1029" s="11" t="s">
        <v>54</v>
      </c>
      <c r="AA1029" s="11" t="str">
        <f t="shared" si="69"/>
        <v>1700 - TBN</v>
      </c>
      <c r="AC1029" s="2" t="s">
        <v>145</v>
      </c>
      <c r="AD1029" s="11" t="str">
        <f>IF($I1029&lt;&gt;"",VLOOKUP($AC1029,GEADRESSEERDE!$A$2:$E$4,2,),"")</f>
        <v>LUITHAGEN HAVEN 2 D</v>
      </c>
      <c r="AE1029" s="11">
        <f>IF($I1029&lt;&gt;"",VLOOKUP($AC1029,GEADRESSEERDE!$A$2:$E$4,3,),"")</f>
        <v>2030</v>
      </c>
      <c r="AF1029" s="11" t="str">
        <f>IF($I1029&lt;&gt;"",VLOOKUP($AC1029,GEADRESSEERDE!$A$2:$E$4,4,),"")</f>
        <v>ANTWERPEN</v>
      </c>
      <c r="AG1029" s="11" t="str">
        <f>IF($I1029&lt;&gt;"",VLOOKUP($AC1029,GEADRESSEERDE!$A$2:$E$4,5,),"")</f>
        <v>BE</v>
      </c>
      <c r="AH1029" s="11" t="str">
        <f>IF(I1029&lt;&gt;"",VLOOKUP(AP1029,KvB!$A$2:$B$3,2,FALSE),"")</f>
        <v>BE101000</v>
      </c>
      <c r="AI1029" s="11" t="s">
        <v>55</v>
      </c>
      <c r="AJ1029" s="11"/>
      <c r="AK1029" s="11"/>
      <c r="AL1029" s="11"/>
      <c r="AM1029" s="11"/>
      <c r="AN1029" s="11"/>
      <c r="AO1029" s="11"/>
      <c r="AP1029" s="2" t="s">
        <v>70</v>
      </c>
      <c r="AQ1029" s="11" t="str">
        <f>IF(I1029&lt;&gt;"",DATA!D1028,"")</f>
        <v>8431100000</v>
      </c>
    </row>
    <row r="1030" spans="1:43" ht="15.75" x14ac:dyDescent="0.25">
      <c r="A1030" s="11" t="s">
        <v>57</v>
      </c>
      <c r="B1030" s="11" t="s">
        <v>56</v>
      </c>
      <c r="C1030" s="22">
        <f t="shared" si="70"/>
        <v>25001620</v>
      </c>
      <c r="D1030" s="11" t="str">
        <f t="shared" si="67"/>
        <v>SKIIFM_AT</v>
      </c>
      <c r="E1030" s="11" t="str">
        <f>IF(I1030&lt;&gt;"",VLOOKUP(F1030,OPDRACHTGEVER!$A$2:$B$4,2,FALSE),"")</f>
        <v>SKIIFM_AT</v>
      </c>
      <c r="F1030" s="11" t="s">
        <v>58</v>
      </c>
      <c r="I1030" s="11" t="str">
        <f>IF(DATA!B1029&lt;&gt;"",DATA!B1029,"")</f>
        <v>GLDU0704021</v>
      </c>
      <c r="J1030" s="12">
        <v>0</v>
      </c>
      <c r="K1030" s="11" t="s">
        <v>53</v>
      </c>
      <c r="L1030" s="11" t="str">
        <f t="shared" si="68"/>
        <v>847330</v>
      </c>
      <c r="M1030" s="11" t="str">
        <f>IF(I1030&lt;&gt;"",DATA!E1029,"")</f>
        <v>NETWORK CABINET</v>
      </c>
      <c r="N1030" s="12">
        <v>0</v>
      </c>
      <c r="O1030" s="11">
        <f>IF(I1030&lt;&gt;"",DATA!C1029,"")</f>
        <v>46.99</v>
      </c>
      <c r="P1030" s="2">
        <v>294094</v>
      </c>
      <c r="Q1030" s="2" t="s">
        <v>1304</v>
      </c>
      <c r="R1030" s="2" t="s">
        <v>1325</v>
      </c>
      <c r="S1030" s="2">
        <v>8</v>
      </c>
      <c r="T1030" s="2">
        <v>1</v>
      </c>
      <c r="U1030" s="2" t="s">
        <v>141</v>
      </c>
      <c r="Y1030" s="2">
        <v>1700</v>
      </c>
      <c r="Z1030" s="11" t="s">
        <v>54</v>
      </c>
      <c r="AA1030" s="11" t="str">
        <f t="shared" si="69"/>
        <v>1700 - TBN</v>
      </c>
      <c r="AC1030" s="2" t="s">
        <v>145</v>
      </c>
      <c r="AD1030" s="11" t="str">
        <f>IF($I1030&lt;&gt;"",VLOOKUP($AC1030,GEADRESSEERDE!$A$2:$E$4,2,),"")</f>
        <v>LUITHAGEN HAVEN 2 D</v>
      </c>
      <c r="AE1030" s="11">
        <f>IF($I1030&lt;&gt;"",VLOOKUP($AC1030,GEADRESSEERDE!$A$2:$E$4,3,),"")</f>
        <v>2030</v>
      </c>
      <c r="AF1030" s="11" t="str">
        <f>IF($I1030&lt;&gt;"",VLOOKUP($AC1030,GEADRESSEERDE!$A$2:$E$4,4,),"")</f>
        <v>ANTWERPEN</v>
      </c>
      <c r="AG1030" s="11" t="str">
        <f>IF($I1030&lt;&gt;"",VLOOKUP($AC1030,GEADRESSEERDE!$A$2:$E$4,5,),"")</f>
        <v>BE</v>
      </c>
      <c r="AH1030" s="11" t="str">
        <f>IF(I1030&lt;&gt;"",VLOOKUP(AP1030,KvB!$A$2:$B$3,2,FALSE),"")</f>
        <v>BE101000</v>
      </c>
      <c r="AI1030" s="11" t="s">
        <v>55</v>
      </c>
      <c r="AJ1030" s="11"/>
      <c r="AK1030" s="11"/>
      <c r="AL1030" s="11"/>
      <c r="AM1030" s="11"/>
      <c r="AN1030" s="11"/>
      <c r="AO1030" s="11"/>
      <c r="AP1030" s="2" t="s">
        <v>70</v>
      </c>
      <c r="AQ1030" s="11" t="str">
        <f>IF(I1030&lt;&gt;"",DATA!D1029,"")</f>
        <v>8473308000</v>
      </c>
    </row>
    <row r="1031" spans="1:43" ht="15.75" x14ac:dyDescent="0.25">
      <c r="A1031" s="11" t="s">
        <v>57</v>
      </c>
      <c r="B1031" s="11" t="s">
        <v>56</v>
      </c>
      <c r="C1031" s="22">
        <f t="shared" si="70"/>
        <v>25001620</v>
      </c>
      <c r="D1031" s="11" t="str">
        <f t="shared" si="67"/>
        <v>SKIIFM_AT</v>
      </c>
      <c r="E1031" s="11" t="str">
        <f>IF(I1031&lt;&gt;"",VLOOKUP(F1031,OPDRACHTGEVER!$A$2:$B$4,2,FALSE),"")</f>
        <v>SKIIFM_AT</v>
      </c>
      <c r="F1031" s="11" t="s">
        <v>58</v>
      </c>
      <c r="I1031" s="11" t="str">
        <f>IF(DATA!B1030&lt;&gt;"",DATA!B1030,"")</f>
        <v>GLDU0704021</v>
      </c>
      <c r="J1031" s="12">
        <v>0</v>
      </c>
      <c r="K1031" s="11" t="s">
        <v>53</v>
      </c>
      <c r="L1031" s="11" t="str">
        <f t="shared" si="68"/>
        <v>392510</v>
      </c>
      <c r="M1031" s="11" t="str">
        <f>IF(I1031&lt;&gt;"",DATA!E1030,"")</f>
        <v>OIL RESERVOIR TANK</v>
      </c>
      <c r="N1031" s="12">
        <v>0</v>
      </c>
      <c r="O1031" s="11">
        <f>IF(I1031&lt;&gt;"",DATA!C1030,"")</f>
        <v>66.349999999999994</v>
      </c>
      <c r="P1031" s="2">
        <v>294094</v>
      </c>
      <c r="Q1031" s="2" t="s">
        <v>1304</v>
      </c>
      <c r="R1031" s="2" t="s">
        <v>1325</v>
      </c>
      <c r="S1031" s="2">
        <v>8</v>
      </c>
      <c r="T1031" s="2">
        <v>1</v>
      </c>
      <c r="U1031" s="2" t="s">
        <v>141</v>
      </c>
      <c r="Y1031" s="2">
        <v>1700</v>
      </c>
      <c r="Z1031" s="11" t="s">
        <v>54</v>
      </c>
      <c r="AA1031" s="11" t="str">
        <f t="shared" si="69"/>
        <v>1700 - TBN</v>
      </c>
      <c r="AC1031" s="2" t="s">
        <v>145</v>
      </c>
      <c r="AD1031" s="11" t="str">
        <f>IF($I1031&lt;&gt;"",VLOOKUP($AC1031,GEADRESSEERDE!$A$2:$E$4,2,),"")</f>
        <v>LUITHAGEN HAVEN 2 D</v>
      </c>
      <c r="AE1031" s="11">
        <f>IF($I1031&lt;&gt;"",VLOOKUP($AC1031,GEADRESSEERDE!$A$2:$E$4,3,),"")</f>
        <v>2030</v>
      </c>
      <c r="AF1031" s="11" t="str">
        <f>IF($I1031&lt;&gt;"",VLOOKUP($AC1031,GEADRESSEERDE!$A$2:$E$4,4,),"")</f>
        <v>ANTWERPEN</v>
      </c>
      <c r="AG1031" s="11" t="str">
        <f>IF($I1031&lt;&gt;"",VLOOKUP($AC1031,GEADRESSEERDE!$A$2:$E$4,5,),"")</f>
        <v>BE</v>
      </c>
      <c r="AH1031" s="11" t="str">
        <f>IF(I1031&lt;&gt;"",VLOOKUP(AP1031,KvB!$A$2:$B$3,2,FALSE),"")</f>
        <v>BE101000</v>
      </c>
      <c r="AI1031" s="11" t="s">
        <v>55</v>
      </c>
      <c r="AJ1031" s="11"/>
      <c r="AK1031" s="11"/>
      <c r="AL1031" s="11"/>
      <c r="AM1031" s="11"/>
      <c r="AN1031" s="11"/>
      <c r="AO1031" s="11"/>
      <c r="AP1031" s="2" t="s">
        <v>70</v>
      </c>
      <c r="AQ1031" s="11" t="str">
        <f>IF(I1031&lt;&gt;"",DATA!D1030,"")</f>
        <v>3925100000</v>
      </c>
    </row>
    <row r="1032" spans="1:43" ht="15.75" x14ac:dyDescent="0.25">
      <c r="A1032" s="11" t="s">
        <v>57</v>
      </c>
      <c r="B1032" s="11" t="s">
        <v>56</v>
      </c>
      <c r="C1032" s="22">
        <f t="shared" si="70"/>
        <v>25001620</v>
      </c>
      <c r="D1032" s="11" t="str">
        <f t="shared" si="67"/>
        <v>SKIIFM_AT</v>
      </c>
      <c r="E1032" s="11" t="str">
        <f>IF(I1032&lt;&gt;"",VLOOKUP(F1032,OPDRACHTGEVER!$A$2:$B$4,2,FALSE),"")</f>
        <v>SKIIFM_AT</v>
      </c>
      <c r="F1032" s="11" t="s">
        <v>58</v>
      </c>
      <c r="I1032" s="11" t="str">
        <f>IF(DATA!B1031&lt;&gt;"",DATA!B1031,"")</f>
        <v>GLDU0704021</v>
      </c>
      <c r="J1032" s="12">
        <v>0</v>
      </c>
      <c r="K1032" s="11" t="s">
        <v>53</v>
      </c>
      <c r="L1032" s="11" t="str">
        <f t="shared" si="68"/>
        <v>741920</v>
      </c>
      <c r="M1032" s="11" t="str">
        <f>IF(I1032&lt;&gt;"",DATA!E1031,"")</f>
        <v>OIL WATER SEPARATOR</v>
      </c>
      <c r="N1032" s="12">
        <v>0</v>
      </c>
      <c r="O1032" s="11">
        <f>IF(I1032&lt;&gt;"",DATA!C1031,"")</f>
        <v>35.08</v>
      </c>
      <c r="P1032" s="2">
        <v>294094</v>
      </c>
      <c r="Q1032" s="2" t="s">
        <v>1304</v>
      </c>
      <c r="R1032" s="2" t="s">
        <v>1325</v>
      </c>
      <c r="S1032" s="2">
        <v>8</v>
      </c>
      <c r="T1032" s="2">
        <v>1</v>
      </c>
      <c r="U1032" s="2" t="s">
        <v>141</v>
      </c>
      <c r="Y1032" s="2">
        <v>1700</v>
      </c>
      <c r="Z1032" s="11" t="s">
        <v>54</v>
      </c>
      <c r="AA1032" s="11" t="str">
        <f t="shared" si="69"/>
        <v>1700 - TBN</v>
      </c>
      <c r="AC1032" s="2" t="s">
        <v>145</v>
      </c>
      <c r="AD1032" s="11" t="str">
        <f>IF($I1032&lt;&gt;"",VLOOKUP($AC1032,GEADRESSEERDE!$A$2:$E$4,2,),"")</f>
        <v>LUITHAGEN HAVEN 2 D</v>
      </c>
      <c r="AE1032" s="11">
        <f>IF($I1032&lt;&gt;"",VLOOKUP($AC1032,GEADRESSEERDE!$A$2:$E$4,3,),"")</f>
        <v>2030</v>
      </c>
      <c r="AF1032" s="11" t="str">
        <f>IF($I1032&lt;&gt;"",VLOOKUP($AC1032,GEADRESSEERDE!$A$2:$E$4,4,),"")</f>
        <v>ANTWERPEN</v>
      </c>
      <c r="AG1032" s="11" t="str">
        <f>IF($I1032&lt;&gt;"",VLOOKUP($AC1032,GEADRESSEERDE!$A$2:$E$4,5,),"")</f>
        <v>BE</v>
      </c>
      <c r="AH1032" s="11" t="str">
        <f>IF(I1032&lt;&gt;"",VLOOKUP(AP1032,KvB!$A$2:$B$3,2,FALSE),"")</f>
        <v>BE101000</v>
      </c>
      <c r="AI1032" s="11" t="s">
        <v>55</v>
      </c>
      <c r="AJ1032" s="11"/>
      <c r="AK1032" s="11"/>
      <c r="AL1032" s="11"/>
      <c r="AM1032" s="11"/>
      <c r="AN1032" s="11"/>
      <c r="AO1032" s="11"/>
      <c r="AP1032" s="2" t="s">
        <v>70</v>
      </c>
      <c r="AQ1032" s="11" t="str">
        <f>IF(I1032&lt;&gt;"",DATA!D1031,"")</f>
        <v>7419200090</v>
      </c>
    </row>
    <row r="1033" spans="1:43" ht="15.75" x14ac:dyDescent="0.25">
      <c r="A1033" s="11" t="s">
        <v>57</v>
      </c>
      <c r="B1033" s="11" t="s">
        <v>56</v>
      </c>
      <c r="C1033" s="22">
        <f t="shared" si="70"/>
        <v>25001620</v>
      </c>
      <c r="D1033" s="11" t="str">
        <f t="shared" si="67"/>
        <v>SKIIFM_AT</v>
      </c>
      <c r="E1033" s="11" t="str">
        <f>IF(I1033&lt;&gt;"",VLOOKUP(F1033,OPDRACHTGEVER!$A$2:$B$4,2,FALSE),"")</f>
        <v>SKIIFM_AT</v>
      </c>
      <c r="F1033" s="11" t="s">
        <v>58</v>
      </c>
      <c r="I1033" s="11" t="str">
        <f>IF(DATA!B1032&lt;&gt;"",DATA!B1032,"")</f>
        <v>GLDU0704021</v>
      </c>
      <c r="J1033" s="12">
        <v>0</v>
      </c>
      <c r="K1033" s="11" t="s">
        <v>53</v>
      </c>
      <c r="L1033" s="11" t="str">
        <f t="shared" si="68"/>
        <v>741920</v>
      </c>
      <c r="M1033" s="11" t="str">
        <f>IF(I1033&lt;&gt;"",DATA!E1032,"")</f>
        <v>PATIO FIREPIT</v>
      </c>
      <c r="N1033" s="12">
        <v>0</v>
      </c>
      <c r="O1033" s="11">
        <f>IF(I1033&lt;&gt;"",DATA!C1032,"")</f>
        <v>139.94</v>
      </c>
      <c r="P1033" s="2">
        <v>294094</v>
      </c>
      <c r="Q1033" s="2" t="s">
        <v>1304</v>
      </c>
      <c r="R1033" s="2" t="s">
        <v>1325</v>
      </c>
      <c r="S1033" s="2">
        <v>8</v>
      </c>
      <c r="T1033" s="2">
        <v>1</v>
      </c>
      <c r="U1033" s="2" t="s">
        <v>141</v>
      </c>
      <c r="Y1033" s="2">
        <v>1700</v>
      </c>
      <c r="Z1033" s="11" t="s">
        <v>54</v>
      </c>
      <c r="AA1033" s="11" t="str">
        <f t="shared" si="69"/>
        <v>1700 - TBN</v>
      </c>
      <c r="AC1033" s="2" t="s">
        <v>145</v>
      </c>
      <c r="AD1033" s="11" t="str">
        <f>IF($I1033&lt;&gt;"",VLOOKUP($AC1033,GEADRESSEERDE!$A$2:$E$4,2,),"")</f>
        <v>LUITHAGEN HAVEN 2 D</v>
      </c>
      <c r="AE1033" s="11">
        <f>IF($I1033&lt;&gt;"",VLOOKUP($AC1033,GEADRESSEERDE!$A$2:$E$4,3,),"")</f>
        <v>2030</v>
      </c>
      <c r="AF1033" s="11" t="str">
        <f>IF($I1033&lt;&gt;"",VLOOKUP($AC1033,GEADRESSEERDE!$A$2:$E$4,4,),"")</f>
        <v>ANTWERPEN</v>
      </c>
      <c r="AG1033" s="11" t="str">
        <f>IF($I1033&lt;&gt;"",VLOOKUP($AC1033,GEADRESSEERDE!$A$2:$E$4,5,),"")</f>
        <v>BE</v>
      </c>
      <c r="AH1033" s="11" t="str">
        <f>IF(I1033&lt;&gt;"",VLOOKUP(AP1033,KvB!$A$2:$B$3,2,FALSE),"")</f>
        <v>BE101000</v>
      </c>
      <c r="AI1033" s="11" t="s">
        <v>55</v>
      </c>
      <c r="AJ1033" s="11"/>
      <c r="AK1033" s="11"/>
      <c r="AL1033" s="11"/>
      <c r="AM1033" s="11"/>
      <c r="AN1033" s="11"/>
      <c r="AO1033" s="11"/>
      <c r="AP1033" s="2" t="s">
        <v>70</v>
      </c>
      <c r="AQ1033" s="11" t="str">
        <f>IF(I1033&lt;&gt;"",DATA!D1032,"")</f>
        <v>7419200090</v>
      </c>
    </row>
    <row r="1034" spans="1:43" ht="15.75" x14ac:dyDescent="0.25">
      <c r="A1034" s="11" t="s">
        <v>57</v>
      </c>
      <c r="B1034" s="11" t="s">
        <v>56</v>
      </c>
      <c r="C1034" s="22">
        <f t="shared" si="70"/>
        <v>25001620</v>
      </c>
      <c r="D1034" s="11" t="str">
        <f t="shared" si="67"/>
        <v>SKIIFM_AT</v>
      </c>
      <c r="E1034" s="11" t="str">
        <f>IF(I1034&lt;&gt;"",VLOOKUP(F1034,OPDRACHTGEVER!$A$2:$B$4,2,FALSE),"")</f>
        <v>SKIIFM_AT</v>
      </c>
      <c r="F1034" s="11" t="s">
        <v>58</v>
      </c>
      <c r="I1034" s="11" t="str">
        <f>IF(DATA!B1033&lt;&gt;"",DATA!B1033,"")</f>
        <v>GLDU0704021</v>
      </c>
      <c r="J1034" s="12">
        <v>0</v>
      </c>
      <c r="K1034" s="11" t="s">
        <v>53</v>
      </c>
      <c r="L1034" s="11" t="str">
        <f t="shared" si="68"/>
        <v>392010</v>
      </c>
      <c r="M1034" s="11" t="str">
        <f>IF(I1034&lt;&gt;"",DATA!E1033,"")</f>
        <v>PE FILM</v>
      </c>
      <c r="N1034" s="12">
        <v>0</v>
      </c>
      <c r="O1034" s="11">
        <f>IF(I1034&lt;&gt;"",DATA!C1033,"")</f>
        <v>519.04999999999995</v>
      </c>
      <c r="P1034" s="2">
        <v>294094</v>
      </c>
      <c r="Q1034" s="2" t="s">
        <v>1304</v>
      </c>
      <c r="R1034" s="2" t="s">
        <v>1325</v>
      </c>
      <c r="S1034" s="2">
        <v>8</v>
      </c>
      <c r="T1034" s="2">
        <v>1</v>
      </c>
      <c r="U1034" s="2" t="s">
        <v>141</v>
      </c>
      <c r="Y1034" s="2">
        <v>1700</v>
      </c>
      <c r="Z1034" s="11" t="s">
        <v>54</v>
      </c>
      <c r="AA1034" s="11" t="str">
        <f t="shared" si="69"/>
        <v>1700 - TBN</v>
      </c>
      <c r="AC1034" s="2" t="s">
        <v>145</v>
      </c>
      <c r="AD1034" s="11" t="str">
        <f>IF($I1034&lt;&gt;"",VLOOKUP($AC1034,GEADRESSEERDE!$A$2:$E$4,2,),"")</f>
        <v>LUITHAGEN HAVEN 2 D</v>
      </c>
      <c r="AE1034" s="11">
        <f>IF($I1034&lt;&gt;"",VLOOKUP($AC1034,GEADRESSEERDE!$A$2:$E$4,3,),"")</f>
        <v>2030</v>
      </c>
      <c r="AF1034" s="11" t="str">
        <f>IF($I1034&lt;&gt;"",VLOOKUP($AC1034,GEADRESSEERDE!$A$2:$E$4,4,),"")</f>
        <v>ANTWERPEN</v>
      </c>
      <c r="AG1034" s="11" t="str">
        <f>IF($I1034&lt;&gt;"",VLOOKUP($AC1034,GEADRESSEERDE!$A$2:$E$4,5,),"")</f>
        <v>BE</v>
      </c>
      <c r="AH1034" s="11" t="str">
        <f>IF(I1034&lt;&gt;"",VLOOKUP(AP1034,KvB!$A$2:$B$3,2,FALSE),"")</f>
        <v>BE101000</v>
      </c>
      <c r="AI1034" s="11" t="s">
        <v>55</v>
      </c>
      <c r="AJ1034" s="11"/>
      <c r="AK1034" s="11"/>
      <c r="AL1034" s="11"/>
      <c r="AM1034" s="11"/>
      <c r="AN1034" s="11"/>
      <c r="AO1034" s="11"/>
      <c r="AP1034" s="2" t="s">
        <v>70</v>
      </c>
      <c r="AQ1034" s="11" t="str">
        <f>IF(I1034&lt;&gt;"",DATA!D1033,"")</f>
        <v>3920108990</v>
      </c>
    </row>
    <row r="1035" spans="1:43" ht="15.75" x14ac:dyDescent="0.25">
      <c r="A1035" s="11" t="s">
        <v>57</v>
      </c>
      <c r="B1035" s="11" t="s">
        <v>56</v>
      </c>
      <c r="C1035" s="22">
        <f t="shared" si="70"/>
        <v>25001620</v>
      </c>
      <c r="D1035" s="11" t="str">
        <f t="shared" si="67"/>
        <v>SKIIFM_AT</v>
      </c>
      <c r="E1035" s="11" t="str">
        <f>IF(I1035&lt;&gt;"",VLOOKUP(F1035,OPDRACHTGEVER!$A$2:$B$4,2,FALSE),"")</f>
        <v>SKIIFM_AT</v>
      </c>
      <c r="F1035" s="11" t="s">
        <v>58</v>
      </c>
      <c r="I1035" s="11" t="str">
        <f>IF(DATA!B1034&lt;&gt;"",DATA!B1034,"")</f>
        <v>GLDU0704021</v>
      </c>
      <c r="J1035" s="12">
        <v>0</v>
      </c>
      <c r="K1035" s="11" t="s">
        <v>53</v>
      </c>
      <c r="L1035" s="11" t="str">
        <f t="shared" si="68"/>
        <v>846719</v>
      </c>
      <c r="M1035" s="11" t="str">
        <f>IF(I1035&lt;&gt;"",DATA!E1034,"")</f>
        <v>PIPE THREADING MACHINE</v>
      </c>
      <c r="N1035" s="12">
        <v>0</v>
      </c>
      <c r="O1035" s="11">
        <f>IF(I1035&lt;&gt;"",DATA!C1034,"")</f>
        <v>30.7</v>
      </c>
      <c r="P1035" s="2">
        <v>294094</v>
      </c>
      <c r="Q1035" s="2" t="s">
        <v>1304</v>
      </c>
      <c r="R1035" s="2" t="s">
        <v>1325</v>
      </c>
      <c r="S1035" s="2">
        <v>8</v>
      </c>
      <c r="T1035" s="2">
        <v>1</v>
      </c>
      <c r="U1035" s="2" t="s">
        <v>141</v>
      </c>
      <c r="Y1035" s="2">
        <v>1700</v>
      </c>
      <c r="Z1035" s="11" t="s">
        <v>54</v>
      </c>
      <c r="AA1035" s="11" t="str">
        <f t="shared" si="69"/>
        <v>1700 - TBN</v>
      </c>
      <c r="AC1035" s="2" t="s">
        <v>145</v>
      </c>
      <c r="AD1035" s="11" t="str">
        <f>IF($I1035&lt;&gt;"",VLOOKUP($AC1035,GEADRESSEERDE!$A$2:$E$4,2,),"")</f>
        <v>LUITHAGEN HAVEN 2 D</v>
      </c>
      <c r="AE1035" s="11">
        <f>IF($I1035&lt;&gt;"",VLOOKUP($AC1035,GEADRESSEERDE!$A$2:$E$4,3,),"")</f>
        <v>2030</v>
      </c>
      <c r="AF1035" s="11" t="str">
        <f>IF($I1035&lt;&gt;"",VLOOKUP($AC1035,GEADRESSEERDE!$A$2:$E$4,4,),"")</f>
        <v>ANTWERPEN</v>
      </c>
      <c r="AG1035" s="11" t="str">
        <f>IF($I1035&lt;&gt;"",VLOOKUP($AC1035,GEADRESSEERDE!$A$2:$E$4,5,),"")</f>
        <v>BE</v>
      </c>
      <c r="AH1035" s="11" t="str">
        <f>IF(I1035&lt;&gt;"",VLOOKUP(AP1035,KvB!$A$2:$B$3,2,FALSE),"")</f>
        <v>BE101000</v>
      </c>
      <c r="AI1035" s="11" t="s">
        <v>55</v>
      </c>
      <c r="AJ1035" s="11"/>
      <c r="AK1035" s="11"/>
      <c r="AL1035" s="11"/>
      <c r="AM1035" s="11"/>
      <c r="AN1035" s="11"/>
      <c r="AO1035" s="11"/>
      <c r="AP1035" s="2" t="s">
        <v>70</v>
      </c>
      <c r="AQ1035" s="11" t="str">
        <f>IF(I1035&lt;&gt;"",DATA!D1034,"")</f>
        <v>8467190000</v>
      </c>
    </row>
    <row r="1036" spans="1:43" ht="15.75" x14ac:dyDescent="0.25">
      <c r="A1036" s="11" t="s">
        <v>57</v>
      </c>
      <c r="B1036" s="11" t="s">
        <v>56</v>
      </c>
      <c r="C1036" s="22">
        <f t="shared" si="70"/>
        <v>25001620</v>
      </c>
      <c r="D1036" s="11" t="str">
        <f t="shared" si="67"/>
        <v>SKIIFM_AT</v>
      </c>
      <c r="E1036" s="11" t="str">
        <f>IF(I1036&lt;&gt;"",VLOOKUP(F1036,OPDRACHTGEVER!$A$2:$B$4,2,FALSE),"")</f>
        <v>SKIIFM_AT</v>
      </c>
      <c r="F1036" s="11" t="s">
        <v>58</v>
      </c>
      <c r="I1036" s="11" t="str">
        <f>IF(DATA!B1035&lt;&gt;"",DATA!B1035,"")</f>
        <v>GLDU0704021</v>
      </c>
      <c r="J1036" s="12">
        <v>0</v>
      </c>
      <c r="K1036" s="11" t="s">
        <v>53</v>
      </c>
      <c r="L1036" s="11" t="str">
        <f t="shared" si="68"/>
        <v>540490</v>
      </c>
      <c r="M1036" s="11" t="str">
        <f>IF(I1036&lt;&gt;"",DATA!E1035,"")</f>
        <v>WEED MAT</v>
      </c>
      <c r="N1036" s="12">
        <v>0</v>
      </c>
      <c r="O1036" s="11">
        <f>IF(I1036&lt;&gt;"",DATA!C1035,"")</f>
        <v>1188.68</v>
      </c>
      <c r="P1036" s="2">
        <v>294094</v>
      </c>
      <c r="Q1036" s="2" t="s">
        <v>1304</v>
      </c>
      <c r="R1036" s="2" t="s">
        <v>1325</v>
      </c>
      <c r="S1036" s="2">
        <v>8</v>
      </c>
      <c r="T1036" s="2">
        <v>1</v>
      </c>
      <c r="U1036" s="2" t="s">
        <v>141</v>
      </c>
      <c r="Y1036" s="2">
        <v>1700</v>
      </c>
      <c r="Z1036" s="11" t="s">
        <v>54</v>
      </c>
      <c r="AA1036" s="11" t="str">
        <f t="shared" si="69"/>
        <v>1700 - TBN</v>
      </c>
      <c r="AC1036" s="2" t="s">
        <v>145</v>
      </c>
      <c r="AD1036" s="11" t="str">
        <f>IF($I1036&lt;&gt;"",VLOOKUP($AC1036,GEADRESSEERDE!$A$2:$E$4,2,),"")</f>
        <v>LUITHAGEN HAVEN 2 D</v>
      </c>
      <c r="AE1036" s="11">
        <f>IF($I1036&lt;&gt;"",VLOOKUP($AC1036,GEADRESSEERDE!$A$2:$E$4,3,),"")</f>
        <v>2030</v>
      </c>
      <c r="AF1036" s="11" t="str">
        <f>IF($I1036&lt;&gt;"",VLOOKUP($AC1036,GEADRESSEERDE!$A$2:$E$4,4,),"")</f>
        <v>ANTWERPEN</v>
      </c>
      <c r="AG1036" s="11" t="str">
        <f>IF($I1036&lt;&gt;"",VLOOKUP($AC1036,GEADRESSEERDE!$A$2:$E$4,5,),"")</f>
        <v>BE</v>
      </c>
      <c r="AH1036" s="11" t="str">
        <f>IF(I1036&lt;&gt;"",VLOOKUP(AP1036,KvB!$A$2:$B$3,2,FALSE),"")</f>
        <v>BE101000</v>
      </c>
      <c r="AI1036" s="11" t="s">
        <v>55</v>
      </c>
      <c r="AJ1036" s="11"/>
      <c r="AK1036" s="11"/>
      <c r="AL1036" s="11"/>
      <c r="AM1036" s="11"/>
      <c r="AN1036" s="11"/>
      <c r="AO1036" s="11"/>
      <c r="AP1036" s="2" t="s">
        <v>70</v>
      </c>
      <c r="AQ1036" s="11" t="str">
        <f>IF(I1036&lt;&gt;"",DATA!D1035,"")</f>
        <v>5404901000</v>
      </c>
    </row>
    <row r="1037" spans="1:43" ht="15.75" x14ac:dyDescent="0.25">
      <c r="A1037" s="11" t="s">
        <v>57</v>
      </c>
      <c r="B1037" s="11" t="s">
        <v>56</v>
      </c>
      <c r="C1037" s="22">
        <f t="shared" si="70"/>
        <v>25001620</v>
      </c>
      <c r="D1037" s="11" t="str">
        <f t="shared" si="67"/>
        <v>SKIIFM_AT</v>
      </c>
      <c r="E1037" s="11" t="str">
        <f>IF(I1037&lt;&gt;"",VLOOKUP(F1037,OPDRACHTGEVER!$A$2:$B$4,2,FALSE),"")</f>
        <v>SKIIFM_AT</v>
      </c>
      <c r="F1037" s="11" t="s">
        <v>58</v>
      </c>
      <c r="I1037" s="11" t="str">
        <f>IF(DATA!B1036&lt;&gt;"",DATA!B1036,"")</f>
        <v>GLDU0704021</v>
      </c>
      <c r="J1037" s="12">
        <v>0</v>
      </c>
      <c r="K1037" s="11" t="s">
        <v>53</v>
      </c>
      <c r="L1037" s="11" t="str">
        <f t="shared" si="68"/>
        <v>851580</v>
      </c>
      <c r="M1037" s="11" t="str">
        <f>IF(I1037&lt;&gt;"",DATA!E1036,"")</f>
        <v>PLASTIC WELDING MACHINE</v>
      </c>
      <c r="N1037" s="12">
        <v>0</v>
      </c>
      <c r="O1037" s="11">
        <f>IF(I1037&lt;&gt;"",DATA!C1036,"")</f>
        <v>15.2</v>
      </c>
      <c r="P1037" s="2">
        <v>294094</v>
      </c>
      <c r="Q1037" s="2" t="s">
        <v>1304</v>
      </c>
      <c r="R1037" s="2" t="s">
        <v>1325</v>
      </c>
      <c r="S1037" s="2">
        <v>8</v>
      </c>
      <c r="T1037" s="2">
        <v>1</v>
      </c>
      <c r="U1037" s="2" t="s">
        <v>141</v>
      </c>
      <c r="Y1037" s="2">
        <v>1700</v>
      </c>
      <c r="Z1037" s="11" t="s">
        <v>54</v>
      </c>
      <c r="AA1037" s="11" t="str">
        <f t="shared" si="69"/>
        <v>1700 - TBN</v>
      </c>
      <c r="AC1037" s="2" t="s">
        <v>145</v>
      </c>
      <c r="AD1037" s="11" t="str">
        <f>IF($I1037&lt;&gt;"",VLOOKUP($AC1037,GEADRESSEERDE!$A$2:$E$4,2,),"")</f>
        <v>LUITHAGEN HAVEN 2 D</v>
      </c>
      <c r="AE1037" s="11">
        <f>IF($I1037&lt;&gt;"",VLOOKUP($AC1037,GEADRESSEERDE!$A$2:$E$4,3,),"")</f>
        <v>2030</v>
      </c>
      <c r="AF1037" s="11" t="str">
        <f>IF($I1037&lt;&gt;"",VLOOKUP($AC1037,GEADRESSEERDE!$A$2:$E$4,4,),"")</f>
        <v>ANTWERPEN</v>
      </c>
      <c r="AG1037" s="11" t="str">
        <f>IF($I1037&lt;&gt;"",VLOOKUP($AC1037,GEADRESSEERDE!$A$2:$E$4,5,),"")</f>
        <v>BE</v>
      </c>
      <c r="AH1037" s="11" t="str">
        <f>IF(I1037&lt;&gt;"",VLOOKUP(AP1037,KvB!$A$2:$B$3,2,FALSE),"")</f>
        <v>BE101000</v>
      </c>
      <c r="AI1037" s="11" t="s">
        <v>55</v>
      </c>
      <c r="AJ1037" s="11"/>
      <c r="AK1037" s="11"/>
      <c r="AL1037" s="11"/>
      <c r="AM1037" s="11"/>
      <c r="AN1037" s="11"/>
      <c r="AO1037" s="11"/>
      <c r="AP1037" s="2" t="s">
        <v>70</v>
      </c>
      <c r="AQ1037" s="11" t="str">
        <f>IF(I1037&lt;&gt;"",DATA!D1036,"")</f>
        <v>8515809000</v>
      </c>
    </row>
    <row r="1038" spans="1:43" ht="15.75" x14ac:dyDescent="0.25">
      <c r="A1038" s="11" t="s">
        <v>57</v>
      </c>
      <c r="B1038" s="11" t="s">
        <v>56</v>
      </c>
      <c r="C1038" s="22">
        <f t="shared" si="70"/>
        <v>25001620</v>
      </c>
      <c r="D1038" s="11" t="str">
        <f t="shared" si="67"/>
        <v>SKIIFM_AT</v>
      </c>
      <c r="E1038" s="11" t="str">
        <f>IF(I1038&lt;&gt;"",VLOOKUP(F1038,OPDRACHTGEVER!$A$2:$B$4,2,FALSE),"")</f>
        <v>SKIIFM_AT</v>
      </c>
      <c r="F1038" s="11" t="s">
        <v>58</v>
      </c>
      <c r="I1038" s="11" t="str">
        <f>IF(DATA!B1037&lt;&gt;"",DATA!B1037,"")</f>
        <v>GLDU0704021</v>
      </c>
      <c r="J1038" s="12">
        <v>0</v>
      </c>
      <c r="K1038" s="11" t="s">
        <v>53</v>
      </c>
      <c r="L1038" s="11" t="str">
        <f t="shared" si="68"/>
        <v>871690</v>
      </c>
      <c r="M1038" s="11" t="str">
        <f>IF(I1038&lt;&gt;"",DATA!E1037,"")</f>
        <v>PU FOAMING WHEEL</v>
      </c>
      <c r="N1038" s="12">
        <v>0</v>
      </c>
      <c r="O1038" s="11">
        <f>IF(I1038&lt;&gt;"",DATA!C1037,"")</f>
        <v>67.5</v>
      </c>
      <c r="P1038" s="2">
        <v>294094</v>
      </c>
      <c r="Q1038" s="2" t="s">
        <v>1304</v>
      </c>
      <c r="R1038" s="2" t="s">
        <v>1325</v>
      </c>
      <c r="S1038" s="2">
        <v>8</v>
      </c>
      <c r="T1038" s="2">
        <v>1</v>
      </c>
      <c r="U1038" s="2" t="s">
        <v>141</v>
      </c>
      <c r="Y1038" s="2">
        <v>1700</v>
      </c>
      <c r="Z1038" s="11" t="s">
        <v>54</v>
      </c>
      <c r="AA1038" s="11" t="str">
        <f t="shared" si="69"/>
        <v>1700 - TBN</v>
      </c>
      <c r="AC1038" s="2" t="s">
        <v>145</v>
      </c>
      <c r="AD1038" s="11" t="str">
        <f>IF($I1038&lt;&gt;"",VLOOKUP($AC1038,GEADRESSEERDE!$A$2:$E$4,2,),"")</f>
        <v>LUITHAGEN HAVEN 2 D</v>
      </c>
      <c r="AE1038" s="11">
        <f>IF($I1038&lt;&gt;"",VLOOKUP($AC1038,GEADRESSEERDE!$A$2:$E$4,3,),"")</f>
        <v>2030</v>
      </c>
      <c r="AF1038" s="11" t="str">
        <f>IF($I1038&lt;&gt;"",VLOOKUP($AC1038,GEADRESSEERDE!$A$2:$E$4,4,),"")</f>
        <v>ANTWERPEN</v>
      </c>
      <c r="AG1038" s="11" t="str">
        <f>IF($I1038&lt;&gt;"",VLOOKUP($AC1038,GEADRESSEERDE!$A$2:$E$4,5,),"")</f>
        <v>BE</v>
      </c>
      <c r="AH1038" s="11" t="str">
        <f>IF(I1038&lt;&gt;"",VLOOKUP(AP1038,KvB!$A$2:$B$3,2,FALSE),"")</f>
        <v>BE101000</v>
      </c>
      <c r="AI1038" s="11" t="s">
        <v>55</v>
      </c>
      <c r="AJ1038" s="11"/>
      <c r="AK1038" s="11"/>
      <c r="AL1038" s="11"/>
      <c r="AM1038" s="11"/>
      <c r="AN1038" s="11"/>
      <c r="AO1038" s="11"/>
      <c r="AP1038" s="2" t="s">
        <v>70</v>
      </c>
      <c r="AQ1038" s="11" t="str">
        <f>IF(I1038&lt;&gt;"",DATA!D1037,"")</f>
        <v>8716909098</v>
      </c>
    </row>
    <row r="1039" spans="1:43" ht="15.75" x14ac:dyDescent="0.25">
      <c r="A1039" s="11" t="s">
        <v>57</v>
      </c>
      <c r="B1039" s="11" t="s">
        <v>56</v>
      </c>
      <c r="C1039" s="22">
        <f t="shared" si="70"/>
        <v>25001620</v>
      </c>
      <c r="D1039" s="11" t="str">
        <f t="shared" si="67"/>
        <v>SKIIFM_AT</v>
      </c>
      <c r="E1039" s="11" t="str">
        <f>IF(I1039&lt;&gt;"",VLOOKUP(F1039,OPDRACHTGEVER!$A$2:$B$4,2,FALSE),"")</f>
        <v>SKIIFM_AT</v>
      </c>
      <c r="F1039" s="11" t="s">
        <v>58</v>
      </c>
      <c r="I1039" s="11" t="str">
        <f>IF(DATA!B1038&lt;&gt;"",DATA!B1038,"")</f>
        <v>GLDU0704021</v>
      </c>
      <c r="J1039" s="12">
        <v>0</v>
      </c>
      <c r="K1039" s="11" t="s">
        <v>53</v>
      </c>
      <c r="L1039" s="11" t="str">
        <f t="shared" si="68"/>
        <v>848350</v>
      </c>
      <c r="M1039" s="11" t="str">
        <f>IF(I1039&lt;&gt;"",DATA!E1038,"")</f>
        <v>PULLEY</v>
      </c>
      <c r="N1039" s="12">
        <v>0</v>
      </c>
      <c r="O1039" s="11">
        <f>IF(I1039&lt;&gt;"",DATA!C1038,"")</f>
        <v>130.5</v>
      </c>
      <c r="P1039" s="2">
        <v>294094</v>
      </c>
      <c r="Q1039" s="2" t="s">
        <v>1304</v>
      </c>
      <c r="R1039" s="2" t="s">
        <v>1325</v>
      </c>
      <c r="S1039" s="2">
        <v>8</v>
      </c>
      <c r="T1039" s="2">
        <v>1</v>
      </c>
      <c r="U1039" s="2" t="s">
        <v>141</v>
      </c>
      <c r="Y1039" s="2">
        <v>1700</v>
      </c>
      <c r="Z1039" s="11" t="s">
        <v>54</v>
      </c>
      <c r="AA1039" s="11" t="str">
        <f t="shared" si="69"/>
        <v>1700 - TBN</v>
      </c>
      <c r="AC1039" s="2" t="s">
        <v>145</v>
      </c>
      <c r="AD1039" s="11" t="str">
        <f>IF($I1039&lt;&gt;"",VLOOKUP($AC1039,GEADRESSEERDE!$A$2:$E$4,2,),"")</f>
        <v>LUITHAGEN HAVEN 2 D</v>
      </c>
      <c r="AE1039" s="11">
        <f>IF($I1039&lt;&gt;"",VLOOKUP($AC1039,GEADRESSEERDE!$A$2:$E$4,3,),"")</f>
        <v>2030</v>
      </c>
      <c r="AF1039" s="11" t="str">
        <f>IF($I1039&lt;&gt;"",VLOOKUP($AC1039,GEADRESSEERDE!$A$2:$E$4,4,),"")</f>
        <v>ANTWERPEN</v>
      </c>
      <c r="AG1039" s="11" t="str">
        <f>IF($I1039&lt;&gt;"",VLOOKUP($AC1039,GEADRESSEERDE!$A$2:$E$4,5,),"")</f>
        <v>BE</v>
      </c>
      <c r="AH1039" s="11" t="str">
        <f>IF(I1039&lt;&gt;"",VLOOKUP(AP1039,KvB!$A$2:$B$3,2,FALSE),"")</f>
        <v>BE101000</v>
      </c>
      <c r="AI1039" s="11" t="s">
        <v>55</v>
      </c>
      <c r="AJ1039" s="11"/>
      <c r="AK1039" s="11"/>
      <c r="AL1039" s="11"/>
      <c r="AM1039" s="11"/>
      <c r="AN1039" s="11"/>
      <c r="AO1039" s="11"/>
      <c r="AP1039" s="2" t="s">
        <v>70</v>
      </c>
      <c r="AQ1039" s="11" t="str">
        <f>IF(I1039&lt;&gt;"",DATA!D1038,"")</f>
        <v>8483508090</v>
      </c>
    </row>
    <row r="1040" spans="1:43" ht="15.75" x14ac:dyDescent="0.25">
      <c r="A1040" s="11" t="s">
        <v>57</v>
      </c>
      <c r="B1040" s="11" t="s">
        <v>56</v>
      </c>
      <c r="C1040" s="22">
        <f t="shared" si="70"/>
        <v>25001620</v>
      </c>
      <c r="D1040" s="11" t="str">
        <f t="shared" si="67"/>
        <v>SKIIFM_AT</v>
      </c>
      <c r="E1040" s="11" t="str">
        <f>IF(I1040&lt;&gt;"",VLOOKUP(F1040,OPDRACHTGEVER!$A$2:$B$4,2,FALSE),"")</f>
        <v>SKIIFM_AT</v>
      </c>
      <c r="F1040" s="11" t="s">
        <v>58</v>
      </c>
      <c r="I1040" s="11" t="str">
        <f>IF(DATA!B1039&lt;&gt;"",DATA!B1039,"")</f>
        <v>GLDU0704021</v>
      </c>
      <c r="J1040" s="12">
        <v>0</v>
      </c>
      <c r="K1040" s="11" t="s">
        <v>53</v>
      </c>
      <c r="L1040" s="11" t="str">
        <f t="shared" si="68"/>
        <v>841319</v>
      </c>
      <c r="M1040" s="11" t="str">
        <f>IF(I1040&lt;&gt;"",DATA!E1039,"")</f>
        <v>PUMPING UNIT</v>
      </c>
      <c r="N1040" s="12">
        <v>0</v>
      </c>
      <c r="O1040" s="11">
        <f>IF(I1040&lt;&gt;"",DATA!C1039,"")</f>
        <v>10.8</v>
      </c>
      <c r="P1040" s="2">
        <v>294094</v>
      </c>
      <c r="Q1040" s="2" t="s">
        <v>1304</v>
      </c>
      <c r="R1040" s="2" t="s">
        <v>1325</v>
      </c>
      <c r="S1040" s="2">
        <v>8</v>
      </c>
      <c r="T1040" s="2">
        <v>1</v>
      </c>
      <c r="U1040" s="2" t="s">
        <v>141</v>
      </c>
      <c r="Y1040" s="2">
        <v>1700</v>
      </c>
      <c r="Z1040" s="11" t="s">
        <v>54</v>
      </c>
      <c r="AA1040" s="11" t="str">
        <f t="shared" si="69"/>
        <v>1700 - TBN</v>
      </c>
      <c r="AC1040" s="2" t="s">
        <v>145</v>
      </c>
      <c r="AD1040" s="11" t="str">
        <f>IF($I1040&lt;&gt;"",VLOOKUP($AC1040,GEADRESSEERDE!$A$2:$E$4,2,),"")</f>
        <v>LUITHAGEN HAVEN 2 D</v>
      </c>
      <c r="AE1040" s="11">
        <f>IF($I1040&lt;&gt;"",VLOOKUP($AC1040,GEADRESSEERDE!$A$2:$E$4,3,),"")</f>
        <v>2030</v>
      </c>
      <c r="AF1040" s="11" t="str">
        <f>IF($I1040&lt;&gt;"",VLOOKUP($AC1040,GEADRESSEERDE!$A$2:$E$4,4,),"")</f>
        <v>ANTWERPEN</v>
      </c>
      <c r="AG1040" s="11" t="str">
        <f>IF($I1040&lt;&gt;"",VLOOKUP($AC1040,GEADRESSEERDE!$A$2:$E$4,5,),"")</f>
        <v>BE</v>
      </c>
      <c r="AH1040" s="11" t="str">
        <f>IF(I1040&lt;&gt;"",VLOOKUP(AP1040,KvB!$A$2:$B$3,2,FALSE),"")</f>
        <v>BE101000</v>
      </c>
      <c r="AI1040" s="11" t="s">
        <v>55</v>
      </c>
      <c r="AJ1040" s="11"/>
      <c r="AK1040" s="11"/>
      <c r="AL1040" s="11"/>
      <c r="AM1040" s="11"/>
      <c r="AN1040" s="11"/>
      <c r="AO1040" s="11"/>
      <c r="AP1040" s="2" t="s">
        <v>70</v>
      </c>
      <c r="AQ1040" s="11" t="str">
        <f>IF(I1040&lt;&gt;"",DATA!D1039,"")</f>
        <v>8413190090</v>
      </c>
    </row>
    <row r="1041" spans="1:43" ht="15.75" x14ac:dyDescent="0.25">
      <c r="A1041" s="11" t="s">
        <v>57</v>
      </c>
      <c r="B1041" s="11" t="s">
        <v>56</v>
      </c>
      <c r="C1041" s="22">
        <f t="shared" si="70"/>
        <v>25001620</v>
      </c>
      <c r="D1041" s="11" t="str">
        <f t="shared" si="67"/>
        <v>SKIIFM_AT</v>
      </c>
      <c r="E1041" s="11" t="str">
        <f>IF(I1041&lt;&gt;"",VLOOKUP(F1041,OPDRACHTGEVER!$A$2:$B$4,2,FALSE),"")</f>
        <v>SKIIFM_AT</v>
      </c>
      <c r="F1041" s="11" t="s">
        <v>58</v>
      </c>
      <c r="I1041" s="11" t="str">
        <f>IF(DATA!B1040&lt;&gt;"",DATA!B1040,"")</f>
        <v>GLDU0704021</v>
      </c>
      <c r="J1041" s="12">
        <v>0</v>
      </c>
      <c r="K1041" s="11" t="s">
        <v>53</v>
      </c>
      <c r="L1041" s="11" t="str">
        <f t="shared" si="68"/>
        <v>761699</v>
      </c>
      <c r="M1041" s="11" t="str">
        <f>IF(I1041&lt;&gt;"",DATA!E1040,"")</f>
        <v>PUNCHING NET</v>
      </c>
      <c r="N1041" s="12">
        <v>0</v>
      </c>
      <c r="O1041" s="11">
        <f>IF(I1041&lt;&gt;"",DATA!C1040,"")</f>
        <v>44.44</v>
      </c>
      <c r="P1041" s="2">
        <v>294094</v>
      </c>
      <c r="Q1041" s="2" t="s">
        <v>1304</v>
      </c>
      <c r="R1041" s="2" t="s">
        <v>1325</v>
      </c>
      <c r="S1041" s="2">
        <v>8</v>
      </c>
      <c r="T1041" s="2">
        <v>1</v>
      </c>
      <c r="U1041" s="2" t="s">
        <v>141</v>
      </c>
      <c r="Y1041" s="2">
        <v>1700</v>
      </c>
      <c r="Z1041" s="11" t="s">
        <v>54</v>
      </c>
      <c r="AA1041" s="11" t="str">
        <f t="shared" si="69"/>
        <v>1700 - TBN</v>
      </c>
      <c r="AC1041" s="2" t="s">
        <v>145</v>
      </c>
      <c r="AD1041" s="11" t="str">
        <f>IF($I1041&lt;&gt;"",VLOOKUP($AC1041,GEADRESSEERDE!$A$2:$E$4,2,),"")</f>
        <v>LUITHAGEN HAVEN 2 D</v>
      </c>
      <c r="AE1041" s="11">
        <f>IF($I1041&lt;&gt;"",VLOOKUP($AC1041,GEADRESSEERDE!$A$2:$E$4,3,),"")</f>
        <v>2030</v>
      </c>
      <c r="AF1041" s="11" t="str">
        <f>IF($I1041&lt;&gt;"",VLOOKUP($AC1041,GEADRESSEERDE!$A$2:$E$4,4,),"")</f>
        <v>ANTWERPEN</v>
      </c>
      <c r="AG1041" s="11" t="str">
        <f>IF($I1041&lt;&gt;"",VLOOKUP($AC1041,GEADRESSEERDE!$A$2:$E$4,5,),"")</f>
        <v>BE</v>
      </c>
      <c r="AH1041" s="11" t="str">
        <f>IF(I1041&lt;&gt;"",VLOOKUP(AP1041,KvB!$A$2:$B$3,2,FALSE),"")</f>
        <v>BE101000</v>
      </c>
      <c r="AI1041" s="11" t="s">
        <v>55</v>
      </c>
      <c r="AJ1041" s="11"/>
      <c r="AK1041" s="11"/>
      <c r="AL1041" s="11"/>
      <c r="AM1041" s="11"/>
      <c r="AN1041" s="11"/>
      <c r="AO1041" s="11"/>
      <c r="AP1041" s="2" t="s">
        <v>70</v>
      </c>
      <c r="AQ1041" s="11" t="str">
        <f>IF(I1041&lt;&gt;"",DATA!D1040,"")</f>
        <v>7616991099</v>
      </c>
    </row>
    <row r="1042" spans="1:43" ht="15.75" x14ac:dyDescent="0.25">
      <c r="A1042" s="11" t="s">
        <v>57</v>
      </c>
      <c r="B1042" s="11" t="s">
        <v>56</v>
      </c>
      <c r="C1042" s="22">
        <f t="shared" si="70"/>
        <v>25001620</v>
      </c>
      <c r="D1042" s="11" t="str">
        <f t="shared" si="67"/>
        <v>SKIIFM_AT</v>
      </c>
      <c r="E1042" s="11" t="str">
        <f>IF(I1042&lt;&gt;"",VLOOKUP(F1042,OPDRACHTGEVER!$A$2:$B$4,2,FALSE),"")</f>
        <v>SKIIFM_AT</v>
      </c>
      <c r="F1042" s="11" t="s">
        <v>58</v>
      </c>
      <c r="I1042" s="11" t="str">
        <f>IF(DATA!B1041&lt;&gt;"",DATA!B1041,"")</f>
        <v>GLDU0704021</v>
      </c>
      <c r="J1042" s="12">
        <v>0</v>
      </c>
      <c r="K1042" s="11" t="s">
        <v>53</v>
      </c>
      <c r="L1042" s="11" t="str">
        <f t="shared" si="68"/>
        <v>401699</v>
      </c>
      <c r="M1042" s="11" t="str">
        <f>IF(I1042&lt;&gt;"",DATA!E1041,"")</f>
        <v>RAIN BUCKET</v>
      </c>
      <c r="N1042" s="12">
        <v>0</v>
      </c>
      <c r="O1042" s="11">
        <f>IF(I1042&lt;&gt;"",DATA!C1041,"")</f>
        <v>13.12</v>
      </c>
      <c r="P1042" s="2">
        <v>294094</v>
      </c>
      <c r="Q1042" s="2" t="s">
        <v>1304</v>
      </c>
      <c r="R1042" s="2" t="s">
        <v>1325</v>
      </c>
      <c r="S1042" s="2">
        <v>8</v>
      </c>
      <c r="T1042" s="2">
        <v>1</v>
      </c>
      <c r="U1042" s="2" t="s">
        <v>141</v>
      </c>
      <c r="Y1042" s="2">
        <v>1700</v>
      </c>
      <c r="Z1042" s="11" t="s">
        <v>54</v>
      </c>
      <c r="AA1042" s="11" t="str">
        <f t="shared" si="69"/>
        <v>1700 - TBN</v>
      </c>
      <c r="AC1042" s="2" t="s">
        <v>145</v>
      </c>
      <c r="AD1042" s="11" t="str">
        <f>IF($I1042&lt;&gt;"",VLOOKUP($AC1042,GEADRESSEERDE!$A$2:$E$4,2,),"")</f>
        <v>LUITHAGEN HAVEN 2 D</v>
      </c>
      <c r="AE1042" s="11">
        <f>IF($I1042&lt;&gt;"",VLOOKUP($AC1042,GEADRESSEERDE!$A$2:$E$4,3,),"")</f>
        <v>2030</v>
      </c>
      <c r="AF1042" s="11" t="str">
        <f>IF($I1042&lt;&gt;"",VLOOKUP($AC1042,GEADRESSEERDE!$A$2:$E$4,4,),"")</f>
        <v>ANTWERPEN</v>
      </c>
      <c r="AG1042" s="11" t="str">
        <f>IF($I1042&lt;&gt;"",VLOOKUP($AC1042,GEADRESSEERDE!$A$2:$E$4,5,),"")</f>
        <v>BE</v>
      </c>
      <c r="AH1042" s="11" t="str">
        <f>IF(I1042&lt;&gt;"",VLOOKUP(AP1042,KvB!$A$2:$B$3,2,FALSE),"")</f>
        <v>BE101000</v>
      </c>
      <c r="AI1042" s="11" t="s">
        <v>55</v>
      </c>
      <c r="AJ1042" s="11"/>
      <c r="AK1042" s="11"/>
      <c r="AL1042" s="11"/>
      <c r="AM1042" s="11"/>
      <c r="AN1042" s="11"/>
      <c r="AO1042" s="11"/>
      <c r="AP1042" s="2" t="s">
        <v>70</v>
      </c>
      <c r="AQ1042" s="11" t="str">
        <f>IF(I1042&lt;&gt;"",DATA!D1041,"")</f>
        <v>4016999790</v>
      </c>
    </row>
    <row r="1043" spans="1:43" ht="15.75" x14ac:dyDescent="0.25">
      <c r="A1043" s="11" t="s">
        <v>57</v>
      </c>
      <c r="B1043" s="11" t="s">
        <v>56</v>
      </c>
      <c r="C1043" s="22">
        <f t="shared" si="70"/>
        <v>25001620</v>
      </c>
      <c r="D1043" s="11" t="str">
        <f t="shared" si="67"/>
        <v>SKIIFM_AT</v>
      </c>
      <c r="E1043" s="11" t="str">
        <f>IF(I1043&lt;&gt;"",VLOOKUP(F1043,OPDRACHTGEVER!$A$2:$B$4,2,FALSE),"")</f>
        <v>SKIIFM_AT</v>
      </c>
      <c r="F1043" s="11" t="s">
        <v>58</v>
      </c>
      <c r="I1043" s="11" t="str">
        <f>IF(DATA!B1042&lt;&gt;"",DATA!B1042,"")</f>
        <v>GLDU0704021</v>
      </c>
      <c r="J1043" s="12">
        <v>0</v>
      </c>
      <c r="K1043" s="11" t="s">
        <v>53</v>
      </c>
      <c r="L1043" s="11" t="str">
        <f t="shared" si="68"/>
        <v>961000</v>
      </c>
      <c r="M1043" s="11" t="str">
        <f>IF(I1043&lt;&gt;"",DATA!E1042,"")</f>
        <v>RESTAURANT BLACKBOARD</v>
      </c>
      <c r="N1043" s="12">
        <v>0</v>
      </c>
      <c r="O1043" s="11">
        <f>IF(I1043&lt;&gt;"",DATA!C1042,"")</f>
        <v>71.5</v>
      </c>
      <c r="P1043" s="2">
        <v>294094</v>
      </c>
      <c r="Q1043" s="2" t="s">
        <v>1304</v>
      </c>
      <c r="R1043" s="2" t="s">
        <v>1325</v>
      </c>
      <c r="S1043" s="2">
        <v>8</v>
      </c>
      <c r="T1043" s="2">
        <v>1</v>
      </c>
      <c r="U1043" s="2" t="s">
        <v>141</v>
      </c>
      <c r="Y1043" s="2">
        <v>1700</v>
      </c>
      <c r="Z1043" s="11" t="s">
        <v>54</v>
      </c>
      <c r="AA1043" s="11" t="str">
        <f t="shared" si="69"/>
        <v>1700 - TBN</v>
      </c>
      <c r="AC1043" s="2" t="s">
        <v>145</v>
      </c>
      <c r="AD1043" s="11" t="str">
        <f>IF($I1043&lt;&gt;"",VLOOKUP($AC1043,GEADRESSEERDE!$A$2:$E$4,2,),"")</f>
        <v>LUITHAGEN HAVEN 2 D</v>
      </c>
      <c r="AE1043" s="11">
        <f>IF($I1043&lt;&gt;"",VLOOKUP($AC1043,GEADRESSEERDE!$A$2:$E$4,3,),"")</f>
        <v>2030</v>
      </c>
      <c r="AF1043" s="11" t="str">
        <f>IF($I1043&lt;&gt;"",VLOOKUP($AC1043,GEADRESSEERDE!$A$2:$E$4,4,),"")</f>
        <v>ANTWERPEN</v>
      </c>
      <c r="AG1043" s="11" t="str">
        <f>IF($I1043&lt;&gt;"",VLOOKUP($AC1043,GEADRESSEERDE!$A$2:$E$4,5,),"")</f>
        <v>BE</v>
      </c>
      <c r="AH1043" s="11" t="str">
        <f>IF(I1043&lt;&gt;"",VLOOKUP(AP1043,KvB!$A$2:$B$3,2,FALSE),"")</f>
        <v>BE101000</v>
      </c>
      <c r="AI1043" s="11" t="s">
        <v>55</v>
      </c>
      <c r="AJ1043" s="11"/>
      <c r="AK1043" s="11"/>
      <c r="AL1043" s="11"/>
      <c r="AM1043" s="11"/>
      <c r="AN1043" s="11"/>
      <c r="AO1043" s="11"/>
      <c r="AP1043" s="2" t="s">
        <v>70</v>
      </c>
      <c r="AQ1043" s="11" t="str">
        <f>IF(I1043&lt;&gt;"",DATA!D1042,"")</f>
        <v>9610000000</v>
      </c>
    </row>
    <row r="1044" spans="1:43" ht="15.75" x14ac:dyDescent="0.25">
      <c r="A1044" s="11" t="s">
        <v>57</v>
      </c>
      <c r="B1044" s="11" t="s">
        <v>56</v>
      </c>
      <c r="C1044" s="22">
        <f t="shared" si="70"/>
        <v>25001620</v>
      </c>
      <c r="D1044" s="11" t="str">
        <f t="shared" si="67"/>
        <v>SKIIFM_AT</v>
      </c>
      <c r="E1044" s="11" t="str">
        <f>IF(I1044&lt;&gt;"",VLOOKUP(F1044,OPDRACHTGEVER!$A$2:$B$4,2,FALSE),"")</f>
        <v>SKIIFM_AT</v>
      </c>
      <c r="F1044" s="11" t="s">
        <v>58</v>
      </c>
      <c r="I1044" s="11" t="str">
        <f>IF(DATA!B1043&lt;&gt;"",DATA!B1043,"")</f>
        <v>GLDU0704021</v>
      </c>
      <c r="J1044" s="12">
        <v>0</v>
      </c>
      <c r="K1044" s="11" t="s">
        <v>53</v>
      </c>
      <c r="L1044" s="11" t="str">
        <f t="shared" si="68"/>
        <v>870829</v>
      </c>
      <c r="M1044" s="11" t="str">
        <f>IF(I1044&lt;&gt;"",DATA!E1043,"")</f>
        <v>ROOF RACK WATER TANK</v>
      </c>
      <c r="N1044" s="12">
        <v>0</v>
      </c>
      <c r="O1044" s="11">
        <f>IF(I1044&lt;&gt;"",DATA!C1043,"")</f>
        <v>11.34</v>
      </c>
      <c r="P1044" s="2">
        <v>294094</v>
      </c>
      <c r="Q1044" s="2" t="s">
        <v>1304</v>
      </c>
      <c r="R1044" s="2" t="s">
        <v>1325</v>
      </c>
      <c r="S1044" s="2">
        <v>8</v>
      </c>
      <c r="T1044" s="2">
        <v>1</v>
      </c>
      <c r="U1044" s="2" t="s">
        <v>141</v>
      </c>
      <c r="Y1044" s="2">
        <v>1700</v>
      </c>
      <c r="Z1044" s="11" t="s">
        <v>54</v>
      </c>
      <c r="AA1044" s="11" t="str">
        <f t="shared" si="69"/>
        <v>1700 - TBN</v>
      </c>
      <c r="AC1044" s="2" t="s">
        <v>145</v>
      </c>
      <c r="AD1044" s="11" t="str">
        <f>IF($I1044&lt;&gt;"",VLOOKUP($AC1044,GEADRESSEERDE!$A$2:$E$4,2,),"")</f>
        <v>LUITHAGEN HAVEN 2 D</v>
      </c>
      <c r="AE1044" s="11">
        <f>IF($I1044&lt;&gt;"",VLOOKUP($AC1044,GEADRESSEERDE!$A$2:$E$4,3,),"")</f>
        <v>2030</v>
      </c>
      <c r="AF1044" s="11" t="str">
        <f>IF($I1044&lt;&gt;"",VLOOKUP($AC1044,GEADRESSEERDE!$A$2:$E$4,4,),"")</f>
        <v>ANTWERPEN</v>
      </c>
      <c r="AG1044" s="11" t="str">
        <f>IF($I1044&lt;&gt;"",VLOOKUP($AC1044,GEADRESSEERDE!$A$2:$E$4,5,),"")</f>
        <v>BE</v>
      </c>
      <c r="AH1044" s="11" t="str">
        <f>IF(I1044&lt;&gt;"",VLOOKUP(AP1044,KvB!$A$2:$B$3,2,FALSE),"")</f>
        <v>BE101000</v>
      </c>
      <c r="AI1044" s="11" t="s">
        <v>55</v>
      </c>
      <c r="AJ1044" s="11"/>
      <c r="AK1044" s="11"/>
      <c r="AL1044" s="11"/>
      <c r="AM1044" s="11"/>
      <c r="AN1044" s="11"/>
      <c r="AO1044" s="11"/>
      <c r="AP1044" s="2" t="s">
        <v>70</v>
      </c>
      <c r="AQ1044" s="11" t="str">
        <f>IF(I1044&lt;&gt;"",DATA!D1043,"")</f>
        <v>8708299000</v>
      </c>
    </row>
    <row r="1045" spans="1:43" ht="15.75" x14ac:dyDescent="0.25">
      <c r="A1045" s="11" t="s">
        <v>57</v>
      </c>
      <c r="B1045" s="11" t="s">
        <v>56</v>
      </c>
      <c r="C1045" s="22">
        <f t="shared" si="70"/>
        <v>25001620</v>
      </c>
      <c r="D1045" s="11" t="str">
        <f t="shared" si="67"/>
        <v>SKIIFM_AT</v>
      </c>
      <c r="E1045" s="11" t="str">
        <f>IF(I1045&lt;&gt;"",VLOOKUP(F1045,OPDRACHTGEVER!$A$2:$B$4,2,FALSE),"")</f>
        <v>SKIIFM_AT</v>
      </c>
      <c r="F1045" s="11" t="s">
        <v>58</v>
      </c>
      <c r="I1045" s="11" t="str">
        <f>IF(DATA!B1044&lt;&gt;"",DATA!B1044,"")</f>
        <v>GLDU0704021</v>
      </c>
      <c r="J1045" s="12">
        <v>0</v>
      </c>
      <c r="K1045" s="11" t="s">
        <v>53</v>
      </c>
      <c r="L1045" s="11" t="str">
        <f t="shared" si="68"/>
        <v>830300</v>
      </c>
      <c r="M1045" s="11" t="str">
        <f>IF(I1045&lt;&gt;"",DATA!E1044,"")</f>
        <v>SAFE</v>
      </c>
      <c r="N1045" s="12">
        <v>0</v>
      </c>
      <c r="O1045" s="11">
        <f>IF(I1045&lt;&gt;"",DATA!C1044,"")</f>
        <v>1062.8800000000001</v>
      </c>
      <c r="P1045" s="2">
        <v>294094</v>
      </c>
      <c r="Q1045" s="2" t="s">
        <v>1304</v>
      </c>
      <c r="R1045" s="2" t="s">
        <v>1325</v>
      </c>
      <c r="S1045" s="2">
        <v>8</v>
      </c>
      <c r="T1045" s="2">
        <v>1</v>
      </c>
      <c r="U1045" s="2" t="s">
        <v>141</v>
      </c>
      <c r="Y1045" s="2">
        <v>1700</v>
      </c>
      <c r="Z1045" s="11" t="s">
        <v>54</v>
      </c>
      <c r="AA1045" s="11" t="str">
        <f t="shared" si="69"/>
        <v>1700 - TBN</v>
      </c>
      <c r="AC1045" s="2" t="s">
        <v>145</v>
      </c>
      <c r="AD1045" s="11" t="str">
        <f>IF($I1045&lt;&gt;"",VLOOKUP($AC1045,GEADRESSEERDE!$A$2:$E$4,2,),"")</f>
        <v>LUITHAGEN HAVEN 2 D</v>
      </c>
      <c r="AE1045" s="11">
        <f>IF($I1045&lt;&gt;"",VLOOKUP($AC1045,GEADRESSEERDE!$A$2:$E$4,3,),"")</f>
        <v>2030</v>
      </c>
      <c r="AF1045" s="11" t="str">
        <f>IF($I1045&lt;&gt;"",VLOOKUP($AC1045,GEADRESSEERDE!$A$2:$E$4,4,),"")</f>
        <v>ANTWERPEN</v>
      </c>
      <c r="AG1045" s="11" t="str">
        <f>IF($I1045&lt;&gt;"",VLOOKUP($AC1045,GEADRESSEERDE!$A$2:$E$4,5,),"")</f>
        <v>BE</v>
      </c>
      <c r="AH1045" s="11" t="str">
        <f>IF(I1045&lt;&gt;"",VLOOKUP(AP1045,KvB!$A$2:$B$3,2,FALSE),"")</f>
        <v>BE101000</v>
      </c>
      <c r="AI1045" s="11" t="s">
        <v>55</v>
      </c>
      <c r="AJ1045" s="11"/>
      <c r="AK1045" s="11"/>
      <c r="AL1045" s="11"/>
      <c r="AM1045" s="11"/>
      <c r="AN1045" s="11"/>
      <c r="AO1045" s="11"/>
      <c r="AP1045" s="2" t="s">
        <v>70</v>
      </c>
      <c r="AQ1045" s="11" t="str">
        <f>IF(I1045&lt;&gt;"",DATA!D1044,"")</f>
        <v>8303009000</v>
      </c>
    </row>
    <row r="1046" spans="1:43" ht="15.75" x14ac:dyDescent="0.25">
      <c r="A1046" s="11" t="s">
        <v>57</v>
      </c>
      <c r="B1046" s="11" t="s">
        <v>56</v>
      </c>
      <c r="C1046" s="22">
        <f t="shared" si="70"/>
        <v>25001620</v>
      </c>
      <c r="D1046" s="11" t="str">
        <f t="shared" si="67"/>
        <v>SKIIFM_AT</v>
      </c>
      <c r="E1046" s="11" t="str">
        <f>IF(I1046&lt;&gt;"",VLOOKUP(F1046,OPDRACHTGEVER!$A$2:$B$4,2,FALSE),"")</f>
        <v>SKIIFM_AT</v>
      </c>
      <c r="F1046" s="11" t="s">
        <v>58</v>
      </c>
      <c r="I1046" s="11" t="str">
        <f>IF(DATA!B1045&lt;&gt;"",DATA!B1045,"")</f>
        <v>GLDU0704021</v>
      </c>
      <c r="J1046" s="12">
        <v>0</v>
      </c>
      <c r="K1046" s="11" t="s">
        <v>53</v>
      </c>
      <c r="L1046" s="11" t="str">
        <f t="shared" si="68"/>
        <v>846593</v>
      </c>
      <c r="M1046" s="11" t="str">
        <f>IF(I1046&lt;&gt;"",DATA!E1045,"")</f>
        <v>SANDER</v>
      </c>
      <c r="N1046" s="12">
        <v>0</v>
      </c>
      <c r="O1046" s="11">
        <f>IF(I1046&lt;&gt;"",DATA!C1045,"")</f>
        <v>16.8</v>
      </c>
      <c r="P1046" s="2">
        <v>294094</v>
      </c>
      <c r="Q1046" s="2" t="s">
        <v>1304</v>
      </c>
      <c r="R1046" s="2" t="s">
        <v>1325</v>
      </c>
      <c r="S1046" s="2">
        <v>8</v>
      </c>
      <c r="T1046" s="2">
        <v>1</v>
      </c>
      <c r="U1046" s="2" t="s">
        <v>141</v>
      </c>
      <c r="Y1046" s="2">
        <v>1700</v>
      </c>
      <c r="Z1046" s="11" t="s">
        <v>54</v>
      </c>
      <c r="AA1046" s="11" t="str">
        <f t="shared" si="69"/>
        <v>1700 - TBN</v>
      </c>
      <c r="AC1046" s="2" t="s">
        <v>145</v>
      </c>
      <c r="AD1046" s="11" t="str">
        <f>IF($I1046&lt;&gt;"",VLOOKUP($AC1046,GEADRESSEERDE!$A$2:$E$4,2,),"")</f>
        <v>LUITHAGEN HAVEN 2 D</v>
      </c>
      <c r="AE1046" s="11">
        <f>IF($I1046&lt;&gt;"",VLOOKUP($AC1046,GEADRESSEERDE!$A$2:$E$4,3,),"")</f>
        <v>2030</v>
      </c>
      <c r="AF1046" s="11" t="str">
        <f>IF($I1046&lt;&gt;"",VLOOKUP($AC1046,GEADRESSEERDE!$A$2:$E$4,4,),"")</f>
        <v>ANTWERPEN</v>
      </c>
      <c r="AG1046" s="11" t="str">
        <f>IF($I1046&lt;&gt;"",VLOOKUP($AC1046,GEADRESSEERDE!$A$2:$E$4,5,),"")</f>
        <v>BE</v>
      </c>
      <c r="AH1046" s="11" t="str">
        <f>IF(I1046&lt;&gt;"",VLOOKUP(AP1046,KvB!$A$2:$B$3,2,FALSE),"")</f>
        <v>BE101000</v>
      </c>
      <c r="AI1046" s="11" t="s">
        <v>55</v>
      </c>
      <c r="AJ1046" s="11"/>
      <c r="AK1046" s="11"/>
      <c r="AL1046" s="11"/>
      <c r="AM1046" s="11"/>
      <c r="AN1046" s="11"/>
      <c r="AO1046" s="11"/>
      <c r="AP1046" s="2" t="s">
        <v>70</v>
      </c>
      <c r="AQ1046" s="11" t="str">
        <f>IF(I1046&lt;&gt;"",DATA!D1045,"")</f>
        <v>8465930000</v>
      </c>
    </row>
    <row r="1047" spans="1:43" ht="15.75" x14ac:dyDescent="0.25">
      <c r="A1047" s="11" t="s">
        <v>57</v>
      </c>
      <c r="B1047" s="11" t="s">
        <v>56</v>
      </c>
      <c r="C1047" s="22">
        <f t="shared" si="70"/>
        <v>25001620</v>
      </c>
      <c r="D1047" s="11" t="str">
        <f t="shared" si="67"/>
        <v>SKIIFM_AT</v>
      </c>
      <c r="E1047" s="11" t="str">
        <f>IF(I1047&lt;&gt;"",VLOOKUP(F1047,OPDRACHTGEVER!$A$2:$B$4,2,FALSE),"")</f>
        <v>SKIIFM_AT</v>
      </c>
      <c r="F1047" s="11" t="s">
        <v>58</v>
      </c>
      <c r="I1047" s="11" t="str">
        <f>IF(DATA!B1046&lt;&gt;"",DATA!B1046,"")</f>
        <v>GLDU0704021</v>
      </c>
      <c r="J1047" s="12">
        <v>0</v>
      </c>
      <c r="K1047" s="11" t="s">
        <v>53</v>
      </c>
      <c r="L1047" s="11" t="str">
        <f t="shared" si="68"/>
        <v>843850</v>
      </c>
      <c r="M1047" s="11" t="str">
        <f>IF(I1047&lt;&gt;"",DATA!E1046,"")</f>
        <v>SAUSAGE STUFFER</v>
      </c>
      <c r="N1047" s="12">
        <v>0</v>
      </c>
      <c r="O1047" s="11">
        <f>IF(I1047&lt;&gt;"",DATA!C1046,"")</f>
        <v>380.78</v>
      </c>
      <c r="P1047" s="2">
        <v>294094</v>
      </c>
      <c r="Q1047" s="2" t="s">
        <v>1304</v>
      </c>
      <c r="R1047" s="2" t="s">
        <v>1325</v>
      </c>
      <c r="S1047" s="2">
        <v>8</v>
      </c>
      <c r="T1047" s="2">
        <v>1</v>
      </c>
      <c r="U1047" s="2" t="s">
        <v>141</v>
      </c>
      <c r="Y1047" s="2">
        <v>1700</v>
      </c>
      <c r="Z1047" s="11" t="s">
        <v>54</v>
      </c>
      <c r="AA1047" s="11" t="str">
        <f t="shared" si="69"/>
        <v>1700 - TBN</v>
      </c>
      <c r="AC1047" s="2" t="s">
        <v>145</v>
      </c>
      <c r="AD1047" s="11" t="str">
        <f>IF($I1047&lt;&gt;"",VLOOKUP($AC1047,GEADRESSEERDE!$A$2:$E$4,2,),"")</f>
        <v>LUITHAGEN HAVEN 2 D</v>
      </c>
      <c r="AE1047" s="11">
        <f>IF($I1047&lt;&gt;"",VLOOKUP($AC1047,GEADRESSEERDE!$A$2:$E$4,3,),"")</f>
        <v>2030</v>
      </c>
      <c r="AF1047" s="11" t="str">
        <f>IF($I1047&lt;&gt;"",VLOOKUP($AC1047,GEADRESSEERDE!$A$2:$E$4,4,),"")</f>
        <v>ANTWERPEN</v>
      </c>
      <c r="AG1047" s="11" t="str">
        <f>IF($I1047&lt;&gt;"",VLOOKUP($AC1047,GEADRESSEERDE!$A$2:$E$4,5,),"")</f>
        <v>BE</v>
      </c>
      <c r="AH1047" s="11" t="str">
        <f>IF(I1047&lt;&gt;"",VLOOKUP(AP1047,KvB!$A$2:$B$3,2,FALSE),"")</f>
        <v>BE101000</v>
      </c>
      <c r="AI1047" s="11" t="s">
        <v>55</v>
      </c>
      <c r="AJ1047" s="11"/>
      <c r="AK1047" s="11"/>
      <c r="AL1047" s="11"/>
      <c r="AM1047" s="11"/>
      <c r="AN1047" s="11"/>
      <c r="AO1047" s="11"/>
      <c r="AP1047" s="2" t="s">
        <v>70</v>
      </c>
      <c r="AQ1047" s="11" t="str">
        <f>IF(I1047&lt;&gt;"",DATA!D1046,"")</f>
        <v>8438500000</v>
      </c>
    </row>
    <row r="1048" spans="1:43" ht="15.75" x14ac:dyDescent="0.25">
      <c r="A1048" s="11" t="s">
        <v>57</v>
      </c>
      <c r="B1048" s="11" t="s">
        <v>56</v>
      </c>
      <c r="C1048" s="22">
        <f t="shared" si="70"/>
        <v>25001620</v>
      </c>
      <c r="D1048" s="11" t="str">
        <f t="shared" si="67"/>
        <v>SKIIFM_AT</v>
      </c>
      <c r="E1048" s="11" t="str">
        <f>IF(I1048&lt;&gt;"",VLOOKUP(F1048,OPDRACHTGEVER!$A$2:$B$4,2,FALSE),"")</f>
        <v>SKIIFM_AT</v>
      </c>
      <c r="F1048" s="11" t="s">
        <v>58</v>
      </c>
      <c r="I1048" s="11" t="str">
        <f>IF(DATA!B1047&lt;&gt;"",DATA!B1047,"")</f>
        <v>GLDU0704021</v>
      </c>
      <c r="J1048" s="12">
        <v>0</v>
      </c>
      <c r="K1048" s="11" t="s">
        <v>53</v>
      </c>
      <c r="L1048" s="11" t="str">
        <f t="shared" si="68"/>
        <v>820299</v>
      </c>
      <c r="M1048" s="11" t="str">
        <f>IF(I1048&lt;&gt;"",DATA!E1047,"")</f>
        <v>SAW BLADE</v>
      </c>
      <c r="N1048" s="12">
        <v>0</v>
      </c>
      <c r="O1048" s="11">
        <f>IF(I1048&lt;&gt;"",DATA!C1047,"")</f>
        <v>13.52</v>
      </c>
      <c r="P1048" s="2">
        <v>294094</v>
      </c>
      <c r="Q1048" s="2" t="s">
        <v>1304</v>
      </c>
      <c r="R1048" s="2" t="s">
        <v>1325</v>
      </c>
      <c r="S1048" s="2">
        <v>8</v>
      </c>
      <c r="T1048" s="2">
        <v>1</v>
      </c>
      <c r="U1048" s="2" t="s">
        <v>141</v>
      </c>
      <c r="Y1048" s="2">
        <v>1700</v>
      </c>
      <c r="Z1048" s="11" t="s">
        <v>54</v>
      </c>
      <c r="AA1048" s="11" t="str">
        <f t="shared" si="69"/>
        <v>1700 - TBN</v>
      </c>
      <c r="AC1048" s="2" t="s">
        <v>145</v>
      </c>
      <c r="AD1048" s="11" t="str">
        <f>IF($I1048&lt;&gt;"",VLOOKUP($AC1048,GEADRESSEERDE!$A$2:$E$4,2,),"")</f>
        <v>LUITHAGEN HAVEN 2 D</v>
      </c>
      <c r="AE1048" s="11">
        <f>IF($I1048&lt;&gt;"",VLOOKUP($AC1048,GEADRESSEERDE!$A$2:$E$4,3,),"")</f>
        <v>2030</v>
      </c>
      <c r="AF1048" s="11" t="str">
        <f>IF($I1048&lt;&gt;"",VLOOKUP($AC1048,GEADRESSEERDE!$A$2:$E$4,4,),"")</f>
        <v>ANTWERPEN</v>
      </c>
      <c r="AG1048" s="11" t="str">
        <f>IF($I1048&lt;&gt;"",VLOOKUP($AC1048,GEADRESSEERDE!$A$2:$E$4,5,),"")</f>
        <v>BE</v>
      </c>
      <c r="AH1048" s="11" t="str">
        <f>IF(I1048&lt;&gt;"",VLOOKUP(AP1048,KvB!$A$2:$B$3,2,FALSE),"")</f>
        <v>BE101000</v>
      </c>
      <c r="AI1048" s="11" t="s">
        <v>55</v>
      </c>
      <c r="AJ1048" s="11"/>
      <c r="AK1048" s="11"/>
      <c r="AL1048" s="11"/>
      <c r="AM1048" s="11"/>
      <c r="AN1048" s="11"/>
      <c r="AO1048" s="11"/>
      <c r="AP1048" s="2" t="s">
        <v>70</v>
      </c>
      <c r="AQ1048" s="11" t="str">
        <f>IF(I1048&lt;&gt;"",DATA!D1047,"")</f>
        <v>8202998000</v>
      </c>
    </row>
    <row r="1049" spans="1:43" ht="15.75" x14ac:dyDescent="0.25">
      <c r="A1049" s="11" t="s">
        <v>57</v>
      </c>
      <c r="B1049" s="11" t="s">
        <v>56</v>
      </c>
      <c r="C1049" s="22">
        <f t="shared" si="70"/>
        <v>25001620</v>
      </c>
      <c r="D1049" s="11" t="str">
        <f t="shared" si="67"/>
        <v>SKIIFM_AT</v>
      </c>
      <c r="E1049" s="11" t="str">
        <f>IF(I1049&lt;&gt;"",VLOOKUP(F1049,OPDRACHTGEVER!$A$2:$B$4,2,FALSE),"")</f>
        <v>SKIIFM_AT</v>
      </c>
      <c r="F1049" s="11" t="s">
        <v>58</v>
      </c>
      <c r="I1049" s="11" t="str">
        <f>IF(DATA!B1048&lt;&gt;"",DATA!B1048,"")</f>
        <v>GLDU0704021</v>
      </c>
      <c r="J1049" s="12">
        <v>0</v>
      </c>
      <c r="K1049" s="11" t="s">
        <v>53</v>
      </c>
      <c r="L1049" s="11" t="str">
        <f t="shared" si="68"/>
        <v>400821</v>
      </c>
      <c r="M1049" s="11" t="str">
        <f>IF(I1049&lt;&gt;"",DATA!E1048,"")</f>
        <v>SEALING STRIP</v>
      </c>
      <c r="N1049" s="12">
        <v>0</v>
      </c>
      <c r="O1049" s="11">
        <f>IF(I1049&lt;&gt;"",DATA!C1048,"")</f>
        <v>370.78</v>
      </c>
      <c r="P1049" s="2">
        <v>294094</v>
      </c>
      <c r="Q1049" s="2" t="s">
        <v>1304</v>
      </c>
      <c r="R1049" s="2" t="s">
        <v>1325</v>
      </c>
      <c r="S1049" s="2">
        <v>8</v>
      </c>
      <c r="T1049" s="2">
        <v>1</v>
      </c>
      <c r="U1049" s="2" t="s">
        <v>141</v>
      </c>
      <c r="Y1049" s="2">
        <v>1700</v>
      </c>
      <c r="Z1049" s="11" t="s">
        <v>54</v>
      </c>
      <c r="AA1049" s="11" t="str">
        <f t="shared" si="69"/>
        <v>1700 - TBN</v>
      </c>
      <c r="AC1049" s="2" t="s">
        <v>145</v>
      </c>
      <c r="AD1049" s="11" t="str">
        <f>IF($I1049&lt;&gt;"",VLOOKUP($AC1049,GEADRESSEERDE!$A$2:$E$4,2,),"")</f>
        <v>LUITHAGEN HAVEN 2 D</v>
      </c>
      <c r="AE1049" s="11">
        <f>IF($I1049&lt;&gt;"",VLOOKUP($AC1049,GEADRESSEERDE!$A$2:$E$4,3,),"")</f>
        <v>2030</v>
      </c>
      <c r="AF1049" s="11" t="str">
        <f>IF($I1049&lt;&gt;"",VLOOKUP($AC1049,GEADRESSEERDE!$A$2:$E$4,4,),"")</f>
        <v>ANTWERPEN</v>
      </c>
      <c r="AG1049" s="11" t="str">
        <f>IF($I1049&lt;&gt;"",VLOOKUP($AC1049,GEADRESSEERDE!$A$2:$E$4,5,),"")</f>
        <v>BE</v>
      </c>
      <c r="AH1049" s="11" t="str">
        <f>IF(I1049&lt;&gt;"",VLOOKUP(AP1049,KvB!$A$2:$B$3,2,FALSE),"")</f>
        <v>BE101000</v>
      </c>
      <c r="AI1049" s="11" t="s">
        <v>55</v>
      </c>
      <c r="AJ1049" s="11"/>
      <c r="AK1049" s="11"/>
      <c r="AL1049" s="11"/>
      <c r="AM1049" s="11"/>
      <c r="AN1049" s="11"/>
      <c r="AO1049" s="11"/>
      <c r="AP1049" s="2" t="s">
        <v>70</v>
      </c>
      <c r="AQ1049" s="11" t="str">
        <f>IF(I1049&lt;&gt;"",DATA!D1048,"")</f>
        <v>4008219000</v>
      </c>
    </row>
    <row r="1050" spans="1:43" ht="15.75" x14ac:dyDescent="0.25">
      <c r="A1050" s="11" t="s">
        <v>57</v>
      </c>
      <c r="B1050" s="11" t="s">
        <v>56</v>
      </c>
      <c r="C1050" s="22">
        <f t="shared" si="70"/>
        <v>25001620</v>
      </c>
      <c r="D1050" s="11" t="str">
        <f t="shared" si="67"/>
        <v>SKIIFM_AT</v>
      </c>
      <c r="E1050" s="11" t="str">
        <f>IF(I1050&lt;&gt;"",VLOOKUP(F1050,OPDRACHTGEVER!$A$2:$B$4,2,FALSE),"")</f>
        <v>SKIIFM_AT</v>
      </c>
      <c r="F1050" s="11" t="s">
        <v>58</v>
      </c>
      <c r="I1050" s="11" t="str">
        <f>IF(DATA!B1049&lt;&gt;"",DATA!B1049,"")</f>
        <v>GLDU0704021</v>
      </c>
      <c r="J1050" s="12">
        <v>0</v>
      </c>
      <c r="K1050" s="11" t="s">
        <v>53</v>
      </c>
      <c r="L1050" s="11" t="str">
        <f t="shared" si="68"/>
        <v>940171</v>
      </c>
      <c r="M1050" s="11" t="str">
        <f>IF(I1050&lt;&gt;"",DATA!E1049,"")</f>
        <v>SEAT</v>
      </c>
      <c r="N1050" s="12">
        <v>0</v>
      </c>
      <c r="O1050" s="11">
        <f>IF(I1050&lt;&gt;"",DATA!C1049,"")</f>
        <v>139.69999999999999</v>
      </c>
      <c r="P1050" s="2">
        <v>294094</v>
      </c>
      <c r="Q1050" s="2" t="s">
        <v>1304</v>
      </c>
      <c r="R1050" s="2" t="s">
        <v>1325</v>
      </c>
      <c r="S1050" s="2">
        <v>8</v>
      </c>
      <c r="T1050" s="2">
        <v>1</v>
      </c>
      <c r="U1050" s="2" t="s">
        <v>141</v>
      </c>
      <c r="Y1050" s="2">
        <v>1700</v>
      </c>
      <c r="Z1050" s="11" t="s">
        <v>54</v>
      </c>
      <c r="AA1050" s="11" t="str">
        <f t="shared" si="69"/>
        <v>1700 - TBN</v>
      </c>
      <c r="AC1050" s="2" t="s">
        <v>145</v>
      </c>
      <c r="AD1050" s="11" t="str">
        <f>IF($I1050&lt;&gt;"",VLOOKUP($AC1050,GEADRESSEERDE!$A$2:$E$4,2,),"")</f>
        <v>LUITHAGEN HAVEN 2 D</v>
      </c>
      <c r="AE1050" s="11">
        <f>IF($I1050&lt;&gt;"",VLOOKUP($AC1050,GEADRESSEERDE!$A$2:$E$4,3,),"")</f>
        <v>2030</v>
      </c>
      <c r="AF1050" s="11" t="str">
        <f>IF($I1050&lt;&gt;"",VLOOKUP($AC1050,GEADRESSEERDE!$A$2:$E$4,4,),"")</f>
        <v>ANTWERPEN</v>
      </c>
      <c r="AG1050" s="11" t="str">
        <f>IF($I1050&lt;&gt;"",VLOOKUP($AC1050,GEADRESSEERDE!$A$2:$E$4,5,),"")</f>
        <v>BE</v>
      </c>
      <c r="AH1050" s="11" t="str">
        <f>IF(I1050&lt;&gt;"",VLOOKUP(AP1050,KvB!$A$2:$B$3,2,FALSE),"")</f>
        <v>BE101000</v>
      </c>
      <c r="AI1050" s="11" t="s">
        <v>55</v>
      </c>
      <c r="AJ1050" s="11"/>
      <c r="AK1050" s="11"/>
      <c r="AL1050" s="11"/>
      <c r="AM1050" s="11"/>
      <c r="AN1050" s="11"/>
      <c r="AO1050" s="11"/>
      <c r="AP1050" s="2" t="s">
        <v>70</v>
      </c>
      <c r="AQ1050" s="11" t="str">
        <f>IF(I1050&lt;&gt;"",DATA!D1049,"")</f>
        <v>9401710000</v>
      </c>
    </row>
    <row r="1051" spans="1:43" ht="15.75" x14ac:dyDescent="0.25">
      <c r="A1051" s="11" t="s">
        <v>57</v>
      </c>
      <c r="B1051" s="11" t="s">
        <v>56</v>
      </c>
      <c r="C1051" s="22">
        <f t="shared" si="70"/>
        <v>25001620</v>
      </c>
      <c r="D1051" s="11" t="str">
        <f t="shared" si="67"/>
        <v>SKIIFM_AT</v>
      </c>
      <c r="E1051" s="11" t="str">
        <f>IF(I1051&lt;&gt;"",VLOOKUP(F1051,OPDRACHTGEVER!$A$2:$B$4,2,FALSE),"")</f>
        <v>SKIIFM_AT</v>
      </c>
      <c r="F1051" s="11" t="s">
        <v>58</v>
      </c>
      <c r="I1051" s="11" t="str">
        <f>IF(DATA!B1050&lt;&gt;"",DATA!B1050,"")</f>
        <v>GLDU0704021</v>
      </c>
      <c r="J1051" s="12">
        <v>0</v>
      </c>
      <c r="K1051" s="11" t="s">
        <v>53</v>
      </c>
      <c r="L1051" s="11" t="str">
        <f t="shared" si="68"/>
        <v>392530</v>
      </c>
      <c r="M1051" s="11" t="str">
        <f>IF(I1051&lt;&gt;"",DATA!E1050,"")</f>
        <v>SHEET SHAPED PVC DOOR CURTAIN</v>
      </c>
      <c r="N1051" s="12">
        <v>0</v>
      </c>
      <c r="O1051" s="11">
        <f>IF(I1051&lt;&gt;"",DATA!C1050,"")</f>
        <v>31.32</v>
      </c>
      <c r="P1051" s="2">
        <v>294094</v>
      </c>
      <c r="Q1051" s="2" t="s">
        <v>1304</v>
      </c>
      <c r="R1051" s="2" t="s">
        <v>1325</v>
      </c>
      <c r="S1051" s="2">
        <v>8</v>
      </c>
      <c r="T1051" s="2">
        <v>1</v>
      </c>
      <c r="U1051" s="2" t="s">
        <v>141</v>
      </c>
      <c r="Y1051" s="2">
        <v>1700</v>
      </c>
      <c r="Z1051" s="11" t="s">
        <v>54</v>
      </c>
      <c r="AA1051" s="11" t="str">
        <f t="shared" si="69"/>
        <v>1700 - TBN</v>
      </c>
      <c r="AC1051" s="2" t="s">
        <v>145</v>
      </c>
      <c r="AD1051" s="11" t="str">
        <f>IF($I1051&lt;&gt;"",VLOOKUP($AC1051,GEADRESSEERDE!$A$2:$E$4,2,),"")</f>
        <v>LUITHAGEN HAVEN 2 D</v>
      </c>
      <c r="AE1051" s="11">
        <f>IF($I1051&lt;&gt;"",VLOOKUP($AC1051,GEADRESSEERDE!$A$2:$E$4,3,),"")</f>
        <v>2030</v>
      </c>
      <c r="AF1051" s="11" t="str">
        <f>IF($I1051&lt;&gt;"",VLOOKUP($AC1051,GEADRESSEERDE!$A$2:$E$4,4,),"")</f>
        <v>ANTWERPEN</v>
      </c>
      <c r="AG1051" s="11" t="str">
        <f>IF($I1051&lt;&gt;"",VLOOKUP($AC1051,GEADRESSEERDE!$A$2:$E$4,5,),"")</f>
        <v>BE</v>
      </c>
      <c r="AH1051" s="11" t="str">
        <f>IF(I1051&lt;&gt;"",VLOOKUP(AP1051,KvB!$A$2:$B$3,2,FALSE),"")</f>
        <v>BE101000</v>
      </c>
      <c r="AI1051" s="11" t="s">
        <v>55</v>
      </c>
      <c r="AJ1051" s="11"/>
      <c r="AK1051" s="11"/>
      <c r="AL1051" s="11"/>
      <c r="AM1051" s="11"/>
      <c r="AN1051" s="11"/>
      <c r="AO1051" s="11"/>
      <c r="AP1051" s="2" t="s">
        <v>70</v>
      </c>
      <c r="AQ1051" s="11" t="str">
        <f>IF(I1051&lt;&gt;"",DATA!D1050,"")</f>
        <v>3925300000</v>
      </c>
    </row>
    <row r="1052" spans="1:43" ht="15.75" x14ac:dyDescent="0.25">
      <c r="A1052" s="11" t="s">
        <v>57</v>
      </c>
      <c r="B1052" s="11" t="s">
        <v>56</v>
      </c>
      <c r="C1052" s="22">
        <f t="shared" si="70"/>
        <v>25001620</v>
      </c>
      <c r="D1052" s="11" t="str">
        <f t="shared" si="67"/>
        <v>SKIIFM_AT</v>
      </c>
      <c r="E1052" s="11" t="str">
        <f>IF(I1052&lt;&gt;"",VLOOKUP(F1052,OPDRACHTGEVER!$A$2:$B$4,2,FALSE),"")</f>
        <v>SKIIFM_AT</v>
      </c>
      <c r="F1052" s="11" t="s">
        <v>58</v>
      </c>
      <c r="I1052" s="11" t="str">
        <f>IF(DATA!B1051&lt;&gt;"",DATA!B1051,"")</f>
        <v>GLDU0704021</v>
      </c>
      <c r="J1052" s="12">
        <v>0</v>
      </c>
      <c r="K1052" s="11" t="s">
        <v>53</v>
      </c>
      <c r="L1052" s="11" t="str">
        <f t="shared" si="68"/>
        <v>392640</v>
      </c>
      <c r="M1052" s="11" t="str">
        <f>IF(I1052&lt;&gt;"",DATA!E1051,"")</f>
        <v>SIMULATED PLANT</v>
      </c>
      <c r="N1052" s="12">
        <v>0</v>
      </c>
      <c r="O1052" s="11">
        <f>IF(I1052&lt;&gt;"",DATA!C1051,"")</f>
        <v>32.03</v>
      </c>
      <c r="P1052" s="2">
        <v>294094</v>
      </c>
      <c r="Q1052" s="2" t="s">
        <v>1304</v>
      </c>
      <c r="R1052" s="2" t="s">
        <v>1325</v>
      </c>
      <c r="S1052" s="2">
        <v>8</v>
      </c>
      <c r="T1052" s="2">
        <v>1</v>
      </c>
      <c r="U1052" s="2" t="s">
        <v>141</v>
      </c>
      <c r="Y1052" s="2">
        <v>1700</v>
      </c>
      <c r="Z1052" s="11" t="s">
        <v>54</v>
      </c>
      <c r="AA1052" s="11" t="str">
        <f t="shared" si="69"/>
        <v>1700 - TBN</v>
      </c>
      <c r="AC1052" s="2" t="s">
        <v>145</v>
      </c>
      <c r="AD1052" s="11" t="str">
        <f>IF($I1052&lt;&gt;"",VLOOKUP($AC1052,GEADRESSEERDE!$A$2:$E$4,2,),"")</f>
        <v>LUITHAGEN HAVEN 2 D</v>
      </c>
      <c r="AE1052" s="11">
        <f>IF($I1052&lt;&gt;"",VLOOKUP($AC1052,GEADRESSEERDE!$A$2:$E$4,3,),"")</f>
        <v>2030</v>
      </c>
      <c r="AF1052" s="11" t="str">
        <f>IF($I1052&lt;&gt;"",VLOOKUP($AC1052,GEADRESSEERDE!$A$2:$E$4,4,),"")</f>
        <v>ANTWERPEN</v>
      </c>
      <c r="AG1052" s="11" t="str">
        <f>IF($I1052&lt;&gt;"",VLOOKUP($AC1052,GEADRESSEERDE!$A$2:$E$4,5,),"")</f>
        <v>BE</v>
      </c>
      <c r="AH1052" s="11" t="str">
        <f>IF(I1052&lt;&gt;"",VLOOKUP(AP1052,KvB!$A$2:$B$3,2,FALSE),"")</f>
        <v>BE101000</v>
      </c>
      <c r="AI1052" s="11" t="s">
        <v>55</v>
      </c>
      <c r="AJ1052" s="11"/>
      <c r="AK1052" s="11"/>
      <c r="AL1052" s="11"/>
      <c r="AM1052" s="11"/>
      <c r="AN1052" s="11"/>
      <c r="AO1052" s="11"/>
      <c r="AP1052" s="2" t="s">
        <v>70</v>
      </c>
      <c r="AQ1052" s="11" t="str">
        <f>IF(I1052&lt;&gt;"",DATA!D1051,"")</f>
        <v>3926400000</v>
      </c>
    </row>
    <row r="1053" spans="1:43" ht="15.75" x14ac:dyDescent="0.25">
      <c r="A1053" s="11" t="s">
        <v>57</v>
      </c>
      <c r="B1053" s="11" t="s">
        <v>56</v>
      </c>
      <c r="C1053" s="22">
        <f t="shared" si="70"/>
        <v>25001620</v>
      </c>
      <c r="D1053" s="11" t="str">
        <f t="shared" si="67"/>
        <v>SKIIFM_AT</v>
      </c>
      <c r="E1053" s="11" t="str">
        <f>IF(I1053&lt;&gt;"",VLOOKUP(F1053,OPDRACHTGEVER!$A$2:$B$4,2,FALSE),"")</f>
        <v>SKIIFM_AT</v>
      </c>
      <c r="F1053" s="11" t="s">
        <v>58</v>
      </c>
      <c r="I1053" s="11" t="str">
        <f>IF(DATA!B1052&lt;&gt;"",DATA!B1052,"")</f>
        <v>GLDU0704021</v>
      </c>
      <c r="J1053" s="12">
        <v>0</v>
      </c>
      <c r="K1053" s="11" t="s">
        <v>53</v>
      </c>
      <c r="L1053" s="11" t="str">
        <f t="shared" si="68"/>
        <v>391739</v>
      </c>
      <c r="M1053" s="11" t="str">
        <f>IF(I1053&lt;&gt;"",DATA!E1052,"")</f>
        <v>SMOOTH HEATING WATER PIPE</v>
      </c>
      <c r="N1053" s="12">
        <v>0</v>
      </c>
      <c r="O1053" s="11">
        <f>IF(I1053&lt;&gt;"",DATA!C1052,"")</f>
        <v>17.66</v>
      </c>
      <c r="P1053" s="2">
        <v>294094</v>
      </c>
      <c r="Q1053" s="2" t="s">
        <v>1304</v>
      </c>
      <c r="R1053" s="2" t="s">
        <v>1325</v>
      </c>
      <c r="S1053" s="2">
        <v>8</v>
      </c>
      <c r="T1053" s="2">
        <v>1</v>
      </c>
      <c r="U1053" s="2" t="s">
        <v>141</v>
      </c>
      <c r="Y1053" s="2">
        <v>1700</v>
      </c>
      <c r="Z1053" s="11" t="s">
        <v>54</v>
      </c>
      <c r="AA1053" s="11" t="str">
        <f t="shared" si="69"/>
        <v>1700 - TBN</v>
      </c>
      <c r="AC1053" s="2" t="s">
        <v>145</v>
      </c>
      <c r="AD1053" s="11" t="str">
        <f>IF($I1053&lt;&gt;"",VLOOKUP($AC1053,GEADRESSEERDE!$A$2:$E$4,2,),"")</f>
        <v>LUITHAGEN HAVEN 2 D</v>
      </c>
      <c r="AE1053" s="11">
        <f>IF($I1053&lt;&gt;"",VLOOKUP($AC1053,GEADRESSEERDE!$A$2:$E$4,3,),"")</f>
        <v>2030</v>
      </c>
      <c r="AF1053" s="11" t="str">
        <f>IF($I1053&lt;&gt;"",VLOOKUP($AC1053,GEADRESSEERDE!$A$2:$E$4,4,),"")</f>
        <v>ANTWERPEN</v>
      </c>
      <c r="AG1053" s="11" t="str">
        <f>IF($I1053&lt;&gt;"",VLOOKUP($AC1053,GEADRESSEERDE!$A$2:$E$4,5,),"")</f>
        <v>BE</v>
      </c>
      <c r="AH1053" s="11" t="str">
        <f>IF(I1053&lt;&gt;"",VLOOKUP(AP1053,KvB!$A$2:$B$3,2,FALSE),"")</f>
        <v>BE101000</v>
      </c>
      <c r="AI1053" s="11" t="s">
        <v>55</v>
      </c>
      <c r="AJ1053" s="11"/>
      <c r="AK1053" s="11"/>
      <c r="AL1053" s="11"/>
      <c r="AM1053" s="11"/>
      <c r="AN1053" s="11"/>
      <c r="AO1053" s="11"/>
      <c r="AP1053" s="2" t="s">
        <v>70</v>
      </c>
      <c r="AQ1053" s="11" t="str">
        <f>IF(I1053&lt;&gt;"",DATA!D1052,"")</f>
        <v>3917390099</v>
      </c>
    </row>
    <row r="1054" spans="1:43" ht="15.75" x14ac:dyDescent="0.25">
      <c r="A1054" s="11" t="s">
        <v>57</v>
      </c>
      <c r="B1054" s="11" t="s">
        <v>56</v>
      </c>
      <c r="C1054" s="22">
        <f t="shared" si="70"/>
        <v>25001620</v>
      </c>
      <c r="D1054" s="11" t="str">
        <f t="shared" si="67"/>
        <v>SKIIFM_AT</v>
      </c>
      <c r="E1054" s="11" t="str">
        <f>IF(I1054&lt;&gt;"",VLOOKUP(F1054,OPDRACHTGEVER!$A$2:$B$4,2,FALSE),"")</f>
        <v>SKIIFM_AT</v>
      </c>
      <c r="F1054" s="11" t="s">
        <v>58</v>
      </c>
      <c r="I1054" s="11" t="str">
        <f>IF(DATA!B1053&lt;&gt;"",DATA!B1053,"")</f>
        <v>GLDU0704021</v>
      </c>
      <c r="J1054" s="12">
        <v>0</v>
      </c>
      <c r="K1054" s="11" t="s">
        <v>53</v>
      </c>
      <c r="L1054" s="11" t="str">
        <f t="shared" si="68"/>
        <v>940320</v>
      </c>
      <c r="M1054" s="11" t="str">
        <f>IF(I1054&lt;&gt;"",DATA!E1053,"")</f>
        <v>SS DOOR FOR OUTDOOR KITCHEN/BBQ ISLAND</v>
      </c>
      <c r="N1054" s="12">
        <v>0</v>
      </c>
      <c r="O1054" s="11">
        <f>IF(I1054&lt;&gt;"",DATA!C1053,"")</f>
        <v>252.77</v>
      </c>
      <c r="P1054" s="2">
        <v>294094</v>
      </c>
      <c r="Q1054" s="2" t="s">
        <v>1304</v>
      </c>
      <c r="R1054" s="2" t="s">
        <v>1325</v>
      </c>
      <c r="S1054" s="2">
        <v>8</v>
      </c>
      <c r="T1054" s="2">
        <v>1</v>
      </c>
      <c r="U1054" s="2" t="s">
        <v>141</v>
      </c>
      <c r="Y1054" s="2">
        <v>1700</v>
      </c>
      <c r="Z1054" s="11" t="s">
        <v>54</v>
      </c>
      <c r="AA1054" s="11" t="str">
        <f t="shared" si="69"/>
        <v>1700 - TBN</v>
      </c>
      <c r="AC1054" s="2" t="s">
        <v>145</v>
      </c>
      <c r="AD1054" s="11" t="str">
        <f>IF($I1054&lt;&gt;"",VLOOKUP($AC1054,GEADRESSEERDE!$A$2:$E$4,2,),"")</f>
        <v>LUITHAGEN HAVEN 2 D</v>
      </c>
      <c r="AE1054" s="11">
        <f>IF($I1054&lt;&gt;"",VLOOKUP($AC1054,GEADRESSEERDE!$A$2:$E$4,3,),"")</f>
        <v>2030</v>
      </c>
      <c r="AF1054" s="11" t="str">
        <f>IF($I1054&lt;&gt;"",VLOOKUP($AC1054,GEADRESSEERDE!$A$2:$E$4,4,),"")</f>
        <v>ANTWERPEN</v>
      </c>
      <c r="AG1054" s="11" t="str">
        <f>IF($I1054&lt;&gt;"",VLOOKUP($AC1054,GEADRESSEERDE!$A$2:$E$4,5,),"")</f>
        <v>BE</v>
      </c>
      <c r="AH1054" s="11" t="str">
        <f>IF(I1054&lt;&gt;"",VLOOKUP(AP1054,KvB!$A$2:$B$3,2,FALSE),"")</f>
        <v>BE101000</v>
      </c>
      <c r="AI1054" s="11" t="s">
        <v>55</v>
      </c>
      <c r="AJ1054" s="11"/>
      <c r="AK1054" s="11"/>
      <c r="AL1054" s="11"/>
      <c r="AM1054" s="11"/>
      <c r="AN1054" s="11"/>
      <c r="AO1054" s="11"/>
      <c r="AP1054" s="2" t="s">
        <v>70</v>
      </c>
      <c r="AQ1054" s="11" t="str">
        <f>IF(I1054&lt;&gt;"",DATA!D1053,"")</f>
        <v>9403208000</v>
      </c>
    </row>
    <row r="1055" spans="1:43" ht="15.75" x14ac:dyDescent="0.25">
      <c r="A1055" s="11" t="s">
        <v>57</v>
      </c>
      <c r="B1055" s="11" t="s">
        <v>56</v>
      </c>
      <c r="C1055" s="22">
        <f t="shared" si="70"/>
        <v>25001620</v>
      </c>
      <c r="D1055" s="11" t="str">
        <f t="shared" si="67"/>
        <v>SKIIFM_AT</v>
      </c>
      <c r="E1055" s="11" t="str">
        <f>IF(I1055&lt;&gt;"",VLOOKUP(F1055,OPDRACHTGEVER!$A$2:$B$4,2,FALSE),"")</f>
        <v>SKIIFM_AT</v>
      </c>
      <c r="F1055" s="11" t="s">
        <v>58</v>
      </c>
      <c r="I1055" s="11" t="str">
        <f>IF(DATA!B1054&lt;&gt;"",DATA!B1054,"")</f>
        <v>GLDU0704021</v>
      </c>
      <c r="J1055" s="12">
        <v>0</v>
      </c>
      <c r="K1055" s="11" t="s">
        <v>53</v>
      </c>
      <c r="L1055" s="11" t="str">
        <f t="shared" si="68"/>
        <v>853890</v>
      </c>
      <c r="M1055" s="11" t="str">
        <f>IF(I1055&lt;&gt;"",DATA!E1054,"")</f>
        <v>ELECTRICAL ENCLOSURES</v>
      </c>
      <c r="N1055" s="12">
        <v>0</v>
      </c>
      <c r="O1055" s="11">
        <f>IF(I1055&lt;&gt;"",DATA!C1054,"")</f>
        <v>27.08</v>
      </c>
      <c r="P1055" s="2">
        <v>294094</v>
      </c>
      <c r="Q1055" s="2" t="s">
        <v>1304</v>
      </c>
      <c r="R1055" s="2" t="s">
        <v>1325</v>
      </c>
      <c r="S1055" s="2">
        <v>8</v>
      </c>
      <c r="T1055" s="2">
        <v>1</v>
      </c>
      <c r="U1055" s="2" t="s">
        <v>141</v>
      </c>
      <c r="Y1055" s="2">
        <v>1700</v>
      </c>
      <c r="Z1055" s="11" t="s">
        <v>54</v>
      </c>
      <c r="AA1055" s="11" t="str">
        <f t="shared" si="69"/>
        <v>1700 - TBN</v>
      </c>
      <c r="AC1055" s="2" t="s">
        <v>145</v>
      </c>
      <c r="AD1055" s="11" t="str">
        <f>IF($I1055&lt;&gt;"",VLOOKUP($AC1055,GEADRESSEERDE!$A$2:$E$4,2,),"")</f>
        <v>LUITHAGEN HAVEN 2 D</v>
      </c>
      <c r="AE1055" s="11">
        <f>IF($I1055&lt;&gt;"",VLOOKUP($AC1055,GEADRESSEERDE!$A$2:$E$4,3,),"")</f>
        <v>2030</v>
      </c>
      <c r="AF1055" s="11" t="str">
        <f>IF($I1055&lt;&gt;"",VLOOKUP($AC1055,GEADRESSEERDE!$A$2:$E$4,4,),"")</f>
        <v>ANTWERPEN</v>
      </c>
      <c r="AG1055" s="11" t="str">
        <f>IF($I1055&lt;&gt;"",VLOOKUP($AC1055,GEADRESSEERDE!$A$2:$E$4,5,),"")</f>
        <v>BE</v>
      </c>
      <c r="AH1055" s="11" t="str">
        <f>IF(I1055&lt;&gt;"",VLOOKUP(AP1055,KvB!$A$2:$B$3,2,FALSE),"")</f>
        <v>BE101000</v>
      </c>
      <c r="AI1055" s="11" t="s">
        <v>55</v>
      </c>
      <c r="AJ1055" s="11"/>
      <c r="AK1055" s="11"/>
      <c r="AL1055" s="11"/>
      <c r="AM1055" s="11"/>
      <c r="AN1055" s="11"/>
      <c r="AO1055" s="11"/>
      <c r="AP1055" s="2" t="s">
        <v>70</v>
      </c>
      <c r="AQ1055" s="11" t="str">
        <f>IF(I1055&lt;&gt;"",DATA!D1054,"")</f>
        <v>8538909189</v>
      </c>
    </row>
    <row r="1056" spans="1:43" ht="15.75" x14ac:dyDescent="0.25">
      <c r="A1056" s="11" t="s">
        <v>57</v>
      </c>
      <c r="B1056" s="11" t="s">
        <v>56</v>
      </c>
      <c r="C1056" s="22">
        <f t="shared" si="70"/>
        <v>25001620</v>
      </c>
      <c r="D1056" s="11" t="str">
        <f t="shared" si="67"/>
        <v>SKIIFM_AT</v>
      </c>
      <c r="E1056" s="11" t="str">
        <f>IF(I1056&lt;&gt;"",VLOOKUP(F1056,OPDRACHTGEVER!$A$2:$B$4,2,FALSE),"")</f>
        <v>SKIIFM_AT</v>
      </c>
      <c r="F1056" s="11" t="s">
        <v>58</v>
      </c>
      <c r="I1056" s="11" t="str">
        <f>IF(DATA!B1055&lt;&gt;"",DATA!B1055,"")</f>
        <v>GLDU0704021</v>
      </c>
      <c r="J1056" s="12">
        <v>0</v>
      </c>
      <c r="K1056" s="11" t="s">
        <v>53</v>
      </c>
      <c r="L1056" s="11" t="str">
        <f t="shared" si="68"/>
        <v>741920</v>
      </c>
      <c r="M1056" s="11" t="str">
        <f>IF(I1056&lt;&gt;"",DATA!E1055,"")</f>
        <v>SINK</v>
      </c>
      <c r="N1056" s="12">
        <v>0</v>
      </c>
      <c r="O1056" s="11">
        <f>IF(I1056&lt;&gt;"",DATA!C1055,"")</f>
        <v>115.66</v>
      </c>
      <c r="P1056" s="2">
        <v>294094</v>
      </c>
      <c r="Q1056" s="2" t="s">
        <v>1304</v>
      </c>
      <c r="R1056" s="2" t="s">
        <v>1325</v>
      </c>
      <c r="S1056" s="2">
        <v>8</v>
      </c>
      <c r="T1056" s="2">
        <v>1</v>
      </c>
      <c r="U1056" s="2" t="s">
        <v>141</v>
      </c>
      <c r="Y1056" s="2">
        <v>1700</v>
      </c>
      <c r="Z1056" s="11" t="s">
        <v>54</v>
      </c>
      <c r="AA1056" s="11" t="str">
        <f t="shared" si="69"/>
        <v>1700 - TBN</v>
      </c>
      <c r="AC1056" s="2" t="s">
        <v>145</v>
      </c>
      <c r="AD1056" s="11" t="str">
        <f>IF($I1056&lt;&gt;"",VLOOKUP($AC1056,GEADRESSEERDE!$A$2:$E$4,2,),"")</f>
        <v>LUITHAGEN HAVEN 2 D</v>
      </c>
      <c r="AE1056" s="11">
        <f>IF($I1056&lt;&gt;"",VLOOKUP($AC1056,GEADRESSEERDE!$A$2:$E$4,3,),"")</f>
        <v>2030</v>
      </c>
      <c r="AF1056" s="11" t="str">
        <f>IF($I1056&lt;&gt;"",VLOOKUP($AC1056,GEADRESSEERDE!$A$2:$E$4,4,),"")</f>
        <v>ANTWERPEN</v>
      </c>
      <c r="AG1056" s="11" t="str">
        <f>IF($I1056&lt;&gt;"",VLOOKUP($AC1056,GEADRESSEERDE!$A$2:$E$4,5,),"")</f>
        <v>BE</v>
      </c>
      <c r="AH1056" s="11" t="str">
        <f>IF(I1056&lt;&gt;"",VLOOKUP(AP1056,KvB!$A$2:$B$3,2,FALSE),"")</f>
        <v>BE101000</v>
      </c>
      <c r="AI1056" s="11" t="s">
        <v>55</v>
      </c>
      <c r="AJ1056" s="11"/>
      <c r="AK1056" s="11"/>
      <c r="AL1056" s="11"/>
      <c r="AM1056" s="11"/>
      <c r="AN1056" s="11"/>
      <c r="AO1056" s="11"/>
      <c r="AP1056" s="2" t="s">
        <v>70</v>
      </c>
      <c r="AQ1056" s="11" t="str">
        <f>IF(I1056&lt;&gt;"",DATA!D1055,"")</f>
        <v>7419200090</v>
      </c>
    </row>
    <row r="1057" spans="1:43" ht="15.75" x14ac:dyDescent="0.25">
      <c r="A1057" s="11" t="s">
        <v>57</v>
      </c>
      <c r="B1057" s="11" t="s">
        <v>56</v>
      </c>
      <c r="C1057" s="22">
        <f t="shared" si="70"/>
        <v>25001620</v>
      </c>
      <c r="D1057" s="11" t="str">
        <f t="shared" si="67"/>
        <v>SKIIFM_AT</v>
      </c>
      <c r="E1057" s="11" t="str">
        <f>IF(I1057&lt;&gt;"",VLOOKUP(F1057,OPDRACHTGEVER!$A$2:$B$4,2,FALSE),"")</f>
        <v>SKIIFM_AT</v>
      </c>
      <c r="F1057" s="11" t="s">
        <v>58</v>
      </c>
      <c r="I1057" s="11" t="str">
        <f>IF(DATA!B1056&lt;&gt;"",DATA!B1056,"")</f>
        <v>GLDU0704021</v>
      </c>
      <c r="J1057" s="12">
        <v>0</v>
      </c>
      <c r="K1057" s="11" t="s">
        <v>53</v>
      </c>
      <c r="L1057" s="11" t="str">
        <f t="shared" si="68"/>
        <v>741920</v>
      </c>
      <c r="M1057" s="11" t="str">
        <f>IF(I1057&lt;&gt;"",DATA!E1056,"")</f>
        <v>WIRE ROPE</v>
      </c>
      <c r="N1057" s="12">
        <v>0</v>
      </c>
      <c r="O1057" s="11">
        <f>IF(I1057&lt;&gt;"",DATA!C1056,"")</f>
        <v>2.67</v>
      </c>
      <c r="P1057" s="2">
        <v>294094</v>
      </c>
      <c r="Q1057" s="2" t="s">
        <v>1304</v>
      </c>
      <c r="R1057" s="2" t="s">
        <v>1325</v>
      </c>
      <c r="S1057" s="2">
        <v>8</v>
      </c>
      <c r="T1057" s="2">
        <v>1</v>
      </c>
      <c r="U1057" s="2" t="s">
        <v>141</v>
      </c>
      <c r="Y1057" s="2">
        <v>1700</v>
      </c>
      <c r="Z1057" s="11" t="s">
        <v>54</v>
      </c>
      <c r="AA1057" s="11" t="str">
        <f t="shared" si="69"/>
        <v>1700 - TBN</v>
      </c>
      <c r="AC1057" s="2" t="s">
        <v>145</v>
      </c>
      <c r="AD1057" s="11" t="str">
        <f>IF($I1057&lt;&gt;"",VLOOKUP($AC1057,GEADRESSEERDE!$A$2:$E$4,2,),"")</f>
        <v>LUITHAGEN HAVEN 2 D</v>
      </c>
      <c r="AE1057" s="11">
        <f>IF($I1057&lt;&gt;"",VLOOKUP($AC1057,GEADRESSEERDE!$A$2:$E$4,3,),"")</f>
        <v>2030</v>
      </c>
      <c r="AF1057" s="11" t="str">
        <f>IF($I1057&lt;&gt;"",VLOOKUP($AC1057,GEADRESSEERDE!$A$2:$E$4,4,),"")</f>
        <v>ANTWERPEN</v>
      </c>
      <c r="AG1057" s="11" t="str">
        <f>IF($I1057&lt;&gt;"",VLOOKUP($AC1057,GEADRESSEERDE!$A$2:$E$4,5,),"")</f>
        <v>BE</v>
      </c>
      <c r="AH1057" s="11" t="str">
        <f>IF(I1057&lt;&gt;"",VLOOKUP(AP1057,KvB!$A$2:$B$3,2,FALSE),"")</f>
        <v>BE101000</v>
      </c>
      <c r="AI1057" s="11" t="s">
        <v>55</v>
      </c>
      <c r="AJ1057" s="11"/>
      <c r="AK1057" s="11"/>
      <c r="AL1057" s="11"/>
      <c r="AM1057" s="11"/>
      <c r="AN1057" s="11"/>
      <c r="AO1057" s="11"/>
      <c r="AP1057" s="2" t="s">
        <v>70</v>
      </c>
      <c r="AQ1057" s="11" t="str">
        <f>IF(I1057&lt;&gt;"",DATA!D1056,"")</f>
        <v>7419200090</v>
      </c>
    </row>
    <row r="1058" spans="1:43" ht="15.75" x14ac:dyDescent="0.25">
      <c r="A1058" s="11" t="s">
        <v>57</v>
      </c>
      <c r="B1058" s="11" t="s">
        <v>56</v>
      </c>
      <c r="C1058" s="22">
        <f t="shared" si="70"/>
        <v>25001620</v>
      </c>
      <c r="D1058" s="11" t="str">
        <f t="shared" si="67"/>
        <v>SKIIFM_AT</v>
      </c>
      <c r="E1058" s="11" t="str">
        <f>IF(I1058&lt;&gt;"",VLOOKUP(F1058,OPDRACHTGEVER!$A$2:$B$4,2,FALSE),"")</f>
        <v>SKIIFM_AT</v>
      </c>
      <c r="F1058" s="11" t="s">
        <v>58</v>
      </c>
      <c r="I1058" s="11" t="str">
        <f>IF(DATA!B1057&lt;&gt;"",DATA!B1057,"")</f>
        <v>GLDU0704021</v>
      </c>
      <c r="J1058" s="12">
        <v>0</v>
      </c>
      <c r="K1058" s="11" t="s">
        <v>53</v>
      </c>
      <c r="L1058" s="11" t="str">
        <f t="shared" si="68"/>
        <v>940320</v>
      </c>
      <c r="M1058" s="11" t="str">
        <f>IF(I1058&lt;&gt;"",DATA!E1057,"")</f>
        <v>STEEL KITCHEN TABLE</v>
      </c>
      <c r="N1058" s="12">
        <v>0</v>
      </c>
      <c r="O1058" s="11">
        <f>IF(I1058&lt;&gt;"",DATA!C1057,"")</f>
        <v>533.73</v>
      </c>
      <c r="P1058" s="2">
        <v>294094</v>
      </c>
      <c r="Q1058" s="2" t="s">
        <v>1304</v>
      </c>
      <c r="R1058" s="2" t="s">
        <v>1325</v>
      </c>
      <c r="S1058" s="2">
        <v>8</v>
      </c>
      <c r="T1058" s="2">
        <v>1</v>
      </c>
      <c r="U1058" s="2" t="s">
        <v>141</v>
      </c>
      <c r="Y1058" s="2">
        <v>1700</v>
      </c>
      <c r="Z1058" s="11" t="s">
        <v>54</v>
      </c>
      <c r="AA1058" s="11" t="str">
        <f t="shared" si="69"/>
        <v>1700 - TBN</v>
      </c>
      <c r="AC1058" s="2" t="s">
        <v>145</v>
      </c>
      <c r="AD1058" s="11" t="str">
        <f>IF($I1058&lt;&gt;"",VLOOKUP($AC1058,GEADRESSEERDE!$A$2:$E$4,2,),"")</f>
        <v>LUITHAGEN HAVEN 2 D</v>
      </c>
      <c r="AE1058" s="11">
        <f>IF($I1058&lt;&gt;"",VLOOKUP($AC1058,GEADRESSEERDE!$A$2:$E$4,3,),"")</f>
        <v>2030</v>
      </c>
      <c r="AF1058" s="11" t="str">
        <f>IF($I1058&lt;&gt;"",VLOOKUP($AC1058,GEADRESSEERDE!$A$2:$E$4,4,),"")</f>
        <v>ANTWERPEN</v>
      </c>
      <c r="AG1058" s="11" t="str">
        <f>IF($I1058&lt;&gt;"",VLOOKUP($AC1058,GEADRESSEERDE!$A$2:$E$4,5,),"")</f>
        <v>BE</v>
      </c>
      <c r="AH1058" s="11" t="str">
        <f>IF(I1058&lt;&gt;"",VLOOKUP(AP1058,KvB!$A$2:$B$3,2,FALSE),"")</f>
        <v>BE101000</v>
      </c>
      <c r="AI1058" s="11" t="s">
        <v>55</v>
      </c>
      <c r="AJ1058" s="11"/>
      <c r="AK1058" s="11"/>
      <c r="AL1058" s="11"/>
      <c r="AM1058" s="11"/>
      <c r="AN1058" s="11"/>
      <c r="AO1058" s="11"/>
      <c r="AP1058" s="2" t="s">
        <v>70</v>
      </c>
      <c r="AQ1058" s="11" t="str">
        <f>IF(I1058&lt;&gt;"",DATA!D1057,"")</f>
        <v>9403208000</v>
      </c>
    </row>
    <row r="1059" spans="1:43" ht="15.75" x14ac:dyDescent="0.25">
      <c r="A1059" s="11" t="s">
        <v>57</v>
      </c>
      <c r="B1059" s="11" t="s">
        <v>56</v>
      </c>
      <c r="C1059" s="22">
        <f t="shared" si="70"/>
        <v>25001620</v>
      </c>
      <c r="D1059" s="11" t="str">
        <f t="shared" si="67"/>
        <v>SKIIFM_AT</v>
      </c>
      <c r="E1059" s="11" t="str">
        <f>IF(I1059&lt;&gt;"",VLOOKUP(F1059,OPDRACHTGEVER!$A$2:$B$4,2,FALSE),"")</f>
        <v>SKIIFM_AT</v>
      </c>
      <c r="F1059" s="11" t="s">
        <v>58</v>
      </c>
      <c r="I1059" s="11" t="str">
        <f>IF(DATA!B1058&lt;&gt;"",DATA!B1058,"")</f>
        <v>GLDU0704021</v>
      </c>
      <c r="J1059" s="12">
        <v>0</v>
      </c>
      <c r="K1059" s="11" t="s">
        <v>53</v>
      </c>
      <c r="L1059" s="11" t="str">
        <f t="shared" si="68"/>
        <v>920600</v>
      </c>
      <c r="M1059" s="11" t="str">
        <f>IF(I1059&lt;&gt;"",DATA!E1058,"")</f>
        <v>THREE PIECE DRUM SET</v>
      </c>
      <c r="N1059" s="12">
        <v>0</v>
      </c>
      <c r="O1059" s="11">
        <f>IF(I1059&lt;&gt;"",DATA!C1058,"")</f>
        <v>67.760000000000005</v>
      </c>
      <c r="P1059" s="2">
        <v>294094</v>
      </c>
      <c r="Q1059" s="2" t="s">
        <v>1304</v>
      </c>
      <c r="R1059" s="2" t="s">
        <v>1325</v>
      </c>
      <c r="S1059" s="2">
        <v>8</v>
      </c>
      <c r="T1059" s="2">
        <v>1</v>
      </c>
      <c r="U1059" s="2" t="s">
        <v>141</v>
      </c>
      <c r="Y1059" s="2">
        <v>1700</v>
      </c>
      <c r="Z1059" s="11" t="s">
        <v>54</v>
      </c>
      <c r="AA1059" s="11" t="str">
        <f t="shared" si="69"/>
        <v>1700 - TBN</v>
      </c>
      <c r="AC1059" s="2" t="s">
        <v>145</v>
      </c>
      <c r="AD1059" s="11" t="str">
        <f>IF($I1059&lt;&gt;"",VLOOKUP($AC1059,GEADRESSEERDE!$A$2:$E$4,2,),"")</f>
        <v>LUITHAGEN HAVEN 2 D</v>
      </c>
      <c r="AE1059" s="11">
        <f>IF($I1059&lt;&gt;"",VLOOKUP($AC1059,GEADRESSEERDE!$A$2:$E$4,3,),"")</f>
        <v>2030</v>
      </c>
      <c r="AF1059" s="11" t="str">
        <f>IF($I1059&lt;&gt;"",VLOOKUP($AC1059,GEADRESSEERDE!$A$2:$E$4,4,),"")</f>
        <v>ANTWERPEN</v>
      </c>
      <c r="AG1059" s="11" t="str">
        <f>IF($I1059&lt;&gt;"",VLOOKUP($AC1059,GEADRESSEERDE!$A$2:$E$4,5,),"")</f>
        <v>BE</v>
      </c>
      <c r="AH1059" s="11" t="str">
        <f>IF(I1059&lt;&gt;"",VLOOKUP(AP1059,KvB!$A$2:$B$3,2,FALSE),"")</f>
        <v>BE101000</v>
      </c>
      <c r="AI1059" s="11" t="s">
        <v>55</v>
      </c>
      <c r="AJ1059" s="11"/>
      <c r="AK1059" s="11"/>
      <c r="AL1059" s="11"/>
      <c r="AM1059" s="11"/>
      <c r="AN1059" s="11"/>
      <c r="AO1059" s="11"/>
      <c r="AP1059" s="2" t="s">
        <v>70</v>
      </c>
      <c r="AQ1059" s="11" t="str">
        <f>IF(I1059&lt;&gt;"",DATA!D1058,"")</f>
        <v>9206000000</v>
      </c>
    </row>
    <row r="1060" spans="1:43" ht="15.75" x14ac:dyDescent="0.25">
      <c r="A1060" s="11" t="s">
        <v>57</v>
      </c>
      <c r="B1060" s="11" t="s">
        <v>56</v>
      </c>
      <c r="C1060" s="22">
        <f t="shared" si="70"/>
        <v>25001620</v>
      </c>
      <c r="D1060" s="11" t="str">
        <f t="shared" si="67"/>
        <v>SKIIFM_AT</v>
      </c>
      <c r="E1060" s="11" t="str">
        <f>IF(I1060&lt;&gt;"",VLOOKUP(F1060,OPDRACHTGEVER!$A$2:$B$4,2,FALSE),"")</f>
        <v>SKIIFM_AT</v>
      </c>
      <c r="F1060" s="11" t="s">
        <v>58</v>
      </c>
      <c r="I1060" s="11" t="str">
        <f>IF(DATA!B1059&lt;&gt;"",DATA!B1059,"")</f>
        <v>GLDU0704021</v>
      </c>
      <c r="J1060" s="12">
        <v>0</v>
      </c>
      <c r="K1060" s="11" t="s">
        <v>53</v>
      </c>
      <c r="L1060" s="11" t="str">
        <f t="shared" si="68"/>
        <v>830120</v>
      </c>
      <c r="M1060" s="11" t="str">
        <f>IF(I1060&lt;&gt;"",DATA!E1059,"")</f>
        <v>TIRE LOCK</v>
      </c>
      <c r="N1060" s="12">
        <v>0</v>
      </c>
      <c r="O1060" s="11">
        <f>IF(I1060&lt;&gt;"",DATA!C1059,"")</f>
        <v>62.85</v>
      </c>
      <c r="P1060" s="2">
        <v>294094</v>
      </c>
      <c r="Q1060" s="2" t="s">
        <v>1304</v>
      </c>
      <c r="R1060" s="2" t="s">
        <v>1325</v>
      </c>
      <c r="S1060" s="2">
        <v>8</v>
      </c>
      <c r="T1060" s="2">
        <v>1</v>
      </c>
      <c r="U1060" s="2" t="s">
        <v>141</v>
      </c>
      <c r="Y1060" s="2">
        <v>1700</v>
      </c>
      <c r="Z1060" s="11" t="s">
        <v>54</v>
      </c>
      <c r="AA1060" s="11" t="str">
        <f t="shared" si="69"/>
        <v>1700 - TBN</v>
      </c>
      <c r="AC1060" s="2" t="s">
        <v>145</v>
      </c>
      <c r="AD1060" s="11" t="str">
        <f>IF($I1060&lt;&gt;"",VLOOKUP($AC1060,GEADRESSEERDE!$A$2:$E$4,2,),"")</f>
        <v>LUITHAGEN HAVEN 2 D</v>
      </c>
      <c r="AE1060" s="11">
        <f>IF($I1060&lt;&gt;"",VLOOKUP($AC1060,GEADRESSEERDE!$A$2:$E$4,3,),"")</f>
        <v>2030</v>
      </c>
      <c r="AF1060" s="11" t="str">
        <f>IF($I1060&lt;&gt;"",VLOOKUP($AC1060,GEADRESSEERDE!$A$2:$E$4,4,),"")</f>
        <v>ANTWERPEN</v>
      </c>
      <c r="AG1060" s="11" t="str">
        <f>IF($I1060&lt;&gt;"",VLOOKUP($AC1060,GEADRESSEERDE!$A$2:$E$4,5,),"")</f>
        <v>BE</v>
      </c>
      <c r="AH1060" s="11" t="str">
        <f>IF(I1060&lt;&gt;"",VLOOKUP(AP1060,KvB!$A$2:$B$3,2,FALSE),"")</f>
        <v>BE101000</v>
      </c>
      <c r="AI1060" s="11" t="s">
        <v>55</v>
      </c>
      <c r="AJ1060" s="11"/>
      <c r="AK1060" s="11"/>
      <c r="AL1060" s="11"/>
      <c r="AM1060" s="11"/>
      <c r="AN1060" s="11"/>
      <c r="AO1060" s="11"/>
      <c r="AP1060" s="2" t="s">
        <v>70</v>
      </c>
      <c r="AQ1060" s="11" t="str">
        <f>IF(I1060&lt;&gt;"",DATA!D1059,"")</f>
        <v>8301200000</v>
      </c>
    </row>
    <row r="1061" spans="1:43" ht="15.75" x14ac:dyDescent="0.25">
      <c r="A1061" s="11" t="s">
        <v>57</v>
      </c>
      <c r="B1061" s="11" t="s">
        <v>56</v>
      </c>
      <c r="C1061" s="22">
        <f t="shared" si="70"/>
        <v>25001620</v>
      </c>
      <c r="D1061" s="11" t="str">
        <f t="shared" si="67"/>
        <v>SKIIFM_AT</v>
      </c>
      <c r="E1061" s="11" t="str">
        <f>IF(I1061&lt;&gt;"",VLOOKUP(F1061,OPDRACHTGEVER!$A$2:$B$4,2,FALSE),"")</f>
        <v>SKIIFM_AT</v>
      </c>
      <c r="F1061" s="11" t="s">
        <v>58</v>
      </c>
      <c r="I1061" s="11" t="str">
        <f>IF(DATA!B1060&lt;&gt;"",DATA!B1060,"")</f>
        <v>GLDU0704021</v>
      </c>
      <c r="J1061" s="12">
        <v>0</v>
      </c>
      <c r="K1061" s="11" t="s">
        <v>53</v>
      </c>
      <c r="L1061" s="11" t="str">
        <f t="shared" si="68"/>
        <v>741920</v>
      </c>
      <c r="M1061" s="11" t="str">
        <f>IF(I1061&lt;&gt;"",DATA!E1060,"")</f>
        <v>TORSION SPRING</v>
      </c>
      <c r="N1061" s="12">
        <v>0</v>
      </c>
      <c r="O1061" s="11">
        <f>IF(I1061&lt;&gt;"",DATA!C1060,"")</f>
        <v>185.09</v>
      </c>
      <c r="P1061" s="2">
        <v>294094</v>
      </c>
      <c r="Q1061" s="2" t="s">
        <v>1304</v>
      </c>
      <c r="R1061" s="2" t="s">
        <v>1325</v>
      </c>
      <c r="S1061" s="2">
        <v>8</v>
      </c>
      <c r="T1061" s="2">
        <v>1</v>
      </c>
      <c r="U1061" s="2" t="s">
        <v>141</v>
      </c>
      <c r="Y1061" s="2">
        <v>1700</v>
      </c>
      <c r="Z1061" s="11" t="s">
        <v>54</v>
      </c>
      <c r="AA1061" s="11" t="str">
        <f t="shared" si="69"/>
        <v>1700 - TBN</v>
      </c>
      <c r="AC1061" s="2" t="s">
        <v>145</v>
      </c>
      <c r="AD1061" s="11" t="str">
        <f>IF($I1061&lt;&gt;"",VLOOKUP($AC1061,GEADRESSEERDE!$A$2:$E$4,2,),"")</f>
        <v>LUITHAGEN HAVEN 2 D</v>
      </c>
      <c r="AE1061" s="11">
        <f>IF($I1061&lt;&gt;"",VLOOKUP($AC1061,GEADRESSEERDE!$A$2:$E$4,3,),"")</f>
        <v>2030</v>
      </c>
      <c r="AF1061" s="11" t="str">
        <f>IF($I1061&lt;&gt;"",VLOOKUP($AC1061,GEADRESSEERDE!$A$2:$E$4,4,),"")</f>
        <v>ANTWERPEN</v>
      </c>
      <c r="AG1061" s="11" t="str">
        <f>IF($I1061&lt;&gt;"",VLOOKUP($AC1061,GEADRESSEERDE!$A$2:$E$4,5,),"")</f>
        <v>BE</v>
      </c>
      <c r="AH1061" s="11" t="str">
        <f>IF(I1061&lt;&gt;"",VLOOKUP(AP1061,KvB!$A$2:$B$3,2,FALSE),"")</f>
        <v>BE101000</v>
      </c>
      <c r="AI1061" s="11" t="s">
        <v>55</v>
      </c>
      <c r="AJ1061" s="11"/>
      <c r="AK1061" s="11"/>
      <c r="AL1061" s="11"/>
      <c r="AM1061" s="11"/>
      <c r="AN1061" s="11"/>
      <c r="AO1061" s="11"/>
      <c r="AP1061" s="2" t="s">
        <v>70</v>
      </c>
      <c r="AQ1061" s="11" t="str">
        <f>IF(I1061&lt;&gt;"",DATA!D1060,"")</f>
        <v>7419200090</v>
      </c>
    </row>
    <row r="1062" spans="1:43" ht="15.75" x14ac:dyDescent="0.25">
      <c r="A1062" s="11" t="s">
        <v>57</v>
      </c>
      <c r="B1062" s="11" t="s">
        <v>56</v>
      </c>
      <c r="C1062" s="22">
        <f t="shared" si="70"/>
        <v>25001620</v>
      </c>
      <c r="D1062" s="11" t="str">
        <f t="shared" si="67"/>
        <v>SKIIFM_AT</v>
      </c>
      <c r="E1062" s="11" t="str">
        <f>IF(I1062&lt;&gt;"",VLOOKUP(F1062,OPDRACHTGEVER!$A$2:$B$4,2,FALSE),"")</f>
        <v>SKIIFM_AT</v>
      </c>
      <c r="F1062" s="11" t="s">
        <v>58</v>
      </c>
      <c r="I1062" s="11" t="str">
        <f>IF(DATA!B1061&lt;&gt;"",DATA!B1061,"")</f>
        <v>GLDU0704021</v>
      </c>
      <c r="J1062" s="12">
        <v>0</v>
      </c>
      <c r="K1062" s="11" t="s">
        <v>53</v>
      </c>
      <c r="L1062" s="11" t="str">
        <f t="shared" si="68"/>
        <v>843149</v>
      </c>
      <c r="M1062" s="11" t="str">
        <f>IF(I1062&lt;&gt;"",DATA!E1061,"")</f>
        <v>TOWING HOOK</v>
      </c>
      <c r="N1062" s="12">
        <v>0</v>
      </c>
      <c r="O1062" s="11">
        <f>IF(I1062&lt;&gt;"",DATA!C1061,"")</f>
        <v>5.76</v>
      </c>
      <c r="P1062" s="2">
        <v>294094</v>
      </c>
      <c r="Q1062" s="2" t="s">
        <v>1304</v>
      </c>
      <c r="R1062" s="2" t="s">
        <v>1325</v>
      </c>
      <c r="S1062" s="2">
        <v>8</v>
      </c>
      <c r="T1062" s="2">
        <v>1</v>
      </c>
      <c r="U1062" s="2" t="s">
        <v>141</v>
      </c>
      <c r="Y1062" s="2">
        <v>1700</v>
      </c>
      <c r="Z1062" s="11" t="s">
        <v>54</v>
      </c>
      <c r="AA1062" s="11" t="str">
        <f t="shared" si="69"/>
        <v>1700 - TBN</v>
      </c>
      <c r="AC1062" s="2" t="s">
        <v>145</v>
      </c>
      <c r="AD1062" s="11" t="str">
        <f>IF($I1062&lt;&gt;"",VLOOKUP($AC1062,GEADRESSEERDE!$A$2:$E$4,2,),"")</f>
        <v>LUITHAGEN HAVEN 2 D</v>
      </c>
      <c r="AE1062" s="11">
        <f>IF($I1062&lt;&gt;"",VLOOKUP($AC1062,GEADRESSEERDE!$A$2:$E$4,3,),"")</f>
        <v>2030</v>
      </c>
      <c r="AF1062" s="11" t="str">
        <f>IF($I1062&lt;&gt;"",VLOOKUP($AC1062,GEADRESSEERDE!$A$2:$E$4,4,),"")</f>
        <v>ANTWERPEN</v>
      </c>
      <c r="AG1062" s="11" t="str">
        <f>IF($I1062&lt;&gt;"",VLOOKUP($AC1062,GEADRESSEERDE!$A$2:$E$4,5,),"")</f>
        <v>BE</v>
      </c>
      <c r="AH1062" s="11" t="str">
        <f>IF(I1062&lt;&gt;"",VLOOKUP(AP1062,KvB!$A$2:$B$3,2,FALSE),"")</f>
        <v>BE101000</v>
      </c>
      <c r="AI1062" s="11" t="s">
        <v>55</v>
      </c>
      <c r="AJ1062" s="11"/>
      <c r="AK1062" s="11"/>
      <c r="AL1062" s="11"/>
      <c r="AM1062" s="11"/>
      <c r="AN1062" s="11"/>
      <c r="AO1062" s="11"/>
      <c r="AP1062" s="2" t="s">
        <v>70</v>
      </c>
      <c r="AQ1062" s="11" t="str">
        <f>IF(I1062&lt;&gt;"",DATA!D1061,"")</f>
        <v>8431498090</v>
      </c>
    </row>
    <row r="1063" spans="1:43" ht="15.75" x14ac:dyDescent="0.25">
      <c r="A1063" s="11" t="s">
        <v>57</v>
      </c>
      <c r="B1063" s="11" t="s">
        <v>56</v>
      </c>
      <c r="C1063" s="22">
        <f t="shared" si="70"/>
        <v>25001620</v>
      </c>
      <c r="D1063" s="11" t="str">
        <f t="shared" si="67"/>
        <v>SKIIFM_AT</v>
      </c>
      <c r="E1063" s="11" t="str">
        <f>IF(I1063&lt;&gt;"",VLOOKUP(F1063,OPDRACHTGEVER!$A$2:$B$4,2,FALSE),"")</f>
        <v>SKIIFM_AT</v>
      </c>
      <c r="F1063" s="11" t="s">
        <v>58</v>
      </c>
      <c r="I1063" s="11" t="str">
        <f>IF(DATA!B1062&lt;&gt;"",DATA!B1062,"")</f>
        <v>GLDU0704021</v>
      </c>
      <c r="J1063" s="12">
        <v>0</v>
      </c>
      <c r="K1063" s="11" t="s">
        <v>53</v>
      </c>
      <c r="L1063" s="11" t="str">
        <f t="shared" si="68"/>
        <v>950691</v>
      </c>
      <c r="M1063" s="11" t="str">
        <f>IF(I1063&lt;&gt;"",DATA!E1062,"")</f>
        <v>TREE CLIMBING GEAR</v>
      </c>
      <c r="N1063" s="12">
        <v>0</v>
      </c>
      <c r="O1063" s="11">
        <f>IF(I1063&lt;&gt;"",DATA!C1062,"")</f>
        <v>90.36</v>
      </c>
      <c r="P1063" s="2">
        <v>294094</v>
      </c>
      <c r="Q1063" s="2" t="s">
        <v>1304</v>
      </c>
      <c r="R1063" s="2" t="s">
        <v>1325</v>
      </c>
      <c r="S1063" s="2">
        <v>8</v>
      </c>
      <c r="T1063" s="2">
        <v>1</v>
      </c>
      <c r="U1063" s="2" t="s">
        <v>141</v>
      </c>
      <c r="Y1063" s="2">
        <v>1700</v>
      </c>
      <c r="Z1063" s="11" t="s">
        <v>54</v>
      </c>
      <c r="AA1063" s="11" t="str">
        <f t="shared" si="69"/>
        <v>1700 - TBN</v>
      </c>
      <c r="AC1063" s="2" t="s">
        <v>145</v>
      </c>
      <c r="AD1063" s="11" t="str">
        <f>IF($I1063&lt;&gt;"",VLOOKUP($AC1063,GEADRESSEERDE!$A$2:$E$4,2,),"")</f>
        <v>LUITHAGEN HAVEN 2 D</v>
      </c>
      <c r="AE1063" s="11">
        <f>IF($I1063&lt;&gt;"",VLOOKUP($AC1063,GEADRESSEERDE!$A$2:$E$4,3,),"")</f>
        <v>2030</v>
      </c>
      <c r="AF1063" s="11" t="str">
        <f>IF($I1063&lt;&gt;"",VLOOKUP($AC1063,GEADRESSEERDE!$A$2:$E$4,4,),"")</f>
        <v>ANTWERPEN</v>
      </c>
      <c r="AG1063" s="11" t="str">
        <f>IF($I1063&lt;&gt;"",VLOOKUP($AC1063,GEADRESSEERDE!$A$2:$E$4,5,),"")</f>
        <v>BE</v>
      </c>
      <c r="AH1063" s="11" t="str">
        <f>IF(I1063&lt;&gt;"",VLOOKUP(AP1063,KvB!$A$2:$B$3,2,FALSE),"")</f>
        <v>BE101000</v>
      </c>
      <c r="AI1063" s="11" t="s">
        <v>55</v>
      </c>
      <c r="AJ1063" s="11"/>
      <c r="AK1063" s="11"/>
      <c r="AL1063" s="11"/>
      <c r="AM1063" s="11"/>
      <c r="AN1063" s="11"/>
      <c r="AO1063" s="11"/>
      <c r="AP1063" s="2" t="s">
        <v>70</v>
      </c>
      <c r="AQ1063" s="11" t="str">
        <f>IF(I1063&lt;&gt;"",DATA!D1062,"")</f>
        <v>9506919000</v>
      </c>
    </row>
    <row r="1064" spans="1:43" ht="15.75" x14ac:dyDescent="0.25">
      <c r="A1064" s="11" t="s">
        <v>57</v>
      </c>
      <c r="B1064" s="11" t="s">
        <v>56</v>
      </c>
      <c r="C1064" s="22">
        <f t="shared" si="70"/>
        <v>25001620</v>
      </c>
      <c r="D1064" s="11" t="str">
        <f t="shared" si="67"/>
        <v>SKIIFM_AT</v>
      </c>
      <c r="E1064" s="11" t="str">
        <f>IF(I1064&lt;&gt;"",VLOOKUP(F1064,OPDRACHTGEVER!$A$2:$B$4,2,FALSE),"")</f>
        <v>SKIIFM_AT</v>
      </c>
      <c r="F1064" s="11" t="s">
        <v>58</v>
      </c>
      <c r="I1064" s="11" t="str">
        <f>IF(DATA!B1063&lt;&gt;"",DATA!B1063,"")</f>
        <v>GLDU0704021</v>
      </c>
      <c r="J1064" s="12">
        <v>0</v>
      </c>
      <c r="K1064" s="11" t="s">
        <v>53</v>
      </c>
      <c r="L1064" s="11" t="str">
        <f t="shared" si="68"/>
        <v>820320</v>
      </c>
      <c r="M1064" s="11" t="str">
        <f>IF(I1064&lt;&gt;"",DATA!E1063,"")</f>
        <v>VISE</v>
      </c>
      <c r="N1064" s="12">
        <v>0</v>
      </c>
      <c r="O1064" s="11">
        <f>IF(I1064&lt;&gt;"",DATA!C1063,"")</f>
        <v>309.89</v>
      </c>
      <c r="P1064" s="2">
        <v>294094</v>
      </c>
      <c r="Q1064" s="2" t="s">
        <v>1304</v>
      </c>
      <c r="R1064" s="2" t="s">
        <v>1325</v>
      </c>
      <c r="S1064" s="2">
        <v>8</v>
      </c>
      <c r="T1064" s="2">
        <v>1</v>
      </c>
      <c r="U1064" s="2" t="s">
        <v>141</v>
      </c>
      <c r="Y1064" s="2">
        <v>1700</v>
      </c>
      <c r="Z1064" s="11" t="s">
        <v>54</v>
      </c>
      <c r="AA1064" s="11" t="str">
        <f t="shared" si="69"/>
        <v>1700 - TBN</v>
      </c>
      <c r="AC1064" s="2" t="s">
        <v>145</v>
      </c>
      <c r="AD1064" s="11" t="str">
        <f>IF($I1064&lt;&gt;"",VLOOKUP($AC1064,GEADRESSEERDE!$A$2:$E$4,2,),"")</f>
        <v>LUITHAGEN HAVEN 2 D</v>
      </c>
      <c r="AE1064" s="11">
        <f>IF($I1064&lt;&gt;"",VLOOKUP($AC1064,GEADRESSEERDE!$A$2:$E$4,3,),"")</f>
        <v>2030</v>
      </c>
      <c r="AF1064" s="11" t="str">
        <f>IF($I1064&lt;&gt;"",VLOOKUP($AC1064,GEADRESSEERDE!$A$2:$E$4,4,),"")</f>
        <v>ANTWERPEN</v>
      </c>
      <c r="AG1064" s="11" t="str">
        <f>IF($I1064&lt;&gt;"",VLOOKUP($AC1064,GEADRESSEERDE!$A$2:$E$4,5,),"")</f>
        <v>BE</v>
      </c>
      <c r="AH1064" s="11" t="str">
        <f>IF(I1064&lt;&gt;"",VLOOKUP(AP1064,KvB!$A$2:$B$3,2,FALSE),"")</f>
        <v>BE101000</v>
      </c>
      <c r="AI1064" s="11" t="s">
        <v>55</v>
      </c>
      <c r="AJ1064" s="11"/>
      <c r="AK1064" s="11"/>
      <c r="AL1064" s="11"/>
      <c r="AM1064" s="11"/>
      <c r="AN1064" s="11"/>
      <c r="AO1064" s="11"/>
      <c r="AP1064" s="2" t="s">
        <v>70</v>
      </c>
      <c r="AQ1064" s="11" t="str">
        <f>IF(I1064&lt;&gt;"",DATA!D1063,"")</f>
        <v>8203200000</v>
      </c>
    </row>
    <row r="1065" spans="1:43" ht="15.75" x14ac:dyDescent="0.25">
      <c r="A1065" s="11" t="s">
        <v>57</v>
      </c>
      <c r="B1065" s="11" t="s">
        <v>56</v>
      </c>
      <c r="C1065" s="22">
        <f t="shared" si="70"/>
        <v>25001620</v>
      </c>
      <c r="D1065" s="11" t="str">
        <f t="shared" si="67"/>
        <v>SKIIFM_AT</v>
      </c>
      <c r="E1065" s="11" t="str">
        <f>IF(I1065&lt;&gt;"",VLOOKUP(F1065,OPDRACHTGEVER!$A$2:$B$4,2,FALSE),"")</f>
        <v>SKIIFM_AT</v>
      </c>
      <c r="F1065" s="11" t="s">
        <v>58</v>
      </c>
      <c r="I1065" s="11" t="str">
        <f>IF(DATA!B1064&lt;&gt;"",DATA!B1064,"")</f>
        <v>GLDU0704021</v>
      </c>
      <c r="J1065" s="12">
        <v>0</v>
      </c>
      <c r="K1065" s="11" t="s">
        <v>53</v>
      </c>
      <c r="L1065" s="11" t="str">
        <f t="shared" si="68"/>
        <v>392329</v>
      </c>
      <c r="M1065" s="11" t="str">
        <f>IF(I1065&lt;&gt;"",DATA!E1064,"")</f>
        <v>WATER STORAGE BAG</v>
      </c>
      <c r="N1065" s="12">
        <v>0</v>
      </c>
      <c r="O1065" s="11">
        <f>IF(I1065&lt;&gt;"",DATA!C1064,"")</f>
        <v>214.57</v>
      </c>
      <c r="P1065" s="2">
        <v>294094</v>
      </c>
      <c r="Q1065" s="2" t="s">
        <v>1304</v>
      </c>
      <c r="R1065" s="2" t="s">
        <v>1325</v>
      </c>
      <c r="S1065" s="2">
        <v>8</v>
      </c>
      <c r="T1065" s="2">
        <v>1</v>
      </c>
      <c r="U1065" s="2" t="s">
        <v>141</v>
      </c>
      <c r="Y1065" s="2">
        <v>1700</v>
      </c>
      <c r="Z1065" s="11" t="s">
        <v>54</v>
      </c>
      <c r="AA1065" s="11" t="str">
        <f t="shared" si="69"/>
        <v>1700 - TBN</v>
      </c>
      <c r="AC1065" s="2" t="s">
        <v>145</v>
      </c>
      <c r="AD1065" s="11" t="str">
        <f>IF($I1065&lt;&gt;"",VLOOKUP($AC1065,GEADRESSEERDE!$A$2:$E$4,2,),"")</f>
        <v>LUITHAGEN HAVEN 2 D</v>
      </c>
      <c r="AE1065" s="11">
        <f>IF($I1065&lt;&gt;"",VLOOKUP($AC1065,GEADRESSEERDE!$A$2:$E$4,3,),"")</f>
        <v>2030</v>
      </c>
      <c r="AF1065" s="11" t="str">
        <f>IF($I1065&lt;&gt;"",VLOOKUP($AC1065,GEADRESSEERDE!$A$2:$E$4,4,),"")</f>
        <v>ANTWERPEN</v>
      </c>
      <c r="AG1065" s="11" t="str">
        <f>IF($I1065&lt;&gt;"",VLOOKUP($AC1065,GEADRESSEERDE!$A$2:$E$4,5,),"")</f>
        <v>BE</v>
      </c>
      <c r="AH1065" s="11" t="str">
        <f>IF(I1065&lt;&gt;"",VLOOKUP(AP1065,KvB!$A$2:$B$3,2,FALSE),"")</f>
        <v>BE101000</v>
      </c>
      <c r="AI1065" s="11" t="s">
        <v>55</v>
      </c>
      <c r="AJ1065" s="11"/>
      <c r="AK1065" s="11"/>
      <c r="AL1065" s="11"/>
      <c r="AM1065" s="11"/>
      <c r="AN1065" s="11"/>
      <c r="AO1065" s="11"/>
      <c r="AP1065" s="2" t="s">
        <v>70</v>
      </c>
      <c r="AQ1065" s="11" t="str">
        <f>IF(I1065&lt;&gt;"",DATA!D1064,"")</f>
        <v>3923299000</v>
      </c>
    </row>
    <row r="1066" spans="1:43" ht="15.75" x14ac:dyDescent="0.25">
      <c r="A1066" s="11" t="s">
        <v>57</v>
      </c>
      <c r="B1066" s="11" t="s">
        <v>56</v>
      </c>
      <c r="C1066" s="22">
        <f t="shared" si="70"/>
        <v>25001620</v>
      </c>
      <c r="D1066" s="11" t="str">
        <f t="shared" si="67"/>
        <v>SKIIFM_AT</v>
      </c>
      <c r="E1066" s="11" t="str">
        <f>IF(I1066&lt;&gt;"",VLOOKUP(F1066,OPDRACHTGEVER!$A$2:$B$4,2,FALSE),"")</f>
        <v>SKIIFM_AT</v>
      </c>
      <c r="F1066" s="11" t="s">
        <v>58</v>
      </c>
      <c r="I1066" s="11" t="str">
        <f>IF(DATA!B1065&lt;&gt;"",DATA!B1065,"")</f>
        <v>GLDU0704021</v>
      </c>
      <c r="J1066" s="12">
        <v>0</v>
      </c>
      <c r="K1066" s="11" t="s">
        <v>53</v>
      </c>
      <c r="L1066" s="11" t="str">
        <f t="shared" si="68"/>
        <v>846810</v>
      </c>
      <c r="M1066" s="11" t="str">
        <f>IF(I1066&lt;&gt;"",DATA!E1065,"")</f>
        <v>WELDING TORCH</v>
      </c>
      <c r="N1066" s="12">
        <v>0</v>
      </c>
      <c r="O1066" s="11">
        <f>IF(I1066&lt;&gt;"",DATA!C1065,"")</f>
        <v>3.51</v>
      </c>
      <c r="P1066" s="2">
        <v>294094</v>
      </c>
      <c r="Q1066" s="2" t="s">
        <v>1304</v>
      </c>
      <c r="R1066" s="2" t="s">
        <v>1325</v>
      </c>
      <c r="S1066" s="2">
        <v>8</v>
      </c>
      <c r="T1066" s="2">
        <v>1</v>
      </c>
      <c r="U1066" s="2" t="s">
        <v>141</v>
      </c>
      <c r="Y1066" s="2">
        <v>1700</v>
      </c>
      <c r="Z1066" s="11" t="s">
        <v>54</v>
      </c>
      <c r="AA1066" s="11" t="str">
        <f t="shared" si="69"/>
        <v>1700 - TBN</v>
      </c>
      <c r="AC1066" s="2" t="s">
        <v>145</v>
      </c>
      <c r="AD1066" s="11" t="str">
        <f>IF($I1066&lt;&gt;"",VLOOKUP($AC1066,GEADRESSEERDE!$A$2:$E$4,2,),"")</f>
        <v>LUITHAGEN HAVEN 2 D</v>
      </c>
      <c r="AE1066" s="11">
        <f>IF($I1066&lt;&gt;"",VLOOKUP($AC1066,GEADRESSEERDE!$A$2:$E$4,3,),"")</f>
        <v>2030</v>
      </c>
      <c r="AF1066" s="11" t="str">
        <f>IF($I1066&lt;&gt;"",VLOOKUP($AC1066,GEADRESSEERDE!$A$2:$E$4,4,),"")</f>
        <v>ANTWERPEN</v>
      </c>
      <c r="AG1066" s="11" t="str">
        <f>IF($I1066&lt;&gt;"",VLOOKUP($AC1066,GEADRESSEERDE!$A$2:$E$4,5,),"")</f>
        <v>BE</v>
      </c>
      <c r="AH1066" s="11" t="str">
        <f>IF(I1066&lt;&gt;"",VLOOKUP(AP1066,KvB!$A$2:$B$3,2,FALSE),"")</f>
        <v>BE101000</v>
      </c>
      <c r="AI1066" s="11" t="s">
        <v>55</v>
      </c>
      <c r="AJ1066" s="11"/>
      <c r="AK1066" s="11"/>
      <c r="AL1066" s="11"/>
      <c r="AM1066" s="11"/>
      <c r="AN1066" s="11"/>
      <c r="AO1066" s="11"/>
      <c r="AP1066" s="2" t="s">
        <v>70</v>
      </c>
      <c r="AQ1066" s="11" t="str">
        <f>IF(I1066&lt;&gt;"",DATA!D1065,"")</f>
        <v>8468100000</v>
      </c>
    </row>
    <row r="1067" spans="1:43" ht="15.75" x14ac:dyDescent="0.25">
      <c r="A1067" s="11" t="s">
        <v>57</v>
      </c>
      <c r="B1067" s="11" t="s">
        <v>56</v>
      </c>
      <c r="C1067" s="22">
        <f t="shared" si="70"/>
        <v>25001620</v>
      </c>
      <c r="D1067" s="11" t="str">
        <f t="shared" si="67"/>
        <v>SKIIFM_AT</v>
      </c>
      <c r="E1067" s="11" t="str">
        <f>IF(I1067&lt;&gt;"",VLOOKUP(F1067,OPDRACHTGEVER!$A$2:$B$4,2,FALSE),"")</f>
        <v>SKIIFM_AT</v>
      </c>
      <c r="F1067" s="11" t="s">
        <v>58</v>
      </c>
      <c r="I1067" s="11" t="str">
        <f>IF(DATA!B1066&lt;&gt;"",DATA!B1066,"")</f>
        <v>GLDU0704021</v>
      </c>
      <c r="J1067" s="12">
        <v>0</v>
      </c>
      <c r="K1067" s="11" t="s">
        <v>53</v>
      </c>
      <c r="L1067" s="11" t="str">
        <f t="shared" si="68"/>
        <v>870870</v>
      </c>
      <c r="M1067" s="11" t="str">
        <f>IF(I1067&lt;&gt;"",DATA!E1066,"")</f>
        <v>WHEEL</v>
      </c>
      <c r="N1067" s="12">
        <v>0</v>
      </c>
      <c r="O1067" s="11">
        <f>IF(I1067&lt;&gt;"",DATA!C1066,"")</f>
        <v>31.75</v>
      </c>
      <c r="P1067" s="2">
        <v>294094</v>
      </c>
      <c r="Q1067" s="2" t="s">
        <v>1304</v>
      </c>
      <c r="R1067" s="2" t="s">
        <v>1325</v>
      </c>
      <c r="S1067" s="2">
        <v>8</v>
      </c>
      <c r="T1067" s="2">
        <v>1</v>
      </c>
      <c r="U1067" s="2" t="s">
        <v>141</v>
      </c>
      <c r="Y1067" s="2">
        <v>1700</v>
      </c>
      <c r="Z1067" s="11" t="s">
        <v>54</v>
      </c>
      <c r="AA1067" s="11" t="str">
        <f t="shared" si="69"/>
        <v>1700 - TBN</v>
      </c>
      <c r="AC1067" s="2" t="s">
        <v>145</v>
      </c>
      <c r="AD1067" s="11" t="str">
        <f>IF($I1067&lt;&gt;"",VLOOKUP($AC1067,GEADRESSEERDE!$A$2:$E$4,2,),"")</f>
        <v>LUITHAGEN HAVEN 2 D</v>
      </c>
      <c r="AE1067" s="11">
        <f>IF($I1067&lt;&gt;"",VLOOKUP($AC1067,GEADRESSEERDE!$A$2:$E$4,3,),"")</f>
        <v>2030</v>
      </c>
      <c r="AF1067" s="11" t="str">
        <f>IF($I1067&lt;&gt;"",VLOOKUP($AC1067,GEADRESSEERDE!$A$2:$E$4,4,),"")</f>
        <v>ANTWERPEN</v>
      </c>
      <c r="AG1067" s="11" t="str">
        <f>IF($I1067&lt;&gt;"",VLOOKUP($AC1067,GEADRESSEERDE!$A$2:$E$4,5,),"")</f>
        <v>BE</v>
      </c>
      <c r="AH1067" s="11" t="str">
        <f>IF(I1067&lt;&gt;"",VLOOKUP(AP1067,KvB!$A$2:$B$3,2,FALSE),"")</f>
        <v>BE101000</v>
      </c>
      <c r="AI1067" s="11" t="s">
        <v>55</v>
      </c>
      <c r="AJ1067" s="11"/>
      <c r="AK1067" s="11"/>
      <c r="AL1067" s="11"/>
      <c r="AM1067" s="11"/>
      <c r="AN1067" s="11"/>
      <c r="AO1067" s="11"/>
      <c r="AP1067" s="2" t="s">
        <v>70</v>
      </c>
      <c r="AQ1067" s="11" t="str">
        <f>IF(I1067&lt;&gt;"",DATA!D1066,"")</f>
        <v>8708709190</v>
      </c>
    </row>
    <row r="1068" spans="1:43" ht="15.75" x14ac:dyDescent="0.25">
      <c r="A1068" s="11" t="s">
        <v>57</v>
      </c>
      <c r="B1068" s="11" t="s">
        <v>56</v>
      </c>
      <c r="C1068" s="22">
        <f t="shared" si="70"/>
        <v>25001620</v>
      </c>
      <c r="D1068" s="11" t="str">
        <f t="shared" si="67"/>
        <v>SKIIFM_AT</v>
      </c>
      <c r="E1068" s="11" t="str">
        <f>IF(I1068&lt;&gt;"",VLOOKUP(F1068,OPDRACHTGEVER!$A$2:$B$4,2,FALSE),"")</f>
        <v>SKIIFM_AT</v>
      </c>
      <c r="F1068" s="11" t="s">
        <v>58</v>
      </c>
      <c r="I1068" s="11" t="str">
        <f>IF(DATA!B1067&lt;&gt;"",DATA!B1067,"")</f>
        <v>GLDU0704021</v>
      </c>
      <c r="J1068" s="12">
        <v>0</v>
      </c>
      <c r="K1068" s="11" t="s">
        <v>53</v>
      </c>
      <c r="L1068" s="11" t="str">
        <f t="shared" si="68"/>
        <v>741920</v>
      </c>
      <c r="M1068" s="11" t="str">
        <f>IF(I1068&lt;&gt;"",DATA!E1067,"")</f>
        <v>WIRE MESH</v>
      </c>
      <c r="N1068" s="12">
        <v>0</v>
      </c>
      <c r="O1068" s="11">
        <f>IF(I1068&lt;&gt;"",DATA!C1067,"")</f>
        <v>3.23</v>
      </c>
      <c r="P1068" s="2">
        <v>294094</v>
      </c>
      <c r="Q1068" s="2" t="s">
        <v>1304</v>
      </c>
      <c r="R1068" s="2" t="s">
        <v>1325</v>
      </c>
      <c r="S1068" s="2">
        <v>8</v>
      </c>
      <c r="T1068" s="2">
        <v>1</v>
      </c>
      <c r="U1068" s="2" t="s">
        <v>141</v>
      </c>
      <c r="Y1068" s="2">
        <v>1700</v>
      </c>
      <c r="Z1068" s="11" t="s">
        <v>54</v>
      </c>
      <c r="AA1068" s="11" t="str">
        <f t="shared" si="69"/>
        <v>1700 - TBN</v>
      </c>
      <c r="AC1068" s="2" t="s">
        <v>145</v>
      </c>
      <c r="AD1068" s="11" t="str">
        <f>IF($I1068&lt;&gt;"",VLOOKUP($AC1068,GEADRESSEERDE!$A$2:$E$4,2,),"")</f>
        <v>LUITHAGEN HAVEN 2 D</v>
      </c>
      <c r="AE1068" s="11">
        <f>IF($I1068&lt;&gt;"",VLOOKUP($AC1068,GEADRESSEERDE!$A$2:$E$4,3,),"")</f>
        <v>2030</v>
      </c>
      <c r="AF1068" s="11" t="str">
        <f>IF($I1068&lt;&gt;"",VLOOKUP($AC1068,GEADRESSEERDE!$A$2:$E$4,4,),"")</f>
        <v>ANTWERPEN</v>
      </c>
      <c r="AG1068" s="11" t="str">
        <f>IF($I1068&lt;&gt;"",VLOOKUP($AC1068,GEADRESSEERDE!$A$2:$E$4,5,),"")</f>
        <v>BE</v>
      </c>
      <c r="AH1068" s="11" t="str">
        <f>IF(I1068&lt;&gt;"",VLOOKUP(AP1068,KvB!$A$2:$B$3,2,FALSE),"")</f>
        <v>BE101000</v>
      </c>
      <c r="AI1068" s="11" t="s">
        <v>55</v>
      </c>
      <c r="AJ1068" s="11"/>
      <c r="AK1068" s="11"/>
      <c r="AL1068" s="11"/>
      <c r="AM1068" s="11"/>
      <c r="AN1068" s="11"/>
      <c r="AO1068" s="11"/>
      <c r="AP1068" s="2" t="s">
        <v>70</v>
      </c>
      <c r="AQ1068" s="11" t="str">
        <f>IF(I1068&lt;&gt;"",DATA!D1067,"")</f>
        <v>7419200090</v>
      </c>
    </row>
    <row r="1069" spans="1:43" ht="15.75" x14ac:dyDescent="0.25">
      <c r="A1069" s="11" t="s">
        <v>57</v>
      </c>
      <c r="B1069" s="11" t="s">
        <v>56</v>
      </c>
      <c r="C1069" s="22">
        <f t="shared" si="70"/>
        <v>25001620</v>
      </c>
      <c r="D1069" s="11" t="str">
        <f t="shared" si="67"/>
        <v>SKIIFM_AT</v>
      </c>
      <c r="E1069" s="11" t="str">
        <f>IF(I1069&lt;&gt;"",VLOOKUP(F1069,OPDRACHTGEVER!$A$2:$B$4,2,FALSE),"")</f>
        <v>SKIIFM_AT</v>
      </c>
      <c r="F1069" s="11" t="s">
        <v>58</v>
      </c>
      <c r="I1069" s="11" t="str">
        <f>IF(DATA!B1068&lt;&gt;"",DATA!B1068,"")</f>
        <v>MEDU4455865</v>
      </c>
      <c r="J1069" s="12">
        <v>1094</v>
      </c>
      <c r="K1069" s="11" t="s">
        <v>53</v>
      </c>
      <c r="L1069" s="11" t="str">
        <f t="shared" si="68"/>
        <v>846711</v>
      </c>
      <c r="M1069" s="11" t="str">
        <f>IF(I1069&lt;&gt;"",DATA!E1068,"")</f>
        <v>AIR IMPACT WRENCH</v>
      </c>
      <c r="N1069" s="12">
        <v>13134</v>
      </c>
      <c r="O1069" s="11">
        <f>IF(I1069&lt;&gt;"",DATA!C1068,"")</f>
        <v>6.9</v>
      </c>
      <c r="P1069" s="2">
        <v>294094</v>
      </c>
      <c r="Q1069" s="2" t="s">
        <v>1304</v>
      </c>
      <c r="R1069" s="2" t="s">
        <v>1326</v>
      </c>
      <c r="S1069" s="2">
        <v>356</v>
      </c>
      <c r="T1069" s="2">
        <v>1</v>
      </c>
      <c r="U1069" s="2" t="s">
        <v>141</v>
      </c>
      <c r="Y1069" s="2">
        <v>1700</v>
      </c>
      <c r="Z1069" s="11" t="s">
        <v>54</v>
      </c>
      <c r="AA1069" s="11" t="str">
        <f t="shared" si="69"/>
        <v>1700 - TBN</v>
      </c>
      <c r="AC1069" s="2" t="s">
        <v>145</v>
      </c>
      <c r="AD1069" s="11" t="str">
        <f>IF($I1069&lt;&gt;"",VLOOKUP($AC1069,GEADRESSEERDE!$A$2:$E$4,2,),"")</f>
        <v>LUITHAGEN HAVEN 2 D</v>
      </c>
      <c r="AE1069" s="11">
        <f>IF($I1069&lt;&gt;"",VLOOKUP($AC1069,GEADRESSEERDE!$A$2:$E$4,3,),"")</f>
        <v>2030</v>
      </c>
      <c r="AF1069" s="11" t="str">
        <f>IF($I1069&lt;&gt;"",VLOOKUP($AC1069,GEADRESSEERDE!$A$2:$E$4,4,),"")</f>
        <v>ANTWERPEN</v>
      </c>
      <c r="AG1069" s="11" t="str">
        <f>IF($I1069&lt;&gt;"",VLOOKUP($AC1069,GEADRESSEERDE!$A$2:$E$4,5,),"")</f>
        <v>BE</v>
      </c>
      <c r="AH1069" s="11" t="str">
        <f>IF(I1069&lt;&gt;"",VLOOKUP(AP1069,KvB!$A$2:$B$3,2,FALSE),"")</f>
        <v>BE101000</v>
      </c>
      <c r="AI1069" s="11" t="s">
        <v>55</v>
      </c>
      <c r="AJ1069" s="11"/>
      <c r="AK1069" s="11"/>
      <c r="AL1069" s="11"/>
      <c r="AM1069" s="11"/>
      <c r="AN1069" s="11"/>
      <c r="AO1069" s="11"/>
      <c r="AP1069" s="2" t="s">
        <v>70</v>
      </c>
      <c r="AQ1069" s="11" t="str">
        <f>IF(I1069&lt;&gt;"",DATA!D1068,"")</f>
        <v>8467119000</v>
      </c>
    </row>
    <row r="1070" spans="1:43" ht="15.75" x14ac:dyDescent="0.25">
      <c r="A1070" s="11" t="s">
        <v>57</v>
      </c>
      <c r="B1070" s="11" t="s">
        <v>56</v>
      </c>
      <c r="C1070" s="22">
        <f t="shared" si="70"/>
        <v>25001620</v>
      </c>
      <c r="D1070" s="11" t="str">
        <f t="shared" si="67"/>
        <v>SKIIFM_AT</v>
      </c>
      <c r="E1070" s="11" t="str">
        <f>IF(I1070&lt;&gt;"",VLOOKUP(F1070,OPDRACHTGEVER!$A$2:$B$4,2,FALSE),"")</f>
        <v>SKIIFM_AT</v>
      </c>
      <c r="F1070" s="11" t="s">
        <v>58</v>
      </c>
      <c r="I1070" s="11" t="str">
        <f>IF(DATA!B1069&lt;&gt;"",DATA!B1069,"")</f>
        <v>MEDU4455865</v>
      </c>
      <c r="J1070" s="12">
        <v>0</v>
      </c>
      <c r="K1070" s="11" t="s">
        <v>53</v>
      </c>
      <c r="L1070" s="11" t="str">
        <f t="shared" si="68"/>
        <v>761090</v>
      </c>
      <c r="M1070" s="11" t="str">
        <f>IF(I1070&lt;&gt;"",DATA!E1069,"")</f>
        <v>ALUMINUM STAIR RAILING</v>
      </c>
      <c r="N1070" s="12">
        <v>0</v>
      </c>
      <c r="O1070" s="11">
        <f>IF(I1070&lt;&gt;"",DATA!C1069,"")</f>
        <v>192</v>
      </c>
      <c r="P1070" s="2">
        <v>294094</v>
      </c>
      <c r="Q1070" s="2" t="s">
        <v>1304</v>
      </c>
      <c r="R1070" s="2" t="s">
        <v>1326</v>
      </c>
      <c r="S1070" s="2">
        <v>356</v>
      </c>
      <c r="T1070" s="2">
        <v>1</v>
      </c>
      <c r="U1070" s="2" t="s">
        <v>141</v>
      </c>
      <c r="Y1070" s="2">
        <v>1700</v>
      </c>
      <c r="Z1070" s="11" t="s">
        <v>54</v>
      </c>
      <c r="AA1070" s="11" t="str">
        <f t="shared" si="69"/>
        <v>1700 - TBN</v>
      </c>
      <c r="AC1070" s="2" t="s">
        <v>145</v>
      </c>
      <c r="AD1070" s="11" t="str">
        <f>IF($I1070&lt;&gt;"",VLOOKUP($AC1070,GEADRESSEERDE!$A$2:$E$4,2,),"")</f>
        <v>LUITHAGEN HAVEN 2 D</v>
      </c>
      <c r="AE1070" s="11">
        <f>IF($I1070&lt;&gt;"",VLOOKUP($AC1070,GEADRESSEERDE!$A$2:$E$4,3,),"")</f>
        <v>2030</v>
      </c>
      <c r="AF1070" s="11" t="str">
        <f>IF($I1070&lt;&gt;"",VLOOKUP($AC1070,GEADRESSEERDE!$A$2:$E$4,4,),"")</f>
        <v>ANTWERPEN</v>
      </c>
      <c r="AG1070" s="11" t="str">
        <f>IF($I1070&lt;&gt;"",VLOOKUP($AC1070,GEADRESSEERDE!$A$2:$E$4,5,),"")</f>
        <v>BE</v>
      </c>
      <c r="AH1070" s="11" t="str">
        <f>IF(I1070&lt;&gt;"",VLOOKUP(AP1070,KvB!$A$2:$B$3,2,FALSE),"")</f>
        <v>BE101000</v>
      </c>
      <c r="AI1070" s="11" t="s">
        <v>55</v>
      </c>
      <c r="AJ1070" s="11"/>
      <c r="AK1070" s="11"/>
      <c r="AL1070" s="11"/>
      <c r="AM1070" s="11"/>
      <c r="AN1070" s="11"/>
      <c r="AO1070" s="11"/>
      <c r="AP1070" s="2" t="s">
        <v>70</v>
      </c>
      <c r="AQ1070" s="11" t="str">
        <f>IF(I1070&lt;&gt;"",DATA!D1069,"")</f>
        <v>7610909095</v>
      </c>
    </row>
    <row r="1071" spans="1:43" ht="15.75" x14ac:dyDescent="0.25">
      <c r="A1071" s="11" t="s">
        <v>57</v>
      </c>
      <c r="B1071" s="11" t="s">
        <v>56</v>
      </c>
      <c r="C1071" s="22">
        <f t="shared" si="70"/>
        <v>25001620</v>
      </c>
      <c r="D1071" s="11" t="str">
        <f t="shared" si="67"/>
        <v>SKIIFM_AT</v>
      </c>
      <c r="E1071" s="11" t="str">
        <f>IF(I1071&lt;&gt;"",VLOOKUP(F1071,OPDRACHTGEVER!$A$2:$B$4,2,FALSE),"")</f>
        <v>SKIIFM_AT</v>
      </c>
      <c r="F1071" s="11" t="s">
        <v>58</v>
      </c>
      <c r="I1071" s="11" t="str">
        <f>IF(DATA!B1070&lt;&gt;"",DATA!B1070,"")</f>
        <v>MEDU4455865</v>
      </c>
      <c r="J1071" s="12">
        <v>0</v>
      </c>
      <c r="K1071" s="11" t="s">
        <v>53</v>
      </c>
      <c r="L1071" s="11" t="str">
        <f t="shared" si="68"/>
        <v>940320</v>
      </c>
      <c r="M1071" s="11" t="str">
        <f>IF(I1071&lt;&gt;"",DATA!E1070,"")</f>
        <v>BACKGROUND STAND</v>
      </c>
      <c r="N1071" s="12">
        <v>0</v>
      </c>
      <c r="O1071" s="11">
        <f>IF(I1071&lt;&gt;"",DATA!C1070,"")</f>
        <v>2.75</v>
      </c>
      <c r="P1071" s="2">
        <v>294094</v>
      </c>
      <c r="Q1071" s="2" t="s">
        <v>1304</v>
      </c>
      <c r="R1071" s="2" t="s">
        <v>1326</v>
      </c>
      <c r="S1071" s="2">
        <v>356</v>
      </c>
      <c r="T1071" s="2">
        <v>1</v>
      </c>
      <c r="U1071" s="2" t="s">
        <v>141</v>
      </c>
      <c r="Y1071" s="2">
        <v>1700</v>
      </c>
      <c r="Z1071" s="11" t="s">
        <v>54</v>
      </c>
      <c r="AA1071" s="11" t="str">
        <f t="shared" si="69"/>
        <v>1700 - TBN</v>
      </c>
      <c r="AC1071" s="2" t="s">
        <v>145</v>
      </c>
      <c r="AD1071" s="11" t="str">
        <f>IF($I1071&lt;&gt;"",VLOOKUP($AC1071,GEADRESSEERDE!$A$2:$E$4,2,),"")</f>
        <v>LUITHAGEN HAVEN 2 D</v>
      </c>
      <c r="AE1071" s="11">
        <f>IF($I1071&lt;&gt;"",VLOOKUP($AC1071,GEADRESSEERDE!$A$2:$E$4,3,),"")</f>
        <v>2030</v>
      </c>
      <c r="AF1071" s="11" t="str">
        <f>IF($I1071&lt;&gt;"",VLOOKUP($AC1071,GEADRESSEERDE!$A$2:$E$4,4,),"")</f>
        <v>ANTWERPEN</v>
      </c>
      <c r="AG1071" s="11" t="str">
        <f>IF($I1071&lt;&gt;"",VLOOKUP($AC1071,GEADRESSEERDE!$A$2:$E$4,5,),"")</f>
        <v>BE</v>
      </c>
      <c r="AH1071" s="11" t="str">
        <f>IF(I1071&lt;&gt;"",VLOOKUP(AP1071,KvB!$A$2:$B$3,2,FALSE),"")</f>
        <v>BE101000</v>
      </c>
      <c r="AI1071" s="11" t="s">
        <v>55</v>
      </c>
      <c r="AJ1071" s="11"/>
      <c r="AK1071" s="11"/>
      <c r="AL1071" s="11"/>
      <c r="AM1071" s="11"/>
      <c r="AN1071" s="11"/>
      <c r="AO1071" s="11"/>
      <c r="AP1071" s="2" t="s">
        <v>70</v>
      </c>
      <c r="AQ1071" s="11" t="str">
        <f>IF(I1071&lt;&gt;"",DATA!D1070,"")</f>
        <v>9403208000</v>
      </c>
    </row>
    <row r="1072" spans="1:43" ht="15.75" x14ac:dyDescent="0.25">
      <c r="A1072" s="11" t="s">
        <v>57</v>
      </c>
      <c r="B1072" s="11" t="s">
        <v>56</v>
      </c>
      <c r="C1072" s="22">
        <f t="shared" si="70"/>
        <v>25001620</v>
      </c>
      <c r="D1072" s="11" t="str">
        <f t="shared" si="67"/>
        <v>SKIIFM_AT</v>
      </c>
      <c r="E1072" s="11" t="str">
        <f>IF(I1072&lt;&gt;"",VLOOKUP(F1072,OPDRACHTGEVER!$A$2:$B$4,2,FALSE),"")</f>
        <v>SKIIFM_AT</v>
      </c>
      <c r="F1072" s="11" t="s">
        <v>58</v>
      </c>
      <c r="I1072" s="11" t="str">
        <f>IF(DATA!B1071&lt;&gt;"",DATA!B1071,"")</f>
        <v>MEDU4455865</v>
      </c>
      <c r="J1072" s="12">
        <v>0</v>
      </c>
      <c r="K1072" s="11" t="s">
        <v>53</v>
      </c>
      <c r="L1072" s="11" t="str">
        <f t="shared" si="68"/>
        <v>820559</v>
      </c>
      <c r="M1072" s="11" t="str">
        <f>IF(I1072&lt;&gt;"",DATA!E1071,"")</f>
        <v>BEARING SEAL BELLOW EXPANDER TOOLS</v>
      </c>
      <c r="N1072" s="12">
        <v>0</v>
      </c>
      <c r="O1072" s="11">
        <f>IF(I1072&lt;&gt;"",DATA!C1071,"")</f>
        <v>4.5</v>
      </c>
      <c r="P1072" s="2">
        <v>294094</v>
      </c>
      <c r="Q1072" s="2" t="s">
        <v>1304</v>
      </c>
      <c r="R1072" s="2" t="s">
        <v>1326</v>
      </c>
      <c r="S1072" s="2">
        <v>356</v>
      </c>
      <c r="T1072" s="2">
        <v>1</v>
      </c>
      <c r="U1072" s="2" t="s">
        <v>141</v>
      </c>
      <c r="Y1072" s="2">
        <v>1700</v>
      </c>
      <c r="Z1072" s="11" t="s">
        <v>54</v>
      </c>
      <c r="AA1072" s="11" t="str">
        <f t="shared" si="69"/>
        <v>1700 - TBN</v>
      </c>
      <c r="AC1072" s="2" t="s">
        <v>145</v>
      </c>
      <c r="AD1072" s="11" t="str">
        <f>IF($I1072&lt;&gt;"",VLOOKUP($AC1072,GEADRESSEERDE!$A$2:$E$4,2,),"")</f>
        <v>LUITHAGEN HAVEN 2 D</v>
      </c>
      <c r="AE1072" s="11">
        <f>IF($I1072&lt;&gt;"",VLOOKUP($AC1072,GEADRESSEERDE!$A$2:$E$4,3,),"")</f>
        <v>2030</v>
      </c>
      <c r="AF1072" s="11" t="str">
        <f>IF($I1072&lt;&gt;"",VLOOKUP($AC1072,GEADRESSEERDE!$A$2:$E$4,4,),"")</f>
        <v>ANTWERPEN</v>
      </c>
      <c r="AG1072" s="11" t="str">
        <f>IF($I1072&lt;&gt;"",VLOOKUP($AC1072,GEADRESSEERDE!$A$2:$E$4,5,),"")</f>
        <v>BE</v>
      </c>
      <c r="AH1072" s="11" t="str">
        <f>IF(I1072&lt;&gt;"",VLOOKUP(AP1072,KvB!$A$2:$B$3,2,FALSE),"")</f>
        <v>BE101000</v>
      </c>
      <c r="AI1072" s="11" t="s">
        <v>55</v>
      </c>
      <c r="AJ1072" s="11"/>
      <c r="AK1072" s="11"/>
      <c r="AL1072" s="11"/>
      <c r="AM1072" s="11"/>
      <c r="AN1072" s="11"/>
      <c r="AO1072" s="11"/>
      <c r="AP1072" s="2" t="s">
        <v>70</v>
      </c>
      <c r="AQ1072" s="11" t="str">
        <f>IF(I1072&lt;&gt;"",DATA!D1071,"")</f>
        <v>8205598000</v>
      </c>
    </row>
    <row r="1073" spans="1:43" ht="15.75" x14ac:dyDescent="0.25">
      <c r="A1073" s="11" t="s">
        <v>57</v>
      </c>
      <c r="B1073" s="11" t="s">
        <v>56</v>
      </c>
      <c r="C1073" s="22">
        <f t="shared" si="70"/>
        <v>25001620</v>
      </c>
      <c r="D1073" s="11" t="str">
        <f t="shared" si="67"/>
        <v>SKIIFM_AT</v>
      </c>
      <c r="E1073" s="11" t="str">
        <f>IF(I1073&lt;&gt;"",VLOOKUP(F1073,OPDRACHTGEVER!$A$2:$B$4,2,FALSE),"")</f>
        <v>SKIIFM_AT</v>
      </c>
      <c r="F1073" s="11" t="s">
        <v>58</v>
      </c>
      <c r="I1073" s="11" t="str">
        <f>IF(DATA!B1072&lt;&gt;"",DATA!B1072,"")</f>
        <v>MEDU4455865</v>
      </c>
      <c r="J1073" s="12">
        <v>0</v>
      </c>
      <c r="K1073" s="11" t="s">
        <v>53</v>
      </c>
      <c r="L1073" s="11" t="str">
        <f t="shared" si="68"/>
        <v>847989</v>
      </c>
      <c r="M1073" s="11" t="str">
        <f>IF(I1073&lt;&gt;"",DATA!E1072,"")</f>
        <v>BIT</v>
      </c>
      <c r="N1073" s="12">
        <v>0</v>
      </c>
      <c r="O1073" s="11">
        <f>IF(I1073&lt;&gt;"",DATA!C1072,"")</f>
        <v>3.3</v>
      </c>
      <c r="P1073" s="2">
        <v>294094</v>
      </c>
      <c r="Q1073" s="2" t="s">
        <v>1304</v>
      </c>
      <c r="R1073" s="2" t="s">
        <v>1326</v>
      </c>
      <c r="S1073" s="2">
        <v>356</v>
      </c>
      <c r="T1073" s="2">
        <v>1</v>
      </c>
      <c r="U1073" s="2" t="s">
        <v>141</v>
      </c>
      <c r="Y1073" s="2">
        <v>1700</v>
      </c>
      <c r="Z1073" s="11" t="s">
        <v>54</v>
      </c>
      <c r="AA1073" s="11" t="str">
        <f t="shared" si="69"/>
        <v>1700 - TBN</v>
      </c>
      <c r="AC1073" s="2" t="s">
        <v>145</v>
      </c>
      <c r="AD1073" s="11" t="str">
        <f>IF($I1073&lt;&gt;"",VLOOKUP($AC1073,GEADRESSEERDE!$A$2:$E$4,2,),"")</f>
        <v>LUITHAGEN HAVEN 2 D</v>
      </c>
      <c r="AE1073" s="11">
        <f>IF($I1073&lt;&gt;"",VLOOKUP($AC1073,GEADRESSEERDE!$A$2:$E$4,3,),"")</f>
        <v>2030</v>
      </c>
      <c r="AF1073" s="11" t="str">
        <f>IF($I1073&lt;&gt;"",VLOOKUP($AC1073,GEADRESSEERDE!$A$2:$E$4,4,),"")</f>
        <v>ANTWERPEN</v>
      </c>
      <c r="AG1073" s="11" t="str">
        <f>IF($I1073&lt;&gt;"",VLOOKUP($AC1073,GEADRESSEERDE!$A$2:$E$4,5,),"")</f>
        <v>BE</v>
      </c>
      <c r="AH1073" s="11" t="str">
        <f>IF(I1073&lt;&gt;"",VLOOKUP(AP1073,KvB!$A$2:$B$3,2,FALSE),"")</f>
        <v>BE101000</v>
      </c>
      <c r="AI1073" s="11" t="s">
        <v>55</v>
      </c>
      <c r="AJ1073" s="11"/>
      <c r="AK1073" s="11"/>
      <c r="AL1073" s="11"/>
      <c r="AM1073" s="11"/>
      <c r="AN1073" s="11"/>
      <c r="AO1073" s="11"/>
      <c r="AP1073" s="2" t="s">
        <v>70</v>
      </c>
      <c r="AQ1073" s="11" t="str">
        <f>IF(I1073&lt;&gt;"",DATA!D1072,"")</f>
        <v>8479899790</v>
      </c>
    </row>
    <row r="1074" spans="1:43" ht="15.75" x14ac:dyDescent="0.25">
      <c r="A1074" s="11" t="s">
        <v>57</v>
      </c>
      <c r="B1074" s="11" t="s">
        <v>56</v>
      </c>
      <c r="C1074" s="22">
        <f t="shared" si="70"/>
        <v>25001620</v>
      </c>
      <c r="D1074" s="11" t="str">
        <f t="shared" si="67"/>
        <v>SKIIFM_AT</v>
      </c>
      <c r="E1074" s="11" t="str">
        <f>IF(I1074&lt;&gt;"",VLOOKUP(F1074,OPDRACHTGEVER!$A$2:$B$4,2,FALSE),"")</f>
        <v>SKIIFM_AT</v>
      </c>
      <c r="F1074" s="11" t="s">
        <v>58</v>
      </c>
      <c r="I1074" s="11" t="str">
        <f>IF(DATA!B1073&lt;&gt;"",DATA!B1073,"")</f>
        <v>MEDU4455865</v>
      </c>
      <c r="J1074" s="12">
        <v>0</v>
      </c>
      <c r="K1074" s="11" t="s">
        <v>53</v>
      </c>
      <c r="L1074" s="11" t="str">
        <f t="shared" si="68"/>
        <v>820890</v>
      </c>
      <c r="M1074" s="11" t="str">
        <f>IF(I1074&lt;&gt;"",DATA!E1073,"")</f>
        <v>BLADE</v>
      </c>
      <c r="N1074" s="12">
        <v>0</v>
      </c>
      <c r="O1074" s="11">
        <f>IF(I1074&lt;&gt;"",DATA!C1073,"")</f>
        <v>12.65</v>
      </c>
      <c r="P1074" s="2">
        <v>294094</v>
      </c>
      <c r="Q1074" s="2" t="s">
        <v>1304</v>
      </c>
      <c r="R1074" s="2" t="s">
        <v>1326</v>
      </c>
      <c r="S1074" s="2">
        <v>356</v>
      </c>
      <c r="T1074" s="2">
        <v>1</v>
      </c>
      <c r="U1074" s="2" t="s">
        <v>141</v>
      </c>
      <c r="Y1074" s="2">
        <v>1700</v>
      </c>
      <c r="Z1074" s="11" t="s">
        <v>54</v>
      </c>
      <c r="AA1074" s="11" t="str">
        <f t="shared" si="69"/>
        <v>1700 - TBN</v>
      </c>
      <c r="AC1074" s="2" t="s">
        <v>145</v>
      </c>
      <c r="AD1074" s="11" t="str">
        <f>IF($I1074&lt;&gt;"",VLOOKUP($AC1074,GEADRESSEERDE!$A$2:$E$4,2,),"")</f>
        <v>LUITHAGEN HAVEN 2 D</v>
      </c>
      <c r="AE1074" s="11">
        <f>IF($I1074&lt;&gt;"",VLOOKUP($AC1074,GEADRESSEERDE!$A$2:$E$4,3,),"")</f>
        <v>2030</v>
      </c>
      <c r="AF1074" s="11" t="str">
        <f>IF($I1074&lt;&gt;"",VLOOKUP($AC1074,GEADRESSEERDE!$A$2:$E$4,4,),"")</f>
        <v>ANTWERPEN</v>
      </c>
      <c r="AG1074" s="11" t="str">
        <f>IF($I1074&lt;&gt;"",VLOOKUP($AC1074,GEADRESSEERDE!$A$2:$E$4,5,),"")</f>
        <v>BE</v>
      </c>
      <c r="AH1074" s="11" t="str">
        <f>IF(I1074&lt;&gt;"",VLOOKUP(AP1074,KvB!$A$2:$B$3,2,FALSE),"")</f>
        <v>BE101000</v>
      </c>
      <c r="AI1074" s="11" t="s">
        <v>55</v>
      </c>
      <c r="AJ1074" s="11"/>
      <c r="AK1074" s="11"/>
      <c r="AL1074" s="11"/>
      <c r="AM1074" s="11"/>
      <c r="AN1074" s="11"/>
      <c r="AO1074" s="11"/>
      <c r="AP1074" s="2" t="s">
        <v>70</v>
      </c>
      <c r="AQ1074" s="11" t="str">
        <f>IF(I1074&lt;&gt;"",DATA!D1073,"")</f>
        <v>8208900000</v>
      </c>
    </row>
    <row r="1075" spans="1:43" ht="15.75" x14ac:dyDescent="0.25">
      <c r="A1075" s="11" t="s">
        <v>57</v>
      </c>
      <c r="B1075" s="11" t="s">
        <v>56</v>
      </c>
      <c r="C1075" s="22">
        <f t="shared" si="70"/>
        <v>25001620</v>
      </c>
      <c r="D1075" s="11" t="str">
        <f t="shared" si="67"/>
        <v>SKIIFM_AT</v>
      </c>
      <c r="E1075" s="11" t="str">
        <f>IF(I1075&lt;&gt;"",VLOOKUP(F1075,OPDRACHTGEVER!$A$2:$B$4,2,FALSE),"")</f>
        <v>SKIIFM_AT</v>
      </c>
      <c r="F1075" s="11" t="s">
        <v>58</v>
      </c>
      <c r="I1075" s="11" t="str">
        <f>IF(DATA!B1074&lt;&gt;"",DATA!B1074,"")</f>
        <v>MEDU4455865</v>
      </c>
      <c r="J1075" s="12">
        <v>0</v>
      </c>
      <c r="K1075" s="11" t="s">
        <v>53</v>
      </c>
      <c r="L1075" s="11" t="str">
        <f t="shared" si="68"/>
        <v>741920</v>
      </c>
      <c r="M1075" s="11" t="str">
        <f>IF(I1075&lt;&gt;"",DATA!E1074,"")</f>
        <v>CHAIN WITH HOOK</v>
      </c>
      <c r="N1075" s="12">
        <v>0</v>
      </c>
      <c r="O1075" s="11">
        <f>IF(I1075&lt;&gt;"",DATA!C1074,"")</f>
        <v>49.2</v>
      </c>
      <c r="P1075" s="2">
        <v>294094</v>
      </c>
      <c r="Q1075" s="2" t="s">
        <v>1304</v>
      </c>
      <c r="R1075" s="2" t="s">
        <v>1326</v>
      </c>
      <c r="S1075" s="2">
        <v>356</v>
      </c>
      <c r="T1075" s="2">
        <v>1</v>
      </c>
      <c r="U1075" s="2" t="s">
        <v>141</v>
      </c>
      <c r="Y1075" s="2">
        <v>1700</v>
      </c>
      <c r="Z1075" s="11" t="s">
        <v>54</v>
      </c>
      <c r="AA1075" s="11" t="str">
        <f t="shared" si="69"/>
        <v>1700 - TBN</v>
      </c>
      <c r="AC1075" s="2" t="s">
        <v>145</v>
      </c>
      <c r="AD1075" s="11" t="str">
        <f>IF($I1075&lt;&gt;"",VLOOKUP($AC1075,GEADRESSEERDE!$A$2:$E$4,2,),"")</f>
        <v>LUITHAGEN HAVEN 2 D</v>
      </c>
      <c r="AE1075" s="11">
        <f>IF($I1075&lt;&gt;"",VLOOKUP($AC1075,GEADRESSEERDE!$A$2:$E$4,3,),"")</f>
        <v>2030</v>
      </c>
      <c r="AF1075" s="11" t="str">
        <f>IF($I1075&lt;&gt;"",VLOOKUP($AC1075,GEADRESSEERDE!$A$2:$E$4,4,),"")</f>
        <v>ANTWERPEN</v>
      </c>
      <c r="AG1075" s="11" t="str">
        <f>IF($I1075&lt;&gt;"",VLOOKUP($AC1075,GEADRESSEERDE!$A$2:$E$4,5,),"")</f>
        <v>BE</v>
      </c>
      <c r="AH1075" s="11" t="str">
        <f>IF(I1075&lt;&gt;"",VLOOKUP(AP1075,KvB!$A$2:$B$3,2,FALSE),"")</f>
        <v>BE101000</v>
      </c>
      <c r="AI1075" s="11" t="s">
        <v>55</v>
      </c>
      <c r="AJ1075" s="11"/>
      <c r="AK1075" s="11"/>
      <c r="AL1075" s="11"/>
      <c r="AM1075" s="11"/>
      <c r="AN1075" s="11"/>
      <c r="AO1075" s="11"/>
      <c r="AP1075" s="2" t="s">
        <v>70</v>
      </c>
      <c r="AQ1075" s="11" t="str">
        <f>IF(I1075&lt;&gt;"",DATA!D1074,"")</f>
        <v>7419200090</v>
      </c>
    </row>
    <row r="1076" spans="1:43" ht="15.75" x14ac:dyDescent="0.25">
      <c r="A1076" s="11" t="s">
        <v>57</v>
      </c>
      <c r="B1076" s="11" t="s">
        <v>56</v>
      </c>
      <c r="C1076" s="22">
        <f t="shared" si="70"/>
        <v>25001620</v>
      </c>
      <c r="D1076" s="11" t="str">
        <f t="shared" ref="D1076:D1139" si="71">E1076</f>
        <v>SKIIFM_AT</v>
      </c>
      <c r="E1076" s="11" t="str">
        <f>IF(I1076&lt;&gt;"",VLOOKUP(F1076,OPDRACHTGEVER!$A$2:$B$4,2,FALSE),"")</f>
        <v>SKIIFM_AT</v>
      </c>
      <c r="F1076" s="11" t="s">
        <v>58</v>
      </c>
      <c r="I1076" s="11" t="str">
        <f>IF(DATA!B1075&lt;&gt;"",DATA!B1075,"")</f>
        <v>MEDU4455865</v>
      </c>
      <c r="J1076" s="12">
        <v>0</v>
      </c>
      <c r="K1076" s="11" t="s">
        <v>53</v>
      </c>
      <c r="L1076" s="11" t="str">
        <f t="shared" ref="L1076:L1139" si="72">LEFT(AQ1076,6)</f>
        <v>848071</v>
      </c>
      <c r="M1076" s="11" t="str">
        <f>IF(I1076&lt;&gt;"",DATA!E1075,"")</f>
        <v>CONCRETE STAMP</v>
      </c>
      <c r="N1076" s="12">
        <v>0</v>
      </c>
      <c r="O1076" s="11">
        <f>IF(I1076&lt;&gt;"",DATA!C1075,"")</f>
        <v>10.6</v>
      </c>
      <c r="P1076" s="2">
        <v>294094</v>
      </c>
      <c r="Q1076" s="2" t="s">
        <v>1304</v>
      </c>
      <c r="R1076" s="2" t="s">
        <v>1326</v>
      </c>
      <c r="S1076" s="2">
        <v>356</v>
      </c>
      <c r="T1076" s="2">
        <v>1</v>
      </c>
      <c r="U1076" s="2" t="s">
        <v>141</v>
      </c>
      <c r="Y1076" s="2">
        <v>1700</v>
      </c>
      <c r="Z1076" s="11" t="s">
        <v>54</v>
      </c>
      <c r="AA1076" s="11" t="str">
        <f t="shared" ref="AA1076:AA1139" si="73">IF(I1076&lt;&gt;"",Y1076&amp;" - "&amp;Z1076,"")</f>
        <v>1700 - TBN</v>
      </c>
      <c r="AC1076" s="2" t="s">
        <v>145</v>
      </c>
      <c r="AD1076" s="11" t="str">
        <f>IF($I1076&lt;&gt;"",VLOOKUP($AC1076,GEADRESSEERDE!$A$2:$E$4,2,),"")</f>
        <v>LUITHAGEN HAVEN 2 D</v>
      </c>
      <c r="AE1076" s="11">
        <f>IF($I1076&lt;&gt;"",VLOOKUP($AC1076,GEADRESSEERDE!$A$2:$E$4,3,),"")</f>
        <v>2030</v>
      </c>
      <c r="AF1076" s="11" t="str">
        <f>IF($I1076&lt;&gt;"",VLOOKUP($AC1076,GEADRESSEERDE!$A$2:$E$4,4,),"")</f>
        <v>ANTWERPEN</v>
      </c>
      <c r="AG1076" s="11" t="str">
        <f>IF($I1076&lt;&gt;"",VLOOKUP($AC1076,GEADRESSEERDE!$A$2:$E$4,5,),"")</f>
        <v>BE</v>
      </c>
      <c r="AH1076" s="11" t="str">
        <f>IF(I1076&lt;&gt;"",VLOOKUP(AP1076,KvB!$A$2:$B$3,2,FALSE),"")</f>
        <v>BE101000</v>
      </c>
      <c r="AI1076" s="11" t="s">
        <v>55</v>
      </c>
      <c r="AJ1076" s="11"/>
      <c r="AK1076" s="11"/>
      <c r="AL1076" s="11"/>
      <c r="AM1076" s="11"/>
      <c r="AN1076" s="11"/>
      <c r="AO1076" s="11"/>
      <c r="AP1076" s="2" t="s">
        <v>70</v>
      </c>
      <c r="AQ1076" s="11" t="str">
        <f>IF(I1076&lt;&gt;"",DATA!D1075,"")</f>
        <v>8480710000</v>
      </c>
    </row>
    <row r="1077" spans="1:43" ht="15.75" x14ac:dyDescent="0.25">
      <c r="A1077" s="11" t="s">
        <v>57</v>
      </c>
      <c r="B1077" s="11" t="s">
        <v>56</v>
      </c>
      <c r="C1077" s="22">
        <f t="shared" si="70"/>
        <v>25001620</v>
      </c>
      <c r="D1077" s="11" t="str">
        <f t="shared" si="71"/>
        <v>SKIIFM_AT</v>
      </c>
      <c r="E1077" s="11" t="str">
        <f>IF(I1077&lt;&gt;"",VLOOKUP(F1077,OPDRACHTGEVER!$A$2:$B$4,2,FALSE),"")</f>
        <v>SKIIFM_AT</v>
      </c>
      <c r="F1077" s="11" t="s">
        <v>58</v>
      </c>
      <c r="I1077" s="11" t="str">
        <f>IF(DATA!B1076&lt;&gt;"",DATA!B1076,"")</f>
        <v>MEDU4455865</v>
      </c>
      <c r="J1077" s="12">
        <v>0</v>
      </c>
      <c r="K1077" s="11" t="s">
        <v>53</v>
      </c>
      <c r="L1077" s="11" t="str">
        <f t="shared" si="72"/>
        <v>842382</v>
      </c>
      <c r="M1077" s="11" t="str">
        <f>IF(I1077&lt;&gt;"",DATA!E1076,"")</f>
        <v>CRANE SCALE</v>
      </c>
      <c r="N1077" s="12">
        <v>0</v>
      </c>
      <c r="O1077" s="11">
        <f>IF(I1077&lt;&gt;"",DATA!C1076,"")</f>
        <v>4.95</v>
      </c>
      <c r="P1077" s="2">
        <v>294094</v>
      </c>
      <c r="Q1077" s="2" t="s">
        <v>1304</v>
      </c>
      <c r="R1077" s="2" t="s">
        <v>1326</v>
      </c>
      <c r="S1077" s="2">
        <v>356</v>
      </c>
      <c r="T1077" s="2">
        <v>1</v>
      </c>
      <c r="U1077" s="2" t="s">
        <v>141</v>
      </c>
      <c r="Y1077" s="2">
        <v>1700</v>
      </c>
      <c r="Z1077" s="11" t="s">
        <v>54</v>
      </c>
      <c r="AA1077" s="11" t="str">
        <f t="shared" si="73"/>
        <v>1700 - TBN</v>
      </c>
      <c r="AC1077" s="2" t="s">
        <v>145</v>
      </c>
      <c r="AD1077" s="11" t="str">
        <f>IF($I1077&lt;&gt;"",VLOOKUP($AC1077,GEADRESSEERDE!$A$2:$E$4,2,),"")</f>
        <v>LUITHAGEN HAVEN 2 D</v>
      </c>
      <c r="AE1077" s="11">
        <f>IF($I1077&lt;&gt;"",VLOOKUP($AC1077,GEADRESSEERDE!$A$2:$E$4,3,),"")</f>
        <v>2030</v>
      </c>
      <c r="AF1077" s="11" t="str">
        <f>IF($I1077&lt;&gt;"",VLOOKUP($AC1077,GEADRESSEERDE!$A$2:$E$4,4,),"")</f>
        <v>ANTWERPEN</v>
      </c>
      <c r="AG1077" s="11" t="str">
        <f>IF($I1077&lt;&gt;"",VLOOKUP($AC1077,GEADRESSEERDE!$A$2:$E$4,5,),"")</f>
        <v>BE</v>
      </c>
      <c r="AH1077" s="11" t="str">
        <f>IF(I1077&lt;&gt;"",VLOOKUP(AP1077,KvB!$A$2:$B$3,2,FALSE),"")</f>
        <v>BE101000</v>
      </c>
      <c r="AI1077" s="11" t="s">
        <v>55</v>
      </c>
      <c r="AJ1077" s="11"/>
      <c r="AK1077" s="11"/>
      <c r="AL1077" s="11"/>
      <c r="AM1077" s="11"/>
      <c r="AN1077" s="11"/>
      <c r="AO1077" s="11"/>
      <c r="AP1077" s="2" t="s">
        <v>70</v>
      </c>
      <c r="AQ1077" s="11" t="str">
        <f>IF(I1077&lt;&gt;"",DATA!D1076,"")</f>
        <v>8423822000</v>
      </c>
    </row>
    <row r="1078" spans="1:43" ht="15.75" x14ac:dyDescent="0.25">
      <c r="A1078" s="11" t="s">
        <v>57</v>
      </c>
      <c r="B1078" s="11" t="s">
        <v>56</v>
      </c>
      <c r="C1078" s="22">
        <f t="shared" si="70"/>
        <v>25001620</v>
      </c>
      <c r="D1078" s="11" t="str">
        <f t="shared" si="71"/>
        <v>SKIIFM_AT</v>
      </c>
      <c r="E1078" s="11" t="str">
        <f>IF(I1078&lt;&gt;"",VLOOKUP(F1078,OPDRACHTGEVER!$A$2:$B$4,2,FALSE),"")</f>
        <v>SKIIFM_AT</v>
      </c>
      <c r="F1078" s="11" t="s">
        <v>58</v>
      </c>
      <c r="I1078" s="11" t="str">
        <f>IF(DATA!B1077&lt;&gt;"",DATA!B1077,"")</f>
        <v>MEDU4455865</v>
      </c>
      <c r="J1078" s="12">
        <v>0</v>
      </c>
      <c r="K1078" s="11" t="s">
        <v>53</v>
      </c>
      <c r="L1078" s="11" t="str">
        <f t="shared" si="72"/>
        <v>940370</v>
      </c>
      <c r="M1078" s="11" t="str">
        <f>IF(I1078&lt;&gt;"",DATA!E1077,"")</f>
        <v>DIAPER CHANGE STATION</v>
      </c>
      <c r="N1078" s="12">
        <v>0</v>
      </c>
      <c r="O1078" s="11">
        <f>IF(I1078&lt;&gt;"",DATA!C1077,"")</f>
        <v>341</v>
      </c>
      <c r="P1078" s="2">
        <v>294094</v>
      </c>
      <c r="Q1078" s="2" t="s">
        <v>1304</v>
      </c>
      <c r="R1078" s="2" t="s">
        <v>1326</v>
      </c>
      <c r="S1078" s="2">
        <v>356</v>
      </c>
      <c r="T1078" s="2">
        <v>1</v>
      </c>
      <c r="U1078" s="2" t="s">
        <v>141</v>
      </c>
      <c r="Y1078" s="2">
        <v>1700</v>
      </c>
      <c r="Z1078" s="11" t="s">
        <v>54</v>
      </c>
      <c r="AA1078" s="11" t="str">
        <f t="shared" si="73"/>
        <v>1700 - TBN</v>
      </c>
      <c r="AC1078" s="2" t="s">
        <v>145</v>
      </c>
      <c r="AD1078" s="11" t="str">
        <f>IF($I1078&lt;&gt;"",VLOOKUP($AC1078,GEADRESSEERDE!$A$2:$E$4,2,),"")</f>
        <v>LUITHAGEN HAVEN 2 D</v>
      </c>
      <c r="AE1078" s="11">
        <f>IF($I1078&lt;&gt;"",VLOOKUP($AC1078,GEADRESSEERDE!$A$2:$E$4,3,),"")</f>
        <v>2030</v>
      </c>
      <c r="AF1078" s="11" t="str">
        <f>IF($I1078&lt;&gt;"",VLOOKUP($AC1078,GEADRESSEERDE!$A$2:$E$4,4,),"")</f>
        <v>ANTWERPEN</v>
      </c>
      <c r="AG1078" s="11" t="str">
        <f>IF($I1078&lt;&gt;"",VLOOKUP($AC1078,GEADRESSEERDE!$A$2:$E$4,5,),"")</f>
        <v>BE</v>
      </c>
      <c r="AH1078" s="11" t="str">
        <f>IF(I1078&lt;&gt;"",VLOOKUP(AP1078,KvB!$A$2:$B$3,2,FALSE),"")</f>
        <v>BE101000</v>
      </c>
      <c r="AI1078" s="11" t="s">
        <v>55</v>
      </c>
      <c r="AJ1078" s="11"/>
      <c r="AK1078" s="11"/>
      <c r="AL1078" s="11"/>
      <c r="AM1078" s="11"/>
      <c r="AN1078" s="11"/>
      <c r="AO1078" s="11"/>
      <c r="AP1078" s="2" t="s">
        <v>70</v>
      </c>
      <c r="AQ1078" s="11" t="str">
        <f>IF(I1078&lt;&gt;"",DATA!D1077,"")</f>
        <v>9403700000</v>
      </c>
    </row>
    <row r="1079" spans="1:43" ht="15.75" x14ac:dyDescent="0.25">
      <c r="A1079" s="11" t="s">
        <v>57</v>
      </c>
      <c r="B1079" s="11" t="s">
        <v>56</v>
      </c>
      <c r="C1079" s="22">
        <f t="shared" si="70"/>
        <v>25001620</v>
      </c>
      <c r="D1079" s="11" t="str">
        <f t="shared" si="71"/>
        <v>SKIIFM_AT</v>
      </c>
      <c r="E1079" s="11" t="str">
        <f>IF(I1079&lt;&gt;"",VLOOKUP(F1079,OPDRACHTGEVER!$A$2:$B$4,2,FALSE),"")</f>
        <v>SKIIFM_AT</v>
      </c>
      <c r="F1079" s="11" t="s">
        <v>58</v>
      </c>
      <c r="I1079" s="11" t="str">
        <f>IF(DATA!B1078&lt;&gt;"",DATA!B1078,"")</f>
        <v>MEDU4455865</v>
      </c>
      <c r="J1079" s="12">
        <v>0</v>
      </c>
      <c r="K1079" s="11" t="s">
        <v>53</v>
      </c>
      <c r="L1079" s="11" t="str">
        <f t="shared" si="72"/>
        <v>820540</v>
      </c>
      <c r="M1079" s="11" t="str">
        <f>IF(I1079&lt;&gt;"",DATA!E1078,"")</f>
        <v>DIGITAL TORQUE SCREWDRIVER</v>
      </c>
      <c r="N1079" s="12">
        <v>0</v>
      </c>
      <c r="O1079" s="11">
        <f>IF(I1079&lt;&gt;"",DATA!C1078,"")</f>
        <v>4</v>
      </c>
      <c r="P1079" s="2">
        <v>294094</v>
      </c>
      <c r="Q1079" s="2" t="s">
        <v>1304</v>
      </c>
      <c r="R1079" s="2" t="s">
        <v>1326</v>
      </c>
      <c r="S1079" s="2">
        <v>356</v>
      </c>
      <c r="T1079" s="2">
        <v>1</v>
      </c>
      <c r="U1079" s="2" t="s">
        <v>141</v>
      </c>
      <c r="Y1079" s="2">
        <v>1700</v>
      </c>
      <c r="Z1079" s="11" t="s">
        <v>54</v>
      </c>
      <c r="AA1079" s="11" t="str">
        <f t="shared" si="73"/>
        <v>1700 - TBN</v>
      </c>
      <c r="AC1079" s="2" t="s">
        <v>145</v>
      </c>
      <c r="AD1079" s="11" t="str">
        <f>IF($I1079&lt;&gt;"",VLOOKUP($AC1079,GEADRESSEERDE!$A$2:$E$4,2,),"")</f>
        <v>LUITHAGEN HAVEN 2 D</v>
      </c>
      <c r="AE1079" s="11">
        <f>IF($I1079&lt;&gt;"",VLOOKUP($AC1079,GEADRESSEERDE!$A$2:$E$4,3,),"")</f>
        <v>2030</v>
      </c>
      <c r="AF1079" s="11" t="str">
        <f>IF($I1079&lt;&gt;"",VLOOKUP($AC1079,GEADRESSEERDE!$A$2:$E$4,4,),"")</f>
        <v>ANTWERPEN</v>
      </c>
      <c r="AG1079" s="11" t="str">
        <f>IF($I1079&lt;&gt;"",VLOOKUP($AC1079,GEADRESSEERDE!$A$2:$E$4,5,),"")</f>
        <v>BE</v>
      </c>
      <c r="AH1079" s="11" t="str">
        <f>IF(I1079&lt;&gt;"",VLOOKUP(AP1079,KvB!$A$2:$B$3,2,FALSE),"")</f>
        <v>BE101000</v>
      </c>
      <c r="AI1079" s="11" t="s">
        <v>55</v>
      </c>
      <c r="AJ1079" s="11"/>
      <c r="AK1079" s="11"/>
      <c r="AL1079" s="11"/>
      <c r="AM1079" s="11"/>
      <c r="AN1079" s="11"/>
      <c r="AO1079" s="11"/>
      <c r="AP1079" s="2" t="s">
        <v>70</v>
      </c>
      <c r="AQ1079" s="11" t="str">
        <f>IF(I1079&lt;&gt;"",DATA!D1078,"")</f>
        <v>8205400000</v>
      </c>
    </row>
    <row r="1080" spans="1:43" ht="15.75" x14ac:dyDescent="0.25">
      <c r="A1080" s="11" t="s">
        <v>57</v>
      </c>
      <c r="B1080" s="11" t="s">
        <v>56</v>
      </c>
      <c r="C1080" s="22">
        <f t="shared" si="70"/>
        <v>25001620</v>
      </c>
      <c r="D1080" s="11" t="str">
        <f t="shared" si="71"/>
        <v>SKIIFM_AT</v>
      </c>
      <c r="E1080" s="11" t="str">
        <f>IF(I1080&lt;&gt;"",VLOOKUP(F1080,OPDRACHTGEVER!$A$2:$B$4,2,FALSE),"")</f>
        <v>SKIIFM_AT</v>
      </c>
      <c r="F1080" s="11" t="s">
        <v>58</v>
      </c>
      <c r="I1080" s="11" t="str">
        <f>IF(DATA!B1079&lt;&gt;"",DATA!B1079,"")</f>
        <v>MEDU4455865</v>
      </c>
      <c r="J1080" s="12">
        <v>0</v>
      </c>
      <c r="K1080" s="11" t="s">
        <v>53</v>
      </c>
      <c r="L1080" s="11" t="str">
        <f t="shared" si="72"/>
        <v>841850</v>
      </c>
      <c r="M1080" s="11" t="str">
        <f>IF(I1080&lt;&gt;"",DATA!E1079,"")</f>
        <v>DISPLAY CABINET</v>
      </c>
      <c r="N1080" s="12">
        <v>0</v>
      </c>
      <c r="O1080" s="11">
        <f>IF(I1080&lt;&gt;"",DATA!C1079,"")</f>
        <v>466</v>
      </c>
      <c r="P1080" s="2">
        <v>294094</v>
      </c>
      <c r="Q1080" s="2" t="s">
        <v>1304</v>
      </c>
      <c r="R1080" s="2" t="s">
        <v>1326</v>
      </c>
      <c r="S1080" s="2">
        <v>356</v>
      </c>
      <c r="T1080" s="2">
        <v>1</v>
      </c>
      <c r="U1080" s="2" t="s">
        <v>141</v>
      </c>
      <c r="Y1080" s="2">
        <v>1700</v>
      </c>
      <c r="Z1080" s="11" t="s">
        <v>54</v>
      </c>
      <c r="AA1080" s="11" t="str">
        <f t="shared" si="73"/>
        <v>1700 - TBN</v>
      </c>
      <c r="AC1080" s="2" t="s">
        <v>145</v>
      </c>
      <c r="AD1080" s="11" t="str">
        <f>IF($I1080&lt;&gt;"",VLOOKUP($AC1080,GEADRESSEERDE!$A$2:$E$4,2,),"")</f>
        <v>LUITHAGEN HAVEN 2 D</v>
      </c>
      <c r="AE1080" s="11">
        <f>IF($I1080&lt;&gt;"",VLOOKUP($AC1080,GEADRESSEERDE!$A$2:$E$4,3,),"")</f>
        <v>2030</v>
      </c>
      <c r="AF1080" s="11" t="str">
        <f>IF($I1080&lt;&gt;"",VLOOKUP($AC1080,GEADRESSEERDE!$A$2:$E$4,4,),"")</f>
        <v>ANTWERPEN</v>
      </c>
      <c r="AG1080" s="11" t="str">
        <f>IF($I1080&lt;&gt;"",VLOOKUP($AC1080,GEADRESSEERDE!$A$2:$E$4,5,),"")</f>
        <v>BE</v>
      </c>
      <c r="AH1080" s="11" t="str">
        <f>IF(I1080&lt;&gt;"",VLOOKUP(AP1080,KvB!$A$2:$B$3,2,FALSE),"")</f>
        <v>BE101000</v>
      </c>
      <c r="AI1080" s="11" t="s">
        <v>55</v>
      </c>
      <c r="AJ1080" s="11"/>
      <c r="AK1080" s="11"/>
      <c r="AL1080" s="11"/>
      <c r="AM1080" s="11"/>
      <c r="AN1080" s="11"/>
      <c r="AO1080" s="11"/>
      <c r="AP1080" s="2" t="s">
        <v>70</v>
      </c>
      <c r="AQ1080" s="11" t="str">
        <f>IF(I1080&lt;&gt;"",DATA!D1079,"")</f>
        <v>8418509090</v>
      </c>
    </row>
    <row r="1081" spans="1:43" ht="15.75" x14ac:dyDescent="0.25">
      <c r="A1081" s="11" t="s">
        <v>57</v>
      </c>
      <c r="B1081" s="11" t="s">
        <v>56</v>
      </c>
      <c r="C1081" s="22">
        <f t="shared" si="70"/>
        <v>25001620</v>
      </c>
      <c r="D1081" s="11" t="str">
        <f t="shared" si="71"/>
        <v>SKIIFM_AT</v>
      </c>
      <c r="E1081" s="11" t="str">
        <f>IF(I1081&lt;&gt;"",VLOOKUP(F1081,OPDRACHTGEVER!$A$2:$B$4,2,FALSE),"")</f>
        <v>SKIIFM_AT</v>
      </c>
      <c r="F1081" s="11" t="s">
        <v>58</v>
      </c>
      <c r="I1081" s="11" t="str">
        <f>IF(DATA!B1080&lt;&gt;"",DATA!B1080,"")</f>
        <v>MEDU4455865</v>
      </c>
      <c r="J1081" s="12">
        <v>0</v>
      </c>
      <c r="K1081" s="11" t="s">
        <v>53</v>
      </c>
      <c r="L1081" s="11" t="str">
        <f t="shared" si="72"/>
        <v>741920</v>
      </c>
      <c r="M1081" s="11" t="str">
        <f>IF(I1081&lt;&gt;"",DATA!E1080,"")</f>
        <v>DOG BARRIER PROOF</v>
      </c>
      <c r="N1081" s="12">
        <v>0</v>
      </c>
      <c r="O1081" s="11">
        <f>IF(I1081&lt;&gt;"",DATA!C1080,"")</f>
        <v>9.5500000000000007</v>
      </c>
      <c r="P1081" s="2">
        <v>294094</v>
      </c>
      <c r="Q1081" s="2" t="s">
        <v>1304</v>
      </c>
      <c r="R1081" s="2" t="s">
        <v>1326</v>
      </c>
      <c r="S1081" s="2">
        <v>356</v>
      </c>
      <c r="T1081" s="2">
        <v>1</v>
      </c>
      <c r="U1081" s="2" t="s">
        <v>141</v>
      </c>
      <c r="Y1081" s="2">
        <v>1700</v>
      </c>
      <c r="Z1081" s="11" t="s">
        <v>54</v>
      </c>
      <c r="AA1081" s="11" t="str">
        <f t="shared" si="73"/>
        <v>1700 - TBN</v>
      </c>
      <c r="AC1081" s="2" t="s">
        <v>145</v>
      </c>
      <c r="AD1081" s="11" t="str">
        <f>IF($I1081&lt;&gt;"",VLOOKUP($AC1081,GEADRESSEERDE!$A$2:$E$4,2,),"")</f>
        <v>LUITHAGEN HAVEN 2 D</v>
      </c>
      <c r="AE1081" s="11">
        <f>IF($I1081&lt;&gt;"",VLOOKUP($AC1081,GEADRESSEERDE!$A$2:$E$4,3,),"")</f>
        <v>2030</v>
      </c>
      <c r="AF1081" s="11" t="str">
        <f>IF($I1081&lt;&gt;"",VLOOKUP($AC1081,GEADRESSEERDE!$A$2:$E$4,4,),"")</f>
        <v>ANTWERPEN</v>
      </c>
      <c r="AG1081" s="11" t="str">
        <f>IF($I1081&lt;&gt;"",VLOOKUP($AC1081,GEADRESSEERDE!$A$2:$E$4,5,),"")</f>
        <v>BE</v>
      </c>
      <c r="AH1081" s="11" t="str">
        <f>IF(I1081&lt;&gt;"",VLOOKUP(AP1081,KvB!$A$2:$B$3,2,FALSE),"")</f>
        <v>BE101000</v>
      </c>
      <c r="AI1081" s="11" t="s">
        <v>55</v>
      </c>
      <c r="AJ1081" s="11"/>
      <c r="AK1081" s="11"/>
      <c r="AL1081" s="11"/>
      <c r="AM1081" s="11"/>
      <c r="AN1081" s="11"/>
      <c r="AO1081" s="11"/>
      <c r="AP1081" s="2" t="s">
        <v>70</v>
      </c>
      <c r="AQ1081" s="11" t="str">
        <f>IF(I1081&lt;&gt;"",DATA!D1080,"")</f>
        <v>7419200090</v>
      </c>
    </row>
    <row r="1082" spans="1:43" ht="15.75" x14ac:dyDescent="0.25">
      <c r="A1082" s="11" t="s">
        <v>57</v>
      </c>
      <c r="B1082" s="11" t="s">
        <v>56</v>
      </c>
      <c r="C1082" s="22">
        <f t="shared" si="70"/>
        <v>25001620</v>
      </c>
      <c r="D1082" s="11" t="str">
        <f t="shared" si="71"/>
        <v>SKIIFM_AT</v>
      </c>
      <c r="E1082" s="11" t="str">
        <f>IF(I1082&lt;&gt;"",VLOOKUP(F1082,OPDRACHTGEVER!$A$2:$B$4,2,FALSE),"")</f>
        <v>SKIIFM_AT</v>
      </c>
      <c r="F1082" s="11" t="s">
        <v>58</v>
      </c>
      <c r="I1082" s="11" t="str">
        <f>IF(DATA!B1081&lt;&gt;"",DATA!B1081,"")</f>
        <v>MEDU4455865</v>
      </c>
      <c r="J1082" s="12">
        <v>0</v>
      </c>
      <c r="K1082" s="11" t="s">
        <v>53</v>
      </c>
      <c r="L1082" s="11" t="str">
        <f t="shared" si="72"/>
        <v>851660</v>
      </c>
      <c r="M1082" s="11" t="str">
        <f>IF(I1082&lt;&gt;"",DATA!E1081,"")</f>
        <v>ELECTRIC ROTISSERIE</v>
      </c>
      <c r="N1082" s="12">
        <v>0</v>
      </c>
      <c r="O1082" s="11">
        <f>IF(I1082&lt;&gt;"",DATA!C1081,"")</f>
        <v>405</v>
      </c>
      <c r="P1082" s="2">
        <v>294094</v>
      </c>
      <c r="Q1082" s="2" t="s">
        <v>1304</v>
      </c>
      <c r="R1082" s="2" t="s">
        <v>1326</v>
      </c>
      <c r="S1082" s="2">
        <v>356</v>
      </c>
      <c r="T1082" s="2">
        <v>1</v>
      </c>
      <c r="U1082" s="2" t="s">
        <v>141</v>
      </c>
      <c r="Y1082" s="2">
        <v>1700</v>
      </c>
      <c r="Z1082" s="11" t="s">
        <v>54</v>
      </c>
      <c r="AA1082" s="11" t="str">
        <f t="shared" si="73"/>
        <v>1700 - TBN</v>
      </c>
      <c r="AC1082" s="2" t="s">
        <v>145</v>
      </c>
      <c r="AD1082" s="11" t="str">
        <f>IF($I1082&lt;&gt;"",VLOOKUP($AC1082,GEADRESSEERDE!$A$2:$E$4,2,),"")</f>
        <v>LUITHAGEN HAVEN 2 D</v>
      </c>
      <c r="AE1082" s="11">
        <f>IF($I1082&lt;&gt;"",VLOOKUP($AC1082,GEADRESSEERDE!$A$2:$E$4,3,),"")</f>
        <v>2030</v>
      </c>
      <c r="AF1082" s="11" t="str">
        <f>IF($I1082&lt;&gt;"",VLOOKUP($AC1082,GEADRESSEERDE!$A$2:$E$4,4,),"")</f>
        <v>ANTWERPEN</v>
      </c>
      <c r="AG1082" s="11" t="str">
        <f>IF($I1082&lt;&gt;"",VLOOKUP($AC1082,GEADRESSEERDE!$A$2:$E$4,5,),"")</f>
        <v>BE</v>
      </c>
      <c r="AH1082" s="11" t="str">
        <f>IF(I1082&lt;&gt;"",VLOOKUP(AP1082,KvB!$A$2:$B$3,2,FALSE),"")</f>
        <v>BE101000</v>
      </c>
      <c r="AI1082" s="11" t="s">
        <v>55</v>
      </c>
      <c r="AJ1082" s="11"/>
      <c r="AK1082" s="11"/>
      <c r="AL1082" s="11"/>
      <c r="AM1082" s="11"/>
      <c r="AN1082" s="11"/>
      <c r="AO1082" s="11"/>
      <c r="AP1082" s="2" t="s">
        <v>70</v>
      </c>
      <c r="AQ1082" s="11" t="str">
        <f>IF(I1082&lt;&gt;"",DATA!D1081,"")</f>
        <v>8516609000</v>
      </c>
    </row>
    <row r="1083" spans="1:43" ht="15.75" x14ac:dyDescent="0.25">
      <c r="A1083" s="11" t="s">
        <v>57</v>
      </c>
      <c r="B1083" s="11" t="s">
        <v>56</v>
      </c>
      <c r="C1083" s="22">
        <f t="shared" si="70"/>
        <v>25001620</v>
      </c>
      <c r="D1083" s="11" t="str">
        <f t="shared" si="71"/>
        <v>SKIIFM_AT</v>
      </c>
      <c r="E1083" s="11" t="str">
        <f>IF(I1083&lt;&gt;"",VLOOKUP(F1083,OPDRACHTGEVER!$A$2:$B$4,2,FALSE),"")</f>
        <v>SKIIFM_AT</v>
      </c>
      <c r="F1083" s="11" t="s">
        <v>58</v>
      </c>
      <c r="I1083" s="11" t="str">
        <f>IF(DATA!B1082&lt;&gt;"",DATA!B1082,"")</f>
        <v>MEDU4455865</v>
      </c>
      <c r="J1083" s="12">
        <v>0</v>
      </c>
      <c r="K1083" s="11" t="s">
        <v>53</v>
      </c>
      <c r="L1083" s="11" t="str">
        <f t="shared" si="72"/>
        <v>846490</v>
      </c>
      <c r="M1083" s="11" t="str">
        <f>IF(I1083&lt;&gt;"",DATA!E1082,"")</f>
        <v>ENGRAVING MACHINE</v>
      </c>
      <c r="N1083" s="12">
        <v>0</v>
      </c>
      <c r="O1083" s="11">
        <f>IF(I1083&lt;&gt;"",DATA!C1082,"")</f>
        <v>5.0999999999999996</v>
      </c>
      <c r="P1083" s="2">
        <v>294094</v>
      </c>
      <c r="Q1083" s="2" t="s">
        <v>1304</v>
      </c>
      <c r="R1083" s="2" t="s">
        <v>1326</v>
      </c>
      <c r="S1083" s="2">
        <v>356</v>
      </c>
      <c r="T1083" s="2">
        <v>1</v>
      </c>
      <c r="U1083" s="2" t="s">
        <v>141</v>
      </c>
      <c r="Y1083" s="2">
        <v>1700</v>
      </c>
      <c r="Z1083" s="11" t="s">
        <v>54</v>
      </c>
      <c r="AA1083" s="11" t="str">
        <f t="shared" si="73"/>
        <v>1700 - TBN</v>
      </c>
      <c r="AC1083" s="2" t="s">
        <v>145</v>
      </c>
      <c r="AD1083" s="11" t="str">
        <f>IF($I1083&lt;&gt;"",VLOOKUP($AC1083,GEADRESSEERDE!$A$2:$E$4,2,),"")</f>
        <v>LUITHAGEN HAVEN 2 D</v>
      </c>
      <c r="AE1083" s="11">
        <f>IF($I1083&lt;&gt;"",VLOOKUP($AC1083,GEADRESSEERDE!$A$2:$E$4,3,),"")</f>
        <v>2030</v>
      </c>
      <c r="AF1083" s="11" t="str">
        <f>IF($I1083&lt;&gt;"",VLOOKUP($AC1083,GEADRESSEERDE!$A$2:$E$4,4,),"")</f>
        <v>ANTWERPEN</v>
      </c>
      <c r="AG1083" s="11" t="str">
        <f>IF($I1083&lt;&gt;"",VLOOKUP($AC1083,GEADRESSEERDE!$A$2:$E$4,5,),"")</f>
        <v>BE</v>
      </c>
      <c r="AH1083" s="11" t="str">
        <f>IF(I1083&lt;&gt;"",VLOOKUP(AP1083,KvB!$A$2:$B$3,2,FALSE),"")</f>
        <v>BE101000</v>
      </c>
      <c r="AI1083" s="11" t="s">
        <v>55</v>
      </c>
      <c r="AJ1083" s="11"/>
      <c r="AK1083" s="11"/>
      <c r="AL1083" s="11"/>
      <c r="AM1083" s="11"/>
      <c r="AN1083" s="11"/>
      <c r="AO1083" s="11"/>
      <c r="AP1083" s="2" t="s">
        <v>70</v>
      </c>
      <c r="AQ1083" s="11" t="str">
        <f>IF(I1083&lt;&gt;"",DATA!D1082,"")</f>
        <v>8464900000</v>
      </c>
    </row>
    <row r="1084" spans="1:43" ht="15.75" x14ac:dyDescent="0.25">
      <c r="A1084" s="11" t="s">
        <v>57</v>
      </c>
      <c r="B1084" s="11" t="s">
        <v>56</v>
      </c>
      <c r="C1084" s="22">
        <f t="shared" si="70"/>
        <v>25001620</v>
      </c>
      <c r="D1084" s="11" t="str">
        <f t="shared" si="71"/>
        <v>SKIIFM_AT</v>
      </c>
      <c r="E1084" s="11" t="str">
        <f>IF(I1084&lt;&gt;"",VLOOKUP(F1084,OPDRACHTGEVER!$A$2:$B$4,2,FALSE),"")</f>
        <v>SKIIFM_AT</v>
      </c>
      <c r="F1084" s="11" t="s">
        <v>58</v>
      </c>
      <c r="I1084" s="11" t="str">
        <f>IF(DATA!B1083&lt;&gt;"",DATA!B1083,"")</f>
        <v>MEDU4455865</v>
      </c>
      <c r="J1084" s="12">
        <v>0</v>
      </c>
      <c r="K1084" s="11" t="s">
        <v>53</v>
      </c>
      <c r="L1084" s="11" t="str">
        <f t="shared" si="72"/>
        <v>940389</v>
      </c>
      <c r="M1084" s="11" t="str">
        <f>IF(I1084&lt;&gt;"",DATA!E1083,"")</f>
        <v>FABRIC ROOM DIVIDER</v>
      </c>
      <c r="N1084" s="12">
        <v>0</v>
      </c>
      <c r="O1084" s="11">
        <f>IF(I1084&lt;&gt;"",DATA!C1083,"")</f>
        <v>3.95</v>
      </c>
      <c r="P1084" s="2">
        <v>294094</v>
      </c>
      <c r="Q1084" s="2" t="s">
        <v>1304</v>
      </c>
      <c r="R1084" s="2" t="s">
        <v>1326</v>
      </c>
      <c r="S1084" s="2">
        <v>356</v>
      </c>
      <c r="T1084" s="2">
        <v>1</v>
      </c>
      <c r="U1084" s="2" t="s">
        <v>141</v>
      </c>
      <c r="Y1084" s="2">
        <v>1700</v>
      </c>
      <c r="Z1084" s="11" t="s">
        <v>54</v>
      </c>
      <c r="AA1084" s="11" t="str">
        <f t="shared" si="73"/>
        <v>1700 - TBN</v>
      </c>
      <c r="AC1084" s="2" t="s">
        <v>145</v>
      </c>
      <c r="AD1084" s="11" t="str">
        <f>IF($I1084&lt;&gt;"",VLOOKUP($AC1084,GEADRESSEERDE!$A$2:$E$4,2,),"")</f>
        <v>LUITHAGEN HAVEN 2 D</v>
      </c>
      <c r="AE1084" s="11">
        <f>IF($I1084&lt;&gt;"",VLOOKUP($AC1084,GEADRESSEERDE!$A$2:$E$4,3,),"")</f>
        <v>2030</v>
      </c>
      <c r="AF1084" s="11" t="str">
        <f>IF($I1084&lt;&gt;"",VLOOKUP($AC1084,GEADRESSEERDE!$A$2:$E$4,4,),"")</f>
        <v>ANTWERPEN</v>
      </c>
      <c r="AG1084" s="11" t="str">
        <f>IF($I1084&lt;&gt;"",VLOOKUP($AC1084,GEADRESSEERDE!$A$2:$E$4,5,),"")</f>
        <v>BE</v>
      </c>
      <c r="AH1084" s="11" t="str">
        <f>IF(I1084&lt;&gt;"",VLOOKUP(AP1084,KvB!$A$2:$B$3,2,FALSE),"")</f>
        <v>BE101000</v>
      </c>
      <c r="AI1084" s="11" t="s">
        <v>55</v>
      </c>
      <c r="AJ1084" s="11"/>
      <c r="AK1084" s="11"/>
      <c r="AL1084" s="11"/>
      <c r="AM1084" s="11"/>
      <c r="AN1084" s="11"/>
      <c r="AO1084" s="11"/>
      <c r="AP1084" s="2" t="s">
        <v>70</v>
      </c>
      <c r="AQ1084" s="11" t="str">
        <f>IF(I1084&lt;&gt;"",DATA!D1083,"")</f>
        <v>9403890090</v>
      </c>
    </row>
    <row r="1085" spans="1:43" ht="15.75" x14ac:dyDescent="0.25">
      <c r="A1085" s="11" t="s">
        <v>57</v>
      </c>
      <c r="B1085" s="11" t="s">
        <v>56</v>
      </c>
      <c r="C1085" s="22">
        <f t="shared" si="70"/>
        <v>25001620</v>
      </c>
      <c r="D1085" s="11" t="str">
        <f t="shared" si="71"/>
        <v>SKIIFM_AT</v>
      </c>
      <c r="E1085" s="11" t="str">
        <f>IF(I1085&lt;&gt;"",VLOOKUP(F1085,OPDRACHTGEVER!$A$2:$B$4,2,FALSE),"")</f>
        <v>SKIIFM_AT</v>
      </c>
      <c r="F1085" s="11" t="s">
        <v>58</v>
      </c>
      <c r="I1085" s="11" t="str">
        <f>IF(DATA!B1084&lt;&gt;"",DATA!B1084,"")</f>
        <v>MEDU4455865</v>
      </c>
      <c r="J1085" s="12">
        <v>0</v>
      </c>
      <c r="K1085" s="11" t="s">
        <v>53</v>
      </c>
      <c r="L1085" s="11" t="str">
        <f t="shared" si="72"/>
        <v>842199</v>
      </c>
      <c r="M1085" s="11" t="str">
        <f>IF(I1085&lt;&gt;"",DATA!E1084,"")</f>
        <v>FIBER FILTER BALL</v>
      </c>
      <c r="N1085" s="12">
        <v>0</v>
      </c>
      <c r="O1085" s="11">
        <f>IF(I1085&lt;&gt;"",DATA!C1084,"")</f>
        <v>4.2</v>
      </c>
      <c r="P1085" s="2">
        <v>294094</v>
      </c>
      <c r="Q1085" s="2" t="s">
        <v>1304</v>
      </c>
      <c r="R1085" s="2" t="s">
        <v>1326</v>
      </c>
      <c r="S1085" s="2">
        <v>356</v>
      </c>
      <c r="T1085" s="2">
        <v>1</v>
      </c>
      <c r="U1085" s="2" t="s">
        <v>141</v>
      </c>
      <c r="Y1085" s="2">
        <v>1700</v>
      </c>
      <c r="Z1085" s="11" t="s">
        <v>54</v>
      </c>
      <c r="AA1085" s="11" t="str">
        <f t="shared" si="73"/>
        <v>1700 - TBN</v>
      </c>
      <c r="AC1085" s="2" t="s">
        <v>145</v>
      </c>
      <c r="AD1085" s="11" t="str">
        <f>IF($I1085&lt;&gt;"",VLOOKUP($AC1085,GEADRESSEERDE!$A$2:$E$4,2,),"")</f>
        <v>LUITHAGEN HAVEN 2 D</v>
      </c>
      <c r="AE1085" s="11">
        <f>IF($I1085&lt;&gt;"",VLOOKUP($AC1085,GEADRESSEERDE!$A$2:$E$4,3,),"")</f>
        <v>2030</v>
      </c>
      <c r="AF1085" s="11" t="str">
        <f>IF($I1085&lt;&gt;"",VLOOKUP($AC1085,GEADRESSEERDE!$A$2:$E$4,4,),"")</f>
        <v>ANTWERPEN</v>
      </c>
      <c r="AG1085" s="11" t="str">
        <f>IF($I1085&lt;&gt;"",VLOOKUP($AC1085,GEADRESSEERDE!$A$2:$E$4,5,),"")</f>
        <v>BE</v>
      </c>
      <c r="AH1085" s="11" t="str">
        <f>IF(I1085&lt;&gt;"",VLOOKUP(AP1085,KvB!$A$2:$B$3,2,FALSE),"")</f>
        <v>BE101000</v>
      </c>
      <c r="AI1085" s="11" t="s">
        <v>55</v>
      </c>
      <c r="AJ1085" s="11"/>
      <c r="AK1085" s="11"/>
      <c r="AL1085" s="11"/>
      <c r="AM1085" s="11"/>
      <c r="AN1085" s="11"/>
      <c r="AO1085" s="11"/>
      <c r="AP1085" s="2" t="s">
        <v>70</v>
      </c>
      <c r="AQ1085" s="11" t="str">
        <f>IF(I1085&lt;&gt;"",DATA!D1084,"")</f>
        <v>8421999099</v>
      </c>
    </row>
    <row r="1086" spans="1:43" ht="15.75" x14ac:dyDescent="0.25">
      <c r="A1086" s="11" t="s">
        <v>57</v>
      </c>
      <c r="B1086" s="11" t="s">
        <v>56</v>
      </c>
      <c r="C1086" s="22">
        <f t="shared" si="70"/>
        <v>25001620</v>
      </c>
      <c r="D1086" s="11" t="str">
        <f t="shared" si="71"/>
        <v>SKIIFM_AT</v>
      </c>
      <c r="E1086" s="11" t="str">
        <f>IF(I1086&lt;&gt;"",VLOOKUP(F1086,OPDRACHTGEVER!$A$2:$B$4,2,FALSE),"")</f>
        <v>SKIIFM_AT</v>
      </c>
      <c r="F1086" s="11" t="s">
        <v>58</v>
      </c>
      <c r="I1086" s="11" t="str">
        <f>IF(DATA!B1085&lt;&gt;"",DATA!B1085,"")</f>
        <v>MEDU4455865</v>
      </c>
      <c r="J1086" s="12">
        <v>0</v>
      </c>
      <c r="K1086" s="11" t="s">
        <v>53</v>
      </c>
      <c r="L1086" s="11" t="str">
        <f t="shared" si="72"/>
        <v>853110</v>
      </c>
      <c r="M1086" s="11" t="str">
        <f>IF(I1086&lt;&gt;"",DATA!E1085,"")</f>
        <v>FIRE RESISTANT PAD</v>
      </c>
      <c r="N1086" s="12">
        <v>0</v>
      </c>
      <c r="O1086" s="11">
        <f>IF(I1086&lt;&gt;"",DATA!C1085,"")</f>
        <v>4.13</v>
      </c>
      <c r="P1086" s="2">
        <v>294094</v>
      </c>
      <c r="Q1086" s="2" t="s">
        <v>1304</v>
      </c>
      <c r="R1086" s="2" t="s">
        <v>1326</v>
      </c>
      <c r="S1086" s="2">
        <v>356</v>
      </c>
      <c r="T1086" s="2">
        <v>1</v>
      </c>
      <c r="U1086" s="2" t="s">
        <v>141</v>
      </c>
      <c r="Y1086" s="2">
        <v>1700</v>
      </c>
      <c r="Z1086" s="11" t="s">
        <v>54</v>
      </c>
      <c r="AA1086" s="11" t="str">
        <f t="shared" si="73"/>
        <v>1700 - TBN</v>
      </c>
      <c r="AC1086" s="2" t="s">
        <v>145</v>
      </c>
      <c r="AD1086" s="11" t="str">
        <f>IF($I1086&lt;&gt;"",VLOOKUP($AC1086,GEADRESSEERDE!$A$2:$E$4,2,),"")</f>
        <v>LUITHAGEN HAVEN 2 D</v>
      </c>
      <c r="AE1086" s="11">
        <f>IF($I1086&lt;&gt;"",VLOOKUP($AC1086,GEADRESSEERDE!$A$2:$E$4,3,),"")</f>
        <v>2030</v>
      </c>
      <c r="AF1086" s="11" t="str">
        <f>IF($I1086&lt;&gt;"",VLOOKUP($AC1086,GEADRESSEERDE!$A$2:$E$4,4,),"")</f>
        <v>ANTWERPEN</v>
      </c>
      <c r="AG1086" s="11" t="str">
        <f>IF($I1086&lt;&gt;"",VLOOKUP($AC1086,GEADRESSEERDE!$A$2:$E$4,5,),"")</f>
        <v>BE</v>
      </c>
      <c r="AH1086" s="11" t="str">
        <f>IF(I1086&lt;&gt;"",VLOOKUP(AP1086,KvB!$A$2:$B$3,2,FALSE),"")</f>
        <v>BE101000</v>
      </c>
      <c r="AI1086" s="11" t="s">
        <v>55</v>
      </c>
      <c r="AJ1086" s="11"/>
      <c r="AK1086" s="11"/>
      <c r="AL1086" s="11"/>
      <c r="AM1086" s="11"/>
      <c r="AN1086" s="11"/>
      <c r="AO1086" s="11"/>
      <c r="AP1086" s="2" t="s">
        <v>70</v>
      </c>
      <c r="AQ1086" s="11" t="str">
        <f>IF(I1086&lt;&gt;"",DATA!D1085,"")</f>
        <v>8531109590</v>
      </c>
    </row>
    <row r="1087" spans="1:43" ht="15.75" x14ac:dyDescent="0.25">
      <c r="A1087" s="11" t="s">
        <v>57</v>
      </c>
      <c r="B1087" s="11" t="s">
        <v>56</v>
      </c>
      <c r="C1087" s="22">
        <f t="shared" si="70"/>
        <v>25001620</v>
      </c>
      <c r="D1087" s="11" t="str">
        <f t="shared" si="71"/>
        <v>SKIIFM_AT</v>
      </c>
      <c r="E1087" s="11" t="str">
        <f>IF(I1087&lt;&gt;"",VLOOKUP(F1087,OPDRACHTGEVER!$A$2:$B$4,2,FALSE),"")</f>
        <v>SKIIFM_AT</v>
      </c>
      <c r="F1087" s="11" t="s">
        <v>58</v>
      </c>
      <c r="I1087" s="11" t="str">
        <f>IF(DATA!B1086&lt;&gt;"",DATA!B1086,"")</f>
        <v>MEDU4455865</v>
      </c>
      <c r="J1087" s="12">
        <v>0</v>
      </c>
      <c r="K1087" s="11" t="s">
        <v>53</v>
      </c>
      <c r="L1087" s="11" t="str">
        <f t="shared" si="72"/>
        <v>761699</v>
      </c>
      <c r="M1087" s="11" t="str">
        <f>IF(I1087&lt;&gt;"",DATA!E1086,"")</f>
        <v>FLAGPOLE</v>
      </c>
      <c r="N1087" s="12">
        <v>0</v>
      </c>
      <c r="O1087" s="11">
        <f>IF(I1087&lt;&gt;"",DATA!C1086,"")</f>
        <v>10.050000000000001</v>
      </c>
      <c r="P1087" s="2">
        <v>294094</v>
      </c>
      <c r="Q1087" s="2" t="s">
        <v>1304</v>
      </c>
      <c r="R1087" s="2" t="s">
        <v>1326</v>
      </c>
      <c r="S1087" s="2">
        <v>356</v>
      </c>
      <c r="T1087" s="2">
        <v>1</v>
      </c>
      <c r="U1087" s="2" t="s">
        <v>141</v>
      </c>
      <c r="Y1087" s="2">
        <v>1700</v>
      </c>
      <c r="Z1087" s="11" t="s">
        <v>54</v>
      </c>
      <c r="AA1087" s="11" t="str">
        <f t="shared" si="73"/>
        <v>1700 - TBN</v>
      </c>
      <c r="AC1087" s="2" t="s">
        <v>145</v>
      </c>
      <c r="AD1087" s="11" t="str">
        <f>IF($I1087&lt;&gt;"",VLOOKUP($AC1087,GEADRESSEERDE!$A$2:$E$4,2,),"")</f>
        <v>LUITHAGEN HAVEN 2 D</v>
      </c>
      <c r="AE1087" s="11">
        <f>IF($I1087&lt;&gt;"",VLOOKUP($AC1087,GEADRESSEERDE!$A$2:$E$4,3,),"")</f>
        <v>2030</v>
      </c>
      <c r="AF1087" s="11" t="str">
        <f>IF($I1087&lt;&gt;"",VLOOKUP($AC1087,GEADRESSEERDE!$A$2:$E$4,4,),"")</f>
        <v>ANTWERPEN</v>
      </c>
      <c r="AG1087" s="11" t="str">
        <f>IF($I1087&lt;&gt;"",VLOOKUP($AC1087,GEADRESSEERDE!$A$2:$E$4,5,),"")</f>
        <v>BE</v>
      </c>
      <c r="AH1087" s="11" t="str">
        <f>IF(I1087&lt;&gt;"",VLOOKUP(AP1087,KvB!$A$2:$B$3,2,FALSE),"")</f>
        <v>BE101000</v>
      </c>
      <c r="AI1087" s="11" t="s">
        <v>55</v>
      </c>
      <c r="AJ1087" s="11"/>
      <c r="AK1087" s="11"/>
      <c r="AL1087" s="11"/>
      <c r="AM1087" s="11"/>
      <c r="AN1087" s="11"/>
      <c r="AO1087" s="11"/>
      <c r="AP1087" s="2" t="s">
        <v>70</v>
      </c>
      <c r="AQ1087" s="11" t="str">
        <f>IF(I1087&lt;&gt;"",DATA!D1086,"")</f>
        <v>7616999009</v>
      </c>
    </row>
    <row r="1088" spans="1:43" ht="15.75" x14ac:dyDescent="0.25">
      <c r="A1088" s="11" t="s">
        <v>57</v>
      </c>
      <c r="B1088" s="11" t="s">
        <v>56</v>
      </c>
      <c r="C1088" s="22">
        <f t="shared" si="70"/>
        <v>25001620</v>
      </c>
      <c r="D1088" s="11" t="str">
        <f t="shared" si="71"/>
        <v>SKIIFM_AT</v>
      </c>
      <c r="E1088" s="11" t="str">
        <f>IF(I1088&lt;&gt;"",VLOOKUP(F1088,OPDRACHTGEVER!$A$2:$B$4,2,FALSE),"")</f>
        <v>SKIIFM_AT</v>
      </c>
      <c r="F1088" s="11" t="s">
        <v>58</v>
      </c>
      <c r="I1088" s="11" t="str">
        <f>IF(DATA!B1087&lt;&gt;"",DATA!B1087,"")</f>
        <v>MEDU4455865</v>
      </c>
      <c r="J1088" s="12">
        <v>0</v>
      </c>
      <c r="K1088" s="11" t="s">
        <v>53</v>
      </c>
      <c r="L1088" s="11" t="str">
        <f t="shared" si="72"/>
        <v>741920</v>
      </c>
      <c r="M1088" s="11" t="str">
        <f>IF(I1088&lt;&gt;"",DATA!E1087,"")</f>
        <v>FLOOR STANDING PROJECTOR STAND</v>
      </c>
      <c r="N1088" s="12">
        <v>0</v>
      </c>
      <c r="O1088" s="11">
        <f>IF(I1088&lt;&gt;"",DATA!C1087,"")</f>
        <v>30.45</v>
      </c>
      <c r="P1088" s="2">
        <v>294094</v>
      </c>
      <c r="Q1088" s="2" t="s">
        <v>1304</v>
      </c>
      <c r="R1088" s="2" t="s">
        <v>1326</v>
      </c>
      <c r="S1088" s="2">
        <v>356</v>
      </c>
      <c r="T1088" s="2">
        <v>1</v>
      </c>
      <c r="U1088" s="2" t="s">
        <v>141</v>
      </c>
      <c r="Y1088" s="2">
        <v>1700</v>
      </c>
      <c r="Z1088" s="11" t="s">
        <v>54</v>
      </c>
      <c r="AA1088" s="11" t="str">
        <f t="shared" si="73"/>
        <v>1700 - TBN</v>
      </c>
      <c r="AC1088" s="2" t="s">
        <v>145</v>
      </c>
      <c r="AD1088" s="11" t="str">
        <f>IF($I1088&lt;&gt;"",VLOOKUP($AC1088,GEADRESSEERDE!$A$2:$E$4,2,),"")</f>
        <v>LUITHAGEN HAVEN 2 D</v>
      </c>
      <c r="AE1088" s="11">
        <f>IF($I1088&lt;&gt;"",VLOOKUP($AC1088,GEADRESSEERDE!$A$2:$E$4,3,),"")</f>
        <v>2030</v>
      </c>
      <c r="AF1088" s="11" t="str">
        <f>IF($I1088&lt;&gt;"",VLOOKUP($AC1088,GEADRESSEERDE!$A$2:$E$4,4,),"")</f>
        <v>ANTWERPEN</v>
      </c>
      <c r="AG1088" s="11" t="str">
        <f>IF($I1088&lt;&gt;"",VLOOKUP($AC1088,GEADRESSEERDE!$A$2:$E$4,5,),"")</f>
        <v>BE</v>
      </c>
      <c r="AH1088" s="11" t="str">
        <f>IF(I1088&lt;&gt;"",VLOOKUP(AP1088,KvB!$A$2:$B$3,2,FALSE),"")</f>
        <v>BE101000</v>
      </c>
      <c r="AI1088" s="11" t="s">
        <v>55</v>
      </c>
      <c r="AJ1088" s="11"/>
      <c r="AK1088" s="11"/>
      <c r="AL1088" s="11"/>
      <c r="AM1088" s="11"/>
      <c r="AN1088" s="11"/>
      <c r="AO1088" s="11"/>
      <c r="AP1088" s="2" t="s">
        <v>70</v>
      </c>
      <c r="AQ1088" s="11" t="str">
        <f>IF(I1088&lt;&gt;"",DATA!D1087,"")</f>
        <v>7419200090</v>
      </c>
    </row>
    <row r="1089" spans="1:43" ht="15.75" x14ac:dyDescent="0.25">
      <c r="A1089" s="11" t="s">
        <v>57</v>
      </c>
      <c r="B1089" s="11" t="s">
        <v>56</v>
      </c>
      <c r="C1089" s="22">
        <f t="shared" si="70"/>
        <v>25001620</v>
      </c>
      <c r="D1089" s="11" t="str">
        <f t="shared" si="71"/>
        <v>SKIIFM_AT</v>
      </c>
      <c r="E1089" s="11" t="str">
        <f>IF(I1089&lt;&gt;"",VLOOKUP(F1089,OPDRACHTGEVER!$A$2:$B$4,2,FALSE),"")</f>
        <v>SKIIFM_AT</v>
      </c>
      <c r="F1089" s="11" t="s">
        <v>58</v>
      </c>
      <c r="I1089" s="11" t="str">
        <f>IF(DATA!B1088&lt;&gt;"",DATA!B1088,"")</f>
        <v>MEDU4455865</v>
      </c>
      <c r="J1089" s="12">
        <v>0</v>
      </c>
      <c r="K1089" s="11" t="s">
        <v>53</v>
      </c>
      <c r="L1089" s="11" t="str">
        <f t="shared" si="72"/>
        <v>841311</v>
      </c>
      <c r="M1089" s="11" t="str">
        <f>IF(I1089&lt;&gt;"",DATA!E1088,"")</f>
        <v>FUEL TRANSFER PUMP</v>
      </c>
      <c r="N1089" s="12">
        <v>0</v>
      </c>
      <c r="O1089" s="11">
        <f>IF(I1089&lt;&gt;"",DATA!C1088,"")</f>
        <v>3.7</v>
      </c>
      <c r="P1089" s="2">
        <v>294094</v>
      </c>
      <c r="Q1089" s="2" t="s">
        <v>1304</v>
      </c>
      <c r="R1089" s="2" t="s">
        <v>1326</v>
      </c>
      <c r="S1089" s="2">
        <v>356</v>
      </c>
      <c r="T1089" s="2">
        <v>1</v>
      </c>
      <c r="U1089" s="2" t="s">
        <v>141</v>
      </c>
      <c r="Y1089" s="2">
        <v>1700</v>
      </c>
      <c r="Z1089" s="11" t="s">
        <v>54</v>
      </c>
      <c r="AA1089" s="11" t="str">
        <f t="shared" si="73"/>
        <v>1700 - TBN</v>
      </c>
      <c r="AC1089" s="2" t="s">
        <v>145</v>
      </c>
      <c r="AD1089" s="11" t="str">
        <f>IF($I1089&lt;&gt;"",VLOOKUP($AC1089,GEADRESSEERDE!$A$2:$E$4,2,),"")</f>
        <v>LUITHAGEN HAVEN 2 D</v>
      </c>
      <c r="AE1089" s="11">
        <f>IF($I1089&lt;&gt;"",VLOOKUP($AC1089,GEADRESSEERDE!$A$2:$E$4,3,),"")</f>
        <v>2030</v>
      </c>
      <c r="AF1089" s="11" t="str">
        <f>IF($I1089&lt;&gt;"",VLOOKUP($AC1089,GEADRESSEERDE!$A$2:$E$4,4,),"")</f>
        <v>ANTWERPEN</v>
      </c>
      <c r="AG1089" s="11" t="str">
        <f>IF($I1089&lt;&gt;"",VLOOKUP($AC1089,GEADRESSEERDE!$A$2:$E$4,5,),"")</f>
        <v>BE</v>
      </c>
      <c r="AH1089" s="11" t="str">
        <f>IF(I1089&lt;&gt;"",VLOOKUP(AP1089,KvB!$A$2:$B$3,2,FALSE),"")</f>
        <v>BE101000</v>
      </c>
      <c r="AI1089" s="11" t="s">
        <v>55</v>
      </c>
      <c r="AJ1089" s="11"/>
      <c r="AK1089" s="11"/>
      <c r="AL1089" s="11"/>
      <c r="AM1089" s="11"/>
      <c r="AN1089" s="11"/>
      <c r="AO1089" s="11"/>
      <c r="AP1089" s="2" t="s">
        <v>70</v>
      </c>
      <c r="AQ1089" s="11" t="str">
        <f>IF(I1089&lt;&gt;"",DATA!D1088,"")</f>
        <v>8413110000</v>
      </c>
    </row>
    <row r="1090" spans="1:43" ht="15.75" x14ac:dyDescent="0.25">
      <c r="A1090" s="11" t="s">
        <v>57</v>
      </c>
      <c r="B1090" s="11" t="s">
        <v>56</v>
      </c>
      <c r="C1090" s="22">
        <f t="shared" si="70"/>
        <v>25001620</v>
      </c>
      <c r="D1090" s="11" t="str">
        <f t="shared" si="71"/>
        <v>SKIIFM_AT</v>
      </c>
      <c r="E1090" s="11" t="str">
        <f>IF(I1090&lt;&gt;"",VLOOKUP(F1090,OPDRACHTGEVER!$A$2:$B$4,2,FALSE),"")</f>
        <v>SKIIFM_AT</v>
      </c>
      <c r="F1090" s="11" t="s">
        <v>58</v>
      </c>
      <c r="I1090" s="11" t="str">
        <f>IF(DATA!B1089&lt;&gt;"",DATA!B1089,"")</f>
        <v>MEDU4455865</v>
      </c>
      <c r="J1090" s="12">
        <v>0</v>
      </c>
      <c r="K1090" s="11" t="s">
        <v>53</v>
      </c>
      <c r="L1090" s="11" t="str">
        <f t="shared" si="72"/>
        <v>392020</v>
      </c>
      <c r="M1090" s="11" t="str">
        <f>IF(I1090&lt;&gt;"",DATA!E1089,"")</f>
        <v>GARAGE FLOOR MATS</v>
      </c>
      <c r="N1090" s="12">
        <v>0</v>
      </c>
      <c r="O1090" s="11">
        <f>IF(I1090&lt;&gt;"",DATA!C1089,"")</f>
        <v>47.1</v>
      </c>
      <c r="P1090" s="2">
        <v>294094</v>
      </c>
      <c r="Q1090" s="2" t="s">
        <v>1304</v>
      </c>
      <c r="R1090" s="2" t="s">
        <v>1326</v>
      </c>
      <c r="S1090" s="2">
        <v>356</v>
      </c>
      <c r="T1090" s="2">
        <v>1</v>
      </c>
      <c r="U1090" s="2" t="s">
        <v>141</v>
      </c>
      <c r="Y1090" s="2">
        <v>1700</v>
      </c>
      <c r="Z1090" s="11" t="s">
        <v>54</v>
      </c>
      <c r="AA1090" s="11" t="str">
        <f t="shared" si="73"/>
        <v>1700 - TBN</v>
      </c>
      <c r="AC1090" s="2" t="s">
        <v>145</v>
      </c>
      <c r="AD1090" s="11" t="str">
        <f>IF($I1090&lt;&gt;"",VLOOKUP($AC1090,GEADRESSEERDE!$A$2:$E$4,2,),"")</f>
        <v>LUITHAGEN HAVEN 2 D</v>
      </c>
      <c r="AE1090" s="11">
        <f>IF($I1090&lt;&gt;"",VLOOKUP($AC1090,GEADRESSEERDE!$A$2:$E$4,3,),"")</f>
        <v>2030</v>
      </c>
      <c r="AF1090" s="11" t="str">
        <f>IF($I1090&lt;&gt;"",VLOOKUP($AC1090,GEADRESSEERDE!$A$2:$E$4,4,),"")</f>
        <v>ANTWERPEN</v>
      </c>
      <c r="AG1090" s="11" t="str">
        <f>IF($I1090&lt;&gt;"",VLOOKUP($AC1090,GEADRESSEERDE!$A$2:$E$4,5,),"")</f>
        <v>BE</v>
      </c>
      <c r="AH1090" s="11" t="str">
        <f>IF(I1090&lt;&gt;"",VLOOKUP(AP1090,KvB!$A$2:$B$3,2,FALSE),"")</f>
        <v>BE101000</v>
      </c>
      <c r="AI1090" s="11" t="s">
        <v>55</v>
      </c>
      <c r="AJ1090" s="11"/>
      <c r="AK1090" s="11"/>
      <c r="AL1090" s="11"/>
      <c r="AM1090" s="11"/>
      <c r="AN1090" s="11"/>
      <c r="AO1090" s="11"/>
      <c r="AP1090" s="2" t="s">
        <v>70</v>
      </c>
      <c r="AQ1090" s="11" t="str">
        <f>IF(I1090&lt;&gt;"",DATA!D1089,"")</f>
        <v>3920208090</v>
      </c>
    </row>
    <row r="1091" spans="1:43" ht="15.75" x14ac:dyDescent="0.25">
      <c r="A1091" s="11" t="s">
        <v>57</v>
      </c>
      <c r="B1091" s="11" t="s">
        <v>56</v>
      </c>
      <c r="C1091" s="22">
        <f t="shared" si="70"/>
        <v>25001620</v>
      </c>
      <c r="D1091" s="11" t="str">
        <f t="shared" si="71"/>
        <v>SKIIFM_AT</v>
      </c>
      <c r="E1091" s="11" t="str">
        <f>IF(I1091&lt;&gt;"",VLOOKUP(F1091,OPDRACHTGEVER!$A$2:$B$4,2,FALSE),"")</f>
        <v>SKIIFM_AT</v>
      </c>
      <c r="F1091" s="11" t="s">
        <v>58</v>
      </c>
      <c r="I1091" s="11" t="str">
        <f>IF(DATA!B1090&lt;&gt;"",DATA!B1090,"")</f>
        <v>MEDU4455865</v>
      </c>
      <c r="J1091" s="12">
        <v>0</v>
      </c>
      <c r="K1091" s="11" t="s">
        <v>53</v>
      </c>
      <c r="L1091" s="11" t="str">
        <f t="shared" si="72"/>
        <v>741920</v>
      </c>
      <c r="M1091" s="11" t="str">
        <f>IF(I1091&lt;&gt;"",DATA!E1090,"")</f>
        <v>HANDRAIL</v>
      </c>
      <c r="N1091" s="12">
        <v>0</v>
      </c>
      <c r="O1091" s="11">
        <f>IF(I1091&lt;&gt;"",DATA!C1090,"")</f>
        <v>527.70000000000005</v>
      </c>
      <c r="P1091" s="2">
        <v>294094</v>
      </c>
      <c r="Q1091" s="2" t="s">
        <v>1304</v>
      </c>
      <c r="R1091" s="2" t="s">
        <v>1326</v>
      </c>
      <c r="S1091" s="2">
        <v>356</v>
      </c>
      <c r="T1091" s="2">
        <v>1</v>
      </c>
      <c r="U1091" s="2" t="s">
        <v>141</v>
      </c>
      <c r="Y1091" s="2">
        <v>1700</v>
      </c>
      <c r="Z1091" s="11" t="s">
        <v>54</v>
      </c>
      <c r="AA1091" s="11" t="str">
        <f t="shared" si="73"/>
        <v>1700 - TBN</v>
      </c>
      <c r="AC1091" s="2" t="s">
        <v>145</v>
      </c>
      <c r="AD1091" s="11" t="str">
        <f>IF($I1091&lt;&gt;"",VLOOKUP($AC1091,GEADRESSEERDE!$A$2:$E$4,2,),"")</f>
        <v>LUITHAGEN HAVEN 2 D</v>
      </c>
      <c r="AE1091" s="11">
        <f>IF($I1091&lt;&gt;"",VLOOKUP($AC1091,GEADRESSEERDE!$A$2:$E$4,3,),"")</f>
        <v>2030</v>
      </c>
      <c r="AF1091" s="11" t="str">
        <f>IF($I1091&lt;&gt;"",VLOOKUP($AC1091,GEADRESSEERDE!$A$2:$E$4,4,),"")</f>
        <v>ANTWERPEN</v>
      </c>
      <c r="AG1091" s="11" t="str">
        <f>IF($I1091&lt;&gt;"",VLOOKUP($AC1091,GEADRESSEERDE!$A$2:$E$4,5,),"")</f>
        <v>BE</v>
      </c>
      <c r="AH1091" s="11" t="str">
        <f>IF(I1091&lt;&gt;"",VLOOKUP(AP1091,KvB!$A$2:$B$3,2,FALSE),"")</f>
        <v>BE101000</v>
      </c>
      <c r="AI1091" s="11" t="s">
        <v>55</v>
      </c>
      <c r="AJ1091" s="11"/>
      <c r="AK1091" s="11"/>
      <c r="AL1091" s="11"/>
      <c r="AM1091" s="11"/>
      <c r="AN1091" s="11"/>
      <c r="AO1091" s="11"/>
      <c r="AP1091" s="2" t="s">
        <v>70</v>
      </c>
      <c r="AQ1091" s="11" t="str">
        <f>IF(I1091&lt;&gt;"",DATA!D1090,"")</f>
        <v>7419200090</v>
      </c>
    </row>
    <row r="1092" spans="1:43" ht="15.75" x14ac:dyDescent="0.25">
      <c r="A1092" s="11" t="s">
        <v>57</v>
      </c>
      <c r="B1092" s="11" t="s">
        <v>56</v>
      </c>
      <c r="C1092" s="22">
        <f t="shared" si="70"/>
        <v>25001620</v>
      </c>
      <c r="D1092" s="11" t="str">
        <f t="shared" si="71"/>
        <v>SKIIFM_AT</v>
      </c>
      <c r="E1092" s="11" t="str">
        <f>IF(I1092&lt;&gt;"",VLOOKUP(F1092,OPDRACHTGEVER!$A$2:$B$4,2,FALSE),"")</f>
        <v>SKIIFM_AT</v>
      </c>
      <c r="F1092" s="11" t="s">
        <v>58</v>
      </c>
      <c r="I1092" s="11" t="str">
        <f>IF(DATA!B1091&lt;&gt;"",DATA!B1091,"")</f>
        <v>MEDU4455865</v>
      </c>
      <c r="J1092" s="12">
        <v>0</v>
      </c>
      <c r="K1092" s="11" t="s">
        <v>53</v>
      </c>
      <c r="L1092" s="11" t="str">
        <f t="shared" si="72"/>
        <v>842310</v>
      </c>
      <c r="M1092" s="11" t="str">
        <f>IF(I1092&lt;&gt;"",DATA!E1091,"")</f>
        <v>HANGING SCALE</v>
      </c>
      <c r="N1092" s="12">
        <v>0</v>
      </c>
      <c r="O1092" s="11">
        <f>IF(I1092&lt;&gt;"",DATA!C1091,"")</f>
        <v>15.6</v>
      </c>
      <c r="P1092" s="2">
        <v>294094</v>
      </c>
      <c r="Q1092" s="2" t="s">
        <v>1304</v>
      </c>
      <c r="R1092" s="2" t="s">
        <v>1326</v>
      </c>
      <c r="S1092" s="2">
        <v>356</v>
      </c>
      <c r="T1092" s="2">
        <v>1</v>
      </c>
      <c r="U1092" s="2" t="s">
        <v>141</v>
      </c>
      <c r="Y1092" s="2">
        <v>1700</v>
      </c>
      <c r="Z1092" s="11" t="s">
        <v>54</v>
      </c>
      <c r="AA1092" s="11" t="str">
        <f t="shared" si="73"/>
        <v>1700 - TBN</v>
      </c>
      <c r="AC1092" s="2" t="s">
        <v>145</v>
      </c>
      <c r="AD1092" s="11" t="str">
        <f>IF($I1092&lt;&gt;"",VLOOKUP($AC1092,GEADRESSEERDE!$A$2:$E$4,2,),"")</f>
        <v>LUITHAGEN HAVEN 2 D</v>
      </c>
      <c r="AE1092" s="11">
        <f>IF($I1092&lt;&gt;"",VLOOKUP($AC1092,GEADRESSEERDE!$A$2:$E$4,3,),"")</f>
        <v>2030</v>
      </c>
      <c r="AF1092" s="11" t="str">
        <f>IF($I1092&lt;&gt;"",VLOOKUP($AC1092,GEADRESSEERDE!$A$2:$E$4,4,),"")</f>
        <v>ANTWERPEN</v>
      </c>
      <c r="AG1092" s="11" t="str">
        <f>IF($I1092&lt;&gt;"",VLOOKUP($AC1092,GEADRESSEERDE!$A$2:$E$4,5,),"")</f>
        <v>BE</v>
      </c>
      <c r="AH1092" s="11" t="str">
        <f>IF(I1092&lt;&gt;"",VLOOKUP(AP1092,KvB!$A$2:$B$3,2,FALSE),"")</f>
        <v>BE101000</v>
      </c>
      <c r="AI1092" s="11" t="s">
        <v>55</v>
      </c>
      <c r="AJ1092" s="11"/>
      <c r="AK1092" s="11"/>
      <c r="AL1092" s="11"/>
      <c r="AM1092" s="11"/>
      <c r="AN1092" s="11"/>
      <c r="AO1092" s="11"/>
      <c r="AP1092" s="2" t="s">
        <v>70</v>
      </c>
      <c r="AQ1092" s="11" t="str">
        <f>IF(I1092&lt;&gt;"",DATA!D1091,"")</f>
        <v>8423109000</v>
      </c>
    </row>
    <row r="1093" spans="1:43" ht="15.75" x14ac:dyDescent="0.25">
      <c r="A1093" s="11" t="s">
        <v>57</v>
      </c>
      <c r="B1093" s="11" t="s">
        <v>56</v>
      </c>
      <c r="C1093" s="22">
        <f t="shared" ref="C1093:C1156" si="74">C1092</f>
        <v>25001620</v>
      </c>
      <c r="D1093" s="11" t="str">
        <f t="shared" si="71"/>
        <v>SKIIFM_AT</v>
      </c>
      <c r="E1093" s="11" t="str">
        <f>IF(I1093&lt;&gt;"",VLOOKUP(F1093,OPDRACHTGEVER!$A$2:$B$4,2,FALSE),"")</f>
        <v>SKIIFM_AT</v>
      </c>
      <c r="F1093" s="11" t="s">
        <v>58</v>
      </c>
      <c r="I1093" s="11" t="str">
        <f>IF(DATA!B1092&lt;&gt;"",DATA!B1092,"")</f>
        <v>MEDU4455865</v>
      </c>
      <c r="J1093" s="12">
        <v>0</v>
      </c>
      <c r="K1093" s="11" t="s">
        <v>53</v>
      </c>
      <c r="L1093" s="11" t="str">
        <f t="shared" si="72"/>
        <v>741920</v>
      </c>
      <c r="M1093" s="11" t="str">
        <f>IF(I1093&lt;&gt;"",DATA!E1092,"")</f>
        <v>HARDWARE BRACKET</v>
      </c>
      <c r="N1093" s="12">
        <v>0</v>
      </c>
      <c r="O1093" s="11">
        <f>IF(I1093&lt;&gt;"",DATA!C1092,"")</f>
        <v>495</v>
      </c>
      <c r="P1093" s="2">
        <v>294094</v>
      </c>
      <c r="Q1093" s="2" t="s">
        <v>1304</v>
      </c>
      <c r="R1093" s="2" t="s">
        <v>1326</v>
      </c>
      <c r="S1093" s="2">
        <v>356</v>
      </c>
      <c r="T1093" s="2">
        <v>1</v>
      </c>
      <c r="U1093" s="2" t="s">
        <v>141</v>
      </c>
      <c r="Y1093" s="2">
        <v>1700</v>
      </c>
      <c r="Z1093" s="11" t="s">
        <v>54</v>
      </c>
      <c r="AA1093" s="11" t="str">
        <f t="shared" si="73"/>
        <v>1700 - TBN</v>
      </c>
      <c r="AC1093" s="2" t="s">
        <v>145</v>
      </c>
      <c r="AD1093" s="11" t="str">
        <f>IF($I1093&lt;&gt;"",VLOOKUP($AC1093,GEADRESSEERDE!$A$2:$E$4,2,),"")</f>
        <v>LUITHAGEN HAVEN 2 D</v>
      </c>
      <c r="AE1093" s="11">
        <f>IF($I1093&lt;&gt;"",VLOOKUP($AC1093,GEADRESSEERDE!$A$2:$E$4,3,),"")</f>
        <v>2030</v>
      </c>
      <c r="AF1093" s="11" t="str">
        <f>IF($I1093&lt;&gt;"",VLOOKUP($AC1093,GEADRESSEERDE!$A$2:$E$4,4,),"")</f>
        <v>ANTWERPEN</v>
      </c>
      <c r="AG1093" s="11" t="str">
        <f>IF($I1093&lt;&gt;"",VLOOKUP($AC1093,GEADRESSEERDE!$A$2:$E$4,5,),"")</f>
        <v>BE</v>
      </c>
      <c r="AH1093" s="11" t="str">
        <f>IF(I1093&lt;&gt;"",VLOOKUP(AP1093,KvB!$A$2:$B$3,2,FALSE),"")</f>
        <v>BE101000</v>
      </c>
      <c r="AI1093" s="11" t="s">
        <v>55</v>
      </c>
      <c r="AJ1093" s="11"/>
      <c r="AK1093" s="11"/>
      <c r="AL1093" s="11"/>
      <c r="AM1093" s="11"/>
      <c r="AN1093" s="11"/>
      <c r="AO1093" s="11"/>
      <c r="AP1093" s="2" t="s">
        <v>70</v>
      </c>
      <c r="AQ1093" s="11" t="str">
        <f>IF(I1093&lt;&gt;"",DATA!D1092,"")</f>
        <v>7419200090</v>
      </c>
    </row>
    <row r="1094" spans="1:43" ht="15.75" x14ac:dyDescent="0.25">
      <c r="A1094" s="11" t="s">
        <v>57</v>
      </c>
      <c r="B1094" s="11" t="s">
        <v>56</v>
      </c>
      <c r="C1094" s="22">
        <f t="shared" si="74"/>
        <v>25001620</v>
      </c>
      <c r="D1094" s="11" t="str">
        <f t="shared" si="71"/>
        <v>SKIIFM_AT</v>
      </c>
      <c r="E1094" s="11" t="str">
        <f>IF(I1094&lt;&gt;"",VLOOKUP(F1094,OPDRACHTGEVER!$A$2:$B$4,2,FALSE),"")</f>
        <v>SKIIFM_AT</v>
      </c>
      <c r="F1094" s="11" t="s">
        <v>58</v>
      </c>
      <c r="I1094" s="11" t="str">
        <f>IF(DATA!B1093&lt;&gt;"",DATA!B1093,"")</f>
        <v>MEDU4455865</v>
      </c>
      <c r="J1094" s="12">
        <v>0</v>
      </c>
      <c r="K1094" s="11" t="s">
        <v>53</v>
      </c>
      <c r="L1094" s="11" t="str">
        <f t="shared" si="72"/>
        <v>843290</v>
      </c>
      <c r="M1094" s="11" t="str">
        <f>IF(I1094&lt;&gt;"",DATA!E1093,"")</f>
        <v>HAY BALE SPEAR</v>
      </c>
      <c r="N1094" s="12">
        <v>0</v>
      </c>
      <c r="O1094" s="11">
        <f>IF(I1094&lt;&gt;"",DATA!C1093,"")</f>
        <v>25</v>
      </c>
      <c r="P1094" s="2">
        <v>294094</v>
      </c>
      <c r="Q1094" s="2" t="s">
        <v>1304</v>
      </c>
      <c r="R1094" s="2" t="s">
        <v>1326</v>
      </c>
      <c r="S1094" s="2">
        <v>356</v>
      </c>
      <c r="T1094" s="2">
        <v>1</v>
      </c>
      <c r="U1094" s="2" t="s">
        <v>141</v>
      </c>
      <c r="Y1094" s="2">
        <v>1700</v>
      </c>
      <c r="Z1094" s="11" t="s">
        <v>54</v>
      </c>
      <c r="AA1094" s="11" t="str">
        <f t="shared" si="73"/>
        <v>1700 - TBN</v>
      </c>
      <c r="AC1094" s="2" t="s">
        <v>145</v>
      </c>
      <c r="AD1094" s="11" t="str">
        <f>IF($I1094&lt;&gt;"",VLOOKUP($AC1094,GEADRESSEERDE!$A$2:$E$4,2,),"")</f>
        <v>LUITHAGEN HAVEN 2 D</v>
      </c>
      <c r="AE1094" s="11">
        <f>IF($I1094&lt;&gt;"",VLOOKUP($AC1094,GEADRESSEERDE!$A$2:$E$4,3,),"")</f>
        <v>2030</v>
      </c>
      <c r="AF1094" s="11" t="str">
        <f>IF($I1094&lt;&gt;"",VLOOKUP($AC1094,GEADRESSEERDE!$A$2:$E$4,4,),"")</f>
        <v>ANTWERPEN</v>
      </c>
      <c r="AG1094" s="11" t="str">
        <f>IF($I1094&lt;&gt;"",VLOOKUP($AC1094,GEADRESSEERDE!$A$2:$E$4,5,),"")</f>
        <v>BE</v>
      </c>
      <c r="AH1094" s="11" t="str">
        <f>IF(I1094&lt;&gt;"",VLOOKUP(AP1094,KvB!$A$2:$B$3,2,FALSE),"")</f>
        <v>BE101000</v>
      </c>
      <c r="AI1094" s="11" t="s">
        <v>55</v>
      </c>
      <c r="AJ1094" s="11"/>
      <c r="AK1094" s="11"/>
      <c r="AL1094" s="11"/>
      <c r="AM1094" s="11"/>
      <c r="AN1094" s="11"/>
      <c r="AO1094" s="11"/>
      <c r="AP1094" s="2" t="s">
        <v>70</v>
      </c>
      <c r="AQ1094" s="11" t="str">
        <f>IF(I1094&lt;&gt;"",DATA!D1093,"")</f>
        <v>8432900000</v>
      </c>
    </row>
    <row r="1095" spans="1:43" ht="15.75" x14ac:dyDescent="0.25">
      <c r="A1095" s="11" t="s">
        <v>57</v>
      </c>
      <c r="B1095" s="11" t="s">
        <v>56</v>
      </c>
      <c r="C1095" s="22">
        <f t="shared" si="74"/>
        <v>25001620</v>
      </c>
      <c r="D1095" s="11" t="str">
        <f t="shared" si="71"/>
        <v>SKIIFM_AT</v>
      </c>
      <c r="E1095" s="11" t="str">
        <f>IF(I1095&lt;&gt;"",VLOOKUP(F1095,OPDRACHTGEVER!$A$2:$B$4,2,FALSE),"")</f>
        <v>SKIIFM_AT</v>
      </c>
      <c r="F1095" s="11" t="s">
        <v>58</v>
      </c>
      <c r="I1095" s="11" t="str">
        <f>IF(DATA!B1094&lt;&gt;"",DATA!B1094,"")</f>
        <v>MEDU4455865</v>
      </c>
      <c r="J1095" s="12">
        <v>0</v>
      </c>
      <c r="K1095" s="11" t="s">
        <v>53</v>
      </c>
      <c r="L1095" s="11" t="str">
        <f t="shared" si="72"/>
        <v>844339</v>
      </c>
      <c r="M1095" s="11" t="str">
        <f>IF(I1095&lt;&gt;"",DATA!E1094,"")</f>
        <v>HEAT PRESS MACHINE</v>
      </c>
      <c r="N1095" s="12">
        <v>0</v>
      </c>
      <c r="O1095" s="11">
        <f>IF(I1095&lt;&gt;"",DATA!C1094,"")</f>
        <v>2233.5</v>
      </c>
      <c r="P1095" s="2">
        <v>294094</v>
      </c>
      <c r="Q1095" s="2" t="s">
        <v>1304</v>
      </c>
      <c r="R1095" s="2" t="s">
        <v>1326</v>
      </c>
      <c r="S1095" s="2">
        <v>356</v>
      </c>
      <c r="T1095" s="2">
        <v>1</v>
      </c>
      <c r="U1095" s="2" t="s">
        <v>141</v>
      </c>
      <c r="Y1095" s="2">
        <v>1700</v>
      </c>
      <c r="Z1095" s="11" t="s">
        <v>54</v>
      </c>
      <c r="AA1095" s="11" t="str">
        <f t="shared" si="73"/>
        <v>1700 - TBN</v>
      </c>
      <c r="AC1095" s="2" t="s">
        <v>145</v>
      </c>
      <c r="AD1095" s="11" t="str">
        <f>IF($I1095&lt;&gt;"",VLOOKUP($AC1095,GEADRESSEERDE!$A$2:$E$4,2,),"")</f>
        <v>LUITHAGEN HAVEN 2 D</v>
      </c>
      <c r="AE1095" s="11">
        <f>IF($I1095&lt;&gt;"",VLOOKUP($AC1095,GEADRESSEERDE!$A$2:$E$4,3,),"")</f>
        <v>2030</v>
      </c>
      <c r="AF1095" s="11" t="str">
        <f>IF($I1095&lt;&gt;"",VLOOKUP($AC1095,GEADRESSEERDE!$A$2:$E$4,4,),"")</f>
        <v>ANTWERPEN</v>
      </c>
      <c r="AG1095" s="11" t="str">
        <f>IF($I1095&lt;&gt;"",VLOOKUP($AC1095,GEADRESSEERDE!$A$2:$E$4,5,),"")</f>
        <v>BE</v>
      </c>
      <c r="AH1095" s="11" t="str">
        <f>IF(I1095&lt;&gt;"",VLOOKUP(AP1095,KvB!$A$2:$B$3,2,FALSE),"")</f>
        <v>BE101000</v>
      </c>
      <c r="AI1095" s="11" t="s">
        <v>55</v>
      </c>
      <c r="AJ1095" s="11"/>
      <c r="AK1095" s="11"/>
      <c r="AL1095" s="11"/>
      <c r="AM1095" s="11"/>
      <c r="AN1095" s="11"/>
      <c r="AO1095" s="11"/>
      <c r="AP1095" s="2" t="s">
        <v>70</v>
      </c>
      <c r="AQ1095" s="11" t="str">
        <f>IF(I1095&lt;&gt;"",DATA!D1094,"")</f>
        <v>8443390000</v>
      </c>
    </row>
    <row r="1096" spans="1:43" ht="15.75" x14ac:dyDescent="0.25">
      <c r="A1096" s="11" t="s">
        <v>57</v>
      </c>
      <c r="B1096" s="11" t="s">
        <v>56</v>
      </c>
      <c r="C1096" s="22">
        <f t="shared" si="74"/>
        <v>25001620</v>
      </c>
      <c r="D1096" s="11" t="str">
        <f t="shared" si="71"/>
        <v>SKIIFM_AT</v>
      </c>
      <c r="E1096" s="11" t="str">
        <f>IF(I1096&lt;&gt;"",VLOOKUP(F1096,OPDRACHTGEVER!$A$2:$B$4,2,FALSE),"")</f>
        <v>SKIIFM_AT</v>
      </c>
      <c r="F1096" s="11" t="s">
        <v>58</v>
      </c>
      <c r="I1096" s="11" t="str">
        <f>IF(DATA!B1095&lt;&gt;"",DATA!B1095,"")</f>
        <v>MEDU4455865</v>
      </c>
      <c r="J1096" s="12">
        <v>0</v>
      </c>
      <c r="K1096" s="11" t="s">
        <v>53</v>
      </c>
      <c r="L1096" s="11" t="str">
        <f t="shared" si="72"/>
        <v>846719</v>
      </c>
      <c r="M1096" s="11" t="str">
        <f>IF(I1096&lt;&gt;"",DATA!E1095,"")</f>
        <v>HEAVY DUTY CONCRETE NAILER</v>
      </c>
      <c r="N1096" s="12">
        <v>0</v>
      </c>
      <c r="O1096" s="11">
        <f>IF(I1096&lt;&gt;"",DATA!C1095,"")</f>
        <v>3.4</v>
      </c>
      <c r="P1096" s="2">
        <v>294094</v>
      </c>
      <c r="Q1096" s="2" t="s">
        <v>1304</v>
      </c>
      <c r="R1096" s="2" t="s">
        <v>1326</v>
      </c>
      <c r="S1096" s="2">
        <v>356</v>
      </c>
      <c r="T1096" s="2">
        <v>1</v>
      </c>
      <c r="U1096" s="2" t="s">
        <v>141</v>
      </c>
      <c r="Y1096" s="2">
        <v>1700</v>
      </c>
      <c r="Z1096" s="11" t="s">
        <v>54</v>
      </c>
      <c r="AA1096" s="11" t="str">
        <f t="shared" si="73"/>
        <v>1700 - TBN</v>
      </c>
      <c r="AC1096" s="2" t="s">
        <v>145</v>
      </c>
      <c r="AD1096" s="11" t="str">
        <f>IF($I1096&lt;&gt;"",VLOOKUP($AC1096,GEADRESSEERDE!$A$2:$E$4,2,),"")</f>
        <v>LUITHAGEN HAVEN 2 D</v>
      </c>
      <c r="AE1096" s="11">
        <f>IF($I1096&lt;&gt;"",VLOOKUP($AC1096,GEADRESSEERDE!$A$2:$E$4,3,),"")</f>
        <v>2030</v>
      </c>
      <c r="AF1096" s="11" t="str">
        <f>IF($I1096&lt;&gt;"",VLOOKUP($AC1096,GEADRESSEERDE!$A$2:$E$4,4,),"")</f>
        <v>ANTWERPEN</v>
      </c>
      <c r="AG1096" s="11" t="str">
        <f>IF($I1096&lt;&gt;"",VLOOKUP($AC1096,GEADRESSEERDE!$A$2:$E$4,5,),"")</f>
        <v>BE</v>
      </c>
      <c r="AH1096" s="11" t="str">
        <f>IF(I1096&lt;&gt;"",VLOOKUP(AP1096,KvB!$A$2:$B$3,2,FALSE),"")</f>
        <v>BE101000</v>
      </c>
      <c r="AI1096" s="11" t="s">
        <v>55</v>
      </c>
      <c r="AJ1096" s="11"/>
      <c r="AK1096" s="11"/>
      <c r="AL1096" s="11"/>
      <c r="AM1096" s="11"/>
      <c r="AN1096" s="11"/>
      <c r="AO1096" s="11"/>
      <c r="AP1096" s="2" t="s">
        <v>70</v>
      </c>
      <c r="AQ1096" s="11" t="str">
        <f>IF(I1096&lt;&gt;"",DATA!D1095,"")</f>
        <v>8467190000</v>
      </c>
    </row>
    <row r="1097" spans="1:43" ht="15.75" x14ac:dyDescent="0.25">
      <c r="A1097" s="11" t="s">
        <v>57</v>
      </c>
      <c r="B1097" s="11" t="s">
        <v>56</v>
      </c>
      <c r="C1097" s="22">
        <f t="shared" si="74"/>
        <v>25001620</v>
      </c>
      <c r="D1097" s="11" t="str">
        <f t="shared" si="71"/>
        <v>SKIIFM_AT</v>
      </c>
      <c r="E1097" s="11" t="str">
        <f>IF(I1097&lt;&gt;"",VLOOKUP(F1097,OPDRACHTGEVER!$A$2:$B$4,2,FALSE),"")</f>
        <v>SKIIFM_AT</v>
      </c>
      <c r="F1097" s="11" t="s">
        <v>58</v>
      </c>
      <c r="I1097" s="11" t="str">
        <f>IF(DATA!B1096&lt;&gt;"",DATA!B1096,"")</f>
        <v>MEDU4455865</v>
      </c>
      <c r="J1097" s="12">
        <v>0</v>
      </c>
      <c r="K1097" s="11" t="s">
        <v>53</v>
      </c>
      <c r="L1097" s="11" t="str">
        <f t="shared" si="72"/>
        <v>841940</v>
      </c>
      <c r="M1097" s="11" t="str">
        <f>IF(I1097&lt;&gt;"",DATA!E1096,"")</f>
        <v>HOMEMADE ESSENTIAL OIL KIT</v>
      </c>
      <c r="N1097" s="12">
        <v>0</v>
      </c>
      <c r="O1097" s="11">
        <f>IF(I1097&lt;&gt;"",DATA!C1096,"")</f>
        <v>194.6</v>
      </c>
      <c r="P1097" s="2">
        <v>294094</v>
      </c>
      <c r="Q1097" s="2" t="s">
        <v>1304</v>
      </c>
      <c r="R1097" s="2" t="s">
        <v>1326</v>
      </c>
      <c r="S1097" s="2">
        <v>356</v>
      </c>
      <c r="T1097" s="2">
        <v>1</v>
      </c>
      <c r="U1097" s="2" t="s">
        <v>141</v>
      </c>
      <c r="Y1097" s="2">
        <v>1700</v>
      </c>
      <c r="Z1097" s="11" t="s">
        <v>54</v>
      </c>
      <c r="AA1097" s="11" t="str">
        <f t="shared" si="73"/>
        <v>1700 - TBN</v>
      </c>
      <c r="AC1097" s="2" t="s">
        <v>145</v>
      </c>
      <c r="AD1097" s="11" t="str">
        <f>IF($I1097&lt;&gt;"",VLOOKUP($AC1097,GEADRESSEERDE!$A$2:$E$4,2,),"")</f>
        <v>LUITHAGEN HAVEN 2 D</v>
      </c>
      <c r="AE1097" s="11">
        <f>IF($I1097&lt;&gt;"",VLOOKUP($AC1097,GEADRESSEERDE!$A$2:$E$4,3,),"")</f>
        <v>2030</v>
      </c>
      <c r="AF1097" s="11" t="str">
        <f>IF($I1097&lt;&gt;"",VLOOKUP($AC1097,GEADRESSEERDE!$A$2:$E$4,4,),"")</f>
        <v>ANTWERPEN</v>
      </c>
      <c r="AG1097" s="11" t="str">
        <f>IF($I1097&lt;&gt;"",VLOOKUP($AC1097,GEADRESSEERDE!$A$2:$E$4,5,),"")</f>
        <v>BE</v>
      </c>
      <c r="AH1097" s="11" t="str">
        <f>IF(I1097&lt;&gt;"",VLOOKUP(AP1097,KvB!$A$2:$B$3,2,FALSE),"")</f>
        <v>BE101000</v>
      </c>
      <c r="AI1097" s="11" t="s">
        <v>55</v>
      </c>
      <c r="AJ1097" s="11"/>
      <c r="AK1097" s="11"/>
      <c r="AL1097" s="11"/>
      <c r="AM1097" s="11"/>
      <c r="AN1097" s="11"/>
      <c r="AO1097" s="11"/>
      <c r="AP1097" s="2" t="s">
        <v>70</v>
      </c>
      <c r="AQ1097" s="11" t="str">
        <f>IF(I1097&lt;&gt;"",DATA!D1096,"")</f>
        <v>8419400090</v>
      </c>
    </row>
    <row r="1098" spans="1:43" ht="15.75" x14ac:dyDescent="0.25">
      <c r="A1098" s="11" t="s">
        <v>57</v>
      </c>
      <c r="B1098" s="11" t="s">
        <v>56</v>
      </c>
      <c r="C1098" s="22">
        <f t="shared" si="74"/>
        <v>25001620</v>
      </c>
      <c r="D1098" s="11" t="str">
        <f t="shared" si="71"/>
        <v>SKIIFM_AT</v>
      </c>
      <c r="E1098" s="11" t="str">
        <f>IF(I1098&lt;&gt;"",VLOOKUP(F1098,OPDRACHTGEVER!$A$2:$B$4,2,FALSE),"")</f>
        <v>SKIIFM_AT</v>
      </c>
      <c r="F1098" s="11" t="s">
        <v>58</v>
      </c>
      <c r="I1098" s="11" t="str">
        <f>IF(DATA!B1097&lt;&gt;"",DATA!B1097,"")</f>
        <v>MEDU4455865</v>
      </c>
      <c r="J1098" s="12">
        <v>0</v>
      </c>
      <c r="K1098" s="11" t="s">
        <v>53</v>
      </c>
      <c r="L1098" s="11" t="str">
        <f t="shared" si="72"/>
        <v>901730</v>
      </c>
      <c r="M1098" s="11" t="str">
        <f>IF(I1098&lt;&gt;"",DATA!E1097,"")</f>
        <v>IMPERIAL GRADE ROD</v>
      </c>
      <c r="N1098" s="12">
        <v>0</v>
      </c>
      <c r="O1098" s="11">
        <f>IF(I1098&lt;&gt;"",DATA!C1097,"")</f>
        <v>6.4</v>
      </c>
      <c r="P1098" s="2">
        <v>294094</v>
      </c>
      <c r="Q1098" s="2" t="s">
        <v>1304</v>
      </c>
      <c r="R1098" s="2" t="s">
        <v>1326</v>
      </c>
      <c r="S1098" s="2">
        <v>356</v>
      </c>
      <c r="T1098" s="2">
        <v>1</v>
      </c>
      <c r="U1098" s="2" t="s">
        <v>141</v>
      </c>
      <c r="Y1098" s="2">
        <v>1700</v>
      </c>
      <c r="Z1098" s="11" t="s">
        <v>54</v>
      </c>
      <c r="AA1098" s="11" t="str">
        <f t="shared" si="73"/>
        <v>1700 - TBN</v>
      </c>
      <c r="AC1098" s="2" t="s">
        <v>145</v>
      </c>
      <c r="AD1098" s="11" t="str">
        <f>IF($I1098&lt;&gt;"",VLOOKUP($AC1098,GEADRESSEERDE!$A$2:$E$4,2,),"")</f>
        <v>LUITHAGEN HAVEN 2 D</v>
      </c>
      <c r="AE1098" s="11">
        <f>IF($I1098&lt;&gt;"",VLOOKUP($AC1098,GEADRESSEERDE!$A$2:$E$4,3,),"")</f>
        <v>2030</v>
      </c>
      <c r="AF1098" s="11" t="str">
        <f>IF($I1098&lt;&gt;"",VLOOKUP($AC1098,GEADRESSEERDE!$A$2:$E$4,4,),"")</f>
        <v>ANTWERPEN</v>
      </c>
      <c r="AG1098" s="11" t="str">
        <f>IF($I1098&lt;&gt;"",VLOOKUP($AC1098,GEADRESSEERDE!$A$2:$E$4,5,),"")</f>
        <v>BE</v>
      </c>
      <c r="AH1098" s="11" t="str">
        <f>IF(I1098&lt;&gt;"",VLOOKUP(AP1098,KvB!$A$2:$B$3,2,FALSE),"")</f>
        <v>BE101000</v>
      </c>
      <c r="AI1098" s="11" t="s">
        <v>55</v>
      </c>
      <c r="AJ1098" s="11"/>
      <c r="AK1098" s="11"/>
      <c r="AL1098" s="11"/>
      <c r="AM1098" s="11"/>
      <c r="AN1098" s="11"/>
      <c r="AO1098" s="11"/>
      <c r="AP1098" s="2" t="s">
        <v>70</v>
      </c>
      <c r="AQ1098" s="11" t="str">
        <f>IF(I1098&lt;&gt;"",DATA!D1097,"")</f>
        <v>9017300000</v>
      </c>
    </row>
    <row r="1099" spans="1:43" ht="15.75" x14ac:dyDescent="0.25">
      <c r="A1099" s="11" t="s">
        <v>57</v>
      </c>
      <c r="B1099" s="11" t="s">
        <v>56</v>
      </c>
      <c r="C1099" s="22">
        <f t="shared" si="74"/>
        <v>25001620</v>
      </c>
      <c r="D1099" s="11" t="str">
        <f t="shared" si="71"/>
        <v>SKIIFM_AT</v>
      </c>
      <c r="E1099" s="11" t="str">
        <f>IF(I1099&lt;&gt;"",VLOOKUP(F1099,OPDRACHTGEVER!$A$2:$B$4,2,FALSE),"")</f>
        <v>SKIIFM_AT</v>
      </c>
      <c r="F1099" s="11" t="s">
        <v>58</v>
      </c>
      <c r="I1099" s="11" t="str">
        <f>IF(DATA!B1098&lt;&gt;"",DATA!B1098,"")</f>
        <v>MEDU4455865</v>
      </c>
      <c r="J1099" s="12">
        <v>0</v>
      </c>
      <c r="K1099" s="11" t="s">
        <v>53</v>
      </c>
      <c r="L1099" s="11" t="str">
        <f t="shared" si="72"/>
        <v>741920</v>
      </c>
      <c r="M1099" s="11" t="str">
        <f>IF(I1099&lt;&gt;"",DATA!E1098,"")</f>
        <v>LADDER HOOK</v>
      </c>
      <c r="N1099" s="12">
        <v>0</v>
      </c>
      <c r="O1099" s="11">
        <f>IF(I1099&lt;&gt;"",DATA!C1098,"")</f>
        <v>524.20000000000005</v>
      </c>
      <c r="P1099" s="2">
        <v>294094</v>
      </c>
      <c r="Q1099" s="2" t="s">
        <v>1304</v>
      </c>
      <c r="R1099" s="2" t="s">
        <v>1326</v>
      </c>
      <c r="S1099" s="2">
        <v>356</v>
      </c>
      <c r="T1099" s="2">
        <v>1</v>
      </c>
      <c r="U1099" s="2" t="s">
        <v>141</v>
      </c>
      <c r="Y1099" s="2">
        <v>1700</v>
      </c>
      <c r="Z1099" s="11" t="s">
        <v>54</v>
      </c>
      <c r="AA1099" s="11" t="str">
        <f t="shared" si="73"/>
        <v>1700 - TBN</v>
      </c>
      <c r="AC1099" s="2" t="s">
        <v>145</v>
      </c>
      <c r="AD1099" s="11" t="str">
        <f>IF($I1099&lt;&gt;"",VLOOKUP($AC1099,GEADRESSEERDE!$A$2:$E$4,2,),"")</f>
        <v>LUITHAGEN HAVEN 2 D</v>
      </c>
      <c r="AE1099" s="11">
        <f>IF($I1099&lt;&gt;"",VLOOKUP($AC1099,GEADRESSEERDE!$A$2:$E$4,3,),"")</f>
        <v>2030</v>
      </c>
      <c r="AF1099" s="11" t="str">
        <f>IF($I1099&lt;&gt;"",VLOOKUP($AC1099,GEADRESSEERDE!$A$2:$E$4,4,),"")</f>
        <v>ANTWERPEN</v>
      </c>
      <c r="AG1099" s="11" t="str">
        <f>IF($I1099&lt;&gt;"",VLOOKUP($AC1099,GEADRESSEERDE!$A$2:$E$4,5,),"")</f>
        <v>BE</v>
      </c>
      <c r="AH1099" s="11" t="str">
        <f>IF(I1099&lt;&gt;"",VLOOKUP(AP1099,KvB!$A$2:$B$3,2,FALSE),"")</f>
        <v>BE101000</v>
      </c>
      <c r="AI1099" s="11" t="s">
        <v>55</v>
      </c>
      <c r="AJ1099" s="11"/>
      <c r="AK1099" s="11"/>
      <c r="AL1099" s="11"/>
      <c r="AM1099" s="11"/>
      <c r="AN1099" s="11"/>
      <c r="AO1099" s="11"/>
      <c r="AP1099" s="2" t="s">
        <v>70</v>
      </c>
      <c r="AQ1099" s="11" t="str">
        <f>IF(I1099&lt;&gt;"",DATA!D1098,"")</f>
        <v>7419200090</v>
      </c>
    </row>
    <row r="1100" spans="1:43" ht="15.75" x14ac:dyDescent="0.25">
      <c r="A1100" s="11" t="s">
        <v>57</v>
      </c>
      <c r="B1100" s="11" t="s">
        <v>56</v>
      </c>
      <c r="C1100" s="22">
        <f t="shared" si="74"/>
        <v>25001620</v>
      </c>
      <c r="D1100" s="11" t="str">
        <f t="shared" si="71"/>
        <v>SKIIFM_AT</v>
      </c>
      <c r="E1100" s="11" t="str">
        <f>IF(I1100&lt;&gt;"",VLOOKUP(F1100,OPDRACHTGEVER!$A$2:$B$4,2,FALSE),"")</f>
        <v>SKIIFM_AT</v>
      </c>
      <c r="F1100" s="11" t="s">
        <v>58</v>
      </c>
      <c r="I1100" s="11" t="str">
        <f>IF(DATA!B1099&lt;&gt;"",DATA!B1099,"")</f>
        <v>MEDU4455865</v>
      </c>
      <c r="J1100" s="12">
        <v>0</v>
      </c>
      <c r="K1100" s="11" t="s">
        <v>53</v>
      </c>
      <c r="L1100" s="11" t="str">
        <f t="shared" si="72"/>
        <v>845899</v>
      </c>
      <c r="M1100" s="11" t="str">
        <f>IF(I1100&lt;&gt;"",DATA!E1099,"")</f>
        <v>LATHE</v>
      </c>
      <c r="N1100" s="12">
        <v>0</v>
      </c>
      <c r="O1100" s="11">
        <f>IF(I1100&lt;&gt;"",DATA!C1099,"")</f>
        <v>952</v>
      </c>
      <c r="P1100" s="2">
        <v>294094</v>
      </c>
      <c r="Q1100" s="2" t="s">
        <v>1304</v>
      </c>
      <c r="R1100" s="2" t="s">
        <v>1326</v>
      </c>
      <c r="S1100" s="2">
        <v>356</v>
      </c>
      <c r="T1100" s="2">
        <v>1</v>
      </c>
      <c r="U1100" s="2" t="s">
        <v>141</v>
      </c>
      <c r="Y1100" s="2">
        <v>1700</v>
      </c>
      <c r="Z1100" s="11" t="s">
        <v>54</v>
      </c>
      <c r="AA1100" s="11" t="str">
        <f t="shared" si="73"/>
        <v>1700 - TBN</v>
      </c>
      <c r="AC1100" s="2" t="s">
        <v>145</v>
      </c>
      <c r="AD1100" s="11" t="str">
        <f>IF($I1100&lt;&gt;"",VLOOKUP($AC1100,GEADRESSEERDE!$A$2:$E$4,2,),"")</f>
        <v>LUITHAGEN HAVEN 2 D</v>
      </c>
      <c r="AE1100" s="11">
        <f>IF($I1100&lt;&gt;"",VLOOKUP($AC1100,GEADRESSEERDE!$A$2:$E$4,3,),"")</f>
        <v>2030</v>
      </c>
      <c r="AF1100" s="11" t="str">
        <f>IF($I1100&lt;&gt;"",VLOOKUP($AC1100,GEADRESSEERDE!$A$2:$E$4,4,),"")</f>
        <v>ANTWERPEN</v>
      </c>
      <c r="AG1100" s="11" t="str">
        <f>IF($I1100&lt;&gt;"",VLOOKUP($AC1100,GEADRESSEERDE!$A$2:$E$4,5,),"")</f>
        <v>BE</v>
      </c>
      <c r="AH1100" s="11" t="str">
        <f>IF(I1100&lt;&gt;"",VLOOKUP(AP1100,KvB!$A$2:$B$3,2,FALSE),"")</f>
        <v>BE101000</v>
      </c>
      <c r="AI1100" s="11" t="s">
        <v>55</v>
      </c>
      <c r="AJ1100" s="11"/>
      <c r="AK1100" s="11"/>
      <c r="AL1100" s="11"/>
      <c r="AM1100" s="11"/>
      <c r="AN1100" s="11"/>
      <c r="AO1100" s="11"/>
      <c r="AP1100" s="2" t="s">
        <v>70</v>
      </c>
      <c r="AQ1100" s="11" t="str">
        <f>IF(I1100&lt;&gt;"",DATA!D1099,"")</f>
        <v>8458990000</v>
      </c>
    </row>
    <row r="1101" spans="1:43" ht="15.75" x14ac:dyDescent="0.25">
      <c r="A1101" s="11" t="s">
        <v>57</v>
      </c>
      <c r="B1101" s="11" t="s">
        <v>56</v>
      </c>
      <c r="C1101" s="22">
        <f t="shared" si="74"/>
        <v>25001620</v>
      </c>
      <c r="D1101" s="11" t="str">
        <f t="shared" si="71"/>
        <v>SKIIFM_AT</v>
      </c>
      <c r="E1101" s="11" t="str">
        <f>IF(I1101&lt;&gt;"",VLOOKUP(F1101,OPDRACHTGEVER!$A$2:$B$4,2,FALSE),"")</f>
        <v>SKIIFM_AT</v>
      </c>
      <c r="F1101" s="11" t="s">
        <v>58</v>
      </c>
      <c r="I1101" s="11" t="str">
        <f>IF(DATA!B1100&lt;&gt;"",DATA!B1100,"")</f>
        <v>MEDU4455865</v>
      </c>
      <c r="J1101" s="12">
        <v>0</v>
      </c>
      <c r="K1101" s="11" t="s">
        <v>53</v>
      </c>
      <c r="L1101" s="11" t="str">
        <f t="shared" si="72"/>
        <v>741920</v>
      </c>
      <c r="M1101" s="11" t="str">
        <f>IF(I1101&lt;&gt;"",DATA!E1100,"")</f>
        <v>LIFTING CHAIN</v>
      </c>
      <c r="N1101" s="12">
        <v>0</v>
      </c>
      <c r="O1101" s="11">
        <f>IF(I1101&lt;&gt;"",DATA!C1100,"")</f>
        <v>89.85</v>
      </c>
      <c r="P1101" s="2">
        <v>294094</v>
      </c>
      <c r="Q1101" s="2" t="s">
        <v>1304</v>
      </c>
      <c r="R1101" s="2" t="s">
        <v>1326</v>
      </c>
      <c r="S1101" s="2">
        <v>356</v>
      </c>
      <c r="T1101" s="2">
        <v>1</v>
      </c>
      <c r="U1101" s="2" t="s">
        <v>141</v>
      </c>
      <c r="Y1101" s="2">
        <v>1700</v>
      </c>
      <c r="Z1101" s="11" t="s">
        <v>54</v>
      </c>
      <c r="AA1101" s="11" t="str">
        <f t="shared" si="73"/>
        <v>1700 - TBN</v>
      </c>
      <c r="AC1101" s="2" t="s">
        <v>145</v>
      </c>
      <c r="AD1101" s="11" t="str">
        <f>IF($I1101&lt;&gt;"",VLOOKUP($AC1101,GEADRESSEERDE!$A$2:$E$4,2,),"")</f>
        <v>LUITHAGEN HAVEN 2 D</v>
      </c>
      <c r="AE1101" s="11">
        <f>IF($I1101&lt;&gt;"",VLOOKUP($AC1101,GEADRESSEERDE!$A$2:$E$4,3,),"")</f>
        <v>2030</v>
      </c>
      <c r="AF1101" s="11" t="str">
        <f>IF($I1101&lt;&gt;"",VLOOKUP($AC1101,GEADRESSEERDE!$A$2:$E$4,4,),"")</f>
        <v>ANTWERPEN</v>
      </c>
      <c r="AG1101" s="11" t="str">
        <f>IF($I1101&lt;&gt;"",VLOOKUP($AC1101,GEADRESSEERDE!$A$2:$E$4,5,),"")</f>
        <v>BE</v>
      </c>
      <c r="AH1101" s="11" t="str">
        <f>IF(I1101&lt;&gt;"",VLOOKUP(AP1101,KvB!$A$2:$B$3,2,FALSE),"")</f>
        <v>BE101000</v>
      </c>
      <c r="AI1101" s="11" t="s">
        <v>55</v>
      </c>
      <c r="AJ1101" s="11"/>
      <c r="AK1101" s="11"/>
      <c r="AL1101" s="11"/>
      <c r="AM1101" s="11"/>
      <c r="AN1101" s="11"/>
      <c r="AO1101" s="11"/>
      <c r="AP1101" s="2" t="s">
        <v>70</v>
      </c>
      <c r="AQ1101" s="11" t="str">
        <f>IF(I1101&lt;&gt;"",DATA!D1100,"")</f>
        <v>7419200090</v>
      </c>
    </row>
    <row r="1102" spans="1:43" ht="15.75" x14ac:dyDescent="0.25">
      <c r="A1102" s="11" t="s">
        <v>57</v>
      </c>
      <c r="B1102" s="11" t="s">
        <v>56</v>
      </c>
      <c r="C1102" s="22">
        <f t="shared" si="74"/>
        <v>25001620</v>
      </c>
      <c r="D1102" s="11" t="str">
        <f t="shared" si="71"/>
        <v>SKIIFM_AT</v>
      </c>
      <c r="E1102" s="11" t="str">
        <f>IF(I1102&lt;&gt;"",VLOOKUP(F1102,OPDRACHTGEVER!$A$2:$B$4,2,FALSE),"")</f>
        <v>SKIIFM_AT</v>
      </c>
      <c r="F1102" s="11" t="s">
        <v>58</v>
      </c>
      <c r="I1102" s="11" t="str">
        <f>IF(DATA!B1101&lt;&gt;"",DATA!B1101,"")</f>
        <v>MEDU4455865</v>
      </c>
      <c r="J1102" s="12">
        <v>0</v>
      </c>
      <c r="K1102" s="11" t="s">
        <v>53</v>
      </c>
      <c r="L1102" s="11" t="str">
        <f t="shared" si="72"/>
        <v>850131</v>
      </c>
      <c r="M1102" s="11" t="str">
        <f>IF(I1102&lt;&gt;"",DATA!E1101,"")</f>
        <v>LINEAR ACTUATOR</v>
      </c>
      <c r="N1102" s="12">
        <v>0</v>
      </c>
      <c r="O1102" s="11">
        <f>IF(I1102&lt;&gt;"",DATA!C1101,"")</f>
        <v>9.6</v>
      </c>
      <c r="P1102" s="2">
        <v>294094</v>
      </c>
      <c r="Q1102" s="2" t="s">
        <v>1304</v>
      </c>
      <c r="R1102" s="2" t="s">
        <v>1326</v>
      </c>
      <c r="S1102" s="2">
        <v>356</v>
      </c>
      <c r="T1102" s="2">
        <v>1</v>
      </c>
      <c r="U1102" s="2" t="s">
        <v>141</v>
      </c>
      <c r="Y1102" s="2">
        <v>1700</v>
      </c>
      <c r="Z1102" s="11" t="s">
        <v>54</v>
      </c>
      <c r="AA1102" s="11" t="str">
        <f t="shared" si="73"/>
        <v>1700 - TBN</v>
      </c>
      <c r="AC1102" s="2" t="s">
        <v>145</v>
      </c>
      <c r="AD1102" s="11" t="str">
        <f>IF($I1102&lt;&gt;"",VLOOKUP($AC1102,GEADRESSEERDE!$A$2:$E$4,2,),"")</f>
        <v>LUITHAGEN HAVEN 2 D</v>
      </c>
      <c r="AE1102" s="11">
        <f>IF($I1102&lt;&gt;"",VLOOKUP($AC1102,GEADRESSEERDE!$A$2:$E$4,3,),"")</f>
        <v>2030</v>
      </c>
      <c r="AF1102" s="11" t="str">
        <f>IF($I1102&lt;&gt;"",VLOOKUP($AC1102,GEADRESSEERDE!$A$2:$E$4,4,),"")</f>
        <v>ANTWERPEN</v>
      </c>
      <c r="AG1102" s="11" t="str">
        <f>IF($I1102&lt;&gt;"",VLOOKUP($AC1102,GEADRESSEERDE!$A$2:$E$4,5,),"")</f>
        <v>BE</v>
      </c>
      <c r="AH1102" s="11" t="str">
        <f>IF(I1102&lt;&gt;"",VLOOKUP(AP1102,KvB!$A$2:$B$3,2,FALSE),"")</f>
        <v>BE101000</v>
      </c>
      <c r="AI1102" s="11" t="s">
        <v>55</v>
      </c>
      <c r="AJ1102" s="11"/>
      <c r="AK1102" s="11"/>
      <c r="AL1102" s="11"/>
      <c r="AM1102" s="11"/>
      <c r="AN1102" s="11"/>
      <c r="AO1102" s="11"/>
      <c r="AP1102" s="2" t="s">
        <v>70</v>
      </c>
      <c r="AQ1102" s="11" t="str">
        <f>IF(I1102&lt;&gt;"",DATA!D1101,"")</f>
        <v>8501310099</v>
      </c>
    </row>
    <row r="1103" spans="1:43" ht="15.75" x14ac:dyDescent="0.25">
      <c r="A1103" s="11" t="s">
        <v>57</v>
      </c>
      <c r="B1103" s="11" t="s">
        <v>56</v>
      </c>
      <c r="C1103" s="22">
        <f t="shared" si="74"/>
        <v>25001620</v>
      </c>
      <c r="D1103" s="11" t="str">
        <f t="shared" si="71"/>
        <v>SKIIFM_AT</v>
      </c>
      <c r="E1103" s="11" t="str">
        <f>IF(I1103&lt;&gt;"",VLOOKUP(F1103,OPDRACHTGEVER!$A$2:$B$4,2,FALSE),"")</f>
        <v>SKIIFM_AT</v>
      </c>
      <c r="F1103" s="11" t="s">
        <v>58</v>
      </c>
      <c r="I1103" s="11" t="str">
        <f>IF(DATA!B1102&lt;&gt;"",DATA!B1102,"")</f>
        <v>MEDU4455865</v>
      </c>
      <c r="J1103" s="12">
        <v>0</v>
      </c>
      <c r="K1103" s="11" t="s">
        <v>53</v>
      </c>
      <c r="L1103" s="11" t="str">
        <f t="shared" si="72"/>
        <v>842121</v>
      </c>
      <c r="M1103" s="11" t="str">
        <f>IF(I1103&lt;&gt;"",DATA!E1102,"")</f>
        <v>MANUAL FLUSH PRE-FILTER</v>
      </c>
      <c r="N1103" s="12">
        <v>0</v>
      </c>
      <c r="O1103" s="11">
        <f>IF(I1103&lt;&gt;"",DATA!C1102,"")</f>
        <v>3.4</v>
      </c>
      <c r="P1103" s="2">
        <v>294094</v>
      </c>
      <c r="Q1103" s="2" t="s">
        <v>1304</v>
      </c>
      <c r="R1103" s="2" t="s">
        <v>1326</v>
      </c>
      <c r="S1103" s="2">
        <v>356</v>
      </c>
      <c r="T1103" s="2">
        <v>1</v>
      </c>
      <c r="U1103" s="2" t="s">
        <v>141</v>
      </c>
      <c r="Y1103" s="2">
        <v>1700</v>
      </c>
      <c r="Z1103" s="11" t="s">
        <v>54</v>
      </c>
      <c r="AA1103" s="11" t="str">
        <f t="shared" si="73"/>
        <v>1700 - TBN</v>
      </c>
      <c r="AC1103" s="2" t="s">
        <v>145</v>
      </c>
      <c r="AD1103" s="11" t="str">
        <f>IF($I1103&lt;&gt;"",VLOOKUP($AC1103,GEADRESSEERDE!$A$2:$E$4,2,),"")</f>
        <v>LUITHAGEN HAVEN 2 D</v>
      </c>
      <c r="AE1103" s="11">
        <f>IF($I1103&lt;&gt;"",VLOOKUP($AC1103,GEADRESSEERDE!$A$2:$E$4,3,),"")</f>
        <v>2030</v>
      </c>
      <c r="AF1103" s="11" t="str">
        <f>IF($I1103&lt;&gt;"",VLOOKUP($AC1103,GEADRESSEERDE!$A$2:$E$4,4,),"")</f>
        <v>ANTWERPEN</v>
      </c>
      <c r="AG1103" s="11" t="str">
        <f>IF($I1103&lt;&gt;"",VLOOKUP($AC1103,GEADRESSEERDE!$A$2:$E$4,5,),"")</f>
        <v>BE</v>
      </c>
      <c r="AH1103" s="11" t="str">
        <f>IF(I1103&lt;&gt;"",VLOOKUP(AP1103,KvB!$A$2:$B$3,2,FALSE),"")</f>
        <v>BE101000</v>
      </c>
      <c r="AI1103" s="11" t="s">
        <v>55</v>
      </c>
      <c r="AJ1103" s="11"/>
      <c r="AK1103" s="11"/>
      <c r="AL1103" s="11"/>
      <c r="AM1103" s="11"/>
      <c r="AN1103" s="11"/>
      <c r="AO1103" s="11"/>
      <c r="AP1103" s="2" t="s">
        <v>70</v>
      </c>
      <c r="AQ1103" s="11" t="str">
        <f>IF(I1103&lt;&gt;"",DATA!D1102,"")</f>
        <v>8421210090</v>
      </c>
    </row>
    <row r="1104" spans="1:43" ht="15.75" x14ac:dyDescent="0.25">
      <c r="A1104" s="11" t="s">
        <v>57</v>
      </c>
      <c r="B1104" s="11" t="s">
        <v>56</v>
      </c>
      <c r="C1104" s="22">
        <f t="shared" si="74"/>
        <v>25001620</v>
      </c>
      <c r="D1104" s="11" t="str">
        <f t="shared" si="71"/>
        <v>SKIIFM_AT</v>
      </c>
      <c r="E1104" s="11" t="str">
        <f>IF(I1104&lt;&gt;"",VLOOKUP(F1104,OPDRACHTGEVER!$A$2:$B$4,2,FALSE),"")</f>
        <v>SKIIFM_AT</v>
      </c>
      <c r="F1104" s="11" t="s">
        <v>58</v>
      </c>
      <c r="I1104" s="11" t="str">
        <f>IF(DATA!B1103&lt;&gt;"",DATA!B1103,"")</f>
        <v>MEDU4455865</v>
      </c>
      <c r="J1104" s="12">
        <v>0</v>
      </c>
      <c r="K1104" s="11" t="s">
        <v>53</v>
      </c>
      <c r="L1104" s="11" t="str">
        <f t="shared" si="72"/>
        <v>741920</v>
      </c>
      <c r="M1104" s="11" t="str">
        <f>IF(I1104&lt;&gt;"",DATA!E1103,"")</f>
        <v>METAL PET CAGE</v>
      </c>
      <c r="N1104" s="12">
        <v>0</v>
      </c>
      <c r="O1104" s="11">
        <f>IF(I1104&lt;&gt;"",DATA!C1103,"")</f>
        <v>429.65</v>
      </c>
      <c r="P1104" s="2">
        <v>294094</v>
      </c>
      <c r="Q1104" s="2" t="s">
        <v>1304</v>
      </c>
      <c r="R1104" s="2" t="s">
        <v>1326</v>
      </c>
      <c r="S1104" s="2">
        <v>356</v>
      </c>
      <c r="T1104" s="2">
        <v>1</v>
      </c>
      <c r="U1104" s="2" t="s">
        <v>141</v>
      </c>
      <c r="Y1104" s="2">
        <v>1700</v>
      </c>
      <c r="Z1104" s="11" t="s">
        <v>54</v>
      </c>
      <c r="AA1104" s="11" t="str">
        <f t="shared" si="73"/>
        <v>1700 - TBN</v>
      </c>
      <c r="AC1104" s="2" t="s">
        <v>145</v>
      </c>
      <c r="AD1104" s="11" t="str">
        <f>IF($I1104&lt;&gt;"",VLOOKUP($AC1104,GEADRESSEERDE!$A$2:$E$4,2,),"")</f>
        <v>LUITHAGEN HAVEN 2 D</v>
      </c>
      <c r="AE1104" s="11">
        <f>IF($I1104&lt;&gt;"",VLOOKUP($AC1104,GEADRESSEERDE!$A$2:$E$4,3,),"")</f>
        <v>2030</v>
      </c>
      <c r="AF1104" s="11" t="str">
        <f>IF($I1104&lt;&gt;"",VLOOKUP($AC1104,GEADRESSEERDE!$A$2:$E$4,4,),"")</f>
        <v>ANTWERPEN</v>
      </c>
      <c r="AG1104" s="11" t="str">
        <f>IF($I1104&lt;&gt;"",VLOOKUP($AC1104,GEADRESSEERDE!$A$2:$E$4,5,),"")</f>
        <v>BE</v>
      </c>
      <c r="AH1104" s="11" t="str">
        <f>IF(I1104&lt;&gt;"",VLOOKUP(AP1104,KvB!$A$2:$B$3,2,FALSE),"")</f>
        <v>BE101000</v>
      </c>
      <c r="AI1104" s="11" t="s">
        <v>55</v>
      </c>
      <c r="AJ1104" s="11"/>
      <c r="AK1104" s="11"/>
      <c r="AL1104" s="11"/>
      <c r="AM1104" s="11"/>
      <c r="AN1104" s="11"/>
      <c r="AO1104" s="11"/>
      <c r="AP1104" s="2" t="s">
        <v>70</v>
      </c>
      <c r="AQ1104" s="11" t="str">
        <f>IF(I1104&lt;&gt;"",DATA!D1103,"")</f>
        <v>7419200090</v>
      </c>
    </row>
    <row r="1105" spans="1:43" ht="15.75" x14ac:dyDescent="0.25">
      <c r="A1105" s="11" t="s">
        <v>57</v>
      </c>
      <c r="B1105" s="11" t="s">
        <v>56</v>
      </c>
      <c r="C1105" s="22">
        <f t="shared" si="74"/>
        <v>25001620</v>
      </c>
      <c r="D1105" s="11" t="str">
        <f t="shared" si="71"/>
        <v>SKIIFM_AT</v>
      </c>
      <c r="E1105" s="11" t="str">
        <f>IF(I1105&lt;&gt;"",VLOOKUP(F1105,OPDRACHTGEVER!$A$2:$B$4,2,FALSE),"")</f>
        <v>SKIIFM_AT</v>
      </c>
      <c r="F1105" s="11" t="s">
        <v>58</v>
      </c>
      <c r="I1105" s="11" t="str">
        <f>IF(DATA!B1104&lt;&gt;"",DATA!B1104,"")</f>
        <v>MEDU4455865</v>
      </c>
      <c r="J1105" s="12">
        <v>0</v>
      </c>
      <c r="K1105" s="11" t="s">
        <v>53</v>
      </c>
      <c r="L1105" s="11" t="str">
        <f t="shared" si="72"/>
        <v>850132</v>
      </c>
      <c r="M1105" s="11" t="str">
        <f>IF(I1105&lt;&gt;"",DATA!E1104,"")</f>
        <v>MOTOR</v>
      </c>
      <c r="N1105" s="12">
        <v>0</v>
      </c>
      <c r="O1105" s="11">
        <f>IF(I1105&lt;&gt;"",DATA!C1104,"")</f>
        <v>5.5</v>
      </c>
      <c r="P1105" s="2">
        <v>294094</v>
      </c>
      <c r="Q1105" s="2" t="s">
        <v>1304</v>
      </c>
      <c r="R1105" s="2" t="s">
        <v>1326</v>
      </c>
      <c r="S1105" s="2">
        <v>356</v>
      </c>
      <c r="T1105" s="2">
        <v>1</v>
      </c>
      <c r="U1105" s="2" t="s">
        <v>141</v>
      </c>
      <c r="Y1105" s="2">
        <v>1700</v>
      </c>
      <c r="Z1105" s="11" t="s">
        <v>54</v>
      </c>
      <c r="AA1105" s="11" t="str">
        <f t="shared" si="73"/>
        <v>1700 - TBN</v>
      </c>
      <c r="AC1105" s="2" t="s">
        <v>145</v>
      </c>
      <c r="AD1105" s="11" t="str">
        <f>IF($I1105&lt;&gt;"",VLOOKUP($AC1105,GEADRESSEERDE!$A$2:$E$4,2,),"")</f>
        <v>LUITHAGEN HAVEN 2 D</v>
      </c>
      <c r="AE1105" s="11">
        <f>IF($I1105&lt;&gt;"",VLOOKUP($AC1105,GEADRESSEERDE!$A$2:$E$4,3,),"")</f>
        <v>2030</v>
      </c>
      <c r="AF1105" s="11" t="str">
        <f>IF($I1105&lt;&gt;"",VLOOKUP($AC1105,GEADRESSEERDE!$A$2:$E$4,4,),"")</f>
        <v>ANTWERPEN</v>
      </c>
      <c r="AG1105" s="11" t="str">
        <f>IF($I1105&lt;&gt;"",VLOOKUP($AC1105,GEADRESSEERDE!$A$2:$E$4,5,),"")</f>
        <v>BE</v>
      </c>
      <c r="AH1105" s="11" t="str">
        <f>IF(I1105&lt;&gt;"",VLOOKUP(AP1105,KvB!$A$2:$B$3,2,FALSE),"")</f>
        <v>BE101000</v>
      </c>
      <c r="AI1105" s="11" t="s">
        <v>55</v>
      </c>
      <c r="AJ1105" s="11"/>
      <c r="AK1105" s="11"/>
      <c r="AL1105" s="11"/>
      <c r="AM1105" s="11"/>
      <c r="AN1105" s="11"/>
      <c r="AO1105" s="11"/>
      <c r="AP1105" s="2" t="s">
        <v>70</v>
      </c>
      <c r="AQ1105" s="11" t="str">
        <f>IF(I1105&lt;&gt;"",DATA!D1104,"")</f>
        <v>8501320099</v>
      </c>
    </row>
    <row r="1106" spans="1:43" ht="15.75" x14ac:dyDescent="0.25">
      <c r="A1106" s="11" t="s">
        <v>57</v>
      </c>
      <c r="B1106" s="11" t="s">
        <v>56</v>
      </c>
      <c r="C1106" s="22">
        <f t="shared" si="74"/>
        <v>25001620</v>
      </c>
      <c r="D1106" s="11" t="str">
        <f t="shared" si="71"/>
        <v>SKIIFM_AT</v>
      </c>
      <c r="E1106" s="11" t="str">
        <f>IF(I1106&lt;&gt;"",VLOOKUP(F1106,OPDRACHTGEVER!$A$2:$B$4,2,FALSE),"")</f>
        <v>SKIIFM_AT</v>
      </c>
      <c r="F1106" s="11" t="s">
        <v>58</v>
      </c>
      <c r="I1106" s="11" t="str">
        <f>IF(DATA!B1105&lt;&gt;"",DATA!B1105,"")</f>
        <v>MEDU4455865</v>
      </c>
      <c r="J1106" s="12">
        <v>0</v>
      </c>
      <c r="K1106" s="11" t="s">
        <v>53</v>
      </c>
      <c r="L1106" s="11" t="str">
        <f t="shared" si="72"/>
        <v>842820</v>
      </c>
      <c r="M1106" s="11" t="str">
        <f>IF(I1106&lt;&gt;"",DATA!E1105,"")</f>
        <v>MOTORCYCLE LIFT STAND</v>
      </c>
      <c r="N1106" s="12">
        <v>0</v>
      </c>
      <c r="O1106" s="11">
        <f>IF(I1106&lt;&gt;"",DATA!C1105,"")</f>
        <v>641</v>
      </c>
      <c r="P1106" s="2">
        <v>294094</v>
      </c>
      <c r="Q1106" s="2" t="s">
        <v>1304</v>
      </c>
      <c r="R1106" s="2" t="s">
        <v>1326</v>
      </c>
      <c r="S1106" s="2">
        <v>356</v>
      </c>
      <c r="T1106" s="2">
        <v>1</v>
      </c>
      <c r="U1106" s="2" t="s">
        <v>141</v>
      </c>
      <c r="Y1106" s="2">
        <v>1700</v>
      </c>
      <c r="Z1106" s="11" t="s">
        <v>54</v>
      </c>
      <c r="AA1106" s="11" t="str">
        <f t="shared" si="73"/>
        <v>1700 - TBN</v>
      </c>
      <c r="AC1106" s="2" t="s">
        <v>145</v>
      </c>
      <c r="AD1106" s="11" t="str">
        <f>IF($I1106&lt;&gt;"",VLOOKUP($AC1106,GEADRESSEERDE!$A$2:$E$4,2,),"")</f>
        <v>LUITHAGEN HAVEN 2 D</v>
      </c>
      <c r="AE1106" s="11">
        <f>IF($I1106&lt;&gt;"",VLOOKUP($AC1106,GEADRESSEERDE!$A$2:$E$4,3,),"")</f>
        <v>2030</v>
      </c>
      <c r="AF1106" s="11" t="str">
        <f>IF($I1106&lt;&gt;"",VLOOKUP($AC1106,GEADRESSEERDE!$A$2:$E$4,4,),"")</f>
        <v>ANTWERPEN</v>
      </c>
      <c r="AG1106" s="11" t="str">
        <f>IF($I1106&lt;&gt;"",VLOOKUP($AC1106,GEADRESSEERDE!$A$2:$E$4,5,),"")</f>
        <v>BE</v>
      </c>
      <c r="AH1106" s="11" t="str">
        <f>IF(I1106&lt;&gt;"",VLOOKUP(AP1106,KvB!$A$2:$B$3,2,FALSE),"")</f>
        <v>BE101000</v>
      </c>
      <c r="AI1106" s="11" t="s">
        <v>55</v>
      </c>
      <c r="AJ1106" s="11"/>
      <c r="AK1106" s="11"/>
      <c r="AL1106" s="11"/>
      <c r="AM1106" s="11"/>
      <c r="AN1106" s="11"/>
      <c r="AO1106" s="11"/>
      <c r="AP1106" s="2" t="s">
        <v>70</v>
      </c>
      <c r="AQ1106" s="11" t="str">
        <f>IF(I1106&lt;&gt;"",DATA!D1105,"")</f>
        <v>8428208000</v>
      </c>
    </row>
    <row r="1107" spans="1:43" ht="15.75" x14ac:dyDescent="0.25">
      <c r="A1107" s="11" t="s">
        <v>57</v>
      </c>
      <c r="B1107" s="11" t="s">
        <v>56</v>
      </c>
      <c r="C1107" s="22">
        <f t="shared" si="74"/>
        <v>25001620</v>
      </c>
      <c r="D1107" s="11" t="str">
        <f t="shared" si="71"/>
        <v>SKIIFM_AT</v>
      </c>
      <c r="E1107" s="11" t="str">
        <f>IF(I1107&lt;&gt;"",VLOOKUP(F1107,OPDRACHTGEVER!$A$2:$B$4,2,FALSE),"")</f>
        <v>SKIIFM_AT</v>
      </c>
      <c r="F1107" s="11" t="s">
        <v>58</v>
      </c>
      <c r="I1107" s="11" t="str">
        <f>IF(DATA!B1106&lt;&gt;"",DATA!B1106,"")</f>
        <v>MEDU4455865</v>
      </c>
      <c r="J1107" s="12">
        <v>0</v>
      </c>
      <c r="K1107" s="11" t="s">
        <v>53</v>
      </c>
      <c r="L1107" s="11" t="str">
        <f t="shared" si="72"/>
        <v>420292</v>
      </c>
      <c r="M1107" s="11" t="str">
        <f>IF(I1107&lt;&gt;"",DATA!E1106,"")</f>
        <v>PET CAR SEAT</v>
      </c>
      <c r="N1107" s="12">
        <v>0</v>
      </c>
      <c r="O1107" s="11">
        <f>IF(I1107&lt;&gt;"",DATA!C1106,"")</f>
        <v>3</v>
      </c>
      <c r="P1107" s="2">
        <v>294094</v>
      </c>
      <c r="Q1107" s="2" t="s">
        <v>1304</v>
      </c>
      <c r="R1107" s="2" t="s">
        <v>1326</v>
      </c>
      <c r="S1107" s="2">
        <v>356</v>
      </c>
      <c r="T1107" s="2">
        <v>1</v>
      </c>
      <c r="U1107" s="2" t="s">
        <v>141</v>
      </c>
      <c r="Y1107" s="2">
        <v>1700</v>
      </c>
      <c r="Z1107" s="11" t="s">
        <v>54</v>
      </c>
      <c r="AA1107" s="11" t="str">
        <f t="shared" si="73"/>
        <v>1700 - TBN</v>
      </c>
      <c r="AC1107" s="2" t="s">
        <v>145</v>
      </c>
      <c r="AD1107" s="11" t="str">
        <f>IF($I1107&lt;&gt;"",VLOOKUP($AC1107,GEADRESSEERDE!$A$2:$E$4,2,),"")</f>
        <v>LUITHAGEN HAVEN 2 D</v>
      </c>
      <c r="AE1107" s="11">
        <f>IF($I1107&lt;&gt;"",VLOOKUP($AC1107,GEADRESSEERDE!$A$2:$E$4,3,),"")</f>
        <v>2030</v>
      </c>
      <c r="AF1107" s="11" t="str">
        <f>IF($I1107&lt;&gt;"",VLOOKUP($AC1107,GEADRESSEERDE!$A$2:$E$4,4,),"")</f>
        <v>ANTWERPEN</v>
      </c>
      <c r="AG1107" s="11" t="str">
        <f>IF($I1107&lt;&gt;"",VLOOKUP($AC1107,GEADRESSEERDE!$A$2:$E$4,5,),"")</f>
        <v>BE</v>
      </c>
      <c r="AH1107" s="11" t="str">
        <f>IF(I1107&lt;&gt;"",VLOOKUP(AP1107,KvB!$A$2:$B$3,2,FALSE),"")</f>
        <v>BE101000</v>
      </c>
      <c r="AI1107" s="11" t="s">
        <v>55</v>
      </c>
      <c r="AJ1107" s="11"/>
      <c r="AK1107" s="11"/>
      <c r="AL1107" s="11"/>
      <c r="AM1107" s="11"/>
      <c r="AN1107" s="11"/>
      <c r="AO1107" s="11"/>
      <c r="AP1107" s="2" t="s">
        <v>70</v>
      </c>
      <c r="AQ1107" s="11" t="str">
        <f>IF(I1107&lt;&gt;"",DATA!D1106,"")</f>
        <v>4202929890</v>
      </c>
    </row>
    <row r="1108" spans="1:43" ht="15.75" x14ac:dyDescent="0.25">
      <c r="A1108" s="11" t="s">
        <v>57</v>
      </c>
      <c r="B1108" s="11" t="s">
        <v>56</v>
      </c>
      <c r="C1108" s="22">
        <f t="shared" si="74"/>
        <v>25001620</v>
      </c>
      <c r="D1108" s="11" t="str">
        <f t="shared" si="71"/>
        <v>SKIIFM_AT</v>
      </c>
      <c r="E1108" s="11" t="str">
        <f>IF(I1108&lt;&gt;"",VLOOKUP(F1108,OPDRACHTGEVER!$A$2:$B$4,2,FALSE),"")</f>
        <v>SKIIFM_AT</v>
      </c>
      <c r="F1108" s="11" t="s">
        <v>58</v>
      </c>
      <c r="I1108" s="11" t="str">
        <f>IF(DATA!B1107&lt;&gt;"",DATA!B1107,"")</f>
        <v>MEDU4455865</v>
      </c>
      <c r="J1108" s="12">
        <v>0</v>
      </c>
      <c r="K1108" s="11" t="s">
        <v>53</v>
      </c>
      <c r="L1108" s="11" t="str">
        <f t="shared" si="72"/>
        <v>820320</v>
      </c>
      <c r="M1108" s="11" t="str">
        <f>IF(I1108&lt;&gt;"",DATA!E1107,"")</f>
        <v>PIPE CLAMP</v>
      </c>
      <c r="N1108" s="12">
        <v>0</v>
      </c>
      <c r="O1108" s="11">
        <f>IF(I1108&lt;&gt;"",DATA!C1107,"")</f>
        <v>18.899999999999999</v>
      </c>
      <c r="P1108" s="2">
        <v>294094</v>
      </c>
      <c r="Q1108" s="2" t="s">
        <v>1304</v>
      </c>
      <c r="R1108" s="2" t="s">
        <v>1326</v>
      </c>
      <c r="S1108" s="2">
        <v>356</v>
      </c>
      <c r="T1108" s="2">
        <v>1</v>
      </c>
      <c r="U1108" s="2" t="s">
        <v>141</v>
      </c>
      <c r="Y1108" s="2">
        <v>1700</v>
      </c>
      <c r="Z1108" s="11" t="s">
        <v>54</v>
      </c>
      <c r="AA1108" s="11" t="str">
        <f t="shared" si="73"/>
        <v>1700 - TBN</v>
      </c>
      <c r="AC1108" s="2" t="s">
        <v>145</v>
      </c>
      <c r="AD1108" s="11" t="str">
        <f>IF($I1108&lt;&gt;"",VLOOKUP($AC1108,GEADRESSEERDE!$A$2:$E$4,2,),"")</f>
        <v>LUITHAGEN HAVEN 2 D</v>
      </c>
      <c r="AE1108" s="11">
        <f>IF($I1108&lt;&gt;"",VLOOKUP($AC1108,GEADRESSEERDE!$A$2:$E$4,3,),"")</f>
        <v>2030</v>
      </c>
      <c r="AF1108" s="11" t="str">
        <f>IF($I1108&lt;&gt;"",VLOOKUP($AC1108,GEADRESSEERDE!$A$2:$E$4,4,),"")</f>
        <v>ANTWERPEN</v>
      </c>
      <c r="AG1108" s="11" t="str">
        <f>IF($I1108&lt;&gt;"",VLOOKUP($AC1108,GEADRESSEERDE!$A$2:$E$4,5,),"")</f>
        <v>BE</v>
      </c>
      <c r="AH1108" s="11" t="str">
        <f>IF(I1108&lt;&gt;"",VLOOKUP(AP1108,KvB!$A$2:$B$3,2,FALSE),"")</f>
        <v>BE101000</v>
      </c>
      <c r="AI1108" s="11" t="s">
        <v>55</v>
      </c>
      <c r="AJ1108" s="11"/>
      <c r="AK1108" s="11"/>
      <c r="AL1108" s="11"/>
      <c r="AM1108" s="11"/>
      <c r="AN1108" s="11"/>
      <c r="AO1108" s="11"/>
      <c r="AP1108" s="2" t="s">
        <v>70</v>
      </c>
      <c r="AQ1108" s="11" t="str">
        <f>IF(I1108&lt;&gt;"",DATA!D1107,"")</f>
        <v>8203200000</v>
      </c>
    </row>
    <row r="1109" spans="1:43" ht="15.75" x14ac:dyDescent="0.25">
      <c r="A1109" s="11" t="s">
        <v>57</v>
      </c>
      <c r="B1109" s="11" t="s">
        <v>56</v>
      </c>
      <c r="C1109" s="22">
        <f t="shared" si="74"/>
        <v>25001620</v>
      </c>
      <c r="D1109" s="11" t="str">
        <f t="shared" si="71"/>
        <v>SKIIFM_AT</v>
      </c>
      <c r="E1109" s="11" t="str">
        <f>IF(I1109&lt;&gt;"",VLOOKUP(F1109,OPDRACHTGEVER!$A$2:$B$4,2,FALSE),"")</f>
        <v>SKIIFM_AT</v>
      </c>
      <c r="F1109" s="11" t="s">
        <v>58</v>
      </c>
      <c r="I1109" s="11" t="str">
        <f>IF(DATA!B1108&lt;&gt;"",DATA!B1108,"")</f>
        <v>MEDU4455865</v>
      </c>
      <c r="J1109" s="12">
        <v>0</v>
      </c>
      <c r="K1109" s="11" t="s">
        <v>53</v>
      </c>
      <c r="L1109" s="11" t="str">
        <f t="shared" si="72"/>
        <v>846150</v>
      </c>
      <c r="M1109" s="11" t="str">
        <f>IF(I1109&lt;&gt;"",DATA!E1108,"")</f>
        <v>PLASMA CUTTING EQUIPMENT</v>
      </c>
      <c r="N1109" s="12">
        <v>0</v>
      </c>
      <c r="O1109" s="11">
        <f>IF(I1109&lt;&gt;"",DATA!C1108,"")</f>
        <v>6</v>
      </c>
      <c r="P1109" s="2">
        <v>294094</v>
      </c>
      <c r="Q1109" s="2" t="s">
        <v>1304</v>
      </c>
      <c r="R1109" s="2" t="s">
        <v>1326</v>
      </c>
      <c r="S1109" s="2">
        <v>356</v>
      </c>
      <c r="T1109" s="2">
        <v>1</v>
      </c>
      <c r="U1109" s="2" t="s">
        <v>141</v>
      </c>
      <c r="Y1109" s="2">
        <v>1700</v>
      </c>
      <c r="Z1109" s="11" t="s">
        <v>54</v>
      </c>
      <c r="AA1109" s="11" t="str">
        <f t="shared" si="73"/>
        <v>1700 - TBN</v>
      </c>
      <c r="AC1109" s="2" t="s">
        <v>145</v>
      </c>
      <c r="AD1109" s="11" t="str">
        <f>IF($I1109&lt;&gt;"",VLOOKUP($AC1109,GEADRESSEERDE!$A$2:$E$4,2,),"")</f>
        <v>LUITHAGEN HAVEN 2 D</v>
      </c>
      <c r="AE1109" s="11">
        <f>IF($I1109&lt;&gt;"",VLOOKUP($AC1109,GEADRESSEERDE!$A$2:$E$4,3,),"")</f>
        <v>2030</v>
      </c>
      <c r="AF1109" s="11" t="str">
        <f>IF($I1109&lt;&gt;"",VLOOKUP($AC1109,GEADRESSEERDE!$A$2:$E$4,4,),"")</f>
        <v>ANTWERPEN</v>
      </c>
      <c r="AG1109" s="11" t="str">
        <f>IF($I1109&lt;&gt;"",VLOOKUP($AC1109,GEADRESSEERDE!$A$2:$E$4,5,),"")</f>
        <v>BE</v>
      </c>
      <c r="AH1109" s="11" t="str">
        <f>IF(I1109&lt;&gt;"",VLOOKUP(AP1109,KvB!$A$2:$B$3,2,FALSE),"")</f>
        <v>BE101000</v>
      </c>
      <c r="AI1109" s="11" t="s">
        <v>55</v>
      </c>
      <c r="AJ1109" s="11"/>
      <c r="AK1109" s="11"/>
      <c r="AL1109" s="11"/>
      <c r="AM1109" s="11"/>
      <c r="AN1109" s="11"/>
      <c r="AO1109" s="11"/>
      <c r="AP1109" s="2" t="s">
        <v>70</v>
      </c>
      <c r="AQ1109" s="11" t="str">
        <f>IF(I1109&lt;&gt;"",DATA!D1108,"")</f>
        <v>8461509000</v>
      </c>
    </row>
    <row r="1110" spans="1:43" ht="15.75" x14ac:dyDescent="0.25">
      <c r="A1110" s="11" t="s">
        <v>57</v>
      </c>
      <c r="B1110" s="11" t="s">
        <v>56</v>
      </c>
      <c r="C1110" s="22">
        <f t="shared" si="74"/>
        <v>25001620</v>
      </c>
      <c r="D1110" s="11" t="str">
        <f t="shared" si="71"/>
        <v>SKIIFM_AT</v>
      </c>
      <c r="E1110" s="11" t="str">
        <f>IF(I1110&lt;&gt;"",VLOOKUP(F1110,OPDRACHTGEVER!$A$2:$B$4,2,FALSE),"")</f>
        <v>SKIIFM_AT</v>
      </c>
      <c r="F1110" s="11" t="s">
        <v>58</v>
      </c>
      <c r="I1110" s="11" t="str">
        <f>IF(DATA!B1109&lt;&gt;"",DATA!B1109,"")</f>
        <v>MEDU4455865</v>
      </c>
      <c r="J1110" s="12">
        <v>0</v>
      </c>
      <c r="K1110" s="11" t="s">
        <v>53</v>
      </c>
      <c r="L1110" s="11" t="str">
        <f t="shared" si="72"/>
        <v>940370</v>
      </c>
      <c r="M1110" s="11" t="str">
        <f>IF(I1110&lt;&gt;"",DATA!E1109,"")</f>
        <v>PLATFORM</v>
      </c>
      <c r="N1110" s="12">
        <v>0</v>
      </c>
      <c r="O1110" s="11">
        <f>IF(I1110&lt;&gt;"",DATA!C1109,"")</f>
        <v>460.35</v>
      </c>
      <c r="P1110" s="2">
        <v>294094</v>
      </c>
      <c r="Q1110" s="2" t="s">
        <v>1304</v>
      </c>
      <c r="R1110" s="2" t="s">
        <v>1326</v>
      </c>
      <c r="S1110" s="2">
        <v>356</v>
      </c>
      <c r="T1110" s="2">
        <v>1</v>
      </c>
      <c r="U1110" s="2" t="s">
        <v>141</v>
      </c>
      <c r="Y1110" s="2">
        <v>1700</v>
      </c>
      <c r="Z1110" s="11" t="s">
        <v>54</v>
      </c>
      <c r="AA1110" s="11" t="str">
        <f t="shared" si="73"/>
        <v>1700 - TBN</v>
      </c>
      <c r="AC1110" s="2" t="s">
        <v>145</v>
      </c>
      <c r="AD1110" s="11" t="str">
        <f>IF($I1110&lt;&gt;"",VLOOKUP($AC1110,GEADRESSEERDE!$A$2:$E$4,2,),"")</f>
        <v>LUITHAGEN HAVEN 2 D</v>
      </c>
      <c r="AE1110" s="11">
        <f>IF($I1110&lt;&gt;"",VLOOKUP($AC1110,GEADRESSEERDE!$A$2:$E$4,3,),"")</f>
        <v>2030</v>
      </c>
      <c r="AF1110" s="11" t="str">
        <f>IF($I1110&lt;&gt;"",VLOOKUP($AC1110,GEADRESSEERDE!$A$2:$E$4,4,),"")</f>
        <v>ANTWERPEN</v>
      </c>
      <c r="AG1110" s="11" t="str">
        <f>IF($I1110&lt;&gt;"",VLOOKUP($AC1110,GEADRESSEERDE!$A$2:$E$4,5,),"")</f>
        <v>BE</v>
      </c>
      <c r="AH1110" s="11" t="str">
        <f>IF(I1110&lt;&gt;"",VLOOKUP(AP1110,KvB!$A$2:$B$3,2,FALSE),"")</f>
        <v>BE101000</v>
      </c>
      <c r="AI1110" s="11" t="s">
        <v>55</v>
      </c>
      <c r="AJ1110" s="11"/>
      <c r="AK1110" s="11"/>
      <c r="AL1110" s="11"/>
      <c r="AM1110" s="11"/>
      <c r="AN1110" s="11"/>
      <c r="AO1110" s="11"/>
      <c r="AP1110" s="2" t="s">
        <v>70</v>
      </c>
      <c r="AQ1110" s="11" t="str">
        <f>IF(I1110&lt;&gt;"",DATA!D1109,"")</f>
        <v>9403700000</v>
      </c>
    </row>
    <row r="1111" spans="1:43" ht="15.75" x14ac:dyDescent="0.25">
      <c r="A1111" s="11" t="s">
        <v>57</v>
      </c>
      <c r="B1111" s="11" t="s">
        <v>56</v>
      </c>
      <c r="C1111" s="22">
        <f t="shared" si="74"/>
        <v>25001620</v>
      </c>
      <c r="D1111" s="11" t="str">
        <f t="shared" si="71"/>
        <v>SKIIFM_AT</v>
      </c>
      <c r="E1111" s="11" t="str">
        <f>IF(I1111&lt;&gt;"",VLOOKUP(F1111,OPDRACHTGEVER!$A$2:$B$4,2,FALSE),"")</f>
        <v>SKIIFM_AT</v>
      </c>
      <c r="F1111" s="11" t="s">
        <v>58</v>
      </c>
      <c r="I1111" s="11" t="str">
        <f>IF(DATA!B1110&lt;&gt;"",DATA!B1110,"")</f>
        <v>MEDU4455865</v>
      </c>
      <c r="J1111" s="12">
        <v>0</v>
      </c>
      <c r="K1111" s="11" t="s">
        <v>53</v>
      </c>
      <c r="L1111" s="11" t="str">
        <f t="shared" si="72"/>
        <v>560750</v>
      </c>
      <c r="M1111" s="11" t="str">
        <f>IF(I1111&lt;&gt;"",DATA!E1110,"")</f>
        <v>POLYESTER CABLE</v>
      </c>
      <c r="N1111" s="12">
        <v>0</v>
      </c>
      <c r="O1111" s="11">
        <f>IF(I1111&lt;&gt;"",DATA!C1110,"")</f>
        <v>10.7</v>
      </c>
      <c r="P1111" s="2">
        <v>294094</v>
      </c>
      <c r="Q1111" s="2" t="s">
        <v>1304</v>
      </c>
      <c r="R1111" s="2" t="s">
        <v>1326</v>
      </c>
      <c r="S1111" s="2">
        <v>356</v>
      </c>
      <c r="T1111" s="2">
        <v>1</v>
      </c>
      <c r="U1111" s="2" t="s">
        <v>141</v>
      </c>
      <c r="Y1111" s="2">
        <v>1700</v>
      </c>
      <c r="Z1111" s="11" t="s">
        <v>54</v>
      </c>
      <c r="AA1111" s="11" t="str">
        <f t="shared" si="73"/>
        <v>1700 - TBN</v>
      </c>
      <c r="AC1111" s="2" t="s">
        <v>145</v>
      </c>
      <c r="AD1111" s="11" t="str">
        <f>IF($I1111&lt;&gt;"",VLOOKUP($AC1111,GEADRESSEERDE!$A$2:$E$4,2,),"")</f>
        <v>LUITHAGEN HAVEN 2 D</v>
      </c>
      <c r="AE1111" s="11">
        <f>IF($I1111&lt;&gt;"",VLOOKUP($AC1111,GEADRESSEERDE!$A$2:$E$4,3,),"")</f>
        <v>2030</v>
      </c>
      <c r="AF1111" s="11" t="str">
        <f>IF($I1111&lt;&gt;"",VLOOKUP($AC1111,GEADRESSEERDE!$A$2:$E$4,4,),"")</f>
        <v>ANTWERPEN</v>
      </c>
      <c r="AG1111" s="11" t="str">
        <f>IF($I1111&lt;&gt;"",VLOOKUP($AC1111,GEADRESSEERDE!$A$2:$E$4,5,),"")</f>
        <v>BE</v>
      </c>
      <c r="AH1111" s="11" t="str">
        <f>IF(I1111&lt;&gt;"",VLOOKUP(AP1111,KvB!$A$2:$B$3,2,FALSE),"")</f>
        <v>BE101000</v>
      </c>
      <c r="AI1111" s="11" t="s">
        <v>55</v>
      </c>
      <c r="AJ1111" s="11"/>
      <c r="AK1111" s="11"/>
      <c r="AL1111" s="11"/>
      <c r="AM1111" s="11"/>
      <c r="AN1111" s="11"/>
      <c r="AO1111" s="11"/>
      <c r="AP1111" s="2" t="s">
        <v>70</v>
      </c>
      <c r="AQ1111" s="11" t="str">
        <f>IF(I1111&lt;&gt;"",DATA!D1110,"")</f>
        <v>5607509090</v>
      </c>
    </row>
    <row r="1112" spans="1:43" ht="15.75" x14ac:dyDescent="0.25">
      <c r="A1112" s="11" t="s">
        <v>57</v>
      </c>
      <c r="B1112" s="11" t="s">
        <v>56</v>
      </c>
      <c r="C1112" s="22">
        <f t="shared" si="74"/>
        <v>25001620</v>
      </c>
      <c r="D1112" s="11" t="str">
        <f t="shared" si="71"/>
        <v>SKIIFM_AT</v>
      </c>
      <c r="E1112" s="11" t="str">
        <f>IF(I1112&lt;&gt;"",VLOOKUP(F1112,OPDRACHTGEVER!$A$2:$B$4,2,FALSE),"")</f>
        <v>SKIIFM_AT</v>
      </c>
      <c r="F1112" s="11" t="s">
        <v>58</v>
      </c>
      <c r="I1112" s="11" t="str">
        <f>IF(DATA!B1111&lt;&gt;"",DATA!B1111,"")</f>
        <v>MEDU4455865</v>
      </c>
      <c r="J1112" s="12">
        <v>0</v>
      </c>
      <c r="K1112" s="11" t="s">
        <v>53</v>
      </c>
      <c r="L1112" s="11" t="str">
        <f t="shared" si="72"/>
        <v>842430</v>
      </c>
      <c r="M1112" s="11" t="str">
        <f>IF(I1112&lt;&gt;"",DATA!E1111,"")</f>
        <v>POWDER COATING MACHINE</v>
      </c>
      <c r="N1112" s="12">
        <v>0</v>
      </c>
      <c r="O1112" s="11">
        <f>IF(I1112&lt;&gt;"",DATA!C1111,"")</f>
        <v>411.4</v>
      </c>
      <c r="P1112" s="2">
        <v>294094</v>
      </c>
      <c r="Q1112" s="2" t="s">
        <v>1304</v>
      </c>
      <c r="R1112" s="2" t="s">
        <v>1326</v>
      </c>
      <c r="S1112" s="2">
        <v>356</v>
      </c>
      <c r="T1112" s="2">
        <v>1</v>
      </c>
      <c r="U1112" s="2" t="s">
        <v>141</v>
      </c>
      <c r="Y1112" s="2">
        <v>1700</v>
      </c>
      <c r="Z1112" s="11" t="s">
        <v>54</v>
      </c>
      <c r="AA1112" s="11" t="str">
        <f t="shared" si="73"/>
        <v>1700 - TBN</v>
      </c>
      <c r="AC1112" s="2" t="s">
        <v>145</v>
      </c>
      <c r="AD1112" s="11" t="str">
        <f>IF($I1112&lt;&gt;"",VLOOKUP($AC1112,GEADRESSEERDE!$A$2:$E$4,2,),"")</f>
        <v>LUITHAGEN HAVEN 2 D</v>
      </c>
      <c r="AE1112" s="11">
        <f>IF($I1112&lt;&gt;"",VLOOKUP($AC1112,GEADRESSEERDE!$A$2:$E$4,3,),"")</f>
        <v>2030</v>
      </c>
      <c r="AF1112" s="11" t="str">
        <f>IF($I1112&lt;&gt;"",VLOOKUP($AC1112,GEADRESSEERDE!$A$2:$E$4,4,),"")</f>
        <v>ANTWERPEN</v>
      </c>
      <c r="AG1112" s="11" t="str">
        <f>IF($I1112&lt;&gt;"",VLOOKUP($AC1112,GEADRESSEERDE!$A$2:$E$4,5,),"")</f>
        <v>BE</v>
      </c>
      <c r="AH1112" s="11" t="str">
        <f>IF(I1112&lt;&gt;"",VLOOKUP(AP1112,KvB!$A$2:$B$3,2,FALSE),"")</f>
        <v>BE101000</v>
      </c>
      <c r="AI1112" s="11" t="s">
        <v>55</v>
      </c>
      <c r="AJ1112" s="11"/>
      <c r="AK1112" s="11"/>
      <c r="AL1112" s="11"/>
      <c r="AM1112" s="11"/>
      <c r="AN1112" s="11"/>
      <c r="AO1112" s="11"/>
      <c r="AP1112" s="2" t="s">
        <v>70</v>
      </c>
      <c r="AQ1112" s="11" t="str">
        <f>IF(I1112&lt;&gt;"",DATA!D1111,"")</f>
        <v>8424301000</v>
      </c>
    </row>
    <row r="1113" spans="1:43" ht="15.75" x14ac:dyDescent="0.25">
      <c r="A1113" s="11" t="s">
        <v>57</v>
      </c>
      <c r="B1113" s="11" t="s">
        <v>56</v>
      </c>
      <c r="C1113" s="22">
        <f t="shared" si="74"/>
        <v>25001620</v>
      </c>
      <c r="D1113" s="11" t="str">
        <f t="shared" si="71"/>
        <v>SKIIFM_AT</v>
      </c>
      <c r="E1113" s="11" t="str">
        <f>IF(I1113&lt;&gt;"",VLOOKUP(F1113,OPDRACHTGEVER!$A$2:$B$4,2,FALSE),"")</f>
        <v>SKIIFM_AT</v>
      </c>
      <c r="F1113" s="11" t="s">
        <v>58</v>
      </c>
      <c r="I1113" s="11" t="str">
        <f>IF(DATA!B1112&lt;&gt;"",DATA!B1112,"")</f>
        <v>MEDU4455865</v>
      </c>
      <c r="J1113" s="12">
        <v>0</v>
      </c>
      <c r="K1113" s="11" t="s">
        <v>53</v>
      </c>
      <c r="L1113" s="11" t="str">
        <f t="shared" si="72"/>
        <v>847981</v>
      </c>
      <c r="M1113" s="11" t="str">
        <f>IF(I1113&lt;&gt;"",DATA!E1112,"")</f>
        <v>RATCHET PRESS</v>
      </c>
      <c r="N1113" s="12">
        <v>0</v>
      </c>
      <c r="O1113" s="11">
        <f>IF(I1113&lt;&gt;"",DATA!C1112,"")</f>
        <v>12.3</v>
      </c>
      <c r="P1113" s="2">
        <v>294094</v>
      </c>
      <c r="Q1113" s="2" t="s">
        <v>1304</v>
      </c>
      <c r="R1113" s="2" t="s">
        <v>1326</v>
      </c>
      <c r="S1113" s="2">
        <v>356</v>
      </c>
      <c r="T1113" s="2">
        <v>1</v>
      </c>
      <c r="U1113" s="2" t="s">
        <v>141</v>
      </c>
      <c r="Y1113" s="2">
        <v>1700</v>
      </c>
      <c r="Z1113" s="11" t="s">
        <v>54</v>
      </c>
      <c r="AA1113" s="11" t="str">
        <f t="shared" si="73"/>
        <v>1700 - TBN</v>
      </c>
      <c r="AC1113" s="2" t="s">
        <v>145</v>
      </c>
      <c r="AD1113" s="11" t="str">
        <f>IF($I1113&lt;&gt;"",VLOOKUP($AC1113,GEADRESSEERDE!$A$2:$E$4,2,),"")</f>
        <v>LUITHAGEN HAVEN 2 D</v>
      </c>
      <c r="AE1113" s="11">
        <f>IF($I1113&lt;&gt;"",VLOOKUP($AC1113,GEADRESSEERDE!$A$2:$E$4,3,),"")</f>
        <v>2030</v>
      </c>
      <c r="AF1113" s="11" t="str">
        <f>IF($I1113&lt;&gt;"",VLOOKUP($AC1113,GEADRESSEERDE!$A$2:$E$4,4,),"")</f>
        <v>ANTWERPEN</v>
      </c>
      <c r="AG1113" s="11" t="str">
        <f>IF($I1113&lt;&gt;"",VLOOKUP($AC1113,GEADRESSEERDE!$A$2:$E$4,5,),"")</f>
        <v>BE</v>
      </c>
      <c r="AH1113" s="11" t="str">
        <f>IF(I1113&lt;&gt;"",VLOOKUP(AP1113,KvB!$A$2:$B$3,2,FALSE),"")</f>
        <v>BE101000</v>
      </c>
      <c r="AI1113" s="11" t="s">
        <v>55</v>
      </c>
      <c r="AJ1113" s="11"/>
      <c r="AK1113" s="11"/>
      <c r="AL1113" s="11"/>
      <c r="AM1113" s="11"/>
      <c r="AN1113" s="11"/>
      <c r="AO1113" s="11"/>
      <c r="AP1113" s="2" t="s">
        <v>70</v>
      </c>
      <c r="AQ1113" s="11" t="str">
        <f>IF(I1113&lt;&gt;"",DATA!D1112,"")</f>
        <v>8479810000</v>
      </c>
    </row>
    <row r="1114" spans="1:43" ht="15.75" x14ac:dyDescent="0.25">
      <c r="A1114" s="11" t="s">
        <v>57</v>
      </c>
      <c r="B1114" s="11" t="s">
        <v>56</v>
      </c>
      <c r="C1114" s="22">
        <f t="shared" si="74"/>
        <v>25001620</v>
      </c>
      <c r="D1114" s="11" t="str">
        <f t="shared" si="71"/>
        <v>SKIIFM_AT</v>
      </c>
      <c r="E1114" s="11" t="str">
        <f>IF(I1114&lt;&gt;"",VLOOKUP(F1114,OPDRACHTGEVER!$A$2:$B$4,2,FALSE),"")</f>
        <v>SKIIFM_AT</v>
      </c>
      <c r="F1114" s="11" t="s">
        <v>58</v>
      </c>
      <c r="I1114" s="11" t="str">
        <f>IF(DATA!B1113&lt;&gt;"",DATA!B1113,"")</f>
        <v>MEDU4455865</v>
      </c>
      <c r="J1114" s="12">
        <v>0</v>
      </c>
      <c r="K1114" s="11" t="s">
        <v>53</v>
      </c>
      <c r="L1114" s="11" t="str">
        <f t="shared" si="72"/>
        <v>848190</v>
      </c>
      <c r="M1114" s="11" t="str">
        <f>IF(I1114&lt;&gt;"",DATA!E1113,"")</f>
        <v>RECTANGULAR WATERFALL POOL FOUNTAIN WITH LED</v>
      </c>
      <c r="N1114" s="12">
        <v>0</v>
      </c>
      <c r="O1114" s="11">
        <f>IF(I1114&lt;&gt;"",DATA!C1113,"")</f>
        <v>306.60000000000002</v>
      </c>
      <c r="P1114" s="2">
        <v>294094</v>
      </c>
      <c r="Q1114" s="2" t="s">
        <v>1304</v>
      </c>
      <c r="R1114" s="2" t="s">
        <v>1326</v>
      </c>
      <c r="S1114" s="2">
        <v>356</v>
      </c>
      <c r="T1114" s="2">
        <v>1</v>
      </c>
      <c r="U1114" s="2" t="s">
        <v>141</v>
      </c>
      <c r="Y1114" s="2">
        <v>1700</v>
      </c>
      <c r="Z1114" s="11" t="s">
        <v>54</v>
      </c>
      <c r="AA1114" s="11" t="str">
        <f t="shared" si="73"/>
        <v>1700 - TBN</v>
      </c>
      <c r="AC1114" s="2" t="s">
        <v>145</v>
      </c>
      <c r="AD1114" s="11" t="str">
        <f>IF($I1114&lt;&gt;"",VLOOKUP($AC1114,GEADRESSEERDE!$A$2:$E$4,2,),"")</f>
        <v>LUITHAGEN HAVEN 2 D</v>
      </c>
      <c r="AE1114" s="11">
        <f>IF($I1114&lt;&gt;"",VLOOKUP($AC1114,GEADRESSEERDE!$A$2:$E$4,3,),"")</f>
        <v>2030</v>
      </c>
      <c r="AF1114" s="11" t="str">
        <f>IF($I1114&lt;&gt;"",VLOOKUP($AC1114,GEADRESSEERDE!$A$2:$E$4,4,),"")</f>
        <v>ANTWERPEN</v>
      </c>
      <c r="AG1114" s="11" t="str">
        <f>IF($I1114&lt;&gt;"",VLOOKUP($AC1114,GEADRESSEERDE!$A$2:$E$4,5,),"")</f>
        <v>BE</v>
      </c>
      <c r="AH1114" s="11" t="str">
        <f>IF(I1114&lt;&gt;"",VLOOKUP(AP1114,KvB!$A$2:$B$3,2,FALSE),"")</f>
        <v>BE101000</v>
      </c>
      <c r="AI1114" s="11" t="s">
        <v>55</v>
      </c>
      <c r="AJ1114" s="11"/>
      <c r="AK1114" s="11"/>
      <c r="AL1114" s="11"/>
      <c r="AM1114" s="11"/>
      <c r="AN1114" s="11"/>
      <c r="AO1114" s="11"/>
      <c r="AP1114" s="2" t="s">
        <v>70</v>
      </c>
      <c r="AQ1114" s="11" t="str">
        <f>IF(I1114&lt;&gt;"",DATA!D1113,"")</f>
        <v>8481900090</v>
      </c>
    </row>
    <row r="1115" spans="1:43" ht="15.75" x14ac:dyDescent="0.25">
      <c r="A1115" s="11" t="s">
        <v>57</v>
      </c>
      <c r="B1115" s="11" t="s">
        <v>56</v>
      </c>
      <c r="C1115" s="22">
        <f t="shared" si="74"/>
        <v>25001620</v>
      </c>
      <c r="D1115" s="11" t="str">
        <f t="shared" si="71"/>
        <v>SKIIFM_AT</v>
      </c>
      <c r="E1115" s="11" t="str">
        <f>IF(I1115&lt;&gt;"",VLOOKUP(F1115,OPDRACHTGEVER!$A$2:$B$4,2,FALSE),"")</f>
        <v>SKIIFM_AT</v>
      </c>
      <c r="F1115" s="11" t="s">
        <v>58</v>
      </c>
      <c r="I1115" s="11" t="str">
        <f>IF(DATA!B1114&lt;&gt;"",DATA!B1114,"")</f>
        <v>MEDU4455865</v>
      </c>
      <c r="J1115" s="12">
        <v>0</v>
      </c>
      <c r="K1115" s="11" t="s">
        <v>53</v>
      </c>
      <c r="L1115" s="11" t="str">
        <f t="shared" si="72"/>
        <v>842549</v>
      </c>
      <c r="M1115" s="11" t="str">
        <f>IF(I1115&lt;&gt;"",DATA!E1114,"")</f>
        <v>RESCUE JACK</v>
      </c>
      <c r="N1115" s="12">
        <v>0</v>
      </c>
      <c r="O1115" s="11">
        <f>IF(I1115&lt;&gt;"",DATA!C1114,"")</f>
        <v>2295</v>
      </c>
      <c r="P1115" s="2">
        <v>294094</v>
      </c>
      <c r="Q1115" s="2" t="s">
        <v>1304</v>
      </c>
      <c r="R1115" s="2" t="s">
        <v>1326</v>
      </c>
      <c r="S1115" s="2">
        <v>356</v>
      </c>
      <c r="T1115" s="2">
        <v>1</v>
      </c>
      <c r="U1115" s="2" t="s">
        <v>141</v>
      </c>
      <c r="Y1115" s="2">
        <v>1700</v>
      </c>
      <c r="Z1115" s="11" t="s">
        <v>54</v>
      </c>
      <c r="AA1115" s="11" t="str">
        <f t="shared" si="73"/>
        <v>1700 - TBN</v>
      </c>
      <c r="AC1115" s="2" t="s">
        <v>145</v>
      </c>
      <c r="AD1115" s="11" t="str">
        <f>IF($I1115&lt;&gt;"",VLOOKUP($AC1115,GEADRESSEERDE!$A$2:$E$4,2,),"")</f>
        <v>LUITHAGEN HAVEN 2 D</v>
      </c>
      <c r="AE1115" s="11">
        <f>IF($I1115&lt;&gt;"",VLOOKUP($AC1115,GEADRESSEERDE!$A$2:$E$4,3,),"")</f>
        <v>2030</v>
      </c>
      <c r="AF1115" s="11" t="str">
        <f>IF($I1115&lt;&gt;"",VLOOKUP($AC1115,GEADRESSEERDE!$A$2:$E$4,4,),"")</f>
        <v>ANTWERPEN</v>
      </c>
      <c r="AG1115" s="11" t="str">
        <f>IF($I1115&lt;&gt;"",VLOOKUP($AC1115,GEADRESSEERDE!$A$2:$E$4,5,),"")</f>
        <v>BE</v>
      </c>
      <c r="AH1115" s="11" t="str">
        <f>IF(I1115&lt;&gt;"",VLOOKUP(AP1115,KvB!$A$2:$B$3,2,FALSE),"")</f>
        <v>BE101000</v>
      </c>
      <c r="AI1115" s="11" t="s">
        <v>55</v>
      </c>
      <c r="AJ1115" s="11"/>
      <c r="AK1115" s="11"/>
      <c r="AL1115" s="11"/>
      <c r="AM1115" s="11"/>
      <c r="AN1115" s="11"/>
      <c r="AO1115" s="11"/>
      <c r="AP1115" s="2" t="s">
        <v>70</v>
      </c>
      <c r="AQ1115" s="11" t="str">
        <f>IF(I1115&lt;&gt;"",DATA!D1114,"")</f>
        <v>8425490000</v>
      </c>
    </row>
    <row r="1116" spans="1:43" ht="15.75" x14ac:dyDescent="0.25">
      <c r="A1116" s="11" t="s">
        <v>57</v>
      </c>
      <c r="B1116" s="11" t="s">
        <v>56</v>
      </c>
      <c r="C1116" s="22">
        <f t="shared" si="74"/>
        <v>25001620</v>
      </c>
      <c r="D1116" s="11" t="str">
        <f t="shared" si="71"/>
        <v>SKIIFM_AT</v>
      </c>
      <c r="E1116" s="11" t="str">
        <f>IF(I1116&lt;&gt;"",VLOOKUP(F1116,OPDRACHTGEVER!$A$2:$B$4,2,FALSE),"")</f>
        <v>SKIIFM_AT</v>
      </c>
      <c r="F1116" s="11" t="s">
        <v>58</v>
      </c>
      <c r="I1116" s="11" t="str">
        <f>IF(DATA!B1115&lt;&gt;"",DATA!B1115,"")</f>
        <v>MEDU4455865</v>
      </c>
      <c r="J1116" s="12">
        <v>0</v>
      </c>
      <c r="K1116" s="11" t="s">
        <v>53</v>
      </c>
      <c r="L1116" s="11" t="str">
        <f t="shared" si="72"/>
        <v>847989</v>
      </c>
      <c r="M1116" s="11" t="str">
        <f>IF(I1116&lt;&gt;"",DATA!E1115,"")</f>
        <v>RETRACTABLE PIPE REELER</v>
      </c>
      <c r="N1116" s="12">
        <v>0</v>
      </c>
      <c r="O1116" s="11">
        <f>IF(I1116&lt;&gt;"",DATA!C1115,"")</f>
        <v>464</v>
      </c>
      <c r="P1116" s="2">
        <v>294094</v>
      </c>
      <c r="Q1116" s="2" t="s">
        <v>1304</v>
      </c>
      <c r="R1116" s="2" t="s">
        <v>1326</v>
      </c>
      <c r="S1116" s="2">
        <v>356</v>
      </c>
      <c r="T1116" s="2">
        <v>1</v>
      </c>
      <c r="U1116" s="2" t="s">
        <v>141</v>
      </c>
      <c r="Y1116" s="2">
        <v>1700</v>
      </c>
      <c r="Z1116" s="11" t="s">
        <v>54</v>
      </c>
      <c r="AA1116" s="11" t="str">
        <f t="shared" si="73"/>
        <v>1700 - TBN</v>
      </c>
      <c r="AC1116" s="2" t="s">
        <v>145</v>
      </c>
      <c r="AD1116" s="11" t="str">
        <f>IF($I1116&lt;&gt;"",VLOOKUP($AC1116,GEADRESSEERDE!$A$2:$E$4,2,),"")</f>
        <v>LUITHAGEN HAVEN 2 D</v>
      </c>
      <c r="AE1116" s="11">
        <f>IF($I1116&lt;&gt;"",VLOOKUP($AC1116,GEADRESSEERDE!$A$2:$E$4,3,),"")</f>
        <v>2030</v>
      </c>
      <c r="AF1116" s="11" t="str">
        <f>IF($I1116&lt;&gt;"",VLOOKUP($AC1116,GEADRESSEERDE!$A$2:$E$4,4,),"")</f>
        <v>ANTWERPEN</v>
      </c>
      <c r="AG1116" s="11" t="str">
        <f>IF($I1116&lt;&gt;"",VLOOKUP($AC1116,GEADRESSEERDE!$A$2:$E$4,5,),"")</f>
        <v>BE</v>
      </c>
      <c r="AH1116" s="11" t="str">
        <f>IF(I1116&lt;&gt;"",VLOOKUP(AP1116,KvB!$A$2:$B$3,2,FALSE),"")</f>
        <v>BE101000</v>
      </c>
      <c r="AI1116" s="11" t="s">
        <v>55</v>
      </c>
      <c r="AJ1116" s="11"/>
      <c r="AK1116" s="11"/>
      <c r="AL1116" s="11"/>
      <c r="AM1116" s="11"/>
      <c r="AN1116" s="11"/>
      <c r="AO1116" s="11"/>
      <c r="AP1116" s="2" t="s">
        <v>70</v>
      </c>
      <c r="AQ1116" s="11" t="str">
        <f>IF(I1116&lt;&gt;"",DATA!D1115,"")</f>
        <v>8479899790</v>
      </c>
    </row>
    <row r="1117" spans="1:43" ht="15.75" x14ac:dyDescent="0.25">
      <c r="A1117" s="11" t="s">
        <v>57</v>
      </c>
      <c r="B1117" s="11" t="s">
        <v>56</v>
      </c>
      <c r="C1117" s="22">
        <f t="shared" si="74"/>
        <v>25001620</v>
      </c>
      <c r="D1117" s="11" t="str">
        <f t="shared" si="71"/>
        <v>SKIIFM_AT</v>
      </c>
      <c r="E1117" s="11" t="str">
        <f>IF(I1117&lt;&gt;"",VLOOKUP(F1117,OPDRACHTGEVER!$A$2:$B$4,2,FALSE),"")</f>
        <v>SKIIFM_AT</v>
      </c>
      <c r="F1117" s="11" t="s">
        <v>58</v>
      </c>
      <c r="I1117" s="11" t="str">
        <f>IF(DATA!B1116&lt;&gt;"",DATA!B1116,"")</f>
        <v>MEDU4455865</v>
      </c>
      <c r="J1117" s="12">
        <v>0</v>
      </c>
      <c r="K1117" s="11" t="s">
        <v>53</v>
      </c>
      <c r="L1117" s="11" t="str">
        <f t="shared" si="72"/>
        <v>870829</v>
      </c>
      <c r="M1117" s="11" t="str">
        <f>IF(I1117&lt;&gt;"",DATA!E1116,"")</f>
        <v>ROOF RACK</v>
      </c>
      <c r="N1117" s="12">
        <v>0</v>
      </c>
      <c r="O1117" s="11">
        <f>IF(I1117&lt;&gt;"",DATA!C1116,"")</f>
        <v>5.55</v>
      </c>
      <c r="P1117" s="2">
        <v>294094</v>
      </c>
      <c r="Q1117" s="2" t="s">
        <v>1304</v>
      </c>
      <c r="R1117" s="2" t="s">
        <v>1326</v>
      </c>
      <c r="S1117" s="2">
        <v>356</v>
      </c>
      <c r="T1117" s="2">
        <v>1</v>
      </c>
      <c r="U1117" s="2" t="s">
        <v>141</v>
      </c>
      <c r="Y1117" s="2">
        <v>1700</v>
      </c>
      <c r="Z1117" s="11" t="s">
        <v>54</v>
      </c>
      <c r="AA1117" s="11" t="str">
        <f t="shared" si="73"/>
        <v>1700 - TBN</v>
      </c>
      <c r="AC1117" s="2" t="s">
        <v>145</v>
      </c>
      <c r="AD1117" s="11" t="str">
        <f>IF($I1117&lt;&gt;"",VLOOKUP($AC1117,GEADRESSEERDE!$A$2:$E$4,2,),"")</f>
        <v>LUITHAGEN HAVEN 2 D</v>
      </c>
      <c r="AE1117" s="11">
        <f>IF($I1117&lt;&gt;"",VLOOKUP($AC1117,GEADRESSEERDE!$A$2:$E$4,3,),"")</f>
        <v>2030</v>
      </c>
      <c r="AF1117" s="11" t="str">
        <f>IF($I1117&lt;&gt;"",VLOOKUP($AC1117,GEADRESSEERDE!$A$2:$E$4,4,),"")</f>
        <v>ANTWERPEN</v>
      </c>
      <c r="AG1117" s="11" t="str">
        <f>IF($I1117&lt;&gt;"",VLOOKUP($AC1117,GEADRESSEERDE!$A$2:$E$4,5,),"")</f>
        <v>BE</v>
      </c>
      <c r="AH1117" s="11" t="str">
        <f>IF(I1117&lt;&gt;"",VLOOKUP(AP1117,KvB!$A$2:$B$3,2,FALSE),"")</f>
        <v>BE101000</v>
      </c>
      <c r="AI1117" s="11" t="s">
        <v>55</v>
      </c>
      <c r="AJ1117" s="11"/>
      <c r="AK1117" s="11"/>
      <c r="AL1117" s="11"/>
      <c r="AM1117" s="11"/>
      <c r="AN1117" s="11"/>
      <c r="AO1117" s="11"/>
      <c r="AP1117" s="2" t="s">
        <v>70</v>
      </c>
      <c r="AQ1117" s="11" t="str">
        <f>IF(I1117&lt;&gt;"",DATA!D1116,"")</f>
        <v>8708299000</v>
      </c>
    </row>
    <row r="1118" spans="1:43" ht="15.75" x14ac:dyDescent="0.25">
      <c r="A1118" s="11" t="s">
        <v>57</v>
      </c>
      <c r="B1118" s="11" t="s">
        <v>56</v>
      </c>
      <c r="C1118" s="22">
        <f t="shared" si="74"/>
        <v>25001620</v>
      </c>
      <c r="D1118" s="11" t="str">
        <f t="shared" si="71"/>
        <v>SKIIFM_AT</v>
      </c>
      <c r="E1118" s="11" t="str">
        <f>IF(I1118&lt;&gt;"",VLOOKUP(F1118,OPDRACHTGEVER!$A$2:$B$4,2,FALSE),"")</f>
        <v>SKIIFM_AT</v>
      </c>
      <c r="F1118" s="11" t="s">
        <v>58</v>
      </c>
      <c r="I1118" s="11" t="str">
        <f>IF(DATA!B1117&lt;&gt;"",DATA!B1117,"")</f>
        <v>MEDU4455865</v>
      </c>
      <c r="J1118" s="12">
        <v>0</v>
      </c>
      <c r="K1118" s="11" t="s">
        <v>53</v>
      </c>
      <c r="L1118" s="11" t="str">
        <f t="shared" si="72"/>
        <v>950691</v>
      </c>
      <c r="M1118" s="11" t="str">
        <f>IF(I1118&lt;&gt;"",DATA!E1117,"")</f>
        <v>ROPE SET</v>
      </c>
      <c r="N1118" s="12">
        <v>0</v>
      </c>
      <c r="O1118" s="11">
        <f>IF(I1118&lt;&gt;"",DATA!C1117,"")</f>
        <v>4.5999999999999996</v>
      </c>
      <c r="P1118" s="2">
        <v>294094</v>
      </c>
      <c r="Q1118" s="2" t="s">
        <v>1304</v>
      </c>
      <c r="R1118" s="2" t="s">
        <v>1326</v>
      </c>
      <c r="S1118" s="2">
        <v>356</v>
      </c>
      <c r="T1118" s="2">
        <v>1</v>
      </c>
      <c r="U1118" s="2" t="s">
        <v>141</v>
      </c>
      <c r="Y1118" s="2">
        <v>1700</v>
      </c>
      <c r="Z1118" s="11" t="s">
        <v>54</v>
      </c>
      <c r="AA1118" s="11" t="str">
        <f t="shared" si="73"/>
        <v>1700 - TBN</v>
      </c>
      <c r="AC1118" s="2" t="s">
        <v>145</v>
      </c>
      <c r="AD1118" s="11" t="str">
        <f>IF($I1118&lt;&gt;"",VLOOKUP($AC1118,GEADRESSEERDE!$A$2:$E$4,2,),"")</f>
        <v>LUITHAGEN HAVEN 2 D</v>
      </c>
      <c r="AE1118" s="11">
        <f>IF($I1118&lt;&gt;"",VLOOKUP($AC1118,GEADRESSEERDE!$A$2:$E$4,3,),"")</f>
        <v>2030</v>
      </c>
      <c r="AF1118" s="11" t="str">
        <f>IF($I1118&lt;&gt;"",VLOOKUP($AC1118,GEADRESSEERDE!$A$2:$E$4,4,),"")</f>
        <v>ANTWERPEN</v>
      </c>
      <c r="AG1118" s="11" t="str">
        <f>IF($I1118&lt;&gt;"",VLOOKUP($AC1118,GEADRESSEERDE!$A$2:$E$4,5,),"")</f>
        <v>BE</v>
      </c>
      <c r="AH1118" s="11" t="str">
        <f>IF(I1118&lt;&gt;"",VLOOKUP(AP1118,KvB!$A$2:$B$3,2,FALSE),"")</f>
        <v>BE101000</v>
      </c>
      <c r="AI1118" s="11" t="s">
        <v>55</v>
      </c>
      <c r="AJ1118" s="11"/>
      <c r="AK1118" s="11"/>
      <c r="AL1118" s="11"/>
      <c r="AM1118" s="11"/>
      <c r="AN1118" s="11"/>
      <c r="AO1118" s="11"/>
      <c r="AP1118" s="2" t="s">
        <v>70</v>
      </c>
      <c r="AQ1118" s="11" t="str">
        <f>IF(I1118&lt;&gt;"",DATA!D1117,"")</f>
        <v>9506919000</v>
      </c>
    </row>
    <row r="1119" spans="1:43" ht="15.75" x14ac:dyDescent="0.25">
      <c r="A1119" s="11" t="s">
        <v>57</v>
      </c>
      <c r="B1119" s="11" t="s">
        <v>56</v>
      </c>
      <c r="C1119" s="22">
        <f t="shared" si="74"/>
        <v>25001620</v>
      </c>
      <c r="D1119" s="11" t="str">
        <f t="shared" si="71"/>
        <v>SKIIFM_AT</v>
      </c>
      <c r="E1119" s="11" t="str">
        <f>IF(I1119&lt;&gt;"",VLOOKUP(F1119,OPDRACHTGEVER!$A$2:$B$4,2,FALSE),"")</f>
        <v>SKIIFM_AT</v>
      </c>
      <c r="F1119" s="11" t="s">
        <v>58</v>
      </c>
      <c r="I1119" s="11" t="str">
        <f>IF(DATA!B1118&lt;&gt;"",DATA!B1118,"")</f>
        <v>MEDU4455865</v>
      </c>
      <c r="J1119" s="12">
        <v>0</v>
      </c>
      <c r="K1119" s="11" t="s">
        <v>53</v>
      </c>
      <c r="L1119" s="11" t="str">
        <f t="shared" si="72"/>
        <v>846039</v>
      </c>
      <c r="M1119" s="11" t="str">
        <f>IF(I1119&lt;&gt;"",DATA!E1118,"")</f>
        <v>SAW BLADE SHARPENER</v>
      </c>
      <c r="N1119" s="12">
        <v>0</v>
      </c>
      <c r="O1119" s="11">
        <f>IF(I1119&lt;&gt;"",DATA!C1118,"")</f>
        <v>3.9</v>
      </c>
      <c r="P1119" s="2">
        <v>294094</v>
      </c>
      <c r="Q1119" s="2" t="s">
        <v>1304</v>
      </c>
      <c r="R1119" s="2" t="s">
        <v>1326</v>
      </c>
      <c r="S1119" s="2">
        <v>356</v>
      </c>
      <c r="T1119" s="2">
        <v>1</v>
      </c>
      <c r="U1119" s="2" t="s">
        <v>141</v>
      </c>
      <c r="Y1119" s="2">
        <v>1700</v>
      </c>
      <c r="Z1119" s="11" t="s">
        <v>54</v>
      </c>
      <c r="AA1119" s="11" t="str">
        <f t="shared" si="73"/>
        <v>1700 - TBN</v>
      </c>
      <c r="AC1119" s="2" t="s">
        <v>145</v>
      </c>
      <c r="AD1119" s="11" t="str">
        <f>IF($I1119&lt;&gt;"",VLOOKUP($AC1119,GEADRESSEERDE!$A$2:$E$4,2,),"")</f>
        <v>LUITHAGEN HAVEN 2 D</v>
      </c>
      <c r="AE1119" s="11">
        <f>IF($I1119&lt;&gt;"",VLOOKUP($AC1119,GEADRESSEERDE!$A$2:$E$4,3,),"")</f>
        <v>2030</v>
      </c>
      <c r="AF1119" s="11" t="str">
        <f>IF($I1119&lt;&gt;"",VLOOKUP($AC1119,GEADRESSEERDE!$A$2:$E$4,4,),"")</f>
        <v>ANTWERPEN</v>
      </c>
      <c r="AG1119" s="11" t="str">
        <f>IF($I1119&lt;&gt;"",VLOOKUP($AC1119,GEADRESSEERDE!$A$2:$E$4,5,),"")</f>
        <v>BE</v>
      </c>
      <c r="AH1119" s="11" t="str">
        <f>IF(I1119&lt;&gt;"",VLOOKUP(AP1119,KvB!$A$2:$B$3,2,FALSE),"")</f>
        <v>BE101000</v>
      </c>
      <c r="AI1119" s="11" t="s">
        <v>55</v>
      </c>
      <c r="AJ1119" s="11"/>
      <c r="AK1119" s="11"/>
      <c r="AL1119" s="11"/>
      <c r="AM1119" s="11"/>
      <c r="AN1119" s="11"/>
      <c r="AO1119" s="11"/>
      <c r="AP1119" s="2" t="s">
        <v>70</v>
      </c>
      <c r="AQ1119" s="11" t="str">
        <f>IF(I1119&lt;&gt;"",DATA!D1118,"")</f>
        <v>8460390000</v>
      </c>
    </row>
    <row r="1120" spans="1:43" ht="15.75" x14ac:dyDescent="0.25">
      <c r="A1120" s="11" t="s">
        <v>57</v>
      </c>
      <c r="B1120" s="11" t="s">
        <v>56</v>
      </c>
      <c r="C1120" s="22">
        <f t="shared" si="74"/>
        <v>25001620</v>
      </c>
      <c r="D1120" s="11" t="str">
        <f t="shared" si="71"/>
        <v>SKIIFM_AT</v>
      </c>
      <c r="E1120" s="11" t="str">
        <f>IF(I1120&lt;&gt;"",VLOOKUP(F1120,OPDRACHTGEVER!$A$2:$B$4,2,FALSE),"")</f>
        <v>SKIIFM_AT</v>
      </c>
      <c r="F1120" s="11" t="s">
        <v>58</v>
      </c>
      <c r="I1120" s="11" t="str">
        <f>IF(DATA!B1119&lt;&gt;"",DATA!B1119,"")</f>
        <v>MEDU4455865</v>
      </c>
      <c r="J1120" s="12">
        <v>0</v>
      </c>
      <c r="K1120" s="11" t="s">
        <v>53</v>
      </c>
      <c r="L1120" s="11" t="str">
        <f t="shared" si="72"/>
        <v>842381</v>
      </c>
      <c r="M1120" s="11" t="str">
        <f>IF(I1120&lt;&gt;"",DATA!E1119,"")</f>
        <v>SCALE KIT</v>
      </c>
      <c r="N1120" s="12">
        <v>0</v>
      </c>
      <c r="O1120" s="11">
        <f>IF(I1120&lt;&gt;"",DATA!C1119,"")</f>
        <v>2.8</v>
      </c>
      <c r="P1120" s="2">
        <v>294094</v>
      </c>
      <c r="Q1120" s="2" t="s">
        <v>1304</v>
      </c>
      <c r="R1120" s="2" t="s">
        <v>1326</v>
      </c>
      <c r="S1120" s="2">
        <v>356</v>
      </c>
      <c r="T1120" s="2">
        <v>1</v>
      </c>
      <c r="U1120" s="2" t="s">
        <v>141</v>
      </c>
      <c r="Y1120" s="2">
        <v>1700</v>
      </c>
      <c r="Z1120" s="11" t="s">
        <v>54</v>
      </c>
      <c r="AA1120" s="11" t="str">
        <f t="shared" si="73"/>
        <v>1700 - TBN</v>
      </c>
      <c r="AC1120" s="2" t="s">
        <v>145</v>
      </c>
      <c r="AD1120" s="11" t="str">
        <f>IF($I1120&lt;&gt;"",VLOOKUP($AC1120,GEADRESSEERDE!$A$2:$E$4,2,),"")</f>
        <v>LUITHAGEN HAVEN 2 D</v>
      </c>
      <c r="AE1120" s="11">
        <f>IF($I1120&lt;&gt;"",VLOOKUP($AC1120,GEADRESSEERDE!$A$2:$E$4,3,),"")</f>
        <v>2030</v>
      </c>
      <c r="AF1120" s="11" t="str">
        <f>IF($I1120&lt;&gt;"",VLOOKUP($AC1120,GEADRESSEERDE!$A$2:$E$4,4,),"")</f>
        <v>ANTWERPEN</v>
      </c>
      <c r="AG1120" s="11" t="str">
        <f>IF($I1120&lt;&gt;"",VLOOKUP($AC1120,GEADRESSEERDE!$A$2:$E$4,5,),"")</f>
        <v>BE</v>
      </c>
      <c r="AH1120" s="11" t="str">
        <f>IF(I1120&lt;&gt;"",VLOOKUP(AP1120,KvB!$A$2:$B$3,2,FALSE),"")</f>
        <v>BE101000</v>
      </c>
      <c r="AI1120" s="11" t="s">
        <v>55</v>
      </c>
      <c r="AJ1120" s="11"/>
      <c r="AK1120" s="11"/>
      <c r="AL1120" s="11"/>
      <c r="AM1120" s="11"/>
      <c r="AN1120" s="11"/>
      <c r="AO1120" s="11"/>
      <c r="AP1120" s="2" t="s">
        <v>70</v>
      </c>
      <c r="AQ1120" s="11" t="str">
        <f>IF(I1120&lt;&gt;"",DATA!D1119,"")</f>
        <v>8423818000</v>
      </c>
    </row>
    <row r="1121" spans="1:43" ht="15.75" x14ac:dyDescent="0.25">
      <c r="A1121" s="11" t="s">
        <v>57</v>
      </c>
      <c r="B1121" s="11" t="s">
        <v>56</v>
      </c>
      <c r="C1121" s="22">
        <f t="shared" si="74"/>
        <v>25001620</v>
      </c>
      <c r="D1121" s="11" t="str">
        <f t="shared" si="71"/>
        <v>SKIIFM_AT</v>
      </c>
      <c r="E1121" s="11" t="str">
        <f>IF(I1121&lt;&gt;"",VLOOKUP(F1121,OPDRACHTGEVER!$A$2:$B$4,2,FALSE),"")</f>
        <v>SKIIFM_AT</v>
      </c>
      <c r="F1121" s="11" t="s">
        <v>58</v>
      </c>
      <c r="I1121" s="11" t="str">
        <f>IF(DATA!B1120&lt;&gt;"",DATA!B1120,"")</f>
        <v>MEDU4455865</v>
      </c>
      <c r="J1121" s="12">
        <v>0</v>
      </c>
      <c r="K1121" s="11" t="s">
        <v>53</v>
      </c>
      <c r="L1121" s="11" t="str">
        <f t="shared" si="72"/>
        <v>741920</v>
      </c>
      <c r="M1121" s="11" t="str">
        <f>IF(I1121&lt;&gt;"",DATA!E1120,"")</f>
        <v>SCREEN MESH OF VIBRATING SCREEN</v>
      </c>
      <c r="N1121" s="12">
        <v>0</v>
      </c>
      <c r="O1121" s="11">
        <f>IF(I1121&lt;&gt;"",DATA!C1120,"")</f>
        <v>2.5</v>
      </c>
      <c r="P1121" s="2">
        <v>294094</v>
      </c>
      <c r="Q1121" s="2" t="s">
        <v>1304</v>
      </c>
      <c r="R1121" s="2" t="s">
        <v>1326</v>
      </c>
      <c r="S1121" s="2">
        <v>356</v>
      </c>
      <c r="T1121" s="2">
        <v>1</v>
      </c>
      <c r="U1121" s="2" t="s">
        <v>141</v>
      </c>
      <c r="Y1121" s="2">
        <v>1700</v>
      </c>
      <c r="Z1121" s="11" t="s">
        <v>54</v>
      </c>
      <c r="AA1121" s="11" t="str">
        <f t="shared" si="73"/>
        <v>1700 - TBN</v>
      </c>
      <c r="AC1121" s="2" t="s">
        <v>145</v>
      </c>
      <c r="AD1121" s="11" t="str">
        <f>IF($I1121&lt;&gt;"",VLOOKUP($AC1121,GEADRESSEERDE!$A$2:$E$4,2,),"")</f>
        <v>LUITHAGEN HAVEN 2 D</v>
      </c>
      <c r="AE1121" s="11">
        <f>IF($I1121&lt;&gt;"",VLOOKUP($AC1121,GEADRESSEERDE!$A$2:$E$4,3,),"")</f>
        <v>2030</v>
      </c>
      <c r="AF1121" s="11" t="str">
        <f>IF($I1121&lt;&gt;"",VLOOKUP($AC1121,GEADRESSEERDE!$A$2:$E$4,4,),"")</f>
        <v>ANTWERPEN</v>
      </c>
      <c r="AG1121" s="11" t="str">
        <f>IF($I1121&lt;&gt;"",VLOOKUP($AC1121,GEADRESSEERDE!$A$2:$E$4,5,),"")</f>
        <v>BE</v>
      </c>
      <c r="AH1121" s="11" t="str">
        <f>IF(I1121&lt;&gt;"",VLOOKUP(AP1121,KvB!$A$2:$B$3,2,FALSE),"")</f>
        <v>BE101000</v>
      </c>
      <c r="AI1121" s="11" t="s">
        <v>55</v>
      </c>
      <c r="AJ1121" s="11"/>
      <c r="AK1121" s="11"/>
      <c r="AL1121" s="11"/>
      <c r="AM1121" s="11"/>
      <c r="AN1121" s="11"/>
      <c r="AO1121" s="11"/>
      <c r="AP1121" s="2" t="s">
        <v>70</v>
      </c>
      <c r="AQ1121" s="11" t="str">
        <f>IF(I1121&lt;&gt;"",DATA!D1120,"")</f>
        <v>7419200090</v>
      </c>
    </row>
    <row r="1122" spans="1:43" ht="15.75" x14ac:dyDescent="0.25">
      <c r="A1122" s="11" t="s">
        <v>57</v>
      </c>
      <c r="B1122" s="11" t="s">
        <v>56</v>
      </c>
      <c r="C1122" s="22">
        <f t="shared" si="74"/>
        <v>25001620</v>
      </c>
      <c r="D1122" s="11" t="str">
        <f t="shared" si="71"/>
        <v>SKIIFM_AT</v>
      </c>
      <c r="E1122" s="11" t="str">
        <f>IF(I1122&lt;&gt;"",VLOOKUP(F1122,OPDRACHTGEVER!$A$2:$B$4,2,FALSE),"")</f>
        <v>SKIIFM_AT</v>
      </c>
      <c r="F1122" s="11" t="s">
        <v>58</v>
      </c>
      <c r="I1122" s="11" t="str">
        <f>IF(DATA!B1121&lt;&gt;"",DATA!B1121,"")</f>
        <v>MEDU4455865</v>
      </c>
      <c r="J1122" s="12">
        <v>0</v>
      </c>
      <c r="K1122" s="11" t="s">
        <v>53</v>
      </c>
      <c r="L1122" s="11" t="str">
        <f t="shared" si="72"/>
        <v>761691</v>
      </c>
      <c r="M1122" s="11" t="str">
        <f>IF(I1122&lt;&gt;"",DATA!E1121,"")</f>
        <v>SCREEN PRINTING</v>
      </c>
      <c r="N1122" s="12">
        <v>0</v>
      </c>
      <c r="O1122" s="11">
        <f>IF(I1122&lt;&gt;"",DATA!C1121,"")</f>
        <v>1.65</v>
      </c>
      <c r="P1122" s="2">
        <v>294094</v>
      </c>
      <c r="Q1122" s="2" t="s">
        <v>1304</v>
      </c>
      <c r="R1122" s="2" t="s">
        <v>1326</v>
      </c>
      <c r="S1122" s="2">
        <v>356</v>
      </c>
      <c r="T1122" s="2">
        <v>1</v>
      </c>
      <c r="U1122" s="2" t="s">
        <v>141</v>
      </c>
      <c r="Y1122" s="2">
        <v>1700</v>
      </c>
      <c r="Z1122" s="11" t="s">
        <v>54</v>
      </c>
      <c r="AA1122" s="11" t="str">
        <f t="shared" si="73"/>
        <v>1700 - TBN</v>
      </c>
      <c r="AC1122" s="2" t="s">
        <v>145</v>
      </c>
      <c r="AD1122" s="11" t="str">
        <f>IF($I1122&lt;&gt;"",VLOOKUP($AC1122,GEADRESSEERDE!$A$2:$E$4,2,),"")</f>
        <v>LUITHAGEN HAVEN 2 D</v>
      </c>
      <c r="AE1122" s="11">
        <f>IF($I1122&lt;&gt;"",VLOOKUP($AC1122,GEADRESSEERDE!$A$2:$E$4,3,),"")</f>
        <v>2030</v>
      </c>
      <c r="AF1122" s="11" t="str">
        <f>IF($I1122&lt;&gt;"",VLOOKUP($AC1122,GEADRESSEERDE!$A$2:$E$4,4,),"")</f>
        <v>ANTWERPEN</v>
      </c>
      <c r="AG1122" s="11" t="str">
        <f>IF($I1122&lt;&gt;"",VLOOKUP($AC1122,GEADRESSEERDE!$A$2:$E$4,5,),"")</f>
        <v>BE</v>
      </c>
      <c r="AH1122" s="11" t="str">
        <f>IF(I1122&lt;&gt;"",VLOOKUP(AP1122,KvB!$A$2:$B$3,2,FALSE),"")</f>
        <v>BE101000</v>
      </c>
      <c r="AI1122" s="11" t="s">
        <v>55</v>
      </c>
      <c r="AJ1122" s="11"/>
      <c r="AK1122" s="11"/>
      <c r="AL1122" s="11"/>
      <c r="AM1122" s="11"/>
      <c r="AN1122" s="11"/>
      <c r="AO1122" s="11"/>
      <c r="AP1122" s="2" t="s">
        <v>70</v>
      </c>
      <c r="AQ1122" s="11" t="str">
        <f>IF(I1122&lt;&gt;"",DATA!D1121,"")</f>
        <v>7616910000</v>
      </c>
    </row>
    <row r="1123" spans="1:43" ht="15.75" x14ac:dyDescent="0.25">
      <c r="A1123" s="11" t="s">
        <v>57</v>
      </c>
      <c r="B1123" s="11" t="s">
        <v>56</v>
      </c>
      <c r="C1123" s="22">
        <f t="shared" si="74"/>
        <v>25001620</v>
      </c>
      <c r="D1123" s="11" t="str">
        <f t="shared" si="71"/>
        <v>SKIIFM_AT</v>
      </c>
      <c r="E1123" s="11" t="str">
        <f>IF(I1123&lt;&gt;"",VLOOKUP(F1123,OPDRACHTGEVER!$A$2:$B$4,2,FALSE),"")</f>
        <v>SKIIFM_AT</v>
      </c>
      <c r="F1123" s="11" t="s">
        <v>58</v>
      </c>
      <c r="I1123" s="11" t="str">
        <f>IF(DATA!B1122&lt;&gt;"",DATA!B1122,"")</f>
        <v>MEDU4455865</v>
      </c>
      <c r="J1123" s="12">
        <v>0</v>
      </c>
      <c r="K1123" s="11" t="s">
        <v>53</v>
      </c>
      <c r="L1123" s="11" t="str">
        <f t="shared" si="72"/>
        <v>830242</v>
      </c>
      <c r="M1123" s="11" t="str">
        <f>IF(I1123&lt;&gt;"",DATA!E1122,"")</f>
        <v>SHELF  BRACKETS</v>
      </c>
      <c r="N1123" s="12">
        <v>0</v>
      </c>
      <c r="O1123" s="11">
        <f>IF(I1123&lt;&gt;"",DATA!C1122,"")</f>
        <v>14.2</v>
      </c>
      <c r="P1123" s="2">
        <v>294094</v>
      </c>
      <c r="Q1123" s="2" t="s">
        <v>1304</v>
      </c>
      <c r="R1123" s="2" t="s">
        <v>1326</v>
      </c>
      <c r="S1123" s="2">
        <v>356</v>
      </c>
      <c r="T1123" s="2">
        <v>1</v>
      </c>
      <c r="U1123" s="2" t="s">
        <v>141</v>
      </c>
      <c r="Y1123" s="2">
        <v>1700</v>
      </c>
      <c r="Z1123" s="11" t="s">
        <v>54</v>
      </c>
      <c r="AA1123" s="11" t="str">
        <f t="shared" si="73"/>
        <v>1700 - TBN</v>
      </c>
      <c r="AC1123" s="2" t="s">
        <v>145</v>
      </c>
      <c r="AD1123" s="11" t="str">
        <f>IF($I1123&lt;&gt;"",VLOOKUP($AC1123,GEADRESSEERDE!$A$2:$E$4,2,),"")</f>
        <v>LUITHAGEN HAVEN 2 D</v>
      </c>
      <c r="AE1123" s="11">
        <f>IF($I1123&lt;&gt;"",VLOOKUP($AC1123,GEADRESSEERDE!$A$2:$E$4,3,),"")</f>
        <v>2030</v>
      </c>
      <c r="AF1123" s="11" t="str">
        <f>IF($I1123&lt;&gt;"",VLOOKUP($AC1123,GEADRESSEERDE!$A$2:$E$4,4,),"")</f>
        <v>ANTWERPEN</v>
      </c>
      <c r="AG1123" s="11" t="str">
        <f>IF($I1123&lt;&gt;"",VLOOKUP($AC1123,GEADRESSEERDE!$A$2:$E$4,5,),"")</f>
        <v>BE</v>
      </c>
      <c r="AH1123" s="11" t="str">
        <f>IF(I1123&lt;&gt;"",VLOOKUP(AP1123,KvB!$A$2:$B$3,2,FALSE),"")</f>
        <v>BE101000</v>
      </c>
      <c r="AI1123" s="11" t="s">
        <v>55</v>
      </c>
      <c r="AJ1123" s="11"/>
      <c r="AK1123" s="11"/>
      <c r="AL1123" s="11"/>
      <c r="AM1123" s="11"/>
      <c r="AN1123" s="11"/>
      <c r="AO1123" s="11"/>
      <c r="AP1123" s="2" t="s">
        <v>70</v>
      </c>
      <c r="AQ1123" s="11" t="str">
        <f>IF(I1123&lt;&gt;"",DATA!D1122,"")</f>
        <v>8302420090</v>
      </c>
    </row>
    <row r="1124" spans="1:43" ht="15.75" x14ac:dyDescent="0.25">
      <c r="A1124" s="11" t="s">
        <v>57</v>
      </c>
      <c r="B1124" s="11" t="s">
        <v>56</v>
      </c>
      <c r="C1124" s="22">
        <f t="shared" si="74"/>
        <v>25001620</v>
      </c>
      <c r="D1124" s="11" t="str">
        <f t="shared" si="71"/>
        <v>SKIIFM_AT</v>
      </c>
      <c r="E1124" s="11" t="str">
        <f>IF(I1124&lt;&gt;"",VLOOKUP(F1124,OPDRACHTGEVER!$A$2:$B$4,2,FALSE),"")</f>
        <v>SKIIFM_AT</v>
      </c>
      <c r="F1124" s="11" t="s">
        <v>58</v>
      </c>
      <c r="I1124" s="11" t="str">
        <f>IF(DATA!B1123&lt;&gt;"",DATA!B1123,"")</f>
        <v>MEDU4455865</v>
      </c>
      <c r="J1124" s="12">
        <v>0</v>
      </c>
      <c r="K1124" s="11" t="s">
        <v>53</v>
      </c>
      <c r="L1124" s="11" t="str">
        <f t="shared" si="72"/>
        <v>392620</v>
      </c>
      <c r="M1124" s="11" t="str">
        <f>IF(I1124&lt;&gt;"",DATA!E1123,"")</f>
        <v>SILICONE CLOTHING</v>
      </c>
      <c r="N1124" s="12">
        <v>0</v>
      </c>
      <c r="O1124" s="11">
        <f>IF(I1124&lt;&gt;"",DATA!C1123,"")</f>
        <v>10.55</v>
      </c>
      <c r="P1124" s="2">
        <v>294094</v>
      </c>
      <c r="Q1124" s="2" t="s">
        <v>1304</v>
      </c>
      <c r="R1124" s="2" t="s">
        <v>1326</v>
      </c>
      <c r="S1124" s="2">
        <v>356</v>
      </c>
      <c r="T1124" s="2">
        <v>1</v>
      </c>
      <c r="U1124" s="2" t="s">
        <v>141</v>
      </c>
      <c r="Y1124" s="2">
        <v>1700</v>
      </c>
      <c r="Z1124" s="11" t="s">
        <v>54</v>
      </c>
      <c r="AA1124" s="11" t="str">
        <f t="shared" si="73"/>
        <v>1700 - TBN</v>
      </c>
      <c r="AC1124" s="2" t="s">
        <v>145</v>
      </c>
      <c r="AD1124" s="11" t="str">
        <f>IF($I1124&lt;&gt;"",VLOOKUP($AC1124,GEADRESSEERDE!$A$2:$E$4,2,),"")</f>
        <v>LUITHAGEN HAVEN 2 D</v>
      </c>
      <c r="AE1124" s="11">
        <f>IF($I1124&lt;&gt;"",VLOOKUP($AC1124,GEADRESSEERDE!$A$2:$E$4,3,),"")</f>
        <v>2030</v>
      </c>
      <c r="AF1124" s="11" t="str">
        <f>IF($I1124&lt;&gt;"",VLOOKUP($AC1124,GEADRESSEERDE!$A$2:$E$4,4,),"")</f>
        <v>ANTWERPEN</v>
      </c>
      <c r="AG1124" s="11" t="str">
        <f>IF($I1124&lt;&gt;"",VLOOKUP($AC1124,GEADRESSEERDE!$A$2:$E$4,5,),"")</f>
        <v>BE</v>
      </c>
      <c r="AH1124" s="11" t="str">
        <f>IF(I1124&lt;&gt;"",VLOOKUP(AP1124,KvB!$A$2:$B$3,2,FALSE),"")</f>
        <v>BE101000</v>
      </c>
      <c r="AI1124" s="11" t="s">
        <v>55</v>
      </c>
      <c r="AJ1124" s="11"/>
      <c r="AK1124" s="11"/>
      <c r="AL1124" s="11"/>
      <c r="AM1124" s="11"/>
      <c r="AN1124" s="11"/>
      <c r="AO1124" s="11"/>
      <c r="AP1124" s="2" t="s">
        <v>70</v>
      </c>
      <c r="AQ1124" s="11" t="str">
        <f>IF(I1124&lt;&gt;"",DATA!D1123,"")</f>
        <v>3926200000</v>
      </c>
    </row>
    <row r="1125" spans="1:43" ht="15.75" x14ac:dyDescent="0.25">
      <c r="A1125" s="11" t="s">
        <v>57</v>
      </c>
      <c r="B1125" s="11" t="s">
        <v>56</v>
      </c>
      <c r="C1125" s="22">
        <f t="shared" si="74"/>
        <v>25001620</v>
      </c>
      <c r="D1125" s="11" t="str">
        <f t="shared" si="71"/>
        <v>SKIIFM_AT</v>
      </c>
      <c r="E1125" s="11" t="str">
        <f>IF(I1125&lt;&gt;"",VLOOKUP(F1125,OPDRACHTGEVER!$A$2:$B$4,2,FALSE),"")</f>
        <v>SKIIFM_AT</v>
      </c>
      <c r="F1125" s="11" t="s">
        <v>58</v>
      </c>
      <c r="I1125" s="11" t="str">
        <f>IF(DATA!B1124&lt;&gt;"",DATA!B1124,"")</f>
        <v>MEDU4455865</v>
      </c>
      <c r="J1125" s="12">
        <v>0</v>
      </c>
      <c r="K1125" s="11" t="s">
        <v>53</v>
      </c>
      <c r="L1125" s="11" t="str">
        <f t="shared" si="72"/>
        <v>391739</v>
      </c>
      <c r="M1125" s="11" t="str">
        <f>IF(I1125&lt;&gt;"",DATA!E1124,"")</f>
        <v>SMOOTH HEATING WATER PIPE</v>
      </c>
      <c r="N1125" s="12">
        <v>0</v>
      </c>
      <c r="O1125" s="11">
        <f>IF(I1125&lt;&gt;"",DATA!C1124,"")</f>
        <v>2.35</v>
      </c>
      <c r="P1125" s="2">
        <v>294094</v>
      </c>
      <c r="Q1125" s="2" t="s">
        <v>1304</v>
      </c>
      <c r="R1125" s="2" t="s">
        <v>1326</v>
      </c>
      <c r="S1125" s="2">
        <v>356</v>
      </c>
      <c r="T1125" s="2">
        <v>1</v>
      </c>
      <c r="U1125" s="2" t="s">
        <v>141</v>
      </c>
      <c r="Y1125" s="2">
        <v>1700</v>
      </c>
      <c r="Z1125" s="11" t="s">
        <v>54</v>
      </c>
      <c r="AA1125" s="11" t="str">
        <f t="shared" si="73"/>
        <v>1700 - TBN</v>
      </c>
      <c r="AC1125" s="2" t="s">
        <v>145</v>
      </c>
      <c r="AD1125" s="11" t="str">
        <f>IF($I1125&lt;&gt;"",VLOOKUP($AC1125,GEADRESSEERDE!$A$2:$E$4,2,),"")</f>
        <v>LUITHAGEN HAVEN 2 D</v>
      </c>
      <c r="AE1125" s="11">
        <f>IF($I1125&lt;&gt;"",VLOOKUP($AC1125,GEADRESSEERDE!$A$2:$E$4,3,),"")</f>
        <v>2030</v>
      </c>
      <c r="AF1125" s="11" t="str">
        <f>IF($I1125&lt;&gt;"",VLOOKUP($AC1125,GEADRESSEERDE!$A$2:$E$4,4,),"")</f>
        <v>ANTWERPEN</v>
      </c>
      <c r="AG1125" s="11" t="str">
        <f>IF($I1125&lt;&gt;"",VLOOKUP($AC1125,GEADRESSEERDE!$A$2:$E$4,5,),"")</f>
        <v>BE</v>
      </c>
      <c r="AH1125" s="11" t="str">
        <f>IF(I1125&lt;&gt;"",VLOOKUP(AP1125,KvB!$A$2:$B$3,2,FALSE),"")</f>
        <v>BE101000</v>
      </c>
      <c r="AI1125" s="11" t="s">
        <v>55</v>
      </c>
      <c r="AJ1125" s="11"/>
      <c r="AK1125" s="11"/>
      <c r="AL1125" s="11"/>
      <c r="AM1125" s="11"/>
      <c r="AN1125" s="11"/>
      <c r="AO1125" s="11"/>
      <c r="AP1125" s="2" t="s">
        <v>70</v>
      </c>
      <c r="AQ1125" s="11" t="str">
        <f>IF(I1125&lt;&gt;"",DATA!D1124,"")</f>
        <v>3917390099</v>
      </c>
    </row>
    <row r="1126" spans="1:43" ht="15.75" x14ac:dyDescent="0.25">
      <c r="A1126" s="11" t="s">
        <v>57</v>
      </c>
      <c r="B1126" s="11" t="s">
        <v>56</v>
      </c>
      <c r="C1126" s="22">
        <f t="shared" si="74"/>
        <v>25001620</v>
      </c>
      <c r="D1126" s="11" t="str">
        <f t="shared" si="71"/>
        <v>SKIIFM_AT</v>
      </c>
      <c r="E1126" s="11" t="str">
        <f>IF(I1126&lt;&gt;"",VLOOKUP(F1126,OPDRACHTGEVER!$A$2:$B$4,2,FALSE),"")</f>
        <v>SKIIFM_AT</v>
      </c>
      <c r="F1126" s="11" t="s">
        <v>58</v>
      </c>
      <c r="I1126" s="11" t="str">
        <f>IF(DATA!B1125&lt;&gt;"",DATA!B1125,"")</f>
        <v>MEDU4455865</v>
      </c>
      <c r="J1126" s="12">
        <v>0</v>
      </c>
      <c r="K1126" s="11" t="s">
        <v>53</v>
      </c>
      <c r="L1126" s="11" t="str">
        <f t="shared" si="72"/>
        <v>853710</v>
      </c>
      <c r="M1126" s="11" t="str">
        <f>IF(I1126&lt;&gt;"",DATA!E1125,"")</f>
        <v>SOCKET BOX</v>
      </c>
      <c r="N1126" s="12">
        <v>0</v>
      </c>
      <c r="O1126" s="11">
        <f>IF(I1126&lt;&gt;"",DATA!C1125,"")</f>
        <v>4.8499999999999996</v>
      </c>
      <c r="P1126" s="2">
        <v>294094</v>
      </c>
      <c r="Q1126" s="2" t="s">
        <v>1304</v>
      </c>
      <c r="R1126" s="2" t="s">
        <v>1326</v>
      </c>
      <c r="S1126" s="2">
        <v>356</v>
      </c>
      <c r="T1126" s="2">
        <v>1</v>
      </c>
      <c r="U1126" s="2" t="s">
        <v>141</v>
      </c>
      <c r="Y1126" s="2">
        <v>1700</v>
      </c>
      <c r="Z1126" s="11" t="s">
        <v>54</v>
      </c>
      <c r="AA1126" s="11" t="str">
        <f t="shared" si="73"/>
        <v>1700 - TBN</v>
      </c>
      <c r="AC1126" s="2" t="s">
        <v>145</v>
      </c>
      <c r="AD1126" s="11" t="str">
        <f>IF($I1126&lt;&gt;"",VLOOKUP($AC1126,GEADRESSEERDE!$A$2:$E$4,2,),"")</f>
        <v>LUITHAGEN HAVEN 2 D</v>
      </c>
      <c r="AE1126" s="11">
        <f>IF($I1126&lt;&gt;"",VLOOKUP($AC1126,GEADRESSEERDE!$A$2:$E$4,3,),"")</f>
        <v>2030</v>
      </c>
      <c r="AF1126" s="11" t="str">
        <f>IF($I1126&lt;&gt;"",VLOOKUP($AC1126,GEADRESSEERDE!$A$2:$E$4,4,),"")</f>
        <v>ANTWERPEN</v>
      </c>
      <c r="AG1126" s="11" t="str">
        <f>IF($I1126&lt;&gt;"",VLOOKUP($AC1126,GEADRESSEERDE!$A$2:$E$4,5,),"")</f>
        <v>BE</v>
      </c>
      <c r="AH1126" s="11" t="str">
        <f>IF(I1126&lt;&gt;"",VLOOKUP(AP1126,KvB!$A$2:$B$3,2,FALSE),"")</f>
        <v>BE101000</v>
      </c>
      <c r="AI1126" s="11" t="s">
        <v>55</v>
      </c>
      <c r="AJ1126" s="11"/>
      <c r="AK1126" s="11"/>
      <c r="AL1126" s="11"/>
      <c r="AM1126" s="11"/>
      <c r="AN1126" s="11"/>
      <c r="AO1126" s="11"/>
      <c r="AP1126" s="2" t="s">
        <v>70</v>
      </c>
      <c r="AQ1126" s="11" t="str">
        <f>IF(I1126&lt;&gt;"",DATA!D1125,"")</f>
        <v>8537109199</v>
      </c>
    </row>
    <row r="1127" spans="1:43" ht="15.75" x14ac:dyDescent="0.25">
      <c r="A1127" s="11" t="s">
        <v>57</v>
      </c>
      <c r="B1127" s="11" t="s">
        <v>56</v>
      </c>
      <c r="C1127" s="22">
        <f t="shared" si="74"/>
        <v>25001620</v>
      </c>
      <c r="D1127" s="11" t="str">
        <f t="shared" si="71"/>
        <v>SKIIFM_AT</v>
      </c>
      <c r="E1127" s="11" t="str">
        <f>IF(I1127&lt;&gt;"",VLOOKUP(F1127,OPDRACHTGEVER!$A$2:$B$4,2,FALSE),"")</f>
        <v>SKIIFM_AT</v>
      </c>
      <c r="F1127" s="11" t="s">
        <v>58</v>
      </c>
      <c r="I1127" s="11" t="str">
        <f>IF(DATA!B1126&lt;&gt;"",DATA!B1126,"")</f>
        <v>MEDU4455865</v>
      </c>
      <c r="J1127" s="12">
        <v>0</v>
      </c>
      <c r="K1127" s="11" t="s">
        <v>53</v>
      </c>
      <c r="L1127" s="11" t="str">
        <f t="shared" si="72"/>
        <v>841350</v>
      </c>
      <c r="M1127" s="11" t="str">
        <f>IF(I1127&lt;&gt;"",DATA!E1126,"")</f>
        <v>SOLAR POWERED WATER PUMP</v>
      </c>
      <c r="N1127" s="12">
        <v>0</v>
      </c>
      <c r="O1127" s="11">
        <f>IF(I1127&lt;&gt;"",DATA!C1126,"")</f>
        <v>7.9</v>
      </c>
      <c r="P1127" s="2">
        <v>294094</v>
      </c>
      <c r="Q1127" s="2" t="s">
        <v>1304</v>
      </c>
      <c r="R1127" s="2" t="s">
        <v>1326</v>
      </c>
      <c r="S1127" s="2">
        <v>356</v>
      </c>
      <c r="T1127" s="2">
        <v>1</v>
      </c>
      <c r="U1127" s="2" t="s">
        <v>141</v>
      </c>
      <c r="Y1127" s="2">
        <v>1700</v>
      </c>
      <c r="Z1127" s="11" t="s">
        <v>54</v>
      </c>
      <c r="AA1127" s="11" t="str">
        <f t="shared" si="73"/>
        <v>1700 - TBN</v>
      </c>
      <c r="AC1127" s="2" t="s">
        <v>145</v>
      </c>
      <c r="AD1127" s="11" t="str">
        <f>IF($I1127&lt;&gt;"",VLOOKUP($AC1127,GEADRESSEERDE!$A$2:$E$4,2,),"")</f>
        <v>LUITHAGEN HAVEN 2 D</v>
      </c>
      <c r="AE1127" s="11">
        <f>IF($I1127&lt;&gt;"",VLOOKUP($AC1127,GEADRESSEERDE!$A$2:$E$4,3,),"")</f>
        <v>2030</v>
      </c>
      <c r="AF1127" s="11" t="str">
        <f>IF($I1127&lt;&gt;"",VLOOKUP($AC1127,GEADRESSEERDE!$A$2:$E$4,4,),"")</f>
        <v>ANTWERPEN</v>
      </c>
      <c r="AG1127" s="11" t="str">
        <f>IF($I1127&lt;&gt;"",VLOOKUP($AC1127,GEADRESSEERDE!$A$2:$E$4,5,),"")</f>
        <v>BE</v>
      </c>
      <c r="AH1127" s="11" t="str">
        <f>IF(I1127&lt;&gt;"",VLOOKUP(AP1127,KvB!$A$2:$B$3,2,FALSE),"")</f>
        <v>BE101000</v>
      </c>
      <c r="AI1127" s="11" t="s">
        <v>55</v>
      </c>
      <c r="AJ1127" s="11"/>
      <c r="AK1127" s="11"/>
      <c r="AL1127" s="11"/>
      <c r="AM1127" s="11"/>
      <c r="AN1127" s="11"/>
      <c r="AO1127" s="11"/>
      <c r="AP1127" s="2" t="s">
        <v>70</v>
      </c>
      <c r="AQ1127" s="11" t="str">
        <f>IF(I1127&lt;&gt;"",DATA!D1126,"")</f>
        <v>8413508090</v>
      </c>
    </row>
    <row r="1128" spans="1:43" ht="15.75" x14ac:dyDescent="0.25">
      <c r="A1128" s="11" t="s">
        <v>57</v>
      </c>
      <c r="B1128" s="11" t="s">
        <v>56</v>
      </c>
      <c r="C1128" s="22">
        <f t="shared" si="74"/>
        <v>25001620</v>
      </c>
      <c r="D1128" s="11" t="str">
        <f t="shared" si="71"/>
        <v>SKIIFM_AT</v>
      </c>
      <c r="E1128" s="11" t="str">
        <f>IF(I1128&lt;&gt;"",VLOOKUP(F1128,OPDRACHTGEVER!$A$2:$B$4,2,FALSE),"")</f>
        <v>SKIIFM_AT</v>
      </c>
      <c r="F1128" s="11" t="s">
        <v>58</v>
      </c>
      <c r="I1128" s="11" t="str">
        <f>IF(DATA!B1127&lt;&gt;"",DATA!B1127,"")</f>
        <v>MEDU4455865</v>
      </c>
      <c r="J1128" s="12">
        <v>0</v>
      </c>
      <c r="K1128" s="11" t="s">
        <v>53</v>
      </c>
      <c r="L1128" s="11" t="str">
        <f t="shared" si="72"/>
        <v>741920</v>
      </c>
      <c r="M1128" s="11" t="str">
        <f>IF(I1128&lt;&gt;"",DATA!E1127,"")</f>
        <v>WHISKEY</v>
      </c>
      <c r="N1128" s="12">
        <v>0</v>
      </c>
      <c r="O1128" s="11">
        <f>IF(I1128&lt;&gt;"",DATA!C1127,"")</f>
        <v>2.4500000000000002</v>
      </c>
      <c r="P1128" s="2">
        <v>294094</v>
      </c>
      <c r="Q1128" s="2" t="s">
        <v>1304</v>
      </c>
      <c r="R1128" s="2" t="s">
        <v>1326</v>
      </c>
      <c r="S1128" s="2">
        <v>356</v>
      </c>
      <c r="T1128" s="2">
        <v>1</v>
      </c>
      <c r="U1128" s="2" t="s">
        <v>141</v>
      </c>
      <c r="Y1128" s="2">
        <v>1700</v>
      </c>
      <c r="Z1128" s="11" t="s">
        <v>54</v>
      </c>
      <c r="AA1128" s="11" t="str">
        <f t="shared" si="73"/>
        <v>1700 - TBN</v>
      </c>
      <c r="AC1128" s="2" t="s">
        <v>145</v>
      </c>
      <c r="AD1128" s="11" t="str">
        <f>IF($I1128&lt;&gt;"",VLOOKUP($AC1128,GEADRESSEERDE!$A$2:$E$4,2,),"")</f>
        <v>LUITHAGEN HAVEN 2 D</v>
      </c>
      <c r="AE1128" s="11">
        <f>IF($I1128&lt;&gt;"",VLOOKUP($AC1128,GEADRESSEERDE!$A$2:$E$4,3,),"")</f>
        <v>2030</v>
      </c>
      <c r="AF1128" s="11" t="str">
        <f>IF($I1128&lt;&gt;"",VLOOKUP($AC1128,GEADRESSEERDE!$A$2:$E$4,4,),"")</f>
        <v>ANTWERPEN</v>
      </c>
      <c r="AG1128" s="11" t="str">
        <f>IF($I1128&lt;&gt;"",VLOOKUP($AC1128,GEADRESSEERDE!$A$2:$E$4,5,),"")</f>
        <v>BE</v>
      </c>
      <c r="AH1128" s="11" t="str">
        <f>IF(I1128&lt;&gt;"",VLOOKUP(AP1128,KvB!$A$2:$B$3,2,FALSE),"")</f>
        <v>BE101000</v>
      </c>
      <c r="AI1128" s="11" t="s">
        <v>55</v>
      </c>
      <c r="AJ1128" s="11"/>
      <c r="AK1128" s="11"/>
      <c r="AL1128" s="11"/>
      <c r="AM1128" s="11"/>
      <c r="AN1128" s="11"/>
      <c r="AO1128" s="11"/>
      <c r="AP1128" s="2" t="s">
        <v>70</v>
      </c>
      <c r="AQ1128" s="11" t="str">
        <f>IF(I1128&lt;&gt;"",DATA!D1127,"")</f>
        <v>7419200090</v>
      </c>
    </row>
    <row r="1129" spans="1:43" ht="15.75" x14ac:dyDescent="0.25">
      <c r="A1129" s="11" t="s">
        <v>57</v>
      </c>
      <c r="B1129" s="11" t="s">
        <v>56</v>
      </c>
      <c r="C1129" s="22">
        <f t="shared" si="74"/>
        <v>25001620</v>
      </c>
      <c r="D1129" s="11" t="str">
        <f t="shared" si="71"/>
        <v>SKIIFM_AT</v>
      </c>
      <c r="E1129" s="11" t="str">
        <f>IF(I1129&lt;&gt;"",VLOOKUP(F1129,OPDRACHTGEVER!$A$2:$B$4,2,FALSE),"")</f>
        <v>SKIIFM_AT</v>
      </c>
      <c r="F1129" s="11" t="s">
        <v>58</v>
      </c>
      <c r="I1129" s="11" t="str">
        <f>IF(DATA!B1128&lt;&gt;"",DATA!B1128,"")</f>
        <v>MEDU4455865</v>
      </c>
      <c r="J1129" s="12">
        <v>0</v>
      </c>
      <c r="K1129" s="11" t="s">
        <v>53</v>
      </c>
      <c r="L1129" s="11" t="str">
        <f t="shared" si="72"/>
        <v>741920</v>
      </c>
      <c r="M1129" s="11" t="str">
        <f>IF(I1129&lt;&gt;"",DATA!E1128,"")</f>
        <v>WIRE ROPE</v>
      </c>
      <c r="N1129" s="12">
        <v>0</v>
      </c>
      <c r="O1129" s="11">
        <f>IF(I1129&lt;&gt;"",DATA!C1128,"")</f>
        <v>44.35</v>
      </c>
      <c r="P1129" s="2">
        <v>294094</v>
      </c>
      <c r="Q1129" s="2" t="s">
        <v>1304</v>
      </c>
      <c r="R1129" s="2" t="s">
        <v>1326</v>
      </c>
      <c r="S1129" s="2">
        <v>356</v>
      </c>
      <c r="T1129" s="2">
        <v>1</v>
      </c>
      <c r="U1129" s="2" t="s">
        <v>141</v>
      </c>
      <c r="Y1129" s="2">
        <v>1700</v>
      </c>
      <c r="Z1129" s="11" t="s">
        <v>54</v>
      </c>
      <c r="AA1129" s="11" t="str">
        <f t="shared" si="73"/>
        <v>1700 - TBN</v>
      </c>
      <c r="AC1129" s="2" t="s">
        <v>145</v>
      </c>
      <c r="AD1129" s="11" t="str">
        <f>IF($I1129&lt;&gt;"",VLOOKUP($AC1129,GEADRESSEERDE!$A$2:$E$4,2,),"")</f>
        <v>LUITHAGEN HAVEN 2 D</v>
      </c>
      <c r="AE1129" s="11">
        <f>IF($I1129&lt;&gt;"",VLOOKUP($AC1129,GEADRESSEERDE!$A$2:$E$4,3,),"")</f>
        <v>2030</v>
      </c>
      <c r="AF1129" s="11" t="str">
        <f>IF($I1129&lt;&gt;"",VLOOKUP($AC1129,GEADRESSEERDE!$A$2:$E$4,4,),"")</f>
        <v>ANTWERPEN</v>
      </c>
      <c r="AG1129" s="11" t="str">
        <f>IF($I1129&lt;&gt;"",VLOOKUP($AC1129,GEADRESSEERDE!$A$2:$E$4,5,),"")</f>
        <v>BE</v>
      </c>
      <c r="AH1129" s="11" t="str">
        <f>IF(I1129&lt;&gt;"",VLOOKUP(AP1129,KvB!$A$2:$B$3,2,FALSE),"")</f>
        <v>BE101000</v>
      </c>
      <c r="AI1129" s="11" t="s">
        <v>55</v>
      </c>
      <c r="AJ1129" s="11"/>
      <c r="AK1129" s="11"/>
      <c r="AL1129" s="11"/>
      <c r="AM1129" s="11"/>
      <c r="AN1129" s="11"/>
      <c r="AO1129" s="11"/>
      <c r="AP1129" s="2" t="s">
        <v>70</v>
      </c>
      <c r="AQ1129" s="11" t="str">
        <f>IF(I1129&lt;&gt;"",DATA!D1128,"")</f>
        <v>7419200090</v>
      </c>
    </row>
    <row r="1130" spans="1:43" ht="15.75" x14ac:dyDescent="0.25">
      <c r="A1130" s="11" t="s">
        <v>57</v>
      </c>
      <c r="B1130" s="11" t="s">
        <v>56</v>
      </c>
      <c r="C1130" s="22">
        <f t="shared" si="74"/>
        <v>25001620</v>
      </c>
      <c r="D1130" s="11" t="str">
        <f t="shared" si="71"/>
        <v>SKIIFM_AT</v>
      </c>
      <c r="E1130" s="11" t="str">
        <f>IF(I1130&lt;&gt;"",VLOOKUP(F1130,OPDRACHTGEVER!$A$2:$B$4,2,FALSE),"")</f>
        <v>SKIIFM_AT</v>
      </c>
      <c r="F1130" s="11" t="s">
        <v>58</v>
      </c>
      <c r="I1130" s="11" t="str">
        <f>IF(DATA!B1129&lt;&gt;"",DATA!B1129,"")</f>
        <v>MEDU4455865</v>
      </c>
      <c r="J1130" s="12">
        <v>0</v>
      </c>
      <c r="K1130" s="11" t="s">
        <v>53</v>
      </c>
      <c r="L1130" s="11" t="str">
        <f t="shared" si="72"/>
        <v>870899</v>
      </c>
      <c r="M1130" s="11" t="str">
        <f>IF(I1130&lt;&gt;"",DATA!E1129,"")</f>
        <v>STRAP</v>
      </c>
      <c r="N1130" s="12">
        <v>0</v>
      </c>
      <c r="O1130" s="11">
        <f>IF(I1130&lt;&gt;"",DATA!C1129,"")</f>
        <v>251.4</v>
      </c>
      <c r="P1130" s="2">
        <v>294094</v>
      </c>
      <c r="Q1130" s="2" t="s">
        <v>1304</v>
      </c>
      <c r="R1130" s="2" t="s">
        <v>1326</v>
      </c>
      <c r="S1130" s="2">
        <v>356</v>
      </c>
      <c r="T1130" s="2">
        <v>1</v>
      </c>
      <c r="U1130" s="2" t="s">
        <v>141</v>
      </c>
      <c r="Y1130" s="2">
        <v>1700</v>
      </c>
      <c r="Z1130" s="11" t="s">
        <v>54</v>
      </c>
      <c r="AA1130" s="11" t="str">
        <f t="shared" si="73"/>
        <v>1700 - TBN</v>
      </c>
      <c r="AC1130" s="2" t="s">
        <v>145</v>
      </c>
      <c r="AD1130" s="11" t="str">
        <f>IF($I1130&lt;&gt;"",VLOOKUP($AC1130,GEADRESSEERDE!$A$2:$E$4,2,),"")</f>
        <v>LUITHAGEN HAVEN 2 D</v>
      </c>
      <c r="AE1130" s="11">
        <f>IF($I1130&lt;&gt;"",VLOOKUP($AC1130,GEADRESSEERDE!$A$2:$E$4,3,),"")</f>
        <v>2030</v>
      </c>
      <c r="AF1130" s="11" t="str">
        <f>IF($I1130&lt;&gt;"",VLOOKUP($AC1130,GEADRESSEERDE!$A$2:$E$4,4,),"")</f>
        <v>ANTWERPEN</v>
      </c>
      <c r="AG1130" s="11" t="str">
        <f>IF($I1130&lt;&gt;"",VLOOKUP($AC1130,GEADRESSEERDE!$A$2:$E$4,5,),"")</f>
        <v>BE</v>
      </c>
      <c r="AH1130" s="11" t="str">
        <f>IF(I1130&lt;&gt;"",VLOOKUP(AP1130,KvB!$A$2:$B$3,2,FALSE),"")</f>
        <v>BE101000</v>
      </c>
      <c r="AI1130" s="11" t="s">
        <v>55</v>
      </c>
      <c r="AJ1130" s="11"/>
      <c r="AK1130" s="11"/>
      <c r="AL1130" s="11"/>
      <c r="AM1130" s="11"/>
      <c r="AN1130" s="11"/>
      <c r="AO1130" s="11"/>
      <c r="AP1130" s="2" t="s">
        <v>70</v>
      </c>
      <c r="AQ1130" s="11" t="str">
        <f>IF(I1130&lt;&gt;"",DATA!D1129,"")</f>
        <v>8708999790</v>
      </c>
    </row>
    <row r="1131" spans="1:43" ht="15.75" x14ac:dyDescent="0.25">
      <c r="A1131" s="11" t="s">
        <v>57</v>
      </c>
      <c r="B1131" s="11" t="s">
        <v>56</v>
      </c>
      <c r="C1131" s="22">
        <f t="shared" si="74"/>
        <v>25001620</v>
      </c>
      <c r="D1131" s="11" t="str">
        <f t="shared" si="71"/>
        <v>SKIIFM_AT</v>
      </c>
      <c r="E1131" s="11" t="str">
        <f>IF(I1131&lt;&gt;"",VLOOKUP(F1131,OPDRACHTGEVER!$A$2:$B$4,2,FALSE),"")</f>
        <v>SKIIFM_AT</v>
      </c>
      <c r="F1131" s="11" t="s">
        <v>58</v>
      </c>
      <c r="I1131" s="11" t="str">
        <f>IF(DATA!B1130&lt;&gt;"",DATA!B1130,"")</f>
        <v>MEDU4455865</v>
      </c>
      <c r="J1131" s="12">
        <v>0</v>
      </c>
      <c r="K1131" s="11" t="s">
        <v>53</v>
      </c>
      <c r="L1131" s="11" t="str">
        <f t="shared" si="72"/>
        <v>940391</v>
      </c>
      <c r="M1131" s="11" t="str">
        <f>IF(I1131&lt;&gt;"",DATA!E1130,"")</f>
        <v>TABLE LEGS</v>
      </c>
      <c r="N1131" s="12">
        <v>0</v>
      </c>
      <c r="O1131" s="11">
        <f>IF(I1131&lt;&gt;"",DATA!C1130,"")</f>
        <v>5.03</v>
      </c>
      <c r="P1131" s="2">
        <v>294094</v>
      </c>
      <c r="Q1131" s="2" t="s">
        <v>1304</v>
      </c>
      <c r="R1131" s="2" t="s">
        <v>1326</v>
      </c>
      <c r="S1131" s="2">
        <v>356</v>
      </c>
      <c r="T1131" s="2">
        <v>1</v>
      </c>
      <c r="U1131" s="2" t="s">
        <v>141</v>
      </c>
      <c r="Y1131" s="2">
        <v>1700</v>
      </c>
      <c r="Z1131" s="11" t="s">
        <v>54</v>
      </c>
      <c r="AA1131" s="11" t="str">
        <f t="shared" si="73"/>
        <v>1700 - TBN</v>
      </c>
      <c r="AC1131" s="2" t="s">
        <v>145</v>
      </c>
      <c r="AD1131" s="11" t="str">
        <f>IF($I1131&lt;&gt;"",VLOOKUP($AC1131,GEADRESSEERDE!$A$2:$E$4,2,),"")</f>
        <v>LUITHAGEN HAVEN 2 D</v>
      </c>
      <c r="AE1131" s="11">
        <f>IF($I1131&lt;&gt;"",VLOOKUP($AC1131,GEADRESSEERDE!$A$2:$E$4,3,),"")</f>
        <v>2030</v>
      </c>
      <c r="AF1131" s="11" t="str">
        <f>IF($I1131&lt;&gt;"",VLOOKUP($AC1131,GEADRESSEERDE!$A$2:$E$4,4,),"")</f>
        <v>ANTWERPEN</v>
      </c>
      <c r="AG1131" s="11" t="str">
        <f>IF($I1131&lt;&gt;"",VLOOKUP($AC1131,GEADRESSEERDE!$A$2:$E$4,5,),"")</f>
        <v>BE</v>
      </c>
      <c r="AH1131" s="11" t="str">
        <f>IF(I1131&lt;&gt;"",VLOOKUP(AP1131,KvB!$A$2:$B$3,2,FALSE),"")</f>
        <v>BE101000</v>
      </c>
      <c r="AI1131" s="11" t="s">
        <v>55</v>
      </c>
      <c r="AJ1131" s="11"/>
      <c r="AK1131" s="11"/>
      <c r="AL1131" s="11"/>
      <c r="AM1131" s="11"/>
      <c r="AN1131" s="11"/>
      <c r="AO1131" s="11"/>
      <c r="AP1131" s="2" t="s">
        <v>70</v>
      </c>
      <c r="AQ1131" s="11" t="str">
        <f>IF(I1131&lt;&gt;"",DATA!D1130,"")</f>
        <v>9403910090</v>
      </c>
    </row>
    <row r="1132" spans="1:43" ht="15.75" x14ac:dyDescent="0.25">
      <c r="A1132" s="11" t="s">
        <v>57</v>
      </c>
      <c r="B1132" s="11" t="s">
        <v>56</v>
      </c>
      <c r="C1132" s="22">
        <f t="shared" si="74"/>
        <v>25001620</v>
      </c>
      <c r="D1132" s="11" t="str">
        <f t="shared" si="71"/>
        <v>SKIIFM_AT</v>
      </c>
      <c r="E1132" s="11" t="str">
        <f>IF(I1132&lt;&gt;"",VLOOKUP(F1132,OPDRACHTGEVER!$A$2:$B$4,2,FALSE),"")</f>
        <v>SKIIFM_AT</v>
      </c>
      <c r="F1132" s="11" t="s">
        <v>58</v>
      </c>
      <c r="I1132" s="11" t="str">
        <f>IF(DATA!B1131&lt;&gt;"",DATA!B1131,"")</f>
        <v>MEDU4455865</v>
      </c>
      <c r="J1132" s="12">
        <v>0</v>
      </c>
      <c r="K1132" s="11" t="s">
        <v>53</v>
      </c>
      <c r="L1132" s="11" t="str">
        <f t="shared" si="72"/>
        <v>820740</v>
      </c>
      <c r="M1132" s="11" t="str">
        <f>IF(I1132&lt;&gt;"",DATA!E1131,"")</f>
        <v>THREAD REPAIR KIT</v>
      </c>
      <c r="N1132" s="12">
        <v>0</v>
      </c>
      <c r="O1132" s="11">
        <f>IF(I1132&lt;&gt;"",DATA!C1131,"")</f>
        <v>3.5</v>
      </c>
      <c r="P1132" s="2">
        <v>294094</v>
      </c>
      <c r="Q1132" s="2" t="s">
        <v>1304</v>
      </c>
      <c r="R1132" s="2" t="s">
        <v>1326</v>
      </c>
      <c r="S1132" s="2">
        <v>356</v>
      </c>
      <c r="T1132" s="2">
        <v>1</v>
      </c>
      <c r="U1132" s="2" t="s">
        <v>141</v>
      </c>
      <c r="Y1132" s="2">
        <v>1700</v>
      </c>
      <c r="Z1132" s="11" t="s">
        <v>54</v>
      </c>
      <c r="AA1132" s="11" t="str">
        <f t="shared" si="73"/>
        <v>1700 - TBN</v>
      </c>
      <c r="AC1132" s="2" t="s">
        <v>145</v>
      </c>
      <c r="AD1132" s="11" t="str">
        <f>IF($I1132&lt;&gt;"",VLOOKUP($AC1132,GEADRESSEERDE!$A$2:$E$4,2,),"")</f>
        <v>LUITHAGEN HAVEN 2 D</v>
      </c>
      <c r="AE1132" s="11">
        <f>IF($I1132&lt;&gt;"",VLOOKUP($AC1132,GEADRESSEERDE!$A$2:$E$4,3,),"")</f>
        <v>2030</v>
      </c>
      <c r="AF1132" s="11" t="str">
        <f>IF($I1132&lt;&gt;"",VLOOKUP($AC1132,GEADRESSEERDE!$A$2:$E$4,4,),"")</f>
        <v>ANTWERPEN</v>
      </c>
      <c r="AG1132" s="11" t="str">
        <f>IF($I1132&lt;&gt;"",VLOOKUP($AC1132,GEADRESSEERDE!$A$2:$E$4,5,),"")</f>
        <v>BE</v>
      </c>
      <c r="AH1132" s="11" t="str">
        <f>IF(I1132&lt;&gt;"",VLOOKUP(AP1132,KvB!$A$2:$B$3,2,FALSE),"")</f>
        <v>BE101000</v>
      </c>
      <c r="AI1132" s="11" t="s">
        <v>55</v>
      </c>
      <c r="AJ1132" s="11"/>
      <c r="AK1132" s="11"/>
      <c r="AL1132" s="11"/>
      <c r="AM1132" s="11"/>
      <c r="AN1132" s="11"/>
      <c r="AO1132" s="11"/>
      <c r="AP1132" s="2" t="s">
        <v>70</v>
      </c>
      <c r="AQ1132" s="11" t="str">
        <f>IF(I1132&lt;&gt;"",DATA!D1131,"")</f>
        <v>8207409000</v>
      </c>
    </row>
    <row r="1133" spans="1:43" ht="15.75" x14ac:dyDescent="0.25">
      <c r="A1133" s="11" t="s">
        <v>57</v>
      </c>
      <c r="B1133" s="11" t="s">
        <v>56</v>
      </c>
      <c r="C1133" s="22">
        <f t="shared" si="74"/>
        <v>25001620</v>
      </c>
      <c r="D1133" s="11" t="str">
        <f t="shared" si="71"/>
        <v>SKIIFM_AT</v>
      </c>
      <c r="E1133" s="11" t="str">
        <f>IF(I1133&lt;&gt;"",VLOOKUP(F1133,OPDRACHTGEVER!$A$2:$B$4,2,FALSE),"")</f>
        <v>SKIIFM_AT</v>
      </c>
      <c r="F1133" s="11" t="s">
        <v>58</v>
      </c>
      <c r="I1133" s="11" t="str">
        <f>IF(DATA!B1132&lt;&gt;"",DATA!B1132,"")</f>
        <v>MEDU4455865</v>
      </c>
      <c r="J1133" s="12">
        <v>0</v>
      </c>
      <c r="K1133" s="11" t="s">
        <v>53</v>
      </c>
      <c r="L1133" s="11" t="str">
        <f t="shared" si="72"/>
        <v>741920</v>
      </c>
      <c r="M1133" s="11" t="str">
        <f>IF(I1133&lt;&gt;"",DATA!E1132,"")</f>
        <v>THREE POINT SUSPENSION DEVICE FOR TOWING AGRICULTURAL MACHINERY</v>
      </c>
      <c r="N1133" s="12">
        <v>0</v>
      </c>
      <c r="O1133" s="11">
        <f>IF(I1133&lt;&gt;"",DATA!C1132,"")</f>
        <v>219.6</v>
      </c>
      <c r="P1133" s="2">
        <v>294094</v>
      </c>
      <c r="Q1133" s="2" t="s">
        <v>1304</v>
      </c>
      <c r="R1133" s="2" t="s">
        <v>1326</v>
      </c>
      <c r="S1133" s="2">
        <v>356</v>
      </c>
      <c r="T1133" s="2">
        <v>1</v>
      </c>
      <c r="U1133" s="2" t="s">
        <v>141</v>
      </c>
      <c r="Y1133" s="2">
        <v>1700</v>
      </c>
      <c r="Z1133" s="11" t="s">
        <v>54</v>
      </c>
      <c r="AA1133" s="11" t="str">
        <f t="shared" si="73"/>
        <v>1700 - TBN</v>
      </c>
      <c r="AC1133" s="2" t="s">
        <v>145</v>
      </c>
      <c r="AD1133" s="11" t="str">
        <f>IF($I1133&lt;&gt;"",VLOOKUP($AC1133,GEADRESSEERDE!$A$2:$E$4,2,),"")</f>
        <v>LUITHAGEN HAVEN 2 D</v>
      </c>
      <c r="AE1133" s="11">
        <f>IF($I1133&lt;&gt;"",VLOOKUP($AC1133,GEADRESSEERDE!$A$2:$E$4,3,),"")</f>
        <v>2030</v>
      </c>
      <c r="AF1133" s="11" t="str">
        <f>IF($I1133&lt;&gt;"",VLOOKUP($AC1133,GEADRESSEERDE!$A$2:$E$4,4,),"")</f>
        <v>ANTWERPEN</v>
      </c>
      <c r="AG1133" s="11" t="str">
        <f>IF($I1133&lt;&gt;"",VLOOKUP($AC1133,GEADRESSEERDE!$A$2:$E$4,5,),"")</f>
        <v>BE</v>
      </c>
      <c r="AH1133" s="11" t="str">
        <f>IF(I1133&lt;&gt;"",VLOOKUP(AP1133,KvB!$A$2:$B$3,2,FALSE),"")</f>
        <v>BE101000</v>
      </c>
      <c r="AI1133" s="11" t="s">
        <v>55</v>
      </c>
      <c r="AJ1133" s="11"/>
      <c r="AK1133" s="11"/>
      <c r="AL1133" s="11"/>
      <c r="AM1133" s="11"/>
      <c r="AN1133" s="11"/>
      <c r="AO1133" s="11"/>
      <c r="AP1133" s="2" t="s">
        <v>70</v>
      </c>
      <c r="AQ1133" s="11" t="str">
        <f>IF(I1133&lt;&gt;"",DATA!D1132,"")</f>
        <v>7419200090</v>
      </c>
    </row>
    <row r="1134" spans="1:43" ht="15.75" x14ac:dyDescent="0.25">
      <c r="A1134" s="11" t="s">
        <v>57</v>
      </c>
      <c r="B1134" s="11" t="s">
        <v>56</v>
      </c>
      <c r="C1134" s="22">
        <f t="shared" si="74"/>
        <v>25001620</v>
      </c>
      <c r="D1134" s="11" t="str">
        <f t="shared" si="71"/>
        <v>SKIIFM_AT</v>
      </c>
      <c r="E1134" s="11" t="str">
        <f>IF(I1134&lt;&gt;"",VLOOKUP(F1134,OPDRACHTGEVER!$A$2:$B$4,2,FALSE),"")</f>
        <v>SKIIFM_AT</v>
      </c>
      <c r="F1134" s="11" t="s">
        <v>58</v>
      </c>
      <c r="I1134" s="11" t="str">
        <f>IF(DATA!B1133&lt;&gt;"",DATA!B1133,"")</f>
        <v>MEDU4455865</v>
      </c>
      <c r="J1134" s="12">
        <v>0</v>
      </c>
      <c r="K1134" s="11" t="s">
        <v>53</v>
      </c>
      <c r="L1134" s="11" t="str">
        <f t="shared" si="72"/>
        <v>820411</v>
      </c>
      <c r="M1134" s="11" t="str">
        <f>IF(I1134&lt;&gt;"",DATA!E1133,"")</f>
        <v>TORQUE WRENCH</v>
      </c>
      <c r="N1134" s="12">
        <v>0</v>
      </c>
      <c r="O1134" s="11">
        <f>IF(I1134&lt;&gt;"",DATA!C1133,"")</f>
        <v>12.25</v>
      </c>
      <c r="P1134" s="2">
        <v>294094</v>
      </c>
      <c r="Q1134" s="2" t="s">
        <v>1304</v>
      </c>
      <c r="R1134" s="2" t="s">
        <v>1326</v>
      </c>
      <c r="S1134" s="2">
        <v>356</v>
      </c>
      <c r="T1134" s="2">
        <v>1</v>
      </c>
      <c r="U1134" s="2" t="s">
        <v>141</v>
      </c>
      <c r="Y1134" s="2">
        <v>1700</v>
      </c>
      <c r="Z1134" s="11" t="s">
        <v>54</v>
      </c>
      <c r="AA1134" s="11" t="str">
        <f t="shared" si="73"/>
        <v>1700 - TBN</v>
      </c>
      <c r="AC1134" s="2" t="s">
        <v>145</v>
      </c>
      <c r="AD1134" s="11" t="str">
        <f>IF($I1134&lt;&gt;"",VLOOKUP($AC1134,GEADRESSEERDE!$A$2:$E$4,2,),"")</f>
        <v>LUITHAGEN HAVEN 2 D</v>
      </c>
      <c r="AE1134" s="11">
        <f>IF($I1134&lt;&gt;"",VLOOKUP($AC1134,GEADRESSEERDE!$A$2:$E$4,3,),"")</f>
        <v>2030</v>
      </c>
      <c r="AF1134" s="11" t="str">
        <f>IF($I1134&lt;&gt;"",VLOOKUP($AC1134,GEADRESSEERDE!$A$2:$E$4,4,),"")</f>
        <v>ANTWERPEN</v>
      </c>
      <c r="AG1134" s="11" t="str">
        <f>IF($I1134&lt;&gt;"",VLOOKUP($AC1134,GEADRESSEERDE!$A$2:$E$4,5,),"")</f>
        <v>BE</v>
      </c>
      <c r="AH1134" s="11" t="str">
        <f>IF(I1134&lt;&gt;"",VLOOKUP(AP1134,KvB!$A$2:$B$3,2,FALSE),"")</f>
        <v>BE101000</v>
      </c>
      <c r="AI1134" s="11" t="s">
        <v>55</v>
      </c>
      <c r="AJ1134" s="11"/>
      <c r="AK1134" s="11"/>
      <c r="AL1134" s="11"/>
      <c r="AM1134" s="11"/>
      <c r="AN1134" s="11"/>
      <c r="AO1134" s="11"/>
      <c r="AP1134" s="2" t="s">
        <v>70</v>
      </c>
      <c r="AQ1134" s="11" t="str">
        <f>IF(I1134&lt;&gt;"",DATA!D1133,"")</f>
        <v>8204110000</v>
      </c>
    </row>
    <row r="1135" spans="1:43" ht="15.75" x14ac:dyDescent="0.25">
      <c r="A1135" s="11" t="s">
        <v>57</v>
      </c>
      <c r="B1135" s="11" t="s">
        <v>56</v>
      </c>
      <c r="C1135" s="22">
        <f t="shared" si="74"/>
        <v>25001620</v>
      </c>
      <c r="D1135" s="11" t="str">
        <f t="shared" si="71"/>
        <v>SKIIFM_AT</v>
      </c>
      <c r="E1135" s="11" t="str">
        <f>IF(I1135&lt;&gt;"",VLOOKUP(F1135,OPDRACHTGEVER!$A$2:$B$4,2,FALSE),"")</f>
        <v>SKIIFM_AT</v>
      </c>
      <c r="F1135" s="11" t="s">
        <v>58</v>
      </c>
      <c r="I1135" s="11" t="str">
        <f>IF(DATA!B1134&lt;&gt;"",DATA!B1134,"")</f>
        <v>MEDU4455865</v>
      </c>
      <c r="J1135" s="12">
        <v>0</v>
      </c>
      <c r="K1135" s="11" t="s">
        <v>53</v>
      </c>
      <c r="L1135" s="11" t="str">
        <f t="shared" si="72"/>
        <v>846592</v>
      </c>
      <c r="M1135" s="11" t="str">
        <f>IF(I1135&lt;&gt;"",DATA!E1134,"")</f>
        <v>TRIMMING MACHINE</v>
      </c>
      <c r="N1135" s="12">
        <v>0</v>
      </c>
      <c r="O1135" s="11">
        <f>IF(I1135&lt;&gt;"",DATA!C1134,"")</f>
        <v>14.75</v>
      </c>
      <c r="P1135" s="2">
        <v>294094</v>
      </c>
      <c r="Q1135" s="2" t="s">
        <v>1304</v>
      </c>
      <c r="R1135" s="2" t="s">
        <v>1326</v>
      </c>
      <c r="S1135" s="2">
        <v>356</v>
      </c>
      <c r="T1135" s="2">
        <v>1</v>
      </c>
      <c r="U1135" s="2" t="s">
        <v>141</v>
      </c>
      <c r="Y1135" s="2">
        <v>1700</v>
      </c>
      <c r="Z1135" s="11" t="s">
        <v>54</v>
      </c>
      <c r="AA1135" s="11" t="str">
        <f t="shared" si="73"/>
        <v>1700 - TBN</v>
      </c>
      <c r="AC1135" s="2" t="s">
        <v>145</v>
      </c>
      <c r="AD1135" s="11" t="str">
        <f>IF($I1135&lt;&gt;"",VLOOKUP($AC1135,GEADRESSEERDE!$A$2:$E$4,2,),"")</f>
        <v>LUITHAGEN HAVEN 2 D</v>
      </c>
      <c r="AE1135" s="11">
        <f>IF($I1135&lt;&gt;"",VLOOKUP($AC1135,GEADRESSEERDE!$A$2:$E$4,3,),"")</f>
        <v>2030</v>
      </c>
      <c r="AF1135" s="11" t="str">
        <f>IF($I1135&lt;&gt;"",VLOOKUP($AC1135,GEADRESSEERDE!$A$2:$E$4,4,),"")</f>
        <v>ANTWERPEN</v>
      </c>
      <c r="AG1135" s="11" t="str">
        <f>IF($I1135&lt;&gt;"",VLOOKUP($AC1135,GEADRESSEERDE!$A$2:$E$4,5,),"")</f>
        <v>BE</v>
      </c>
      <c r="AH1135" s="11" t="str">
        <f>IF(I1135&lt;&gt;"",VLOOKUP(AP1135,KvB!$A$2:$B$3,2,FALSE),"")</f>
        <v>BE101000</v>
      </c>
      <c r="AI1135" s="11" t="s">
        <v>55</v>
      </c>
      <c r="AJ1135" s="11"/>
      <c r="AK1135" s="11"/>
      <c r="AL1135" s="11"/>
      <c r="AM1135" s="11"/>
      <c r="AN1135" s="11"/>
      <c r="AO1135" s="11"/>
      <c r="AP1135" s="2" t="s">
        <v>70</v>
      </c>
      <c r="AQ1135" s="11" t="str">
        <f>IF(I1135&lt;&gt;"",DATA!D1134,"")</f>
        <v>8465920000</v>
      </c>
    </row>
    <row r="1136" spans="1:43" ht="15.75" x14ac:dyDescent="0.25">
      <c r="A1136" s="11" t="s">
        <v>57</v>
      </c>
      <c r="B1136" s="11" t="s">
        <v>56</v>
      </c>
      <c r="C1136" s="22">
        <f t="shared" si="74"/>
        <v>25001620</v>
      </c>
      <c r="D1136" s="11" t="str">
        <f t="shared" si="71"/>
        <v>SKIIFM_AT</v>
      </c>
      <c r="E1136" s="11" t="str">
        <f>IF(I1136&lt;&gt;"",VLOOKUP(F1136,OPDRACHTGEVER!$A$2:$B$4,2,FALSE),"")</f>
        <v>SKIIFM_AT</v>
      </c>
      <c r="F1136" s="11" t="s">
        <v>58</v>
      </c>
      <c r="I1136" s="11" t="str">
        <f>IF(DATA!B1135&lt;&gt;"",DATA!B1135,"")</f>
        <v>MEDU4455865</v>
      </c>
      <c r="J1136" s="12">
        <v>0</v>
      </c>
      <c r="K1136" s="11" t="s">
        <v>53</v>
      </c>
      <c r="L1136" s="11" t="str">
        <f t="shared" si="72"/>
        <v>847989</v>
      </c>
      <c r="M1136" s="11" t="str">
        <f>IF(I1136&lt;&gt;"",DATA!E1135,"")</f>
        <v>ULTRASONIC JEWELRY CLEANER</v>
      </c>
      <c r="N1136" s="12">
        <v>0</v>
      </c>
      <c r="O1136" s="11">
        <f>IF(I1136&lt;&gt;"",DATA!C1135,"")</f>
        <v>733.4</v>
      </c>
      <c r="P1136" s="2">
        <v>294094</v>
      </c>
      <c r="Q1136" s="2" t="s">
        <v>1304</v>
      </c>
      <c r="R1136" s="2" t="s">
        <v>1326</v>
      </c>
      <c r="S1136" s="2">
        <v>356</v>
      </c>
      <c r="T1136" s="2">
        <v>1</v>
      </c>
      <c r="U1136" s="2" t="s">
        <v>141</v>
      </c>
      <c r="Y1136" s="2">
        <v>1700</v>
      </c>
      <c r="Z1136" s="11" t="s">
        <v>54</v>
      </c>
      <c r="AA1136" s="11" t="str">
        <f t="shared" si="73"/>
        <v>1700 - TBN</v>
      </c>
      <c r="AC1136" s="2" t="s">
        <v>145</v>
      </c>
      <c r="AD1136" s="11" t="str">
        <f>IF($I1136&lt;&gt;"",VLOOKUP($AC1136,GEADRESSEERDE!$A$2:$E$4,2,),"")</f>
        <v>LUITHAGEN HAVEN 2 D</v>
      </c>
      <c r="AE1136" s="11">
        <f>IF($I1136&lt;&gt;"",VLOOKUP($AC1136,GEADRESSEERDE!$A$2:$E$4,3,),"")</f>
        <v>2030</v>
      </c>
      <c r="AF1136" s="11" t="str">
        <f>IF($I1136&lt;&gt;"",VLOOKUP($AC1136,GEADRESSEERDE!$A$2:$E$4,4,),"")</f>
        <v>ANTWERPEN</v>
      </c>
      <c r="AG1136" s="11" t="str">
        <f>IF($I1136&lt;&gt;"",VLOOKUP($AC1136,GEADRESSEERDE!$A$2:$E$4,5,),"")</f>
        <v>BE</v>
      </c>
      <c r="AH1136" s="11" t="str">
        <f>IF(I1136&lt;&gt;"",VLOOKUP(AP1136,KvB!$A$2:$B$3,2,FALSE),"")</f>
        <v>BE101000</v>
      </c>
      <c r="AI1136" s="11" t="s">
        <v>55</v>
      </c>
      <c r="AJ1136" s="11"/>
      <c r="AK1136" s="11"/>
      <c r="AL1136" s="11"/>
      <c r="AM1136" s="11"/>
      <c r="AN1136" s="11"/>
      <c r="AO1136" s="11"/>
      <c r="AP1136" s="2" t="s">
        <v>70</v>
      </c>
      <c r="AQ1136" s="11" t="str">
        <f>IF(I1136&lt;&gt;"",DATA!D1135,"")</f>
        <v>8479899790</v>
      </c>
    </row>
    <row r="1137" spans="1:43" ht="15.75" x14ac:dyDescent="0.25">
      <c r="A1137" s="11" t="s">
        <v>57</v>
      </c>
      <c r="B1137" s="11" t="s">
        <v>56</v>
      </c>
      <c r="C1137" s="22">
        <f t="shared" si="74"/>
        <v>25001620</v>
      </c>
      <c r="D1137" s="11" t="str">
        <f t="shared" si="71"/>
        <v>SKIIFM_AT</v>
      </c>
      <c r="E1137" s="11" t="str">
        <f>IF(I1137&lt;&gt;"",VLOOKUP(F1137,OPDRACHTGEVER!$A$2:$B$4,2,FALSE),"")</f>
        <v>SKIIFM_AT</v>
      </c>
      <c r="F1137" s="11" t="s">
        <v>58</v>
      </c>
      <c r="I1137" s="11" t="str">
        <f>IF(DATA!B1136&lt;&gt;"",DATA!B1136,"")</f>
        <v>MEDU4455865</v>
      </c>
      <c r="J1137" s="12">
        <v>0</v>
      </c>
      <c r="K1137" s="11" t="s">
        <v>53</v>
      </c>
      <c r="L1137" s="11" t="str">
        <f t="shared" si="72"/>
        <v>841350</v>
      </c>
      <c r="M1137" s="11" t="str">
        <f>IF(I1137&lt;&gt;"",DATA!E1136,"")</f>
        <v>WATER PUMP</v>
      </c>
      <c r="N1137" s="12">
        <v>0</v>
      </c>
      <c r="O1137" s="11">
        <f>IF(I1137&lt;&gt;"",DATA!C1136,"")</f>
        <v>6.45</v>
      </c>
      <c r="P1137" s="2">
        <v>294094</v>
      </c>
      <c r="Q1137" s="2" t="s">
        <v>1304</v>
      </c>
      <c r="R1137" s="2" t="s">
        <v>1326</v>
      </c>
      <c r="S1137" s="2">
        <v>356</v>
      </c>
      <c r="T1137" s="2">
        <v>1</v>
      </c>
      <c r="U1137" s="2" t="s">
        <v>141</v>
      </c>
      <c r="Y1137" s="2">
        <v>1700</v>
      </c>
      <c r="Z1137" s="11" t="s">
        <v>54</v>
      </c>
      <c r="AA1137" s="11" t="str">
        <f t="shared" si="73"/>
        <v>1700 - TBN</v>
      </c>
      <c r="AC1137" s="2" t="s">
        <v>145</v>
      </c>
      <c r="AD1137" s="11" t="str">
        <f>IF($I1137&lt;&gt;"",VLOOKUP($AC1137,GEADRESSEERDE!$A$2:$E$4,2,),"")</f>
        <v>LUITHAGEN HAVEN 2 D</v>
      </c>
      <c r="AE1137" s="11">
        <f>IF($I1137&lt;&gt;"",VLOOKUP($AC1137,GEADRESSEERDE!$A$2:$E$4,3,),"")</f>
        <v>2030</v>
      </c>
      <c r="AF1137" s="11" t="str">
        <f>IF($I1137&lt;&gt;"",VLOOKUP($AC1137,GEADRESSEERDE!$A$2:$E$4,4,),"")</f>
        <v>ANTWERPEN</v>
      </c>
      <c r="AG1137" s="11" t="str">
        <f>IF($I1137&lt;&gt;"",VLOOKUP($AC1137,GEADRESSEERDE!$A$2:$E$4,5,),"")</f>
        <v>BE</v>
      </c>
      <c r="AH1137" s="11" t="str">
        <f>IF(I1137&lt;&gt;"",VLOOKUP(AP1137,KvB!$A$2:$B$3,2,FALSE),"")</f>
        <v>BE101000</v>
      </c>
      <c r="AI1137" s="11" t="s">
        <v>55</v>
      </c>
      <c r="AJ1137" s="11"/>
      <c r="AK1137" s="11"/>
      <c r="AL1137" s="11"/>
      <c r="AM1137" s="11"/>
      <c r="AN1137" s="11"/>
      <c r="AO1137" s="11"/>
      <c r="AP1137" s="2" t="s">
        <v>70</v>
      </c>
      <c r="AQ1137" s="11" t="str">
        <f>IF(I1137&lt;&gt;"",DATA!D1136,"")</f>
        <v>8413502090</v>
      </c>
    </row>
    <row r="1138" spans="1:43" ht="15.75" x14ac:dyDescent="0.25">
      <c r="A1138" s="11" t="s">
        <v>57</v>
      </c>
      <c r="B1138" s="11" t="s">
        <v>56</v>
      </c>
      <c r="C1138" s="22">
        <f t="shared" si="74"/>
        <v>25001620</v>
      </c>
      <c r="D1138" s="11" t="str">
        <f t="shared" si="71"/>
        <v>SKIIFM_AT</v>
      </c>
      <c r="E1138" s="11" t="str">
        <f>IF(I1138&lt;&gt;"",VLOOKUP(F1138,OPDRACHTGEVER!$A$2:$B$4,2,FALSE),"")</f>
        <v>SKIIFM_AT</v>
      </c>
      <c r="F1138" s="11" t="s">
        <v>58</v>
      </c>
      <c r="I1138" s="11" t="str">
        <f>IF(DATA!B1137&lt;&gt;"",DATA!B1137,"")</f>
        <v>MEDU4455865</v>
      </c>
      <c r="J1138" s="12">
        <v>0</v>
      </c>
      <c r="K1138" s="11" t="s">
        <v>53</v>
      </c>
      <c r="L1138" s="11" t="str">
        <f t="shared" si="72"/>
        <v>846810</v>
      </c>
      <c r="M1138" s="11" t="str">
        <f>IF(I1138&lt;&gt;"",DATA!E1137,"")</f>
        <v>WELDING TORCH</v>
      </c>
      <c r="N1138" s="12">
        <v>0</v>
      </c>
      <c r="O1138" s="11">
        <f>IF(I1138&lt;&gt;"",DATA!C1137,"")</f>
        <v>6.6</v>
      </c>
      <c r="P1138" s="2">
        <v>294094</v>
      </c>
      <c r="Q1138" s="2" t="s">
        <v>1304</v>
      </c>
      <c r="R1138" s="2" t="s">
        <v>1326</v>
      </c>
      <c r="S1138" s="2">
        <v>356</v>
      </c>
      <c r="T1138" s="2">
        <v>1</v>
      </c>
      <c r="U1138" s="2" t="s">
        <v>141</v>
      </c>
      <c r="Y1138" s="2">
        <v>1700</v>
      </c>
      <c r="Z1138" s="11" t="s">
        <v>54</v>
      </c>
      <c r="AA1138" s="11" t="str">
        <f t="shared" si="73"/>
        <v>1700 - TBN</v>
      </c>
      <c r="AC1138" s="2" t="s">
        <v>145</v>
      </c>
      <c r="AD1138" s="11" t="str">
        <f>IF($I1138&lt;&gt;"",VLOOKUP($AC1138,GEADRESSEERDE!$A$2:$E$4,2,),"")</f>
        <v>LUITHAGEN HAVEN 2 D</v>
      </c>
      <c r="AE1138" s="11">
        <f>IF($I1138&lt;&gt;"",VLOOKUP($AC1138,GEADRESSEERDE!$A$2:$E$4,3,),"")</f>
        <v>2030</v>
      </c>
      <c r="AF1138" s="11" t="str">
        <f>IF($I1138&lt;&gt;"",VLOOKUP($AC1138,GEADRESSEERDE!$A$2:$E$4,4,),"")</f>
        <v>ANTWERPEN</v>
      </c>
      <c r="AG1138" s="11" t="str">
        <f>IF($I1138&lt;&gt;"",VLOOKUP($AC1138,GEADRESSEERDE!$A$2:$E$4,5,),"")</f>
        <v>BE</v>
      </c>
      <c r="AH1138" s="11" t="str">
        <f>IF(I1138&lt;&gt;"",VLOOKUP(AP1138,KvB!$A$2:$B$3,2,FALSE),"")</f>
        <v>BE101000</v>
      </c>
      <c r="AI1138" s="11" t="s">
        <v>55</v>
      </c>
      <c r="AJ1138" s="11"/>
      <c r="AK1138" s="11"/>
      <c r="AL1138" s="11"/>
      <c r="AM1138" s="11"/>
      <c r="AN1138" s="11"/>
      <c r="AO1138" s="11"/>
      <c r="AP1138" s="2" t="s">
        <v>70</v>
      </c>
      <c r="AQ1138" s="11" t="str">
        <f>IF(I1138&lt;&gt;"",DATA!D1137,"")</f>
        <v>8468100000</v>
      </c>
    </row>
    <row r="1139" spans="1:43" ht="15.75" x14ac:dyDescent="0.25">
      <c r="A1139" s="11" t="s">
        <v>57</v>
      </c>
      <c r="B1139" s="11" t="s">
        <v>56</v>
      </c>
      <c r="C1139" s="22">
        <f t="shared" si="74"/>
        <v>25001620</v>
      </c>
      <c r="D1139" s="11" t="str">
        <f t="shared" si="71"/>
        <v>SKIIFM_AT</v>
      </c>
      <c r="E1139" s="11" t="str">
        <f>IF(I1139&lt;&gt;"",VLOOKUP(F1139,OPDRACHTGEVER!$A$2:$B$4,2,FALSE),"")</f>
        <v>SKIIFM_AT</v>
      </c>
      <c r="F1139" s="11" t="s">
        <v>58</v>
      </c>
      <c r="I1139" s="11" t="str">
        <f>IF(DATA!B1138&lt;&gt;"",DATA!B1138,"")</f>
        <v>MEDU4455865</v>
      </c>
      <c r="J1139" s="12">
        <v>0</v>
      </c>
      <c r="K1139" s="11" t="s">
        <v>53</v>
      </c>
      <c r="L1139" s="11" t="str">
        <f t="shared" si="72"/>
        <v>560749</v>
      </c>
      <c r="M1139" s="11" t="str">
        <f>IF(I1139&lt;&gt;"",DATA!E1138,"")</f>
        <v>WINCH ROPE</v>
      </c>
      <c r="N1139" s="12">
        <v>0</v>
      </c>
      <c r="O1139" s="11">
        <f>IF(I1139&lt;&gt;"",DATA!C1138,"")</f>
        <v>7.4</v>
      </c>
      <c r="P1139" s="2">
        <v>294094</v>
      </c>
      <c r="Q1139" s="2" t="s">
        <v>1304</v>
      </c>
      <c r="R1139" s="2" t="s">
        <v>1326</v>
      </c>
      <c r="S1139" s="2">
        <v>356</v>
      </c>
      <c r="T1139" s="2">
        <v>1</v>
      </c>
      <c r="U1139" s="2" t="s">
        <v>141</v>
      </c>
      <c r="Y1139" s="2">
        <v>1700</v>
      </c>
      <c r="Z1139" s="11" t="s">
        <v>54</v>
      </c>
      <c r="AA1139" s="11" t="str">
        <f t="shared" si="73"/>
        <v>1700 - TBN</v>
      </c>
      <c r="AC1139" s="2" t="s">
        <v>145</v>
      </c>
      <c r="AD1139" s="11" t="str">
        <f>IF($I1139&lt;&gt;"",VLOOKUP($AC1139,GEADRESSEERDE!$A$2:$E$4,2,),"")</f>
        <v>LUITHAGEN HAVEN 2 D</v>
      </c>
      <c r="AE1139" s="11">
        <f>IF($I1139&lt;&gt;"",VLOOKUP($AC1139,GEADRESSEERDE!$A$2:$E$4,3,),"")</f>
        <v>2030</v>
      </c>
      <c r="AF1139" s="11" t="str">
        <f>IF($I1139&lt;&gt;"",VLOOKUP($AC1139,GEADRESSEERDE!$A$2:$E$4,4,),"")</f>
        <v>ANTWERPEN</v>
      </c>
      <c r="AG1139" s="11" t="str">
        <f>IF($I1139&lt;&gt;"",VLOOKUP($AC1139,GEADRESSEERDE!$A$2:$E$4,5,),"")</f>
        <v>BE</v>
      </c>
      <c r="AH1139" s="11" t="str">
        <f>IF(I1139&lt;&gt;"",VLOOKUP(AP1139,KvB!$A$2:$B$3,2,FALSE),"")</f>
        <v>BE101000</v>
      </c>
      <c r="AI1139" s="11" t="s">
        <v>55</v>
      </c>
      <c r="AJ1139" s="11"/>
      <c r="AK1139" s="11"/>
      <c r="AL1139" s="11"/>
      <c r="AM1139" s="11"/>
      <c r="AN1139" s="11"/>
      <c r="AO1139" s="11"/>
      <c r="AP1139" s="2" t="s">
        <v>70</v>
      </c>
      <c r="AQ1139" s="11" t="str">
        <f>IF(I1139&lt;&gt;"",DATA!D1138,"")</f>
        <v>5607491900</v>
      </c>
    </row>
    <row r="1140" spans="1:43" ht="15.75" x14ac:dyDescent="0.25">
      <c r="A1140" s="11" t="s">
        <v>57</v>
      </c>
      <c r="B1140" s="11" t="s">
        <v>56</v>
      </c>
      <c r="C1140" s="22">
        <f t="shared" si="74"/>
        <v>25001620</v>
      </c>
      <c r="D1140" s="11" t="str">
        <f t="shared" ref="D1140:D1203" si="75">E1140</f>
        <v>SKIIFM_AT</v>
      </c>
      <c r="E1140" s="11" t="str">
        <f>IF(I1140&lt;&gt;"",VLOOKUP(F1140,OPDRACHTGEVER!$A$2:$B$4,2,FALSE),"")</f>
        <v>SKIIFM_AT</v>
      </c>
      <c r="F1140" s="11" t="s">
        <v>58</v>
      </c>
      <c r="I1140" s="11" t="str">
        <f>IF(DATA!B1139&lt;&gt;"",DATA!B1139,"")</f>
        <v>MEDU4967959</v>
      </c>
      <c r="J1140" s="12">
        <v>1700</v>
      </c>
      <c r="K1140" s="11" t="s">
        <v>53</v>
      </c>
      <c r="L1140" s="11" t="str">
        <f t="shared" ref="L1140:L1203" si="76">LEFT(AQ1140,6)</f>
        <v>741920</v>
      </c>
      <c r="M1140" s="11" t="str">
        <f>IF(I1140&lt;&gt;"",DATA!E1139,"")</f>
        <v>AIR HEATER</v>
      </c>
      <c r="N1140" s="12">
        <v>22229</v>
      </c>
      <c r="O1140" s="11">
        <f>IF(I1140&lt;&gt;"",DATA!C1139,"")</f>
        <v>8.98</v>
      </c>
      <c r="P1140" s="2">
        <v>294094</v>
      </c>
      <c r="Q1140" s="2" t="s">
        <v>1304</v>
      </c>
      <c r="R1140" s="2" t="s">
        <v>1327</v>
      </c>
      <c r="S1140" s="2">
        <v>7</v>
      </c>
      <c r="T1140" s="2">
        <v>1</v>
      </c>
      <c r="U1140" s="2" t="s">
        <v>141</v>
      </c>
      <c r="Y1140" s="2">
        <v>1700</v>
      </c>
      <c r="Z1140" s="11" t="s">
        <v>54</v>
      </c>
      <c r="AA1140" s="11" t="str">
        <f t="shared" ref="AA1140:AA1203" si="77">IF(I1140&lt;&gt;"",Y1140&amp;" - "&amp;Z1140,"")</f>
        <v>1700 - TBN</v>
      </c>
      <c r="AC1140" s="2" t="s">
        <v>145</v>
      </c>
      <c r="AD1140" s="11" t="str">
        <f>IF($I1140&lt;&gt;"",VLOOKUP($AC1140,GEADRESSEERDE!$A$2:$E$4,2,),"")</f>
        <v>LUITHAGEN HAVEN 2 D</v>
      </c>
      <c r="AE1140" s="11">
        <f>IF($I1140&lt;&gt;"",VLOOKUP($AC1140,GEADRESSEERDE!$A$2:$E$4,3,),"")</f>
        <v>2030</v>
      </c>
      <c r="AF1140" s="11" t="str">
        <f>IF($I1140&lt;&gt;"",VLOOKUP($AC1140,GEADRESSEERDE!$A$2:$E$4,4,),"")</f>
        <v>ANTWERPEN</v>
      </c>
      <c r="AG1140" s="11" t="str">
        <f>IF($I1140&lt;&gt;"",VLOOKUP($AC1140,GEADRESSEERDE!$A$2:$E$4,5,),"")</f>
        <v>BE</v>
      </c>
      <c r="AH1140" s="11" t="str">
        <f>IF(I1140&lt;&gt;"",VLOOKUP(AP1140,KvB!$A$2:$B$3,2,FALSE),"")</f>
        <v>BE101000</v>
      </c>
      <c r="AI1140" s="11" t="s">
        <v>55</v>
      </c>
      <c r="AJ1140" s="11"/>
      <c r="AK1140" s="11"/>
      <c r="AL1140" s="11"/>
      <c r="AM1140" s="11"/>
      <c r="AN1140" s="11"/>
      <c r="AO1140" s="11"/>
      <c r="AP1140" s="2" t="s">
        <v>70</v>
      </c>
      <c r="AQ1140" s="11" t="str">
        <f>IF(I1140&lt;&gt;"",DATA!D1139,"")</f>
        <v>7419200090</v>
      </c>
    </row>
    <row r="1141" spans="1:43" ht="15.75" x14ac:dyDescent="0.25">
      <c r="A1141" s="11" t="s">
        <v>57</v>
      </c>
      <c r="B1141" s="11" t="s">
        <v>56</v>
      </c>
      <c r="C1141" s="22">
        <f t="shared" si="74"/>
        <v>25001620</v>
      </c>
      <c r="D1141" s="11" t="str">
        <f t="shared" si="75"/>
        <v>SKIIFM_AT</v>
      </c>
      <c r="E1141" s="11" t="str">
        <f>IF(I1141&lt;&gt;"",VLOOKUP(F1141,OPDRACHTGEVER!$A$2:$B$4,2,FALSE),"")</f>
        <v>SKIIFM_AT</v>
      </c>
      <c r="F1141" s="11" t="s">
        <v>58</v>
      </c>
      <c r="I1141" s="11" t="str">
        <f>IF(DATA!B1140&lt;&gt;"",DATA!B1140,"")</f>
        <v>MEDU4967959</v>
      </c>
      <c r="J1141" s="12">
        <v>0</v>
      </c>
      <c r="K1141" s="11" t="s">
        <v>53</v>
      </c>
      <c r="L1141" s="11" t="str">
        <f t="shared" si="76"/>
        <v>820559</v>
      </c>
      <c r="M1141" s="11" t="str">
        <f>IF(I1141&lt;&gt;"",DATA!E1140,"")</f>
        <v>DOUBLE LEG LIFTING CHAIN</v>
      </c>
      <c r="N1141" s="12">
        <v>0</v>
      </c>
      <c r="O1141" s="11">
        <f>IF(I1141&lt;&gt;"",DATA!C1140,"")</f>
        <v>861.09</v>
      </c>
      <c r="P1141" s="2">
        <v>294094</v>
      </c>
      <c r="Q1141" s="2" t="s">
        <v>1304</v>
      </c>
      <c r="R1141" s="2" t="s">
        <v>1327</v>
      </c>
      <c r="S1141" s="2">
        <v>7</v>
      </c>
      <c r="T1141" s="2">
        <v>1</v>
      </c>
      <c r="U1141" s="2" t="s">
        <v>141</v>
      </c>
      <c r="Y1141" s="2">
        <v>1700</v>
      </c>
      <c r="Z1141" s="11" t="s">
        <v>54</v>
      </c>
      <c r="AA1141" s="11" t="str">
        <f t="shared" si="77"/>
        <v>1700 - TBN</v>
      </c>
      <c r="AC1141" s="2" t="s">
        <v>145</v>
      </c>
      <c r="AD1141" s="11" t="str">
        <f>IF($I1141&lt;&gt;"",VLOOKUP($AC1141,GEADRESSEERDE!$A$2:$E$4,2,),"")</f>
        <v>LUITHAGEN HAVEN 2 D</v>
      </c>
      <c r="AE1141" s="11">
        <f>IF($I1141&lt;&gt;"",VLOOKUP($AC1141,GEADRESSEERDE!$A$2:$E$4,3,),"")</f>
        <v>2030</v>
      </c>
      <c r="AF1141" s="11" t="str">
        <f>IF($I1141&lt;&gt;"",VLOOKUP($AC1141,GEADRESSEERDE!$A$2:$E$4,4,),"")</f>
        <v>ANTWERPEN</v>
      </c>
      <c r="AG1141" s="11" t="str">
        <f>IF($I1141&lt;&gt;"",VLOOKUP($AC1141,GEADRESSEERDE!$A$2:$E$4,5,),"")</f>
        <v>BE</v>
      </c>
      <c r="AH1141" s="11" t="str">
        <f>IF(I1141&lt;&gt;"",VLOOKUP(AP1141,KvB!$A$2:$B$3,2,FALSE),"")</f>
        <v>BE101000</v>
      </c>
      <c r="AI1141" s="11" t="s">
        <v>55</v>
      </c>
      <c r="AJ1141" s="11"/>
      <c r="AK1141" s="11"/>
      <c r="AL1141" s="11"/>
      <c r="AM1141" s="11"/>
      <c r="AN1141" s="11"/>
      <c r="AO1141" s="11"/>
      <c r="AP1141" s="2" t="s">
        <v>70</v>
      </c>
      <c r="AQ1141" s="11" t="str">
        <f>IF(I1141&lt;&gt;"",DATA!D1140,"")</f>
        <v>8205598000</v>
      </c>
    </row>
    <row r="1142" spans="1:43" ht="15.75" x14ac:dyDescent="0.25">
      <c r="A1142" s="11" t="s">
        <v>57</v>
      </c>
      <c r="B1142" s="11" t="s">
        <v>56</v>
      </c>
      <c r="C1142" s="22">
        <f t="shared" si="74"/>
        <v>25001620</v>
      </c>
      <c r="D1142" s="11" t="str">
        <f t="shared" si="75"/>
        <v>SKIIFM_AT</v>
      </c>
      <c r="E1142" s="11" t="str">
        <f>IF(I1142&lt;&gt;"",VLOOKUP(F1142,OPDRACHTGEVER!$A$2:$B$4,2,FALSE),"")</f>
        <v>SKIIFM_AT</v>
      </c>
      <c r="F1142" s="11" t="s">
        <v>58</v>
      </c>
      <c r="I1142" s="11" t="str">
        <f>IF(DATA!B1141&lt;&gt;"",DATA!B1141,"")</f>
        <v>MEDU4967959</v>
      </c>
      <c r="J1142" s="12">
        <v>0</v>
      </c>
      <c r="K1142" s="11" t="s">
        <v>53</v>
      </c>
      <c r="L1142" s="11" t="str">
        <f t="shared" si="76"/>
        <v>392690</v>
      </c>
      <c r="M1142" s="11" t="str">
        <f>IF(I1142&lt;&gt;"",DATA!E1141,"")</f>
        <v>ARTIFICIAL PLANT FENCE</v>
      </c>
      <c r="N1142" s="12">
        <v>0</v>
      </c>
      <c r="O1142" s="11">
        <f>IF(I1142&lt;&gt;"",DATA!C1141,"")</f>
        <v>184.9</v>
      </c>
      <c r="P1142" s="2">
        <v>294094</v>
      </c>
      <c r="Q1142" s="2" t="s">
        <v>1304</v>
      </c>
      <c r="R1142" s="2" t="s">
        <v>1327</v>
      </c>
      <c r="S1142" s="2">
        <v>7</v>
      </c>
      <c r="T1142" s="2">
        <v>1</v>
      </c>
      <c r="U1142" s="2" t="s">
        <v>141</v>
      </c>
      <c r="Y1142" s="2">
        <v>1700</v>
      </c>
      <c r="Z1142" s="11" t="s">
        <v>54</v>
      </c>
      <c r="AA1142" s="11" t="str">
        <f t="shared" si="77"/>
        <v>1700 - TBN</v>
      </c>
      <c r="AC1142" s="2" t="s">
        <v>145</v>
      </c>
      <c r="AD1142" s="11" t="str">
        <f>IF($I1142&lt;&gt;"",VLOOKUP($AC1142,GEADRESSEERDE!$A$2:$E$4,2,),"")</f>
        <v>LUITHAGEN HAVEN 2 D</v>
      </c>
      <c r="AE1142" s="11">
        <f>IF($I1142&lt;&gt;"",VLOOKUP($AC1142,GEADRESSEERDE!$A$2:$E$4,3,),"")</f>
        <v>2030</v>
      </c>
      <c r="AF1142" s="11" t="str">
        <f>IF($I1142&lt;&gt;"",VLOOKUP($AC1142,GEADRESSEERDE!$A$2:$E$4,4,),"")</f>
        <v>ANTWERPEN</v>
      </c>
      <c r="AG1142" s="11" t="str">
        <f>IF($I1142&lt;&gt;"",VLOOKUP($AC1142,GEADRESSEERDE!$A$2:$E$4,5,),"")</f>
        <v>BE</v>
      </c>
      <c r="AH1142" s="11" t="str">
        <f>IF(I1142&lt;&gt;"",VLOOKUP(AP1142,KvB!$A$2:$B$3,2,FALSE),"")</f>
        <v>BE101000</v>
      </c>
      <c r="AI1142" s="11" t="s">
        <v>55</v>
      </c>
      <c r="AJ1142" s="11"/>
      <c r="AK1142" s="11"/>
      <c r="AL1142" s="11"/>
      <c r="AM1142" s="11"/>
      <c r="AN1142" s="11"/>
      <c r="AO1142" s="11"/>
      <c r="AP1142" s="2" t="s">
        <v>70</v>
      </c>
      <c r="AQ1142" s="11" t="str">
        <f>IF(I1142&lt;&gt;"",DATA!D1141,"")</f>
        <v>3926909790</v>
      </c>
    </row>
    <row r="1143" spans="1:43" ht="15.75" x14ac:dyDescent="0.25">
      <c r="A1143" s="11" t="s">
        <v>57</v>
      </c>
      <c r="B1143" s="11" t="s">
        <v>56</v>
      </c>
      <c r="C1143" s="22">
        <f t="shared" si="74"/>
        <v>25001620</v>
      </c>
      <c r="D1143" s="11" t="str">
        <f t="shared" si="75"/>
        <v>SKIIFM_AT</v>
      </c>
      <c r="E1143" s="11" t="str">
        <f>IF(I1143&lt;&gt;"",VLOOKUP(F1143,OPDRACHTGEVER!$A$2:$B$4,2,FALSE),"")</f>
        <v>SKIIFM_AT</v>
      </c>
      <c r="F1143" s="11" t="s">
        <v>58</v>
      </c>
      <c r="I1143" s="11" t="str">
        <f>IF(DATA!B1142&lt;&gt;"",DATA!B1142,"")</f>
        <v>MEDU4967959</v>
      </c>
      <c r="J1143" s="12">
        <v>0</v>
      </c>
      <c r="K1143" s="11" t="s">
        <v>53</v>
      </c>
      <c r="L1143" s="11" t="str">
        <f t="shared" si="76"/>
        <v>870899</v>
      </c>
      <c r="M1143" s="11" t="str">
        <f>IF(I1143&lt;&gt;"",DATA!E1142,"")</f>
        <v>BALL TO TRAILER ARM</v>
      </c>
      <c r="N1143" s="12">
        <v>0</v>
      </c>
      <c r="O1143" s="11">
        <f>IF(I1143&lt;&gt;"",DATA!C1142,"")</f>
        <v>12.23</v>
      </c>
      <c r="P1143" s="2">
        <v>294094</v>
      </c>
      <c r="Q1143" s="2" t="s">
        <v>1304</v>
      </c>
      <c r="R1143" s="2" t="s">
        <v>1327</v>
      </c>
      <c r="S1143" s="2">
        <v>7</v>
      </c>
      <c r="T1143" s="2">
        <v>1</v>
      </c>
      <c r="U1143" s="2" t="s">
        <v>141</v>
      </c>
      <c r="Y1143" s="2">
        <v>1700</v>
      </c>
      <c r="Z1143" s="11" t="s">
        <v>54</v>
      </c>
      <c r="AA1143" s="11" t="str">
        <f t="shared" si="77"/>
        <v>1700 - TBN</v>
      </c>
      <c r="AC1143" s="2" t="s">
        <v>145</v>
      </c>
      <c r="AD1143" s="11" t="str">
        <f>IF($I1143&lt;&gt;"",VLOOKUP($AC1143,GEADRESSEERDE!$A$2:$E$4,2,),"")</f>
        <v>LUITHAGEN HAVEN 2 D</v>
      </c>
      <c r="AE1143" s="11">
        <f>IF($I1143&lt;&gt;"",VLOOKUP($AC1143,GEADRESSEERDE!$A$2:$E$4,3,),"")</f>
        <v>2030</v>
      </c>
      <c r="AF1143" s="11" t="str">
        <f>IF($I1143&lt;&gt;"",VLOOKUP($AC1143,GEADRESSEERDE!$A$2:$E$4,4,),"")</f>
        <v>ANTWERPEN</v>
      </c>
      <c r="AG1143" s="11" t="str">
        <f>IF($I1143&lt;&gt;"",VLOOKUP($AC1143,GEADRESSEERDE!$A$2:$E$4,5,),"")</f>
        <v>BE</v>
      </c>
      <c r="AH1143" s="11" t="str">
        <f>IF(I1143&lt;&gt;"",VLOOKUP(AP1143,KvB!$A$2:$B$3,2,FALSE),"")</f>
        <v>BE101000</v>
      </c>
      <c r="AI1143" s="11" t="s">
        <v>55</v>
      </c>
      <c r="AJ1143" s="11"/>
      <c r="AK1143" s="11"/>
      <c r="AL1143" s="11"/>
      <c r="AM1143" s="11"/>
      <c r="AN1143" s="11"/>
      <c r="AO1143" s="11"/>
      <c r="AP1143" s="2" t="s">
        <v>70</v>
      </c>
      <c r="AQ1143" s="11" t="str">
        <f>IF(I1143&lt;&gt;"",DATA!D1142,"")</f>
        <v>8708999790</v>
      </c>
    </row>
    <row r="1144" spans="1:43" ht="15.75" x14ac:dyDescent="0.25">
      <c r="A1144" s="11" t="s">
        <v>57</v>
      </c>
      <c r="B1144" s="11" t="s">
        <v>56</v>
      </c>
      <c r="C1144" s="22">
        <f t="shared" si="74"/>
        <v>25001620</v>
      </c>
      <c r="D1144" s="11" t="str">
        <f t="shared" si="75"/>
        <v>SKIIFM_AT</v>
      </c>
      <c r="E1144" s="11" t="str">
        <f>IF(I1144&lt;&gt;"",VLOOKUP(F1144,OPDRACHTGEVER!$A$2:$B$4,2,FALSE),"")</f>
        <v>SKIIFM_AT</v>
      </c>
      <c r="F1144" s="11" t="s">
        <v>58</v>
      </c>
      <c r="I1144" s="11" t="str">
        <f>IF(DATA!B1143&lt;&gt;"",DATA!B1143,"")</f>
        <v>MEDU4967959</v>
      </c>
      <c r="J1144" s="12">
        <v>0</v>
      </c>
      <c r="K1144" s="11" t="s">
        <v>53</v>
      </c>
      <c r="L1144" s="11" t="str">
        <f t="shared" si="76"/>
        <v>846150</v>
      </c>
      <c r="M1144" s="11" t="str">
        <f>IF(I1144&lt;&gt;"",DATA!E1143,"")</f>
        <v>BAND SAW</v>
      </c>
      <c r="N1144" s="12">
        <v>0</v>
      </c>
      <c r="O1144" s="11">
        <f>IF(I1144&lt;&gt;"",DATA!C1143,"")</f>
        <v>234.5</v>
      </c>
      <c r="P1144" s="2">
        <v>294094</v>
      </c>
      <c r="Q1144" s="2" t="s">
        <v>1304</v>
      </c>
      <c r="R1144" s="2" t="s">
        <v>1327</v>
      </c>
      <c r="S1144" s="2">
        <v>7</v>
      </c>
      <c r="T1144" s="2">
        <v>1</v>
      </c>
      <c r="U1144" s="2" t="s">
        <v>141</v>
      </c>
      <c r="Y1144" s="2">
        <v>1700</v>
      </c>
      <c r="Z1144" s="11" t="s">
        <v>54</v>
      </c>
      <c r="AA1144" s="11" t="str">
        <f t="shared" si="77"/>
        <v>1700 - TBN</v>
      </c>
      <c r="AC1144" s="2" t="s">
        <v>145</v>
      </c>
      <c r="AD1144" s="11" t="str">
        <f>IF($I1144&lt;&gt;"",VLOOKUP($AC1144,GEADRESSEERDE!$A$2:$E$4,2,),"")</f>
        <v>LUITHAGEN HAVEN 2 D</v>
      </c>
      <c r="AE1144" s="11">
        <f>IF($I1144&lt;&gt;"",VLOOKUP($AC1144,GEADRESSEERDE!$A$2:$E$4,3,),"")</f>
        <v>2030</v>
      </c>
      <c r="AF1144" s="11" t="str">
        <f>IF($I1144&lt;&gt;"",VLOOKUP($AC1144,GEADRESSEERDE!$A$2:$E$4,4,),"")</f>
        <v>ANTWERPEN</v>
      </c>
      <c r="AG1144" s="11" t="str">
        <f>IF($I1144&lt;&gt;"",VLOOKUP($AC1144,GEADRESSEERDE!$A$2:$E$4,5,),"")</f>
        <v>BE</v>
      </c>
      <c r="AH1144" s="11" t="str">
        <f>IF(I1144&lt;&gt;"",VLOOKUP(AP1144,KvB!$A$2:$B$3,2,FALSE),"")</f>
        <v>BE101000</v>
      </c>
      <c r="AI1144" s="11" t="s">
        <v>55</v>
      </c>
      <c r="AJ1144" s="11"/>
      <c r="AK1144" s="11"/>
      <c r="AL1144" s="11"/>
      <c r="AM1144" s="11"/>
      <c r="AN1144" s="11"/>
      <c r="AO1144" s="11"/>
      <c r="AP1144" s="2" t="s">
        <v>70</v>
      </c>
      <c r="AQ1144" s="11" t="str">
        <f>IF(I1144&lt;&gt;"",DATA!D1143,"")</f>
        <v>8461509000</v>
      </c>
    </row>
    <row r="1145" spans="1:43" ht="15.75" x14ac:dyDescent="0.25">
      <c r="A1145" s="11" t="s">
        <v>57</v>
      </c>
      <c r="B1145" s="11" t="s">
        <v>56</v>
      </c>
      <c r="C1145" s="22">
        <f t="shared" si="74"/>
        <v>25001620</v>
      </c>
      <c r="D1145" s="11" t="str">
        <f t="shared" si="75"/>
        <v>SKIIFM_AT</v>
      </c>
      <c r="E1145" s="11" t="str">
        <f>IF(I1145&lt;&gt;"",VLOOKUP(F1145,OPDRACHTGEVER!$A$2:$B$4,2,FALSE),"")</f>
        <v>SKIIFM_AT</v>
      </c>
      <c r="F1145" s="11" t="s">
        <v>58</v>
      </c>
      <c r="I1145" s="11" t="str">
        <f>IF(DATA!B1144&lt;&gt;"",DATA!B1144,"")</f>
        <v>MEDU4967959</v>
      </c>
      <c r="J1145" s="12">
        <v>0</v>
      </c>
      <c r="K1145" s="11" t="s">
        <v>53</v>
      </c>
      <c r="L1145" s="11" t="str">
        <f t="shared" si="76"/>
        <v>843850</v>
      </c>
      <c r="M1145" s="11" t="str">
        <f>IF(I1145&lt;&gt;"",DATA!E1144,"")</f>
        <v>BAND SAWING MACHINE</v>
      </c>
      <c r="N1145" s="12">
        <v>0</v>
      </c>
      <c r="O1145" s="11">
        <f>IF(I1145&lt;&gt;"",DATA!C1144,"")</f>
        <v>514.48</v>
      </c>
      <c r="P1145" s="2">
        <v>294094</v>
      </c>
      <c r="Q1145" s="2" t="s">
        <v>1304</v>
      </c>
      <c r="R1145" s="2" t="s">
        <v>1327</v>
      </c>
      <c r="S1145" s="2">
        <v>7</v>
      </c>
      <c r="T1145" s="2">
        <v>1</v>
      </c>
      <c r="U1145" s="2" t="s">
        <v>141</v>
      </c>
      <c r="Y1145" s="2">
        <v>1700</v>
      </c>
      <c r="Z1145" s="11" t="s">
        <v>54</v>
      </c>
      <c r="AA1145" s="11" t="str">
        <f t="shared" si="77"/>
        <v>1700 - TBN</v>
      </c>
      <c r="AC1145" s="2" t="s">
        <v>145</v>
      </c>
      <c r="AD1145" s="11" t="str">
        <f>IF($I1145&lt;&gt;"",VLOOKUP($AC1145,GEADRESSEERDE!$A$2:$E$4,2,),"")</f>
        <v>LUITHAGEN HAVEN 2 D</v>
      </c>
      <c r="AE1145" s="11">
        <f>IF($I1145&lt;&gt;"",VLOOKUP($AC1145,GEADRESSEERDE!$A$2:$E$4,3,),"")</f>
        <v>2030</v>
      </c>
      <c r="AF1145" s="11" t="str">
        <f>IF($I1145&lt;&gt;"",VLOOKUP($AC1145,GEADRESSEERDE!$A$2:$E$4,4,),"")</f>
        <v>ANTWERPEN</v>
      </c>
      <c r="AG1145" s="11" t="str">
        <f>IF($I1145&lt;&gt;"",VLOOKUP($AC1145,GEADRESSEERDE!$A$2:$E$4,5,),"")</f>
        <v>BE</v>
      </c>
      <c r="AH1145" s="11" t="str">
        <f>IF(I1145&lt;&gt;"",VLOOKUP(AP1145,KvB!$A$2:$B$3,2,FALSE),"")</f>
        <v>BE101000</v>
      </c>
      <c r="AI1145" s="11" t="s">
        <v>55</v>
      </c>
      <c r="AJ1145" s="11"/>
      <c r="AK1145" s="11"/>
      <c r="AL1145" s="11"/>
      <c r="AM1145" s="11"/>
      <c r="AN1145" s="11"/>
      <c r="AO1145" s="11"/>
      <c r="AP1145" s="2" t="s">
        <v>70</v>
      </c>
      <c r="AQ1145" s="11" t="str">
        <f>IF(I1145&lt;&gt;"",DATA!D1144,"")</f>
        <v>8438500000</v>
      </c>
    </row>
    <row r="1146" spans="1:43" ht="15.75" x14ac:dyDescent="0.25">
      <c r="A1146" s="11" t="s">
        <v>57</v>
      </c>
      <c r="B1146" s="11" t="s">
        <v>56</v>
      </c>
      <c r="C1146" s="22">
        <f t="shared" si="74"/>
        <v>25001620</v>
      </c>
      <c r="D1146" s="11" t="str">
        <f t="shared" si="75"/>
        <v>SKIIFM_AT</v>
      </c>
      <c r="E1146" s="11" t="str">
        <f>IF(I1146&lt;&gt;"",VLOOKUP(F1146,OPDRACHTGEVER!$A$2:$B$4,2,FALSE),"")</f>
        <v>SKIIFM_AT</v>
      </c>
      <c r="F1146" s="11" t="s">
        <v>58</v>
      </c>
      <c r="I1146" s="11" t="str">
        <f>IF(DATA!B1145&lt;&gt;"",DATA!B1145,"")</f>
        <v>MEDU4967959</v>
      </c>
      <c r="J1146" s="12">
        <v>0</v>
      </c>
      <c r="K1146" s="11" t="s">
        <v>53</v>
      </c>
      <c r="L1146" s="11" t="str">
        <f t="shared" si="76"/>
        <v>741920</v>
      </c>
      <c r="M1146" s="11" t="str">
        <f>IF(I1146&lt;&gt;"",DATA!E1145,"")</f>
        <v>BARBED WIRE MESH</v>
      </c>
      <c r="N1146" s="12">
        <v>0</v>
      </c>
      <c r="O1146" s="11">
        <f>IF(I1146&lt;&gt;"",DATA!C1145,"")</f>
        <v>20.100000000000001</v>
      </c>
      <c r="P1146" s="2">
        <v>294094</v>
      </c>
      <c r="Q1146" s="2" t="s">
        <v>1304</v>
      </c>
      <c r="R1146" s="2" t="s">
        <v>1327</v>
      </c>
      <c r="S1146" s="2">
        <v>7</v>
      </c>
      <c r="T1146" s="2">
        <v>1</v>
      </c>
      <c r="U1146" s="2" t="s">
        <v>141</v>
      </c>
      <c r="Y1146" s="2">
        <v>1700</v>
      </c>
      <c r="Z1146" s="11" t="s">
        <v>54</v>
      </c>
      <c r="AA1146" s="11" t="str">
        <f t="shared" si="77"/>
        <v>1700 - TBN</v>
      </c>
      <c r="AC1146" s="2" t="s">
        <v>145</v>
      </c>
      <c r="AD1146" s="11" t="str">
        <f>IF($I1146&lt;&gt;"",VLOOKUP($AC1146,GEADRESSEERDE!$A$2:$E$4,2,),"")</f>
        <v>LUITHAGEN HAVEN 2 D</v>
      </c>
      <c r="AE1146" s="11">
        <f>IF($I1146&lt;&gt;"",VLOOKUP($AC1146,GEADRESSEERDE!$A$2:$E$4,3,),"")</f>
        <v>2030</v>
      </c>
      <c r="AF1146" s="11" t="str">
        <f>IF($I1146&lt;&gt;"",VLOOKUP($AC1146,GEADRESSEERDE!$A$2:$E$4,4,),"")</f>
        <v>ANTWERPEN</v>
      </c>
      <c r="AG1146" s="11" t="str">
        <f>IF($I1146&lt;&gt;"",VLOOKUP($AC1146,GEADRESSEERDE!$A$2:$E$4,5,),"")</f>
        <v>BE</v>
      </c>
      <c r="AH1146" s="11" t="str">
        <f>IF(I1146&lt;&gt;"",VLOOKUP(AP1146,KvB!$A$2:$B$3,2,FALSE),"")</f>
        <v>BE101000</v>
      </c>
      <c r="AI1146" s="11" t="s">
        <v>55</v>
      </c>
      <c r="AJ1146" s="11"/>
      <c r="AK1146" s="11"/>
      <c r="AL1146" s="11"/>
      <c r="AM1146" s="11"/>
      <c r="AN1146" s="11"/>
      <c r="AO1146" s="11"/>
      <c r="AP1146" s="2" t="s">
        <v>70</v>
      </c>
      <c r="AQ1146" s="11" t="str">
        <f>IF(I1146&lt;&gt;"",DATA!D1145,"")</f>
        <v>7419200090</v>
      </c>
    </row>
    <row r="1147" spans="1:43" ht="15.75" x14ac:dyDescent="0.25">
      <c r="A1147" s="11" t="s">
        <v>57</v>
      </c>
      <c r="B1147" s="11" t="s">
        <v>56</v>
      </c>
      <c r="C1147" s="22">
        <f t="shared" si="74"/>
        <v>25001620</v>
      </c>
      <c r="D1147" s="11" t="str">
        <f t="shared" si="75"/>
        <v>SKIIFM_AT</v>
      </c>
      <c r="E1147" s="11" t="str">
        <f>IF(I1147&lt;&gt;"",VLOOKUP(F1147,OPDRACHTGEVER!$A$2:$B$4,2,FALSE),"")</f>
        <v>SKIIFM_AT</v>
      </c>
      <c r="F1147" s="11" t="s">
        <v>58</v>
      </c>
      <c r="I1147" s="11" t="str">
        <f>IF(DATA!B1146&lt;&gt;"",DATA!B1146,"")</f>
        <v>MEDU4967959</v>
      </c>
      <c r="J1147" s="12">
        <v>0</v>
      </c>
      <c r="K1147" s="11" t="s">
        <v>53</v>
      </c>
      <c r="L1147" s="11" t="str">
        <f t="shared" si="76"/>
        <v>870870</v>
      </c>
      <c r="M1147" s="11" t="str">
        <f>IF(I1147&lt;&gt;"",DATA!E1146,"")</f>
        <v>CAR WHEEL COVER</v>
      </c>
      <c r="N1147" s="12">
        <v>0</v>
      </c>
      <c r="O1147" s="11">
        <f>IF(I1147&lt;&gt;"",DATA!C1146,"")</f>
        <v>3.36</v>
      </c>
      <c r="P1147" s="2">
        <v>294094</v>
      </c>
      <c r="Q1147" s="2" t="s">
        <v>1304</v>
      </c>
      <c r="R1147" s="2" t="s">
        <v>1327</v>
      </c>
      <c r="S1147" s="2">
        <v>7</v>
      </c>
      <c r="T1147" s="2">
        <v>1</v>
      </c>
      <c r="U1147" s="2" t="s">
        <v>141</v>
      </c>
      <c r="Y1147" s="2">
        <v>1700</v>
      </c>
      <c r="Z1147" s="11" t="s">
        <v>54</v>
      </c>
      <c r="AA1147" s="11" t="str">
        <f t="shared" si="77"/>
        <v>1700 - TBN</v>
      </c>
      <c r="AC1147" s="2" t="s">
        <v>145</v>
      </c>
      <c r="AD1147" s="11" t="str">
        <f>IF($I1147&lt;&gt;"",VLOOKUP($AC1147,GEADRESSEERDE!$A$2:$E$4,2,),"")</f>
        <v>LUITHAGEN HAVEN 2 D</v>
      </c>
      <c r="AE1147" s="11">
        <f>IF($I1147&lt;&gt;"",VLOOKUP($AC1147,GEADRESSEERDE!$A$2:$E$4,3,),"")</f>
        <v>2030</v>
      </c>
      <c r="AF1147" s="11" t="str">
        <f>IF($I1147&lt;&gt;"",VLOOKUP($AC1147,GEADRESSEERDE!$A$2:$E$4,4,),"")</f>
        <v>ANTWERPEN</v>
      </c>
      <c r="AG1147" s="11" t="str">
        <f>IF($I1147&lt;&gt;"",VLOOKUP($AC1147,GEADRESSEERDE!$A$2:$E$4,5,),"")</f>
        <v>BE</v>
      </c>
      <c r="AH1147" s="11" t="str">
        <f>IF(I1147&lt;&gt;"",VLOOKUP(AP1147,KvB!$A$2:$B$3,2,FALSE),"")</f>
        <v>BE101000</v>
      </c>
      <c r="AI1147" s="11" t="s">
        <v>55</v>
      </c>
      <c r="AJ1147" s="11"/>
      <c r="AK1147" s="11"/>
      <c r="AL1147" s="11"/>
      <c r="AM1147" s="11"/>
      <c r="AN1147" s="11"/>
      <c r="AO1147" s="11"/>
      <c r="AP1147" s="2" t="s">
        <v>70</v>
      </c>
      <c r="AQ1147" s="11" t="str">
        <f>IF(I1147&lt;&gt;"",DATA!D1146,"")</f>
        <v>8708709985</v>
      </c>
    </row>
    <row r="1148" spans="1:43" ht="15.75" x14ac:dyDescent="0.25">
      <c r="A1148" s="11" t="s">
        <v>57</v>
      </c>
      <c r="B1148" s="11" t="s">
        <v>56</v>
      </c>
      <c r="C1148" s="22">
        <f t="shared" si="74"/>
        <v>25001620</v>
      </c>
      <c r="D1148" s="11" t="str">
        <f t="shared" si="75"/>
        <v>SKIIFM_AT</v>
      </c>
      <c r="E1148" s="11" t="str">
        <f>IF(I1148&lt;&gt;"",VLOOKUP(F1148,OPDRACHTGEVER!$A$2:$B$4,2,FALSE),"")</f>
        <v>SKIIFM_AT</v>
      </c>
      <c r="F1148" s="11" t="s">
        <v>58</v>
      </c>
      <c r="I1148" s="11" t="str">
        <f>IF(DATA!B1147&lt;&gt;"",DATA!B1147,"")</f>
        <v>MEDU4967959</v>
      </c>
      <c r="J1148" s="12">
        <v>0</v>
      </c>
      <c r="K1148" s="11" t="s">
        <v>53</v>
      </c>
      <c r="L1148" s="11" t="str">
        <f t="shared" si="76"/>
        <v>820570</v>
      </c>
      <c r="M1148" s="11" t="str">
        <f>IF(I1148&lt;&gt;"",DATA!E1147,"")</f>
        <v>CLAMPS</v>
      </c>
      <c r="N1148" s="12">
        <v>0</v>
      </c>
      <c r="O1148" s="11">
        <f>IF(I1148&lt;&gt;"",DATA!C1147,"")</f>
        <v>283.05</v>
      </c>
      <c r="P1148" s="2">
        <v>294094</v>
      </c>
      <c r="Q1148" s="2" t="s">
        <v>1304</v>
      </c>
      <c r="R1148" s="2" t="s">
        <v>1327</v>
      </c>
      <c r="S1148" s="2">
        <v>7</v>
      </c>
      <c r="T1148" s="2">
        <v>1</v>
      </c>
      <c r="U1148" s="2" t="s">
        <v>141</v>
      </c>
      <c r="Y1148" s="2">
        <v>1700</v>
      </c>
      <c r="Z1148" s="11" t="s">
        <v>54</v>
      </c>
      <c r="AA1148" s="11" t="str">
        <f t="shared" si="77"/>
        <v>1700 - TBN</v>
      </c>
      <c r="AC1148" s="2" t="s">
        <v>145</v>
      </c>
      <c r="AD1148" s="11" t="str">
        <f>IF($I1148&lt;&gt;"",VLOOKUP($AC1148,GEADRESSEERDE!$A$2:$E$4,2,),"")</f>
        <v>LUITHAGEN HAVEN 2 D</v>
      </c>
      <c r="AE1148" s="11">
        <f>IF($I1148&lt;&gt;"",VLOOKUP($AC1148,GEADRESSEERDE!$A$2:$E$4,3,),"")</f>
        <v>2030</v>
      </c>
      <c r="AF1148" s="11" t="str">
        <f>IF($I1148&lt;&gt;"",VLOOKUP($AC1148,GEADRESSEERDE!$A$2:$E$4,4,),"")</f>
        <v>ANTWERPEN</v>
      </c>
      <c r="AG1148" s="11" t="str">
        <f>IF($I1148&lt;&gt;"",VLOOKUP($AC1148,GEADRESSEERDE!$A$2:$E$4,5,),"")</f>
        <v>BE</v>
      </c>
      <c r="AH1148" s="11" t="str">
        <f>IF(I1148&lt;&gt;"",VLOOKUP(AP1148,KvB!$A$2:$B$3,2,FALSE),"")</f>
        <v>BE101000</v>
      </c>
      <c r="AI1148" s="11" t="s">
        <v>55</v>
      </c>
      <c r="AJ1148" s="11"/>
      <c r="AK1148" s="11"/>
      <c r="AL1148" s="11"/>
      <c r="AM1148" s="11"/>
      <c r="AN1148" s="11"/>
      <c r="AO1148" s="11"/>
      <c r="AP1148" s="2" t="s">
        <v>70</v>
      </c>
      <c r="AQ1148" s="11" t="str">
        <f>IF(I1148&lt;&gt;"",DATA!D1147,"")</f>
        <v>8205700000</v>
      </c>
    </row>
    <row r="1149" spans="1:43" ht="15.75" x14ac:dyDescent="0.25">
      <c r="A1149" s="11" t="s">
        <v>57</v>
      </c>
      <c r="B1149" s="11" t="s">
        <v>56</v>
      </c>
      <c r="C1149" s="22">
        <f t="shared" si="74"/>
        <v>25001620</v>
      </c>
      <c r="D1149" s="11" t="str">
        <f t="shared" si="75"/>
        <v>SKIIFM_AT</v>
      </c>
      <c r="E1149" s="11" t="str">
        <f>IF(I1149&lt;&gt;"",VLOOKUP(F1149,OPDRACHTGEVER!$A$2:$B$4,2,FALSE),"")</f>
        <v>SKIIFM_AT</v>
      </c>
      <c r="F1149" s="11" t="s">
        <v>58</v>
      </c>
      <c r="I1149" s="11" t="str">
        <f>IF(DATA!B1148&lt;&gt;"",DATA!B1148,"")</f>
        <v>MEDU4967959</v>
      </c>
      <c r="J1149" s="12">
        <v>0</v>
      </c>
      <c r="K1149" s="11" t="s">
        <v>53</v>
      </c>
      <c r="L1149" s="11" t="str">
        <f t="shared" si="76"/>
        <v>392490</v>
      </c>
      <c r="M1149" s="11" t="str">
        <f>IF(I1149&lt;&gt;"",DATA!E1148,"")</f>
        <v>COMPOST BARREL</v>
      </c>
      <c r="N1149" s="12">
        <v>0</v>
      </c>
      <c r="O1149" s="11">
        <f>IF(I1149&lt;&gt;"",DATA!C1148,"")</f>
        <v>14.24</v>
      </c>
      <c r="P1149" s="2">
        <v>294094</v>
      </c>
      <c r="Q1149" s="2" t="s">
        <v>1304</v>
      </c>
      <c r="R1149" s="2" t="s">
        <v>1327</v>
      </c>
      <c r="S1149" s="2">
        <v>7</v>
      </c>
      <c r="T1149" s="2">
        <v>1</v>
      </c>
      <c r="U1149" s="2" t="s">
        <v>141</v>
      </c>
      <c r="Y1149" s="2">
        <v>1700</v>
      </c>
      <c r="Z1149" s="11" t="s">
        <v>54</v>
      </c>
      <c r="AA1149" s="11" t="str">
        <f t="shared" si="77"/>
        <v>1700 - TBN</v>
      </c>
      <c r="AC1149" s="2" t="s">
        <v>145</v>
      </c>
      <c r="AD1149" s="11" t="str">
        <f>IF($I1149&lt;&gt;"",VLOOKUP($AC1149,GEADRESSEERDE!$A$2:$E$4,2,),"")</f>
        <v>LUITHAGEN HAVEN 2 D</v>
      </c>
      <c r="AE1149" s="11">
        <f>IF($I1149&lt;&gt;"",VLOOKUP($AC1149,GEADRESSEERDE!$A$2:$E$4,3,),"")</f>
        <v>2030</v>
      </c>
      <c r="AF1149" s="11" t="str">
        <f>IF($I1149&lt;&gt;"",VLOOKUP($AC1149,GEADRESSEERDE!$A$2:$E$4,4,),"")</f>
        <v>ANTWERPEN</v>
      </c>
      <c r="AG1149" s="11" t="str">
        <f>IF($I1149&lt;&gt;"",VLOOKUP($AC1149,GEADRESSEERDE!$A$2:$E$4,5,),"")</f>
        <v>BE</v>
      </c>
      <c r="AH1149" s="11" t="str">
        <f>IF(I1149&lt;&gt;"",VLOOKUP(AP1149,KvB!$A$2:$B$3,2,FALSE),"")</f>
        <v>BE101000</v>
      </c>
      <c r="AI1149" s="11" t="s">
        <v>55</v>
      </c>
      <c r="AJ1149" s="11"/>
      <c r="AK1149" s="11"/>
      <c r="AL1149" s="11"/>
      <c r="AM1149" s="11"/>
      <c r="AN1149" s="11"/>
      <c r="AO1149" s="11"/>
      <c r="AP1149" s="2" t="s">
        <v>70</v>
      </c>
      <c r="AQ1149" s="11" t="str">
        <f>IF(I1149&lt;&gt;"",DATA!D1148,"")</f>
        <v>3924900090</v>
      </c>
    </row>
    <row r="1150" spans="1:43" ht="15.75" x14ac:dyDescent="0.25">
      <c r="A1150" s="11" t="s">
        <v>57</v>
      </c>
      <c r="B1150" s="11" t="s">
        <v>56</v>
      </c>
      <c r="C1150" s="22">
        <f t="shared" si="74"/>
        <v>25001620</v>
      </c>
      <c r="D1150" s="11" t="str">
        <f t="shared" si="75"/>
        <v>SKIIFM_AT</v>
      </c>
      <c r="E1150" s="11" t="str">
        <f>IF(I1150&lt;&gt;"",VLOOKUP(F1150,OPDRACHTGEVER!$A$2:$B$4,2,FALSE),"")</f>
        <v>SKIIFM_AT</v>
      </c>
      <c r="F1150" s="11" t="s">
        <v>58</v>
      </c>
      <c r="I1150" s="11" t="str">
        <f>IF(DATA!B1149&lt;&gt;"",DATA!B1149,"")</f>
        <v>MEDU4967959</v>
      </c>
      <c r="J1150" s="12">
        <v>0</v>
      </c>
      <c r="K1150" s="11" t="s">
        <v>53</v>
      </c>
      <c r="L1150" s="11" t="str">
        <f t="shared" si="76"/>
        <v>560900</v>
      </c>
      <c r="M1150" s="11" t="str">
        <f>IF(I1150&lt;&gt;"",DATA!E1149,"")</f>
        <v>CORE LANYARD</v>
      </c>
      <c r="N1150" s="12">
        <v>0</v>
      </c>
      <c r="O1150" s="11">
        <f>IF(I1150&lt;&gt;"",DATA!C1149,"")</f>
        <v>78.040000000000006</v>
      </c>
      <c r="P1150" s="2">
        <v>294094</v>
      </c>
      <c r="Q1150" s="2" t="s">
        <v>1304</v>
      </c>
      <c r="R1150" s="2" t="s">
        <v>1327</v>
      </c>
      <c r="S1150" s="2">
        <v>7</v>
      </c>
      <c r="T1150" s="2">
        <v>1</v>
      </c>
      <c r="U1150" s="2" t="s">
        <v>141</v>
      </c>
      <c r="Y1150" s="2">
        <v>1700</v>
      </c>
      <c r="Z1150" s="11" t="s">
        <v>54</v>
      </c>
      <c r="AA1150" s="11" t="str">
        <f t="shared" si="77"/>
        <v>1700 - TBN</v>
      </c>
      <c r="AC1150" s="2" t="s">
        <v>145</v>
      </c>
      <c r="AD1150" s="11" t="str">
        <f>IF($I1150&lt;&gt;"",VLOOKUP($AC1150,GEADRESSEERDE!$A$2:$E$4,2,),"")</f>
        <v>LUITHAGEN HAVEN 2 D</v>
      </c>
      <c r="AE1150" s="11">
        <f>IF($I1150&lt;&gt;"",VLOOKUP($AC1150,GEADRESSEERDE!$A$2:$E$4,3,),"")</f>
        <v>2030</v>
      </c>
      <c r="AF1150" s="11" t="str">
        <f>IF($I1150&lt;&gt;"",VLOOKUP($AC1150,GEADRESSEERDE!$A$2:$E$4,4,),"")</f>
        <v>ANTWERPEN</v>
      </c>
      <c r="AG1150" s="11" t="str">
        <f>IF($I1150&lt;&gt;"",VLOOKUP($AC1150,GEADRESSEERDE!$A$2:$E$4,5,),"")</f>
        <v>BE</v>
      </c>
      <c r="AH1150" s="11" t="str">
        <f>IF(I1150&lt;&gt;"",VLOOKUP(AP1150,KvB!$A$2:$B$3,2,FALSE),"")</f>
        <v>BE101000</v>
      </c>
      <c r="AI1150" s="11" t="s">
        <v>55</v>
      </c>
      <c r="AJ1150" s="11"/>
      <c r="AK1150" s="11"/>
      <c r="AL1150" s="11"/>
      <c r="AM1150" s="11"/>
      <c r="AN1150" s="11"/>
      <c r="AO1150" s="11"/>
      <c r="AP1150" s="2" t="s">
        <v>70</v>
      </c>
      <c r="AQ1150" s="11" t="str">
        <f>IF(I1150&lt;&gt;"",DATA!D1149,"")</f>
        <v>5609000000</v>
      </c>
    </row>
    <row r="1151" spans="1:43" ht="15.75" x14ac:dyDescent="0.25">
      <c r="A1151" s="11" t="s">
        <v>57</v>
      </c>
      <c r="B1151" s="11" t="s">
        <v>56</v>
      </c>
      <c r="C1151" s="22">
        <f t="shared" si="74"/>
        <v>25001620</v>
      </c>
      <c r="D1151" s="11" t="str">
        <f t="shared" si="75"/>
        <v>SKIIFM_AT</v>
      </c>
      <c r="E1151" s="11" t="str">
        <f>IF(I1151&lt;&gt;"",VLOOKUP(F1151,OPDRACHTGEVER!$A$2:$B$4,2,FALSE),"")</f>
        <v>SKIIFM_AT</v>
      </c>
      <c r="F1151" s="11" t="s">
        <v>58</v>
      </c>
      <c r="I1151" s="11" t="str">
        <f>IF(DATA!B1150&lt;&gt;"",DATA!B1150,"")</f>
        <v>MEDU4967959</v>
      </c>
      <c r="J1151" s="12">
        <v>0</v>
      </c>
      <c r="K1151" s="11" t="s">
        <v>53</v>
      </c>
      <c r="L1151" s="11" t="str">
        <f t="shared" si="76"/>
        <v>691410</v>
      </c>
      <c r="M1151" s="11" t="str">
        <f>IF(I1151&lt;&gt;"",DATA!E1150,"")</f>
        <v>DEDICATED TO FIREPLACE</v>
      </c>
      <c r="N1151" s="12">
        <v>0</v>
      </c>
      <c r="O1151" s="11">
        <f>IF(I1151&lt;&gt;"",DATA!C1150,"")</f>
        <v>3.82</v>
      </c>
      <c r="P1151" s="2">
        <v>294094</v>
      </c>
      <c r="Q1151" s="2" t="s">
        <v>1304</v>
      </c>
      <c r="R1151" s="2" t="s">
        <v>1327</v>
      </c>
      <c r="S1151" s="2">
        <v>7</v>
      </c>
      <c r="T1151" s="2">
        <v>1</v>
      </c>
      <c r="U1151" s="2" t="s">
        <v>141</v>
      </c>
      <c r="Y1151" s="2">
        <v>1700</v>
      </c>
      <c r="Z1151" s="11" t="s">
        <v>54</v>
      </c>
      <c r="AA1151" s="11" t="str">
        <f t="shared" si="77"/>
        <v>1700 - TBN</v>
      </c>
      <c r="AC1151" s="2" t="s">
        <v>145</v>
      </c>
      <c r="AD1151" s="11" t="str">
        <f>IF($I1151&lt;&gt;"",VLOOKUP($AC1151,GEADRESSEERDE!$A$2:$E$4,2,),"")</f>
        <v>LUITHAGEN HAVEN 2 D</v>
      </c>
      <c r="AE1151" s="11">
        <f>IF($I1151&lt;&gt;"",VLOOKUP($AC1151,GEADRESSEERDE!$A$2:$E$4,3,),"")</f>
        <v>2030</v>
      </c>
      <c r="AF1151" s="11" t="str">
        <f>IF($I1151&lt;&gt;"",VLOOKUP($AC1151,GEADRESSEERDE!$A$2:$E$4,4,),"")</f>
        <v>ANTWERPEN</v>
      </c>
      <c r="AG1151" s="11" t="str">
        <f>IF($I1151&lt;&gt;"",VLOOKUP($AC1151,GEADRESSEERDE!$A$2:$E$4,5,),"")</f>
        <v>BE</v>
      </c>
      <c r="AH1151" s="11" t="str">
        <f>IF(I1151&lt;&gt;"",VLOOKUP(AP1151,KvB!$A$2:$B$3,2,FALSE),"")</f>
        <v>BE101000</v>
      </c>
      <c r="AI1151" s="11" t="s">
        <v>55</v>
      </c>
      <c r="AJ1151" s="11"/>
      <c r="AK1151" s="11"/>
      <c r="AL1151" s="11"/>
      <c r="AM1151" s="11"/>
      <c r="AN1151" s="11"/>
      <c r="AO1151" s="11"/>
      <c r="AP1151" s="2" t="s">
        <v>70</v>
      </c>
      <c r="AQ1151" s="11" t="str">
        <f>IF(I1151&lt;&gt;"",DATA!D1150,"")</f>
        <v>6914100000</v>
      </c>
    </row>
    <row r="1152" spans="1:43" ht="15.75" x14ac:dyDescent="0.25">
      <c r="A1152" s="11" t="s">
        <v>57</v>
      </c>
      <c r="B1152" s="11" t="s">
        <v>56</v>
      </c>
      <c r="C1152" s="22">
        <f t="shared" si="74"/>
        <v>25001620</v>
      </c>
      <c r="D1152" s="11" t="str">
        <f t="shared" si="75"/>
        <v>SKIIFM_AT</v>
      </c>
      <c r="E1152" s="11" t="str">
        <f>IF(I1152&lt;&gt;"",VLOOKUP(F1152,OPDRACHTGEVER!$A$2:$B$4,2,FALSE),"")</f>
        <v>SKIIFM_AT</v>
      </c>
      <c r="F1152" s="11" t="s">
        <v>58</v>
      </c>
      <c r="I1152" s="11" t="str">
        <f>IF(DATA!B1151&lt;&gt;"",DATA!B1151,"")</f>
        <v>MEDU4967959</v>
      </c>
      <c r="J1152" s="12">
        <v>0</v>
      </c>
      <c r="K1152" s="11" t="s">
        <v>53</v>
      </c>
      <c r="L1152" s="11" t="str">
        <f t="shared" si="76"/>
        <v>851519</v>
      </c>
      <c r="M1152" s="11" t="str">
        <f>IF(I1152&lt;&gt;"",DATA!E1151,"")</f>
        <v>DENT REPAIR TOOL</v>
      </c>
      <c r="N1152" s="12">
        <v>0</v>
      </c>
      <c r="O1152" s="11">
        <f>IF(I1152&lt;&gt;"",DATA!C1151,"")</f>
        <v>10.4</v>
      </c>
      <c r="P1152" s="2">
        <v>294094</v>
      </c>
      <c r="Q1152" s="2" t="s">
        <v>1304</v>
      </c>
      <c r="R1152" s="2" t="s">
        <v>1327</v>
      </c>
      <c r="S1152" s="2">
        <v>7</v>
      </c>
      <c r="T1152" s="2">
        <v>1</v>
      </c>
      <c r="U1152" s="2" t="s">
        <v>141</v>
      </c>
      <c r="Y1152" s="2">
        <v>1700</v>
      </c>
      <c r="Z1152" s="11" t="s">
        <v>54</v>
      </c>
      <c r="AA1152" s="11" t="str">
        <f t="shared" si="77"/>
        <v>1700 - TBN</v>
      </c>
      <c r="AC1152" s="2" t="s">
        <v>145</v>
      </c>
      <c r="AD1152" s="11" t="str">
        <f>IF($I1152&lt;&gt;"",VLOOKUP($AC1152,GEADRESSEERDE!$A$2:$E$4,2,),"")</f>
        <v>LUITHAGEN HAVEN 2 D</v>
      </c>
      <c r="AE1152" s="11">
        <f>IF($I1152&lt;&gt;"",VLOOKUP($AC1152,GEADRESSEERDE!$A$2:$E$4,3,),"")</f>
        <v>2030</v>
      </c>
      <c r="AF1152" s="11" t="str">
        <f>IF($I1152&lt;&gt;"",VLOOKUP($AC1152,GEADRESSEERDE!$A$2:$E$4,4,),"")</f>
        <v>ANTWERPEN</v>
      </c>
      <c r="AG1152" s="11" t="str">
        <f>IF($I1152&lt;&gt;"",VLOOKUP($AC1152,GEADRESSEERDE!$A$2:$E$4,5,),"")</f>
        <v>BE</v>
      </c>
      <c r="AH1152" s="11" t="str">
        <f>IF(I1152&lt;&gt;"",VLOOKUP(AP1152,KvB!$A$2:$B$3,2,FALSE),"")</f>
        <v>BE101000</v>
      </c>
      <c r="AI1152" s="11" t="s">
        <v>55</v>
      </c>
      <c r="AJ1152" s="11"/>
      <c r="AK1152" s="11"/>
      <c r="AL1152" s="11"/>
      <c r="AM1152" s="11"/>
      <c r="AN1152" s="11"/>
      <c r="AO1152" s="11"/>
      <c r="AP1152" s="2" t="s">
        <v>70</v>
      </c>
      <c r="AQ1152" s="11" t="str">
        <f>IF(I1152&lt;&gt;"",DATA!D1151,"")</f>
        <v>8515199000</v>
      </c>
    </row>
    <row r="1153" spans="1:43" ht="15.75" x14ac:dyDescent="0.25">
      <c r="A1153" s="11" t="s">
        <v>57</v>
      </c>
      <c r="B1153" s="11" t="s">
        <v>56</v>
      </c>
      <c r="C1153" s="22">
        <f t="shared" si="74"/>
        <v>25001620</v>
      </c>
      <c r="D1153" s="11" t="str">
        <f t="shared" si="75"/>
        <v>SKIIFM_AT</v>
      </c>
      <c r="E1153" s="11" t="str">
        <f>IF(I1153&lt;&gt;"",VLOOKUP(F1153,OPDRACHTGEVER!$A$2:$B$4,2,FALSE),"")</f>
        <v>SKIIFM_AT</v>
      </c>
      <c r="F1153" s="11" t="s">
        <v>58</v>
      </c>
      <c r="I1153" s="11" t="str">
        <f>IF(DATA!B1152&lt;&gt;"",DATA!B1152,"")</f>
        <v>MEDU4967959</v>
      </c>
      <c r="J1153" s="12">
        <v>0</v>
      </c>
      <c r="K1153" s="11" t="s">
        <v>53</v>
      </c>
      <c r="L1153" s="11" t="str">
        <f t="shared" si="76"/>
        <v>820750</v>
      </c>
      <c r="M1153" s="11" t="str">
        <f>IF(I1153&lt;&gt;"",DATA!E1152,"")</f>
        <v>DIAMOND BIT</v>
      </c>
      <c r="N1153" s="12">
        <v>0</v>
      </c>
      <c r="O1153" s="11">
        <f>IF(I1153&lt;&gt;"",DATA!C1152,"")</f>
        <v>8.8800000000000008</v>
      </c>
      <c r="P1153" s="2">
        <v>294094</v>
      </c>
      <c r="Q1153" s="2" t="s">
        <v>1304</v>
      </c>
      <c r="R1153" s="2" t="s">
        <v>1327</v>
      </c>
      <c r="S1153" s="2">
        <v>7</v>
      </c>
      <c r="T1153" s="2">
        <v>1</v>
      </c>
      <c r="U1153" s="2" t="s">
        <v>141</v>
      </c>
      <c r="Y1153" s="2">
        <v>1700</v>
      </c>
      <c r="Z1153" s="11" t="s">
        <v>54</v>
      </c>
      <c r="AA1153" s="11" t="str">
        <f t="shared" si="77"/>
        <v>1700 - TBN</v>
      </c>
      <c r="AC1153" s="2" t="s">
        <v>145</v>
      </c>
      <c r="AD1153" s="11" t="str">
        <f>IF($I1153&lt;&gt;"",VLOOKUP($AC1153,GEADRESSEERDE!$A$2:$E$4,2,),"")</f>
        <v>LUITHAGEN HAVEN 2 D</v>
      </c>
      <c r="AE1153" s="11">
        <f>IF($I1153&lt;&gt;"",VLOOKUP($AC1153,GEADRESSEERDE!$A$2:$E$4,3,),"")</f>
        <v>2030</v>
      </c>
      <c r="AF1153" s="11" t="str">
        <f>IF($I1153&lt;&gt;"",VLOOKUP($AC1153,GEADRESSEERDE!$A$2:$E$4,4,),"")</f>
        <v>ANTWERPEN</v>
      </c>
      <c r="AG1153" s="11" t="str">
        <f>IF($I1153&lt;&gt;"",VLOOKUP($AC1153,GEADRESSEERDE!$A$2:$E$4,5,),"")</f>
        <v>BE</v>
      </c>
      <c r="AH1153" s="11" t="str">
        <f>IF(I1153&lt;&gt;"",VLOOKUP(AP1153,KvB!$A$2:$B$3,2,FALSE),"")</f>
        <v>BE101000</v>
      </c>
      <c r="AI1153" s="11" t="s">
        <v>55</v>
      </c>
      <c r="AJ1153" s="11"/>
      <c r="AK1153" s="11"/>
      <c r="AL1153" s="11"/>
      <c r="AM1153" s="11"/>
      <c r="AN1153" s="11"/>
      <c r="AO1153" s="11"/>
      <c r="AP1153" s="2" t="s">
        <v>70</v>
      </c>
      <c r="AQ1153" s="11" t="str">
        <f>IF(I1153&lt;&gt;"",DATA!D1152,"")</f>
        <v>8207501000</v>
      </c>
    </row>
    <row r="1154" spans="1:43" ht="15.75" x14ac:dyDescent="0.25">
      <c r="A1154" s="11" t="s">
        <v>57</v>
      </c>
      <c r="B1154" s="11" t="s">
        <v>56</v>
      </c>
      <c r="C1154" s="22">
        <f t="shared" si="74"/>
        <v>25001620</v>
      </c>
      <c r="D1154" s="11" t="str">
        <f t="shared" si="75"/>
        <v>SKIIFM_AT</v>
      </c>
      <c r="E1154" s="11" t="str">
        <f>IF(I1154&lt;&gt;"",VLOOKUP(F1154,OPDRACHTGEVER!$A$2:$B$4,2,FALSE),"")</f>
        <v>SKIIFM_AT</v>
      </c>
      <c r="F1154" s="11" t="s">
        <v>58</v>
      </c>
      <c r="I1154" s="11" t="str">
        <f>IF(DATA!B1153&lt;&gt;"",DATA!B1153,"")</f>
        <v>MEDU4967959</v>
      </c>
      <c r="J1154" s="12">
        <v>0</v>
      </c>
      <c r="K1154" s="11" t="s">
        <v>53</v>
      </c>
      <c r="L1154" s="11" t="str">
        <f t="shared" si="76"/>
        <v>842511</v>
      </c>
      <c r="M1154" s="11" t="str">
        <f>IF(I1154&lt;&gt;"",DATA!E1153,"")</f>
        <v>ELECTRIC HOIST</v>
      </c>
      <c r="N1154" s="12">
        <v>0</v>
      </c>
      <c r="O1154" s="11">
        <f>IF(I1154&lt;&gt;"",DATA!C1153,"")</f>
        <v>1581.13</v>
      </c>
      <c r="P1154" s="2">
        <v>294094</v>
      </c>
      <c r="Q1154" s="2" t="s">
        <v>1304</v>
      </c>
      <c r="R1154" s="2" t="s">
        <v>1327</v>
      </c>
      <c r="S1154" s="2">
        <v>7</v>
      </c>
      <c r="T1154" s="2">
        <v>1</v>
      </c>
      <c r="U1154" s="2" t="s">
        <v>141</v>
      </c>
      <c r="Y1154" s="2">
        <v>1700</v>
      </c>
      <c r="Z1154" s="11" t="s">
        <v>54</v>
      </c>
      <c r="AA1154" s="11" t="str">
        <f t="shared" si="77"/>
        <v>1700 - TBN</v>
      </c>
      <c r="AC1154" s="2" t="s">
        <v>145</v>
      </c>
      <c r="AD1154" s="11" t="str">
        <f>IF($I1154&lt;&gt;"",VLOOKUP($AC1154,GEADRESSEERDE!$A$2:$E$4,2,),"")</f>
        <v>LUITHAGEN HAVEN 2 D</v>
      </c>
      <c r="AE1154" s="11">
        <f>IF($I1154&lt;&gt;"",VLOOKUP($AC1154,GEADRESSEERDE!$A$2:$E$4,3,),"")</f>
        <v>2030</v>
      </c>
      <c r="AF1154" s="11" t="str">
        <f>IF($I1154&lt;&gt;"",VLOOKUP($AC1154,GEADRESSEERDE!$A$2:$E$4,4,),"")</f>
        <v>ANTWERPEN</v>
      </c>
      <c r="AG1154" s="11" t="str">
        <f>IF($I1154&lt;&gt;"",VLOOKUP($AC1154,GEADRESSEERDE!$A$2:$E$4,5,),"")</f>
        <v>BE</v>
      </c>
      <c r="AH1154" s="11" t="str">
        <f>IF(I1154&lt;&gt;"",VLOOKUP(AP1154,KvB!$A$2:$B$3,2,FALSE),"")</f>
        <v>BE101000</v>
      </c>
      <c r="AI1154" s="11" t="s">
        <v>55</v>
      </c>
      <c r="AJ1154" s="11"/>
      <c r="AK1154" s="11"/>
      <c r="AL1154" s="11"/>
      <c r="AM1154" s="11"/>
      <c r="AN1154" s="11"/>
      <c r="AO1154" s="11"/>
      <c r="AP1154" s="2" t="s">
        <v>70</v>
      </c>
      <c r="AQ1154" s="11" t="str">
        <f>IF(I1154&lt;&gt;"",DATA!D1153,"")</f>
        <v>8425110000</v>
      </c>
    </row>
    <row r="1155" spans="1:43" ht="15.75" x14ac:dyDescent="0.25">
      <c r="A1155" s="11" t="s">
        <v>57</v>
      </c>
      <c r="B1155" s="11" t="s">
        <v>56</v>
      </c>
      <c r="C1155" s="22">
        <f t="shared" si="74"/>
        <v>25001620</v>
      </c>
      <c r="D1155" s="11" t="str">
        <f t="shared" si="75"/>
        <v>SKIIFM_AT</v>
      </c>
      <c r="E1155" s="11" t="str">
        <f>IF(I1155&lt;&gt;"",VLOOKUP(F1155,OPDRACHTGEVER!$A$2:$B$4,2,FALSE),"")</f>
        <v>SKIIFM_AT</v>
      </c>
      <c r="F1155" s="11" t="s">
        <v>58</v>
      </c>
      <c r="I1155" s="11" t="str">
        <f>IF(DATA!B1154&lt;&gt;"",DATA!B1154,"")</f>
        <v>MEDU4967959</v>
      </c>
      <c r="J1155" s="12">
        <v>0</v>
      </c>
      <c r="K1155" s="11" t="s">
        <v>53</v>
      </c>
      <c r="L1155" s="11" t="str">
        <f t="shared" si="76"/>
        <v>842511</v>
      </c>
      <c r="M1155" s="11" t="str">
        <f>IF(I1155&lt;&gt;"",DATA!E1154,"")</f>
        <v>ELECTRIC WIRE ROPE HOIST</v>
      </c>
      <c r="N1155" s="12">
        <v>0</v>
      </c>
      <c r="O1155" s="11">
        <f>IF(I1155&lt;&gt;"",DATA!C1154,"")</f>
        <v>6912.97</v>
      </c>
      <c r="P1155" s="2">
        <v>294094</v>
      </c>
      <c r="Q1155" s="2" t="s">
        <v>1304</v>
      </c>
      <c r="R1155" s="2" t="s">
        <v>1327</v>
      </c>
      <c r="S1155" s="2">
        <v>7</v>
      </c>
      <c r="T1155" s="2">
        <v>1</v>
      </c>
      <c r="U1155" s="2" t="s">
        <v>141</v>
      </c>
      <c r="Y1155" s="2">
        <v>1700</v>
      </c>
      <c r="Z1155" s="11" t="s">
        <v>54</v>
      </c>
      <c r="AA1155" s="11" t="str">
        <f t="shared" si="77"/>
        <v>1700 - TBN</v>
      </c>
      <c r="AC1155" s="2" t="s">
        <v>145</v>
      </c>
      <c r="AD1155" s="11" t="str">
        <f>IF($I1155&lt;&gt;"",VLOOKUP($AC1155,GEADRESSEERDE!$A$2:$E$4,2,),"")</f>
        <v>LUITHAGEN HAVEN 2 D</v>
      </c>
      <c r="AE1155" s="11">
        <f>IF($I1155&lt;&gt;"",VLOOKUP($AC1155,GEADRESSEERDE!$A$2:$E$4,3,),"")</f>
        <v>2030</v>
      </c>
      <c r="AF1155" s="11" t="str">
        <f>IF($I1155&lt;&gt;"",VLOOKUP($AC1155,GEADRESSEERDE!$A$2:$E$4,4,),"")</f>
        <v>ANTWERPEN</v>
      </c>
      <c r="AG1155" s="11" t="str">
        <f>IF($I1155&lt;&gt;"",VLOOKUP($AC1155,GEADRESSEERDE!$A$2:$E$4,5,),"")</f>
        <v>BE</v>
      </c>
      <c r="AH1155" s="11" t="str">
        <f>IF(I1155&lt;&gt;"",VLOOKUP(AP1155,KvB!$A$2:$B$3,2,FALSE),"")</f>
        <v>BE101000</v>
      </c>
      <c r="AI1155" s="11" t="s">
        <v>55</v>
      </c>
      <c r="AJ1155" s="11"/>
      <c r="AK1155" s="11"/>
      <c r="AL1155" s="11"/>
      <c r="AM1155" s="11"/>
      <c r="AN1155" s="11"/>
      <c r="AO1155" s="11"/>
      <c r="AP1155" s="2" t="s">
        <v>70</v>
      </c>
      <c r="AQ1155" s="11" t="str">
        <f>IF(I1155&lt;&gt;"",DATA!D1154,"")</f>
        <v>8425110000</v>
      </c>
    </row>
    <row r="1156" spans="1:43" ht="15.75" x14ac:dyDescent="0.25">
      <c r="A1156" s="11" t="s">
        <v>57</v>
      </c>
      <c r="B1156" s="11" t="s">
        <v>56</v>
      </c>
      <c r="C1156" s="22">
        <f t="shared" si="74"/>
        <v>25001620</v>
      </c>
      <c r="D1156" s="11" t="str">
        <f t="shared" si="75"/>
        <v>SKIIFM_AT</v>
      </c>
      <c r="E1156" s="11" t="str">
        <f>IF(I1156&lt;&gt;"",VLOOKUP(F1156,OPDRACHTGEVER!$A$2:$B$4,2,FALSE),"")</f>
        <v>SKIIFM_AT</v>
      </c>
      <c r="F1156" s="11" t="s">
        <v>58</v>
      </c>
      <c r="I1156" s="11" t="str">
        <f>IF(DATA!B1155&lt;&gt;"",DATA!B1155,"")</f>
        <v>MEDU4967959</v>
      </c>
      <c r="J1156" s="12">
        <v>0</v>
      </c>
      <c r="K1156" s="11" t="s">
        <v>53</v>
      </c>
      <c r="L1156" s="11" t="str">
        <f t="shared" si="76"/>
        <v>846490</v>
      </c>
      <c r="M1156" s="11" t="str">
        <f>IF(I1156&lt;&gt;"",DATA!E1155,"")</f>
        <v>ENGRAVING MACHINE</v>
      </c>
      <c r="N1156" s="12">
        <v>0</v>
      </c>
      <c r="O1156" s="11">
        <f>IF(I1156&lt;&gt;"",DATA!C1155,"")</f>
        <v>656</v>
      </c>
      <c r="P1156" s="2">
        <v>294094</v>
      </c>
      <c r="Q1156" s="2" t="s">
        <v>1304</v>
      </c>
      <c r="R1156" s="2" t="s">
        <v>1327</v>
      </c>
      <c r="S1156" s="2">
        <v>7</v>
      </c>
      <c r="T1156" s="2">
        <v>1</v>
      </c>
      <c r="U1156" s="2" t="s">
        <v>141</v>
      </c>
      <c r="Y1156" s="2">
        <v>1700</v>
      </c>
      <c r="Z1156" s="11" t="s">
        <v>54</v>
      </c>
      <c r="AA1156" s="11" t="str">
        <f t="shared" si="77"/>
        <v>1700 - TBN</v>
      </c>
      <c r="AC1156" s="2" t="s">
        <v>145</v>
      </c>
      <c r="AD1156" s="11" t="str">
        <f>IF($I1156&lt;&gt;"",VLOOKUP($AC1156,GEADRESSEERDE!$A$2:$E$4,2,),"")</f>
        <v>LUITHAGEN HAVEN 2 D</v>
      </c>
      <c r="AE1156" s="11">
        <f>IF($I1156&lt;&gt;"",VLOOKUP($AC1156,GEADRESSEERDE!$A$2:$E$4,3,),"")</f>
        <v>2030</v>
      </c>
      <c r="AF1156" s="11" t="str">
        <f>IF($I1156&lt;&gt;"",VLOOKUP($AC1156,GEADRESSEERDE!$A$2:$E$4,4,),"")</f>
        <v>ANTWERPEN</v>
      </c>
      <c r="AG1156" s="11" t="str">
        <f>IF($I1156&lt;&gt;"",VLOOKUP($AC1156,GEADRESSEERDE!$A$2:$E$4,5,),"")</f>
        <v>BE</v>
      </c>
      <c r="AH1156" s="11" t="str">
        <f>IF(I1156&lt;&gt;"",VLOOKUP(AP1156,KvB!$A$2:$B$3,2,FALSE),"")</f>
        <v>BE101000</v>
      </c>
      <c r="AI1156" s="11" t="s">
        <v>55</v>
      </c>
      <c r="AJ1156" s="11"/>
      <c r="AK1156" s="11"/>
      <c r="AL1156" s="11"/>
      <c r="AM1156" s="11"/>
      <c r="AN1156" s="11"/>
      <c r="AO1156" s="11"/>
      <c r="AP1156" s="2" t="s">
        <v>70</v>
      </c>
      <c r="AQ1156" s="11" t="str">
        <f>IF(I1156&lt;&gt;"",DATA!D1155,"")</f>
        <v>8464900000</v>
      </c>
    </row>
    <row r="1157" spans="1:43" ht="15.75" x14ac:dyDescent="0.25">
      <c r="A1157" s="11" t="s">
        <v>57</v>
      </c>
      <c r="B1157" s="11" t="s">
        <v>56</v>
      </c>
      <c r="C1157" s="22">
        <f t="shared" ref="C1157:C1220" si="78">C1156</f>
        <v>25001620</v>
      </c>
      <c r="D1157" s="11" t="str">
        <f t="shared" si="75"/>
        <v>SKIIFM_AT</v>
      </c>
      <c r="E1157" s="11" t="str">
        <f>IF(I1157&lt;&gt;"",VLOOKUP(F1157,OPDRACHTGEVER!$A$2:$B$4,2,FALSE),"")</f>
        <v>SKIIFM_AT</v>
      </c>
      <c r="F1157" s="11" t="s">
        <v>58</v>
      </c>
      <c r="I1157" s="11" t="str">
        <f>IF(DATA!B1156&lt;&gt;"",DATA!B1156,"")</f>
        <v>MEDU4967959</v>
      </c>
      <c r="J1157" s="12">
        <v>0</v>
      </c>
      <c r="K1157" s="11" t="s">
        <v>53</v>
      </c>
      <c r="L1157" s="11" t="str">
        <f t="shared" si="76"/>
        <v>841869</v>
      </c>
      <c r="M1157" s="11" t="str">
        <f>IF(I1157&lt;&gt;"",DATA!E1156,"")</f>
        <v>ENGRAVING MACHINE CHILLER</v>
      </c>
      <c r="N1157" s="12">
        <v>0</v>
      </c>
      <c r="O1157" s="11">
        <f>IF(I1157&lt;&gt;"",DATA!C1156,"")</f>
        <v>57</v>
      </c>
      <c r="P1157" s="2">
        <v>294094</v>
      </c>
      <c r="Q1157" s="2" t="s">
        <v>1304</v>
      </c>
      <c r="R1157" s="2" t="s">
        <v>1327</v>
      </c>
      <c r="S1157" s="2">
        <v>7</v>
      </c>
      <c r="T1157" s="2">
        <v>1</v>
      </c>
      <c r="U1157" s="2" t="s">
        <v>141</v>
      </c>
      <c r="Y1157" s="2">
        <v>1700</v>
      </c>
      <c r="Z1157" s="11" t="s">
        <v>54</v>
      </c>
      <c r="AA1157" s="11" t="str">
        <f t="shared" si="77"/>
        <v>1700 - TBN</v>
      </c>
      <c r="AC1157" s="2" t="s">
        <v>145</v>
      </c>
      <c r="AD1157" s="11" t="str">
        <f>IF($I1157&lt;&gt;"",VLOOKUP($AC1157,GEADRESSEERDE!$A$2:$E$4,2,),"")</f>
        <v>LUITHAGEN HAVEN 2 D</v>
      </c>
      <c r="AE1157" s="11">
        <f>IF($I1157&lt;&gt;"",VLOOKUP($AC1157,GEADRESSEERDE!$A$2:$E$4,3,),"")</f>
        <v>2030</v>
      </c>
      <c r="AF1157" s="11" t="str">
        <f>IF($I1157&lt;&gt;"",VLOOKUP($AC1157,GEADRESSEERDE!$A$2:$E$4,4,),"")</f>
        <v>ANTWERPEN</v>
      </c>
      <c r="AG1157" s="11" t="str">
        <f>IF($I1157&lt;&gt;"",VLOOKUP($AC1157,GEADRESSEERDE!$A$2:$E$4,5,),"")</f>
        <v>BE</v>
      </c>
      <c r="AH1157" s="11" t="str">
        <f>IF(I1157&lt;&gt;"",VLOOKUP(AP1157,KvB!$A$2:$B$3,2,FALSE),"")</f>
        <v>BE101000</v>
      </c>
      <c r="AI1157" s="11" t="s">
        <v>55</v>
      </c>
      <c r="AJ1157" s="11"/>
      <c r="AK1157" s="11"/>
      <c r="AL1157" s="11"/>
      <c r="AM1157" s="11"/>
      <c r="AN1157" s="11"/>
      <c r="AO1157" s="11"/>
      <c r="AP1157" s="2" t="s">
        <v>70</v>
      </c>
      <c r="AQ1157" s="11" t="str">
        <f>IF(I1157&lt;&gt;"",DATA!D1156,"")</f>
        <v>8418690099</v>
      </c>
    </row>
    <row r="1158" spans="1:43" ht="15.75" x14ac:dyDescent="0.25">
      <c r="A1158" s="11" t="s">
        <v>57</v>
      </c>
      <c r="B1158" s="11" t="s">
        <v>56</v>
      </c>
      <c r="C1158" s="22">
        <f t="shared" si="78"/>
        <v>25001620</v>
      </c>
      <c r="D1158" s="11" t="str">
        <f t="shared" si="75"/>
        <v>SKIIFM_AT</v>
      </c>
      <c r="E1158" s="11" t="str">
        <f>IF(I1158&lt;&gt;"",VLOOKUP(F1158,OPDRACHTGEVER!$A$2:$B$4,2,FALSE),"")</f>
        <v>SKIIFM_AT</v>
      </c>
      <c r="F1158" s="11" t="s">
        <v>58</v>
      </c>
      <c r="I1158" s="11" t="str">
        <f>IF(DATA!B1157&lt;&gt;"",DATA!B1157,"")</f>
        <v>MEDU4967959</v>
      </c>
      <c r="J1158" s="12">
        <v>0</v>
      </c>
      <c r="K1158" s="11" t="s">
        <v>53</v>
      </c>
      <c r="L1158" s="11" t="str">
        <f t="shared" si="76"/>
        <v>741920</v>
      </c>
      <c r="M1158" s="11" t="str">
        <f>IF(I1158&lt;&gt;"",DATA!E1157,"")</f>
        <v>FENCE GATE</v>
      </c>
      <c r="N1158" s="12">
        <v>0</v>
      </c>
      <c r="O1158" s="11">
        <f>IF(I1158&lt;&gt;"",DATA!C1157,"")</f>
        <v>42.08</v>
      </c>
      <c r="P1158" s="2">
        <v>294094</v>
      </c>
      <c r="Q1158" s="2" t="s">
        <v>1304</v>
      </c>
      <c r="R1158" s="2" t="s">
        <v>1327</v>
      </c>
      <c r="S1158" s="2">
        <v>7</v>
      </c>
      <c r="T1158" s="2">
        <v>1</v>
      </c>
      <c r="U1158" s="2" t="s">
        <v>141</v>
      </c>
      <c r="Y1158" s="2">
        <v>1700</v>
      </c>
      <c r="Z1158" s="11" t="s">
        <v>54</v>
      </c>
      <c r="AA1158" s="11" t="str">
        <f t="shared" si="77"/>
        <v>1700 - TBN</v>
      </c>
      <c r="AC1158" s="2" t="s">
        <v>145</v>
      </c>
      <c r="AD1158" s="11" t="str">
        <f>IF($I1158&lt;&gt;"",VLOOKUP($AC1158,GEADRESSEERDE!$A$2:$E$4,2,),"")</f>
        <v>LUITHAGEN HAVEN 2 D</v>
      </c>
      <c r="AE1158" s="11">
        <f>IF($I1158&lt;&gt;"",VLOOKUP($AC1158,GEADRESSEERDE!$A$2:$E$4,3,),"")</f>
        <v>2030</v>
      </c>
      <c r="AF1158" s="11" t="str">
        <f>IF($I1158&lt;&gt;"",VLOOKUP($AC1158,GEADRESSEERDE!$A$2:$E$4,4,),"")</f>
        <v>ANTWERPEN</v>
      </c>
      <c r="AG1158" s="11" t="str">
        <f>IF($I1158&lt;&gt;"",VLOOKUP($AC1158,GEADRESSEERDE!$A$2:$E$4,5,),"")</f>
        <v>BE</v>
      </c>
      <c r="AH1158" s="11" t="str">
        <f>IF(I1158&lt;&gt;"",VLOOKUP(AP1158,KvB!$A$2:$B$3,2,FALSE),"")</f>
        <v>BE101000</v>
      </c>
      <c r="AI1158" s="11" t="s">
        <v>55</v>
      </c>
      <c r="AJ1158" s="11"/>
      <c r="AK1158" s="11"/>
      <c r="AL1158" s="11"/>
      <c r="AM1158" s="11"/>
      <c r="AN1158" s="11"/>
      <c r="AO1158" s="11"/>
      <c r="AP1158" s="2" t="s">
        <v>70</v>
      </c>
      <c r="AQ1158" s="11" t="str">
        <f>IF(I1158&lt;&gt;"",DATA!D1157,"")</f>
        <v>7419200090</v>
      </c>
    </row>
    <row r="1159" spans="1:43" ht="15.75" x14ac:dyDescent="0.25">
      <c r="A1159" s="11" t="s">
        <v>57</v>
      </c>
      <c r="B1159" s="11" t="s">
        <v>56</v>
      </c>
      <c r="C1159" s="22">
        <f t="shared" si="78"/>
        <v>25001620</v>
      </c>
      <c r="D1159" s="11" t="str">
        <f t="shared" si="75"/>
        <v>SKIIFM_AT</v>
      </c>
      <c r="E1159" s="11" t="str">
        <f>IF(I1159&lt;&gt;"",VLOOKUP(F1159,OPDRACHTGEVER!$A$2:$B$4,2,FALSE),"")</f>
        <v>SKIIFM_AT</v>
      </c>
      <c r="F1159" s="11" t="s">
        <v>58</v>
      </c>
      <c r="I1159" s="11" t="str">
        <f>IF(DATA!B1158&lt;&gt;"",DATA!B1158,"")</f>
        <v>MEDU4967959</v>
      </c>
      <c r="J1159" s="12">
        <v>0</v>
      </c>
      <c r="K1159" s="11" t="s">
        <v>53</v>
      </c>
      <c r="L1159" s="11" t="str">
        <f t="shared" si="76"/>
        <v>391810</v>
      </c>
      <c r="M1159" s="11" t="str">
        <f>IF(I1159&lt;&gt;"",DATA!E1158,"")</f>
        <v>FLOOR MATS</v>
      </c>
      <c r="N1159" s="12">
        <v>0</v>
      </c>
      <c r="O1159" s="11">
        <f>IF(I1159&lt;&gt;"",DATA!C1158,"")</f>
        <v>10.84</v>
      </c>
      <c r="P1159" s="2">
        <v>294094</v>
      </c>
      <c r="Q1159" s="2" t="s">
        <v>1304</v>
      </c>
      <c r="R1159" s="2" t="s">
        <v>1327</v>
      </c>
      <c r="S1159" s="2">
        <v>7</v>
      </c>
      <c r="T1159" s="2">
        <v>1</v>
      </c>
      <c r="U1159" s="2" t="s">
        <v>141</v>
      </c>
      <c r="Y1159" s="2">
        <v>1700</v>
      </c>
      <c r="Z1159" s="11" t="s">
        <v>54</v>
      </c>
      <c r="AA1159" s="11" t="str">
        <f t="shared" si="77"/>
        <v>1700 - TBN</v>
      </c>
      <c r="AC1159" s="2" t="s">
        <v>145</v>
      </c>
      <c r="AD1159" s="11" t="str">
        <f>IF($I1159&lt;&gt;"",VLOOKUP($AC1159,GEADRESSEERDE!$A$2:$E$4,2,),"")</f>
        <v>LUITHAGEN HAVEN 2 D</v>
      </c>
      <c r="AE1159" s="11">
        <f>IF($I1159&lt;&gt;"",VLOOKUP($AC1159,GEADRESSEERDE!$A$2:$E$4,3,),"")</f>
        <v>2030</v>
      </c>
      <c r="AF1159" s="11" t="str">
        <f>IF($I1159&lt;&gt;"",VLOOKUP($AC1159,GEADRESSEERDE!$A$2:$E$4,4,),"")</f>
        <v>ANTWERPEN</v>
      </c>
      <c r="AG1159" s="11" t="str">
        <f>IF($I1159&lt;&gt;"",VLOOKUP($AC1159,GEADRESSEERDE!$A$2:$E$4,5,),"")</f>
        <v>BE</v>
      </c>
      <c r="AH1159" s="11" t="str">
        <f>IF(I1159&lt;&gt;"",VLOOKUP(AP1159,KvB!$A$2:$B$3,2,FALSE),"")</f>
        <v>BE101000</v>
      </c>
      <c r="AI1159" s="11" t="s">
        <v>55</v>
      </c>
      <c r="AJ1159" s="11"/>
      <c r="AK1159" s="11"/>
      <c r="AL1159" s="11"/>
      <c r="AM1159" s="11"/>
      <c r="AN1159" s="11"/>
      <c r="AO1159" s="11"/>
      <c r="AP1159" s="2" t="s">
        <v>70</v>
      </c>
      <c r="AQ1159" s="11" t="str">
        <f>IF(I1159&lt;&gt;"",DATA!D1158,"")</f>
        <v>3918109090</v>
      </c>
    </row>
    <row r="1160" spans="1:43" ht="15.75" x14ac:dyDescent="0.25">
      <c r="A1160" s="11" t="s">
        <v>57</v>
      </c>
      <c r="B1160" s="11" t="s">
        <v>56</v>
      </c>
      <c r="C1160" s="22">
        <f t="shared" si="78"/>
        <v>25001620</v>
      </c>
      <c r="D1160" s="11" t="str">
        <f t="shared" si="75"/>
        <v>SKIIFM_AT</v>
      </c>
      <c r="E1160" s="11" t="str">
        <f>IF(I1160&lt;&gt;"",VLOOKUP(F1160,OPDRACHTGEVER!$A$2:$B$4,2,FALSE),"")</f>
        <v>SKIIFM_AT</v>
      </c>
      <c r="F1160" s="11" t="s">
        <v>58</v>
      </c>
      <c r="I1160" s="11" t="str">
        <f>IF(DATA!B1159&lt;&gt;"",DATA!B1159,"")</f>
        <v>MEDU4967959</v>
      </c>
      <c r="J1160" s="12">
        <v>0</v>
      </c>
      <c r="K1160" s="11" t="s">
        <v>53</v>
      </c>
      <c r="L1160" s="11" t="str">
        <f t="shared" si="76"/>
        <v>831120</v>
      </c>
      <c r="M1160" s="11" t="str">
        <f>IF(I1160&lt;&gt;"",DATA!E1159,"")</f>
        <v>FLUX CORE WELDING WIRE</v>
      </c>
      <c r="N1160" s="12">
        <v>0</v>
      </c>
      <c r="O1160" s="11">
        <f>IF(I1160&lt;&gt;"",DATA!C1159,"")</f>
        <v>122.92</v>
      </c>
      <c r="P1160" s="2">
        <v>294094</v>
      </c>
      <c r="Q1160" s="2" t="s">
        <v>1304</v>
      </c>
      <c r="R1160" s="2" t="s">
        <v>1327</v>
      </c>
      <c r="S1160" s="2">
        <v>7</v>
      </c>
      <c r="T1160" s="2">
        <v>1</v>
      </c>
      <c r="U1160" s="2" t="s">
        <v>141</v>
      </c>
      <c r="Y1160" s="2">
        <v>1700</v>
      </c>
      <c r="Z1160" s="11" t="s">
        <v>54</v>
      </c>
      <c r="AA1160" s="11" t="str">
        <f t="shared" si="77"/>
        <v>1700 - TBN</v>
      </c>
      <c r="AC1160" s="2" t="s">
        <v>145</v>
      </c>
      <c r="AD1160" s="11" t="str">
        <f>IF($I1160&lt;&gt;"",VLOOKUP($AC1160,GEADRESSEERDE!$A$2:$E$4,2,),"")</f>
        <v>LUITHAGEN HAVEN 2 D</v>
      </c>
      <c r="AE1160" s="11">
        <f>IF($I1160&lt;&gt;"",VLOOKUP($AC1160,GEADRESSEERDE!$A$2:$E$4,3,),"")</f>
        <v>2030</v>
      </c>
      <c r="AF1160" s="11" t="str">
        <f>IF($I1160&lt;&gt;"",VLOOKUP($AC1160,GEADRESSEERDE!$A$2:$E$4,4,),"")</f>
        <v>ANTWERPEN</v>
      </c>
      <c r="AG1160" s="11" t="str">
        <f>IF($I1160&lt;&gt;"",VLOOKUP($AC1160,GEADRESSEERDE!$A$2:$E$4,5,),"")</f>
        <v>BE</v>
      </c>
      <c r="AH1160" s="11" t="str">
        <f>IF(I1160&lt;&gt;"",VLOOKUP(AP1160,KvB!$A$2:$B$3,2,FALSE),"")</f>
        <v>BE101000</v>
      </c>
      <c r="AI1160" s="11" t="s">
        <v>55</v>
      </c>
      <c r="AJ1160" s="11"/>
      <c r="AK1160" s="11"/>
      <c r="AL1160" s="11"/>
      <c r="AM1160" s="11"/>
      <c r="AN1160" s="11"/>
      <c r="AO1160" s="11"/>
      <c r="AP1160" s="2" t="s">
        <v>70</v>
      </c>
      <c r="AQ1160" s="11" t="str">
        <f>IF(I1160&lt;&gt;"",DATA!D1159,"")</f>
        <v>8311200000</v>
      </c>
    </row>
    <row r="1161" spans="1:43" ht="15.75" x14ac:dyDescent="0.25">
      <c r="A1161" s="11" t="s">
        <v>57</v>
      </c>
      <c r="B1161" s="11" t="s">
        <v>56</v>
      </c>
      <c r="C1161" s="22">
        <f t="shared" si="78"/>
        <v>25001620</v>
      </c>
      <c r="D1161" s="11" t="str">
        <f t="shared" si="75"/>
        <v>SKIIFM_AT</v>
      </c>
      <c r="E1161" s="11" t="str">
        <f>IF(I1161&lt;&gt;"",VLOOKUP(F1161,OPDRACHTGEVER!$A$2:$B$4,2,FALSE),"")</f>
        <v>SKIIFM_AT</v>
      </c>
      <c r="F1161" s="11" t="s">
        <v>58</v>
      </c>
      <c r="I1161" s="11" t="str">
        <f>IF(DATA!B1160&lt;&gt;"",DATA!B1160,"")</f>
        <v>MEDU4967959</v>
      </c>
      <c r="J1161" s="12">
        <v>0</v>
      </c>
      <c r="K1161" s="11" t="s">
        <v>53</v>
      </c>
      <c r="L1161" s="11" t="str">
        <f t="shared" si="76"/>
        <v>820320</v>
      </c>
      <c r="M1161" s="11" t="str">
        <f>IF(I1161&lt;&gt;"",DATA!E1160,"")</f>
        <v>FORGING PLIERS</v>
      </c>
      <c r="N1161" s="12">
        <v>0</v>
      </c>
      <c r="O1161" s="11">
        <f>IF(I1161&lt;&gt;"",DATA!C1160,"")</f>
        <v>60.26</v>
      </c>
      <c r="P1161" s="2">
        <v>294094</v>
      </c>
      <c r="Q1161" s="2" t="s">
        <v>1304</v>
      </c>
      <c r="R1161" s="2" t="s">
        <v>1327</v>
      </c>
      <c r="S1161" s="2">
        <v>7</v>
      </c>
      <c r="T1161" s="2">
        <v>1</v>
      </c>
      <c r="U1161" s="2" t="s">
        <v>141</v>
      </c>
      <c r="Y1161" s="2">
        <v>1700</v>
      </c>
      <c r="Z1161" s="11" t="s">
        <v>54</v>
      </c>
      <c r="AA1161" s="11" t="str">
        <f t="shared" si="77"/>
        <v>1700 - TBN</v>
      </c>
      <c r="AC1161" s="2" t="s">
        <v>145</v>
      </c>
      <c r="AD1161" s="11" t="str">
        <f>IF($I1161&lt;&gt;"",VLOOKUP($AC1161,GEADRESSEERDE!$A$2:$E$4,2,),"")</f>
        <v>LUITHAGEN HAVEN 2 D</v>
      </c>
      <c r="AE1161" s="11">
        <f>IF($I1161&lt;&gt;"",VLOOKUP($AC1161,GEADRESSEERDE!$A$2:$E$4,3,),"")</f>
        <v>2030</v>
      </c>
      <c r="AF1161" s="11" t="str">
        <f>IF($I1161&lt;&gt;"",VLOOKUP($AC1161,GEADRESSEERDE!$A$2:$E$4,4,),"")</f>
        <v>ANTWERPEN</v>
      </c>
      <c r="AG1161" s="11" t="str">
        <f>IF($I1161&lt;&gt;"",VLOOKUP($AC1161,GEADRESSEERDE!$A$2:$E$4,5,),"")</f>
        <v>BE</v>
      </c>
      <c r="AH1161" s="11" t="str">
        <f>IF(I1161&lt;&gt;"",VLOOKUP(AP1161,KvB!$A$2:$B$3,2,FALSE),"")</f>
        <v>BE101000</v>
      </c>
      <c r="AI1161" s="11" t="s">
        <v>55</v>
      </c>
      <c r="AJ1161" s="11"/>
      <c r="AK1161" s="11"/>
      <c r="AL1161" s="11"/>
      <c r="AM1161" s="11"/>
      <c r="AN1161" s="11"/>
      <c r="AO1161" s="11"/>
      <c r="AP1161" s="2" t="s">
        <v>70</v>
      </c>
      <c r="AQ1161" s="11" t="str">
        <f>IF(I1161&lt;&gt;"",DATA!D1160,"")</f>
        <v>8203200000</v>
      </c>
    </row>
    <row r="1162" spans="1:43" ht="15.75" x14ac:dyDescent="0.25">
      <c r="A1162" s="11" t="s">
        <v>57</v>
      </c>
      <c r="B1162" s="11" t="s">
        <v>56</v>
      </c>
      <c r="C1162" s="22">
        <f t="shared" si="78"/>
        <v>25001620</v>
      </c>
      <c r="D1162" s="11" t="str">
        <f t="shared" si="75"/>
        <v>SKIIFM_AT</v>
      </c>
      <c r="E1162" s="11" t="str">
        <f>IF(I1162&lt;&gt;"",VLOOKUP(F1162,OPDRACHTGEVER!$A$2:$B$4,2,FALSE),"")</f>
        <v>SKIIFM_AT</v>
      </c>
      <c r="F1162" s="11" t="s">
        <v>58</v>
      </c>
      <c r="I1162" s="11" t="str">
        <f>IF(DATA!B1161&lt;&gt;"",DATA!B1161,"")</f>
        <v>MEDU4967959</v>
      </c>
      <c r="J1162" s="12">
        <v>0</v>
      </c>
      <c r="K1162" s="11" t="s">
        <v>53</v>
      </c>
      <c r="L1162" s="11" t="str">
        <f t="shared" si="76"/>
        <v>442199</v>
      </c>
      <c r="M1162" s="11" t="str">
        <f>IF(I1162&lt;&gt;"",DATA!E1161,"")</f>
        <v>FURNITURE DOLLIES</v>
      </c>
      <c r="N1162" s="12">
        <v>0</v>
      </c>
      <c r="O1162" s="11">
        <f>IF(I1162&lt;&gt;"",DATA!C1161,"")</f>
        <v>3.62</v>
      </c>
      <c r="P1162" s="2">
        <v>294094</v>
      </c>
      <c r="Q1162" s="2" t="s">
        <v>1304</v>
      </c>
      <c r="R1162" s="2" t="s">
        <v>1327</v>
      </c>
      <c r="S1162" s="2">
        <v>7</v>
      </c>
      <c r="T1162" s="2">
        <v>1</v>
      </c>
      <c r="U1162" s="2" t="s">
        <v>141</v>
      </c>
      <c r="Y1162" s="2">
        <v>1700</v>
      </c>
      <c r="Z1162" s="11" t="s">
        <v>54</v>
      </c>
      <c r="AA1162" s="11" t="str">
        <f t="shared" si="77"/>
        <v>1700 - TBN</v>
      </c>
      <c r="AC1162" s="2" t="s">
        <v>145</v>
      </c>
      <c r="AD1162" s="11" t="str">
        <f>IF($I1162&lt;&gt;"",VLOOKUP($AC1162,GEADRESSEERDE!$A$2:$E$4,2,),"")</f>
        <v>LUITHAGEN HAVEN 2 D</v>
      </c>
      <c r="AE1162" s="11">
        <f>IF($I1162&lt;&gt;"",VLOOKUP($AC1162,GEADRESSEERDE!$A$2:$E$4,3,),"")</f>
        <v>2030</v>
      </c>
      <c r="AF1162" s="11" t="str">
        <f>IF($I1162&lt;&gt;"",VLOOKUP($AC1162,GEADRESSEERDE!$A$2:$E$4,4,),"")</f>
        <v>ANTWERPEN</v>
      </c>
      <c r="AG1162" s="11" t="str">
        <f>IF($I1162&lt;&gt;"",VLOOKUP($AC1162,GEADRESSEERDE!$A$2:$E$4,5,),"")</f>
        <v>BE</v>
      </c>
      <c r="AH1162" s="11" t="str">
        <f>IF(I1162&lt;&gt;"",VLOOKUP(AP1162,KvB!$A$2:$B$3,2,FALSE),"")</f>
        <v>BE101000</v>
      </c>
      <c r="AI1162" s="11" t="s">
        <v>55</v>
      </c>
      <c r="AJ1162" s="11"/>
      <c r="AK1162" s="11"/>
      <c r="AL1162" s="11"/>
      <c r="AM1162" s="11"/>
      <c r="AN1162" s="11"/>
      <c r="AO1162" s="11"/>
      <c r="AP1162" s="2" t="s">
        <v>70</v>
      </c>
      <c r="AQ1162" s="11" t="str">
        <f>IF(I1162&lt;&gt;"",DATA!D1161,"")</f>
        <v>4421999999</v>
      </c>
    </row>
    <row r="1163" spans="1:43" ht="15.75" x14ac:dyDescent="0.25">
      <c r="A1163" s="11" t="s">
        <v>57</v>
      </c>
      <c r="B1163" s="11" t="s">
        <v>56</v>
      </c>
      <c r="C1163" s="22">
        <f t="shared" si="78"/>
        <v>25001620</v>
      </c>
      <c r="D1163" s="11" t="str">
        <f t="shared" si="75"/>
        <v>SKIIFM_AT</v>
      </c>
      <c r="E1163" s="11" t="str">
        <f>IF(I1163&lt;&gt;"",VLOOKUP(F1163,OPDRACHTGEVER!$A$2:$B$4,2,FALSE),"")</f>
        <v>SKIIFM_AT</v>
      </c>
      <c r="F1163" s="11" t="s">
        <v>58</v>
      </c>
      <c r="I1163" s="11" t="str">
        <f>IF(DATA!B1162&lt;&gt;"",DATA!B1162,"")</f>
        <v>MEDU4967959</v>
      </c>
      <c r="J1163" s="12">
        <v>0</v>
      </c>
      <c r="K1163" s="11" t="s">
        <v>53</v>
      </c>
      <c r="L1163" s="11" t="str">
        <f t="shared" si="76"/>
        <v>920600</v>
      </c>
      <c r="M1163" s="11" t="str">
        <f>IF(I1163&lt;&gt;"",DATA!E1162,"")</f>
        <v>GLOCKENSPIEL XYLOPHONE</v>
      </c>
      <c r="N1163" s="12">
        <v>0</v>
      </c>
      <c r="O1163" s="11">
        <f>IF(I1163&lt;&gt;"",DATA!C1162,"")</f>
        <v>63.19</v>
      </c>
      <c r="P1163" s="2">
        <v>294094</v>
      </c>
      <c r="Q1163" s="2" t="s">
        <v>1304</v>
      </c>
      <c r="R1163" s="2" t="s">
        <v>1327</v>
      </c>
      <c r="S1163" s="2">
        <v>7</v>
      </c>
      <c r="T1163" s="2">
        <v>1</v>
      </c>
      <c r="U1163" s="2" t="s">
        <v>141</v>
      </c>
      <c r="Y1163" s="2">
        <v>1700</v>
      </c>
      <c r="Z1163" s="11" t="s">
        <v>54</v>
      </c>
      <c r="AA1163" s="11" t="str">
        <f t="shared" si="77"/>
        <v>1700 - TBN</v>
      </c>
      <c r="AC1163" s="2" t="s">
        <v>145</v>
      </c>
      <c r="AD1163" s="11" t="str">
        <f>IF($I1163&lt;&gt;"",VLOOKUP($AC1163,GEADRESSEERDE!$A$2:$E$4,2,),"")</f>
        <v>LUITHAGEN HAVEN 2 D</v>
      </c>
      <c r="AE1163" s="11">
        <f>IF($I1163&lt;&gt;"",VLOOKUP($AC1163,GEADRESSEERDE!$A$2:$E$4,3,),"")</f>
        <v>2030</v>
      </c>
      <c r="AF1163" s="11" t="str">
        <f>IF($I1163&lt;&gt;"",VLOOKUP($AC1163,GEADRESSEERDE!$A$2:$E$4,4,),"")</f>
        <v>ANTWERPEN</v>
      </c>
      <c r="AG1163" s="11" t="str">
        <f>IF($I1163&lt;&gt;"",VLOOKUP($AC1163,GEADRESSEERDE!$A$2:$E$4,5,),"")</f>
        <v>BE</v>
      </c>
      <c r="AH1163" s="11" t="str">
        <f>IF(I1163&lt;&gt;"",VLOOKUP(AP1163,KvB!$A$2:$B$3,2,FALSE),"")</f>
        <v>BE101000</v>
      </c>
      <c r="AI1163" s="11" t="s">
        <v>55</v>
      </c>
      <c r="AJ1163" s="11"/>
      <c r="AK1163" s="11"/>
      <c r="AL1163" s="11"/>
      <c r="AM1163" s="11"/>
      <c r="AN1163" s="11"/>
      <c r="AO1163" s="11"/>
      <c r="AP1163" s="2" t="s">
        <v>70</v>
      </c>
      <c r="AQ1163" s="11" t="str">
        <f>IF(I1163&lt;&gt;"",DATA!D1162,"")</f>
        <v>9206000000</v>
      </c>
    </row>
    <row r="1164" spans="1:43" ht="15.75" x14ac:dyDescent="0.25">
      <c r="A1164" s="11" t="s">
        <v>57</v>
      </c>
      <c r="B1164" s="11" t="s">
        <v>56</v>
      </c>
      <c r="C1164" s="22">
        <f t="shared" si="78"/>
        <v>25001620</v>
      </c>
      <c r="D1164" s="11" t="str">
        <f t="shared" si="75"/>
        <v>SKIIFM_AT</v>
      </c>
      <c r="E1164" s="11" t="str">
        <f>IF(I1164&lt;&gt;"",VLOOKUP(F1164,OPDRACHTGEVER!$A$2:$B$4,2,FALSE),"")</f>
        <v>SKIIFM_AT</v>
      </c>
      <c r="F1164" s="11" t="s">
        <v>58</v>
      </c>
      <c r="I1164" s="11" t="str">
        <f>IF(DATA!B1163&lt;&gt;"",DATA!B1163,"")</f>
        <v>MEDU4967959</v>
      </c>
      <c r="J1164" s="12">
        <v>0</v>
      </c>
      <c r="K1164" s="11" t="s">
        <v>53</v>
      </c>
      <c r="L1164" s="11" t="str">
        <f t="shared" si="76"/>
        <v>841989</v>
      </c>
      <c r="M1164" s="11" t="str">
        <f>IF(I1164&lt;&gt;"",DATA!E1163,"")</f>
        <v>HEATING MANTLE</v>
      </c>
      <c r="N1164" s="12">
        <v>0</v>
      </c>
      <c r="O1164" s="11">
        <f>IF(I1164&lt;&gt;"",DATA!C1163,"")</f>
        <v>31.65</v>
      </c>
      <c r="P1164" s="2">
        <v>294094</v>
      </c>
      <c r="Q1164" s="2" t="s">
        <v>1304</v>
      </c>
      <c r="R1164" s="2" t="s">
        <v>1327</v>
      </c>
      <c r="S1164" s="2">
        <v>7</v>
      </c>
      <c r="T1164" s="2">
        <v>1</v>
      </c>
      <c r="U1164" s="2" t="s">
        <v>141</v>
      </c>
      <c r="Y1164" s="2">
        <v>1700</v>
      </c>
      <c r="Z1164" s="11" t="s">
        <v>54</v>
      </c>
      <c r="AA1164" s="11" t="str">
        <f t="shared" si="77"/>
        <v>1700 - TBN</v>
      </c>
      <c r="AC1164" s="2" t="s">
        <v>145</v>
      </c>
      <c r="AD1164" s="11" t="str">
        <f>IF($I1164&lt;&gt;"",VLOOKUP($AC1164,GEADRESSEERDE!$A$2:$E$4,2,),"")</f>
        <v>LUITHAGEN HAVEN 2 D</v>
      </c>
      <c r="AE1164" s="11">
        <f>IF($I1164&lt;&gt;"",VLOOKUP($AC1164,GEADRESSEERDE!$A$2:$E$4,3,),"")</f>
        <v>2030</v>
      </c>
      <c r="AF1164" s="11" t="str">
        <f>IF($I1164&lt;&gt;"",VLOOKUP($AC1164,GEADRESSEERDE!$A$2:$E$4,4,),"")</f>
        <v>ANTWERPEN</v>
      </c>
      <c r="AG1164" s="11" t="str">
        <f>IF($I1164&lt;&gt;"",VLOOKUP($AC1164,GEADRESSEERDE!$A$2:$E$4,5,),"")</f>
        <v>BE</v>
      </c>
      <c r="AH1164" s="11" t="str">
        <f>IF(I1164&lt;&gt;"",VLOOKUP(AP1164,KvB!$A$2:$B$3,2,FALSE),"")</f>
        <v>BE101000</v>
      </c>
      <c r="AI1164" s="11" t="s">
        <v>55</v>
      </c>
      <c r="AJ1164" s="11"/>
      <c r="AK1164" s="11"/>
      <c r="AL1164" s="11"/>
      <c r="AM1164" s="11"/>
      <c r="AN1164" s="11"/>
      <c r="AO1164" s="11"/>
      <c r="AP1164" s="2" t="s">
        <v>70</v>
      </c>
      <c r="AQ1164" s="11" t="str">
        <f>IF(I1164&lt;&gt;"",DATA!D1163,"")</f>
        <v>8419899890</v>
      </c>
    </row>
    <row r="1165" spans="1:43" ht="15.75" x14ac:dyDescent="0.25">
      <c r="A1165" s="11" t="s">
        <v>57</v>
      </c>
      <c r="B1165" s="11" t="s">
        <v>56</v>
      </c>
      <c r="C1165" s="22">
        <f t="shared" si="78"/>
        <v>25001620</v>
      </c>
      <c r="D1165" s="11" t="str">
        <f t="shared" si="75"/>
        <v>SKIIFM_AT</v>
      </c>
      <c r="E1165" s="11" t="str">
        <f>IF(I1165&lt;&gt;"",VLOOKUP(F1165,OPDRACHTGEVER!$A$2:$B$4,2,FALSE),"")</f>
        <v>SKIIFM_AT</v>
      </c>
      <c r="F1165" s="11" t="s">
        <v>58</v>
      </c>
      <c r="I1165" s="11" t="str">
        <f>IF(DATA!B1164&lt;&gt;"",DATA!B1164,"")</f>
        <v>MEDU4967959</v>
      </c>
      <c r="J1165" s="12">
        <v>0</v>
      </c>
      <c r="K1165" s="11" t="s">
        <v>53</v>
      </c>
      <c r="L1165" s="11" t="str">
        <f t="shared" si="76"/>
        <v>843680</v>
      </c>
      <c r="M1165" s="11" t="str">
        <f>IF(I1165&lt;&gt;"",DATA!E1164,"")</f>
        <v>HONEY EXTRACTOR</v>
      </c>
      <c r="N1165" s="12">
        <v>0</v>
      </c>
      <c r="O1165" s="11">
        <f>IF(I1165&lt;&gt;"",DATA!C1164,"")</f>
        <v>654.5</v>
      </c>
      <c r="P1165" s="2">
        <v>294094</v>
      </c>
      <c r="Q1165" s="2" t="s">
        <v>1304</v>
      </c>
      <c r="R1165" s="2" t="s">
        <v>1327</v>
      </c>
      <c r="S1165" s="2">
        <v>7</v>
      </c>
      <c r="T1165" s="2">
        <v>1</v>
      </c>
      <c r="U1165" s="2" t="s">
        <v>141</v>
      </c>
      <c r="Y1165" s="2">
        <v>1700</v>
      </c>
      <c r="Z1165" s="11" t="s">
        <v>54</v>
      </c>
      <c r="AA1165" s="11" t="str">
        <f t="shared" si="77"/>
        <v>1700 - TBN</v>
      </c>
      <c r="AC1165" s="2" t="s">
        <v>145</v>
      </c>
      <c r="AD1165" s="11" t="str">
        <f>IF($I1165&lt;&gt;"",VLOOKUP($AC1165,GEADRESSEERDE!$A$2:$E$4,2,),"")</f>
        <v>LUITHAGEN HAVEN 2 D</v>
      </c>
      <c r="AE1165" s="11">
        <f>IF($I1165&lt;&gt;"",VLOOKUP($AC1165,GEADRESSEERDE!$A$2:$E$4,3,),"")</f>
        <v>2030</v>
      </c>
      <c r="AF1165" s="11" t="str">
        <f>IF($I1165&lt;&gt;"",VLOOKUP($AC1165,GEADRESSEERDE!$A$2:$E$4,4,),"")</f>
        <v>ANTWERPEN</v>
      </c>
      <c r="AG1165" s="11" t="str">
        <f>IF($I1165&lt;&gt;"",VLOOKUP($AC1165,GEADRESSEERDE!$A$2:$E$4,5,),"")</f>
        <v>BE</v>
      </c>
      <c r="AH1165" s="11" t="str">
        <f>IF(I1165&lt;&gt;"",VLOOKUP(AP1165,KvB!$A$2:$B$3,2,FALSE),"")</f>
        <v>BE101000</v>
      </c>
      <c r="AI1165" s="11" t="s">
        <v>55</v>
      </c>
      <c r="AJ1165" s="11"/>
      <c r="AK1165" s="11"/>
      <c r="AL1165" s="11"/>
      <c r="AM1165" s="11"/>
      <c r="AN1165" s="11"/>
      <c r="AO1165" s="11"/>
      <c r="AP1165" s="2" t="s">
        <v>70</v>
      </c>
      <c r="AQ1165" s="11" t="str">
        <f>IF(I1165&lt;&gt;"",DATA!D1164,"")</f>
        <v>8436809000</v>
      </c>
    </row>
    <row r="1166" spans="1:43" ht="15.75" x14ac:dyDescent="0.25">
      <c r="A1166" s="11" t="s">
        <v>57</v>
      </c>
      <c r="B1166" s="11" t="s">
        <v>56</v>
      </c>
      <c r="C1166" s="22">
        <f t="shared" si="78"/>
        <v>25001620</v>
      </c>
      <c r="D1166" s="11" t="str">
        <f t="shared" si="75"/>
        <v>SKIIFM_AT</v>
      </c>
      <c r="E1166" s="11" t="str">
        <f>IF(I1166&lt;&gt;"",VLOOKUP(F1166,OPDRACHTGEVER!$A$2:$B$4,2,FALSE),"")</f>
        <v>SKIIFM_AT</v>
      </c>
      <c r="F1166" s="11" t="s">
        <v>58</v>
      </c>
      <c r="I1166" s="11" t="str">
        <f>IF(DATA!B1165&lt;&gt;"",DATA!B1165,"")</f>
        <v>MEDU4967959</v>
      </c>
      <c r="J1166" s="12">
        <v>0</v>
      </c>
      <c r="K1166" s="11" t="s">
        <v>53</v>
      </c>
      <c r="L1166" s="11" t="str">
        <f t="shared" si="76"/>
        <v>841229</v>
      </c>
      <c r="M1166" s="11" t="str">
        <f>IF(I1166&lt;&gt;"",DATA!E1165,"")</f>
        <v>HYDRAULIC POWER UNIT</v>
      </c>
      <c r="N1166" s="12">
        <v>0</v>
      </c>
      <c r="O1166" s="11">
        <f>IF(I1166&lt;&gt;"",DATA!C1165,"")</f>
        <v>67.38</v>
      </c>
      <c r="P1166" s="2">
        <v>294094</v>
      </c>
      <c r="Q1166" s="2" t="s">
        <v>1304</v>
      </c>
      <c r="R1166" s="2" t="s">
        <v>1327</v>
      </c>
      <c r="S1166" s="2">
        <v>7</v>
      </c>
      <c r="T1166" s="2">
        <v>1</v>
      </c>
      <c r="U1166" s="2" t="s">
        <v>141</v>
      </c>
      <c r="Y1166" s="2">
        <v>1700</v>
      </c>
      <c r="Z1166" s="11" t="s">
        <v>54</v>
      </c>
      <c r="AA1166" s="11" t="str">
        <f t="shared" si="77"/>
        <v>1700 - TBN</v>
      </c>
      <c r="AC1166" s="2" t="s">
        <v>145</v>
      </c>
      <c r="AD1166" s="11" t="str">
        <f>IF($I1166&lt;&gt;"",VLOOKUP($AC1166,GEADRESSEERDE!$A$2:$E$4,2,),"")</f>
        <v>LUITHAGEN HAVEN 2 D</v>
      </c>
      <c r="AE1166" s="11">
        <f>IF($I1166&lt;&gt;"",VLOOKUP($AC1166,GEADRESSEERDE!$A$2:$E$4,3,),"")</f>
        <v>2030</v>
      </c>
      <c r="AF1166" s="11" t="str">
        <f>IF($I1166&lt;&gt;"",VLOOKUP($AC1166,GEADRESSEERDE!$A$2:$E$4,4,),"")</f>
        <v>ANTWERPEN</v>
      </c>
      <c r="AG1166" s="11" t="str">
        <f>IF($I1166&lt;&gt;"",VLOOKUP($AC1166,GEADRESSEERDE!$A$2:$E$4,5,),"")</f>
        <v>BE</v>
      </c>
      <c r="AH1166" s="11" t="str">
        <f>IF(I1166&lt;&gt;"",VLOOKUP(AP1166,KvB!$A$2:$B$3,2,FALSE),"")</f>
        <v>BE101000</v>
      </c>
      <c r="AI1166" s="11" t="s">
        <v>55</v>
      </c>
      <c r="AJ1166" s="11"/>
      <c r="AK1166" s="11"/>
      <c r="AL1166" s="11"/>
      <c r="AM1166" s="11"/>
      <c r="AN1166" s="11"/>
      <c r="AO1166" s="11"/>
      <c r="AP1166" s="2" t="s">
        <v>70</v>
      </c>
      <c r="AQ1166" s="11" t="str">
        <f>IF(I1166&lt;&gt;"",DATA!D1165,"")</f>
        <v>8412298990</v>
      </c>
    </row>
    <row r="1167" spans="1:43" ht="15.75" x14ac:dyDescent="0.25">
      <c r="A1167" s="11" t="s">
        <v>57</v>
      </c>
      <c r="B1167" s="11" t="s">
        <v>56</v>
      </c>
      <c r="C1167" s="22">
        <f t="shared" si="78"/>
        <v>25001620</v>
      </c>
      <c r="D1167" s="11" t="str">
        <f t="shared" si="75"/>
        <v>SKIIFM_AT</v>
      </c>
      <c r="E1167" s="11" t="str">
        <f>IF(I1167&lt;&gt;"",VLOOKUP(F1167,OPDRACHTGEVER!$A$2:$B$4,2,FALSE),"")</f>
        <v>SKIIFM_AT</v>
      </c>
      <c r="F1167" s="11" t="s">
        <v>58</v>
      </c>
      <c r="I1167" s="11" t="str">
        <f>IF(DATA!B1166&lt;&gt;"",DATA!B1166,"")</f>
        <v>MEDU4967959</v>
      </c>
      <c r="J1167" s="12">
        <v>0</v>
      </c>
      <c r="K1167" s="11" t="s">
        <v>53</v>
      </c>
      <c r="L1167" s="11" t="str">
        <f t="shared" si="76"/>
        <v>841420</v>
      </c>
      <c r="M1167" s="11" t="str">
        <f>IF(I1167&lt;&gt;"",DATA!E1166,"")</f>
        <v>HYDRAULIC PUMP</v>
      </c>
      <c r="N1167" s="12">
        <v>0</v>
      </c>
      <c r="O1167" s="11">
        <f>IF(I1167&lt;&gt;"",DATA!C1166,"")</f>
        <v>134.36000000000001</v>
      </c>
      <c r="P1167" s="2">
        <v>294094</v>
      </c>
      <c r="Q1167" s="2" t="s">
        <v>1304</v>
      </c>
      <c r="R1167" s="2" t="s">
        <v>1327</v>
      </c>
      <c r="S1167" s="2">
        <v>7</v>
      </c>
      <c r="T1167" s="2">
        <v>1</v>
      </c>
      <c r="U1167" s="2" t="s">
        <v>141</v>
      </c>
      <c r="Y1167" s="2">
        <v>1700</v>
      </c>
      <c r="Z1167" s="11" t="s">
        <v>54</v>
      </c>
      <c r="AA1167" s="11" t="str">
        <f t="shared" si="77"/>
        <v>1700 - TBN</v>
      </c>
      <c r="AC1167" s="2" t="s">
        <v>145</v>
      </c>
      <c r="AD1167" s="11" t="str">
        <f>IF($I1167&lt;&gt;"",VLOOKUP($AC1167,GEADRESSEERDE!$A$2:$E$4,2,),"")</f>
        <v>LUITHAGEN HAVEN 2 D</v>
      </c>
      <c r="AE1167" s="11">
        <f>IF($I1167&lt;&gt;"",VLOOKUP($AC1167,GEADRESSEERDE!$A$2:$E$4,3,),"")</f>
        <v>2030</v>
      </c>
      <c r="AF1167" s="11" t="str">
        <f>IF($I1167&lt;&gt;"",VLOOKUP($AC1167,GEADRESSEERDE!$A$2:$E$4,4,),"")</f>
        <v>ANTWERPEN</v>
      </c>
      <c r="AG1167" s="11" t="str">
        <f>IF($I1167&lt;&gt;"",VLOOKUP($AC1167,GEADRESSEERDE!$A$2:$E$4,5,),"")</f>
        <v>BE</v>
      </c>
      <c r="AH1167" s="11" t="str">
        <f>IF(I1167&lt;&gt;"",VLOOKUP(AP1167,KvB!$A$2:$B$3,2,FALSE),"")</f>
        <v>BE101000</v>
      </c>
      <c r="AI1167" s="11" t="s">
        <v>55</v>
      </c>
      <c r="AJ1167" s="11"/>
      <c r="AK1167" s="11"/>
      <c r="AL1167" s="11"/>
      <c r="AM1167" s="11"/>
      <c r="AN1167" s="11"/>
      <c r="AO1167" s="11"/>
      <c r="AP1167" s="2" t="s">
        <v>70</v>
      </c>
      <c r="AQ1167" s="11" t="str">
        <f>IF(I1167&lt;&gt;"",DATA!D1166,"")</f>
        <v>8414208090</v>
      </c>
    </row>
    <row r="1168" spans="1:43" ht="15.75" x14ac:dyDescent="0.25">
      <c r="A1168" s="11" t="s">
        <v>57</v>
      </c>
      <c r="B1168" s="11" t="s">
        <v>56</v>
      </c>
      <c r="C1168" s="22">
        <f t="shared" si="78"/>
        <v>25001620</v>
      </c>
      <c r="D1168" s="11" t="str">
        <f t="shared" si="75"/>
        <v>SKIIFM_AT</v>
      </c>
      <c r="E1168" s="11" t="str">
        <f>IF(I1168&lt;&gt;"",VLOOKUP(F1168,OPDRACHTGEVER!$A$2:$B$4,2,FALSE),"")</f>
        <v>SKIIFM_AT</v>
      </c>
      <c r="F1168" s="11" t="s">
        <v>58</v>
      </c>
      <c r="I1168" s="11" t="str">
        <f>IF(DATA!B1167&lt;&gt;"",DATA!B1167,"")</f>
        <v>MEDU4967959</v>
      </c>
      <c r="J1168" s="12">
        <v>0</v>
      </c>
      <c r="K1168" s="11" t="s">
        <v>53</v>
      </c>
      <c r="L1168" s="11" t="str">
        <f t="shared" si="76"/>
        <v>847989</v>
      </c>
      <c r="M1168" s="11" t="str">
        <f>IF(I1168&lt;&gt;"",DATA!E1167,"")</f>
        <v>HYDRAULIC RUDDER</v>
      </c>
      <c r="N1168" s="12">
        <v>0</v>
      </c>
      <c r="O1168" s="11">
        <f>IF(I1168&lt;&gt;"",DATA!C1167,"")</f>
        <v>70.58</v>
      </c>
      <c r="P1168" s="2">
        <v>294094</v>
      </c>
      <c r="Q1168" s="2" t="s">
        <v>1304</v>
      </c>
      <c r="R1168" s="2" t="s">
        <v>1327</v>
      </c>
      <c r="S1168" s="2">
        <v>7</v>
      </c>
      <c r="T1168" s="2">
        <v>1</v>
      </c>
      <c r="U1168" s="2" t="s">
        <v>141</v>
      </c>
      <c r="Y1168" s="2">
        <v>1700</v>
      </c>
      <c r="Z1168" s="11" t="s">
        <v>54</v>
      </c>
      <c r="AA1168" s="11" t="str">
        <f t="shared" si="77"/>
        <v>1700 - TBN</v>
      </c>
      <c r="AC1168" s="2" t="s">
        <v>145</v>
      </c>
      <c r="AD1168" s="11" t="str">
        <f>IF($I1168&lt;&gt;"",VLOOKUP($AC1168,GEADRESSEERDE!$A$2:$E$4,2,),"")</f>
        <v>LUITHAGEN HAVEN 2 D</v>
      </c>
      <c r="AE1168" s="11">
        <f>IF($I1168&lt;&gt;"",VLOOKUP($AC1168,GEADRESSEERDE!$A$2:$E$4,3,),"")</f>
        <v>2030</v>
      </c>
      <c r="AF1168" s="11" t="str">
        <f>IF($I1168&lt;&gt;"",VLOOKUP($AC1168,GEADRESSEERDE!$A$2:$E$4,4,),"")</f>
        <v>ANTWERPEN</v>
      </c>
      <c r="AG1168" s="11" t="str">
        <f>IF($I1168&lt;&gt;"",VLOOKUP($AC1168,GEADRESSEERDE!$A$2:$E$4,5,),"")</f>
        <v>BE</v>
      </c>
      <c r="AH1168" s="11" t="str">
        <f>IF(I1168&lt;&gt;"",VLOOKUP(AP1168,KvB!$A$2:$B$3,2,FALSE),"")</f>
        <v>BE101000</v>
      </c>
      <c r="AI1168" s="11" t="s">
        <v>55</v>
      </c>
      <c r="AJ1168" s="11"/>
      <c r="AK1168" s="11"/>
      <c r="AL1168" s="11"/>
      <c r="AM1168" s="11"/>
      <c r="AN1168" s="11"/>
      <c r="AO1168" s="11"/>
      <c r="AP1168" s="2" t="s">
        <v>70</v>
      </c>
      <c r="AQ1168" s="11" t="str">
        <f>IF(I1168&lt;&gt;"",DATA!D1167,"")</f>
        <v>8479899790</v>
      </c>
    </row>
    <row r="1169" spans="1:43" ht="15.75" x14ac:dyDescent="0.25">
      <c r="A1169" s="11" t="s">
        <v>57</v>
      </c>
      <c r="B1169" s="11" t="s">
        <v>56</v>
      </c>
      <c r="C1169" s="22">
        <f t="shared" si="78"/>
        <v>25001620</v>
      </c>
      <c r="D1169" s="11" t="str">
        <f t="shared" si="75"/>
        <v>SKIIFM_AT</v>
      </c>
      <c r="E1169" s="11" t="str">
        <f>IF(I1169&lt;&gt;"",VLOOKUP(F1169,OPDRACHTGEVER!$A$2:$B$4,2,FALSE),"")</f>
        <v>SKIIFM_AT</v>
      </c>
      <c r="F1169" s="11" t="s">
        <v>58</v>
      </c>
      <c r="I1169" s="11" t="str">
        <f>IF(DATA!B1168&lt;&gt;"",DATA!B1168,"")</f>
        <v>MEDU4967959</v>
      </c>
      <c r="J1169" s="12">
        <v>0</v>
      </c>
      <c r="K1169" s="11" t="s">
        <v>53</v>
      </c>
      <c r="L1169" s="11" t="str">
        <f t="shared" si="76"/>
        <v>846630</v>
      </c>
      <c r="M1169" s="11" t="str">
        <f>IF(I1169&lt;&gt;"",DATA!E1168,"")</f>
        <v>INDEXING PLATE</v>
      </c>
      <c r="N1169" s="12">
        <v>0</v>
      </c>
      <c r="O1169" s="11">
        <f>IF(I1169&lt;&gt;"",DATA!C1168,"")</f>
        <v>56</v>
      </c>
      <c r="P1169" s="2">
        <v>294094</v>
      </c>
      <c r="Q1169" s="2" t="s">
        <v>1304</v>
      </c>
      <c r="R1169" s="2" t="s">
        <v>1327</v>
      </c>
      <c r="S1169" s="2">
        <v>7</v>
      </c>
      <c r="T1169" s="2">
        <v>1</v>
      </c>
      <c r="U1169" s="2" t="s">
        <v>141</v>
      </c>
      <c r="Y1169" s="2">
        <v>1700</v>
      </c>
      <c r="Z1169" s="11" t="s">
        <v>54</v>
      </c>
      <c r="AA1169" s="11" t="str">
        <f t="shared" si="77"/>
        <v>1700 - TBN</v>
      </c>
      <c r="AC1169" s="2" t="s">
        <v>145</v>
      </c>
      <c r="AD1169" s="11" t="str">
        <f>IF($I1169&lt;&gt;"",VLOOKUP($AC1169,GEADRESSEERDE!$A$2:$E$4,2,),"")</f>
        <v>LUITHAGEN HAVEN 2 D</v>
      </c>
      <c r="AE1169" s="11">
        <f>IF($I1169&lt;&gt;"",VLOOKUP($AC1169,GEADRESSEERDE!$A$2:$E$4,3,),"")</f>
        <v>2030</v>
      </c>
      <c r="AF1169" s="11" t="str">
        <f>IF($I1169&lt;&gt;"",VLOOKUP($AC1169,GEADRESSEERDE!$A$2:$E$4,4,),"")</f>
        <v>ANTWERPEN</v>
      </c>
      <c r="AG1169" s="11" t="str">
        <f>IF($I1169&lt;&gt;"",VLOOKUP($AC1169,GEADRESSEERDE!$A$2:$E$4,5,),"")</f>
        <v>BE</v>
      </c>
      <c r="AH1169" s="11" t="str">
        <f>IF(I1169&lt;&gt;"",VLOOKUP(AP1169,KvB!$A$2:$B$3,2,FALSE),"")</f>
        <v>BE101000</v>
      </c>
      <c r="AI1169" s="11" t="s">
        <v>55</v>
      </c>
      <c r="AJ1169" s="11"/>
      <c r="AK1169" s="11"/>
      <c r="AL1169" s="11"/>
      <c r="AM1169" s="11"/>
      <c r="AN1169" s="11"/>
      <c r="AO1169" s="11"/>
      <c r="AP1169" s="2" t="s">
        <v>70</v>
      </c>
      <c r="AQ1169" s="11" t="str">
        <f>IF(I1169&lt;&gt;"",DATA!D1168,"")</f>
        <v>8466300000</v>
      </c>
    </row>
    <row r="1170" spans="1:43" ht="15.75" x14ac:dyDescent="0.25">
      <c r="A1170" s="11" t="s">
        <v>57</v>
      </c>
      <c r="B1170" s="11" t="s">
        <v>56</v>
      </c>
      <c r="C1170" s="22">
        <f t="shared" si="78"/>
        <v>25001620</v>
      </c>
      <c r="D1170" s="11" t="str">
        <f t="shared" si="75"/>
        <v>SKIIFM_AT</v>
      </c>
      <c r="E1170" s="11" t="str">
        <f>IF(I1170&lt;&gt;"",VLOOKUP(F1170,OPDRACHTGEVER!$A$2:$B$4,2,FALSE),"")</f>
        <v>SKIIFM_AT</v>
      </c>
      <c r="F1170" s="11" t="s">
        <v>58</v>
      </c>
      <c r="I1170" s="11" t="str">
        <f>IF(DATA!B1169&lt;&gt;"",DATA!B1169,"")</f>
        <v>MEDU4967959</v>
      </c>
      <c r="J1170" s="12">
        <v>0</v>
      </c>
      <c r="K1170" s="11" t="s">
        <v>53</v>
      </c>
      <c r="L1170" s="11" t="str">
        <f t="shared" si="76"/>
        <v>950691</v>
      </c>
      <c r="M1170" s="11" t="str">
        <f>IF(I1170&lt;&gt;"",DATA!E1169,"")</f>
        <v>INFLATABLE FLOATING DOCK</v>
      </c>
      <c r="N1170" s="12">
        <v>0</v>
      </c>
      <c r="O1170" s="11">
        <f>IF(I1170&lt;&gt;"",DATA!C1169,"")</f>
        <v>16.920000000000002</v>
      </c>
      <c r="P1170" s="2">
        <v>294094</v>
      </c>
      <c r="Q1170" s="2" t="s">
        <v>1304</v>
      </c>
      <c r="R1170" s="2" t="s">
        <v>1327</v>
      </c>
      <c r="S1170" s="2">
        <v>7</v>
      </c>
      <c r="T1170" s="2">
        <v>1</v>
      </c>
      <c r="U1170" s="2" t="s">
        <v>141</v>
      </c>
      <c r="Y1170" s="2">
        <v>1700</v>
      </c>
      <c r="Z1170" s="11" t="s">
        <v>54</v>
      </c>
      <c r="AA1170" s="11" t="str">
        <f t="shared" si="77"/>
        <v>1700 - TBN</v>
      </c>
      <c r="AC1170" s="2" t="s">
        <v>145</v>
      </c>
      <c r="AD1170" s="11" t="str">
        <f>IF($I1170&lt;&gt;"",VLOOKUP($AC1170,GEADRESSEERDE!$A$2:$E$4,2,),"")</f>
        <v>LUITHAGEN HAVEN 2 D</v>
      </c>
      <c r="AE1170" s="11">
        <f>IF($I1170&lt;&gt;"",VLOOKUP($AC1170,GEADRESSEERDE!$A$2:$E$4,3,),"")</f>
        <v>2030</v>
      </c>
      <c r="AF1170" s="11" t="str">
        <f>IF($I1170&lt;&gt;"",VLOOKUP($AC1170,GEADRESSEERDE!$A$2:$E$4,4,),"")</f>
        <v>ANTWERPEN</v>
      </c>
      <c r="AG1170" s="11" t="str">
        <f>IF($I1170&lt;&gt;"",VLOOKUP($AC1170,GEADRESSEERDE!$A$2:$E$4,5,),"")</f>
        <v>BE</v>
      </c>
      <c r="AH1170" s="11" t="str">
        <f>IF(I1170&lt;&gt;"",VLOOKUP(AP1170,KvB!$A$2:$B$3,2,FALSE),"")</f>
        <v>BE101000</v>
      </c>
      <c r="AI1170" s="11" t="s">
        <v>55</v>
      </c>
      <c r="AJ1170" s="11"/>
      <c r="AK1170" s="11"/>
      <c r="AL1170" s="11"/>
      <c r="AM1170" s="11"/>
      <c r="AN1170" s="11"/>
      <c r="AO1170" s="11"/>
      <c r="AP1170" s="2" t="s">
        <v>70</v>
      </c>
      <c r="AQ1170" s="11" t="str">
        <f>IF(I1170&lt;&gt;"",DATA!D1169,"")</f>
        <v>9506919000</v>
      </c>
    </row>
    <row r="1171" spans="1:43" ht="15.75" x14ac:dyDescent="0.25">
      <c r="A1171" s="11" t="s">
        <v>57</v>
      </c>
      <c r="B1171" s="11" t="s">
        <v>56</v>
      </c>
      <c r="C1171" s="22">
        <f t="shared" si="78"/>
        <v>25001620</v>
      </c>
      <c r="D1171" s="11" t="str">
        <f t="shared" si="75"/>
        <v>SKIIFM_AT</v>
      </c>
      <c r="E1171" s="11" t="str">
        <f>IF(I1171&lt;&gt;"",VLOOKUP(F1171,OPDRACHTGEVER!$A$2:$B$4,2,FALSE),"")</f>
        <v>SKIIFM_AT</v>
      </c>
      <c r="F1171" s="11" t="s">
        <v>58</v>
      </c>
      <c r="I1171" s="11" t="str">
        <f>IF(DATA!B1170&lt;&gt;"",DATA!B1170,"")</f>
        <v>MEDU4967959</v>
      </c>
      <c r="J1171" s="12">
        <v>0</v>
      </c>
      <c r="K1171" s="11" t="s">
        <v>53</v>
      </c>
      <c r="L1171" s="11" t="str">
        <f t="shared" si="76"/>
        <v>842549</v>
      </c>
      <c r="M1171" s="11" t="str">
        <f>IF(I1171&lt;&gt;"",DATA!E1170,"")</f>
        <v>JACK</v>
      </c>
      <c r="N1171" s="12">
        <v>0</v>
      </c>
      <c r="O1171" s="11">
        <f>IF(I1171&lt;&gt;"",DATA!C1170,"")</f>
        <v>54.7</v>
      </c>
      <c r="P1171" s="2">
        <v>294094</v>
      </c>
      <c r="Q1171" s="2" t="s">
        <v>1304</v>
      </c>
      <c r="R1171" s="2" t="s">
        <v>1327</v>
      </c>
      <c r="S1171" s="2">
        <v>7</v>
      </c>
      <c r="T1171" s="2">
        <v>1</v>
      </c>
      <c r="U1171" s="2" t="s">
        <v>141</v>
      </c>
      <c r="Y1171" s="2">
        <v>1700</v>
      </c>
      <c r="Z1171" s="11" t="s">
        <v>54</v>
      </c>
      <c r="AA1171" s="11" t="str">
        <f t="shared" si="77"/>
        <v>1700 - TBN</v>
      </c>
      <c r="AC1171" s="2" t="s">
        <v>145</v>
      </c>
      <c r="AD1171" s="11" t="str">
        <f>IF($I1171&lt;&gt;"",VLOOKUP($AC1171,GEADRESSEERDE!$A$2:$E$4,2,),"")</f>
        <v>LUITHAGEN HAVEN 2 D</v>
      </c>
      <c r="AE1171" s="11">
        <f>IF($I1171&lt;&gt;"",VLOOKUP($AC1171,GEADRESSEERDE!$A$2:$E$4,3,),"")</f>
        <v>2030</v>
      </c>
      <c r="AF1171" s="11" t="str">
        <f>IF($I1171&lt;&gt;"",VLOOKUP($AC1171,GEADRESSEERDE!$A$2:$E$4,4,),"")</f>
        <v>ANTWERPEN</v>
      </c>
      <c r="AG1171" s="11" t="str">
        <f>IF($I1171&lt;&gt;"",VLOOKUP($AC1171,GEADRESSEERDE!$A$2:$E$4,5,),"")</f>
        <v>BE</v>
      </c>
      <c r="AH1171" s="11" t="str">
        <f>IF(I1171&lt;&gt;"",VLOOKUP(AP1171,KvB!$A$2:$B$3,2,FALSE),"")</f>
        <v>BE101000</v>
      </c>
      <c r="AI1171" s="11" t="s">
        <v>55</v>
      </c>
      <c r="AJ1171" s="11"/>
      <c r="AK1171" s="11"/>
      <c r="AL1171" s="11"/>
      <c r="AM1171" s="11"/>
      <c r="AN1171" s="11"/>
      <c r="AO1171" s="11"/>
      <c r="AP1171" s="2" t="s">
        <v>70</v>
      </c>
      <c r="AQ1171" s="11" t="str">
        <f>IF(I1171&lt;&gt;"",DATA!D1170,"")</f>
        <v>8425490000</v>
      </c>
    </row>
    <row r="1172" spans="1:43" ht="15.75" x14ac:dyDescent="0.25">
      <c r="A1172" s="11" t="s">
        <v>57</v>
      </c>
      <c r="B1172" s="11" t="s">
        <v>56</v>
      </c>
      <c r="C1172" s="22">
        <f t="shared" si="78"/>
        <v>25001620</v>
      </c>
      <c r="D1172" s="11" t="str">
        <f t="shared" si="75"/>
        <v>SKIIFM_AT</v>
      </c>
      <c r="E1172" s="11" t="str">
        <f>IF(I1172&lt;&gt;"",VLOOKUP(F1172,OPDRACHTGEVER!$A$2:$B$4,2,FALSE),"")</f>
        <v>SKIIFM_AT</v>
      </c>
      <c r="F1172" s="11" t="s">
        <v>58</v>
      </c>
      <c r="I1172" s="11" t="str">
        <f>IF(DATA!B1171&lt;&gt;"",DATA!B1171,"")</f>
        <v>MEDU4967959</v>
      </c>
      <c r="J1172" s="12">
        <v>0</v>
      </c>
      <c r="K1172" s="11" t="s">
        <v>53</v>
      </c>
      <c r="L1172" s="11" t="str">
        <f t="shared" si="76"/>
        <v>846620</v>
      </c>
      <c r="M1172" s="11" t="str">
        <f>IF(I1172&lt;&gt;"",DATA!E1171,"")</f>
        <v>LATHE CHUCK</v>
      </c>
      <c r="N1172" s="12">
        <v>0</v>
      </c>
      <c r="O1172" s="11">
        <f>IF(I1172&lt;&gt;"",DATA!C1171,"")</f>
        <v>19.420000000000002</v>
      </c>
      <c r="P1172" s="2">
        <v>294094</v>
      </c>
      <c r="Q1172" s="2" t="s">
        <v>1304</v>
      </c>
      <c r="R1172" s="2" t="s">
        <v>1327</v>
      </c>
      <c r="S1172" s="2">
        <v>7</v>
      </c>
      <c r="T1172" s="2">
        <v>1</v>
      </c>
      <c r="U1172" s="2" t="s">
        <v>141</v>
      </c>
      <c r="Y1172" s="2">
        <v>1700</v>
      </c>
      <c r="Z1172" s="11" t="s">
        <v>54</v>
      </c>
      <c r="AA1172" s="11" t="str">
        <f t="shared" si="77"/>
        <v>1700 - TBN</v>
      </c>
      <c r="AC1172" s="2" t="s">
        <v>145</v>
      </c>
      <c r="AD1172" s="11" t="str">
        <f>IF($I1172&lt;&gt;"",VLOOKUP($AC1172,GEADRESSEERDE!$A$2:$E$4,2,),"")</f>
        <v>LUITHAGEN HAVEN 2 D</v>
      </c>
      <c r="AE1172" s="11">
        <f>IF($I1172&lt;&gt;"",VLOOKUP($AC1172,GEADRESSEERDE!$A$2:$E$4,3,),"")</f>
        <v>2030</v>
      </c>
      <c r="AF1172" s="11" t="str">
        <f>IF($I1172&lt;&gt;"",VLOOKUP($AC1172,GEADRESSEERDE!$A$2:$E$4,4,),"")</f>
        <v>ANTWERPEN</v>
      </c>
      <c r="AG1172" s="11" t="str">
        <f>IF($I1172&lt;&gt;"",VLOOKUP($AC1172,GEADRESSEERDE!$A$2:$E$4,5,),"")</f>
        <v>BE</v>
      </c>
      <c r="AH1172" s="11" t="str">
        <f>IF(I1172&lt;&gt;"",VLOOKUP(AP1172,KvB!$A$2:$B$3,2,FALSE),"")</f>
        <v>BE101000</v>
      </c>
      <c r="AI1172" s="11" t="s">
        <v>55</v>
      </c>
      <c r="AJ1172" s="11"/>
      <c r="AK1172" s="11"/>
      <c r="AL1172" s="11"/>
      <c r="AM1172" s="11"/>
      <c r="AN1172" s="11"/>
      <c r="AO1172" s="11"/>
      <c r="AP1172" s="2" t="s">
        <v>70</v>
      </c>
      <c r="AQ1172" s="11" t="str">
        <f>IF(I1172&lt;&gt;"",DATA!D1171,"")</f>
        <v>8466202000</v>
      </c>
    </row>
    <row r="1173" spans="1:43" ht="15.75" x14ac:dyDescent="0.25">
      <c r="A1173" s="11" t="s">
        <v>57</v>
      </c>
      <c r="B1173" s="11" t="s">
        <v>56</v>
      </c>
      <c r="C1173" s="22">
        <f t="shared" si="78"/>
        <v>25001620</v>
      </c>
      <c r="D1173" s="11" t="str">
        <f t="shared" si="75"/>
        <v>SKIIFM_AT</v>
      </c>
      <c r="E1173" s="11" t="str">
        <f>IF(I1173&lt;&gt;"",VLOOKUP(F1173,OPDRACHTGEVER!$A$2:$B$4,2,FALSE),"")</f>
        <v>SKIIFM_AT</v>
      </c>
      <c r="F1173" s="11" t="s">
        <v>58</v>
      </c>
      <c r="I1173" s="11" t="str">
        <f>IF(DATA!B1172&lt;&gt;"",DATA!B1172,"")</f>
        <v>MEDU4967959</v>
      </c>
      <c r="J1173" s="12">
        <v>0</v>
      </c>
      <c r="K1173" s="11" t="s">
        <v>53</v>
      </c>
      <c r="L1173" s="11" t="str">
        <f t="shared" si="76"/>
        <v>842519</v>
      </c>
      <c r="M1173" s="11" t="str">
        <f>IF(I1173&lt;&gt;"",DATA!E1172,"")</f>
        <v>LIFTING BLOCK</v>
      </c>
      <c r="N1173" s="12">
        <v>0</v>
      </c>
      <c r="O1173" s="11">
        <f>IF(I1173&lt;&gt;"",DATA!C1172,"")</f>
        <v>1353.2</v>
      </c>
      <c r="P1173" s="2">
        <v>294094</v>
      </c>
      <c r="Q1173" s="2" t="s">
        <v>1304</v>
      </c>
      <c r="R1173" s="2" t="s">
        <v>1327</v>
      </c>
      <c r="S1173" s="2">
        <v>7</v>
      </c>
      <c r="T1173" s="2">
        <v>1</v>
      </c>
      <c r="U1173" s="2" t="s">
        <v>141</v>
      </c>
      <c r="Y1173" s="2">
        <v>1700</v>
      </c>
      <c r="Z1173" s="11" t="s">
        <v>54</v>
      </c>
      <c r="AA1173" s="11" t="str">
        <f t="shared" si="77"/>
        <v>1700 - TBN</v>
      </c>
      <c r="AC1173" s="2" t="s">
        <v>145</v>
      </c>
      <c r="AD1173" s="11" t="str">
        <f>IF($I1173&lt;&gt;"",VLOOKUP($AC1173,GEADRESSEERDE!$A$2:$E$4,2,),"")</f>
        <v>LUITHAGEN HAVEN 2 D</v>
      </c>
      <c r="AE1173" s="11">
        <f>IF($I1173&lt;&gt;"",VLOOKUP($AC1173,GEADRESSEERDE!$A$2:$E$4,3,),"")</f>
        <v>2030</v>
      </c>
      <c r="AF1173" s="11" t="str">
        <f>IF($I1173&lt;&gt;"",VLOOKUP($AC1173,GEADRESSEERDE!$A$2:$E$4,4,),"")</f>
        <v>ANTWERPEN</v>
      </c>
      <c r="AG1173" s="11" t="str">
        <f>IF($I1173&lt;&gt;"",VLOOKUP($AC1173,GEADRESSEERDE!$A$2:$E$4,5,),"")</f>
        <v>BE</v>
      </c>
      <c r="AH1173" s="11" t="str">
        <f>IF(I1173&lt;&gt;"",VLOOKUP(AP1173,KvB!$A$2:$B$3,2,FALSE),"")</f>
        <v>BE101000</v>
      </c>
      <c r="AI1173" s="11" t="s">
        <v>55</v>
      </c>
      <c r="AJ1173" s="11"/>
      <c r="AK1173" s="11"/>
      <c r="AL1173" s="11"/>
      <c r="AM1173" s="11"/>
      <c r="AN1173" s="11"/>
      <c r="AO1173" s="11"/>
      <c r="AP1173" s="2" t="s">
        <v>70</v>
      </c>
      <c r="AQ1173" s="11" t="str">
        <f>IF(I1173&lt;&gt;"",DATA!D1172,"")</f>
        <v>8425190000</v>
      </c>
    </row>
    <row r="1174" spans="1:43" ht="15.75" x14ac:dyDescent="0.25">
      <c r="A1174" s="11" t="s">
        <v>57</v>
      </c>
      <c r="B1174" s="11" t="s">
        <v>56</v>
      </c>
      <c r="C1174" s="22">
        <f t="shared" si="78"/>
        <v>25001620</v>
      </c>
      <c r="D1174" s="11" t="str">
        <f t="shared" si="75"/>
        <v>SKIIFM_AT</v>
      </c>
      <c r="E1174" s="11" t="str">
        <f>IF(I1174&lt;&gt;"",VLOOKUP(F1174,OPDRACHTGEVER!$A$2:$B$4,2,FALSE),"")</f>
        <v>SKIIFM_AT</v>
      </c>
      <c r="F1174" s="11" t="s">
        <v>58</v>
      </c>
      <c r="I1174" s="11" t="str">
        <f>IF(DATA!B1173&lt;&gt;"",DATA!B1173,"")</f>
        <v>MEDU4967959</v>
      </c>
      <c r="J1174" s="12">
        <v>0</v>
      </c>
      <c r="K1174" s="11" t="s">
        <v>53</v>
      </c>
      <c r="L1174" s="11" t="str">
        <f t="shared" si="76"/>
        <v>741920</v>
      </c>
      <c r="M1174" s="11" t="str">
        <f>IF(I1174&lt;&gt;"",DATA!E1173,"")</f>
        <v>LOG TONGS</v>
      </c>
      <c r="N1174" s="12">
        <v>0</v>
      </c>
      <c r="O1174" s="11">
        <f>IF(I1174&lt;&gt;"",DATA!C1173,"")</f>
        <v>4.12</v>
      </c>
      <c r="P1174" s="2">
        <v>294094</v>
      </c>
      <c r="Q1174" s="2" t="s">
        <v>1304</v>
      </c>
      <c r="R1174" s="2" t="s">
        <v>1327</v>
      </c>
      <c r="S1174" s="2">
        <v>7</v>
      </c>
      <c r="T1174" s="2">
        <v>1</v>
      </c>
      <c r="U1174" s="2" t="s">
        <v>141</v>
      </c>
      <c r="Y1174" s="2">
        <v>1700</v>
      </c>
      <c r="Z1174" s="11" t="s">
        <v>54</v>
      </c>
      <c r="AA1174" s="11" t="str">
        <f t="shared" si="77"/>
        <v>1700 - TBN</v>
      </c>
      <c r="AC1174" s="2" t="s">
        <v>145</v>
      </c>
      <c r="AD1174" s="11" t="str">
        <f>IF($I1174&lt;&gt;"",VLOOKUP($AC1174,GEADRESSEERDE!$A$2:$E$4,2,),"")</f>
        <v>LUITHAGEN HAVEN 2 D</v>
      </c>
      <c r="AE1174" s="11">
        <f>IF($I1174&lt;&gt;"",VLOOKUP($AC1174,GEADRESSEERDE!$A$2:$E$4,3,),"")</f>
        <v>2030</v>
      </c>
      <c r="AF1174" s="11" t="str">
        <f>IF($I1174&lt;&gt;"",VLOOKUP($AC1174,GEADRESSEERDE!$A$2:$E$4,4,),"")</f>
        <v>ANTWERPEN</v>
      </c>
      <c r="AG1174" s="11" t="str">
        <f>IF($I1174&lt;&gt;"",VLOOKUP($AC1174,GEADRESSEERDE!$A$2:$E$4,5,),"")</f>
        <v>BE</v>
      </c>
      <c r="AH1174" s="11" t="str">
        <f>IF(I1174&lt;&gt;"",VLOOKUP(AP1174,KvB!$A$2:$B$3,2,FALSE),"")</f>
        <v>BE101000</v>
      </c>
      <c r="AI1174" s="11" t="s">
        <v>55</v>
      </c>
      <c r="AJ1174" s="11"/>
      <c r="AK1174" s="11"/>
      <c r="AL1174" s="11"/>
      <c r="AM1174" s="11"/>
      <c r="AN1174" s="11"/>
      <c r="AO1174" s="11"/>
      <c r="AP1174" s="2" t="s">
        <v>70</v>
      </c>
      <c r="AQ1174" s="11" t="str">
        <f>IF(I1174&lt;&gt;"",DATA!D1173,"")</f>
        <v>7419200090</v>
      </c>
    </row>
    <row r="1175" spans="1:43" ht="15.75" x14ac:dyDescent="0.25">
      <c r="A1175" s="11" t="s">
        <v>57</v>
      </c>
      <c r="B1175" s="11" t="s">
        <v>56</v>
      </c>
      <c r="C1175" s="22">
        <f t="shared" si="78"/>
        <v>25001620</v>
      </c>
      <c r="D1175" s="11" t="str">
        <f t="shared" si="75"/>
        <v>SKIIFM_AT</v>
      </c>
      <c r="E1175" s="11" t="str">
        <f>IF(I1175&lt;&gt;"",VLOOKUP(F1175,OPDRACHTGEVER!$A$2:$B$4,2,FALSE),"")</f>
        <v>SKIIFM_AT</v>
      </c>
      <c r="F1175" s="11" t="s">
        <v>58</v>
      </c>
      <c r="I1175" s="11" t="str">
        <f>IF(DATA!B1174&lt;&gt;"",DATA!B1174,"")</f>
        <v>MEDU4967959</v>
      </c>
      <c r="J1175" s="12">
        <v>0</v>
      </c>
      <c r="K1175" s="11" t="s">
        <v>53</v>
      </c>
      <c r="L1175" s="11" t="str">
        <f t="shared" si="76"/>
        <v>846693</v>
      </c>
      <c r="M1175" s="11" t="str">
        <f>IF(I1175&lt;&gt;"",DATA!E1174,"")</f>
        <v>MACHINE TOOL HOLDER</v>
      </c>
      <c r="N1175" s="12">
        <v>0</v>
      </c>
      <c r="O1175" s="11">
        <f>IF(I1175&lt;&gt;"",DATA!C1174,"")</f>
        <v>16.29</v>
      </c>
      <c r="P1175" s="2">
        <v>294094</v>
      </c>
      <c r="Q1175" s="2" t="s">
        <v>1304</v>
      </c>
      <c r="R1175" s="2" t="s">
        <v>1327</v>
      </c>
      <c r="S1175" s="2">
        <v>7</v>
      </c>
      <c r="T1175" s="2">
        <v>1</v>
      </c>
      <c r="U1175" s="2" t="s">
        <v>141</v>
      </c>
      <c r="Y1175" s="2">
        <v>1700</v>
      </c>
      <c r="Z1175" s="11" t="s">
        <v>54</v>
      </c>
      <c r="AA1175" s="11" t="str">
        <f t="shared" si="77"/>
        <v>1700 - TBN</v>
      </c>
      <c r="AC1175" s="2" t="s">
        <v>145</v>
      </c>
      <c r="AD1175" s="11" t="str">
        <f>IF($I1175&lt;&gt;"",VLOOKUP($AC1175,GEADRESSEERDE!$A$2:$E$4,2,),"")</f>
        <v>LUITHAGEN HAVEN 2 D</v>
      </c>
      <c r="AE1175" s="11">
        <f>IF($I1175&lt;&gt;"",VLOOKUP($AC1175,GEADRESSEERDE!$A$2:$E$4,3,),"")</f>
        <v>2030</v>
      </c>
      <c r="AF1175" s="11" t="str">
        <f>IF($I1175&lt;&gt;"",VLOOKUP($AC1175,GEADRESSEERDE!$A$2:$E$4,4,),"")</f>
        <v>ANTWERPEN</v>
      </c>
      <c r="AG1175" s="11" t="str">
        <f>IF($I1175&lt;&gt;"",VLOOKUP($AC1175,GEADRESSEERDE!$A$2:$E$4,5,),"")</f>
        <v>BE</v>
      </c>
      <c r="AH1175" s="11" t="str">
        <f>IF(I1175&lt;&gt;"",VLOOKUP(AP1175,KvB!$A$2:$B$3,2,FALSE),"")</f>
        <v>BE101000</v>
      </c>
      <c r="AI1175" s="11" t="s">
        <v>55</v>
      </c>
      <c r="AJ1175" s="11"/>
      <c r="AK1175" s="11"/>
      <c r="AL1175" s="11"/>
      <c r="AM1175" s="11"/>
      <c r="AN1175" s="11"/>
      <c r="AO1175" s="11"/>
      <c r="AP1175" s="2" t="s">
        <v>70</v>
      </c>
      <c r="AQ1175" s="11" t="str">
        <f>IF(I1175&lt;&gt;"",DATA!D1174,"")</f>
        <v>8466936000</v>
      </c>
    </row>
    <row r="1176" spans="1:43" ht="15.75" x14ac:dyDescent="0.25">
      <c r="A1176" s="11" t="s">
        <v>57</v>
      </c>
      <c r="B1176" s="11" t="s">
        <v>56</v>
      </c>
      <c r="C1176" s="22">
        <f t="shared" si="78"/>
        <v>25001620</v>
      </c>
      <c r="D1176" s="11" t="str">
        <f t="shared" si="75"/>
        <v>SKIIFM_AT</v>
      </c>
      <c r="E1176" s="11" t="str">
        <f>IF(I1176&lt;&gt;"",VLOOKUP(F1176,OPDRACHTGEVER!$A$2:$B$4,2,FALSE),"")</f>
        <v>SKIIFM_AT</v>
      </c>
      <c r="F1176" s="11" t="s">
        <v>58</v>
      </c>
      <c r="I1176" s="11" t="str">
        <f>IF(DATA!B1175&lt;&gt;"",DATA!B1175,"")</f>
        <v>MEDU4967959</v>
      </c>
      <c r="J1176" s="12">
        <v>0</v>
      </c>
      <c r="K1176" s="11" t="s">
        <v>53</v>
      </c>
      <c r="L1176" s="11" t="str">
        <f t="shared" si="76"/>
        <v>850590</v>
      </c>
      <c r="M1176" s="11" t="str">
        <f>IF(I1176&lt;&gt;"",DATA!E1175,"")</f>
        <v>MAGNETIC LIFTER</v>
      </c>
      <c r="N1176" s="12">
        <v>0</v>
      </c>
      <c r="O1176" s="11">
        <f>IF(I1176&lt;&gt;"",DATA!C1175,"")</f>
        <v>41.8</v>
      </c>
      <c r="P1176" s="2">
        <v>294094</v>
      </c>
      <c r="Q1176" s="2" t="s">
        <v>1304</v>
      </c>
      <c r="R1176" s="2" t="s">
        <v>1327</v>
      </c>
      <c r="S1176" s="2">
        <v>7</v>
      </c>
      <c r="T1176" s="2">
        <v>1</v>
      </c>
      <c r="U1176" s="2" t="s">
        <v>141</v>
      </c>
      <c r="Y1176" s="2">
        <v>1700</v>
      </c>
      <c r="Z1176" s="11" t="s">
        <v>54</v>
      </c>
      <c r="AA1176" s="11" t="str">
        <f t="shared" si="77"/>
        <v>1700 - TBN</v>
      </c>
      <c r="AC1176" s="2" t="s">
        <v>145</v>
      </c>
      <c r="AD1176" s="11" t="str">
        <f>IF($I1176&lt;&gt;"",VLOOKUP($AC1176,GEADRESSEERDE!$A$2:$E$4,2,),"")</f>
        <v>LUITHAGEN HAVEN 2 D</v>
      </c>
      <c r="AE1176" s="11">
        <f>IF($I1176&lt;&gt;"",VLOOKUP($AC1176,GEADRESSEERDE!$A$2:$E$4,3,),"")</f>
        <v>2030</v>
      </c>
      <c r="AF1176" s="11" t="str">
        <f>IF($I1176&lt;&gt;"",VLOOKUP($AC1176,GEADRESSEERDE!$A$2:$E$4,4,),"")</f>
        <v>ANTWERPEN</v>
      </c>
      <c r="AG1176" s="11" t="str">
        <f>IF($I1176&lt;&gt;"",VLOOKUP($AC1176,GEADRESSEERDE!$A$2:$E$4,5,),"")</f>
        <v>BE</v>
      </c>
      <c r="AH1176" s="11" t="str">
        <f>IF(I1176&lt;&gt;"",VLOOKUP(AP1176,KvB!$A$2:$B$3,2,FALSE),"")</f>
        <v>BE101000</v>
      </c>
      <c r="AI1176" s="11" t="s">
        <v>55</v>
      </c>
      <c r="AJ1176" s="11"/>
      <c r="AK1176" s="11"/>
      <c r="AL1176" s="11"/>
      <c r="AM1176" s="11"/>
      <c r="AN1176" s="11"/>
      <c r="AO1176" s="11"/>
      <c r="AP1176" s="2" t="s">
        <v>70</v>
      </c>
      <c r="AQ1176" s="11" t="str">
        <f>IF(I1176&lt;&gt;"",DATA!D1175,"")</f>
        <v>8505909090</v>
      </c>
    </row>
    <row r="1177" spans="1:43" ht="15.75" x14ac:dyDescent="0.25">
      <c r="A1177" s="11" t="s">
        <v>57</v>
      </c>
      <c r="B1177" s="11" t="s">
        <v>56</v>
      </c>
      <c r="C1177" s="22">
        <f t="shared" si="78"/>
        <v>25001620</v>
      </c>
      <c r="D1177" s="11" t="str">
        <f t="shared" si="75"/>
        <v>SKIIFM_AT</v>
      </c>
      <c r="E1177" s="11" t="str">
        <f>IF(I1177&lt;&gt;"",VLOOKUP(F1177,OPDRACHTGEVER!$A$2:$B$4,2,FALSE),"")</f>
        <v>SKIIFM_AT</v>
      </c>
      <c r="F1177" s="11" t="s">
        <v>58</v>
      </c>
      <c r="I1177" s="11" t="str">
        <f>IF(DATA!B1176&lt;&gt;"",DATA!B1176,"")</f>
        <v>MEDU4967959</v>
      </c>
      <c r="J1177" s="12">
        <v>0</v>
      </c>
      <c r="K1177" s="11" t="s">
        <v>53</v>
      </c>
      <c r="L1177" s="11" t="str">
        <f t="shared" si="76"/>
        <v>821000</v>
      </c>
      <c r="M1177" s="11" t="str">
        <f>IF(I1177&lt;&gt;"",DATA!E1176,"")</f>
        <v>MANUAL  MEAT GRINDER</v>
      </c>
      <c r="N1177" s="12">
        <v>0</v>
      </c>
      <c r="O1177" s="11">
        <f>IF(I1177&lt;&gt;"",DATA!C1176,"")</f>
        <v>41.45</v>
      </c>
      <c r="P1177" s="2">
        <v>294094</v>
      </c>
      <c r="Q1177" s="2" t="s">
        <v>1304</v>
      </c>
      <c r="R1177" s="2" t="s">
        <v>1327</v>
      </c>
      <c r="S1177" s="2">
        <v>7</v>
      </c>
      <c r="T1177" s="2">
        <v>1</v>
      </c>
      <c r="U1177" s="2" t="s">
        <v>141</v>
      </c>
      <c r="Y1177" s="2">
        <v>1700</v>
      </c>
      <c r="Z1177" s="11" t="s">
        <v>54</v>
      </c>
      <c r="AA1177" s="11" t="str">
        <f t="shared" si="77"/>
        <v>1700 - TBN</v>
      </c>
      <c r="AC1177" s="2" t="s">
        <v>145</v>
      </c>
      <c r="AD1177" s="11" t="str">
        <f>IF($I1177&lt;&gt;"",VLOOKUP($AC1177,GEADRESSEERDE!$A$2:$E$4,2,),"")</f>
        <v>LUITHAGEN HAVEN 2 D</v>
      </c>
      <c r="AE1177" s="11">
        <f>IF($I1177&lt;&gt;"",VLOOKUP($AC1177,GEADRESSEERDE!$A$2:$E$4,3,),"")</f>
        <v>2030</v>
      </c>
      <c r="AF1177" s="11" t="str">
        <f>IF($I1177&lt;&gt;"",VLOOKUP($AC1177,GEADRESSEERDE!$A$2:$E$4,4,),"")</f>
        <v>ANTWERPEN</v>
      </c>
      <c r="AG1177" s="11" t="str">
        <f>IF($I1177&lt;&gt;"",VLOOKUP($AC1177,GEADRESSEERDE!$A$2:$E$4,5,),"")</f>
        <v>BE</v>
      </c>
      <c r="AH1177" s="11" t="str">
        <f>IF(I1177&lt;&gt;"",VLOOKUP(AP1177,KvB!$A$2:$B$3,2,FALSE),"")</f>
        <v>BE101000</v>
      </c>
      <c r="AI1177" s="11" t="s">
        <v>55</v>
      </c>
      <c r="AJ1177" s="11"/>
      <c r="AK1177" s="11"/>
      <c r="AL1177" s="11"/>
      <c r="AM1177" s="11"/>
      <c r="AN1177" s="11"/>
      <c r="AO1177" s="11"/>
      <c r="AP1177" s="2" t="s">
        <v>70</v>
      </c>
      <c r="AQ1177" s="11" t="str">
        <f>IF(I1177&lt;&gt;"",DATA!D1176,"")</f>
        <v>8210000000</v>
      </c>
    </row>
    <row r="1178" spans="1:43" ht="15.75" x14ac:dyDescent="0.25">
      <c r="A1178" s="11" t="s">
        <v>57</v>
      </c>
      <c r="B1178" s="11" t="s">
        <v>56</v>
      </c>
      <c r="C1178" s="22">
        <f t="shared" si="78"/>
        <v>25001620</v>
      </c>
      <c r="D1178" s="11" t="str">
        <f t="shared" si="75"/>
        <v>SKIIFM_AT</v>
      </c>
      <c r="E1178" s="11" t="str">
        <f>IF(I1178&lt;&gt;"",VLOOKUP(F1178,OPDRACHTGEVER!$A$2:$B$4,2,FALSE),"")</f>
        <v>SKIIFM_AT</v>
      </c>
      <c r="F1178" s="11" t="s">
        <v>58</v>
      </c>
      <c r="I1178" s="11" t="str">
        <f>IF(DATA!B1177&lt;&gt;"",DATA!B1177,"")</f>
        <v>MEDU4967959</v>
      </c>
      <c r="J1178" s="12">
        <v>0</v>
      </c>
      <c r="K1178" s="11" t="s">
        <v>53</v>
      </c>
      <c r="L1178" s="11" t="str">
        <f t="shared" si="76"/>
        <v>846229</v>
      </c>
      <c r="M1178" s="11" t="str">
        <f>IF(I1178&lt;&gt;"",DATA!E1177,"")</f>
        <v>MANUAL PIPE BENDER</v>
      </c>
      <c r="N1178" s="12">
        <v>0</v>
      </c>
      <c r="O1178" s="11">
        <f>IF(I1178&lt;&gt;"",DATA!C1177,"")</f>
        <v>54.2</v>
      </c>
      <c r="P1178" s="2">
        <v>294094</v>
      </c>
      <c r="Q1178" s="2" t="s">
        <v>1304</v>
      </c>
      <c r="R1178" s="2" t="s">
        <v>1327</v>
      </c>
      <c r="S1178" s="2">
        <v>7</v>
      </c>
      <c r="T1178" s="2">
        <v>1</v>
      </c>
      <c r="U1178" s="2" t="s">
        <v>141</v>
      </c>
      <c r="Y1178" s="2">
        <v>1700</v>
      </c>
      <c r="Z1178" s="11" t="s">
        <v>54</v>
      </c>
      <c r="AA1178" s="11" t="str">
        <f t="shared" si="77"/>
        <v>1700 - TBN</v>
      </c>
      <c r="AC1178" s="2" t="s">
        <v>145</v>
      </c>
      <c r="AD1178" s="11" t="str">
        <f>IF($I1178&lt;&gt;"",VLOOKUP($AC1178,GEADRESSEERDE!$A$2:$E$4,2,),"")</f>
        <v>LUITHAGEN HAVEN 2 D</v>
      </c>
      <c r="AE1178" s="11">
        <f>IF($I1178&lt;&gt;"",VLOOKUP($AC1178,GEADRESSEERDE!$A$2:$E$4,3,),"")</f>
        <v>2030</v>
      </c>
      <c r="AF1178" s="11" t="str">
        <f>IF($I1178&lt;&gt;"",VLOOKUP($AC1178,GEADRESSEERDE!$A$2:$E$4,4,),"")</f>
        <v>ANTWERPEN</v>
      </c>
      <c r="AG1178" s="11" t="str">
        <f>IF($I1178&lt;&gt;"",VLOOKUP($AC1178,GEADRESSEERDE!$A$2:$E$4,5,),"")</f>
        <v>BE</v>
      </c>
      <c r="AH1178" s="11" t="str">
        <f>IF(I1178&lt;&gt;"",VLOOKUP(AP1178,KvB!$A$2:$B$3,2,FALSE),"")</f>
        <v>BE101000</v>
      </c>
      <c r="AI1178" s="11" t="s">
        <v>55</v>
      </c>
      <c r="AJ1178" s="11"/>
      <c r="AK1178" s="11"/>
      <c r="AL1178" s="11"/>
      <c r="AM1178" s="11"/>
      <c r="AN1178" s="11"/>
      <c r="AO1178" s="11"/>
      <c r="AP1178" s="2" t="s">
        <v>70</v>
      </c>
      <c r="AQ1178" s="11" t="str">
        <f>IF(I1178&lt;&gt;"",DATA!D1177,"")</f>
        <v>8462290000</v>
      </c>
    </row>
    <row r="1179" spans="1:43" ht="15.75" x14ac:dyDescent="0.25">
      <c r="A1179" s="11" t="s">
        <v>57</v>
      </c>
      <c r="B1179" s="11" t="s">
        <v>56</v>
      </c>
      <c r="C1179" s="22">
        <f t="shared" si="78"/>
        <v>25001620</v>
      </c>
      <c r="D1179" s="11" t="str">
        <f t="shared" si="75"/>
        <v>SKIIFM_AT</v>
      </c>
      <c r="E1179" s="11" t="str">
        <f>IF(I1179&lt;&gt;"",VLOOKUP(F1179,OPDRACHTGEVER!$A$2:$B$4,2,FALSE),"")</f>
        <v>SKIIFM_AT</v>
      </c>
      <c r="F1179" s="11" t="s">
        <v>58</v>
      </c>
      <c r="I1179" s="11" t="str">
        <f>IF(DATA!B1178&lt;&gt;"",DATA!B1178,"")</f>
        <v>MEDU4967959</v>
      </c>
      <c r="J1179" s="12">
        <v>0</v>
      </c>
      <c r="K1179" s="11" t="s">
        <v>53</v>
      </c>
      <c r="L1179" s="11" t="str">
        <f t="shared" si="76"/>
        <v>741920</v>
      </c>
      <c r="M1179" s="11" t="str">
        <f>IF(I1179&lt;&gt;"",DATA!E1178,"")</f>
        <v>MESH COVER</v>
      </c>
      <c r="N1179" s="12">
        <v>0</v>
      </c>
      <c r="O1179" s="11">
        <f>IF(I1179&lt;&gt;"",DATA!C1178,"")</f>
        <v>2.92</v>
      </c>
      <c r="P1179" s="2">
        <v>294094</v>
      </c>
      <c r="Q1179" s="2" t="s">
        <v>1304</v>
      </c>
      <c r="R1179" s="2" t="s">
        <v>1327</v>
      </c>
      <c r="S1179" s="2">
        <v>7</v>
      </c>
      <c r="T1179" s="2">
        <v>1</v>
      </c>
      <c r="U1179" s="2" t="s">
        <v>141</v>
      </c>
      <c r="Y1179" s="2">
        <v>1700</v>
      </c>
      <c r="Z1179" s="11" t="s">
        <v>54</v>
      </c>
      <c r="AA1179" s="11" t="str">
        <f t="shared" si="77"/>
        <v>1700 - TBN</v>
      </c>
      <c r="AC1179" s="2" t="s">
        <v>145</v>
      </c>
      <c r="AD1179" s="11" t="str">
        <f>IF($I1179&lt;&gt;"",VLOOKUP($AC1179,GEADRESSEERDE!$A$2:$E$4,2,),"")</f>
        <v>LUITHAGEN HAVEN 2 D</v>
      </c>
      <c r="AE1179" s="11">
        <f>IF($I1179&lt;&gt;"",VLOOKUP($AC1179,GEADRESSEERDE!$A$2:$E$4,3,),"")</f>
        <v>2030</v>
      </c>
      <c r="AF1179" s="11" t="str">
        <f>IF($I1179&lt;&gt;"",VLOOKUP($AC1179,GEADRESSEERDE!$A$2:$E$4,4,),"")</f>
        <v>ANTWERPEN</v>
      </c>
      <c r="AG1179" s="11" t="str">
        <f>IF($I1179&lt;&gt;"",VLOOKUP($AC1179,GEADRESSEERDE!$A$2:$E$4,5,),"")</f>
        <v>BE</v>
      </c>
      <c r="AH1179" s="11" t="str">
        <f>IF(I1179&lt;&gt;"",VLOOKUP(AP1179,KvB!$A$2:$B$3,2,FALSE),"")</f>
        <v>BE101000</v>
      </c>
      <c r="AI1179" s="11" t="s">
        <v>55</v>
      </c>
      <c r="AJ1179" s="11"/>
      <c r="AK1179" s="11"/>
      <c r="AL1179" s="11"/>
      <c r="AM1179" s="11"/>
      <c r="AN1179" s="11"/>
      <c r="AO1179" s="11"/>
      <c r="AP1179" s="2" t="s">
        <v>70</v>
      </c>
      <c r="AQ1179" s="11" t="str">
        <f>IF(I1179&lt;&gt;"",DATA!D1178,"")</f>
        <v>7419200090</v>
      </c>
    </row>
    <row r="1180" spans="1:43" ht="15.75" x14ac:dyDescent="0.25">
      <c r="A1180" s="11" t="s">
        <v>57</v>
      </c>
      <c r="B1180" s="11" t="s">
        <v>56</v>
      </c>
      <c r="C1180" s="22">
        <f t="shared" si="78"/>
        <v>25001620</v>
      </c>
      <c r="D1180" s="11" t="str">
        <f t="shared" si="75"/>
        <v>SKIIFM_AT</v>
      </c>
      <c r="E1180" s="11" t="str">
        <f>IF(I1180&lt;&gt;"",VLOOKUP(F1180,OPDRACHTGEVER!$A$2:$B$4,2,FALSE),"")</f>
        <v>SKIIFM_AT</v>
      </c>
      <c r="F1180" s="11" t="s">
        <v>58</v>
      </c>
      <c r="I1180" s="11" t="str">
        <f>IF(DATA!B1179&lt;&gt;"",DATA!B1179,"")</f>
        <v>MEDU4967959</v>
      </c>
      <c r="J1180" s="12">
        <v>0</v>
      </c>
      <c r="K1180" s="11" t="s">
        <v>53</v>
      </c>
      <c r="L1180" s="11" t="str">
        <f t="shared" si="76"/>
        <v>853890</v>
      </c>
      <c r="M1180" s="11" t="str">
        <f>IF(I1180&lt;&gt;"",DATA!E1179,"")</f>
        <v>METAL ELECTRICAL CABINET</v>
      </c>
      <c r="N1180" s="12">
        <v>0</v>
      </c>
      <c r="O1180" s="11">
        <f>IF(I1180&lt;&gt;"",DATA!C1179,"")</f>
        <v>33</v>
      </c>
      <c r="P1180" s="2">
        <v>294094</v>
      </c>
      <c r="Q1180" s="2" t="s">
        <v>1304</v>
      </c>
      <c r="R1180" s="2" t="s">
        <v>1327</v>
      </c>
      <c r="S1180" s="2">
        <v>7</v>
      </c>
      <c r="T1180" s="2">
        <v>1</v>
      </c>
      <c r="U1180" s="2" t="s">
        <v>141</v>
      </c>
      <c r="Y1180" s="2">
        <v>1700</v>
      </c>
      <c r="Z1180" s="11" t="s">
        <v>54</v>
      </c>
      <c r="AA1180" s="11" t="str">
        <f t="shared" si="77"/>
        <v>1700 - TBN</v>
      </c>
      <c r="AC1180" s="2" t="s">
        <v>145</v>
      </c>
      <c r="AD1180" s="11" t="str">
        <f>IF($I1180&lt;&gt;"",VLOOKUP($AC1180,GEADRESSEERDE!$A$2:$E$4,2,),"")</f>
        <v>LUITHAGEN HAVEN 2 D</v>
      </c>
      <c r="AE1180" s="11">
        <f>IF($I1180&lt;&gt;"",VLOOKUP($AC1180,GEADRESSEERDE!$A$2:$E$4,3,),"")</f>
        <v>2030</v>
      </c>
      <c r="AF1180" s="11" t="str">
        <f>IF($I1180&lt;&gt;"",VLOOKUP($AC1180,GEADRESSEERDE!$A$2:$E$4,4,),"")</f>
        <v>ANTWERPEN</v>
      </c>
      <c r="AG1180" s="11" t="str">
        <f>IF($I1180&lt;&gt;"",VLOOKUP($AC1180,GEADRESSEERDE!$A$2:$E$4,5,),"")</f>
        <v>BE</v>
      </c>
      <c r="AH1180" s="11" t="str">
        <f>IF(I1180&lt;&gt;"",VLOOKUP(AP1180,KvB!$A$2:$B$3,2,FALSE),"")</f>
        <v>BE101000</v>
      </c>
      <c r="AI1180" s="11" t="s">
        <v>55</v>
      </c>
      <c r="AJ1180" s="11"/>
      <c r="AK1180" s="11"/>
      <c r="AL1180" s="11"/>
      <c r="AM1180" s="11"/>
      <c r="AN1180" s="11"/>
      <c r="AO1180" s="11"/>
      <c r="AP1180" s="2" t="s">
        <v>70</v>
      </c>
      <c r="AQ1180" s="11" t="str">
        <f>IF(I1180&lt;&gt;"",DATA!D1179,"")</f>
        <v>8538909999</v>
      </c>
    </row>
    <row r="1181" spans="1:43" ht="15.75" x14ac:dyDescent="0.25">
      <c r="A1181" s="11" t="s">
        <v>57</v>
      </c>
      <c r="B1181" s="11" t="s">
        <v>56</v>
      </c>
      <c r="C1181" s="22">
        <f t="shared" si="78"/>
        <v>25001620</v>
      </c>
      <c r="D1181" s="11" t="str">
        <f t="shared" si="75"/>
        <v>SKIIFM_AT</v>
      </c>
      <c r="E1181" s="11" t="str">
        <f>IF(I1181&lt;&gt;"",VLOOKUP(F1181,OPDRACHTGEVER!$A$2:$B$4,2,FALSE),"")</f>
        <v>SKIIFM_AT</v>
      </c>
      <c r="F1181" s="11" t="s">
        <v>58</v>
      </c>
      <c r="I1181" s="11" t="str">
        <f>IF(DATA!B1180&lt;&gt;"",DATA!B1180,"")</f>
        <v>MEDU4967959</v>
      </c>
      <c r="J1181" s="12">
        <v>0</v>
      </c>
      <c r="K1181" s="11" t="s">
        <v>53</v>
      </c>
      <c r="L1181" s="11" t="str">
        <f t="shared" si="76"/>
        <v>741920</v>
      </c>
      <c r="M1181" s="11" t="str">
        <f>IF(I1181&lt;&gt;"",DATA!E1180,"")</f>
        <v>METAL FENCE</v>
      </c>
      <c r="N1181" s="12">
        <v>0</v>
      </c>
      <c r="O1181" s="11">
        <f>IF(I1181&lt;&gt;"",DATA!C1180,"")</f>
        <v>274.11</v>
      </c>
      <c r="P1181" s="2">
        <v>294094</v>
      </c>
      <c r="Q1181" s="2" t="s">
        <v>1304</v>
      </c>
      <c r="R1181" s="2" t="s">
        <v>1327</v>
      </c>
      <c r="S1181" s="2">
        <v>7</v>
      </c>
      <c r="T1181" s="2">
        <v>1</v>
      </c>
      <c r="U1181" s="2" t="s">
        <v>141</v>
      </c>
      <c r="Y1181" s="2">
        <v>1700</v>
      </c>
      <c r="Z1181" s="11" t="s">
        <v>54</v>
      </c>
      <c r="AA1181" s="11" t="str">
        <f t="shared" si="77"/>
        <v>1700 - TBN</v>
      </c>
      <c r="AC1181" s="2" t="s">
        <v>145</v>
      </c>
      <c r="AD1181" s="11" t="str">
        <f>IF($I1181&lt;&gt;"",VLOOKUP($AC1181,GEADRESSEERDE!$A$2:$E$4,2,),"")</f>
        <v>LUITHAGEN HAVEN 2 D</v>
      </c>
      <c r="AE1181" s="11">
        <f>IF($I1181&lt;&gt;"",VLOOKUP($AC1181,GEADRESSEERDE!$A$2:$E$4,3,),"")</f>
        <v>2030</v>
      </c>
      <c r="AF1181" s="11" t="str">
        <f>IF($I1181&lt;&gt;"",VLOOKUP($AC1181,GEADRESSEERDE!$A$2:$E$4,4,),"")</f>
        <v>ANTWERPEN</v>
      </c>
      <c r="AG1181" s="11" t="str">
        <f>IF($I1181&lt;&gt;"",VLOOKUP($AC1181,GEADRESSEERDE!$A$2:$E$4,5,),"")</f>
        <v>BE</v>
      </c>
      <c r="AH1181" s="11" t="str">
        <f>IF(I1181&lt;&gt;"",VLOOKUP(AP1181,KvB!$A$2:$B$3,2,FALSE),"")</f>
        <v>BE101000</v>
      </c>
      <c r="AI1181" s="11" t="s">
        <v>55</v>
      </c>
      <c r="AJ1181" s="11"/>
      <c r="AK1181" s="11"/>
      <c r="AL1181" s="11"/>
      <c r="AM1181" s="11"/>
      <c r="AN1181" s="11"/>
      <c r="AO1181" s="11"/>
      <c r="AP1181" s="2" t="s">
        <v>70</v>
      </c>
      <c r="AQ1181" s="11" t="str">
        <f>IF(I1181&lt;&gt;"",DATA!D1180,"")</f>
        <v>7419200090</v>
      </c>
    </row>
    <row r="1182" spans="1:43" ht="15.75" x14ac:dyDescent="0.25">
      <c r="A1182" s="11" t="s">
        <v>57</v>
      </c>
      <c r="B1182" s="11" t="s">
        <v>56</v>
      </c>
      <c r="C1182" s="22">
        <f t="shared" si="78"/>
        <v>25001620</v>
      </c>
      <c r="D1182" s="11" t="str">
        <f t="shared" si="75"/>
        <v>SKIIFM_AT</v>
      </c>
      <c r="E1182" s="11" t="str">
        <f>IF(I1182&lt;&gt;"",VLOOKUP(F1182,OPDRACHTGEVER!$A$2:$B$4,2,FALSE),"")</f>
        <v>SKIIFM_AT</v>
      </c>
      <c r="F1182" s="11" t="s">
        <v>58</v>
      </c>
      <c r="I1182" s="11" t="str">
        <f>IF(DATA!B1181&lt;&gt;"",DATA!B1181,"")</f>
        <v>MEDU4967959</v>
      </c>
      <c r="J1182" s="12">
        <v>0</v>
      </c>
      <c r="K1182" s="11" t="s">
        <v>53</v>
      </c>
      <c r="L1182" s="11" t="str">
        <f t="shared" si="76"/>
        <v>846693</v>
      </c>
      <c r="M1182" s="11" t="str">
        <f>IF(I1182&lt;&gt;"",DATA!E1181,"")</f>
        <v>MILLING MACHINE TABLE</v>
      </c>
      <c r="N1182" s="12">
        <v>0</v>
      </c>
      <c r="O1182" s="11">
        <f>IF(I1182&lt;&gt;"",DATA!C1181,"")</f>
        <v>102.49</v>
      </c>
      <c r="P1182" s="2">
        <v>294094</v>
      </c>
      <c r="Q1182" s="2" t="s">
        <v>1304</v>
      </c>
      <c r="R1182" s="2" t="s">
        <v>1327</v>
      </c>
      <c r="S1182" s="2">
        <v>7</v>
      </c>
      <c r="T1182" s="2">
        <v>1</v>
      </c>
      <c r="U1182" s="2" t="s">
        <v>141</v>
      </c>
      <c r="Y1182" s="2">
        <v>1700</v>
      </c>
      <c r="Z1182" s="11" t="s">
        <v>54</v>
      </c>
      <c r="AA1182" s="11" t="str">
        <f t="shared" si="77"/>
        <v>1700 - TBN</v>
      </c>
      <c r="AC1182" s="2" t="s">
        <v>145</v>
      </c>
      <c r="AD1182" s="11" t="str">
        <f>IF($I1182&lt;&gt;"",VLOOKUP($AC1182,GEADRESSEERDE!$A$2:$E$4,2,),"")</f>
        <v>LUITHAGEN HAVEN 2 D</v>
      </c>
      <c r="AE1182" s="11">
        <f>IF($I1182&lt;&gt;"",VLOOKUP($AC1182,GEADRESSEERDE!$A$2:$E$4,3,),"")</f>
        <v>2030</v>
      </c>
      <c r="AF1182" s="11" t="str">
        <f>IF($I1182&lt;&gt;"",VLOOKUP($AC1182,GEADRESSEERDE!$A$2:$E$4,4,),"")</f>
        <v>ANTWERPEN</v>
      </c>
      <c r="AG1182" s="11" t="str">
        <f>IF($I1182&lt;&gt;"",VLOOKUP($AC1182,GEADRESSEERDE!$A$2:$E$4,5,),"")</f>
        <v>BE</v>
      </c>
      <c r="AH1182" s="11" t="str">
        <f>IF(I1182&lt;&gt;"",VLOOKUP(AP1182,KvB!$A$2:$B$3,2,FALSE),"")</f>
        <v>BE101000</v>
      </c>
      <c r="AI1182" s="11" t="s">
        <v>55</v>
      </c>
      <c r="AJ1182" s="11"/>
      <c r="AK1182" s="11"/>
      <c r="AL1182" s="11"/>
      <c r="AM1182" s="11"/>
      <c r="AN1182" s="11"/>
      <c r="AO1182" s="11"/>
      <c r="AP1182" s="2" t="s">
        <v>70</v>
      </c>
      <c r="AQ1182" s="11" t="str">
        <f>IF(I1182&lt;&gt;"",DATA!D1181,"")</f>
        <v>8466936000</v>
      </c>
    </row>
    <row r="1183" spans="1:43" ht="15.75" x14ac:dyDescent="0.25">
      <c r="A1183" s="11" t="s">
        <v>57</v>
      </c>
      <c r="B1183" s="11" t="s">
        <v>56</v>
      </c>
      <c r="C1183" s="22">
        <f t="shared" si="78"/>
        <v>25001620</v>
      </c>
      <c r="D1183" s="11" t="str">
        <f t="shared" si="75"/>
        <v>SKIIFM_AT</v>
      </c>
      <c r="E1183" s="11" t="str">
        <f>IF(I1183&lt;&gt;"",VLOOKUP(F1183,OPDRACHTGEVER!$A$2:$B$4,2,FALSE),"")</f>
        <v>SKIIFM_AT</v>
      </c>
      <c r="F1183" s="11" t="s">
        <v>58</v>
      </c>
      <c r="I1183" s="11" t="str">
        <f>IF(DATA!B1182&lt;&gt;"",DATA!B1182,"")</f>
        <v>MEDU4967959</v>
      </c>
      <c r="J1183" s="12">
        <v>0</v>
      </c>
      <c r="K1183" s="11" t="s">
        <v>53</v>
      </c>
      <c r="L1183" s="11" t="str">
        <f t="shared" si="76"/>
        <v>843110</v>
      </c>
      <c r="M1183" s="11" t="str">
        <f>IF(I1183&lt;&gt;"",DATA!E1182,"")</f>
        <v>MONORAIL CAR</v>
      </c>
      <c r="N1183" s="12">
        <v>0</v>
      </c>
      <c r="O1183" s="11">
        <f>IF(I1183&lt;&gt;"",DATA!C1182,"")</f>
        <v>169.62</v>
      </c>
      <c r="P1183" s="2">
        <v>294094</v>
      </c>
      <c r="Q1183" s="2" t="s">
        <v>1304</v>
      </c>
      <c r="R1183" s="2" t="s">
        <v>1327</v>
      </c>
      <c r="S1183" s="2">
        <v>7</v>
      </c>
      <c r="T1183" s="2">
        <v>1</v>
      </c>
      <c r="U1183" s="2" t="s">
        <v>141</v>
      </c>
      <c r="Y1183" s="2">
        <v>1700</v>
      </c>
      <c r="Z1183" s="11" t="s">
        <v>54</v>
      </c>
      <c r="AA1183" s="11" t="str">
        <f t="shared" si="77"/>
        <v>1700 - TBN</v>
      </c>
      <c r="AC1183" s="2" t="s">
        <v>145</v>
      </c>
      <c r="AD1183" s="11" t="str">
        <f>IF($I1183&lt;&gt;"",VLOOKUP($AC1183,GEADRESSEERDE!$A$2:$E$4,2,),"")</f>
        <v>LUITHAGEN HAVEN 2 D</v>
      </c>
      <c r="AE1183" s="11">
        <f>IF($I1183&lt;&gt;"",VLOOKUP($AC1183,GEADRESSEERDE!$A$2:$E$4,3,),"")</f>
        <v>2030</v>
      </c>
      <c r="AF1183" s="11" t="str">
        <f>IF($I1183&lt;&gt;"",VLOOKUP($AC1183,GEADRESSEERDE!$A$2:$E$4,4,),"")</f>
        <v>ANTWERPEN</v>
      </c>
      <c r="AG1183" s="11" t="str">
        <f>IF($I1183&lt;&gt;"",VLOOKUP($AC1183,GEADRESSEERDE!$A$2:$E$4,5,),"")</f>
        <v>BE</v>
      </c>
      <c r="AH1183" s="11" t="str">
        <f>IF(I1183&lt;&gt;"",VLOOKUP(AP1183,KvB!$A$2:$B$3,2,FALSE),"")</f>
        <v>BE101000</v>
      </c>
      <c r="AI1183" s="11" t="s">
        <v>55</v>
      </c>
      <c r="AJ1183" s="11"/>
      <c r="AK1183" s="11"/>
      <c r="AL1183" s="11"/>
      <c r="AM1183" s="11"/>
      <c r="AN1183" s="11"/>
      <c r="AO1183" s="11"/>
      <c r="AP1183" s="2" t="s">
        <v>70</v>
      </c>
      <c r="AQ1183" s="11" t="str">
        <f>IF(I1183&lt;&gt;"",DATA!D1182,"")</f>
        <v>8431100000</v>
      </c>
    </row>
    <row r="1184" spans="1:43" ht="15.75" x14ac:dyDescent="0.25">
      <c r="A1184" s="11" t="s">
        <v>57</v>
      </c>
      <c r="B1184" s="11" t="s">
        <v>56</v>
      </c>
      <c r="C1184" s="22">
        <f t="shared" si="78"/>
        <v>25001620</v>
      </c>
      <c r="D1184" s="11" t="str">
        <f t="shared" si="75"/>
        <v>SKIIFM_AT</v>
      </c>
      <c r="E1184" s="11" t="str">
        <f>IF(I1184&lt;&gt;"",VLOOKUP(F1184,OPDRACHTGEVER!$A$2:$B$4,2,FALSE),"")</f>
        <v>SKIIFM_AT</v>
      </c>
      <c r="F1184" s="11" t="s">
        <v>58</v>
      </c>
      <c r="I1184" s="11" t="str">
        <f>IF(DATA!B1183&lt;&gt;"",DATA!B1183,"")</f>
        <v>MEDU4967959</v>
      </c>
      <c r="J1184" s="12">
        <v>0</v>
      </c>
      <c r="K1184" s="11" t="s">
        <v>53</v>
      </c>
      <c r="L1184" s="11" t="str">
        <f t="shared" si="76"/>
        <v>871690</v>
      </c>
      <c r="M1184" s="11" t="str">
        <f>IF(I1184&lt;&gt;"",DATA!E1183,"")</f>
        <v>PARTS</v>
      </c>
      <c r="N1184" s="12">
        <v>0</v>
      </c>
      <c r="O1184" s="11">
        <f>IF(I1184&lt;&gt;"",DATA!C1183,"")</f>
        <v>11.1</v>
      </c>
      <c r="P1184" s="2">
        <v>294094</v>
      </c>
      <c r="Q1184" s="2" t="s">
        <v>1304</v>
      </c>
      <c r="R1184" s="2" t="s">
        <v>1327</v>
      </c>
      <c r="S1184" s="2">
        <v>7</v>
      </c>
      <c r="T1184" s="2">
        <v>1</v>
      </c>
      <c r="U1184" s="2" t="s">
        <v>141</v>
      </c>
      <c r="Y1184" s="2">
        <v>1700</v>
      </c>
      <c r="Z1184" s="11" t="s">
        <v>54</v>
      </c>
      <c r="AA1184" s="11" t="str">
        <f t="shared" si="77"/>
        <v>1700 - TBN</v>
      </c>
      <c r="AC1184" s="2" t="s">
        <v>145</v>
      </c>
      <c r="AD1184" s="11" t="str">
        <f>IF($I1184&lt;&gt;"",VLOOKUP($AC1184,GEADRESSEERDE!$A$2:$E$4,2,),"")</f>
        <v>LUITHAGEN HAVEN 2 D</v>
      </c>
      <c r="AE1184" s="11">
        <f>IF($I1184&lt;&gt;"",VLOOKUP($AC1184,GEADRESSEERDE!$A$2:$E$4,3,),"")</f>
        <v>2030</v>
      </c>
      <c r="AF1184" s="11" t="str">
        <f>IF($I1184&lt;&gt;"",VLOOKUP($AC1184,GEADRESSEERDE!$A$2:$E$4,4,),"")</f>
        <v>ANTWERPEN</v>
      </c>
      <c r="AG1184" s="11" t="str">
        <f>IF($I1184&lt;&gt;"",VLOOKUP($AC1184,GEADRESSEERDE!$A$2:$E$4,5,),"")</f>
        <v>BE</v>
      </c>
      <c r="AH1184" s="11" t="str">
        <f>IF(I1184&lt;&gt;"",VLOOKUP(AP1184,KvB!$A$2:$B$3,2,FALSE),"")</f>
        <v>BE101000</v>
      </c>
      <c r="AI1184" s="11" t="s">
        <v>55</v>
      </c>
      <c r="AJ1184" s="11"/>
      <c r="AK1184" s="11"/>
      <c r="AL1184" s="11"/>
      <c r="AM1184" s="11"/>
      <c r="AN1184" s="11"/>
      <c r="AO1184" s="11"/>
      <c r="AP1184" s="2" t="s">
        <v>70</v>
      </c>
      <c r="AQ1184" s="11" t="str">
        <f>IF(I1184&lt;&gt;"",DATA!D1183,"")</f>
        <v>8716909098</v>
      </c>
    </row>
    <row r="1185" spans="1:43" ht="15.75" x14ac:dyDescent="0.25">
      <c r="A1185" s="11" t="s">
        <v>57</v>
      </c>
      <c r="B1185" s="11" t="s">
        <v>56</v>
      </c>
      <c r="C1185" s="22">
        <f t="shared" si="78"/>
        <v>25001620</v>
      </c>
      <c r="D1185" s="11" t="str">
        <f t="shared" si="75"/>
        <v>SKIIFM_AT</v>
      </c>
      <c r="E1185" s="11" t="str">
        <f>IF(I1185&lt;&gt;"",VLOOKUP(F1185,OPDRACHTGEVER!$A$2:$B$4,2,FALSE),"")</f>
        <v>SKIIFM_AT</v>
      </c>
      <c r="F1185" s="11" t="s">
        <v>58</v>
      </c>
      <c r="I1185" s="11" t="str">
        <f>IF(DATA!B1184&lt;&gt;"",DATA!B1184,"")</f>
        <v>MEDU4967959</v>
      </c>
      <c r="J1185" s="12">
        <v>0</v>
      </c>
      <c r="K1185" s="11" t="s">
        <v>53</v>
      </c>
      <c r="L1185" s="11" t="str">
        <f t="shared" si="76"/>
        <v>392010</v>
      </c>
      <c r="M1185" s="11" t="str">
        <f>IF(I1185&lt;&gt;"",DATA!E1184,"")</f>
        <v>PE FILM</v>
      </c>
      <c r="N1185" s="12">
        <v>0</v>
      </c>
      <c r="O1185" s="11">
        <f>IF(I1185&lt;&gt;"",DATA!C1184,"")</f>
        <v>1244.1400000000001</v>
      </c>
      <c r="P1185" s="2">
        <v>294094</v>
      </c>
      <c r="Q1185" s="2" t="s">
        <v>1304</v>
      </c>
      <c r="R1185" s="2" t="s">
        <v>1327</v>
      </c>
      <c r="S1185" s="2">
        <v>7</v>
      </c>
      <c r="T1185" s="2">
        <v>1</v>
      </c>
      <c r="U1185" s="2" t="s">
        <v>141</v>
      </c>
      <c r="Y1185" s="2">
        <v>1700</v>
      </c>
      <c r="Z1185" s="11" t="s">
        <v>54</v>
      </c>
      <c r="AA1185" s="11" t="str">
        <f t="shared" si="77"/>
        <v>1700 - TBN</v>
      </c>
      <c r="AC1185" s="2" t="s">
        <v>145</v>
      </c>
      <c r="AD1185" s="11" t="str">
        <f>IF($I1185&lt;&gt;"",VLOOKUP($AC1185,GEADRESSEERDE!$A$2:$E$4,2,),"")</f>
        <v>LUITHAGEN HAVEN 2 D</v>
      </c>
      <c r="AE1185" s="11">
        <f>IF($I1185&lt;&gt;"",VLOOKUP($AC1185,GEADRESSEERDE!$A$2:$E$4,3,),"")</f>
        <v>2030</v>
      </c>
      <c r="AF1185" s="11" t="str">
        <f>IF($I1185&lt;&gt;"",VLOOKUP($AC1185,GEADRESSEERDE!$A$2:$E$4,4,),"")</f>
        <v>ANTWERPEN</v>
      </c>
      <c r="AG1185" s="11" t="str">
        <f>IF($I1185&lt;&gt;"",VLOOKUP($AC1185,GEADRESSEERDE!$A$2:$E$4,5,),"")</f>
        <v>BE</v>
      </c>
      <c r="AH1185" s="11" t="str">
        <f>IF(I1185&lt;&gt;"",VLOOKUP(AP1185,KvB!$A$2:$B$3,2,FALSE),"")</f>
        <v>BE101000</v>
      </c>
      <c r="AI1185" s="11" t="s">
        <v>55</v>
      </c>
      <c r="AJ1185" s="11"/>
      <c r="AK1185" s="11"/>
      <c r="AL1185" s="11"/>
      <c r="AM1185" s="11"/>
      <c r="AN1185" s="11"/>
      <c r="AO1185" s="11"/>
      <c r="AP1185" s="2" t="s">
        <v>70</v>
      </c>
      <c r="AQ1185" s="11" t="str">
        <f>IF(I1185&lt;&gt;"",DATA!D1184,"")</f>
        <v>3920108990</v>
      </c>
    </row>
    <row r="1186" spans="1:43" ht="15.75" x14ac:dyDescent="0.25">
      <c r="A1186" s="11" t="s">
        <v>57</v>
      </c>
      <c r="B1186" s="11" t="s">
        <v>56</v>
      </c>
      <c r="C1186" s="22">
        <f t="shared" si="78"/>
        <v>25001620</v>
      </c>
      <c r="D1186" s="11" t="str">
        <f t="shared" si="75"/>
        <v>SKIIFM_AT</v>
      </c>
      <c r="E1186" s="11" t="str">
        <f>IF(I1186&lt;&gt;"",VLOOKUP(F1186,OPDRACHTGEVER!$A$2:$B$4,2,FALSE),"")</f>
        <v>SKIIFM_AT</v>
      </c>
      <c r="F1186" s="11" t="s">
        <v>58</v>
      </c>
      <c r="I1186" s="11" t="str">
        <f>IF(DATA!B1185&lt;&gt;"",DATA!B1185,"")</f>
        <v>MEDU4967959</v>
      </c>
      <c r="J1186" s="12">
        <v>0</v>
      </c>
      <c r="K1186" s="11" t="s">
        <v>53</v>
      </c>
      <c r="L1186" s="11" t="str">
        <f t="shared" si="76"/>
        <v>540490</v>
      </c>
      <c r="M1186" s="11" t="str">
        <f>IF(I1186&lt;&gt;"",DATA!E1185,"")</f>
        <v>WEED MAT</v>
      </c>
      <c r="N1186" s="12">
        <v>0</v>
      </c>
      <c r="O1186" s="11">
        <f>IF(I1186&lt;&gt;"",DATA!C1185,"")</f>
        <v>1222.72</v>
      </c>
      <c r="P1186" s="2">
        <v>294094</v>
      </c>
      <c r="Q1186" s="2" t="s">
        <v>1304</v>
      </c>
      <c r="R1186" s="2" t="s">
        <v>1327</v>
      </c>
      <c r="S1186" s="2">
        <v>7</v>
      </c>
      <c r="T1186" s="2">
        <v>1</v>
      </c>
      <c r="U1186" s="2" t="s">
        <v>141</v>
      </c>
      <c r="Y1186" s="2">
        <v>1700</v>
      </c>
      <c r="Z1186" s="11" t="s">
        <v>54</v>
      </c>
      <c r="AA1186" s="11" t="str">
        <f t="shared" si="77"/>
        <v>1700 - TBN</v>
      </c>
      <c r="AC1186" s="2" t="s">
        <v>145</v>
      </c>
      <c r="AD1186" s="11" t="str">
        <f>IF($I1186&lt;&gt;"",VLOOKUP($AC1186,GEADRESSEERDE!$A$2:$E$4,2,),"")</f>
        <v>LUITHAGEN HAVEN 2 D</v>
      </c>
      <c r="AE1186" s="11">
        <f>IF($I1186&lt;&gt;"",VLOOKUP($AC1186,GEADRESSEERDE!$A$2:$E$4,3,),"")</f>
        <v>2030</v>
      </c>
      <c r="AF1186" s="11" t="str">
        <f>IF($I1186&lt;&gt;"",VLOOKUP($AC1186,GEADRESSEERDE!$A$2:$E$4,4,),"")</f>
        <v>ANTWERPEN</v>
      </c>
      <c r="AG1186" s="11" t="str">
        <f>IF($I1186&lt;&gt;"",VLOOKUP($AC1186,GEADRESSEERDE!$A$2:$E$4,5,),"")</f>
        <v>BE</v>
      </c>
      <c r="AH1186" s="11" t="str">
        <f>IF(I1186&lt;&gt;"",VLOOKUP(AP1186,KvB!$A$2:$B$3,2,FALSE),"")</f>
        <v>BE101000</v>
      </c>
      <c r="AI1186" s="11" t="s">
        <v>55</v>
      </c>
      <c r="AJ1186" s="11"/>
      <c r="AK1186" s="11"/>
      <c r="AL1186" s="11"/>
      <c r="AM1186" s="11"/>
      <c r="AN1186" s="11"/>
      <c r="AO1186" s="11"/>
      <c r="AP1186" s="2" t="s">
        <v>70</v>
      </c>
      <c r="AQ1186" s="11" t="str">
        <f>IF(I1186&lt;&gt;"",DATA!D1185,"")</f>
        <v>5404901000</v>
      </c>
    </row>
    <row r="1187" spans="1:43" ht="15.75" x14ac:dyDescent="0.25">
      <c r="A1187" s="11" t="s">
        <v>57</v>
      </c>
      <c r="B1187" s="11" t="s">
        <v>56</v>
      </c>
      <c r="C1187" s="22">
        <f t="shared" si="78"/>
        <v>25001620</v>
      </c>
      <c r="D1187" s="11" t="str">
        <f t="shared" si="75"/>
        <v>SKIIFM_AT</v>
      </c>
      <c r="E1187" s="11" t="str">
        <f>IF(I1187&lt;&gt;"",VLOOKUP(F1187,OPDRACHTGEVER!$A$2:$B$4,2,FALSE),"")</f>
        <v>SKIIFM_AT</v>
      </c>
      <c r="F1187" s="11" t="s">
        <v>58</v>
      </c>
      <c r="I1187" s="11" t="str">
        <f>IF(DATA!B1186&lt;&gt;"",DATA!B1186,"")</f>
        <v>MEDU4967959</v>
      </c>
      <c r="J1187" s="12">
        <v>0</v>
      </c>
      <c r="K1187" s="11" t="s">
        <v>53</v>
      </c>
      <c r="L1187" s="11" t="str">
        <f t="shared" si="76"/>
        <v>871680</v>
      </c>
      <c r="M1187" s="11" t="str">
        <f>IF(I1187&lt;&gt;"",DATA!E1186,"")</f>
        <v>PLASTIC DUMP GARDEN CARTS</v>
      </c>
      <c r="N1187" s="12">
        <v>0</v>
      </c>
      <c r="O1187" s="11">
        <f>IF(I1187&lt;&gt;"",DATA!C1186,"")</f>
        <v>3669.23</v>
      </c>
      <c r="P1187" s="2">
        <v>294094</v>
      </c>
      <c r="Q1187" s="2" t="s">
        <v>1304</v>
      </c>
      <c r="R1187" s="2" t="s">
        <v>1327</v>
      </c>
      <c r="S1187" s="2">
        <v>7</v>
      </c>
      <c r="T1187" s="2">
        <v>1</v>
      </c>
      <c r="U1187" s="2" t="s">
        <v>141</v>
      </c>
      <c r="Y1187" s="2">
        <v>1700</v>
      </c>
      <c r="Z1187" s="11" t="s">
        <v>54</v>
      </c>
      <c r="AA1187" s="11" t="str">
        <f t="shared" si="77"/>
        <v>1700 - TBN</v>
      </c>
      <c r="AC1187" s="2" t="s">
        <v>145</v>
      </c>
      <c r="AD1187" s="11" t="str">
        <f>IF($I1187&lt;&gt;"",VLOOKUP($AC1187,GEADRESSEERDE!$A$2:$E$4,2,),"")</f>
        <v>LUITHAGEN HAVEN 2 D</v>
      </c>
      <c r="AE1187" s="11">
        <f>IF($I1187&lt;&gt;"",VLOOKUP($AC1187,GEADRESSEERDE!$A$2:$E$4,3,),"")</f>
        <v>2030</v>
      </c>
      <c r="AF1187" s="11" t="str">
        <f>IF($I1187&lt;&gt;"",VLOOKUP($AC1187,GEADRESSEERDE!$A$2:$E$4,4,),"")</f>
        <v>ANTWERPEN</v>
      </c>
      <c r="AG1187" s="11" t="str">
        <f>IF($I1187&lt;&gt;"",VLOOKUP($AC1187,GEADRESSEERDE!$A$2:$E$4,5,),"")</f>
        <v>BE</v>
      </c>
      <c r="AH1187" s="11" t="str">
        <f>IF(I1187&lt;&gt;"",VLOOKUP(AP1187,KvB!$A$2:$B$3,2,FALSE),"")</f>
        <v>BE101000</v>
      </c>
      <c r="AI1187" s="11" t="s">
        <v>55</v>
      </c>
      <c r="AJ1187" s="11"/>
      <c r="AK1187" s="11"/>
      <c r="AL1187" s="11"/>
      <c r="AM1187" s="11"/>
      <c r="AN1187" s="11"/>
      <c r="AO1187" s="11"/>
      <c r="AP1187" s="2" t="s">
        <v>70</v>
      </c>
      <c r="AQ1187" s="11" t="str">
        <f>IF(I1187&lt;&gt;"",DATA!D1186,"")</f>
        <v>8716800000</v>
      </c>
    </row>
    <row r="1188" spans="1:43" ht="15.75" x14ac:dyDescent="0.25">
      <c r="A1188" s="11" t="s">
        <v>57</v>
      </c>
      <c r="B1188" s="11" t="s">
        <v>56</v>
      </c>
      <c r="C1188" s="22">
        <f t="shared" si="78"/>
        <v>25001620</v>
      </c>
      <c r="D1188" s="11" t="str">
        <f t="shared" si="75"/>
        <v>SKIIFM_AT</v>
      </c>
      <c r="E1188" s="11" t="str">
        <f>IF(I1188&lt;&gt;"",VLOOKUP(F1188,OPDRACHTGEVER!$A$2:$B$4,2,FALSE),"")</f>
        <v>SKIIFM_AT</v>
      </c>
      <c r="F1188" s="11" t="s">
        <v>58</v>
      </c>
      <c r="I1188" s="11" t="str">
        <f>IF(DATA!B1187&lt;&gt;"",DATA!B1187,"")</f>
        <v>MEDU4967959</v>
      </c>
      <c r="J1188" s="12">
        <v>0</v>
      </c>
      <c r="K1188" s="11" t="s">
        <v>53</v>
      </c>
      <c r="L1188" s="11" t="str">
        <f t="shared" si="76"/>
        <v>392049</v>
      </c>
      <c r="M1188" s="11" t="str">
        <f>IF(I1188&lt;&gt;"",DATA!E1187,"")</f>
        <v>PVC TARPAULIN</v>
      </c>
      <c r="N1188" s="12">
        <v>0</v>
      </c>
      <c r="O1188" s="11">
        <f>IF(I1188&lt;&gt;"",DATA!C1187,"")</f>
        <v>36.799999999999997</v>
      </c>
      <c r="P1188" s="2">
        <v>294094</v>
      </c>
      <c r="Q1188" s="2" t="s">
        <v>1304</v>
      </c>
      <c r="R1188" s="2" t="s">
        <v>1327</v>
      </c>
      <c r="S1188" s="2">
        <v>7</v>
      </c>
      <c r="T1188" s="2">
        <v>1</v>
      </c>
      <c r="U1188" s="2" t="s">
        <v>141</v>
      </c>
      <c r="Y1188" s="2">
        <v>1700</v>
      </c>
      <c r="Z1188" s="11" t="s">
        <v>54</v>
      </c>
      <c r="AA1188" s="11" t="str">
        <f t="shared" si="77"/>
        <v>1700 - TBN</v>
      </c>
      <c r="AC1188" s="2" t="s">
        <v>145</v>
      </c>
      <c r="AD1188" s="11" t="str">
        <f>IF($I1188&lt;&gt;"",VLOOKUP($AC1188,GEADRESSEERDE!$A$2:$E$4,2,),"")</f>
        <v>LUITHAGEN HAVEN 2 D</v>
      </c>
      <c r="AE1188" s="11">
        <f>IF($I1188&lt;&gt;"",VLOOKUP($AC1188,GEADRESSEERDE!$A$2:$E$4,3,),"")</f>
        <v>2030</v>
      </c>
      <c r="AF1188" s="11" t="str">
        <f>IF($I1188&lt;&gt;"",VLOOKUP($AC1188,GEADRESSEERDE!$A$2:$E$4,4,),"")</f>
        <v>ANTWERPEN</v>
      </c>
      <c r="AG1188" s="11" t="str">
        <f>IF($I1188&lt;&gt;"",VLOOKUP($AC1188,GEADRESSEERDE!$A$2:$E$4,5,),"")</f>
        <v>BE</v>
      </c>
      <c r="AH1188" s="11" t="str">
        <f>IF(I1188&lt;&gt;"",VLOOKUP(AP1188,KvB!$A$2:$B$3,2,FALSE),"")</f>
        <v>BE101000</v>
      </c>
      <c r="AI1188" s="11" t="s">
        <v>55</v>
      </c>
      <c r="AJ1188" s="11"/>
      <c r="AK1188" s="11"/>
      <c r="AL1188" s="11"/>
      <c r="AM1188" s="11"/>
      <c r="AN1188" s="11"/>
      <c r="AO1188" s="11"/>
      <c r="AP1188" s="2" t="s">
        <v>70</v>
      </c>
      <c r="AQ1188" s="11" t="str">
        <f>IF(I1188&lt;&gt;"",DATA!D1187,"")</f>
        <v>3920499090</v>
      </c>
    </row>
    <row r="1189" spans="1:43" ht="15.75" x14ac:dyDescent="0.25">
      <c r="A1189" s="11" t="s">
        <v>57</v>
      </c>
      <c r="B1189" s="11" t="s">
        <v>56</v>
      </c>
      <c r="C1189" s="22">
        <f t="shared" si="78"/>
        <v>25001620</v>
      </c>
      <c r="D1189" s="11" t="str">
        <f t="shared" si="75"/>
        <v>SKIIFM_AT</v>
      </c>
      <c r="E1189" s="11" t="str">
        <f>IF(I1189&lt;&gt;"",VLOOKUP(F1189,OPDRACHTGEVER!$A$2:$B$4,2,FALSE),"")</f>
        <v>SKIIFM_AT</v>
      </c>
      <c r="F1189" s="11" t="s">
        <v>58</v>
      </c>
      <c r="I1189" s="11" t="str">
        <f>IF(DATA!B1188&lt;&gt;"",DATA!B1188,"")</f>
        <v>MEDU4967959</v>
      </c>
      <c r="J1189" s="12">
        <v>0</v>
      </c>
      <c r="K1189" s="11" t="s">
        <v>53</v>
      </c>
      <c r="L1189" s="11" t="str">
        <f t="shared" si="76"/>
        <v>761699</v>
      </c>
      <c r="M1189" s="11" t="str">
        <f>IF(I1189&lt;&gt;"",DATA!E1188,"")</f>
        <v>REPAIR MACHINE PULLER</v>
      </c>
      <c r="N1189" s="12">
        <v>0</v>
      </c>
      <c r="O1189" s="11">
        <f>IF(I1189&lt;&gt;"",DATA!C1188,"")</f>
        <v>26.73</v>
      </c>
      <c r="P1189" s="2">
        <v>294094</v>
      </c>
      <c r="Q1189" s="2" t="s">
        <v>1304</v>
      </c>
      <c r="R1189" s="2" t="s">
        <v>1327</v>
      </c>
      <c r="S1189" s="2">
        <v>7</v>
      </c>
      <c r="T1189" s="2">
        <v>1</v>
      </c>
      <c r="U1189" s="2" t="s">
        <v>141</v>
      </c>
      <c r="Y1189" s="2">
        <v>1700</v>
      </c>
      <c r="Z1189" s="11" t="s">
        <v>54</v>
      </c>
      <c r="AA1189" s="11" t="str">
        <f t="shared" si="77"/>
        <v>1700 - TBN</v>
      </c>
      <c r="AC1189" s="2" t="s">
        <v>145</v>
      </c>
      <c r="AD1189" s="11" t="str">
        <f>IF($I1189&lt;&gt;"",VLOOKUP($AC1189,GEADRESSEERDE!$A$2:$E$4,2,),"")</f>
        <v>LUITHAGEN HAVEN 2 D</v>
      </c>
      <c r="AE1189" s="11">
        <f>IF($I1189&lt;&gt;"",VLOOKUP($AC1189,GEADRESSEERDE!$A$2:$E$4,3,),"")</f>
        <v>2030</v>
      </c>
      <c r="AF1189" s="11" t="str">
        <f>IF($I1189&lt;&gt;"",VLOOKUP($AC1189,GEADRESSEERDE!$A$2:$E$4,4,),"")</f>
        <v>ANTWERPEN</v>
      </c>
      <c r="AG1189" s="11" t="str">
        <f>IF($I1189&lt;&gt;"",VLOOKUP($AC1189,GEADRESSEERDE!$A$2:$E$4,5,),"")</f>
        <v>BE</v>
      </c>
      <c r="AH1189" s="11" t="str">
        <f>IF(I1189&lt;&gt;"",VLOOKUP(AP1189,KvB!$A$2:$B$3,2,FALSE),"")</f>
        <v>BE101000</v>
      </c>
      <c r="AI1189" s="11" t="s">
        <v>55</v>
      </c>
      <c r="AJ1189" s="11"/>
      <c r="AK1189" s="11"/>
      <c r="AL1189" s="11"/>
      <c r="AM1189" s="11"/>
      <c r="AN1189" s="11"/>
      <c r="AO1189" s="11"/>
      <c r="AP1189" s="2" t="s">
        <v>70</v>
      </c>
      <c r="AQ1189" s="11" t="str">
        <f>IF(I1189&lt;&gt;"",DATA!D1188,"")</f>
        <v>7616999099</v>
      </c>
    </row>
    <row r="1190" spans="1:43" ht="15.75" x14ac:dyDescent="0.25">
      <c r="A1190" s="11" t="s">
        <v>57</v>
      </c>
      <c r="B1190" s="11" t="s">
        <v>56</v>
      </c>
      <c r="C1190" s="22">
        <f t="shared" si="78"/>
        <v>25001620</v>
      </c>
      <c r="D1190" s="11" t="str">
        <f t="shared" si="75"/>
        <v>SKIIFM_AT</v>
      </c>
      <c r="E1190" s="11" t="str">
        <f>IF(I1190&lt;&gt;"",VLOOKUP(F1190,OPDRACHTGEVER!$A$2:$B$4,2,FALSE),"")</f>
        <v>SKIIFM_AT</v>
      </c>
      <c r="F1190" s="11" t="s">
        <v>58</v>
      </c>
      <c r="I1190" s="11" t="str">
        <f>IF(DATA!B1189&lt;&gt;"",DATA!B1189,"")</f>
        <v>MEDU4967959</v>
      </c>
      <c r="J1190" s="12">
        <v>0</v>
      </c>
      <c r="K1190" s="11" t="s">
        <v>53</v>
      </c>
      <c r="L1190" s="11" t="str">
        <f t="shared" si="76"/>
        <v>392530</v>
      </c>
      <c r="M1190" s="11" t="str">
        <f>IF(I1190&lt;&gt;"",DATA!E1189,"")</f>
        <v>ROLLING PVC DOOR CURTAIN</v>
      </c>
      <c r="N1190" s="12">
        <v>0</v>
      </c>
      <c r="O1190" s="11">
        <f>IF(I1190&lt;&gt;"",DATA!C1189,"")</f>
        <v>113.66</v>
      </c>
      <c r="P1190" s="2">
        <v>294094</v>
      </c>
      <c r="Q1190" s="2" t="s">
        <v>1304</v>
      </c>
      <c r="R1190" s="2" t="s">
        <v>1327</v>
      </c>
      <c r="S1190" s="2">
        <v>7</v>
      </c>
      <c r="T1190" s="2">
        <v>1</v>
      </c>
      <c r="U1190" s="2" t="s">
        <v>141</v>
      </c>
      <c r="Y1190" s="2">
        <v>1700</v>
      </c>
      <c r="Z1190" s="11" t="s">
        <v>54</v>
      </c>
      <c r="AA1190" s="11" t="str">
        <f t="shared" si="77"/>
        <v>1700 - TBN</v>
      </c>
      <c r="AC1190" s="2" t="s">
        <v>145</v>
      </c>
      <c r="AD1190" s="11" t="str">
        <f>IF($I1190&lt;&gt;"",VLOOKUP($AC1190,GEADRESSEERDE!$A$2:$E$4,2,),"")</f>
        <v>LUITHAGEN HAVEN 2 D</v>
      </c>
      <c r="AE1190" s="11">
        <f>IF($I1190&lt;&gt;"",VLOOKUP($AC1190,GEADRESSEERDE!$A$2:$E$4,3,),"")</f>
        <v>2030</v>
      </c>
      <c r="AF1190" s="11" t="str">
        <f>IF($I1190&lt;&gt;"",VLOOKUP($AC1190,GEADRESSEERDE!$A$2:$E$4,4,),"")</f>
        <v>ANTWERPEN</v>
      </c>
      <c r="AG1190" s="11" t="str">
        <f>IF($I1190&lt;&gt;"",VLOOKUP($AC1190,GEADRESSEERDE!$A$2:$E$4,5,),"")</f>
        <v>BE</v>
      </c>
      <c r="AH1190" s="11" t="str">
        <f>IF(I1190&lt;&gt;"",VLOOKUP(AP1190,KvB!$A$2:$B$3,2,FALSE),"")</f>
        <v>BE101000</v>
      </c>
      <c r="AI1190" s="11" t="s">
        <v>55</v>
      </c>
      <c r="AJ1190" s="11"/>
      <c r="AK1190" s="11"/>
      <c r="AL1190" s="11"/>
      <c r="AM1190" s="11"/>
      <c r="AN1190" s="11"/>
      <c r="AO1190" s="11"/>
      <c r="AP1190" s="2" t="s">
        <v>70</v>
      </c>
      <c r="AQ1190" s="11" t="str">
        <f>IF(I1190&lt;&gt;"",DATA!D1189,"")</f>
        <v>3925300000</v>
      </c>
    </row>
    <row r="1191" spans="1:43" ht="15.75" x14ac:dyDescent="0.25">
      <c r="A1191" s="11" t="s">
        <v>57</v>
      </c>
      <c r="B1191" s="11" t="s">
        <v>56</v>
      </c>
      <c r="C1191" s="22">
        <f t="shared" si="78"/>
        <v>25001620</v>
      </c>
      <c r="D1191" s="11" t="str">
        <f t="shared" si="75"/>
        <v>SKIIFM_AT</v>
      </c>
      <c r="E1191" s="11" t="str">
        <f>IF(I1191&lt;&gt;"",VLOOKUP(F1191,OPDRACHTGEVER!$A$2:$B$4,2,FALSE),"")</f>
        <v>SKIIFM_AT</v>
      </c>
      <c r="F1191" s="11" t="s">
        <v>58</v>
      </c>
      <c r="I1191" s="11" t="str">
        <f>IF(DATA!B1190&lt;&gt;"",DATA!B1190,"")</f>
        <v>MEDU4967959</v>
      </c>
      <c r="J1191" s="12">
        <v>0</v>
      </c>
      <c r="K1191" s="11" t="s">
        <v>53</v>
      </c>
      <c r="L1191" s="11" t="str">
        <f t="shared" si="76"/>
        <v>870829</v>
      </c>
      <c r="M1191" s="11" t="str">
        <f>IF(I1191&lt;&gt;"",DATA!E1190,"")</f>
        <v>ROOF RACK WATER TANK</v>
      </c>
      <c r="N1191" s="12">
        <v>0</v>
      </c>
      <c r="O1191" s="11">
        <f>IF(I1191&lt;&gt;"",DATA!C1190,"")</f>
        <v>11.34</v>
      </c>
      <c r="P1191" s="2">
        <v>294094</v>
      </c>
      <c r="Q1191" s="2" t="s">
        <v>1304</v>
      </c>
      <c r="R1191" s="2" t="s">
        <v>1327</v>
      </c>
      <c r="S1191" s="2">
        <v>7</v>
      </c>
      <c r="T1191" s="2">
        <v>1</v>
      </c>
      <c r="U1191" s="2" t="s">
        <v>141</v>
      </c>
      <c r="Y1191" s="2">
        <v>1700</v>
      </c>
      <c r="Z1191" s="11" t="s">
        <v>54</v>
      </c>
      <c r="AA1191" s="11" t="str">
        <f t="shared" si="77"/>
        <v>1700 - TBN</v>
      </c>
      <c r="AC1191" s="2" t="s">
        <v>145</v>
      </c>
      <c r="AD1191" s="11" t="str">
        <f>IF($I1191&lt;&gt;"",VLOOKUP($AC1191,GEADRESSEERDE!$A$2:$E$4,2,),"")</f>
        <v>LUITHAGEN HAVEN 2 D</v>
      </c>
      <c r="AE1191" s="11">
        <f>IF($I1191&lt;&gt;"",VLOOKUP($AC1191,GEADRESSEERDE!$A$2:$E$4,3,),"")</f>
        <v>2030</v>
      </c>
      <c r="AF1191" s="11" t="str">
        <f>IF($I1191&lt;&gt;"",VLOOKUP($AC1191,GEADRESSEERDE!$A$2:$E$4,4,),"")</f>
        <v>ANTWERPEN</v>
      </c>
      <c r="AG1191" s="11" t="str">
        <f>IF($I1191&lt;&gt;"",VLOOKUP($AC1191,GEADRESSEERDE!$A$2:$E$4,5,),"")</f>
        <v>BE</v>
      </c>
      <c r="AH1191" s="11" t="str">
        <f>IF(I1191&lt;&gt;"",VLOOKUP(AP1191,KvB!$A$2:$B$3,2,FALSE),"")</f>
        <v>BE101000</v>
      </c>
      <c r="AI1191" s="11" t="s">
        <v>55</v>
      </c>
      <c r="AJ1191" s="11"/>
      <c r="AK1191" s="11"/>
      <c r="AL1191" s="11"/>
      <c r="AM1191" s="11"/>
      <c r="AN1191" s="11"/>
      <c r="AO1191" s="11"/>
      <c r="AP1191" s="2" t="s">
        <v>70</v>
      </c>
      <c r="AQ1191" s="11" t="str">
        <f>IF(I1191&lt;&gt;"",DATA!D1190,"")</f>
        <v>8708299000</v>
      </c>
    </row>
    <row r="1192" spans="1:43" ht="15.75" x14ac:dyDescent="0.25">
      <c r="A1192" s="11" t="s">
        <v>57</v>
      </c>
      <c r="B1192" s="11" t="s">
        <v>56</v>
      </c>
      <c r="C1192" s="22">
        <f t="shared" si="78"/>
        <v>25001620</v>
      </c>
      <c r="D1192" s="11" t="str">
        <f t="shared" si="75"/>
        <v>SKIIFM_AT</v>
      </c>
      <c r="E1192" s="11" t="str">
        <f>IF(I1192&lt;&gt;"",VLOOKUP(F1192,OPDRACHTGEVER!$A$2:$B$4,2,FALSE),"")</f>
        <v>SKIIFM_AT</v>
      </c>
      <c r="F1192" s="11" t="s">
        <v>58</v>
      </c>
      <c r="I1192" s="11" t="str">
        <f>IF(DATA!B1191&lt;&gt;"",DATA!B1191,"")</f>
        <v>MEDU4967959</v>
      </c>
      <c r="J1192" s="12">
        <v>0</v>
      </c>
      <c r="K1192" s="11" t="s">
        <v>53</v>
      </c>
      <c r="L1192" s="11" t="str">
        <f t="shared" si="76"/>
        <v>843880</v>
      </c>
      <c r="M1192" s="11" t="str">
        <f>IF(I1192&lt;&gt;"",DATA!E1191,"")</f>
        <v>SAUSAGE STUFFER</v>
      </c>
      <c r="N1192" s="12">
        <v>0</v>
      </c>
      <c r="O1192" s="11">
        <f>IF(I1192&lt;&gt;"",DATA!C1191,"")</f>
        <v>169.46</v>
      </c>
      <c r="P1192" s="2">
        <v>294094</v>
      </c>
      <c r="Q1192" s="2" t="s">
        <v>1304</v>
      </c>
      <c r="R1192" s="2" t="s">
        <v>1327</v>
      </c>
      <c r="S1192" s="2">
        <v>7</v>
      </c>
      <c r="T1192" s="2">
        <v>1</v>
      </c>
      <c r="U1192" s="2" t="s">
        <v>141</v>
      </c>
      <c r="Y1192" s="2">
        <v>1700</v>
      </c>
      <c r="Z1192" s="11" t="s">
        <v>54</v>
      </c>
      <c r="AA1192" s="11" t="str">
        <f t="shared" si="77"/>
        <v>1700 - TBN</v>
      </c>
      <c r="AC1192" s="2" t="s">
        <v>145</v>
      </c>
      <c r="AD1192" s="11" t="str">
        <f>IF($I1192&lt;&gt;"",VLOOKUP($AC1192,GEADRESSEERDE!$A$2:$E$4,2,),"")</f>
        <v>LUITHAGEN HAVEN 2 D</v>
      </c>
      <c r="AE1192" s="11">
        <f>IF($I1192&lt;&gt;"",VLOOKUP($AC1192,GEADRESSEERDE!$A$2:$E$4,3,),"")</f>
        <v>2030</v>
      </c>
      <c r="AF1192" s="11" t="str">
        <f>IF($I1192&lt;&gt;"",VLOOKUP($AC1192,GEADRESSEERDE!$A$2:$E$4,4,),"")</f>
        <v>ANTWERPEN</v>
      </c>
      <c r="AG1192" s="11" t="str">
        <f>IF($I1192&lt;&gt;"",VLOOKUP($AC1192,GEADRESSEERDE!$A$2:$E$4,5,),"")</f>
        <v>BE</v>
      </c>
      <c r="AH1192" s="11" t="str">
        <f>IF(I1192&lt;&gt;"",VLOOKUP(AP1192,KvB!$A$2:$B$3,2,FALSE),"")</f>
        <v>BE101000</v>
      </c>
      <c r="AI1192" s="11" t="s">
        <v>55</v>
      </c>
      <c r="AJ1192" s="11"/>
      <c r="AK1192" s="11"/>
      <c r="AL1192" s="11"/>
      <c r="AM1192" s="11"/>
      <c r="AN1192" s="11"/>
      <c r="AO1192" s="11"/>
      <c r="AP1192" s="2" t="s">
        <v>70</v>
      </c>
      <c r="AQ1192" s="11" t="str">
        <f>IF(I1192&lt;&gt;"",DATA!D1191,"")</f>
        <v>8438809900</v>
      </c>
    </row>
    <row r="1193" spans="1:43" ht="15.75" x14ac:dyDescent="0.25">
      <c r="A1193" s="11" t="s">
        <v>57</v>
      </c>
      <c r="B1193" s="11" t="s">
        <v>56</v>
      </c>
      <c r="C1193" s="22">
        <f t="shared" si="78"/>
        <v>25001620</v>
      </c>
      <c r="D1193" s="11" t="str">
        <f t="shared" si="75"/>
        <v>SKIIFM_AT</v>
      </c>
      <c r="E1193" s="11" t="str">
        <f>IF(I1193&lt;&gt;"",VLOOKUP(F1193,OPDRACHTGEVER!$A$2:$B$4,2,FALSE),"")</f>
        <v>SKIIFM_AT</v>
      </c>
      <c r="F1193" s="11" t="s">
        <v>58</v>
      </c>
      <c r="I1193" s="11" t="str">
        <f>IF(DATA!B1192&lt;&gt;"",DATA!B1192,"")</f>
        <v>MEDU4967959</v>
      </c>
      <c r="J1193" s="12">
        <v>0</v>
      </c>
      <c r="K1193" s="11" t="s">
        <v>53</v>
      </c>
      <c r="L1193" s="11" t="str">
        <f t="shared" si="76"/>
        <v>820299</v>
      </c>
      <c r="M1193" s="11" t="str">
        <f>IF(I1193&lt;&gt;"",DATA!E1192,"")</f>
        <v>SAW BLADE</v>
      </c>
      <c r="N1193" s="12">
        <v>0</v>
      </c>
      <c r="O1193" s="11">
        <f>IF(I1193&lt;&gt;"",DATA!C1192,"")</f>
        <v>11.68</v>
      </c>
      <c r="P1193" s="2">
        <v>294094</v>
      </c>
      <c r="Q1193" s="2" t="s">
        <v>1304</v>
      </c>
      <c r="R1193" s="2" t="s">
        <v>1327</v>
      </c>
      <c r="S1193" s="2">
        <v>7</v>
      </c>
      <c r="T1193" s="2">
        <v>1</v>
      </c>
      <c r="U1193" s="2" t="s">
        <v>141</v>
      </c>
      <c r="Y1193" s="2">
        <v>1700</v>
      </c>
      <c r="Z1193" s="11" t="s">
        <v>54</v>
      </c>
      <c r="AA1193" s="11" t="str">
        <f t="shared" si="77"/>
        <v>1700 - TBN</v>
      </c>
      <c r="AC1193" s="2" t="s">
        <v>145</v>
      </c>
      <c r="AD1193" s="11" t="str">
        <f>IF($I1193&lt;&gt;"",VLOOKUP($AC1193,GEADRESSEERDE!$A$2:$E$4,2,),"")</f>
        <v>LUITHAGEN HAVEN 2 D</v>
      </c>
      <c r="AE1193" s="11">
        <f>IF($I1193&lt;&gt;"",VLOOKUP($AC1193,GEADRESSEERDE!$A$2:$E$4,3,),"")</f>
        <v>2030</v>
      </c>
      <c r="AF1193" s="11" t="str">
        <f>IF($I1193&lt;&gt;"",VLOOKUP($AC1193,GEADRESSEERDE!$A$2:$E$4,4,),"")</f>
        <v>ANTWERPEN</v>
      </c>
      <c r="AG1193" s="11" t="str">
        <f>IF($I1193&lt;&gt;"",VLOOKUP($AC1193,GEADRESSEERDE!$A$2:$E$4,5,),"")</f>
        <v>BE</v>
      </c>
      <c r="AH1193" s="11" t="str">
        <f>IF(I1193&lt;&gt;"",VLOOKUP(AP1193,KvB!$A$2:$B$3,2,FALSE),"")</f>
        <v>BE101000</v>
      </c>
      <c r="AI1193" s="11" t="s">
        <v>55</v>
      </c>
      <c r="AJ1193" s="11"/>
      <c r="AK1193" s="11"/>
      <c r="AL1193" s="11"/>
      <c r="AM1193" s="11"/>
      <c r="AN1193" s="11"/>
      <c r="AO1193" s="11"/>
      <c r="AP1193" s="2" t="s">
        <v>70</v>
      </c>
      <c r="AQ1193" s="11" t="str">
        <f>IF(I1193&lt;&gt;"",DATA!D1192,"")</f>
        <v>8202998000</v>
      </c>
    </row>
    <row r="1194" spans="1:43" ht="15.75" x14ac:dyDescent="0.25">
      <c r="A1194" s="11" t="s">
        <v>57</v>
      </c>
      <c r="B1194" s="11" t="s">
        <v>56</v>
      </c>
      <c r="C1194" s="22">
        <f t="shared" si="78"/>
        <v>25001620</v>
      </c>
      <c r="D1194" s="11" t="str">
        <f t="shared" si="75"/>
        <v>SKIIFM_AT</v>
      </c>
      <c r="E1194" s="11" t="str">
        <f>IF(I1194&lt;&gt;"",VLOOKUP(F1194,OPDRACHTGEVER!$A$2:$B$4,2,FALSE),"")</f>
        <v>SKIIFM_AT</v>
      </c>
      <c r="F1194" s="11" t="s">
        <v>58</v>
      </c>
      <c r="I1194" s="11" t="str">
        <f>IF(DATA!B1193&lt;&gt;"",DATA!B1193,"")</f>
        <v>MEDU4967959</v>
      </c>
      <c r="J1194" s="12">
        <v>0</v>
      </c>
      <c r="K1194" s="11" t="s">
        <v>53</v>
      </c>
      <c r="L1194" s="11" t="str">
        <f t="shared" si="76"/>
        <v>391610</v>
      </c>
      <c r="M1194" s="11" t="str">
        <f>IF(I1194&lt;&gt;"",DATA!E1193,"")</f>
        <v>SEALING STRIP</v>
      </c>
      <c r="N1194" s="12">
        <v>0</v>
      </c>
      <c r="O1194" s="11">
        <f>IF(I1194&lt;&gt;"",DATA!C1193,"")</f>
        <v>91.49</v>
      </c>
      <c r="P1194" s="2">
        <v>294094</v>
      </c>
      <c r="Q1194" s="2" t="s">
        <v>1304</v>
      </c>
      <c r="R1194" s="2" t="s">
        <v>1327</v>
      </c>
      <c r="S1194" s="2">
        <v>7</v>
      </c>
      <c r="T1194" s="2">
        <v>1</v>
      </c>
      <c r="U1194" s="2" t="s">
        <v>141</v>
      </c>
      <c r="Y1194" s="2">
        <v>1700</v>
      </c>
      <c r="Z1194" s="11" t="s">
        <v>54</v>
      </c>
      <c r="AA1194" s="11" t="str">
        <f t="shared" si="77"/>
        <v>1700 - TBN</v>
      </c>
      <c r="AC1194" s="2" t="s">
        <v>145</v>
      </c>
      <c r="AD1194" s="11" t="str">
        <f>IF($I1194&lt;&gt;"",VLOOKUP($AC1194,GEADRESSEERDE!$A$2:$E$4,2,),"")</f>
        <v>LUITHAGEN HAVEN 2 D</v>
      </c>
      <c r="AE1194" s="11">
        <f>IF($I1194&lt;&gt;"",VLOOKUP($AC1194,GEADRESSEERDE!$A$2:$E$4,3,),"")</f>
        <v>2030</v>
      </c>
      <c r="AF1194" s="11" t="str">
        <f>IF($I1194&lt;&gt;"",VLOOKUP($AC1194,GEADRESSEERDE!$A$2:$E$4,4,),"")</f>
        <v>ANTWERPEN</v>
      </c>
      <c r="AG1194" s="11" t="str">
        <f>IF($I1194&lt;&gt;"",VLOOKUP($AC1194,GEADRESSEERDE!$A$2:$E$4,5,),"")</f>
        <v>BE</v>
      </c>
      <c r="AH1194" s="11" t="str">
        <f>IF(I1194&lt;&gt;"",VLOOKUP(AP1194,KvB!$A$2:$B$3,2,FALSE),"")</f>
        <v>BE101000</v>
      </c>
      <c r="AI1194" s="11" t="s">
        <v>55</v>
      </c>
      <c r="AJ1194" s="11"/>
      <c r="AK1194" s="11"/>
      <c r="AL1194" s="11"/>
      <c r="AM1194" s="11"/>
      <c r="AN1194" s="11"/>
      <c r="AO1194" s="11"/>
      <c r="AP1194" s="2" t="s">
        <v>70</v>
      </c>
      <c r="AQ1194" s="11" t="str">
        <f>IF(I1194&lt;&gt;"",DATA!D1193,"")</f>
        <v>3916100090</v>
      </c>
    </row>
    <row r="1195" spans="1:43" ht="15.75" x14ac:dyDescent="0.25">
      <c r="A1195" s="11" t="s">
        <v>57</v>
      </c>
      <c r="B1195" s="11" t="s">
        <v>56</v>
      </c>
      <c r="C1195" s="22">
        <f t="shared" si="78"/>
        <v>25001620</v>
      </c>
      <c r="D1195" s="11" t="str">
        <f t="shared" si="75"/>
        <v>SKIIFM_AT</v>
      </c>
      <c r="E1195" s="11" t="str">
        <f>IF(I1195&lt;&gt;"",VLOOKUP(F1195,OPDRACHTGEVER!$A$2:$B$4,2,FALSE),"")</f>
        <v>SKIIFM_AT</v>
      </c>
      <c r="F1195" s="11" t="s">
        <v>58</v>
      </c>
      <c r="I1195" s="11" t="str">
        <f>IF(DATA!B1194&lt;&gt;"",DATA!B1194,"")</f>
        <v>MEDU4967959</v>
      </c>
      <c r="J1195" s="12">
        <v>0</v>
      </c>
      <c r="K1195" s="11" t="s">
        <v>53</v>
      </c>
      <c r="L1195" s="11" t="str">
        <f t="shared" si="76"/>
        <v>392043</v>
      </c>
      <c r="M1195" s="11" t="str">
        <f>IF(I1195&lt;&gt;"",DATA!E1194,"")</f>
        <v>SHEET SHAPED PVC DOOR CURTAIN</v>
      </c>
      <c r="N1195" s="12">
        <v>0</v>
      </c>
      <c r="O1195" s="11">
        <f>IF(I1195&lt;&gt;"",DATA!C1194,"")</f>
        <v>53.67</v>
      </c>
      <c r="P1195" s="2">
        <v>294094</v>
      </c>
      <c r="Q1195" s="2" t="s">
        <v>1304</v>
      </c>
      <c r="R1195" s="2" t="s">
        <v>1327</v>
      </c>
      <c r="S1195" s="2">
        <v>7</v>
      </c>
      <c r="T1195" s="2">
        <v>1</v>
      </c>
      <c r="U1195" s="2" t="s">
        <v>141</v>
      </c>
      <c r="Y1195" s="2">
        <v>1700</v>
      </c>
      <c r="Z1195" s="11" t="s">
        <v>54</v>
      </c>
      <c r="AA1195" s="11" t="str">
        <f t="shared" si="77"/>
        <v>1700 - TBN</v>
      </c>
      <c r="AC1195" s="2" t="s">
        <v>145</v>
      </c>
      <c r="AD1195" s="11" t="str">
        <f>IF($I1195&lt;&gt;"",VLOOKUP($AC1195,GEADRESSEERDE!$A$2:$E$4,2,),"")</f>
        <v>LUITHAGEN HAVEN 2 D</v>
      </c>
      <c r="AE1195" s="11">
        <f>IF($I1195&lt;&gt;"",VLOOKUP($AC1195,GEADRESSEERDE!$A$2:$E$4,3,),"")</f>
        <v>2030</v>
      </c>
      <c r="AF1195" s="11" t="str">
        <f>IF($I1195&lt;&gt;"",VLOOKUP($AC1195,GEADRESSEERDE!$A$2:$E$4,4,),"")</f>
        <v>ANTWERPEN</v>
      </c>
      <c r="AG1195" s="11" t="str">
        <f>IF($I1195&lt;&gt;"",VLOOKUP($AC1195,GEADRESSEERDE!$A$2:$E$4,5,),"")</f>
        <v>BE</v>
      </c>
      <c r="AH1195" s="11" t="str">
        <f>IF(I1195&lt;&gt;"",VLOOKUP(AP1195,KvB!$A$2:$B$3,2,FALSE),"")</f>
        <v>BE101000</v>
      </c>
      <c r="AI1195" s="11" t="s">
        <v>55</v>
      </c>
      <c r="AJ1195" s="11"/>
      <c r="AK1195" s="11"/>
      <c r="AL1195" s="11"/>
      <c r="AM1195" s="11"/>
      <c r="AN1195" s="11"/>
      <c r="AO1195" s="11"/>
      <c r="AP1195" s="2" t="s">
        <v>70</v>
      </c>
      <c r="AQ1195" s="11" t="str">
        <f>IF(I1195&lt;&gt;"",DATA!D1194,"")</f>
        <v>3920439090</v>
      </c>
    </row>
    <row r="1196" spans="1:43" ht="15.75" x14ac:dyDescent="0.25">
      <c r="A1196" s="11" t="s">
        <v>57</v>
      </c>
      <c r="B1196" s="11" t="s">
        <v>56</v>
      </c>
      <c r="C1196" s="22">
        <f t="shared" si="78"/>
        <v>25001620</v>
      </c>
      <c r="D1196" s="11" t="str">
        <f t="shared" si="75"/>
        <v>SKIIFM_AT</v>
      </c>
      <c r="E1196" s="11" t="str">
        <f>IF(I1196&lt;&gt;"",VLOOKUP(F1196,OPDRACHTGEVER!$A$2:$B$4,2,FALSE),"")</f>
        <v>SKIIFM_AT</v>
      </c>
      <c r="F1196" s="11" t="s">
        <v>58</v>
      </c>
      <c r="I1196" s="11" t="str">
        <f>IF(DATA!B1195&lt;&gt;"",DATA!B1195,"")</f>
        <v>MEDU4967959</v>
      </c>
      <c r="J1196" s="12">
        <v>0</v>
      </c>
      <c r="K1196" s="11" t="s">
        <v>53</v>
      </c>
      <c r="L1196" s="11" t="str">
        <f t="shared" si="76"/>
        <v>741920</v>
      </c>
      <c r="M1196" s="11" t="str">
        <f>IF(I1196&lt;&gt;"",DATA!E1195,"")</f>
        <v>SHELF</v>
      </c>
      <c r="N1196" s="12">
        <v>0</v>
      </c>
      <c r="O1196" s="11">
        <f>IF(I1196&lt;&gt;"",DATA!C1195,"")</f>
        <v>2.2999999999999998</v>
      </c>
      <c r="P1196" s="2">
        <v>294094</v>
      </c>
      <c r="Q1196" s="2" t="s">
        <v>1304</v>
      </c>
      <c r="R1196" s="2" t="s">
        <v>1327</v>
      </c>
      <c r="S1196" s="2">
        <v>7</v>
      </c>
      <c r="T1196" s="2">
        <v>1</v>
      </c>
      <c r="U1196" s="2" t="s">
        <v>141</v>
      </c>
      <c r="Y1196" s="2">
        <v>1700</v>
      </c>
      <c r="Z1196" s="11" t="s">
        <v>54</v>
      </c>
      <c r="AA1196" s="11" t="str">
        <f t="shared" si="77"/>
        <v>1700 - TBN</v>
      </c>
      <c r="AC1196" s="2" t="s">
        <v>145</v>
      </c>
      <c r="AD1196" s="11" t="str">
        <f>IF($I1196&lt;&gt;"",VLOOKUP($AC1196,GEADRESSEERDE!$A$2:$E$4,2,),"")</f>
        <v>LUITHAGEN HAVEN 2 D</v>
      </c>
      <c r="AE1196" s="11">
        <f>IF($I1196&lt;&gt;"",VLOOKUP($AC1196,GEADRESSEERDE!$A$2:$E$4,3,),"")</f>
        <v>2030</v>
      </c>
      <c r="AF1196" s="11" t="str">
        <f>IF($I1196&lt;&gt;"",VLOOKUP($AC1196,GEADRESSEERDE!$A$2:$E$4,4,),"")</f>
        <v>ANTWERPEN</v>
      </c>
      <c r="AG1196" s="11" t="str">
        <f>IF($I1196&lt;&gt;"",VLOOKUP($AC1196,GEADRESSEERDE!$A$2:$E$4,5,),"")</f>
        <v>BE</v>
      </c>
      <c r="AH1196" s="11" t="str">
        <f>IF(I1196&lt;&gt;"",VLOOKUP(AP1196,KvB!$A$2:$B$3,2,FALSE),"")</f>
        <v>BE101000</v>
      </c>
      <c r="AI1196" s="11" t="s">
        <v>55</v>
      </c>
      <c r="AJ1196" s="11"/>
      <c r="AK1196" s="11"/>
      <c r="AL1196" s="11"/>
      <c r="AM1196" s="11"/>
      <c r="AN1196" s="11"/>
      <c r="AO1196" s="11"/>
      <c r="AP1196" s="2" t="s">
        <v>70</v>
      </c>
      <c r="AQ1196" s="11" t="str">
        <f>IF(I1196&lt;&gt;"",DATA!D1195,"")</f>
        <v>7419200090</v>
      </c>
    </row>
    <row r="1197" spans="1:43" ht="15.75" x14ac:dyDescent="0.25">
      <c r="A1197" s="11" t="s">
        <v>57</v>
      </c>
      <c r="B1197" s="11" t="s">
        <v>56</v>
      </c>
      <c r="C1197" s="22">
        <f t="shared" si="78"/>
        <v>25001620</v>
      </c>
      <c r="D1197" s="11" t="str">
        <f t="shared" si="75"/>
        <v>SKIIFM_AT</v>
      </c>
      <c r="E1197" s="11" t="str">
        <f>IF(I1197&lt;&gt;"",VLOOKUP(F1197,OPDRACHTGEVER!$A$2:$B$4,2,FALSE),"")</f>
        <v>SKIIFM_AT</v>
      </c>
      <c r="F1197" s="11" t="s">
        <v>58</v>
      </c>
      <c r="I1197" s="11" t="str">
        <f>IF(DATA!B1196&lt;&gt;"",DATA!B1196,"")</f>
        <v>MEDU4967959</v>
      </c>
      <c r="J1197" s="12">
        <v>0</v>
      </c>
      <c r="K1197" s="11" t="s">
        <v>53</v>
      </c>
      <c r="L1197" s="11" t="str">
        <f t="shared" si="76"/>
        <v>853890</v>
      </c>
      <c r="M1197" s="11" t="str">
        <f>IF(I1197&lt;&gt;"",DATA!E1196,"")</f>
        <v>ELECTRICAL ENCLOSURES</v>
      </c>
      <c r="N1197" s="12">
        <v>0</v>
      </c>
      <c r="O1197" s="11">
        <f>IF(I1197&lt;&gt;"",DATA!C1196,"")</f>
        <v>6.37</v>
      </c>
      <c r="P1197" s="2">
        <v>294094</v>
      </c>
      <c r="Q1197" s="2" t="s">
        <v>1304</v>
      </c>
      <c r="R1197" s="2" t="s">
        <v>1327</v>
      </c>
      <c r="S1197" s="2">
        <v>7</v>
      </c>
      <c r="T1197" s="2">
        <v>1</v>
      </c>
      <c r="U1197" s="2" t="s">
        <v>141</v>
      </c>
      <c r="Y1197" s="2">
        <v>1700</v>
      </c>
      <c r="Z1197" s="11" t="s">
        <v>54</v>
      </c>
      <c r="AA1197" s="11" t="str">
        <f t="shared" si="77"/>
        <v>1700 - TBN</v>
      </c>
      <c r="AC1197" s="2" t="s">
        <v>145</v>
      </c>
      <c r="AD1197" s="11" t="str">
        <f>IF($I1197&lt;&gt;"",VLOOKUP($AC1197,GEADRESSEERDE!$A$2:$E$4,2,),"")</f>
        <v>LUITHAGEN HAVEN 2 D</v>
      </c>
      <c r="AE1197" s="11">
        <f>IF($I1197&lt;&gt;"",VLOOKUP($AC1197,GEADRESSEERDE!$A$2:$E$4,3,),"")</f>
        <v>2030</v>
      </c>
      <c r="AF1197" s="11" t="str">
        <f>IF($I1197&lt;&gt;"",VLOOKUP($AC1197,GEADRESSEERDE!$A$2:$E$4,4,),"")</f>
        <v>ANTWERPEN</v>
      </c>
      <c r="AG1197" s="11" t="str">
        <f>IF($I1197&lt;&gt;"",VLOOKUP($AC1197,GEADRESSEERDE!$A$2:$E$4,5,),"")</f>
        <v>BE</v>
      </c>
      <c r="AH1197" s="11" t="str">
        <f>IF(I1197&lt;&gt;"",VLOOKUP(AP1197,KvB!$A$2:$B$3,2,FALSE),"")</f>
        <v>BE101000</v>
      </c>
      <c r="AI1197" s="11" t="s">
        <v>55</v>
      </c>
      <c r="AJ1197" s="11"/>
      <c r="AK1197" s="11"/>
      <c r="AL1197" s="11"/>
      <c r="AM1197" s="11"/>
      <c r="AN1197" s="11"/>
      <c r="AO1197" s="11"/>
      <c r="AP1197" s="2" t="s">
        <v>70</v>
      </c>
      <c r="AQ1197" s="11" t="str">
        <f>IF(I1197&lt;&gt;"",DATA!D1196,"")</f>
        <v>8538909189</v>
      </c>
    </row>
    <row r="1198" spans="1:43" ht="15.75" x14ac:dyDescent="0.25">
      <c r="A1198" s="11" t="s">
        <v>57</v>
      </c>
      <c r="B1198" s="11" t="s">
        <v>56</v>
      </c>
      <c r="C1198" s="22">
        <f t="shared" si="78"/>
        <v>25001620</v>
      </c>
      <c r="D1198" s="11" t="str">
        <f t="shared" si="75"/>
        <v>SKIIFM_AT</v>
      </c>
      <c r="E1198" s="11" t="str">
        <f>IF(I1198&lt;&gt;"",VLOOKUP(F1198,OPDRACHTGEVER!$A$2:$B$4,2,FALSE),"")</f>
        <v>SKIIFM_AT</v>
      </c>
      <c r="F1198" s="11" t="s">
        <v>58</v>
      </c>
      <c r="I1198" s="11" t="str">
        <f>IF(DATA!B1197&lt;&gt;"",DATA!B1197,"")</f>
        <v>MEDU4967959</v>
      </c>
      <c r="J1198" s="12">
        <v>0</v>
      </c>
      <c r="K1198" s="11" t="s">
        <v>53</v>
      </c>
      <c r="L1198" s="11" t="str">
        <f t="shared" si="76"/>
        <v>741920</v>
      </c>
      <c r="M1198" s="11" t="str">
        <f>IF(I1198&lt;&gt;"",DATA!E1197,"")</f>
        <v>WIRE ROPE</v>
      </c>
      <c r="N1198" s="12">
        <v>0</v>
      </c>
      <c r="O1198" s="11">
        <f>IF(I1198&lt;&gt;"",DATA!C1197,"")</f>
        <v>2.67</v>
      </c>
      <c r="P1198" s="2">
        <v>294094</v>
      </c>
      <c r="Q1198" s="2" t="s">
        <v>1304</v>
      </c>
      <c r="R1198" s="2" t="s">
        <v>1327</v>
      </c>
      <c r="S1198" s="2">
        <v>7</v>
      </c>
      <c r="T1198" s="2">
        <v>1</v>
      </c>
      <c r="U1198" s="2" t="s">
        <v>141</v>
      </c>
      <c r="Y1198" s="2">
        <v>1700</v>
      </c>
      <c r="Z1198" s="11" t="s">
        <v>54</v>
      </c>
      <c r="AA1198" s="11" t="str">
        <f t="shared" si="77"/>
        <v>1700 - TBN</v>
      </c>
      <c r="AC1198" s="2" t="s">
        <v>145</v>
      </c>
      <c r="AD1198" s="11" t="str">
        <f>IF($I1198&lt;&gt;"",VLOOKUP($AC1198,GEADRESSEERDE!$A$2:$E$4,2,),"")</f>
        <v>LUITHAGEN HAVEN 2 D</v>
      </c>
      <c r="AE1198" s="11">
        <f>IF($I1198&lt;&gt;"",VLOOKUP($AC1198,GEADRESSEERDE!$A$2:$E$4,3,),"")</f>
        <v>2030</v>
      </c>
      <c r="AF1198" s="11" t="str">
        <f>IF($I1198&lt;&gt;"",VLOOKUP($AC1198,GEADRESSEERDE!$A$2:$E$4,4,),"")</f>
        <v>ANTWERPEN</v>
      </c>
      <c r="AG1198" s="11" t="str">
        <f>IF($I1198&lt;&gt;"",VLOOKUP($AC1198,GEADRESSEERDE!$A$2:$E$4,5,),"")</f>
        <v>BE</v>
      </c>
      <c r="AH1198" s="11" t="str">
        <f>IF(I1198&lt;&gt;"",VLOOKUP(AP1198,KvB!$A$2:$B$3,2,FALSE),"")</f>
        <v>BE101000</v>
      </c>
      <c r="AI1198" s="11" t="s">
        <v>55</v>
      </c>
      <c r="AJ1198" s="11"/>
      <c r="AK1198" s="11"/>
      <c r="AL1198" s="11"/>
      <c r="AM1198" s="11"/>
      <c r="AN1198" s="11"/>
      <c r="AO1198" s="11"/>
      <c r="AP1198" s="2" t="s">
        <v>70</v>
      </c>
      <c r="AQ1198" s="11" t="str">
        <f>IF(I1198&lt;&gt;"",DATA!D1197,"")</f>
        <v>7419200090</v>
      </c>
    </row>
    <row r="1199" spans="1:43" ht="15.75" x14ac:dyDescent="0.25">
      <c r="A1199" s="11" t="s">
        <v>57</v>
      </c>
      <c r="B1199" s="11" t="s">
        <v>56</v>
      </c>
      <c r="C1199" s="22">
        <f t="shared" si="78"/>
        <v>25001620</v>
      </c>
      <c r="D1199" s="11" t="str">
        <f t="shared" si="75"/>
        <v>SKIIFM_AT</v>
      </c>
      <c r="E1199" s="11" t="str">
        <f>IF(I1199&lt;&gt;"",VLOOKUP(F1199,OPDRACHTGEVER!$A$2:$B$4,2,FALSE),"")</f>
        <v>SKIIFM_AT</v>
      </c>
      <c r="F1199" s="11" t="s">
        <v>58</v>
      </c>
      <c r="I1199" s="11" t="str">
        <f>IF(DATA!B1198&lt;&gt;"",DATA!B1198,"")</f>
        <v>MEDU4967959</v>
      </c>
      <c r="J1199" s="12">
        <v>0</v>
      </c>
      <c r="K1199" s="11" t="s">
        <v>53</v>
      </c>
      <c r="L1199" s="11" t="str">
        <f t="shared" si="76"/>
        <v>940320</v>
      </c>
      <c r="M1199" s="11" t="str">
        <f>IF(I1199&lt;&gt;"",DATA!E1198,"")</f>
        <v>STEEL KITCHEN TABLE</v>
      </c>
      <c r="N1199" s="12">
        <v>0</v>
      </c>
      <c r="O1199" s="11">
        <f>IF(I1199&lt;&gt;"",DATA!C1198,"")</f>
        <v>94.94</v>
      </c>
      <c r="P1199" s="2">
        <v>294094</v>
      </c>
      <c r="Q1199" s="2" t="s">
        <v>1304</v>
      </c>
      <c r="R1199" s="2" t="s">
        <v>1327</v>
      </c>
      <c r="S1199" s="2">
        <v>7</v>
      </c>
      <c r="T1199" s="2">
        <v>1</v>
      </c>
      <c r="U1199" s="2" t="s">
        <v>141</v>
      </c>
      <c r="Y1199" s="2">
        <v>1700</v>
      </c>
      <c r="Z1199" s="11" t="s">
        <v>54</v>
      </c>
      <c r="AA1199" s="11" t="str">
        <f t="shared" si="77"/>
        <v>1700 - TBN</v>
      </c>
      <c r="AC1199" s="2" t="s">
        <v>145</v>
      </c>
      <c r="AD1199" s="11" t="str">
        <f>IF($I1199&lt;&gt;"",VLOOKUP($AC1199,GEADRESSEERDE!$A$2:$E$4,2,),"")</f>
        <v>LUITHAGEN HAVEN 2 D</v>
      </c>
      <c r="AE1199" s="11">
        <f>IF($I1199&lt;&gt;"",VLOOKUP($AC1199,GEADRESSEERDE!$A$2:$E$4,3,),"")</f>
        <v>2030</v>
      </c>
      <c r="AF1199" s="11" t="str">
        <f>IF($I1199&lt;&gt;"",VLOOKUP($AC1199,GEADRESSEERDE!$A$2:$E$4,4,),"")</f>
        <v>ANTWERPEN</v>
      </c>
      <c r="AG1199" s="11" t="str">
        <f>IF($I1199&lt;&gt;"",VLOOKUP($AC1199,GEADRESSEERDE!$A$2:$E$4,5,),"")</f>
        <v>BE</v>
      </c>
      <c r="AH1199" s="11" t="str">
        <f>IF(I1199&lt;&gt;"",VLOOKUP(AP1199,KvB!$A$2:$B$3,2,FALSE),"")</f>
        <v>BE101000</v>
      </c>
      <c r="AI1199" s="11" t="s">
        <v>55</v>
      </c>
      <c r="AJ1199" s="11"/>
      <c r="AK1199" s="11"/>
      <c r="AL1199" s="11"/>
      <c r="AM1199" s="11"/>
      <c r="AN1199" s="11"/>
      <c r="AO1199" s="11"/>
      <c r="AP1199" s="2" t="s">
        <v>70</v>
      </c>
      <c r="AQ1199" s="11" t="str">
        <f>IF(I1199&lt;&gt;"",DATA!D1198,"")</f>
        <v>9403208000</v>
      </c>
    </row>
    <row r="1200" spans="1:43" ht="15.75" x14ac:dyDescent="0.25">
      <c r="A1200" s="11" t="s">
        <v>57</v>
      </c>
      <c r="B1200" s="11" t="s">
        <v>56</v>
      </c>
      <c r="C1200" s="22">
        <f t="shared" si="78"/>
        <v>25001620</v>
      </c>
      <c r="D1200" s="11" t="str">
        <f t="shared" si="75"/>
        <v>SKIIFM_AT</v>
      </c>
      <c r="E1200" s="11" t="str">
        <f>IF(I1200&lt;&gt;"",VLOOKUP(F1200,OPDRACHTGEVER!$A$2:$B$4,2,FALSE),"")</f>
        <v>SKIIFM_AT</v>
      </c>
      <c r="F1200" s="11" t="s">
        <v>58</v>
      </c>
      <c r="I1200" s="11" t="str">
        <f>IF(DATA!B1199&lt;&gt;"",DATA!B1199,"")</f>
        <v>MEDU4967959</v>
      </c>
      <c r="J1200" s="12">
        <v>0</v>
      </c>
      <c r="K1200" s="11" t="s">
        <v>53</v>
      </c>
      <c r="L1200" s="11" t="str">
        <f t="shared" si="76"/>
        <v>741920</v>
      </c>
      <c r="M1200" s="11" t="str">
        <f>IF(I1200&lt;&gt;"",DATA!E1199,"")</f>
        <v>SUPPORT</v>
      </c>
      <c r="N1200" s="12">
        <v>0</v>
      </c>
      <c r="O1200" s="11">
        <f>IF(I1200&lt;&gt;"",DATA!C1199,"")</f>
        <v>9.69</v>
      </c>
      <c r="P1200" s="2">
        <v>294094</v>
      </c>
      <c r="Q1200" s="2" t="s">
        <v>1304</v>
      </c>
      <c r="R1200" s="2" t="s">
        <v>1327</v>
      </c>
      <c r="S1200" s="2">
        <v>7</v>
      </c>
      <c r="T1200" s="2">
        <v>1</v>
      </c>
      <c r="U1200" s="2" t="s">
        <v>141</v>
      </c>
      <c r="Y1200" s="2">
        <v>1700</v>
      </c>
      <c r="Z1200" s="11" t="s">
        <v>54</v>
      </c>
      <c r="AA1200" s="11" t="str">
        <f t="shared" si="77"/>
        <v>1700 - TBN</v>
      </c>
      <c r="AC1200" s="2" t="s">
        <v>145</v>
      </c>
      <c r="AD1200" s="11" t="str">
        <f>IF($I1200&lt;&gt;"",VLOOKUP($AC1200,GEADRESSEERDE!$A$2:$E$4,2,),"")</f>
        <v>LUITHAGEN HAVEN 2 D</v>
      </c>
      <c r="AE1200" s="11">
        <f>IF($I1200&lt;&gt;"",VLOOKUP($AC1200,GEADRESSEERDE!$A$2:$E$4,3,),"")</f>
        <v>2030</v>
      </c>
      <c r="AF1200" s="11" t="str">
        <f>IF($I1200&lt;&gt;"",VLOOKUP($AC1200,GEADRESSEERDE!$A$2:$E$4,4,),"")</f>
        <v>ANTWERPEN</v>
      </c>
      <c r="AG1200" s="11" t="str">
        <f>IF($I1200&lt;&gt;"",VLOOKUP($AC1200,GEADRESSEERDE!$A$2:$E$4,5,),"")</f>
        <v>BE</v>
      </c>
      <c r="AH1200" s="11" t="str">
        <f>IF(I1200&lt;&gt;"",VLOOKUP(AP1200,KvB!$A$2:$B$3,2,FALSE),"")</f>
        <v>BE101000</v>
      </c>
      <c r="AI1200" s="11" t="s">
        <v>55</v>
      </c>
      <c r="AJ1200" s="11"/>
      <c r="AK1200" s="11"/>
      <c r="AL1200" s="11"/>
      <c r="AM1200" s="11"/>
      <c r="AN1200" s="11"/>
      <c r="AO1200" s="11"/>
      <c r="AP1200" s="2" t="s">
        <v>70</v>
      </c>
      <c r="AQ1200" s="11" t="str">
        <f>IF(I1200&lt;&gt;"",DATA!D1199,"")</f>
        <v>7419200090</v>
      </c>
    </row>
    <row r="1201" spans="1:43" ht="15.75" x14ac:dyDescent="0.25">
      <c r="A1201" s="11" t="s">
        <v>57</v>
      </c>
      <c r="B1201" s="11" t="s">
        <v>56</v>
      </c>
      <c r="C1201" s="22">
        <f t="shared" si="78"/>
        <v>25001620</v>
      </c>
      <c r="D1201" s="11" t="str">
        <f t="shared" si="75"/>
        <v>SKIIFM_AT</v>
      </c>
      <c r="E1201" s="11" t="str">
        <f>IF(I1201&lt;&gt;"",VLOOKUP(F1201,OPDRACHTGEVER!$A$2:$B$4,2,FALSE),"")</f>
        <v>SKIIFM_AT</v>
      </c>
      <c r="F1201" s="11" t="s">
        <v>58</v>
      </c>
      <c r="I1201" s="11" t="str">
        <f>IF(DATA!B1200&lt;&gt;"",DATA!B1200,"")</f>
        <v>MEDU4967959</v>
      </c>
      <c r="J1201" s="12">
        <v>0</v>
      </c>
      <c r="K1201" s="11" t="s">
        <v>53</v>
      </c>
      <c r="L1201" s="11" t="str">
        <f t="shared" si="76"/>
        <v>950691</v>
      </c>
      <c r="M1201" s="11" t="str">
        <f>IF(I1201&lt;&gt;"",DATA!E1200,"")</f>
        <v>TREE CLIMBING GEAR</v>
      </c>
      <c r="N1201" s="12">
        <v>0</v>
      </c>
      <c r="O1201" s="11">
        <f>IF(I1201&lt;&gt;"",DATA!C1200,"")</f>
        <v>33</v>
      </c>
      <c r="P1201" s="2">
        <v>294094</v>
      </c>
      <c r="Q1201" s="2" t="s">
        <v>1304</v>
      </c>
      <c r="R1201" s="2" t="s">
        <v>1327</v>
      </c>
      <c r="S1201" s="2">
        <v>7</v>
      </c>
      <c r="T1201" s="2">
        <v>1</v>
      </c>
      <c r="U1201" s="2" t="s">
        <v>141</v>
      </c>
      <c r="Y1201" s="2">
        <v>1700</v>
      </c>
      <c r="Z1201" s="11" t="s">
        <v>54</v>
      </c>
      <c r="AA1201" s="11" t="str">
        <f t="shared" si="77"/>
        <v>1700 - TBN</v>
      </c>
      <c r="AC1201" s="2" t="s">
        <v>145</v>
      </c>
      <c r="AD1201" s="11" t="str">
        <f>IF($I1201&lt;&gt;"",VLOOKUP($AC1201,GEADRESSEERDE!$A$2:$E$4,2,),"")</f>
        <v>LUITHAGEN HAVEN 2 D</v>
      </c>
      <c r="AE1201" s="11">
        <f>IF($I1201&lt;&gt;"",VLOOKUP($AC1201,GEADRESSEERDE!$A$2:$E$4,3,),"")</f>
        <v>2030</v>
      </c>
      <c r="AF1201" s="11" t="str">
        <f>IF($I1201&lt;&gt;"",VLOOKUP($AC1201,GEADRESSEERDE!$A$2:$E$4,4,),"")</f>
        <v>ANTWERPEN</v>
      </c>
      <c r="AG1201" s="11" t="str">
        <f>IF($I1201&lt;&gt;"",VLOOKUP($AC1201,GEADRESSEERDE!$A$2:$E$4,5,),"")</f>
        <v>BE</v>
      </c>
      <c r="AH1201" s="11" t="str">
        <f>IF(I1201&lt;&gt;"",VLOOKUP(AP1201,KvB!$A$2:$B$3,2,FALSE),"")</f>
        <v>BE101000</v>
      </c>
      <c r="AI1201" s="11" t="s">
        <v>55</v>
      </c>
      <c r="AJ1201" s="11"/>
      <c r="AK1201" s="11"/>
      <c r="AL1201" s="11"/>
      <c r="AM1201" s="11"/>
      <c r="AN1201" s="11"/>
      <c r="AO1201" s="11"/>
      <c r="AP1201" s="2" t="s">
        <v>70</v>
      </c>
      <c r="AQ1201" s="11" t="str">
        <f>IF(I1201&lt;&gt;"",DATA!D1200,"")</f>
        <v>9506919000</v>
      </c>
    </row>
    <row r="1202" spans="1:43" ht="15.75" x14ac:dyDescent="0.25">
      <c r="A1202" s="11" t="s">
        <v>57</v>
      </c>
      <c r="B1202" s="11" t="s">
        <v>56</v>
      </c>
      <c r="C1202" s="22">
        <f t="shared" si="78"/>
        <v>25001620</v>
      </c>
      <c r="D1202" s="11" t="str">
        <f t="shared" si="75"/>
        <v>SKIIFM_AT</v>
      </c>
      <c r="E1202" s="11" t="str">
        <f>IF(I1202&lt;&gt;"",VLOOKUP(F1202,OPDRACHTGEVER!$A$2:$B$4,2,FALSE),"")</f>
        <v>SKIIFM_AT</v>
      </c>
      <c r="F1202" s="11" t="s">
        <v>58</v>
      </c>
      <c r="I1202" s="11" t="str">
        <f>IF(DATA!B1201&lt;&gt;"",DATA!B1201,"")</f>
        <v>MEDU4967959</v>
      </c>
      <c r="J1202" s="12">
        <v>0</v>
      </c>
      <c r="K1202" s="11" t="s">
        <v>53</v>
      </c>
      <c r="L1202" s="11" t="str">
        <f t="shared" si="76"/>
        <v>850432</v>
      </c>
      <c r="M1202" s="11" t="str">
        <f>IF(I1202&lt;&gt;"",DATA!E1201,"")</f>
        <v>VOLTAGE CONVERTER</v>
      </c>
      <c r="N1202" s="12">
        <v>0</v>
      </c>
      <c r="O1202" s="11">
        <f>IF(I1202&lt;&gt;"",DATA!C1201,"")</f>
        <v>112.32</v>
      </c>
      <c r="P1202" s="2">
        <v>294094</v>
      </c>
      <c r="Q1202" s="2" t="s">
        <v>1304</v>
      </c>
      <c r="R1202" s="2" t="s">
        <v>1327</v>
      </c>
      <c r="S1202" s="2">
        <v>7</v>
      </c>
      <c r="T1202" s="2">
        <v>1</v>
      </c>
      <c r="U1202" s="2" t="s">
        <v>141</v>
      </c>
      <c r="Y1202" s="2">
        <v>1700</v>
      </c>
      <c r="Z1202" s="11" t="s">
        <v>54</v>
      </c>
      <c r="AA1202" s="11" t="str">
        <f t="shared" si="77"/>
        <v>1700 - TBN</v>
      </c>
      <c r="AC1202" s="2" t="s">
        <v>145</v>
      </c>
      <c r="AD1202" s="11" t="str">
        <f>IF($I1202&lt;&gt;"",VLOOKUP($AC1202,GEADRESSEERDE!$A$2:$E$4,2,),"")</f>
        <v>LUITHAGEN HAVEN 2 D</v>
      </c>
      <c r="AE1202" s="11">
        <f>IF($I1202&lt;&gt;"",VLOOKUP($AC1202,GEADRESSEERDE!$A$2:$E$4,3,),"")</f>
        <v>2030</v>
      </c>
      <c r="AF1202" s="11" t="str">
        <f>IF($I1202&lt;&gt;"",VLOOKUP($AC1202,GEADRESSEERDE!$A$2:$E$4,4,),"")</f>
        <v>ANTWERPEN</v>
      </c>
      <c r="AG1202" s="11" t="str">
        <f>IF($I1202&lt;&gt;"",VLOOKUP($AC1202,GEADRESSEERDE!$A$2:$E$4,5,),"")</f>
        <v>BE</v>
      </c>
      <c r="AH1202" s="11" t="str">
        <f>IF(I1202&lt;&gt;"",VLOOKUP(AP1202,KvB!$A$2:$B$3,2,FALSE),"")</f>
        <v>BE101000</v>
      </c>
      <c r="AI1202" s="11" t="s">
        <v>55</v>
      </c>
      <c r="AJ1202" s="11"/>
      <c r="AK1202" s="11"/>
      <c r="AL1202" s="11"/>
      <c r="AM1202" s="11"/>
      <c r="AN1202" s="11"/>
      <c r="AO1202" s="11"/>
      <c r="AP1202" s="2" t="s">
        <v>70</v>
      </c>
      <c r="AQ1202" s="11" t="str">
        <f>IF(I1202&lt;&gt;"",DATA!D1201,"")</f>
        <v>8504320090</v>
      </c>
    </row>
    <row r="1203" spans="1:43" ht="15.75" x14ac:dyDescent="0.25">
      <c r="A1203" s="11" t="s">
        <v>57</v>
      </c>
      <c r="B1203" s="11" t="s">
        <v>56</v>
      </c>
      <c r="C1203" s="22">
        <f t="shared" si="78"/>
        <v>25001620</v>
      </c>
      <c r="D1203" s="11" t="str">
        <f t="shared" si="75"/>
        <v>SKIIFM_AT</v>
      </c>
      <c r="E1203" s="11" t="str">
        <f>IF(I1203&lt;&gt;"",VLOOKUP(F1203,OPDRACHTGEVER!$A$2:$B$4,2,FALSE),"")</f>
        <v>SKIIFM_AT</v>
      </c>
      <c r="F1203" s="11" t="s">
        <v>58</v>
      </c>
      <c r="I1203" s="11" t="str">
        <f>IF(DATA!B1202&lt;&gt;"",DATA!B1202,"")</f>
        <v>MEDU4967959</v>
      </c>
      <c r="J1203" s="12">
        <v>0</v>
      </c>
      <c r="K1203" s="11" t="s">
        <v>53</v>
      </c>
      <c r="L1203" s="11" t="str">
        <f t="shared" si="76"/>
        <v>392329</v>
      </c>
      <c r="M1203" s="11" t="str">
        <f>IF(I1203&lt;&gt;"",DATA!E1202,"")</f>
        <v>WATER STORAGE BAG</v>
      </c>
      <c r="N1203" s="12">
        <v>0</v>
      </c>
      <c r="O1203" s="11">
        <f>IF(I1203&lt;&gt;"",DATA!C1202,"")</f>
        <v>188.61</v>
      </c>
      <c r="P1203" s="2">
        <v>294094</v>
      </c>
      <c r="Q1203" s="2" t="s">
        <v>1304</v>
      </c>
      <c r="R1203" s="2" t="s">
        <v>1327</v>
      </c>
      <c r="S1203" s="2">
        <v>7</v>
      </c>
      <c r="T1203" s="2">
        <v>1</v>
      </c>
      <c r="U1203" s="2" t="s">
        <v>141</v>
      </c>
      <c r="Y1203" s="2">
        <v>1700</v>
      </c>
      <c r="Z1203" s="11" t="s">
        <v>54</v>
      </c>
      <c r="AA1203" s="11" t="str">
        <f t="shared" si="77"/>
        <v>1700 - TBN</v>
      </c>
      <c r="AC1203" s="2" t="s">
        <v>145</v>
      </c>
      <c r="AD1203" s="11" t="str">
        <f>IF($I1203&lt;&gt;"",VLOOKUP($AC1203,GEADRESSEERDE!$A$2:$E$4,2,),"")</f>
        <v>LUITHAGEN HAVEN 2 D</v>
      </c>
      <c r="AE1203" s="11">
        <f>IF($I1203&lt;&gt;"",VLOOKUP($AC1203,GEADRESSEERDE!$A$2:$E$4,3,),"")</f>
        <v>2030</v>
      </c>
      <c r="AF1203" s="11" t="str">
        <f>IF($I1203&lt;&gt;"",VLOOKUP($AC1203,GEADRESSEERDE!$A$2:$E$4,4,),"")</f>
        <v>ANTWERPEN</v>
      </c>
      <c r="AG1203" s="11" t="str">
        <f>IF($I1203&lt;&gt;"",VLOOKUP($AC1203,GEADRESSEERDE!$A$2:$E$4,5,),"")</f>
        <v>BE</v>
      </c>
      <c r="AH1203" s="11" t="str">
        <f>IF(I1203&lt;&gt;"",VLOOKUP(AP1203,KvB!$A$2:$B$3,2,FALSE),"")</f>
        <v>BE101000</v>
      </c>
      <c r="AI1203" s="11" t="s">
        <v>55</v>
      </c>
      <c r="AJ1203" s="11"/>
      <c r="AK1203" s="11"/>
      <c r="AL1203" s="11"/>
      <c r="AM1203" s="11"/>
      <c r="AN1203" s="11"/>
      <c r="AO1203" s="11"/>
      <c r="AP1203" s="2" t="s">
        <v>70</v>
      </c>
      <c r="AQ1203" s="11" t="str">
        <f>IF(I1203&lt;&gt;"",DATA!D1202,"")</f>
        <v>3923299000</v>
      </c>
    </row>
    <row r="1204" spans="1:43" ht="15.75" x14ac:dyDescent="0.25">
      <c r="A1204" s="11" t="s">
        <v>57</v>
      </c>
      <c r="B1204" s="11" t="s">
        <v>56</v>
      </c>
      <c r="C1204" s="22">
        <f t="shared" si="78"/>
        <v>25001620</v>
      </c>
      <c r="D1204" s="11" t="str">
        <f t="shared" ref="D1204:D1267" si="79">E1204</f>
        <v>SKIIFM_AT</v>
      </c>
      <c r="E1204" s="11" t="str">
        <f>IF(I1204&lt;&gt;"",VLOOKUP(F1204,OPDRACHTGEVER!$A$2:$B$4,2,FALSE),"")</f>
        <v>SKIIFM_AT</v>
      </c>
      <c r="F1204" s="11" t="s">
        <v>58</v>
      </c>
      <c r="I1204" s="11" t="str">
        <f>IF(DATA!B1203&lt;&gt;"",DATA!B1203,"")</f>
        <v>MEDU4967959</v>
      </c>
      <c r="J1204" s="12">
        <v>0</v>
      </c>
      <c r="K1204" s="11" t="s">
        <v>53</v>
      </c>
      <c r="L1204" s="11" t="str">
        <f t="shared" ref="L1204:L1267" si="80">LEFT(AQ1204,6)</f>
        <v>870870</v>
      </c>
      <c r="M1204" s="11" t="str">
        <f>IF(I1204&lt;&gt;"",DATA!E1203,"")</f>
        <v>WHEEL</v>
      </c>
      <c r="N1204" s="12">
        <v>0</v>
      </c>
      <c r="O1204" s="11">
        <f>IF(I1204&lt;&gt;"",DATA!C1203,"")</f>
        <v>6.45</v>
      </c>
      <c r="P1204" s="2">
        <v>294094</v>
      </c>
      <c r="Q1204" s="2" t="s">
        <v>1304</v>
      </c>
      <c r="R1204" s="2" t="s">
        <v>1327</v>
      </c>
      <c r="S1204" s="2">
        <v>7</v>
      </c>
      <c r="T1204" s="2">
        <v>1</v>
      </c>
      <c r="U1204" s="2" t="s">
        <v>141</v>
      </c>
      <c r="Y1204" s="2">
        <v>1700</v>
      </c>
      <c r="Z1204" s="11" t="s">
        <v>54</v>
      </c>
      <c r="AA1204" s="11" t="str">
        <f t="shared" ref="AA1204:AA1267" si="81">IF(I1204&lt;&gt;"",Y1204&amp;" - "&amp;Z1204,"")</f>
        <v>1700 - TBN</v>
      </c>
      <c r="AC1204" s="2" t="s">
        <v>145</v>
      </c>
      <c r="AD1204" s="11" t="str">
        <f>IF($I1204&lt;&gt;"",VLOOKUP($AC1204,GEADRESSEERDE!$A$2:$E$4,2,),"")</f>
        <v>LUITHAGEN HAVEN 2 D</v>
      </c>
      <c r="AE1204" s="11">
        <f>IF($I1204&lt;&gt;"",VLOOKUP($AC1204,GEADRESSEERDE!$A$2:$E$4,3,),"")</f>
        <v>2030</v>
      </c>
      <c r="AF1204" s="11" t="str">
        <f>IF($I1204&lt;&gt;"",VLOOKUP($AC1204,GEADRESSEERDE!$A$2:$E$4,4,),"")</f>
        <v>ANTWERPEN</v>
      </c>
      <c r="AG1204" s="11" t="str">
        <f>IF($I1204&lt;&gt;"",VLOOKUP($AC1204,GEADRESSEERDE!$A$2:$E$4,5,),"")</f>
        <v>BE</v>
      </c>
      <c r="AH1204" s="11" t="str">
        <f>IF(I1204&lt;&gt;"",VLOOKUP(AP1204,KvB!$A$2:$B$3,2,FALSE),"")</f>
        <v>BE101000</v>
      </c>
      <c r="AI1204" s="11" t="s">
        <v>55</v>
      </c>
      <c r="AJ1204" s="11"/>
      <c r="AK1204" s="11"/>
      <c r="AL1204" s="11"/>
      <c r="AM1204" s="11"/>
      <c r="AN1204" s="11"/>
      <c r="AO1204" s="11"/>
      <c r="AP1204" s="2" t="s">
        <v>70</v>
      </c>
      <c r="AQ1204" s="11" t="str">
        <f>IF(I1204&lt;&gt;"",DATA!D1203,"")</f>
        <v>8708709190</v>
      </c>
    </row>
    <row r="1205" spans="1:43" ht="15.75" x14ac:dyDescent="0.25">
      <c r="A1205" s="11" t="s">
        <v>57</v>
      </c>
      <c r="B1205" s="11" t="s">
        <v>56</v>
      </c>
      <c r="C1205" s="22">
        <f t="shared" si="78"/>
        <v>25001620</v>
      </c>
      <c r="D1205" s="11" t="str">
        <f t="shared" si="79"/>
        <v>SKIIFM_AT</v>
      </c>
      <c r="E1205" s="11" t="str">
        <f>IF(I1205&lt;&gt;"",VLOOKUP(F1205,OPDRACHTGEVER!$A$2:$B$4,2,FALSE),"")</f>
        <v>SKIIFM_AT</v>
      </c>
      <c r="F1205" s="11" t="s">
        <v>58</v>
      </c>
      <c r="I1205" s="11" t="str">
        <f>IF(DATA!B1204&lt;&gt;"",DATA!B1204,"")</f>
        <v>MEDU4967959</v>
      </c>
      <c r="J1205" s="12">
        <v>0</v>
      </c>
      <c r="K1205" s="11" t="s">
        <v>53</v>
      </c>
      <c r="L1205" s="11" t="str">
        <f t="shared" si="80"/>
        <v>843110</v>
      </c>
      <c r="M1205" s="11" t="str">
        <f>IF(I1205&lt;&gt;"",DATA!E1204,"")</f>
        <v>WINCH SHACKLES</v>
      </c>
      <c r="N1205" s="12">
        <v>0</v>
      </c>
      <c r="O1205" s="11">
        <f>IF(I1205&lt;&gt;"",DATA!C1204,"")</f>
        <v>80</v>
      </c>
      <c r="P1205" s="2">
        <v>294094</v>
      </c>
      <c r="Q1205" s="2" t="s">
        <v>1304</v>
      </c>
      <c r="R1205" s="2" t="s">
        <v>1327</v>
      </c>
      <c r="S1205" s="2">
        <v>7</v>
      </c>
      <c r="T1205" s="2">
        <v>1</v>
      </c>
      <c r="U1205" s="2" t="s">
        <v>141</v>
      </c>
      <c r="Y1205" s="2">
        <v>1700</v>
      </c>
      <c r="Z1205" s="11" t="s">
        <v>54</v>
      </c>
      <c r="AA1205" s="11" t="str">
        <f t="shared" si="81"/>
        <v>1700 - TBN</v>
      </c>
      <c r="AC1205" s="2" t="s">
        <v>145</v>
      </c>
      <c r="AD1205" s="11" t="str">
        <f>IF($I1205&lt;&gt;"",VLOOKUP($AC1205,GEADRESSEERDE!$A$2:$E$4,2,),"")</f>
        <v>LUITHAGEN HAVEN 2 D</v>
      </c>
      <c r="AE1205" s="11">
        <f>IF($I1205&lt;&gt;"",VLOOKUP($AC1205,GEADRESSEERDE!$A$2:$E$4,3,),"")</f>
        <v>2030</v>
      </c>
      <c r="AF1205" s="11" t="str">
        <f>IF($I1205&lt;&gt;"",VLOOKUP($AC1205,GEADRESSEERDE!$A$2:$E$4,4,),"")</f>
        <v>ANTWERPEN</v>
      </c>
      <c r="AG1205" s="11" t="str">
        <f>IF($I1205&lt;&gt;"",VLOOKUP($AC1205,GEADRESSEERDE!$A$2:$E$4,5,),"")</f>
        <v>BE</v>
      </c>
      <c r="AH1205" s="11" t="str">
        <f>IF(I1205&lt;&gt;"",VLOOKUP(AP1205,KvB!$A$2:$B$3,2,FALSE),"")</f>
        <v>BE101000</v>
      </c>
      <c r="AI1205" s="11" t="s">
        <v>55</v>
      </c>
      <c r="AJ1205" s="11"/>
      <c r="AK1205" s="11"/>
      <c r="AL1205" s="11"/>
      <c r="AM1205" s="11"/>
      <c r="AN1205" s="11"/>
      <c r="AO1205" s="11"/>
      <c r="AP1205" s="2" t="s">
        <v>70</v>
      </c>
      <c r="AQ1205" s="11" t="str">
        <f>IF(I1205&lt;&gt;"",DATA!D1204,"")</f>
        <v>8431100000</v>
      </c>
    </row>
    <row r="1206" spans="1:43" ht="15.75" x14ac:dyDescent="0.25">
      <c r="A1206" s="11" t="s">
        <v>57</v>
      </c>
      <c r="B1206" s="11" t="s">
        <v>56</v>
      </c>
      <c r="C1206" s="22">
        <f t="shared" si="78"/>
        <v>25001620</v>
      </c>
      <c r="D1206" s="11" t="str">
        <f t="shared" si="79"/>
        <v>SKIIFM_AT</v>
      </c>
      <c r="E1206" s="11" t="str">
        <f>IF(I1206&lt;&gt;"",VLOOKUP(F1206,OPDRACHTGEVER!$A$2:$B$4,2,FALSE),"")</f>
        <v>SKIIFM_AT</v>
      </c>
      <c r="F1206" s="11" t="s">
        <v>58</v>
      </c>
      <c r="I1206" s="11" t="str">
        <f>IF(DATA!B1205&lt;&gt;"",DATA!B1205,"")</f>
        <v>MEDU4967959</v>
      </c>
      <c r="J1206" s="12">
        <v>0</v>
      </c>
      <c r="K1206" s="11" t="s">
        <v>53</v>
      </c>
      <c r="L1206" s="11" t="str">
        <f t="shared" si="80"/>
        <v>700719</v>
      </c>
      <c r="M1206" s="11" t="str">
        <f>IF(I1206&lt;&gt;"",DATA!E1205,"")</f>
        <v>WINDSHIELD PANEL</v>
      </c>
      <c r="N1206" s="12">
        <v>0</v>
      </c>
      <c r="O1206" s="11">
        <f>IF(I1206&lt;&gt;"",DATA!C1205,"")</f>
        <v>19.440000000000001</v>
      </c>
      <c r="P1206" s="2">
        <v>294094</v>
      </c>
      <c r="Q1206" s="2" t="s">
        <v>1304</v>
      </c>
      <c r="R1206" s="2" t="s">
        <v>1327</v>
      </c>
      <c r="S1206" s="2">
        <v>7</v>
      </c>
      <c r="T1206" s="2">
        <v>1</v>
      </c>
      <c r="U1206" s="2" t="s">
        <v>141</v>
      </c>
      <c r="Y1206" s="2">
        <v>1700</v>
      </c>
      <c r="Z1206" s="11" t="s">
        <v>54</v>
      </c>
      <c r="AA1206" s="11" t="str">
        <f t="shared" si="81"/>
        <v>1700 - TBN</v>
      </c>
      <c r="AC1206" s="2" t="s">
        <v>145</v>
      </c>
      <c r="AD1206" s="11" t="str">
        <f>IF($I1206&lt;&gt;"",VLOOKUP($AC1206,GEADRESSEERDE!$A$2:$E$4,2,),"")</f>
        <v>LUITHAGEN HAVEN 2 D</v>
      </c>
      <c r="AE1206" s="11">
        <f>IF($I1206&lt;&gt;"",VLOOKUP($AC1206,GEADRESSEERDE!$A$2:$E$4,3,),"")</f>
        <v>2030</v>
      </c>
      <c r="AF1206" s="11" t="str">
        <f>IF($I1206&lt;&gt;"",VLOOKUP($AC1206,GEADRESSEERDE!$A$2:$E$4,4,),"")</f>
        <v>ANTWERPEN</v>
      </c>
      <c r="AG1206" s="11" t="str">
        <f>IF($I1206&lt;&gt;"",VLOOKUP($AC1206,GEADRESSEERDE!$A$2:$E$4,5,),"")</f>
        <v>BE</v>
      </c>
      <c r="AH1206" s="11" t="str">
        <f>IF(I1206&lt;&gt;"",VLOOKUP(AP1206,KvB!$A$2:$B$3,2,FALSE),"")</f>
        <v>BE101000</v>
      </c>
      <c r="AI1206" s="11" t="s">
        <v>55</v>
      </c>
      <c r="AJ1206" s="11"/>
      <c r="AK1206" s="11"/>
      <c r="AL1206" s="11"/>
      <c r="AM1206" s="11"/>
      <c r="AN1206" s="11"/>
      <c r="AO1206" s="11"/>
      <c r="AP1206" s="2" t="s">
        <v>70</v>
      </c>
      <c r="AQ1206" s="11" t="str">
        <f>IF(I1206&lt;&gt;"",DATA!D1205,"")</f>
        <v>7007198095</v>
      </c>
    </row>
    <row r="1207" spans="1:43" ht="15.75" x14ac:dyDescent="0.25">
      <c r="A1207" s="11" t="s">
        <v>57</v>
      </c>
      <c r="B1207" s="11" t="s">
        <v>56</v>
      </c>
      <c r="C1207" s="22">
        <f t="shared" si="78"/>
        <v>25001620</v>
      </c>
      <c r="D1207" s="11" t="str">
        <f t="shared" si="79"/>
        <v>SKIIFM_AT</v>
      </c>
      <c r="E1207" s="11" t="str">
        <f>IF(I1207&lt;&gt;"",VLOOKUP(F1207,OPDRACHTGEVER!$A$2:$B$4,2,FALSE),"")</f>
        <v>SKIIFM_AT</v>
      </c>
      <c r="F1207" s="11" t="s">
        <v>58</v>
      </c>
      <c r="I1207" s="11" t="str">
        <f>IF(DATA!B1206&lt;&gt;"",DATA!B1206,"")</f>
        <v>MEDU4967959</v>
      </c>
      <c r="J1207" s="12">
        <v>0</v>
      </c>
      <c r="K1207" s="11" t="s">
        <v>53</v>
      </c>
      <c r="L1207" s="11" t="str">
        <f t="shared" si="80"/>
        <v>741920</v>
      </c>
      <c r="M1207" s="11" t="str">
        <f>IF(I1207&lt;&gt;"",DATA!E1206,"")</f>
        <v>WINDSHIELD RACK</v>
      </c>
      <c r="N1207" s="12">
        <v>0</v>
      </c>
      <c r="O1207" s="11">
        <f>IF(I1207&lt;&gt;"",DATA!C1206,"")</f>
        <v>60.81</v>
      </c>
      <c r="P1207" s="2">
        <v>294094</v>
      </c>
      <c r="Q1207" s="2" t="s">
        <v>1304</v>
      </c>
      <c r="R1207" s="2" t="s">
        <v>1327</v>
      </c>
      <c r="S1207" s="2">
        <v>7</v>
      </c>
      <c r="T1207" s="2">
        <v>1</v>
      </c>
      <c r="U1207" s="2" t="s">
        <v>141</v>
      </c>
      <c r="Y1207" s="2">
        <v>1700</v>
      </c>
      <c r="Z1207" s="11" t="s">
        <v>54</v>
      </c>
      <c r="AA1207" s="11" t="str">
        <f t="shared" si="81"/>
        <v>1700 - TBN</v>
      </c>
      <c r="AC1207" s="2" t="s">
        <v>145</v>
      </c>
      <c r="AD1207" s="11" t="str">
        <f>IF($I1207&lt;&gt;"",VLOOKUP($AC1207,GEADRESSEERDE!$A$2:$E$4,2,),"")</f>
        <v>LUITHAGEN HAVEN 2 D</v>
      </c>
      <c r="AE1207" s="11">
        <f>IF($I1207&lt;&gt;"",VLOOKUP($AC1207,GEADRESSEERDE!$A$2:$E$4,3,),"")</f>
        <v>2030</v>
      </c>
      <c r="AF1207" s="11" t="str">
        <f>IF($I1207&lt;&gt;"",VLOOKUP($AC1207,GEADRESSEERDE!$A$2:$E$4,4,),"")</f>
        <v>ANTWERPEN</v>
      </c>
      <c r="AG1207" s="11" t="str">
        <f>IF($I1207&lt;&gt;"",VLOOKUP($AC1207,GEADRESSEERDE!$A$2:$E$4,5,),"")</f>
        <v>BE</v>
      </c>
      <c r="AH1207" s="11" t="str">
        <f>IF(I1207&lt;&gt;"",VLOOKUP(AP1207,KvB!$A$2:$B$3,2,FALSE),"")</f>
        <v>BE101000</v>
      </c>
      <c r="AI1207" s="11" t="s">
        <v>55</v>
      </c>
      <c r="AJ1207" s="11"/>
      <c r="AK1207" s="11"/>
      <c r="AL1207" s="11"/>
      <c r="AM1207" s="11"/>
      <c r="AN1207" s="11"/>
      <c r="AO1207" s="11"/>
      <c r="AP1207" s="2" t="s">
        <v>70</v>
      </c>
      <c r="AQ1207" s="11" t="str">
        <f>IF(I1207&lt;&gt;"",DATA!D1206,"")</f>
        <v>7419200090</v>
      </c>
    </row>
    <row r="1208" spans="1:43" ht="15.75" x14ac:dyDescent="0.25">
      <c r="A1208" s="11" t="s">
        <v>57</v>
      </c>
      <c r="B1208" s="11" t="s">
        <v>56</v>
      </c>
      <c r="C1208" s="22">
        <f t="shared" si="78"/>
        <v>25001620</v>
      </c>
      <c r="D1208" s="11" t="str">
        <f t="shared" si="79"/>
        <v>SKIIFM_AT</v>
      </c>
      <c r="E1208" s="11" t="str">
        <f>IF(I1208&lt;&gt;"",VLOOKUP(F1208,OPDRACHTGEVER!$A$2:$B$4,2,FALSE),"")</f>
        <v>SKIIFM_AT</v>
      </c>
      <c r="F1208" s="11" t="s">
        <v>58</v>
      </c>
      <c r="I1208" s="11" t="str">
        <f>IF(DATA!B1207&lt;&gt;"",DATA!B1207,"")</f>
        <v>MEDU4967959</v>
      </c>
      <c r="J1208" s="12">
        <v>0</v>
      </c>
      <c r="K1208" s="11" t="s">
        <v>53</v>
      </c>
      <c r="L1208" s="11" t="str">
        <f t="shared" si="80"/>
        <v>851690</v>
      </c>
      <c r="M1208" s="11" t="str">
        <f>IF(I1208&lt;&gt;"",DATA!E1207,"")</f>
        <v>WIRE MESH</v>
      </c>
      <c r="N1208" s="12">
        <v>0</v>
      </c>
      <c r="O1208" s="11">
        <f>IF(I1208&lt;&gt;"",DATA!C1207,"")</f>
        <v>3.23</v>
      </c>
      <c r="P1208" s="2">
        <v>294094</v>
      </c>
      <c r="Q1208" s="2" t="s">
        <v>1304</v>
      </c>
      <c r="R1208" s="2" t="s">
        <v>1327</v>
      </c>
      <c r="S1208" s="2">
        <v>7</v>
      </c>
      <c r="T1208" s="2">
        <v>1</v>
      </c>
      <c r="U1208" s="2" t="s">
        <v>141</v>
      </c>
      <c r="Y1208" s="2">
        <v>1700</v>
      </c>
      <c r="Z1208" s="11" t="s">
        <v>54</v>
      </c>
      <c r="AA1208" s="11" t="str">
        <f t="shared" si="81"/>
        <v>1700 - TBN</v>
      </c>
      <c r="AC1208" s="2" t="s">
        <v>145</v>
      </c>
      <c r="AD1208" s="11" t="str">
        <f>IF($I1208&lt;&gt;"",VLOOKUP($AC1208,GEADRESSEERDE!$A$2:$E$4,2,),"")</f>
        <v>LUITHAGEN HAVEN 2 D</v>
      </c>
      <c r="AE1208" s="11">
        <f>IF($I1208&lt;&gt;"",VLOOKUP($AC1208,GEADRESSEERDE!$A$2:$E$4,3,),"")</f>
        <v>2030</v>
      </c>
      <c r="AF1208" s="11" t="str">
        <f>IF($I1208&lt;&gt;"",VLOOKUP($AC1208,GEADRESSEERDE!$A$2:$E$4,4,),"")</f>
        <v>ANTWERPEN</v>
      </c>
      <c r="AG1208" s="11" t="str">
        <f>IF($I1208&lt;&gt;"",VLOOKUP($AC1208,GEADRESSEERDE!$A$2:$E$4,5,),"")</f>
        <v>BE</v>
      </c>
      <c r="AH1208" s="11" t="str">
        <f>IF(I1208&lt;&gt;"",VLOOKUP(AP1208,KvB!$A$2:$B$3,2,FALSE),"")</f>
        <v>BE101000</v>
      </c>
      <c r="AI1208" s="11" t="s">
        <v>55</v>
      </c>
      <c r="AJ1208" s="11"/>
      <c r="AK1208" s="11"/>
      <c r="AL1208" s="11"/>
      <c r="AM1208" s="11"/>
      <c r="AN1208" s="11"/>
      <c r="AO1208" s="11"/>
      <c r="AP1208" s="2" t="s">
        <v>70</v>
      </c>
      <c r="AQ1208" s="11" t="str">
        <f>IF(I1208&lt;&gt;"",DATA!D1207,"")</f>
        <v>8516900099</v>
      </c>
    </row>
    <row r="1209" spans="1:43" ht="15.75" x14ac:dyDescent="0.25">
      <c r="A1209" s="11" t="s">
        <v>57</v>
      </c>
      <c r="B1209" s="11" t="s">
        <v>56</v>
      </c>
      <c r="C1209" s="22">
        <f t="shared" si="78"/>
        <v>25001620</v>
      </c>
      <c r="D1209" s="11" t="str">
        <f t="shared" si="79"/>
        <v>SKIIFM_AT</v>
      </c>
      <c r="E1209" s="11" t="str">
        <f>IF(I1209&lt;&gt;"",VLOOKUP(F1209,OPDRACHTGEVER!$A$2:$B$4,2,FALSE),"")</f>
        <v>SKIIFM_AT</v>
      </c>
      <c r="F1209" s="11" t="s">
        <v>58</v>
      </c>
      <c r="I1209" s="11" t="str">
        <f>IF(DATA!B1208&lt;&gt;"",DATA!B1208,"")</f>
        <v>MEDU7109547</v>
      </c>
      <c r="J1209" s="12">
        <v>728</v>
      </c>
      <c r="K1209" s="11" t="s">
        <v>53</v>
      </c>
      <c r="L1209" s="11" t="str">
        <f t="shared" si="80"/>
        <v>950490</v>
      </c>
      <c r="M1209" s="11" t="str">
        <f>IF(I1209&lt;&gt;"",DATA!E1208,"")</f>
        <v>AIR HOCKEY TABLE</v>
      </c>
      <c r="N1209" s="12">
        <v>12134</v>
      </c>
      <c r="O1209" s="11">
        <f>IF(I1209&lt;&gt;"",DATA!C1208,"")</f>
        <v>3594.4</v>
      </c>
      <c r="P1209" s="2">
        <v>294094</v>
      </c>
      <c r="Q1209" s="2" t="s">
        <v>1304</v>
      </c>
      <c r="R1209" s="2" t="s">
        <v>1328</v>
      </c>
      <c r="S1209" s="2">
        <v>576</v>
      </c>
      <c r="T1209" s="2">
        <v>1</v>
      </c>
      <c r="U1209" s="2" t="s">
        <v>141</v>
      </c>
      <c r="Y1209" s="2">
        <v>1700</v>
      </c>
      <c r="Z1209" s="11" t="s">
        <v>54</v>
      </c>
      <c r="AA1209" s="11" t="str">
        <f t="shared" si="81"/>
        <v>1700 - TBN</v>
      </c>
      <c r="AC1209" s="2" t="s">
        <v>145</v>
      </c>
      <c r="AD1209" s="11" t="str">
        <f>IF($I1209&lt;&gt;"",VLOOKUP($AC1209,GEADRESSEERDE!$A$2:$E$4,2,),"")</f>
        <v>LUITHAGEN HAVEN 2 D</v>
      </c>
      <c r="AE1209" s="11">
        <f>IF($I1209&lt;&gt;"",VLOOKUP($AC1209,GEADRESSEERDE!$A$2:$E$4,3,),"")</f>
        <v>2030</v>
      </c>
      <c r="AF1209" s="11" t="str">
        <f>IF($I1209&lt;&gt;"",VLOOKUP($AC1209,GEADRESSEERDE!$A$2:$E$4,4,),"")</f>
        <v>ANTWERPEN</v>
      </c>
      <c r="AG1209" s="11" t="str">
        <f>IF($I1209&lt;&gt;"",VLOOKUP($AC1209,GEADRESSEERDE!$A$2:$E$4,5,),"")</f>
        <v>BE</v>
      </c>
      <c r="AH1209" s="11" t="str">
        <f>IF(I1209&lt;&gt;"",VLOOKUP(AP1209,KvB!$A$2:$B$3,2,FALSE),"")</f>
        <v>BE101000</v>
      </c>
      <c r="AI1209" s="11" t="s">
        <v>55</v>
      </c>
      <c r="AJ1209" s="11"/>
      <c r="AK1209" s="11"/>
      <c r="AL1209" s="11"/>
      <c r="AM1209" s="11"/>
      <c r="AN1209" s="11"/>
      <c r="AO1209" s="11"/>
      <c r="AP1209" s="2" t="s">
        <v>70</v>
      </c>
      <c r="AQ1209" s="11" t="str">
        <f>IF(I1209&lt;&gt;"",DATA!D1208,"")</f>
        <v>9504908000</v>
      </c>
    </row>
    <row r="1210" spans="1:43" ht="15.75" x14ac:dyDescent="0.25">
      <c r="A1210" s="11" t="s">
        <v>57</v>
      </c>
      <c r="B1210" s="11" t="s">
        <v>56</v>
      </c>
      <c r="C1210" s="22">
        <f t="shared" si="78"/>
        <v>25001620</v>
      </c>
      <c r="D1210" s="11" t="str">
        <f t="shared" si="79"/>
        <v>SKIIFM_AT</v>
      </c>
      <c r="E1210" s="11" t="str">
        <f>IF(I1210&lt;&gt;"",VLOOKUP(F1210,OPDRACHTGEVER!$A$2:$B$4,2,FALSE),"")</f>
        <v>SKIIFM_AT</v>
      </c>
      <c r="F1210" s="11" t="s">
        <v>58</v>
      </c>
      <c r="I1210" s="11" t="str">
        <f>IF(DATA!B1209&lt;&gt;"",DATA!B1209,"")</f>
        <v>MEDU7109547</v>
      </c>
      <c r="J1210" s="12">
        <v>0</v>
      </c>
      <c r="K1210" s="11" t="s">
        <v>53</v>
      </c>
      <c r="L1210" s="11" t="str">
        <f t="shared" si="80"/>
        <v>842121</v>
      </c>
      <c r="M1210" s="11" t="str">
        <f>IF(I1210&lt;&gt;"",DATA!E1209,"")</f>
        <v>AQUARIUM FILTER</v>
      </c>
      <c r="N1210" s="12">
        <v>0</v>
      </c>
      <c r="O1210" s="11">
        <f>IF(I1210&lt;&gt;"",DATA!C1209,"")</f>
        <v>72.05</v>
      </c>
      <c r="P1210" s="2">
        <v>294094</v>
      </c>
      <c r="Q1210" s="2" t="s">
        <v>1304</v>
      </c>
      <c r="R1210" s="2" t="s">
        <v>1328</v>
      </c>
      <c r="S1210" s="2">
        <v>576</v>
      </c>
      <c r="T1210" s="2">
        <v>1</v>
      </c>
      <c r="U1210" s="2" t="s">
        <v>141</v>
      </c>
      <c r="Y1210" s="2">
        <v>1700</v>
      </c>
      <c r="Z1210" s="11" t="s">
        <v>54</v>
      </c>
      <c r="AA1210" s="11" t="str">
        <f t="shared" si="81"/>
        <v>1700 - TBN</v>
      </c>
      <c r="AC1210" s="2" t="s">
        <v>145</v>
      </c>
      <c r="AD1210" s="11" t="str">
        <f>IF($I1210&lt;&gt;"",VLOOKUP($AC1210,GEADRESSEERDE!$A$2:$E$4,2,),"")</f>
        <v>LUITHAGEN HAVEN 2 D</v>
      </c>
      <c r="AE1210" s="11">
        <f>IF($I1210&lt;&gt;"",VLOOKUP($AC1210,GEADRESSEERDE!$A$2:$E$4,3,),"")</f>
        <v>2030</v>
      </c>
      <c r="AF1210" s="11" t="str">
        <f>IF($I1210&lt;&gt;"",VLOOKUP($AC1210,GEADRESSEERDE!$A$2:$E$4,4,),"")</f>
        <v>ANTWERPEN</v>
      </c>
      <c r="AG1210" s="11" t="str">
        <f>IF($I1210&lt;&gt;"",VLOOKUP($AC1210,GEADRESSEERDE!$A$2:$E$4,5,),"")</f>
        <v>BE</v>
      </c>
      <c r="AH1210" s="11" t="str">
        <f>IF(I1210&lt;&gt;"",VLOOKUP(AP1210,KvB!$A$2:$B$3,2,FALSE),"")</f>
        <v>BE101000</v>
      </c>
      <c r="AI1210" s="11" t="s">
        <v>55</v>
      </c>
      <c r="AJ1210" s="11"/>
      <c r="AK1210" s="11"/>
      <c r="AL1210" s="11"/>
      <c r="AM1210" s="11"/>
      <c r="AN1210" s="11"/>
      <c r="AO1210" s="11"/>
      <c r="AP1210" s="2" t="s">
        <v>70</v>
      </c>
      <c r="AQ1210" s="11" t="str">
        <f>IF(I1210&lt;&gt;"",DATA!D1209,"")</f>
        <v>8421210090</v>
      </c>
    </row>
    <row r="1211" spans="1:43" ht="15.75" x14ac:dyDescent="0.25">
      <c r="A1211" s="11" t="s">
        <v>57</v>
      </c>
      <c r="B1211" s="11" t="s">
        <v>56</v>
      </c>
      <c r="C1211" s="22">
        <f t="shared" si="78"/>
        <v>25001620</v>
      </c>
      <c r="D1211" s="11" t="str">
        <f t="shared" si="79"/>
        <v>SKIIFM_AT</v>
      </c>
      <c r="E1211" s="11" t="str">
        <f>IF(I1211&lt;&gt;"",VLOOKUP(F1211,OPDRACHTGEVER!$A$2:$B$4,2,FALSE),"")</f>
        <v>SKIIFM_AT</v>
      </c>
      <c r="F1211" s="11" t="s">
        <v>58</v>
      </c>
      <c r="I1211" s="11" t="str">
        <f>IF(DATA!B1210&lt;&gt;"",DATA!B1210,"")</f>
        <v>MEDU7109547</v>
      </c>
      <c r="J1211" s="12">
        <v>0</v>
      </c>
      <c r="K1211" s="11" t="s">
        <v>53</v>
      </c>
      <c r="L1211" s="11" t="str">
        <f t="shared" si="80"/>
        <v>903180</v>
      </c>
      <c r="M1211" s="11" t="str">
        <f>IF(I1211&lt;&gt;"",DATA!E1210,"")</f>
        <v>AUTOMOTIVE SMOKE MACHINE LEAK DETECTOR</v>
      </c>
      <c r="N1211" s="12">
        <v>0</v>
      </c>
      <c r="O1211" s="11">
        <f>IF(I1211&lt;&gt;"",DATA!C1210,"")</f>
        <v>137.1</v>
      </c>
      <c r="P1211" s="2">
        <v>294094</v>
      </c>
      <c r="Q1211" s="2" t="s">
        <v>1304</v>
      </c>
      <c r="R1211" s="2" t="s">
        <v>1328</v>
      </c>
      <c r="S1211" s="2">
        <v>576</v>
      </c>
      <c r="T1211" s="2">
        <v>1</v>
      </c>
      <c r="U1211" s="2" t="s">
        <v>141</v>
      </c>
      <c r="Y1211" s="2">
        <v>1700</v>
      </c>
      <c r="Z1211" s="11" t="s">
        <v>54</v>
      </c>
      <c r="AA1211" s="11" t="str">
        <f t="shared" si="81"/>
        <v>1700 - TBN</v>
      </c>
      <c r="AC1211" s="2" t="s">
        <v>145</v>
      </c>
      <c r="AD1211" s="11" t="str">
        <f>IF($I1211&lt;&gt;"",VLOOKUP($AC1211,GEADRESSEERDE!$A$2:$E$4,2,),"")</f>
        <v>LUITHAGEN HAVEN 2 D</v>
      </c>
      <c r="AE1211" s="11">
        <f>IF($I1211&lt;&gt;"",VLOOKUP($AC1211,GEADRESSEERDE!$A$2:$E$4,3,),"")</f>
        <v>2030</v>
      </c>
      <c r="AF1211" s="11" t="str">
        <f>IF($I1211&lt;&gt;"",VLOOKUP($AC1211,GEADRESSEERDE!$A$2:$E$4,4,),"")</f>
        <v>ANTWERPEN</v>
      </c>
      <c r="AG1211" s="11" t="str">
        <f>IF($I1211&lt;&gt;"",VLOOKUP($AC1211,GEADRESSEERDE!$A$2:$E$4,5,),"")</f>
        <v>BE</v>
      </c>
      <c r="AH1211" s="11" t="str">
        <f>IF(I1211&lt;&gt;"",VLOOKUP(AP1211,KvB!$A$2:$B$3,2,FALSE),"")</f>
        <v>BE101000</v>
      </c>
      <c r="AI1211" s="11" t="s">
        <v>55</v>
      </c>
      <c r="AJ1211" s="11"/>
      <c r="AK1211" s="11"/>
      <c r="AL1211" s="11"/>
      <c r="AM1211" s="11"/>
      <c r="AN1211" s="11"/>
      <c r="AO1211" s="11"/>
      <c r="AP1211" s="2" t="s">
        <v>70</v>
      </c>
      <c r="AQ1211" s="11" t="str">
        <f>IF(I1211&lt;&gt;"",DATA!D1210,"")</f>
        <v>9031808000</v>
      </c>
    </row>
    <row r="1212" spans="1:43" ht="15.75" x14ac:dyDescent="0.25">
      <c r="A1212" s="11" t="s">
        <v>57</v>
      </c>
      <c r="B1212" s="11" t="s">
        <v>56</v>
      </c>
      <c r="C1212" s="22">
        <f t="shared" si="78"/>
        <v>25001620</v>
      </c>
      <c r="D1212" s="11" t="str">
        <f t="shared" si="79"/>
        <v>SKIIFM_AT</v>
      </c>
      <c r="E1212" s="11" t="str">
        <f>IF(I1212&lt;&gt;"",VLOOKUP(F1212,OPDRACHTGEVER!$A$2:$B$4,2,FALSE),"")</f>
        <v>SKIIFM_AT</v>
      </c>
      <c r="F1212" s="11" t="s">
        <v>58</v>
      </c>
      <c r="I1212" s="11" t="str">
        <f>IF(DATA!B1211&lt;&gt;"",DATA!B1211,"")</f>
        <v>MEDU7109547</v>
      </c>
      <c r="J1212" s="12">
        <v>0</v>
      </c>
      <c r="K1212" s="11" t="s">
        <v>53</v>
      </c>
      <c r="L1212" s="11" t="str">
        <f t="shared" si="80"/>
        <v>391890</v>
      </c>
      <c r="M1212" s="11" t="str">
        <f>IF(I1212&lt;&gt;"",DATA!E1211,"")</f>
        <v>BOAT FLOORING</v>
      </c>
      <c r="N1212" s="12">
        <v>0</v>
      </c>
      <c r="O1212" s="11">
        <f>IF(I1212&lt;&gt;"",DATA!C1211,"")</f>
        <v>106.95</v>
      </c>
      <c r="P1212" s="2">
        <v>294094</v>
      </c>
      <c r="Q1212" s="2" t="s">
        <v>1304</v>
      </c>
      <c r="R1212" s="2" t="s">
        <v>1328</v>
      </c>
      <c r="S1212" s="2">
        <v>576</v>
      </c>
      <c r="T1212" s="2">
        <v>1</v>
      </c>
      <c r="U1212" s="2" t="s">
        <v>141</v>
      </c>
      <c r="Y1212" s="2">
        <v>1700</v>
      </c>
      <c r="Z1212" s="11" t="s">
        <v>54</v>
      </c>
      <c r="AA1212" s="11" t="str">
        <f t="shared" si="81"/>
        <v>1700 - TBN</v>
      </c>
      <c r="AC1212" s="2" t="s">
        <v>145</v>
      </c>
      <c r="AD1212" s="11" t="str">
        <f>IF($I1212&lt;&gt;"",VLOOKUP($AC1212,GEADRESSEERDE!$A$2:$E$4,2,),"")</f>
        <v>LUITHAGEN HAVEN 2 D</v>
      </c>
      <c r="AE1212" s="11">
        <f>IF($I1212&lt;&gt;"",VLOOKUP($AC1212,GEADRESSEERDE!$A$2:$E$4,3,),"")</f>
        <v>2030</v>
      </c>
      <c r="AF1212" s="11" t="str">
        <f>IF($I1212&lt;&gt;"",VLOOKUP($AC1212,GEADRESSEERDE!$A$2:$E$4,4,),"")</f>
        <v>ANTWERPEN</v>
      </c>
      <c r="AG1212" s="11" t="str">
        <f>IF($I1212&lt;&gt;"",VLOOKUP($AC1212,GEADRESSEERDE!$A$2:$E$4,5,),"")</f>
        <v>BE</v>
      </c>
      <c r="AH1212" s="11" t="str">
        <f>IF(I1212&lt;&gt;"",VLOOKUP(AP1212,KvB!$A$2:$B$3,2,FALSE),"")</f>
        <v>BE101000</v>
      </c>
      <c r="AI1212" s="11" t="s">
        <v>55</v>
      </c>
      <c r="AJ1212" s="11"/>
      <c r="AK1212" s="11"/>
      <c r="AL1212" s="11"/>
      <c r="AM1212" s="11"/>
      <c r="AN1212" s="11"/>
      <c r="AO1212" s="11"/>
      <c r="AP1212" s="2" t="s">
        <v>70</v>
      </c>
      <c r="AQ1212" s="11" t="str">
        <f>IF(I1212&lt;&gt;"",DATA!D1211,"")</f>
        <v>3918900090</v>
      </c>
    </row>
    <row r="1213" spans="1:43" ht="15.75" x14ac:dyDescent="0.25">
      <c r="A1213" s="11" t="s">
        <v>57</v>
      </c>
      <c r="B1213" s="11" t="s">
        <v>56</v>
      </c>
      <c r="C1213" s="22">
        <f t="shared" si="78"/>
        <v>25001620</v>
      </c>
      <c r="D1213" s="11" t="str">
        <f t="shared" si="79"/>
        <v>SKIIFM_AT</v>
      </c>
      <c r="E1213" s="11" t="str">
        <f>IF(I1213&lt;&gt;"",VLOOKUP(F1213,OPDRACHTGEVER!$A$2:$B$4,2,FALSE),"")</f>
        <v>SKIIFM_AT</v>
      </c>
      <c r="F1213" s="11" t="s">
        <v>58</v>
      </c>
      <c r="I1213" s="11" t="str">
        <f>IF(DATA!B1212&lt;&gt;"",DATA!B1212,"")</f>
        <v>MEDU7109547</v>
      </c>
      <c r="J1213" s="12">
        <v>0</v>
      </c>
      <c r="K1213" s="11" t="s">
        <v>53</v>
      </c>
      <c r="L1213" s="11" t="str">
        <f t="shared" si="80"/>
        <v>841950</v>
      </c>
      <c r="M1213" s="11" t="str">
        <f>IF(I1213&lt;&gt;"",DATA!E1212,"")</f>
        <v>BRAZING PLATE HEAT EXCHANGERS</v>
      </c>
      <c r="N1213" s="12">
        <v>0</v>
      </c>
      <c r="O1213" s="11">
        <f>IF(I1213&lt;&gt;"",DATA!C1212,"")</f>
        <v>47.6</v>
      </c>
      <c r="P1213" s="2">
        <v>294094</v>
      </c>
      <c r="Q1213" s="2" t="s">
        <v>1304</v>
      </c>
      <c r="R1213" s="2" t="s">
        <v>1328</v>
      </c>
      <c r="S1213" s="2">
        <v>576</v>
      </c>
      <c r="T1213" s="2">
        <v>1</v>
      </c>
      <c r="U1213" s="2" t="s">
        <v>141</v>
      </c>
      <c r="Y1213" s="2">
        <v>1700</v>
      </c>
      <c r="Z1213" s="11" t="s">
        <v>54</v>
      </c>
      <c r="AA1213" s="11" t="str">
        <f t="shared" si="81"/>
        <v>1700 - TBN</v>
      </c>
      <c r="AC1213" s="2" t="s">
        <v>145</v>
      </c>
      <c r="AD1213" s="11" t="str">
        <f>IF($I1213&lt;&gt;"",VLOOKUP($AC1213,GEADRESSEERDE!$A$2:$E$4,2,),"")</f>
        <v>LUITHAGEN HAVEN 2 D</v>
      </c>
      <c r="AE1213" s="11">
        <f>IF($I1213&lt;&gt;"",VLOOKUP($AC1213,GEADRESSEERDE!$A$2:$E$4,3,),"")</f>
        <v>2030</v>
      </c>
      <c r="AF1213" s="11" t="str">
        <f>IF($I1213&lt;&gt;"",VLOOKUP($AC1213,GEADRESSEERDE!$A$2:$E$4,4,),"")</f>
        <v>ANTWERPEN</v>
      </c>
      <c r="AG1213" s="11" t="str">
        <f>IF($I1213&lt;&gt;"",VLOOKUP($AC1213,GEADRESSEERDE!$A$2:$E$4,5,),"")</f>
        <v>BE</v>
      </c>
      <c r="AH1213" s="11" t="str">
        <f>IF(I1213&lt;&gt;"",VLOOKUP(AP1213,KvB!$A$2:$B$3,2,FALSE),"")</f>
        <v>BE101000</v>
      </c>
      <c r="AI1213" s="11" t="s">
        <v>55</v>
      </c>
      <c r="AJ1213" s="11"/>
      <c r="AK1213" s="11"/>
      <c r="AL1213" s="11"/>
      <c r="AM1213" s="11"/>
      <c r="AN1213" s="11"/>
      <c r="AO1213" s="11"/>
      <c r="AP1213" s="2" t="s">
        <v>70</v>
      </c>
      <c r="AQ1213" s="11" t="str">
        <f>IF(I1213&lt;&gt;"",DATA!D1212,"")</f>
        <v>8419508090</v>
      </c>
    </row>
    <row r="1214" spans="1:43" ht="15.75" x14ac:dyDescent="0.25">
      <c r="A1214" s="11" t="s">
        <v>57</v>
      </c>
      <c r="B1214" s="11" t="s">
        <v>56</v>
      </c>
      <c r="C1214" s="22">
        <f t="shared" si="78"/>
        <v>25001620</v>
      </c>
      <c r="D1214" s="11" t="str">
        <f t="shared" si="79"/>
        <v>SKIIFM_AT</v>
      </c>
      <c r="E1214" s="11" t="str">
        <f>IF(I1214&lt;&gt;"",VLOOKUP(F1214,OPDRACHTGEVER!$A$2:$B$4,2,FALSE),"")</f>
        <v>SKIIFM_AT</v>
      </c>
      <c r="F1214" s="11" t="s">
        <v>58</v>
      </c>
      <c r="I1214" s="11" t="str">
        <f>IF(DATA!B1213&lt;&gt;"",DATA!B1213,"")</f>
        <v>MEDU7109547</v>
      </c>
      <c r="J1214" s="12">
        <v>0</v>
      </c>
      <c r="K1214" s="11" t="s">
        <v>53</v>
      </c>
      <c r="L1214" s="11" t="str">
        <f t="shared" si="80"/>
        <v>842310</v>
      </c>
      <c r="M1214" s="11" t="str">
        <f>IF(I1214&lt;&gt;"",DATA!E1213,"")</f>
        <v>DIGITAL MEDICAL SCALE</v>
      </c>
      <c r="N1214" s="12">
        <v>0</v>
      </c>
      <c r="O1214" s="11">
        <f>IF(I1214&lt;&gt;"",DATA!C1213,"")</f>
        <v>51</v>
      </c>
      <c r="P1214" s="2">
        <v>294094</v>
      </c>
      <c r="Q1214" s="2" t="s">
        <v>1304</v>
      </c>
      <c r="R1214" s="2" t="s">
        <v>1328</v>
      </c>
      <c r="S1214" s="2">
        <v>576</v>
      </c>
      <c r="T1214" s="2">
        <v>1</v>
      </c>
      <c r="U1214" s="2" t="s">
        <v>141</v>
      </c>
      <c r="Y1214" s="2">
        <v>1700</v>
      </c>
      <c r="Z1214" s="11" t="s">
        <v>54</v>
      </c>
      <c r="AA1214" s="11" t="str">
        <f t="shared" si="81"/>
        <v>1700 - TBN</v>
      </c>
      <c r="AC1214" s="2" t="s">
        <v>145</v>
      </c>
      <c r="AD1214" s="11" t="str">
        <f>IF($I1214&lt;&gt;"",VLOOKUP($AC1214,GEADRESSEERDE!$A$2:$E$4,2,),"")</f>
        <v>LUITHAGEN HAVEN 2 D</v>
      </c>
      <c r="AE1214" s="11">
        <f>IF($I1214&lt;&gt;"",VLOOKUP($AC1214,GEADRESSEERDE!$A$2:$E$4,3,),"")</f>
        <v>2030</v>
      </c>
      <c r="AF1214" s="11" t="str">
        <f>IF($I1214&lt;&gt;"",VLOOKUP($AC1214,GEADRESSEERDE!$A$2:$E$4,4,),"")</f>
        <v>ANTWERPEN</v>
      </c>
      <c r="AG1214" s="11" t="str">
        <f>IF($I1214&lt;&gt;"",VLOOKUP($AC1214,GEADRESSEERDE!$A$2:$E$4,5,),"")</f>
        <v>BE</v>
      </c>
      <c r="AH1214" s="11" t="str">
        <f>IF(I1214&lt;&gt;"",VLOOKUP(AP1214,KvB!$A$2:$B$3,2,FALSE),"")</f>
        <v>BE101000</v>
      </c>
      <c r="AI1214" s="11" t="s">
        <v>55</v>
      </c>
      <c r="AJ1214" s="11"/>
      <c r="AK1214" s="11"/>
      <c r="AL1214" s="11"/>
      <c r="AM1214" s="11"/>
      <c r="AN1214" s="11"/>
      <c r="AO1214" s="11"/>
      <c r="AP1214" s="2" t="s">
        <v>70</v>
      </c>
      <c r="AQ1214" s="11" t="str">
        <f>IF(I1214&lt;&gt;"",DATA!D1213,"")</f>
        <v>8423109000</v>
      </c>
    </row>
    <row r="1215" spans="1:43" ht="15.75" x14ac:dyDescent="0.25">
      <c r="A1215" s="11" t="s">
        <v>57</v>
      </c>
      <c r="B1215" s="11" t="s">
        <v>56</v>
      </c>
      <c r="C1215" s="22">
        <f t="shared" si="78"/>
        <v>25001620</v>
      </c>
      <c r="D1215" s="11" t="str">
        <f t="shared" si="79"/>
        <v>SKIIFM_AT</v>
      </c>
      <c r="E1215" s="11" t="str">
        <f>IF(I1215&lt;&gt;"",VLOOKUP(F1215,OPDRACHTGEVER!$A$2:$B$4,2,FALSE),"")</f>
        <v>SKIIFM_AT</v>
      </c>
      <c r="F1215" s="11" t="s">
        <v>58</v>
      </c>
      <c r="I1215" s="11" t="str">
        <f>IF(DATA!B1214&lt;&gt;"",DATA!B1214,"")</f>
        <v>MEDU7109547</v>
      </c>
      <c r="J1215" s="12">
        <v>0</v>
      </c>
      <c r="K1215" s="11" t="s">
        <v>53</v>
      </c>
      <c r="L1215" s="11" t="str">
        <f t="shared" si="80"/>
        <v>741920</v>
      </c>
      <c r="M1215" s="11" t="str">
        <f>IF(I1215&lt;&gt;"",DATA!E1214,"")</f>
        <v>DINING STOVE</v>
      </c>
      <c r="N1215" s="12">
        <v>0</v>
      </c>
      <c r="O1215" s="11">
        <f>IF(I1215&lt;&gt;"",DATA!C1214,"")</f>
        <v>1011.15</v>
      </c>
      <c r="P1215" s="2">
        <v>294094</v>
      </c>
      <c r="Q1215" s="2" t="s">
        <v>1304</v>
      </c>
      <c r="R1215" s="2" t="s">
        <v>1328</v>
      </c>
      <c r="S1215" s="2">
        <v>576</v>
      </c>
      <c r="T1215" s="2">
        <v>1</v>
      </c>
      <c r="U1215" s="2" t="s">
        <v>141</v>
      </c>
      <c r="Y1215" s="2">
        <v>1700</v>
      </c>
      <c r="Z1215" s="11" t="s">
        <v>54</v>
      </c>
      <c r="AA1215" s="11" t="str">
        <f t="shared" si="81"/>
        <v>1700 - TBN</v>
      </c>
      <c r="AC1215" s="2" t="s">
        <v>145</v>
      </c>
      <c r="AD1215" s="11" t="str">
        <f>IF($I1215&lt;&gt;"",VLOOKUP($AC1215,GEADRESSEERDE!$A$2:$E$4,2,),"")</f>
        <v>LUITHAGEN HAVEN 2 D</v>
      </c>
      <c r="AE1215" s="11">
        <f>IF($I1215&lt;&gt;"",VLOOKUP($AC1215,GEADRESSEERDE!$A$2:$E$4,3,),"")</f>
        <v>2030</v>
      </c>
      <c r="AF1215" s="11" t="str">
        <f>IF($I1215&lt;&gt;"",VLOOKUP($AC1215,GEADRESSEERDE!$A$2:$E$4,4,),"")</f>
        <v>ANTWERPEN</v>
      </c>
      <c r="AG1215" s="11" t="str">
        <f>IF($I1215&lt;&gt;"",VLOOKUP($AC1215,GEADRESSEERDE!$A$2:$E$4,5,),"")</f>
        <v>BE</v>
      </c>
      <c r="AH1215" s="11" t="str">
        <f>IF(I1215&lt;&gt;"",VLOOKUP(AP1215,KvB!$A$2:$B$3,2,FALSE),"")</f>
        <v>BE101000</v>
      </c>
      <c r="AI1215" s="11" t="s">
        <v>55</v>
      </c>
      <c r="AJ1215" s="11"/>
      <c r="AK1215" s="11"/>
      <c r="AL1215" s="11"/>
      <c r="AM1215" s="11"/>
      <c r="AN1215" s="11"/>
      <c r="AO1215" s="11"/>
      <c r="AP1215" s="2" t="s">
        <v>70</v>
      </c>
      <c r="AQ1215" s="11" t="str">
        <f>IF(I1215&lt;&gt;"",DATA!D1214,"")</f>
        <v>7419200090</v>
      </c>
    </row>
    <row r="1216" spans="1:43" ht="15.75" x14ac:dyDescent="0.25">
      <c r="A1216" s="11" t="s">
        <v>57</v>
      </c>
      <c r="B1216" s="11" t="s">
        <v>56</v>
      </c>
      <c r="C1216" s="22">
        <f t="shared" si="78"/>
        <v>25001620</v>
      </c>
      <c r="D1216" s="11" t="str">
        <f t="shared" si="79"/>
        <v>SKIIFM_AT</v>
      </c>
      <c r="E1216" s="11" t="str">
        <f>IF(I1216&lt;&gt;"",VLOOKUP(F1216,OPDRACHTGEVER!$A$2:$B$4,2,FALSE),"")</f>
        <v>SKIIFM_AT</v>
      </c>
      <c r="F1216" s="11" t="s">
        <v>58</v>
      </c>
      <c r="I1216" s="11" t="str">
        <f>IF(DATA!B1215&lt;&gt;"",DATA!B1215,"")</f>
        <v>MEDU7109547</v>
      </c>
      <c r="J1216" s="12">
        <v>0</v>
      </c>
      <c r="K1216" s="11" t="s">
        <v>53</v>
      </c>
      <c r="L1216" s="11" t="str">
        <f t="shared" si="80"/>
        <v>851660</v>
      </c>
      <c r="M1216" s="11" t="str">
        <f>IF(I1216&lt;&gt;"",DATA!E1215,"")</f>
        <v>ELECTRIC BLAST FURNACE</v>
      </c>
      <c r="N1216" s="12">
        <v>0</v>
      </c>
      <c r="O1216" s="11">
        <f>IF(I1216&lt;&gt;"",DATA!C1215,"")</f>
        <v>106.8</v>
      </c>
      <c r="P1216" s="2">
        <v>294094</v>
      </c>
      <c r="Q1216" s="2" t="s">
        <v>1304</v>
      </c>
      <c r="R1216" s="2" t="s">
        <v>1328</v>
      </c>
      <c r="S1216" s="2">
        <v>576</v>
      </c>
      <c r="T1216" s="2">
        <v>1</v>
      </c>
      <c r="U1216" s="2" t="s">
        <v>141</v>
      </c>
      <c r="Y1216" s="2">
        <v>1700</v>
      </c>
      <c r="Z1216" s="11" t="s">
        <v>54</v>
      </c>
      <c r="AA1216" s="11" t="str">
        <f t="shared" si="81"/>
        <v>1700 - TBN</v>
      </c>
      <c r="AC1216" s="2" t="s">
        <v>145</v>
      </c>
      <c r="AD1216" s="11" t="str">
        <f>IF($I1216&lt;&gt;"",VLOOKUP($AC1216,GEADRESSEERDE!$A$2:$E$4,2,),"")</f>
        <v>LUITHAGEN HAVEN 2 D</v>
      </c>
      <c r="AE1216" s="11">
        <f>IF($I1216&lt;&gt;"",VLOOKUP($AC1216,GEADRESSEERDE!$A$2:$E$4,3,),"")</f>
        <v>2030</v>
      </c>
      <c r="AF1216" s="11" t="str">
        <f>IF($I1216&lt;&gt;"",VLOOKUP($AC1216,GEADRESSEERDE!$A$2:$E$4,4,),"")</f>
        <v>ANTWERPEN</v>
      </c>
      <c r="AG1216" s="11" t="str">
        <f>IF($I1216&lt;&gt;"",VLOOKUP($AC1216,GEADRESSEERDE!$A$2:$E$4,5,),"")</f>
        <v>BE</v>
      </c>
      <c r="AH1216" s="11" t="str">
        <f>IF(I1216&lt;&gt;"",VLOOKUP(AP1216,KvB!$A$2:$B$3,2,FALSE),"")</f>
        <v>BE101000</v>
      </c>
      <c r="AI1216" s="11" t="s">
        <v>55</v>
      </c>
      <c r="AJ1216" s="11"/>
      <c r="AK1216" s="11"/>
      <c r="AL1216" s="11"/>
      <c r="AM1216" s="11"/>
      <c r="AN1216" s="11"/>
      <c r="AO1216" s="11"/>
      <c r="AP1216" s="2" t="s">
        <v>70</v>
      </c>
      <c r="AQ1216" s="11" t="str">
        <f>IF(I1216&lt;&gt;"",DATA!D1215,"")</f>
        <v>8516609000</v>
      </c>
    </row>
    <row r="1217" spans="1:43" ht="15.75" x14ac:dyDescent="0.25">
      <c r="A1217" s="11" t="s">
        <v>57</v>
      </c>
      <c r="B1217" s="11" t="s">
        <v>56</v>
      </c>
      <c r="C1217" s="22">
        <f t="shared" si="78"/>
        <v>25001620</v>
      </c>
      <c r="D1217" s="11" t="str">
        <f t="shared" si="79"/>
        <v>SKIIFM_AT</v>
      </c>
      <c r="E1217" s="11" t="str">
        <f>IF(I1217&lt;&gt;"",VLOOKUP(F1217,OPDRACHTGEVER!$A$2:$B$4,2,FALSE),"")</f>
        <v>SKIIFM_AT</v>
      </c>
      <c r="F1217" s="11" t="s">
        <v>58</v>
      </c>
      <c r="I1217" s="11" t="str">
        <f>IF(DATA!B1216&lt;&gt;"",DATA!B1216,"")</f>
        <v>MEDU7109547</v>
      </c>
      <c r="J1217" s="12">
        <v>0</v>
      </c>
      <c r="K1217" s="11" t="s">
        <v>53</v>
      </c>
      <c r="L1217" s="11" t="str">
        <f t="shared" si="80"/>
        <v>482320</v>
      </c>
      <c r="M1217" s="11" t="str">
        <f>IF(I1217&lt;&gt;"",DATA!E1216,"")</f>
        <v>FILTER PAPER</v>
      </c>
      <c r="N1217" s="12">
        <v>0</v>
      </c>
      <c r="O1217" s="11">
        <f>IF(I1217&lt;&gt;"",DATA!C1216,"")</f>
        <v>26.4</v>
      </c>
      <c r="P1217" s="2">
        <v>294094</v>
      </c>
      <c r="Q1217" s="2" t="s">
        <v>1304</v>
      </c>
      <c r="R1217" s="2" t="s">
        <v>1328</v>
      </c>
      <c r="S1217" s="2">
        <v>576</v>
      </c>
      <c r="T1217" s="2">
        <v>1</v>
      </c>
      <c r="U1217" s="2" t="s">
        <v>141</v>
      </c>
      <c r="Y1217" s="2">
        <v>1700</v>
      </c>
      <c r="Z1217" s="11" t="s">
        <v>54</v>
      </c>
      <c r="AA1217" s="11" t="str">
        <f t="shared" si="81"/>
        <v>1700 - TBN</v>
      </c>
      <c r="AC1217" s="2" t="s">
        <v>145</v>
      </c>
      <c r="AD1217" s="11" t="str">
        <f>IF($I1217&lt;&gt;"",VLOOKUP($AC1217,GEADRESSEERDE!$A$2:$E$4,2,),"")</f>
        <v>LUITHAGEN HAVEN 2 D</v>
      </c>
      <c r="AE1217" s="11">
        <f>IF($I1217&lt;&gt;"",VLOOKUP($AC1217,GEADRESSEERDE!$A$2:$E$4,3,),"")</f>
        <v>2030</v>
      </c>
      <c r="AF1217" s="11" t="str">
        <f>IF($I1217&lt;&gt;"",VLOOKUP($AC1217,GEADRESSEERDE!$A$2:$E$4,4,),"")</f>
        <v>ANTWERPEN</v>
      </c>
      <c r="AG1217" s="11" t="str">
        <f>IF($I1217&lt;&gt;"",VLOOKUP($AC1217,GEADRESSEERDE!$A$2:$E$4,5,),"")</f>
        <v>BE</v>
      </c>
      <c r="AH1217" s="11" t="str">
        <f>IF(I1217&lt;&gt;"",VLOOKUP(AP1217,KvB!$A$2:$B$3,2,FALSE),"")</f>
        <v>BE101000</v>
      </c>
      <c r="AI1217" s="11" t="s">
        <v>55</v>
      </c>
      <c r="AJ1217" s="11"/>
      <c r="AK1217" s="11"/>
      <c r="AL1217" s="11"/>
      <c r="AM1217" s="11"/>
      <c r="AN1217" s="11"/>
      <c r="AO1217" s="11"/>
      <c r="AP1217" s="2" t="s">
        <v>70</v>
      </c>
      <c r="AQ1217" s="11" t="str">
        <f>IF(I1217&lt;&gt;"",DATA!D1216,"")</f>
        <v>4823200000</v>
      </c>
    </row>
    <row r="1218" spans="1:43" ht="15.75" x14ac:dyDescent="0.25">
      <c r="A1218" s="11" t="s">
        <v>57</v>
      </c>
      <c r="B1218" s="11" t="s">
        <v>56</v>
      </c>
      <c r="C1218" s="22">
        <f t="shared" si="78"/>
        <v>25001620</v>
      </c>
      <c r="D1218" s="11" t="str">
        <f t="shared" si="79"/>
        <v>SKIIFM_AT</v>
      </c>
      <c r="E1218" s="11" t="str">
        <f>IF(I1218&lt;&gt;"",VLOOKUP(F1218,OPDRACHTGEVER!$A$2:$B$4,2,FALSE),"")</f>
        <v>SKIIFM_AT</v>
      </c>
      <c r="F1218" s="11" t="s">
        <v>58</v>
      </c>
      <c r="I1218" s="11" t="str">
        <f>IF(DATA!B1217&lt;&gt;"",DATA!B1217,"")</f>
        <v>MEDU7109547</v>
      </c>
      <c r="J1218" s="12">
        <v>0</v>
      </c>
      <c r="K1218" s="11" t="s">
        <v>53</v>
      </c>
      <c r="L1218" s="11" t="str">
        <f t="shared" si="80"/>
        <v>741920</v>
      </c>
      <c r="M1218" s="11" t="str">
        <f>IF(I1218&lt;&gt;"",DATA!E1217,"")</f>
        <v>GARAGE SHELF</v>
      </c>
      <c r="N1218" s="12">
        <v>0</v>
      </c>
      <c r="O1218" s="11">
        <f>IF(I1218&lt;&gt;"",DATA!C1217,"")</f>
        <v>236</v>
      </c>
      <c r="P1218" s="2">
        <v>294094</v>
      </c>
      <c r="Q1218" s="2" t="s">
        <v>1304</v>
      </c>
      <c r="R1218" s="2" t="s">
        <v>1328</v>
      </c>
      <c r="S1218" s="2">
        <v>576</v>
      </c>
      <c r="T1218" s="2">
        <v>1</v>
      </c>
      <c r="U1218" s="2" t="s">
        <v>141</v>
      </c>
      <c r="Y1218" s="2">
        <v>1700</v>
      </c>
      <c r="Z1218" s="11" t="s">
        <v>54</v>
      </c>
      <c r="AA1218" s="11" t="str">
        <f t="shared" si="81"/>
        <v>1700 - TBN</v>
      </c>
      <c r="AC1218" s="2" t="s">
        <v>145</v>
      </c>
      <c r="AD1218" s="11" t="str">
        <f>IF($I1218&lt;&gt;"",VLOOKUP($AC1218,GEADRESSEERDE!$A$2:$E$4,2,),"")</f>
        <v>LUITHAGEN HAVEN 2 D</v>
      </c>
      <c r="AE1218" s="11">
        <f>IF($I1218&lt;&gt;"",VLOOKUP($AC1218,GEADRESSEERDE!$A$2:$E$4,3,),"")</f>
        <v>2030</v>
      </c>
      <c r="AF1218" s="11" t="str">
        <f>IF($I1218&lt;&gt;"",VLOOKUP($AC1218,GEADRESSEERDE!$A$2:$E$4,4,),"")</f>
        <v>ANTWERPEN</v>
      </c>
      <c r="AG1218" s="11" t="str">
        <f>IF($I1218&lt;&gt;"",VLOOKUP($AC1218,GEADRESSEERDE!$A$2:$E$4,5,),"")</f>
        <v>BE</v>
      </c>
      <c r="AH1218" s="11" t="str">
        <f>IF(I1218&lt;&gt;"",VLOOKUP(AP1218,KvB!$A$2:$B$3,2,FALSE),"")</f>
        <v>BE101000</v>
      </c>
      <c r="AI1218" s="11" t="s">
        <v>55</v>
      </c>
      <c r="AJ1218" s="11"/>
      <c r="AK1218" s="11"/>
      <c r="AL1218" s="11"/>
      <c r="AM1218" s="11"/>
      <c r="AN1218" s="11"/>
      <c r="AO1218" s="11"/>
      <c r="AP1218" s="2" t="s">
        <v>70</v>
      </c>
      <c r="AQ1218" s="11" t="str">
        <f>IF(I1218&lt;&gt;"",DATA!D1217,"")</f>
        <v>7419200090</v>
      </c>
    </row>
    <row r="1219" spans="1:43" ht="15.75" x14ac:dyDescent="0.25">
      <c r="A1219" s="11" t="s">
        <v>57</v>
      </c>
      <c r="B1219" s="11" t="s">
        <v>56</v>
      </c>
      <c r="C1219" s="22">
        <f t="shared" si="78"/>
        <v>25001620</v>
      </c>
      <c r="D1219" s="11" t="str">
        <f t="shared" si="79"/>
        <v>SKIIFM_AT</v>
      </c>
      <c r="E1219" s="11" t="str">
        <f>IF(I1219&lt;&gt;"",VLOOKUP(F1219,OPDRACHTGEVER!$A$2:$B$4,2,FALSE),"")</f>
        <v>SKIIFM_AT</v>
      </c>
      <c r="F1219" s="11" t="s">
        <v>58</v>
      </c>
      <c r="I1219" s="11" t="str">
        <f>IF(DATA!B1218&lt;&gt;"",DATA!B1218,"")</f>
        <v>MEDU7109547</v>
      </c>
      <c r="J1219" s="12">
        <v>0</v>
      </c>
      <c r="K1219" s="11" t="s">
        <v>53</v>
      </c>
      <c r="L1219" s="11" t="str">
        <f t="shared" si="80"/>
        <v>871680</v>
      </c>
      <c r="M1219" s="11" t="str">
        <f>IF(I1219&lt;&gt;"",DATA!E1218,"")</f>
        <v>GARDEN CART</v>
      </c>
      <c r="N1219" s="12">
        <v>0</v>
      </c>
      <c r="O1219" s="11">
        <f>IF(I1219&lt;&gt;"",DATA!C1218,"")</f>
        <v>83.36</v>
      </c>
      <c r="P1219" s="2">
        <v>294094</v>
      </c>
      <c r="Q1219" s="2" t="s">
        <v>1304</v>
      </c>
      <c r="R1219" s="2" t="s">
        <v>1328</v>
      </c>
      <c r="S1219" s="2">
        <v>576</v>
      </c>
      <c r="T1219" s="2">
        <v>1</v>
      </c>
      <c r="U1219" s="2" t="s">
        <v>141</v>
      </c>
      <c r="Y1219" s="2">
        <v>1700</v>
      </c>
      <c r="Z1219" s="11" t="s">
        <v>54</v>
      </c>
      <c r="AA1219" s="11" t="str">
        <f t="shared" si="81"/>
        <v>1700 - TBN</v>
      </c>
      <c r="AC1219" s="2" t="s">
        <v>145</v>
      </c>
      <c r="AD1219" s="11" t="str">
        <f>IF($I1219&lt;&gt;"",VLOOKUP($AC1219,GEADRESSEERDE!$A$2:$E$4,2,),"")</f>
        <v>LUITHAGEN HAVEN 2 D</v>
      </c>
      <c r="AE1219" s="11">
        <f>IF($I1219&lt;&gt;"",VLOOKUP($AC1219,GEADRESSEERDE!$A$2:$E$4,3,),"")</f>
        <v>2030</v>
      </c>
      <c r="AF1219" s="11" t="str">
        <f>IF($I1219&lt;&gt;"",VLOOKUP($AC1219,GEADRESSEERDE!$A$2:$E$4,4,),"")</f>
        <v>ANTWERPEN</v>
      </c>
      <c r="AG1219" s="11" t="str">
        <f>IF($I1219&lt;&gt;"",VLOOKUP($AC1219,GEADRESSEERDE!$A$2:$E$4,5,),"")</f>
        <v>BE</v>
      </c>
      <c r="AH1219" s="11" t="str">
        <f>IF(I1219&lt;&gt;"",VLOOKUP(AP1219,KvB!$A$2:$B$3,2,FALSE),"")</f>
        <v>BE101000</v>
      </c>
      <c r="AI1219" s="11" t="s">
        <v>55</v>
      </c>
      <c r="AJ1219" s="11"/>
      <c r="AK1219" s="11"/>
      <c r="AL1219" s="11"/>
      <c r="AM1219" s="11"/>
      <c r="AN1219" s="11"/>
      <c r="AO1219" s="11"/>
      <c r="AP1219" s="2" t="s">
        <v>70</v>
      </c>
      <c r="AQ1219" s="11" t="str">
        <f>IF(I1219&lt;&gt;"",DATA!D1218,"")</f>
        <v>8716800000</v>
      </c>
    </row>
    <row r="1220" spans="1:43" ht="15.75" x14ac:dyDescent="0.25">
      <c r="A1220" s="11" t="s">
        <v>57</v>
      </c>
      <c r="B1220" s="11" t="s">
        <v>56</v>
      </c>
      <c r="C1220" s="22">
        <f t="shared" si="78"/>
        <v>25001620</v>
      </c>
      <c r="D1220" s="11" t="str">
        <f t="shared" si="79"/>
        <v>SKIIFM_AT</v>
      </c>
      <c r="E1220" s="11" t="str">
        <f>IF(I1220&lt;&gt;"",VLOOKUP(F1220,OPDRACHTGEVER!$A$2:$B$4,2,FALSE),"")</f>
        <v>SKIIFM_AT</v>
      </c>
      <c r="F1220" s="11" t="s">
        <v>58</v>
      </c>
      <c r="I1220" s="11" t="str">
        <f>IF(DATA!B1219&lt;&gt;"",DATA!B1219,"")</f>
        <v>MEDU7109547</v>
      </c>
      <c r="J1220" s="12">
        <v>0</v>
      </c>
      <c r="K1220" s="11" t="s">
        <v>53</v>
      </c>
      <c r="L1220" s="11" t="str">
        <f t="shared" si="80"/>
        <v>741920</v>
      </c>
      <c r="M1220" s="11" t="str">
        <f>IF(I1220&lt;&gt;"",DATA!E1219,"")</f>
        <v>GAS FORGING FURNACE</v>
      </c>
      <c r="N1220" s="12">
        <v>0</v>
      </c>
      <c r="O1220" s="11">
        <f>IF(I1220&lt;&gt;"",DATA!C1219,"")</f>
        <v>520.79999999999995</v>
      </c>
      <c r="P1220" s="2">
        <v>294094</v>
      </c>
      <c r="Q1220" s="2" t="s">
        <v>1304</v>
      </c>
      <c r="R1220" s="2" t="s">
        <v>1328</v>
      </c>
      <c r="S1220" s="2">
        <v>576</v>
      </c>
      <c r="T1220" s="2">
        <v>1</v>
      </c>
      <c r="U1220" s="2" t="s">
        <v>141</v>
      </c>
      <c r="Y1220" s="2">
        <v>1700</v>
      </c>
      <c r="Z1220" s="11" t="s">
        <v>54</v>
      </c>
      <c r="AA1220" s="11" t="str">
        <f t="shared" si="81"/>
        <v>1700 - TBN</v>
      </c>
      <c r="AC1220" s="2" t="s">
        <v>145</v>
      </c>
      <c r="AD1220" s="11" t="str">
        <f>IF($I1220&lt;&gt;"",VLOOKUP($AC1220,GEADRESSEERDE!$A$2:$E$4,2,),"")</f>
        <v>LUITHAGEN HAVEN 2 D</v>
      </c>
      <c r="AE1220" s="11">
        <f>IF($I1220&lt;&gt;"",VLOOKUP($AC1220,GEADRESSEERDE!$A$2:$E$4,3,),"")</f>
        <v>2030</v>
      </c>
      <c r="AF1220" s="11" t="str">
        <f>IF($I1220&lt;&gt;"",VLOOKUP($AC1220,GEADRESSEERDE!$A$2:$E$4,4,),"")</f>
        <v>ANTWERPEN</v>
      </c>
      <c r="AG1220" s="11" t="str">
        <f>IF($I1220&lt;&gt;"",VLOOKUP($AC1220,GEADRESSEERDE!$A$2:$E$4,5,),"")</f>
        <v>BE</v>
      </c>
      <c r="AH1220" s="11" t="str">
        <f>IF(I1220&lt;&gt;"",VLOOKUP(AP1220,KvB!$A$2:$B$3,2,FALSE),"")</f>
        <v>BE101000</v>
      </c>
      <c r="AI1220" s="11" t="s">
        <v>55</v>
      </c>
      <c r="AJ1220" s="11"/>
      <c r="AK1220" s="11"/>
      <c r="AL1220" s="11"/>
      <c r="AM1220" s="11"/>
      <c r="AN1220" s="11"/>
      <c r="AO1220" s="11"/>
      <c r="AP1220" s="2" t="s">
        <v>70</v>
      </c>
      <c r="AQ1220" s="11" t="str">
        <f>IF(I1220&lt;&gt;"",DATA!D1219,"")</f>
        <v>7419200090</v>
      </c>
    </row>
    <row r="1221" spans="1:43" ht="15.75" x14ac:dyDescent="0.25">
      <c r="A1221" s="11" t="s">
        <v>57</v>
      </c>
      <c r="B1221" s="11" t="s">
        <v>56</v>
      </c>
      <c r="C1221" s="22">
        <f t="shared" ref="C1221:C1284" si="82">C1220</f>
        <v>25001620</v>
      </c>
      <c r="D1221" s="11" t="str">
        <f t="shared" si="79"/>
        <v>SKIIFM_AT</v>
      </c>
      <c r="E1221" s="11" t="str">
        <f>IF(I1221&lt;&gt;"",VLOOKUP(F1221,OPDRACHTGEVER!$A$2:$B$4,2,FALSE),"")</f>
        <v>SKIIFM_AT</v>
      </c>
      <c r="F1221" s="11" t="s">
        <v>58</v>
      </c>
      <c r="I1221" s="11" t="str">
        <f>IF(DATA!B1220&lt;&gt;"",DATA!B1220,"")</f>
        <v>MEDU7109547</v>
      </c>
      <c r="J1221" s="12">
        <v>0</v>
      </c>
      <c r="K1221" s="11" t="s">
        <v>53</v>
      </c>
      <c r="L1221" s="11" t="str">
        <f t="shared" si="80"/>
        <v>741920</v>
      </c>
      <c r="M1221" s="11" t="str">
        <f>IF(I1221&lt;&gt;"",DATA!E1220,"")</f>
        <v>HANDLE</v>
      </c>
      <c r="N1221" s="12">
        <v>0</v>
      </c>
      <c r="O1221" s="11">
        <f>IF(I1221&lt;&gt;"",DATA!C1220,"")</f>
        <v>103.7</v>
      </c>
      <c r="P1221" s="2">
        <v>294094</v>
      </c>
      <c r="Q1221" s="2" t="s">
        <v>1304</v>
      </c>
      <c r="R1221" s="2" t="s">
        <v>1328</v>
      </c>
      <c r="S1221" s="2">
        <v>576</v>
      </c>
      <c r="T1221" s="2">
        <v>1</v>
      </c>
      <c r="U1221" s="2" t="s">
        <v>141</v>
      </c>
      <c r="Y1221" s="2">
        <v>1700</v>
      </c>
      <c r="Z1221" s="11" t="s">
        <v>54</v>
      </c>
      <c r="AA1221" s="11" t="str">
        <f t="shared" si="81"/>
        <v>1700 - TBN</v>
      </c>
      <c r="AC1221" s="2" t="s">
        <v>145</v>
      </c>
      <c r="AD1221" s="11" t="str">
        <f>IF($I1221&lt;&gt;"",VLOOKUP($AC1221,GEADRESSEERDE!$A$2:$E$4,2,),"")</f>
        <v>LUITHAGEN HAVEN 2 D</v>
      </c>
      <c r="AE1221" s="11">
        <f>IF($I1221&lt;&gt;"",VLOOKUP($AC1221,GEADRESSEERDE!$A$2:$E$4,3,),"")</f>
        <v>2030</v>
      </c>
      <c r="AF1221" s="11" t="str">
        <f>IF($I1221&lt;&gt;"",VLOOKUP($AC1221,GEADRESSEERDE!$A$2:$E$4,4,),"")</f>
        <v>ANTWERPEN</v>
      </c>
      <c r="AG1221" s="11" t="str">
        <f>IF($I1221&lt;&gt;"",VLOOKUP($AC1221,GEADRESSEERDE!$A$2:$E$4,5,),"")</f>
        <v>BE</v>
      </c>
      <c r="AH1221" s="11" t="str">
        <f>IF(I1221&lt;&gt;"",VLOOKUP(AP1221,KvB!$A$2:$B$3,2,FALSE),"")</f>
        <v>BE101000</v>
      </c>
      <c r="AI1221" s="11" t="s">
        <v>55</v>
      </c>
      <c r="AJ1221" s="11"/>
      <c r="AK1221" s="11"/>
      <c r="AL1221" s="11"/>
      <c r="AM1221" s="11"/>
      <c r="AN1221" s="11"/>
      <c r="AO1221" s="11"/>
      <c r="AP1221" s="2" t="s">
        <v>70</v>
      </c>
      <c r="AQ1221" s="11" t="str">
        <f>IF(I1221&lt;&gt;"",DATA!D1220,"")</f>
        <v>7419200090</v>
      </c>
    </row>
    <row r="1222" spans="1:43" ht="15.75" x14ac:dyDescent="0.25">
      <c r="A1222" s="11" t="s">
        <v>57</v>
      </c>
      <c r="B1222" s="11" t="s">
        <v>56</v>
      </c>
      <c r="C1222" s="22">
        <f t="shared" si="82"/>
        <v>25001620</v>
      </c>
      <c r="D1222" s="11" t="str">
        <f t="shared" si="79"/>
        <v>SKIIFM_AT</v>
      </c>
      <c r="E1222" s="11" t="str">
        <f>IF(I1222&lt;&gt;"",VLOOKUP(F1222,OPDRACHTGEVER!$A$2:$B$4,2,FALSE),"")</f>
        <v>SKIIFM_AT</v>
      </c>
      <c r="F1222" s="11" t="s">
        <v>58</v>
      </c>
      <c r="I1222" s="11" t="str">
        <f>IF(DATA!B1221&lt;&gt;"",DATA!B1221,"")</f>
        <v>MEDU7109547</v>
      </c>
      <c r="J1222" s="12">
        <v>0</v>
      </c>
      <c r="K1222" s="11" t="s">
        <v>53</v>
      </c>
      <c r="L1222" s="11" t="str">
        <f t="shared" si="80"/>
        <v>841861</v>
      </c>
      <c r="M1222" s="11" t="str">
        <f>IF(I1222&lt;&gt;"",DATA!E1221,"")</f>
        <v>HEAT PUMP</v>
      </c>
      <c r="N1222" s="12">
        <v>0</v>
      </c>
      <c r="O1222" s="11">
        <f>IF(I1222&lt;&gt;"",DATA!C1221,"")</f>
        <v>1715.8</v>
      </c>
      <c r="P1222" s="2">
        <v>294094</v>
      </c>
      <c r="Q1222" s="2" t="s">
        <v>1304</v>
      </c>
      <c r="R1222" s="2" t="s">
        <v>1328</v>
      </c>
      <c r="S1222" s="2">
        <v>576</v>
      </c>
      <c r="T1222" s="2">
        <v>1</v>
      </c>
      <c r="U1222" s="2" t="s">
        <v>141</v>
      </c>
      <c r="Y1222" s="2">
        <v>1700</v>
      </c>
      <c r="Z1222" s="11" t="s">
        <v>54</v>
      </c>
      <c r="AA1222" s="11" t="str">
        <f t="shared" si="81"/>
        <v>1700 - TBN</v>
      </c>
      <c r="AC1222" s="2" t="s">
        <v>145</v>
      </c>
      <c r="AD1222" s="11" t="str">
        <f>IF($I1222&lt;&gt;"",VLOOKUP($AC1222,GEADRESSEERDE!$A$2:$E$4,2,),"")</f>
        <v>LUITHAGEN HAVEN 2 D</v>
      </c>
      <c r="AE1222" s="11">
        <f>IF($I1222&lt;&gt;"",VLOOKUP($AC1222,GEADRESSEERDE!$A$2:$E$4,3,),"")</f>
        <v>2030</v>
      </c>
      <c r="AF1222" s="11" t="str">
        <f>IF($I1222&lt;&gt;"",VLOOKUP($AC1222,GEADRESSEERDE!$A$2:$E$4,4,),"")</f>
        <v>ANTWERPEN</v>
      </c>
      <c r="AG1222" s="11" t="str">
        <f>IF($I1222&lt;&gt;"",VLOOKUP($AC1222,GEADRESSEERDE!$A$2:$E$4,5,),"")</f>
        <v>BE</v>
      </c>
      <c r="AH1222" s="11" t="str">
        <f>IF(I1222&lt;&gt;"",VLOOKUP(AP1222,KvB!$A$2:$B$3,2,FALSE),"")</f>
        <v>BE101000</v>
      </c>
      <c r="AI1222" s="11" t="s">
        <v>55</v>
      </c>
      <c r="AJ1222" s="11"/>
      <c r="AK1222" s="11"/>
      <c r="AL1222" s="11"/>
      <c r="AM1222" s="11"/>
      <c r="AN1222" s="11"/>
      <c r="AO1222" s="11"/>
      <c r="AP1222" s="2" t="s">
        <v>70</v>
      </c>
      <c r="AQ1222" s="11" t="str">
        <f>IF(I1222&lt;&gt;"",DATA!D1221,"")</f>
        <v>8418610099</v>
      </c>
    </row>
    <row r="1223" spans="1:43" ht="15.75" x14ac:dyDescent="0.25">
      <c r="A1223" s="11" t="s">
        <v>57</v>
      </c>
      <c r="B1223" s="11" t="s">
        <v>56</v>
      </c>
      <c r="C1223" s="22">
        <f t="shared" si="82"/>
        <v>25001620</v>
      </c>
      <c r="D1223" s="11" t="str">
        <f t="shared" si="79"/>
        <v>SKIIFM_AT</v>
      </c>
      <c r="E1223" s="11" t="str">
        <f>IF(I1223&lt;&gt;"",VLOOKUP(F1223,OPDRACHTGEVER!$A$2:$B$4,2,FALSE),"")</f>
        <v>SKIIFM_AT</v>
      </c>
      <c r="F1223" s="11" t="s">
        <v>58</v>
      </c>
      <c r="I1223" s="11" t="str">
        <f>IF(DATA!B1222&lt;&gt;"",DATA!B1222,"")</f>
        <v>MEDU7109547</v>
      </c>
      <c r="J1223" s="12">
        <v>0</v>
      </c>
      <c r="K1223" s="11" t="s">
        <v>53</v>
      </c>
      <c r="L1223" s="11" t="str">
        <f t="shared" si="80"/>
        <v>950691</v>
      </c>
      <c r="M1223" s="11" t="str">
        <f>IF(I1223&lt;&gt;"",DATA!E1222,"")</f>
        <v>HOCKEY GOAL</v>
      </c>
      <c r="N1223" s="12">
        <v>0</v>
      </c>
      <c r="O1223" s="11">
        <f>IF(I1223&lt;&gt;"",DATA!C1222,"")</f>
        <v>119.7</v>
      </c>
      <c r="P1223" s="2">
        <v>294094</v>
      </c>
      <c r="Q1223" s="2" t="s">
        <v>1304</v>
      </c>
      <c r="R1223" s="2" t="s">
        <v>1328</v>
      </c>
      <c r="S1223" s="2">
        <v>576</v>
      </c>
      <c r="T1223" s="2">
        <v>1</v>
      </c>
      <c r="U1223" s="2" t="s">
        <v>141</v>
      </c>
      <c r="Y1223" s="2">
        <v>1700</v>
      </c>
      <c r="Z1223" s="11" t="s">
        <v>54</v>
      </c>
      <c r="AA1223" s="11" t="str">
        <f t="shared" si="81"/>
        <v>1700 - TBN</v>
      </c>
      <c r="AC1223" s="2" t="s">
        <v>145</v>
      </c>
      <c r="AD1223" s="11" t="str">
        <f>IF($I1223&lt;&gt;"",VLOOKUP($AC1223,GEADRESSEERDE!$A$2:$E$4,2,),"")</f>
        <v>LUITHAGEN HAVEN 2 D</v>
      </c>
      <c r="AE1223" s="11">
        <f>IF($I1223&lt;&gt;"",VLOOKUP($AC1223,GEADRESSEERDE!$A$2:$E$4,3,),"")</f>
        <v>2030</v>
      </c>
      <c r="AF1223" s="11" t="str">
        <f>IF($I1223&lt;&gt;"",VLOOKUP($AC1223,GEADRESSEERDE!$A$2:$E$4,4,),"")</f>
        <v>ANTWERPEN</v>
      </c>
      <c r="AG1223" s="11" t="str">
        <f>IF($I1223&lt;&gt;"",VLOOKUP($AC1223,GEADRESSEERDE!$A$2:$E$4,5,),"")</f>
        <v>BE</v>
      </c>
      <c r="AH1223" s="11" t="str">
        <f>IF(I1223&lt;&gt;"",VLOOKUP(AP1223,KvB!$A$2:$B$3,2,FALSE),"")</f>
        <v>BE101000</v>
      </c>
      <c r="AI1223" s="11" t="s">
        <v>55</v>
      </c>
      <c r="AJ1223" s="11"/>
      <c r="AK1223" s="11"/>
      <c r="AL1223" s="11"/>
      <c r="AM1223" s="11"/>
      <c r="AN1223" s="11"/>
      <c r="AO1223" s="11"/>
      <c r="AP1223" s="2" t="s">
        <v>70</v>
      </c>
      <c r="AQ1223" s="11" t="str">
        <f>IF(I1223&lt;&gt;"",DATA!D1222,"")</f>
        <v>9506919000</v>
      </c>
    </row>
    <row r="1224" spans="1:43" ht="15.75" x14ac:dyDescent="0.25">
      <c r="A1224" s="11" t="s">
        <v>57</v>
      </c>
      <c r="B1224" s="11" t="s">
        <v>56</v>
      </c>
      <c r="C1224" s="22">
        <f t="shared" si="82"/>
        <v>25001620</v>
      </c>
      <c r="D1224" s="11" t="str">
        <f t="shared" si="79"/>
        <v>SKIIFM_AT</v>
      </c>
      <c r="E1224" s="11" t="str">
        <f>IF(I1224&lt;&gt;"",VLOOKUP(F1224,OPDRACHTGEVER!$A$2:$B$4,2,FALSE),"")</f>
        <v>SKIIFM_AT</v>
      </c>
      <c r="F1224" s="11" t="s">
        <v>58</v>
      </c>
      <c r="I1224" s="11" t="str">
        <f>IF(DATA!B1223&lt;&gt;"",DATA!B1223,"")</f>
        <v>MEDU7109547</v>
      </c>
      <c r="J1224" s="12">
        <v>0</v>
      </c>
      <c r="K1224" s="11" t="s">
        <v>53</v>
      </c>
      <c r="L1224" s="11" t="str">
        <f t="shared" si="80"/>
        <v>841459</v>
      </c>
      <c r="M1224" s="11" t="str">
        <f>IF(I1224&lt;&gt;"",DATA!E1223,"")</f>
        <v>INFLATABLE BLOWER</v>
      </c>
      <c r="N1224" s="12">
        <v>0</v>
      </c>
      <c r="O1224" s="11">
        <f>IF(I1224&lt;&gt;"",DATA!C1223,"")</f>
        <v>89</v>
      </c>
      <c r="P1224" s="2">
        <v>294094</v>
      </c>
      <c r="Q1224" s="2" t="s">
        <v>1304</v>
      </c>
      <c r="R1224" s="2" t="s">
        <v>1328</v>
      </c>
      <c r="S1224" s="2">
        <v>576</v>
      </c>
      <c r="T1224" s="2">
        <v>1</v>
      </c>
      <c r="U1224" s="2" t="s">
        <v>141</v>
      </c>
      <c r="Y1224" s="2">
        <v>1700</v>
      </c>
      <c r="Z1224" s="11" t="s">
        <v>54</v>
      </c>
      <c r="AA1224" s="11" t="str">
        <f t="shared" si="81"/>
        <v>1700 - TBN</v>
      </c>
      <c r="AC1224" s="2" t="s">
        <v>145</v>
      </c>
      <c r="AD1224" s="11" t="str">
        <f>IF($I1224&lt;&gt;"",VLOOKUP($AC1224,GEADRESSEERDE!$A$2:$E$4,2,),"")</f>
        <v>LUITHAGEN HAVEN 2 D</v>
      </c>
      <c r="AE1224" s="11">
        <f>IF($I1224&lt;&gt;"",VLOOKUP($AC1224,GEADRESSEERDE!$A$2:$E$4,3,),"")</f>
        <v>2030</v>
      </c>
      <c r="AF1224" s="11" t="str">
        <f>IF($I1224&lt;&gt;"",VLOOKUP($AC1224,GEADRESSEERDE!$A$2:$E$4,4,),"")</f>
        <v>ANTWERPEN</v>
      </c>
      <c r="AG1224" s="11" t="str">
        <f>IF($I1224&lt;&gt;"",VLOOKUP($AC1224,GEADRESSEERDE!$A$2:$E$4,5,),"")</f>
        <v>BE</v>
      </c>
      <c r="AH1224" s="11" t="str">
        <f>IF(I1224&lt;&gt;"",VLOOKUP(AP1224,KvB!$A$2:$B$3,2,FALSE),"")</f>
        <v>BE101000</v>
      </c>
      <c r="AI1224" s="11" t="s">
        <v>55</v>
      </c>
      <c r="AJ1224" s="11"/>
      <c r="AK1224" s="11"/>
      <c r="AL1224" s="11"/>
      <c r="AM1224" s="11"/>
      <c r="AN1224" s="11"/>
      <c r="AO1224" s="11"/>
      <c r="AP1224" s="2" t="s">
        <v>70</v>
      </c>
      <c r="AQ1224" s="11" t="str">
        <f>IF(I1224&lt;&gt;"",DATA!D1223,"")</f>
        <v>8414599590</v>
      </c>
    </row>
    <row r="1225" spans="1:43" ht="15.75" x14ac:dyDescent="0.25">
      <c r="A1225" s="11" t="s">
        <v>57</v>
      </c>
      <c r="B1225" s="11" t="s">
        <v>56</v>
      </c>
      <c r="C1225" s="22">
        <f t="shared" si="82"/>
        <v>25001620</v>
      </c>
      <c r="D1225" s="11" t="str">
        <f t="shared" si="79"/>
        <v>SKIIFM_AT</v>
      </c>
      <c r="E1225" s="11" t="str">
        <f>IF(I1225&lt;&gt;"",VLOOKUP(F1225,OPDRACHTGEVER!$A$2:$B$4,2,FALSE),"")</f>
        <v>SKIIFM_AT</v>
      </c>
      <c r="F1225" s="11" t="s">
        <v>58</v>
      </c>
      <c r="I1225" s="11" t="str">
        <f>IF(DATA!B1224&lt;&gt;"",DATA!B1224,"")</f>
        <v>MEDU7109547</v>
      </c>
      <c r="J1225" s="12">
        <v>0</v>
      </c>
      <c r="K1225" s="11" t="s">
        <v>53</v>
      </c>
      <c r="L1225" s="11" t="str">
        <f t="shared" si="80"/>
        <v>401691</v>
      </c>
      <c r="M1225" s="11" t="str">
        <f>IF(I1225&lt;&gt;"",DATA!E1224,"")</f>
        <v>INSULATING COTTON</v>
      </c>
      <c r="N1225" s="12">
        <v>0</v>
      </c>
      <c r="O1225" s="11">
        <f>IF(I1225&lt;&gt;"",DATA!C1224,"")</f>
        <v>156</v>
      </c>
      <c r="P1225" s="2">
        <v>294094</v>
      </c>
      <c r="Q1225" s="2" t="s">
        <v>1304</v>
      </c>
      <c r="R1225" s="2" t="s">
        <v>1328</v>
      </c>
      <c r="S1225" s="2">
        <v>576</v>
      </c>
      <c r="T1225" s="2">
        <v>1</v>
      </c>
      <c r="U1225" s="2" t="s">
        <v>141</v>
      </c>
      <c r="Y1225" s="2">
        <v>1700</v>
      </c>
      <c r="Z1225" s="11" t="s">
        <v>54</v>
      </c>
      <c r="AA1225" s="11" t="str">
        <f t="shared" si="81"/>
        <v>1700 - TBN</v>
      </c>
      <c r="AC1225" s="2" t="s">
        <v>145</v>
      </c>
      <c r="AD1225" s="11" t="str">
        <f>IF($I1225&lt;&gt;"",VLOOKUP($AC1225,GEADRESSEERDE!$A$2:$E$4,2,),"")</f>
        <v>LUITHAGEN HAVEN 2 D</v>
      </c>
      <c r="AE1225" s="11">
        <f>IF($I1225&lt;&gt;"",VLOOKUP($AC1225,GEADRESSEERDE!$A$2:$E$4,3,),"")</f>
        <v>2030</v>
      </c>
      <c r="AF1225" s="11" t="str">
        <f>IF($I1225&lt;&gt;"",VLOOKUP($AC1225,GEADRESSEERDE!$A$2:$E$4,4,),"")</f>
        <v>ANTWERPEN</v>
      </c>
      <c r="AG1225" s="11" t="str">
        <f>IF($I1225&lt;&gt;"",VLOOKUP($AC1225,GEADRESSEERDE!$A$2:$E$4,5,),"")</f>
        <v>BE</v>
      </c>
      <c r="AH1225" s="11" t="str">
        <f>IF(I1225&lt;&gt;"",VLOOKUP(AP1225,KvB!$A$2:$B$3,2,FALSE),"")</f>
        <v>BE101000</v>
      </c>
      <c r="AI1225" s="11" t="s">
        <v>55</v>
      </c>
      <c r="AJ1225" s="11"/>
      <c r="AK1225" s="11"/>
      <c r="AL1225" s="11"/>
      <c r="AM1225" s="11"/>
      <c r="AN1225" s="11"/>
      <c r="AO1225" s="11"/>
      <c r="AP1225" s="2" t="s">
        <v>70</v>
      </c>
      <c r="AQ1225" s="11" t="str">
        <f>IF(I1225&lt;&gt;"",DATA!D1224,"")</f>
        <v>4016910000</v>
      </c>
    </row>
    <row r="1226" spans="1:43" ht="15.75" x14ac:dyDescent="0.25">
      <c r="A1226" s="11" t="s">
        <v>57</v>
      </c>
      <c r="B1226" s="11" t="s">
        <v>56</v>
      </c>
      <c r="C1226" s="22">
        <f t="shared" si="82"/>
        <v>25001620</v>
      </c>
      <c r="D1226" s="11" t="str">
        <f t="shared" si="79"/>
        <v>SKIIFM_AT</v>
      </c>
      <c r="E1226" s="11" t="str">
        <f>IF(I1226&lt;&gt;"",VLOOKUP(F1226,OPDRACHTGEVER!$A$2:$B$4,2,FALSE),"")</f>
        <v>SKIIFM_AT</v>
      </c>
      <c r="F1226" s="11" t="s">
        <v>58</v>
      </c>
      <c r="I1226" s="11" t="str">
        <f>IF(DATA!B1225&lt;&gt;"",DATA!B1225,"")</f>
        <v>MEDU7109547</v>
      </c>
      <c r="J1226" s="12">
        <v>0</v>
      </c>
      <c r="K1226" s="11" t="s">
        <v>53</v>
      </c>
      <c r="L1226" s="11" t="str">
        <f t="shared" si="80"/>
        <v>830220</v>
      </c>
      <c r="M1226" s="11" t="str">
        <f>IF(I1226&lt;&gt;"",DATA!E1225,"")</f>
        <v>IRON SWIVEL CASTER WHEELS</v>
      </c>
      <c r="N1226" s="12">
        <v>0</v>
      </c>
      <c r="O1226" s="11">
        <f>IF(I1226&lt;&gt;"",DATA!C1225,"")</f>
        <v>136.25</v>
      </c>
      <c r="P1226" s="2">
        <v>294094</v>
      </c>
      <c r="Q1226" s="2" t="s">
        <v>1304</v>
      </c>
      <c r="R1226" s="2" t="s">
        <v>1328</v>
      </c>
      <c r="S1226" s="2">
        <v>576</v>
      </c>
      <c r="T1226" s="2">
        <v>1</v>
      </c>
      <c r="U1226" s="2" t="s">
        <v>141</v>
      </c>
      <c r="Y1226" s="2">
        <v>1700</v>
      </c>
      <c r="Z1226" s="11" t="s">
        <v>54</v>
      </c>
      <c r="AA1226" s="11" t="str">
        <f t="shared" si="81"/>
        <v>1700 - TBN</v>
      </c>
      <c r="AC1226" s="2" t="s">
        <v>145</v>
      </c>
      <c r="AD1226" s="11" t="str">
        <f>IF($I1226&lt;&gt;"",VLOOKUP($AC1226,GEADRESSEERDE!$A$2:$E$4,2,),"")</f>
        <v>LUITHAGEN HAVEN 2 D</v>
      </c>
      <c r="AE1226" s="11">
        <f>IF($I1226&lt;&gt;"",VLOOKUP($AC1226,GEADRESSEERDE!$A$2:$E$4,3,),"")</f>
        <v>2030</v>
      </c>
      <c r="AF1226" s="11" t="str">
        <f>IF($I1226&lt;&gt;"",VLOOKUP($AC1226,GEADRESSEERDE!$A$2:$E$4,4,),"")</f>
        <v>ANTWERPEN</v>
      </c>
      <c r="AG1226" s="11" t="str">
        <f>IF($I1226&lt;&gt;"",VLOOKUP($AC1226,GEADRESSEERDE!$A$2:$E$4,5,),"")</f>
        <v>BE</v>
      </c>
      <c r="AH1226" s="11" t="str">
        <f>IF(I1226&lt;&gt;"",VLOOKUP(AP1226,KvB!$A$2:$B$3,2,FALSE),"")</f>
        <v>BE101000</v>
      </c>
      <c r="AI1226" s="11" t="s">
        <v>55</v>
      </c>
      <c r="AJ1226" s="11"/>
      <c r="AK1226" s="11"/>
      <c r="AL1226" s="11"/>
      <c r="AM1226" s="11"/>
      <c r="AN1226" s="11"/>
      <c r="AO1226" s="11"/>
      <c r="AP1226" s="2" t="s">
        <v>70</v>
      </c>
      <c r="AQ1226" s="11" t="str">
        <f>IF(I1226&lt;&gt;"",DATA!D1225,"")</f>
        <v>8302200090</v>
      </c>
    </row>
    <row r="1227" spans="1:43" ht="15.75" x14ac:dyDescent="0.25">
      <c r="A1227" s="11" t="s">
        <v>57</v>
      </c>
      <c r="B1227" s="11" t="s">
        <v>56</v>
      </c>
      <c r="C1227" s="22">
        <f t="shared" si="82"/>
        <v>25001620</v>
      </c>
      <c r="D1227" s="11" t="str">
        <f t="shared" si="79"/>
        <v>SKIIFM_AT</v>
      </c>
      <c r="E1227" s="11" t="str">
        <f>IF(I1227&lt;&gt;"",VLOOKUP(F1227,OPDRACHTGEVER!$A$2:$B$4,2,FALSE),"")</f>
        <v>SKIIFM_AT</v>
      </c>
      <c r="F1227" s="11" t="s">
        <v>58</v>
      </c>
      <c r="I1227" s="11" t="str">
        <f>IF(DATA!B1226&lt;&gt;"",DATA!B1226,"")</f>
        <v>MEDU7109547</v>
      </c>
      <c r="J1227" s="12">
        <v>0</v>
      </c>
      <c r="K1227" s="11" t="s">
        <v>53</v>
      </c>
      <c r="L1227" s="11" t="str">
        <f t="shared" si="80"/>
        <v>741920</v>
      </c>
      <c r="M1227" s="11" t="str">
        <f>IF(I1227&lt;&gt;"",DATA!E1226,"")</f>
        <v>METAL DISPLAY RACK</v>
      </c>
      <c r="N1227" s="12">
        <v>0</v>
      </c>
      <c r="O1227" s="11">
        <f>IF(I1227&lt;&gt;"",DATA!C1226,"")</f>
        <v>81</v>
      </c>
      <c r="P1227" s="2">
        <v>294094</v>
      </c>
      <c r="Q1227" s="2" t="s">
        <v>1304</v>
      </c>
      <c r="R1227" s="2" t="s">
        <v>1328</v>
      </c>
      <c r="S1227" s="2">
        <v>576</v>
      </c>
      <c r="T1227" s="2">
        <v>1</v>
      </c>
      <c r="U1227" s="2" t="s">
        <v>141</v>
      </c>
      <c r="Y1227" s="2">
        <v>1700</v>
      </c>
      <c r="Z1227" s="11" t="s">
        <v>54</v>
      </c>
      <c r="AA1227" s="11" t="str">
        <f t="shared" si="81"/>
        <v>1700 - TBN</v>
      </c>
      <c r="AC1227" s="2" t="s">
        <v>145</v>
      </c>
      <c r="AD1227" s="11" t="str">
        <f>IF($I1227&lt;&gt;"",VLOOKUP($AC1227,GEADRESSEERDE!$A$2:$E$4,2,),"")</f>
        <v>LUITHAGEN HAVEN 2 D</v>
      </c>
      <c r="AE1227" s="11">
        <f>IF($I1227&lt;&gt;"",VLOOKUP($AC1227,GEADRESSEERDE!$A$2:$E$4,3,),"")</f>
        <v>2030</v>
      </c>
      <c r="AF1227" s="11" t="str">
        <f>IF($I1227&lt;&gt;"",VLOOKUP($AC1227,GEADRESSEERDE!$A$2:$E$4,4,),"")</f>
        <v>ANTWERPEN</v>
      </c>
      <c r="AG1227" s="11" t="str">
        <f>IF($I1227&lt;&gt;"",VLOOKUP($AC1227,GEADRESSEERDE!$A$2:$E$4,5,),"")</f>
        <v>BE</v>
      </c>
      <c r="AH1227" s="11" t="str">
        <f>IF(I1227&lt;&gt;"",VLOOKUP(AP1227,KvB!$A$2:$B$3,2,FALSE),"")</f>
        <v>BE101000</v>
      </c>
      <c r="AI1227" s="11" t="s">
        <v>55</v>
      </c>
      <c r="AJ1227" s="11"/>
      <c r="AK1227" s="11"/>
      <c r="AL1227" s="11"/>
      <c r="AM1227" s="11"/>
      <c r="AN1227" s="11"/>
      <c r="AO1227" s="11"/>
      <c r="AP1227" s="2" t="s">
        <v>70</v>
      </c>
      <c r="AQ1227" s="11" t="str">
        <f>IF(I1227&lt;&gt;"",DATA!D1226,"")</f>
        <v>7419200090</v>
      </c>
    </row>
    <row r="1228" spans="1:43" ht="15.75" x14ac:dyDescent="0.25">
      <c r="A1228" s="11" t="s">
        <v>57</v>
      </c>
      <c r="B1228" s="11" t="s">
        <v>56</v>
      </c>
      <c r="C1228" s="22">
        <f t="shared" si="82"/>
        <v>25001620</v>
      </c>
      <c r="D1228" s="11" t="str">
        <f t="shared" si="79"/>
        <v>SKIIFM_AT</v>
      </c>
      <c r="E1228" s="11" t="str">
        <f>IF(I1228&lt;&gt;"",VLOOKUP(F1228,OPDRACHTGEVER!$A$2:$B$4,2,FALSE),"")</f>
        <v>SKIIFM_AT</v>
      </c>
      <c r="F1228" s="11" t="s">
        <v>58</v>
      </c>
      <c r="I1228" s="11" t="str">
        <f>IF(DATA!B1227&lt;&gt;"",DATA!B1227,"")</f>
        <v>MEDU7109547</v>
      </c>
      <c r="J1228" s="12">
        <v>0</v>
      </c>
      <c r="K1228" s="11" t="s">
        <v>53</v>
      </c>
      <c r="L1228" s="11" t="str">
        <f t="shared" si="80"/>
        <v>392690</v>
      </c>
      <c r="M1228" s="11" t="str">
        <f>IF(I1228&lt;&gt;"",DATA!E1227,"")</f>
        <v>PARTS BOX</v>
      </c>
      <c r="N1228" s="12">
        <v>0</v>
      </c>
      <c r="O1228" s="11">
        <f>IF(I1228&lt;&gt;"",DATA!C1227,"")</f>
        <v>37.799999999999997</v>
      </c>
      <c r="P1228" s="2">
        <v>294094</v>
      </c>
      <c r="Q1228" s="2" t="s">
        <v>1304</v>
      </c>
      <c r="R1228" s="2" t="s">
        <v>1328</v>
      </c>
      <c r="S1228" s="2">
        <v>576</v>
      </c>
      <c r="T1228" s="2">
        <v>1</v>
      </c>
      <c r="U1228" s="2" t="s">
        <v>141</v>
      </c>
      <c r="Y1228" s="2">
        <v>1700</v>
      </c>
      <c r="Z1228" s="11" t="s">
        <v>54</v>
      </c>
      <c r="AA1228" s="11" t="str">
        <f t="shared" si="81"/>
        <v>1700 - TBN</v>
      </c>
      <c r="AC1228" s="2" t="s">
        <v>145</v>
      </c>
      <c r="AD1228" s="11" t="str">
        <f>IF($I1228&lt;&gt;"",VLOOKUP($AC1228,GEADRESSEERDE!$A$2:$E$4,2,),"")</f>
        <v>LUITHAGEN HAVEN 2 D</v>
      </c>
      <c r="AE1228" s="11">
        <f>IF($I1228&lt;&gt;"",VLOOKUP($AC1228,GEADRESSEERDE!$A$2:$E$4,3,),"")</f>
        <v>2030</v>
      </c>
      <c r="AF1228" s="11" t="str">
        <f>IF($I1228&lt;&gt;"",VLOOKUP($AC1228,GEADRESSEERDE!$A$2:$E$4,4,),"")</f>
        <v>ANTWERPEN</v>
      </c>
      <c r="AG1228" s="11" t="str">
        <f>IF($I1228&lt;&gt;"",VLOOKUP($AC1228,GEADRESSEERDE!$A$2:$E$4,5,),"")</f>
        <v>BE</v>
      </c>
      <c r="AH1228" s="11" t="str">
        <f>IF(I1228&lt;&gt;"",VLOOKUP(AP1228,KvB!$A$2:$B$3,2,FALSE),"")</f>
        <v>BE101000</v>
      </c>
      <c r="AI1228" s="11" t="s">
        <v>55</v>
      </c>
      <c r="AJ1228" s="11"/>
      <c r="AK1228" s="11"/>
      <c r="AL1228" s="11"/>
      <c r="AM1228" s="11"/>
      <c r="AN1228" s="11"/>
      <c r="AO1228" s="11"/>
      <c r="AP1228" s="2" t="s">
        <v>70</v>
      </c>
      <c r="AQ1228" s="11" t="str">
        <f>IF(I1228&lt;&gt;"",DATA!D1227,"")</f>
        <v>3926909790</v>
      </c>
    </row>
    <row r="1229" spans="1:43" ht="15.75" x14ac:dyDescent="0.25">
      <c r="A1229" s="11" t="s">
        <v>57</v>
      </c>
      <c r="B1229" s="11" t="s">
        <v>56</v>
      </c>
      <c r="C1229" s="22">
        <f t="shared" si="82"/>
        <v>25001620</v>
      </c>
      <c r="D1229" s="11" t="str">
        <f t="shared" si="79"/>
        <v>SKIIFM_AT</v>
      </c>
      <c r="E1229" s="11" t="str">
        <f>IF(I1229&lt;&gt;"",VLOOKUP(F1229,OPDRACHTGEVER!$A$2:$B$4,2,FALSE),"")</f>
        <v>SKIIFM_AT</v>
      </c>
      <c r="F1229" s="11" t="s">
        <v>58</v>
      </c>
      <c r="I1229" s="11" t="str">
        <f>IF(DATA!B1228&lt;&gt;"",DATA!B1228,"")</f>
        <v>MEDU7109547</v>
      </c>
      <c r="J1229" s="12">
        <v>0</v>
      </c>
      <c r="K1229" s="11" t="s">
        <v>53</v>
      </c>
      <c r="L1229" s="11" t="str">
        <f t="shared" si="80"/>
        <v>940180</v>
      </c>
      <c r="M1229" s="11" t="str">
        <f>IF(I1229&lt;&gt;"",DATA!E1228,"")</f>
        <v>POOL LOUNGE CHAIRS</v>
      </c>
      <c r="N1229" s="12">
        <v>0</v>
      </c>
      <c r="O1229" s="11">
        <f>IF(I1229&lt;&gt;"",DATA!C1228,"")</f>
        <v>351.9</v>
      </c>
      <c r="P1229" s="2">
        <v>294094</v>
      </c>
      <c r="Q1229" s="2" t="s">
        <v>1304</v>
      </c>
      <c r="R1229" s="2" t="s">
        <v>1328</v>
      </c>
      <c r="S1229" s="2">
        <v>576</v>
      </c>
      <c r="T1229" s="2">
        <v>1</v>
      </c>
      <c r="U1229" s="2" t="s">
        <v>141</v>
      </c>
      <c r="Y1229" s="2">
        <v>1700</v>
      </c>
      <c r="Z1229" s="11" t="s">
        <v>54</v>
      </c>
      <c r="AA1229" s="11" t="str">
        <f t="shared" si="81"/>
        <v>1700 - TBN</v>
      </c>
      <c r="AC1229" s="2" t="s">
        <v>145</v>
      </c>
      <c r="AD1229" s="11" t="str">
        <f>IF($I1229&lt;&gt;"",VLOOKUP($AC1229,GEADRESSEERDE!$A$2:$E$4,2,),"")</f>
        <v>LUITHAGEN HAVEN 2 D</v>
      </c>
      <c r="AE1229" s="11">
        <f>IF($I1229&lt;&gt;"",VLOOKUP($AC1229,GEADRESSEERDE!$A$2:$E$4,3,),"")</f>
        <v>2030</v>
      </c>
      <c r="AF1229" s="11" t="str">
        <f>IF($I1229&lt;&gt;"",VLOOKUP($AC1229,GEADRESSEERDE!$A$2:$E$4,4,),"")</f>
        <v>ANTWERPEN</v>
      </c>
      <c r="AG1229" s="11" t="str">
        <f>IF($I1229&lt;&gt;"",VLOOKUP($AC1229,GEADRESSEERDE!$A$2:$E$4,5,),"")</f>
        <v>BE</v>
      </c>
      <c r="AH1229" s="11" t="str">
        <f>IF(I1229&lt;&gt;"",VLOOKUP(AP1229,KvB!$A$2:$B$3,2,FALSE),"")</f>
        <v>BE101000</v>
      </c>
      <c r="AI1229" s="11" t="s">
        <v>55</v>
      </c>
      <c r="AJ1229" s="11"/>
      <c r="AK1229" s="11"/>
      <c r="AL1229" s="11"/>
      <c r="AM1229" s="11"/>
      <c r="AN1229" s="11"/>
      <c r="AO1229" s="11"/>
      <c r="AP1229" s="2" t="s">
        <v>70</v>
      </c>
      <c r="AQ1229" s="11" t="str">
        <f>IF(I1229&lt;&gt;"",DATA!D1228,"")</f>
        <v>9401800000</v>
      </c>
    </row>
    <row r="1230" spans="1:43" ht="15.75" x14ac:dyDescent="0.25">
      <c r="A1230" s="11" t="s">
        <v>57</v>
      </c>
      <c r="B1230" s="11" t="s">
        <v>56</v>
      </c>
      <c r="C1230" s="22">
        <f t="shared" si="82"/>
        <v>25001620</v>
      </c>
      <c r="D1230" s="11" t="str">
        <f t="shared" si="79"/>
        <v>SKIIFM_AT</v>
      </c>
      <c r="E1230" s="11" t="str">
        <f>IF(I1230&lt;&gt;"",VLOOKUP(F1230,OPDRACHTGEVER!$A$2:$B$4,2,FALSE),"")</f>
        <v>SKIIFM_AT</v>
      </c>
      <c r="F1230" s="11" t="s">
        <v>58</v>
      </c>
      <c r="I1230" s="11" t="str">
        <f>IF(DATA!B1229&lt;&gt;"",DATA!B1229,"")</f>
        <v>MEDU7109547</v>
      </c>
      <c r="J1230" s="12">
        <v>0</v>
      </c>
      <c r="K1230" s="11" t="s">
        <v>53</v>
      </c>
      <c r="L1230" s="11" t="str">
        <f t="shared" si="80"/>
        <v>741920</v>
      </c>
      <c r="M1230" s="11" t="str">
        <f>IF(I1230&lt;&gt;"",DATA!E1229,"")</f>
        <v>PULL BASKET</v>
      </c>
      <c r="N1230" s="12">
        <v>0</v>
      </c>
      <c r="O1230" s="11">
        <f>IF(I1230&lt;&gt;"",DATA!C1229,"")</f>
        <v>571.1</v>
      </c>
      <c r="P1230" s="2">
        <v>294094</v>
      </c>
      <c r="Q1230" s="2" t="s">
        <v>1304</v>
      </c>
      <c r="R1230" s="2" t="s">
        <v>1328</v>
      </c>
      <c r="S1230" s="2">
        <v>576</v>
      </c>
      <c r="T1230" s="2">
        <v>1</v>
      </c>
      <c r="U1230" s="2" t="s">
        <v>141</v>
      </c>
      <c r="Y1230" s="2">
        <v>1700</v>
      </c>
      <c r="Z1230" s="11" t="s">
        <v>54</v>
      </c>
      <c r="AA1230" s="11" t="str">
        <f t="shared" si="81"/>
        <v>1700 - TBN</v>
      </c>
      <c r="AC1230" s="2" t="s">
        <v>145</v>
      </c>
      <c r="AD1230" s="11" t="str">
        <f>IF($I1230&lt;&gt;"",VLOOKUP($AC1230,GEADRESSEERDE!$A$2:$E$4,2,),"")</f>
        <v>LUITHAGEN HAVEN 2 D</v>
      </c>
      <c r="AE1230" s="11">
        <f>IF($I1230&lt;&gt;"",VLOOKUP($AC1230,GEADRESSEERDE!$A$2:$E$4,3,),"")</f>
        <v>2030</v>
      </c>
      <c r="AF1230" s="11" t="str">
        <f>IF($I1230&lt;&gt;"",VLOOKUP($AC1230,GEADRESSEERDE!$A$2:$E$4,4,),"")</f>
        <v>ANTWERPEN</v>
      </c>
      <c r="AG1230" s="11" t="str">
        <f>IF($I1230&lt;&gt;"",VLOOKUP($AC1230,GEADRESSEERDE!$A$2:$E$4,5,),"")</f>
        <v>BE</v>
      </c>
      <c r="AH1230" s="11" t="str">
        <f>IF(I1230&lt;&gt;"",VLOOKUP(AP1230,KvB!$A$2:$B$3,2,FALSE),"")</f>
        <v>BE101000</v>
      </c>
      <c r="AI1230" s="11" t="s">
        <v>55</v>
      </c>
      <c r="AJ1230" s="11"/>
      <c r="AK1230" s="11"/>
      <c r="AL1230" s="11"/>
      <c r="AM1230" s="11"/>
      <c r="AN1230" s="11"/>
      <c r="AO1230" s="11"/>
      <c r="AP1230" s="2" t="s">
        <v>70</v>
      </c>
      <c r="AQ1230" s="11" t="str">
        <f>IF(I1230&lt;&gt;"",DATA!D1229,"")</f>
        <v>7419200090</v>
      </c>
    </row>
    <row r="1231" spans="1:43" ht="15.75" x14ac:dyDescent="0.25">
      <c r="A1231" s="11" t="s">
        <v>57</v>
      </c>
      <c r="B1231" s="11" t="s">
        <v>56</v>
      </c>
      <c r="C1231" s="22">
        <f t="shared" si="82"/>
        <v>25001620</v>
      </c>
      <c r="D1231" s="11" t="str">
        <f t="shared" si="79"/>
        <v>SKIIFM_AT</v>
      </c>
      <c r="E1231" s="11" t="str">
        <f>IF(I1231&lt;&gt;"",VLOOKUP(F1231,OPDRACHTGEVER!$A$2:$B$4,2,FALSE),"")</f>
        <v>SKIIFM_AT</v>
      </c>
      <c r="F1231" s="11" t="s">
        <v>58</v>
      </c>
      <c r="I1231" s="11" t="str">
        <f>IF(DATA!B1230&lt;&gt;"",DATA!B1230,"")</f>
        <v>MEDU7109547</v>
      </c>
      <c r="J1231" s="12">
        <v>0</v>
      </c>
      <c r="K1231" s="11" t="s">
        <v>53</v>
      </c>
      <c r="L1231" s="11" t="str">
        <f t="shared" si="80"/>
        <v>843850</v>
      </c>
      <c r="M1231" s="11" t="str">
        <f>IF(I1231&lt;&gt;"",DATA!E1230,"")</f>
        <v>RICE-MEAT DUMPLINGS FORMING MACHINE</v>
      </c>
      <c r="N1231" s="12">
        <v>0</v>
      </c>
      <c r="O1231" s="11">
        <f>IF(I1231&lt;&gt;"",DATA!C1230,"")</f>
        <v>1080</v>
      </c>
      <c r="P1231" s="2">
        <v>294094</v>
      </c>
      <c r="Q1231" s="2" t="s">
        <v>1304</v>
      </c>
      <c r="R1231" s="2" t="s">
        <v>1328</v>
      </c>
      <c r="S1231" s="2">
        <v>576</v>
      </c>
      <c r="T1231" s="2">
        <v>1</v>
      </c>
      <c r="U1231" s="2" t="s">
        <v>141</v>
      </c>
      <c r="Y1231" s="2">
        <v>1700</v>
      </c>
      <c r="Z1231" s="11" t="s">
        <v>54</v>
      </c>
      <c r="AA1231" s="11" t="str">
        <f t="shared" si="81"/>
        <v>1700 - TBN</v>
      </c>
      <c r="AC1231" s="2" t="s">
        <v>145</v>
      </c>
      <c r="AD1231" s="11" t="str">
        <f>IF($I1231&lt;&gt;"",VLOOKUP($AC1231,GEADRESSEERDE!$A$2:$E$4,2,),"")</f>
        <v>LUITHAGEN HAVEN 2 D</v>
      </c>
      <c r="AE1231" s="11">
        <f>IF($I1231&lt;&gt;"",VLOOKUP($AC1231,GEADRESSEERDE!$A$2:$E$4,3,),"")</f>
        <v>2030</v>
      </c>
      <c r="AF1231" s="11" t="str">
        <f>IF($I1231&lt;&gt;"",VLOOKUP($AC1231,GEADRESSEERDE!$A$2:$E$4,4,),"")</f>
        <v>ANTWERPEN</v>
      </c>
      <c r="AG1231" s="11" t="str">
        <f>IF($I1231&lt;&gt;"",VLOOKUP($AC1231,GEADRESSEERDE!$A$2:$E$4,5,),"")</f>
        <v>BE</v>
      </c>
      <c r="AH1231" s="11" t="str">
        <f>IF(I1231&lt;&gt;"",VLOOKUP(AP1231,KvB!$A$2:$B$3,2,FALSE),"")</f>
        <v>BE101000</v>
      </c>
      <c r="AI1231" s="11" t="s">
        <v>55</v>
      </c>
      <c r="AJ1231" s="11"/>
      <c r="AK1231" s="11"/>
      <c r="AL1231" s="11"/>
      <c r="AM1231" s="11"/>
      <c r="AN1231" s="11"/>
      <c r="AO1231" s="11"/>
      <c r="AP1231" s="2" t="s">
        <v>70</v>
      </c>
      <c r="AQ1231" s="11" t="str">
        <f>IF(I1231&lt;&gt;"",DATA!D1230,"")</f>
        <v>8438500000</v>
      </c>
    </row>
    <row r="1232" spans="1:43" ht="15.75" x14ac:dyDescent="0.25">
      <c r="A1232" s="11" t="s">
        <v>57</v>
      </c>
      <c r="B1232" s="11" t="s">
        <v>56</v>
      </c>
      <c r="C1232" s="22">
        <f t="shared" si="82"/>
        <v>25001620</v>
      </c>
      <c r="D1232" s="11" t="str">
        <f t="shared" si="79"/>
        <v>SKIIFM_AT</v>
      </c>
      <c r="E1232" s="11" t="str">
        <f>IF(I1232&lt;&gt;"",VLOOKUP(F1232,OPDRACHTGEVER!$A$2:$B$4,2,FALSE),"")</f>
        <v>SKIIFM_AT</v>
      </c>
      <c r="F1232" s="11" t="s">
        <v>58</v>
      </c>
      <c r="I1232" s="11" t="str">
        <f>IF(DATA!B1231&lt;&gt;"",DATA!B1231,"")</f>
        <v>MEDU7109547</v>
      </c>
      <c r="J1232" s="12">
        <v>0</v>
      </c>
      <c r="K1232" s="11" t="s">
        <v>53</v>
      </c>
      <c r="L1232" s="11" t="str">
        <f t="shared" si="80"/>
        <v>392113</v>
      </c>
      <c r="M1232" s="11" t="str">
        <f>IF(I1232&lt;&gt;"",DATA!E1231,"")</f>
        <v>SELF-ADHESIVE ACOUSTIC FOAM PANELS</v>
      </c>
      <c r="N1232" s="12">
        <v>0</v>
      </c>
      <c r="O1232" s="11">
        <f>IF(I1232&lt;&gt;"",DATA!C1231,"")</f>
        <v>31</v>
      </c>
      <c r="P1232" s="2">
        <v>294094</v>
      </c>
      <c r="Q1232" s="2" t="s">
        <v>1304</v>
      </c>
      <c r="R1232" s="2" t="s">
        <v>1328</v>
      </c>
      <c r="S1232" s="2">
        <v>576</v>
      </c>
      <c r="T1232" s="2">
        <v>1</v>
      </c>
      <c r="U1232" s="2" t="s">
        <v>141</v>
      </c>
      <c r="Y1232" s="2">
        <v>1700</v>
      </c>
      <c r="Z1232" s="11" t="s">
        <v>54</v>
      </c>
      <c r="AA1232" s="11" t="str">
        <f t="shared" si="81"/>
        <v>1700 - TBN</v>
      </c>
      <c r="AC1232" s="2" t="s">
        <v>145</v>
      </c>
      <c r="AD1232" s="11" t="str">
        <f>IF($I1232&lt;&gt;"",VLOOKUP($AC1232,GEADRESSEERDE!$A$2:$E$4,2,),"")</f>
        <v>LUITHAGEN HAVEN 2 D</v>
      </c>
      <c r="AE1232" s="11">
        <f>IF($I1232&lt;&gt;"",VLOOKUP($AC1232,GEADRESSEERDE!$A$2:$E$4,3,),"")</f>
        <v>2030</v>
      </c>
      <c r="AF1232" s="11" t="str">
        <f>IF($I1232&lt;&gt;"",VLOOKUP($AC1232,GEADRESSEERDE!$A$2:$E$4,4,),"")</f>
        <v>ANTWERPEN</v>
      </c>
      <c r="AG1232" s="11" t="str">
        <f>IF($I1232&lt;&gt;"",VLOOKUP($AC1232,GEADRESSEERDE!$A$2:$E$4,5,),"")</f>
        <v>BE</v>
      </c>
      <c r="AH1232" s="11" t="str">
        <f>IF(I1232&lt;&gt;"",VLOOKUP(AP1232,KvB!$A$2:$B$3,2,FALSE),"")</f>
        <v>BE101000</v>
      </c>
      <c r="AI1232" s="11" t="s">
        <v>55</v>
      </c>
      <c r="AJ1232" s="11"/>
      <c r="AK1232" s="11"/>
      <c r="AL1232" s="11"/>
      <c r="AM1232" s="11"/>
      <c r="AN1232" s="11"/>
      <c r="AO1232" s="11"/>
      <c r="AP1232" s="2" t="s">
        <v>70</v>
      </c>
      <c r="AQ1232" s="11" t="str">
        <f>IF(I1232&lt;&gt;"",DATA!D1231,"")</f>
        <v>3921139000</v>
      </c>
    </row>
    <row r="1233" spans="1:43" ht="15.75" x14ac:dyDescent="0.25">
      <c r="A1233" s="11" t="s">
        <v>57</v>
      </c>
      <c r="B1233" s="11" t="s">
        <v>56</v>
      </c>
      <c r="C1233" s="22">
        <f t="shared" si="82"/>
        <v>25001620</v>
      </c>
      <c r="D1233" s="11" t="str">
        <f t="shared" si="79"/>
        <v>SKIIFM_AT</v>
      </c>
      <c r="E1233" s="11" t="str">
        <f>IF(I1233&lt;&gt;"",VLOOKUP(F1233,OPDRACHTGEVER!$A$2:$B$4,2,FALSE),"")</f>
        <v>SKIIFM_AT</v>
      </c>
      <c r="F1233" s="11" t="s">
        <v>58</v>
      </c>
      <c r="I1233" s="11" t="str">
        <f>IF(DATA!B1232&lt;&gt;"",DATA!B1232,"")</f>
        <v>MEDU7109547</v>
      </c>
      <c r="J1233" s="12">
        <v>0</v>
      </c>
      <c r="K1233" s="11" t="s">
        <v>53</v>
      </c>
      <c r="L1233" s="11" t="str">
        <f t="shared" si="80"/>
        <v>670210</v>
      </c>
      <c r="M1233" s="11" t="str">
        <f>IF(I1233&lt;&gt;"",DATA!E1232,"")</f>
        <v>SIMULATED PLANT</v>
      </c>
      <c r="N1233" s="12">
        <v>0</v>
      </c>
      <c r="O1233" s="11">
        <f>IF(I1233&lt;&gt;"",DATA!C1232,"")</f>
        <v>66</v>
      </c>
      <c r="P1233" s="2">
        <v>294094</v>
      </c>
      <c r="Q1233" s="2" t="s">
        <v>1304</v>
      </c>
      <c r="R1233" s="2" t="s">
        <v>1328</v>
      </c>
      <c r="S1233" s="2">
        <v>576</v>
      </c>
      <c r="T1233" s="2">
        <v>1</v>
      </c>
      <c r="U1233" s="2" t="s">
        <v>141</v>
      </c>
      <c r="Y1233" s="2">
        <v>1700</v>
      </c>
      <c r="Z1233" s="11" t="s">
        <v>54</v>
      </c>
      <c r="AA1233" s="11" t="str">
        <f t="shared" si="81"/>
        <v>1700 - TBN</v>
      </c>
      <c r="AC1233" s="2" t="s">
        <v>145</v>
      </c>
      <c r="AD1233" s="11" t="str">
        <f>IF($I1233&lt;&gt;"",VLOOKUP($AC1233,GEADRESSEERDE!$A$2:$E$4,2,),"")</f>
        <v>LUITHAGEN HAVEN 2 D</v>
      </c>
      <c r="AE1233" s="11">
        <f>IF($I1233&lt;&gt;"",VLOOKUP($AC1233,GEADRESSEERDE!$A$2:$E$4,3,),"")</f>
        <v>2030</v>
      </c>
      <c r="AF1233" s="11" t="str">
        <f>IF($I1233&lt;&gt;"",VLOOKUP($AC1233,GEADRESSEERDE!$A$2:$E$4,4,),"")</f>
        <v>ANTWERPEN</v>
      </c>
      <c r="AG1233" s="11" t="str">
        <f>IF($I1233&lt;&gt;"",VLOOKUP($AC1233,GEADRESSEERDE!$A$2:$E$4,5,),"")</f>
        <v>BE</v>
      </c>
      <c r="AH1233" s="11" t="str">
        <f>IF(I1233&lt;&gt;"",VLOOKUP(AP1233,KvB!$A$2:$B$3,2,FALSE),"")</f>
        <v>BE101000</v>
      </c>
      <c r="AI1233" s="11" t="s">
        <v>55</v>
      </c>
      <c r="AJ1233" s="11"/>
      <c r="AK1233" s="11"/>
      <c r="AL1233" s="11"/>
      <c r="AM1233" s="11"/>
      <c r="AN1233" s="11"/>
      <c r="AO1233" s="11"/>
      <c r="AP1233" s="2" t="s">
        <v>70</v>
      </c>
      <c r="AQ1233" s="11" t="str">
        <f>IF(I1233&lt;&gt;"",DATA!D1232,"")</f>
        <v>6702100000</v>
      </c>
    </row>
    <row r="1234" spans="1:43" ht="15.75" x14ac:dyDescent="0.25">
      <c r="A1234" s="11" t="s">
        <v>57</v>
      </c>
      <c r="B1234" s="11" t="s">
        <v>56</v>
      </c>
      <c r="C1234" s="22">
        <f t="shared" si="82"/>
        <v>25001620</v>
      </c>
      <c r="D1234" s="11" t="str">
        <f t="shared" si="79"/>
        <v>SKIIFM_AT</v>
      </c>
      <c r="E1234" s="11" t="str">
        <f>IF(I1234&lt;&gt;"",VLOOKUP(F1234,OPDRACHTGEVER!$A$2:$B$4,2,FALSE),"")</f>
        <v>SKIIFM_AT</v>
      </c>
      <c r="F1234" s="11" t="s">
        <v>58</v>
      </c>
      <c r="I1234" s="11" t="str">
        <f>IF(DATA!B1233&lt;&gt;"",DATA!B1233,"")</f>
        <v>MEDU7109547</v>
      </c>
      <c r="J1234" s="12">
        <v>0</v>
      </c>
      <c r="K1234" s="11" t="s">
        <v>53</v>
      </c>
      <c r="L1234" s="11" t="str">
        <f t="shared" si="80"/>
        <v>741920</v>
      </c>
      <c r="M1234" s="11" t="str">
        <f>IF(I1234&lt;&gt;"",DATA!E1233,"")</f>
        <v>RAILING</v>
      </c>
      <c r="N1234" s="12">
        <v>0</v>
      </c>
      <c r="O1234" s="11">
        <f>IF(I1234&lt;&gt;"",DATA!C1233,"")</f>
        <v>181</v>
      </c>
      <c r="P1234" s="2">
        <v>294094</v>
      </c>
      <c r="Q1234" s="2" t="s">
        <v>1304</v>
      </c>
      <c r="R1234" s="2" t="s">
        <v>1328</v>
      </c>
      <c r="S1234" s="2">
        <v>576</v>
      </c>
      <c r="T1234" s="2">
        <v>1</v>
      </c>
      <c r="U1234" s="2" t="s">
        <v>141</v>
      </c>
      <c r="Y1234" s="2">
        <v>1700</v>
      </c>
      <c r="Z1234" s="11" t="s">
        <v>54</v>
      </c>
      <c r="AA1234" s="11" t="str">
        <f t="shared" si="81"/>
        <v>1700 - TBN</v>
      </c>
      <c r="AC1234" s="2" t="s">
        <v>145</v>
      </c>
      <c r="AD1234" s="11" t="str">
        <f>IF($I1234&lt;&gt;"",VLOOKUP($AC1234,GEADRESSEERDE!$A$2:$E$4,2,),"")</f>
        <v>LUITHAGEN HAVEN 2 D</v>
      </c>
      <c r="AE1234" s="11">
        <f>IF($I1234&lt;&gt;"",VLOOKUP($AC1234,GEADRESSEERDE!$A$2:$E$4,3,),"")</f>
        <v>2030</v>
      </c>
      <c r="AF1234" s="11" t="str">
        <f>IF($I1234&lt;&gt;"",VLOOKUP($AC1234,GEADRESSEERDE!$A$2:$E$4,4,),"")</f>
        <v>ANTWERPEN</v>
      </c>
      <c r="AG1234" s="11" t="str">
        <f>IF($I1234&lt;&gt;"",VLOOKUP($AC1234,GEADRESSEERDE!$A$2:$E$4,5,),"")</f>
        <v>BE</v>
      </c>
      <c r="AH1234" s="11" t="str">
        <f>IF(I1234&lt;&gt;"",VLOOKUP(AP1234,KvB!$A$2:$B$3,2,FALSE),"")</f>
        <v>BE101000</v>
      </c>
      <c r="AI1234" s="11" t="s">
        <v>55</v>
      </c>
      <c r="AJ1234" s="11"/>
      <c r="AK1234" s="11"/>
      <c r="AL1234" s="11"/>
      <c r="AM1234" s="11"/>
      <c r="AN1234" s="11"/>
      <c r="AO1234" s="11"/>
      <c r="AP1234" s="2" t="s">
        <v>70</v>
      </c>
      <c r="AQ1234" s="11" t="str">
        <f>IF(I1234&lt;&gt;"",DATA!D1233,"")</f>
        <v>7419200090</v>
      </c>
    </row>
    <row r="1235" spans="1:43" ht="15.75" x14ac:dyDescent="0.25">
      <c r="A1235" s="11" t="s">
        <v>57</v>
      </c>
      <c r="B1235" s="11" t="s">
        <v>56</v>
      </c>
      <c r="C1235" s="22">
        <f t="shared" si="82"/>
        <v>25001620</v>
      </c>
      <c r="D1235" s="11" t="str">
        <f t="shared" si="79"/>
        <v>SKIIFM_AT</v>
      </c>
      <c r="E1235" s="11" t="str">
        <f>IF(I1235&lt;&gt;"",VLOOKUP(F1235,OPDRACHTGEVER!$A$2:$B$4,2,FALSE),"")</f>
        <v>SKIIFM_AT</v>
      </c>
      <c r="F1235" s="11" t="s">
        <v>58</v>
      </c>
      <c r="I1235" s="11" t="str">
        <f>IF(DATA!B1234&lt;&gt;"",DATA!B1234,"")</f>
        <v>MEDU7109547</v>
      </c>
      <c r="J1235" s="12">
        <v>0</v>
      </c>
      <c r="K1235" s="11" t="s">
        <v>53</v>
      </c>
      <c r="L1235" s="11" t="str">
        <f t="shared" si="80"/>
        <v>851679</v>
      </c>
      <c r="M1235" s="11" t="str">
        <f>IF(I1235&lt;&gt;"",DATA!E1234,"")</f>
        <v>STEAM GENERATOR</v>
      </c>
      <c r="N1235" s="12">
        <v>0</v>
      </c>
      <c r="O1235" s="11">
        <f>IF(I1235&lt;&gt;"",DATA!C1234,"")</f>
        <v>99</v>
      </c>
      <c r="P1235" s="2">
        <v>294094</v>
      </c>
      <c r="Q1235" s="2" t="s">
        <v>1304</v>
      </c>
      <c r="R1235" s="2" t="s">
        <v>1328</v>
      </c>
      <c r="S1235" s="2">
        <v>576</v>
      </c>
      <c r="T1235" s="2">
        <v>1</v>
      </c>
      <c r="U1235" s="2" t="s">
        <v>141</v>
      </c>
      <c r="Y1235" s="2">
        <v>1700</v>
      </c>
      <c r="Z1235" s="11" t="s">
        <v>54</v>
      </c>
      <c r="AA1235" s="11" t="str">
        <f t="shared" si="81"/>
        <v>1700 - TBN</v>
      </c>
      <c r="AC1235" s="2" t="s">
        <v>145</v>
      </c>
      <c r="AD1235" s="11" t="str">
        <f>IF($I1235&lt;&gt;"",VLOOKUP($AC1235,GEADRESSEERDE!$A$2:$E$4,2,),"")</f>
        <v>LUITHAGEN HAVEN 2 D</v>
      </c>
      <c r="AE1235" s="11">
        <f>IF($I1235&lt;&gt;"",VLOOKUP($AC1235,GEADRESSEERDE!$A$2:$E$4,3,),"")</f>
        <v>2030</v>
      </c>
      <c r="AF1235" s="11" t="str">
        <f>IF($I1235&lt;&gt;"",VLOOKUP($AC1235,GEADRESSEERDE!$A$2:$E$4,4,),"")</f>
        <v>ANTWERPEN</v>
      </c>
      <c r="AG1235" s="11" t="str">
        <f>IF($I1235&lt;&gt;"",VLOOKUP($AC1235,GEADRESSEERDE!$A$2:$E$4,5,),"")</f>
        <v>BE</v>
      </c>
      <c r="AH1235" s="11" t="str">
        <f>IF(I1235&lt;&gt;"",VLOOKUP(AP1235,KvB!$A$2:$B$3,2,FALSE),"")</f>
        <v>BE101000</v>
      </c>
      <c r="AI1235" s="11" t="s">
        <v>55</v>
      </c>
      <c r="AJ1235" s="11"/>
      <c r="AK1235" s="11"/>
      <c r="AL1235" s="11"/>
      <c r="AM1235" s="11"/>
      <c r="AN1235" s="11"/>
      <c r="AO1235" s="11"/>
      <c r="AP1235" s="2" t="s">
        <v>70</v>
      </c>
      <c r="AQ1235" s="11" t="str">
        <f>IF(I1235&lt;&gt;"",DATA!D1234,"")</f>
        <v>8516797090</v>
      </c>
    </row>
    <row r="1236" spans="1:43" ht="15.75" x14ac:dyDescent="0.25">
      <c r="A1236" s="11" t="s">
        <v>57</v>
      </c>
      <c r="B1236" s="11" t="s">
        <v>56</v>
      </c>
      <c r="C1236" s="22">
        <f t="shared" si="82"/>
        <v>25001620</v>
      </c>
      <c r="D1236" s="11" t="str">
        <f t="shared" si="79"/>
        <v>SKIIFM_AT</v>
      </c>
      <c r="E1236" s="11" t="str">
        <f>IF(I1236&lt;&gt;"",VLOOKUP(F1236,OPDRACHTGEVER!$A$2:$B$4,2,FALSE),"")</f>
        <v>SKIIFM_AT</v>
      </c>
      <c r="F1236" s="11" t="s">
        <v>58</v>
      </c>
      <c r="I1236" s="11" t="str">
        <f>IF(DATA!B1235&lt;&gt;"",DATA!B1235,"")</f>
        <v>MEDU7109547</v>
      </c>
      <c r="J1236" s="12">
        <v>0</v>
      </c>
      <c r="K1236" s="11" t="s">
        <v>53</v>
      </c>
      <c r="L1236" s="11" t="str">
        <f t="shared" si="80"/>
        <v>820551</v>
      </c>
      <c r="M1236" s="11" t="str">
        <f>IF(I1236&lt;&gt;"",DATA!E1235,"")</f>
        <v>SUCKER</v>
      </c>
      <c r="N1236" s="12">
        <v>0</v>
      </c>
      <c r="O1236" s="11">
        <f>IF(I1236&lt;&gt;"",DATA!C1235,"")</f>
        <v>14</v>
      </c>
      <c r="P1236" s="2">
        <v>294094</v>
      </c>
      <c r="Q1236" s="2" t="s">
        <v>1304</v>
      </c>
      <c r="R1236" s="2" t="s">
        <v>1328</v>
      </c>
      <c r="S1236" s="2">
        <v>576</v>
      </c>
      <c r="T1236" s="2">
        <v>1</v>
      </c>
      <c r="U1236" s="2" t="s">
        <v>141</v>
      </c>
      <c r="Y1236" s="2">
        <v>1700</v>
      </c>
      <c r="Z1236" s="11" t="s">
        <v>54</v>
      </c>
      <c r="AA1236" s="11" t="str">
        <f t="shared" si="81"/>
        <v>1700 - TBN</v>
      </c>
      <c r="AC1236" s="2" t="s">
        <v>145</v>
      </c>
      <c r="AD1236" s="11" t="str">
        <f>IF($I1236&lt;&gt;"",VLOOKUP($AC1236,GEADRESSEERDE!$A$2:$E$4,2,),"")</f>
        <v>LUITHAGEN HAVEN 2 D</v>
      </c>
      <c r="AE1236" s="11">
        <f>IF($I1236&lt;&gt;"",VLOOKUP($AC1236,GEADRESSEERDE!$A$2:$E$4,3,),"")</f>
        <v>2030</v>
      </c>
      <c r="AF1236" s="11" t="str">
        <f>IF($I1236&lt;&gt;"",VLOOKUP($AC1236,GEADRESSEERDE!$A$2:$E$4,4,),"")</f>
        <v>ANTWERPEN</v>
      </c>
      <c r="AG1236" s="11" t="str">
        <f>IF($I1236&lt;&gt;"",VLOOKUP($AC1236,GEADRESSEERDE!$A$2:$E$4,5,),"")</f>
        <v>BE</v>
      </c>
      <c r="AH1236" s="11" t="str">
        <f>IF(I1236&lt;&gt;"",VLOOKUP(AP1236,KvB!$A$2:$B$3,2,FALSE),"")</f>
        <v>BE101000</v>
      </c>
      <c r="AI1236" s="11" t="s">
        <v>55</v>
      </c>
      <c r="AJ1236" s="11"/>
      <c r="AK1236" s="11"/>
      <c r="AL1236" s="11"/>
      <c r="AM1236" s="11"/>
      <c r="AN1236" s="11"/>
      <c r="AO1236" s="11"/>
      <c r="AP1236" s="2" t="s">
        <v>70</v>
      </c>
      <c r="AQ1236" s="11" t="str">
        <f>IF(I1236&lt;&gt;"",DATA!D1235,"")</f>
        <v>8205510000</v>
      </c>
    </row>
    <row r="1237" spans="1:43" ht="15.75" x14ac:dyDescent="0.25">
      <c r="A1237" s="11" t="s">
        <v>57</v>
      </c>
      <c r="B1237" s="11" t="s">
        <v>56</v>
      </c>
      <c r="C1237" s="22">
        <f t="shared" si="82"/>
        <v>25001620</v>
      </c>
      <c r="D1237" s="11" t="str">
        <f t="shared" si="79"/>
        <v>SKIIFM_AT</v>
      </c>
      <c r="E1237" s="11" t="str">
        <f>IF(I1237&lt;&gt;"",VLOOKUP(F1237,OPDRACHTGEVER!$A$2:$B$4,2,FALSE),"")</f>
        <v>SKIIFM_AT</v>
      </c>
      <c r="F1237" s="11" t="s">
        <v>58</v>
      </c>
      <c r="I1237" s="11" t="str">
        <f>IF(DATA!B1236&lt;&gt;"",DATA!B1236,"")</f>
        <v>MEDU7109547</v>
      </c>
      <c r="J1237" s="12">
        <v>0</v>
      </c>
      <c r="K1237" s="11" t="s">
        <v>53</v>
      </c>
      <c r="L1237" s="11" t="str">
        <f t="shared" si="80"/>
        <v>820559</v>
      </c>
      <c r="M1237" s="11" t="str">
        <f>IF(I1237&lt;&gt;"",DATA!E1236,"")</f>
        <v>TABLE SAW MITER GAUGE</v>
      </c>
      <c r="N1237" s="12">
        <v>0</v>
      </c>
      <c r="O1237" s="11">
        <f>IF(I1237&lt;&gt;"",DATA!C1236,"")</f>
        <v>26.9</v>
      </c>
      <c r="P1237" s="2">
        <v>294094</v>
      </c>
      <c r="Q1237" s="2" t="s">
        <v>1304</v>
      </c>
      <c r="R1237" s="2" t="s">
        <v>1328</v>
      </c>
      <c r="S1237" s="2">
        <v>576</v>
      </c>
      <c r="T1237" s="2">
        <v>1</v>
      </c>
      <c r="U1237" s="2" t="s">
        <v>141</v>
      </c>
      <c r="Y1237" s="2">
        <v>1700</v>
      </c>
      <c r="Z1237" s="11" t="s">
        <v>54</v>
      </c>
      <c r="AA1237" s="11" t="str">
        <f t="shared" si="81"/>
        <v>1700 - TBN</v>
      </c>
      <c r="AC1237" s="2" t="s">
        <v>145</v>
      </c>
      <c r="AD1237" s="11" t="str">
        <f>IF($I1237&lt;&gt;"",VLOOKUP($AC1237,GEADRESSEERDE!$A$2:$E$4,2,),"")</f>
        <v>LUITHAGEN HAVEN 2 D</v>
      </c>
      <c r="AE1237" s="11">
        <f>IF($I1237&lt;&gt;"",VLOOKUP($AC1237,GEADRESSEERDE!$A$2:$E$4,3,),"")</f>
        <v>2030</v>
      </c>
      <c r="AF1237" s="11" t="str">
        <f>IF($I1237&lt;&gt;"",VLOOKUP($AC1237,GEADRESSEERDE!$A$2:$E$4,4,),"")</f>
        <v>ANTWERPEN</v>
      </c>
      <c r="AG1237" s="11" t="str">
        <f>IF($I1237&lt;&gt;"",VLOOKUP($AC1237,GEADRESSEERDE!$A$2:$E$4,5,),"")</f>
        <v>BE</v>
      </c>
      <c r="AH1237" s="11" t="str">
        <f>IF(I1237&lt;&gt;"",VLOOKUP(AP1237,KvB!$A$2:$B$3,2,FALSE),"")</f>
        <v>BE101000</v>
      </c>
      <c r="AI1237" s="11" t="s">
        <v>55</v>
      </c>
      <c r="AJ1237" s="11"/>
      <c r="AK1237" s="11"/>
      <c r="AL1237" s="11"/>
      <c r="AM1237" s="11"/>
      <c r="AN1237" s="11"/>
      <c r="AO1237" s="11"/>
      <c r="AP1237" s="2" t="s">
        <v>70</v>
      </c>
      <c r="AQ1237" s="11" t="str">
        <f>IF(I1237&lt;&gt;"",DATA!D1236,"")</f>
        <v>8205598000</v>
      </c>
    </row>
    <row r="1238" spans="1:43" ht="15.75" x14ac:dyDescent="0.25">
      <c r="A1238" s="11" t="s">
        <v>57</v>
      </c>
      <c r="B1238" s="11" t="s">
        <v>56</v>
      </c>
      <c r="C1238" s="22">
        <f t="shared" si="82"/>
        <v>25001620</v>
      </c>
      <c r="D1238" s="11" t="str">
        <f t="shared" si="79"/>
        <v>SKIIFM_AT</v>
      </c>
      <c r="E1238" s="11" t="str">
        <f>IF(I1238&lt;&gt;"",VLOOKUP(F1238,OPDRACHTGEVER!$A$2:$B$4,2,FALSE),"")</f>
        <v>SKIIFM_AT</v>
      </c>
      <c r="F1238" s="11" t="s">
        <v>58</v>
      </c>
      <c r="I1238" s="11" t="str">
        <f>IF(DATA!B1237&lt;&gt;"",DATA!B1237,"")</f>
        <v>MEDU7109547</v>
      </c>
      <c r="J1238" s="12">
        <v>0</v>
      </c>
      <c r="K1238" s="11" t="s">
        <v>53</v>
      </c>
      <c r="L1238" s="11" t="str">
        <f t="shared" si="80"/>
        <v>950691</v>
      </c>
      <c r="M1238" s="11" t="str">
        <f>IF(I1238&lt;&gt;"",DATA!E1237,"")</f>
        <v>TRAINING NETWORK</v>
      </c>
      <c r="N1238" s="12">
        <v>0</v>
      </c>
      <c r="O1238" s="11">
        <f>IF(I1238&lt;&gt;"",DATA!C1237,"")</f>
        <v>60.5</v>
      </c>
      <c r="P1238" s="2">
        <v>294094</v>
      </c>
      <c r="Q1238" s="2" t="s">
        <v>1304</v>
      </c>
      <c r="R1238" s="2" t="s">
        <v>1328</v>
      </c>
      <c r="S1238" s="2">
        <v>576</v>
      </c>
      <c r="T1238" s="2">
        <v>1</v>
      </c>
      <c r="U1238" s="2" t="s">
        <v>141</v>
      </c>
      <c r="Y1238" s="2">
        <v>1700</v>
      </c>
      <c r="Z1238" s="11" t="s">
        <v>54</v>
      </c>
      <c r="AA1238" s="11" t="str">
        <f t="shared" si="81"/>
        <v>1700 - TBN</v>
      </c>
      <c r="AC1238" s="2" t="s">
        <v>145</v>
      </c>
      <c r="AD1238" s="11" t="str">
        <f>IF($I1238&lt;&gt;"",VLOOKUP($AC1238,GEADRESSEERDE!$A$2:$E$4,2,),"")</f>
        <v>LUITHAGEN HAVEN 2 D</v>
      </c>
      <c r="AE1238" s="11">
        <f>IF($I1238&lt;&gt;"",VLOOKUP($AC1238,GEADRESSEERDE!$A$2:$E$4,3,),"")</f>
        <v>2030</v>
      </c>
      <c r="AF1238" s="11" t="str">
        <f>IF($I1238&lt;&gt;"",VLOOKUP($AC1238,GEADRESSEERDE!$A$2:$E$4,4,),"")</f>
        <v>ANTWERPEN</v>
      </c>
      <c r="AG1238" s="11" t="str">
        <f>IF($I1238&lt;&gt;"",VLOOKUP($AC1238,GEADRESSEERDE!$A$2:$E$4,5,),"")</f>
        <v>BE</v>
      </c>
      <c r="AH1238" s="11" t="str">
        <f>IF(I1238&lt;&gt;"",VLOOKUP(AP1238,KvB!$A$2:$B$3,2,FALSE),"")</f>
        <v>BE101000</v>
      </c>
      <c r="AI1238" s="11" t="s">
        <v>55</v>
      </c>
      <c r="AJ1238" s="11"/>
      <c r="AK1238" s="11"/>
      <c r="AL1238" s="11"/>
      <c r="AM1238" s="11"/>
      <c r="AN1238" s="11"/>
      <c r="AO1238" s="11"/>
      <c r="AP1238" s="2" t="s">
        <v>70</v>
      </c>
      <c r="AQ1238" s="11" t="str">
        <f>IF(I1238&lt;&gt;"",DATA!D1237,"")</f>
        <v>9506919000</v>
      </c>
    </row>
    <row r="1239" spans="1:43" ht="15.75" x14ac:dyDescent="0.25">
      <c r="A1239" s="11" t="s">
        <v>57</v>
      </c>
      <c r="B1239" s="11" t="s">
        <v>56</v>
      </c>
      <c r="C1239" s="22">
        <f t="shared" si="82"/>
        <v>25001620</v>
      </c>
      <c r="D1239" s="11" t="str">
        <f t="shared" si="79"/>
        <v>SKIIFM_AT</v>
      </c>
      <c r="E1239" s="11" t="str">
        <f>IF(I1239&lt;&gt;"",VLOOKUP(F1239,OPDRACHTGEVER!$A$2:$B$4,2,FALSE),"")</f>
        <v>SKIIFM_AT</v>
      </c>
      <c r="F1239" s="11" t="s">
        <v>58</v>
      </c>
      <c r="I1239" s="11" t="str">
        <f>IF(DATA!B1238&lt;&gt;"",DATA!B1238,"")</f>
        <v>MEDU7109547</v>
      </c>
      <c r="J1239" s="12">
        <v>0</v>
      </c>
      <c r="K1239" s="11" t="s">
        <v>53</v>
      </c>
      <c r="L1239" s="11" t="str">
        <f t="shared" si="80"/>
        <v>847989</v>
      </c>
      <c r="M1239" s="11" t="str">
        <f>IF(I1239&lt;&gt;"",DATA!E1238,"")</f>
        <v>ULTRASONIC JEWELRY CLEANER</v>
      </c>
      <c r="N1239" s="12">
        <v>0</v>
      </c>
      <c r="O1239" s="11">
        <f>IF(I1239&lt;&gt;"",DATA!C1238,"")</f>
        <v>83.55</v>
      </c>
      <c r="P1239" s="2">
        <v>294094</v>
      </c>
      <c r="Q1239" s="2" t="s">
        <v>1304</v>
      </c>
      <c r="R1239" s="2" t="s">
        <v>1328</v>
      </c>
      <c r="S1239" s="2">
        <v>576</v>
      </c>
      <c r="T1239" s="2">
        <v>1</v>
      </c>
      <c r="U1239" s="2" t="s">
        <v>141</v>
      </c>
      <c r="Y1239" s="2">
        <v>1700</v>
      </c>
      <c r="Z1239" s="11" t="s">
        <v>54</v>
      </c>
      <c r="AA1239" s="11" t="str">
        <f t="shared" si="81"/>
        <v>1700 - TBN</v>
      </c>
      <c r="AC1239" s="2" t="s">
        <v>145</v>
      </c>
      <c r="AD1239" s="11" t="str">
        <f>IF($I1239&lt;&gt;"",VLOOKUP($AC1239,GEADRESSEERDE!$A$2:$E$4,2,),"")</f>
        <v>LUITHAGEN HAVEN 2 D</v>
      </c>
      <c r="AE1239" s="11">
        <f>IF($I1239&lt;&gt;"",VLOOKUP($AC1239,GEADRESSEERDE!$A$2:$E$4,3,),"")</f>
        <v>2030</v>
      </c>
      <c r="AF1239" s="11" t="str">
        <f>IF($I1239&lt;&gt;"",VLOOKUP($AC1239,GEADRESSEERDE!$A$2:$E$4,4,),"")</f>
        <v>ANTWERPEN</v>
      </c>
      <c r="AG1239" s="11" t="str">
        <f>IF($I1239&lt;&gt;"",VLOOKUP($AC1239,GEADRESSEERDE!$A$2:$E$4,5,),"")</f>
        <v>BE</v>
      </c>
      <c r="AH1239" s="11" t="str">
        <f>IF(I1239&lt;&gt;"",VLOOKUP(AP1239,KvB!$A$2:$B$3,2,FALSE),"")</f>
        <v>BE101000</v>
      </c>
      <c r="AI1239" s="11" t="s">
        <v>55</v>
      </c>
      <c r="AJ1239" s="11"/>
      <c r="AK1239" s="11"/>
      <c r="AL1239" s="11"/>
      <c r="AM1239" s="11"/>
      <c r="AN1239" s="11"/>
      <c r="AO1239" s="11"/>
      <c r="AP1239" s="2" t="s">
        <v>70</v>
      </c>
      <c r="AQ1239" s="11" t="str">
        <f>IF(I1239&lt;&gt;"",DATA!D1238,"")</f>
        <v>8479899790</v>
      </c>
    </row>
    <row r="1240" spans="1:43" ht="15.75" x14ac:dyDescent="0.25">
      <c r="A1240" s="11" t="s">
        <v>57</v>
      </c>
      <c r="B1240" s="11" t="s">
        <v>56</v>
      </c>
      <c r="C1240" s="22">
        <f t="shared" si="82"/>
        <v>25001620</v>
      </c>
      <c r="D1240" s="11" t="str">
        <f t="shared" si="79"/>
        <v>SKIIFM_AT</v>
      </c>
      <c r="E1240" s="11" t="str">
        <f>IF(I1240&lt;&gt;"",VLOOKUP(F1240,OPDRACHTGEVER!$A$2:$B$4,2,FALSE),"")</f>
        <v>SKIIFM_AT</v>
      </c>
      <c r="F1240" s="11" t="s">
        <v>58</v>
      </c>
      <c r="I1240" s="11" t="str">
        <f>IF(DATA!B1239&lt;&gt;"",DATA!B1239,"")</f>
        <v>MEDU7109547</v>
      </c>
      <c r="J1240" s="12">
        <v>0</v>
      </c>
      <c r="K1240" s="11" t="s">
        <v>53</v>
      </c>
      <c r="L1240" s="11" t="str">
        <f t="shared" si="80"/>
        <v>841830</v>
      </c>
      <c r="M1240" s="11" t="str">
        <f>IF(I1240&lt;&gt;"",DATA!E1239,"")</f>
        <v>VEHICLE REFRIGERATOR</v>
      </c>
      <c r="N1240" s="12">
        <v>0</v>
      </c>
      <c r="O1240" s="11">
        <f>IF(I1240&lt;&gt;"",DATA!C1239,"")</f>
        <v>669.3</v>
      </c>
      <c r="P1240" s="2">
        <v>294094</v>
      </c>
      <c r="Q1240" s="2" t="s">
        <v>1304</v>
      </c>
      <c r="R1240" s="2" t="s">
        <v>1328</v>
      </c>
      <c r="S1240" s="2">
        <v>576</v>
      </c>
      <c r="T1240" s="2">
        <v>1</v>
      </c>
      <c r="U1240" s="2" t="s">
        <v>141</v>
      </c>
      <c r="Y1240" s="2">
        <v>1700</v>
      </c>
      <c r="Z1240" s="11" t="s">
        <v>54</v>
      </c>
      <c r="AA1240" s="11" t="str">
        <f t="shared" si="81"/>
        <v>1700 - TBN</v>
      </c>
      <c r="AC1240" s="2" t="s">
        <v>145</v>
      </c>
      <c r="AD1240" s="11" t="str">
        <f>IF($I1240&lt;&gt;"",VLOOKUP($AC1240,GEADRESSEERDE!$A$2:$E$4,2,),"")</f>
        <v>LUITHAGEN HAVEN 2 D</v>
      </c>
      <c r="AE1240" s="11">
        <f>IF($I1240&lt;&gt;"",VLOOKUP($AC1240,GEADRESSEERDE!$A$2:$E$4,3,),"")</f>
        <v>2030</v>
      </c>
      <c r="AF1240" s="11" t="str">
        <f>IF($I1240&lt;&gt;"",VLOOKUP($AC1240,GEADRESSEERDE!$A$2:$E$4,4,),"")</f>
        <v>ANTWERPEN</v>
      </c>
      <c r="AG1240" s="11" t="str">
        <f>IF($I1240&lt;&gt;"",VLOOKUP($AC1240,GEADRESSEERDE!$A$2:$E$4,5,),"")</f>
        <v>BE</v>
      </c>
      <c r="AH1240" s="11" t="str">
        <f>IF(I1240&lt;&gt;"",VLOOKUP(AP1240,KvB!$A$2:$B$3,2,FALSE),"")</f>
        <v>BE101000</v>
      </c>
      <c r="AI1240" s="11" t="s">
        <v>55</v>
      </c>
      <c r="AJ1240" s="11"/>
      <c r="AK1240" s="11"/>
      <c r="AL1240" s="11"/>
      <c r="AM1240" s="11"/>
      <c r="AN1240" s="11"/>
      <c r="AO1240" s="11"/>
      <c r="AP1240" s="2" t="s">
        <v>70</v>
      </c>
      <c r="AQ1240" s="11" t="str">
        <f>IF(I1240&lt;&gt;"",DATA!D1239,"")</f>
        <v>8418302099</v>
      </c>
    </row>
    <row r="1241" spans="1:43" ht="15.75" x14ac:dyDescent="0.25">
      <c r="A1241" s="11" t="s">
        <v>57</v>
      </c>
      <c r="B1241" s="11" t="s">
        <v>56</v>
      </c>
      <c r="C1241" s="22">
        <f t="shared" si="82"/>
        <v>25001620</v>
      </c>
      <c r="D1241" s="11" t="str">
        <f t="shared" si="79"/>
        <v>SKIIFM_AT</v>
      </c>
      <c r="E1241" s="11" t="str">
        <f>IF(I1241&lt;&gt;"",VLOOKUP(F1241,OPDRACHTGEVER!$A$2:$B$4,2,FALSE),"")</f>
        <v>SKIIFM_AT</v>
      </c>
      <c r="F1241" s="11" t="s">
        <v>58</v>
      </c>
      <c r="I1241" s="11" t="str">
        <f>IF(DATA!B1240&lt;&gt;"",DATA!B1240,"")</f>
        <v>MEDU7109547</v>
      </c>
      <c r="J1241" s="12">
        <v>0</v>
      </c>
      <c r="K1241" s="11" t="s">
        <v>53</v>
      </c>
      <c r="L1241" s="11" t="str">
        <f t="shared" si="80"/>
        <v>851672</v>
      </c>
      <c r="M1241" s="11" t="str">
        <f>IF(I1241&lt;&gt;"",DATA!E1240,"")</f>
        <v>WAFFLE CAKE MACHINE</v>
      </c>
      <c r="N1241" s="12">
        <v>0</v>
      </c>
      <c r="O1241" s="11">
        <f>IF(I1241&lt;&gt;"",DATA!C1240,"")</f>
        <v>156</v>
      </c>
      <c r="P1241" s="2">
        <v>294094</v>
      </c>
      <c r="Q1241" s="2" t="s">
        <v>1304</v>
      </c>
      <c r="R1241" s="2" t="s">
        <v>1328</v>
      </c>
      <c r="S1241" s="2">
        <v>576</v>
      </c>
      <c r="T1241" s="2">
        <v>1</v>
      </c>
      <c r="U1241" s="2" t="s">
        <v>141</v>
      </c>
      <c r="Y1241" s="2">
        <v>1700</v>
      </c>
      <c r="Z1241" s="11" t="s">
        <v>54</v>
      </c>
      <c r="AA1241" s="11" t="str">
        <f t="shared" si="81"/>
        <v>1700 - TBN</v>
      </c>
      <c r="AC1241" s="2" t="s">
        <v>145</v>
      </c>
      <c r="AD1241" s="11" t="str">
        <f>IF($I1241&lt;&gt;"",VLOOKUP($AC1241,GEADRESSEERDE!$A$2:$E$4,2,),"")</f>
        <v>LUITHAGEN HAVEN 2 D</v>
      </c>
      <c r="AE1241" s="11">
        <f>IF($I1241&lt;&gt;"",VLOOKUP($AC1241,GEADRESSEERDE!$A$2:$E$4,3,),"")</f>
        <v>2030</v>
      </c>
      <c r="AF1241" s="11" t="str">
        <f>IF($I1241&lt;&gt;"",VLOOKUP($AC1241,GEADRESSEERDE!$A$2:$E$4,4,),"")</f>
        <v>ANTWERPEN</v>
      </c>
      <c r="AG1241" s="11" t="str">
        <f>IF($I1241&lt;&gt;"",VLOOKUP($AC1241,GEADRESSEERDE!$A$2:$E$4,5,),"")</f>
        <v>BE</v>
      </c>
      <c r="AH1241" s="11" t="str">
        <f>IF(I1241&lt;&gt;"",VLOOKUP(AP1241,KvB!$A$2:$B$3,2,FALSE),"")</f>
        <v>BE101000</v>
      </c>
      <c r="AI1241" s="11" t="s">
        <v>55</v>
      </c>
      <c r="AJ1241" s="11"/>
      <c r="AK1241" s="11"/>
      <c r="AL1241" s="11"/>
      <c r="AM1241" s="11"/>
      <c r="AN1241" s="11"/>
      <c r="AO1241" s="11"/>
      <c r="AP1241" s="2" t="s">
        <v>70</v>
      </c>
      <c r="AQ1241" s="11" t="str">
        <f>IF(I1241&lt;&gt;"",DATA!D1240,"")</f>
        <v>8516720000</v>
      </c>
    </row>
    <row r="1242" spans="1:43" ht="15.75" x14ac:dyDescent="0.25">
      <c r="A1242" s="11" t="s">
        <v>57</v>
      </c>
      <c r="B1242" s="11" t="s">
        <v>56</v>
      </c>
      <c r="C1242" s="22">
        <f t="shared" si="82"/>
        <v>25001620</v>
      </c>
      <c r="D1242" s="11" t="str">
        <f t="shared" si="79"/>
        <v>SKIIFM_AT</v>
      </c>
      <c r="E1242" s="11" t="str">
        <f>IF(I1242&lt;&gt;"",VLOOKUP(F1242,OPDRACHTGEVER!$A$2:$B$4,2,FALSE),"")</f>
        <v>SKIIFM_AT</v>
      </c>
      <c r="F1242" s="11" t="s">
        <v>58</v>
      </c>
      <c r="I1242" s="11" t="str">
        <f>IF(DATA!B1241&lt;&gt;"",DATA!B1241,"")</f>
        <v>MEDU7109547</v>
      </c>
      <c r="J1242" s="12">
        <v>0</v>
      </c>
      <c r="K1242" s="11" t="s">
        <v>53</v>
      </c>
      <c r="L1242" s="11" t="str">
        <f t="shared" si="80"/>
        <v>950691</v>
      </c>
      <c r="M1242" s="11" t="str">
        <f>IF(I1242&lt;&gt;"",DATA!E1241,"")</f>
        <v>WALL-MOUNTED BOXING TARGET</v>
      </c>
      <c r="N1242" s="12">
        <v>0</v>
      </c>
      <c r="O1242" s="11">
        <f>IF(I1242&lt;&gt;"",DATA!C1241,"")</f>
        <v>273</v>
      </c>
      <c r="P1242" s="2">
        <v>294094</v>
      </c>
      <c r="Q1242" s="2" t="s">
        <v>1304</v>
      </c>
      <c r="R1242" s="2" t="s">
        <v>1328</v>
      </c>
      <c r="S1242" s="2">
        <v>576</v>
      </c>
      <c r="T1242" s="2">
        <v>1</v>
      </c>
      <c r="U1242" s="2" t="s">
        <v>141</v>
      </c>
      <c r="Y1242" s="2">
        <v>1700</v>
      </c>
      <c r="Z1242" s="11" t="s">
        <v>54</v>
      </c>
      <c r="AA1242" s="11" t="str">
        <f t="shared" si="81"/>
        <v>1700 - TBN</v>
      </c>
      <c r="AC1242" s="2" t="s">
        <v>145</v>
      </c>
      <c r="AD1242" s="11" t="str">
        <f>IF($I1242&lt;&gt;"",VLOOKUP($AC1242,GEADRESSEERDE!$A$2:$E$4,2,),"")</f>
        <v>LUITHAGEN HAVEN 2 D</v>
      </c>
      <c r="AE1242" s="11">
        <f>IF($I1242&lt;&gt;"",VLOOKUP($AC1242,GEADRESSEERDE!$A$2:$E$4,3,),"")</f>
        <v>2030</v>
      </c>
      <c r="AF1242" s="11" t="str">
        <f>IF($I1242&lt;&gt;"",VLOOKUP($AC1242,GEADRESSEERDE!$A$2:$E$4,4,),"")</f>
        <v>ANTWERPEN</v>
      </c>
      <c r="AG1242" s="11" t="str">
        <f>IF($I1242&lt;&gt;"",VLOOKUP($AC1242,GEADRESSEERDE!$A$2:$E$4,5,),"")</f>
        <v>BE</v>
      </c>
      <c r="AH1242" s="11" t="str">
        <f>IF(I1242&lt;&gt;"",VLOOKUP(AP1242,KvB!$A$2:$B$3,2,FALSE),"")</f>
        <v>BE101000</v>
      </c>
      <c r="AI1242" s="11" t="s">
        <v>55</v>
      </c>
      <c r="AJ1242" s="11"/>
      <c r="AK1242" s="11"/>
      <c r="AL1242" s="11"/>
      <c r="AM1242" s="11"/>
      <c r="AN1242" s="11"/>
      <c r="AO1242" s="11"/>
      <c r="AP1242" s="2" t="s">
        <v>70</v>
      </c>
      <c r="AQ1242" s="11" t="str">
        <f>IF(I1242&lt;&gt;"",DATA!D1241,"")</f>
        <v>9506919000</v>
      </c>
    </row>
    <row r="1243" spans="1:43" ht="15.75" x14ac:dyDescent="0.25">
      <c r="A1243" s="11" t="s">
        <v>57</v>
      </c>
      <c r="B1243" s="11" t="s">
        <v>56</v>
      </c>
      <c r="C1243" s="22">
        <f t="shared" si="82"/>
        <v>25001620</v>
      </c>
      <c r="D1243" s="11" t="str">
        <f t="shared" si="79"/>
        <v>SKIIFM_AT</v>
      </c>
      <c r="E1243" s="11" t="str">
        <f>IF(I1243&lt;&gt;"",VLOOKUP(F1243,OPDRACHTGEVER!$A$2:$B$4,2,FALSE),"")</f>
        <v>SKIIFM_AT</v>
      </c>
      <c r="F1243" s="11" t="s">
        <v>58</v>
      </c>
      <c r="I1243" s="11" t="str">
        <f>IF(DATA!B1242&lt;&gt;"",DATA!B1242,"")</f>
        <v>MEDU7109547</v>
      </c>
      <c r="J1243" s="12">
        <v>0</v>
      </c>
      <c r="K1243" s="11" t="s">
        <v>53</v>
      </c>
      <c r="L1243" s="11" t="str">
        <f t="shared" si="80"/>
        <v>841989</v>
      </c>
      <c r="M1243" s="11" t="str">
        <f>IF(I1243&lt;&gt;"",DATA!E1242,"")</f>
        <v>WAX MELTING APPARATUS</v>
      </c>
      <c r="N1243" s="12">
        <v>0</v>
      </c>
      <c r="O1243" s="11">
        <f>IF(I1243&lt;&gt;"",DATA!C1242,"")</f>
        <v>37.4</v>
      </c>
      <c r="P1243" s="2">
        <v>294094</v>
      </c>
      <c r="Q1243" s="2" t="s">
        <v>1304</v>
      </c>
      <c r="R1243" s="2" t="s">
        <v>1328</v>
      </c>
      <c r="S1243" s="2">
        <v>576</v>
      </c>
      <c r="T1243" s="2">
        <v>1</v>
      </c>
      <c r="U1243" s="2" t="s">
        <v>141</v>
      </c>
      <c r="Y1243" s="2">
        <v>1700</v>
      </c>
      <c r="Z1243" s="11" t="s">
        <v>54</v>
      </c>
      <c r="AA1243" s="11" t="str">
        <f t="shared" si="81"/>
        <v>1700 - TBN</v>
      </c>
      <c r="AC1243" s="2" t="s">
        <v>145</v>
      </c>
      <c r="AD1243" s="11" t="str">
        <f>IF($I1243&lt;&gt;"",VLOOKUP($AC1243,GEADRESSEERDE!$A$2:$E$4,2,),"")</f>
        <v>LUITHAGEN HAVEN 2 D</v>
      </c>
      <c r="AE1243" s="11">
        <f>IF($I1243&lt;&gt;"",VLOOKUP($AC1243,GEADRESSEERDE!$A$2:$E$4,3,),"")</f>
        <v>2030</v>
      </c>
      <c r="AF1243" s="11" t="str">
        <f>IF($I1243&lt;&gt;"",VLOOKUP($AC1243,GEADRESSEERDE!$A$2:$E$4,4,),"")</f>
        <v>ANTWERPEN</v>
      </c>
      <c r="AG1243" s="11" t="str">
        <f>IF($I1243&lt;&gt;"",VLOOKUP($AC1243,GEADRESSEERDE!$A$2:$E$4,5,),"")</f>
        <v>BE</v>
      </c>
      <c r="AH1243" s="11" t="str">
        <f>IF(I1243&lt;&gt;"",VLOOKUP(AP1243,KvB!$A$2:$B$3,2,FALSE),"")</f>
        <v>BE101000</v>
      </c>
      <c r="AI1243" s="11" t="s">
        <v>55</v>
      </c>
      <c r="AJ1243" s="11"/>
      <c r="AK1243" s="11"/>
      <c r="AL1243" s="11"/>
      <c r="AM1243" s="11"/>
      <c r="AN1243" s="11"/>
      <c r="AO1243" s="11"/>
      <c r="AP1243" s="2" t="s">
        <v>70</v>
      </c>
      <c r="AQ1243" s="11" t="str">
        <f>IF(I1243&lt;&gt;"",DATA!D1242,"")</f>
        <v>8419899890</v>
      </c>
    </row>
    <row r="1244" spans="1:43" ht="15.75" x14ac:dyDescent="0.25">
      <c r="A1244" s="11" t="s">
        <v>57</v>
      </c>
      <c r="B1244" s="11" t="s">
        <v>56</v>
      </c>
      <c r="C1244" s="22">
        <f t="shared" si="82"/>
        <v>25001620</v>
      </c>
      <c r="D1244" s="11" t="str">
        <f t="shared" si="79"/>
        <v>SKIIFM_AT</v>
      </c>
      <c r="E1244" s="11" t="str">
        <f>IF(I1244&lt;&gt;"",VLOOKUP(F1244,OPDRACHTGEVER!$A$2:$B$4,2,FALSE),"")</f>
        <v>SKIIFM_AT</v>
      </c>
      <c r="F1244" s="11" t="s">
        <v>58</v>
      </c>
      <c r="I1244" s="11" t="str">
        <f>IF(DATA!B1243&lt;&gt;"",DATA!B1243,"")</f>
        <v>MEDU9355200</v>
      </c>
      <c r="J1244" s="12">
        <v>1618</v>
      </c>
      <c r="K1244" s="11" t="s">
        <v>53</v>
      </c>
      <c r="L1244" s="11" t="str">
        <f t="shared" si="80"/>
        <v>842121</v>
      </c>
      <c r="M1244" s="11" t="str">
        <f>IF(I1244&lt;&gt;"",DATA!E1243,"")</f>
        <v>AQUARIUM FILTER</v>
      </c>
      <c r="N1244" s="12">
        <v>12248</v>
      </c>
      <c r="O1244" s="11">
        <f>IF(I1244&lt;&gt;"",DATA!C1243,"")</f>
        <v>731.15</v>
      </c>
      <c r="P1244" s="2">
        <v>294094</v>
      </c>
      <c r="Q1244" s="2" t="s">
        <v>1304</v>
      </c>
      <c r="R1244" s="2" t="s">
        <v>1329</v>
      </c>
      <c r="S1244" s="2">
        <v>583</v>
      </c>
      <c r="T1244" s="2">
        <v>1</v>
      </c>
      <c r="U1244" s="2" t="s">
        <v>141</v>
      </c>
      <c r="Y1244" s="2">
        <v>1700</v>
      </c>
      <c r="Z1244" s="11" t="s">
        <v>54</v>
      </c>
      <c r="AA1244" s="11" t="str">
        <f t="shared" si="81"/>
        <v>1700 - TBN</v>
      </c>
      <c r="AC1244" s="2" t="s">
        <v>145</v>
      </c>
      <c r="AD1244" s="11" t="str">
        <f>IF($I1244&lt;&gt;"",VLOOKUP($AC1244,GEADRESSEERDE!$A$2:$E$4,2,),"")</f>
        <v>LUITHAGEN HAVEN 2 D</v>
      </c>
      <c r="AE1244" s="11">
        <f>IF($I1244&lt;&gt;"",VLOOKUP($AC1244,GEADRESSEERDE!$A$2:$E$4,3,),"")</f>
        <v>2030</v>
      </c>
      <c r="AF1244" s="11" t="str">
        <f>IF($I1244&lt;&gt;"",VLOOKUP($AC1244,GEADRESSEERDE!$A$2:$E$4,4,),"")</f>
        <v>ANTWERPEN</v>
      </c>
      <c r="AG1244" s="11" t="str">
        <f>IF($I1244&lt;&gt;"",VLOOKUP($AC1244,GEADRESSEERDE!$A$2:$E$4,5,),"")</f>
        <v>BE</v>
      </c>
      <c r="AH1244" s="11" t="str">
        <f>IF(I1244&lt;&gt;"",VLOOKUP(AP1244,KvB!$A$2:$B$3,2,FALSE),"")</f>
        <v>BE101000</v>
      </c>
      <c r="AI1244" s="11" t="s">
        <v>55</v>
      </c>
      <c r="AJ1244" s="11"/>
      <c r="AK1244" s="11"/>
      <c r="AL1244" s="11"/>
      <c r="AM1244" s="11"/>
      <c r="AN1244" s="11"/>
      <c r="AO1244" s="11"/>
      <c r="AP1244" s="2" t="s">
        <v>70</v>
      </c>
      <c r="AQ1244" s="11" t="str">
        <f>IF(I1244&lt;&gt;"",DATA!D1243,"")</f>
        <v>8421210090</v>
      </c>
    </row>
    <row r="1245" spans="1:43" ht="15.75" x14ac:dyDescent="0.25">
      <c r="A1245" s="11" t="s">
        <v>57</v>
      </c>
      <c r="B1245" s="11" t="s">
        <v>56</v>
      </c>
      <c r="C1245" s="22">
        <f t="shared" si="82"/>
        <v>25001620</v>
      </c>
      <c r="D1245" s="11" t="str">
        <f t="shared" si="79"/>
        <v>SKIIFM_AT</v>
      </c>
      <c r="E1245" s="11" t="str">
        <f>IF(I1245&lt;&gt;"",VLOOKUP(F1245,OPDRACHTGEVER!$A$2:$B$4,2,FALSE),"")</f>
        <v>SKIIFM_AT</v>
      </c>
      <c r="F1245" s="11" t="s">
        <v>58</v>
      </c>
      <c r="I1245" s="11" t="str">
        <f>IF(DATA!B1244&lt;&gt;"",DATA!B1244,"")</f>
        <v>MEDU9355200</v>
      </c>
      <c r="J1245" s="12">
        <v>0</v>
      </c>
      <c r="K1245" s="11" t="s">
        <v>53</v>
      </c>
      <c r="L1245" s="11" t="str">
        <f t="shared" si="80"/>
        <v>903180</v>
      </c>
      <c r="M1245" s="11" t="str">
        <f>IF(I1245&lt;&gt;"",DATA!E1244,"")</f>
        <v>AUTOMOTIVE SMOKE MACHINE LEAK DETECTOR</v>
      </c>
      <c r="N1245" s="12">
        <v>0</v>
      </c>
      <c r="O1245" s="11">
        <f>IF(I1245&lt;&gt;"",DATA!C1244,"")</f>
        <v>428.8</v>
      </c>
      <c r="P1245" s="2">
        <v>294094</v>
      </c>
      <c r="Q1245" s="2" t="s">
        <v>1304</v>
      </c>
      <c r="R1245" s="2" t="s">
        <v>1329</v>
      </c>
      <c r="S1245" s="2">
        <v>583</v>
      </c>
      <c r="T1245" s="2">
        <v>1</v>
      </c>
      <c r="U1245" s="2" t="s">
        <v>141</v>
      </c>
      <c r="Y1245" s="2">
        <v>1700</v>
      </c>
      <c r="Z1245" s="11" t="s">
        <v>54</v>
      </c>
      <c r="AA1245" s="11" t="str">
        <f t="shared" si="81"/>
        <v>1700 - TBN</v>
      </c>
      <c r="AC1245" s="2" t="s">
        <v>145</v>
      </c>
      <c r="AD1245" s="11" t="str">
        <f>IF($I1245&lt;&gt;"",VLOOKUP($AC1245,GEADRESSEERDE!$A$2:$E$4,2,),"")</f>
        <v>LUITHAGEN HAVEN 2 D</v>
      </c>
      <c r="AE1245" s="11">
        <f>IF($I1245&lt;&gt;"",VLOOKUP($AC1245,GEADRESSEERDE!$A$2:$E$4,3,),"")</f>
        <v>2030</v>
      </c>
      <c r="AF1245" s="11" t="str">
        <f>IF($I1245&lt;&gt;"",VLOOKUP($AC1245,GEADRESSEERDE!$A$2:$E$4,4,),"")</f>
        <v>ANTWERPEN</v>
      </c>
      <c r="AG1245" s="11" t="str">
        <f>IF($I1245&lt;&gt;"",VLOOKUP($AC1245,GEADRESSEERDE!$A$2:$E$4,5,),"")</f>
        <v>BE</v>
      </c>
      <c r="AH1245" s="11" t="str">
        <f>IF(I1245&lt;&gt;"",VLOOKUP(AP1245,KvB!$A$2:$B$3,2,FALSE),"")</f>
        <v>BE101000</v>
      </c>
      <c r="AI1245" s="11" t="s">
        <v>55</v>
      </c>
      <c r="AJ1245" s="11"/>
      <c r="AK1245" s="11"/>
      <c r="AL1245" s="11"/>
      <c r="AM1245" s="11"/>
      <c r="AN1245" s="11"/>
      <c r="AO1245" s="11"/>
      <c r="AP1245" s="2" t="s">
        <v>70</v>
      </c>
      <c r="AQ1245" s="11" t="str">
        <f>IF(I1245&lt;&gt;"",DATA!D1244,"")</f>
        <v>9031808000</v>
      </c>
    </row>
    <row r="1246" spans="1:43" ht="15.75" x14ac:dyDescent="0.25">
      <c r="A1246" s="11" t="s">
        <v>57</v>
      </c>
      <c r="B1246" s="11" t="s">
        <v>56</v>
      </c>
      <c r="C1246" s="22">
        <f t="shared" si="82"/>
        <v>25001620</v>
      </c>
      <c r="D1246" s="11" t="str">
        <f t="shared" si="79"/>
        <v>SKIIFM_AT</v>
      </c>
      <c r="E1246" s="11" t="str">
        <f>IF(I1246&lt;&gt;"",VLOOKUP(F1246,OPDRACHTGEVER!$A$2:$B$4,2,FALSE),"")</f>
        <v>SKIIFM_AT</v>
      </c>
      <c r="F1246" s="11" t="s">
        <v>58</v>
      </c>
      <c r="I1246" s="11" t="str">
        <f>IF(DATA!B1245&lt;&gt;"",DATA!B1245,"")</f>
        <v>MEDU9355200</v>
      </c>
      <c r="J1246" s="12">
        <v>0</v>
      </c>
      <c r="K1246" s="11" t="s">
        <v>53</v>
      </c>
      <c r="L1246" s="11" t="str">
        <f t="shared" si="80"/>
        <v>391890</v>
      </c>
      <c r="M1246" s="11" t="str">
        <f>IF(I1246&lt;&gt;"",DATA!E1245,"")</f>
        <v>BOAT FLOORING</v>
      </c>
      <c r="N1246" s="12">
        <v>0</v>
      </c>
      <c r="O1246" s="11">
        <f>IF(I1246&lt;&gt;"",DATA!C1245,"")</f>
        <v>129.25</v>
      </c>
      <c r="P1246" s="2">
        <v>294094</v>
      </c>
      <c r="Q1246" s="2" t="s">
        <v>1304</v>
      </c>
      <c r="R1246" s="2" t="s">
        <v>1329</v>
      </c>
      <c r="S1246" s="2">
        <v>583</v>
      </c>
      <c r="T1246" s="2">
        <v>1</v>
      </c>
      <c r="U1246" s="2" t="s">
        <v>141</v>
      </c>
      <c r="Y1246" s="2">
        <v>1700</v>
      </c>
      <c r="Z1246" s="11" t="s">
        <v>54</v>
      </c>
      <c r="AA1246" s="11" t="str">
        <f t="shared" si="81"/>
        <v>1700 - TBN</v>
      </c>
      <c r="AC1246" s="2" t="s">
        <v>145</v>
      </c>
      <c r="AD1246" s="11" t="str">
        <f>IF($I1246&lt;&gt;"",VLOOKUP($AC1246,GEADRESSEERDE!$A$2:$E$4,2,),"")</f>
        <v>LUITHAGEN HAVEN 2 D</v>
      </c>
      <c r="AE1246" s="11">
        <f>IF($I1246&lt;&gt;"",VLOOKUP($AC1246,GEADRESSEERDE!$A$2:$E$4,3,),"")</f>
        <v>2030</v>
      </c>
      <c r="AF1246" s="11" t="str">
        <f>IF($I1246&lt;&gt;"",VLOOKUP($AC1246,GEADRESSEERDE!$A$2:$E$4,4,),"")</f>
        <v>ANTWERPEN</v>
      </c>
      <c r="AG1246" s="11" t="str">
        <f>IF($I1246&lt;&gt;"",VLOOKUP($AC1246,GEADRESSEERDE!$A$2:$E$4,5,),"")</f>
        <v>BE</v>
      </c>
      <c r="AH1246" s="11" t="str">
        <f>IF(I1246&lt;&gt;"",VLOOKUP(AP1246,KvB!$A$2:$B$3,2,FALSE),"")</f>
        <v>BE101000</v>
      </c>
      <c r="AI1246" s="11" t="s">
        <v>55</v>
      </c>
      <c r="AJ1246" s="11"/>
      <c r="AK1246" s="11"/>
      <c r="AL1246" s="11"/>
      <c r="AM1246" s="11"/>
      <c r="AN1246" s="11"/>
      <c r="AO1246" s="11"/>
      <c r="AP1246" s="2" t="s">
        <v>70</v>
      </c>
      <c r="AQ1246" s="11" t="str">
        <f>IF(I1246&lt;&gt;"",DATA!D1245,"")</f>
        <v>3918900090</v>
      </c>
    </row>
    <row r="1247" spans="1:43" ht="15.75" x14ac:dyDescent="0.25">
      <c r="A1247" s="11" t="s">
        <v>57</v>
      </c>
      <c r="B1247" s="11" t="s">
        <v>56</v>
      </c>
      <c r="C1247" s="22">
        <f t="shared" si="82"/>
        <v>25001620</v>
      </c>
      <c r="D1247" s="11" t="str">
        <f t="shared" si="79"/>
        <v>SKIIFM_AT</v>
      </c>
      <c r="E1247" s="11" t="str">
        <f>IF(I1247&lt;&gt;"",VLOOKUP(F1247,OPDRACHTGEVER!$A$2:$B$4,2,FALSE),"")</f>
        <v>SKIIFM_AT</v>
      </c>
      <c r="F1247" s="11" t="s">
        <v>58</v>
      </c>
      <c r="I1247" s="11" t="str">
        <f>IF(DATA!B1246&lt;&gt;"",DATA!B1246,"")</f>
        <v>MEDU9355200</v>
      </c>
      <c r="J1247" s="12">
        <v>0</v>
      </c>
      <c r="K1247" s="11" t="s">
        <v>53</v>
      </c>
      <c r="L1247" s="11" t="str">
        <f t="shared" si="80"/>
        <v>841620</v>
      </c>
      <c r="M1247" s="11" t="str">
        <f>IF(I1247&lt;&gt;"",DATA!E1246,"")</f>
        <v>BURNER</v>
      </c>
      <c r="N1247" s="12">
        <v>0</v>
      </c>
      <c r="O1247" s="11">
        <f>IF(I1247&lt;&gt;"",DATA!C1246,"")</f>
        <v>1</v>
      </c>
      <c r="P1247" s="2">
        <v>294094</v>
      </c>
      <c r="Q1247" s="2" t="s">
        <v>1304</v>
      </c>
      <c r="R1247" s="2" t="s">
        <v>1329</v>
      </c>
      <c r="S1247" s="2">
        <v>583</v>
      </c>
      <c r="T1247" s="2">
        <v>1</v>
      </c>
      <c r="U1247" s="2" t="s">
        <v>141</v>
      </c>
      <c r="Y1247" s="2">
        <v>1700</v>
      </c>
      <c r="Z1247" s="11" t="s">
        <v>54</v>
      </c>
      <c r="AA1247" s="11" t="str">
        <f t="shared" si="81"/>
        <v>1700 - TBN</v>
      </c>
      <c r="AC1247" s="2" t="s">
        <v>145</v>
      </c>
      <c r="AD1247" s="11" t="str">
        <f>IF($I1247&lt;&gt;"",VLOOKUP($AC1247,GEADRESSEERDE!$A$2:$E$4,2,),"")</f>
        <v>LUITHAGEN HAVEN 2 D</v>
      </c>
      <c r="AE1247" s="11">
        <f>IF($I1247&lt;&gt;"",VLOOKUP($AC1247,GEADRESSEERDE!$A$2:$E$4,3,),"")</f>
        <v>2030</v>
      </c>
      <c r="AF1247" s="11" t="str">
        <f>IF($I1247&lt;&gt;"",VLOOKUP($AC1247,GEADRESSEERDE!$A$2:$E$4,4,),"")</f>
        <v>ANTWERPEN</v>
      </c>
      <c r="AG1247" s="11" t="str">
        <f>IF($I1247&lt;&gt;"",VLOOKUP($AC1247,GEADRESSEERDE!$A$2:$E$4,5,),"")</f>
        <v>BE</v>
      </c>
      <c r="AH1247" s="11" t="str">
        <f>IF(I1247&lt;&gt;"",VLOOKUP(AP1247,KvB!$A$2:$B$3,2,FALSE),"")</f>
        <v>BE101000</v>
      </c>
      <c r="AI1247" s="11" t="s">
        <v>55</v>
      </c>
      <c r="AJ1247" s="11"/>
      <c r="AK1247" s="11"/>
      <c r="AL1247" s="11"/>
      <c r="AM1247" s="11"/>
      <c r="AN1247" s="11"/>
      <c r="AO1247" s="11"/>
      <c r="AP1247" s="2" t="s">
        <v>70</v>
      </c>
      <c r="AQ1247" s="11" t="str">
        <f>IF(I1247&lt;&gt;"",DATA!D1246,"")</f>
        <v>8416201000</v>
      </c>
    </row>
    <row r="1248" spans="1:43" ht="15.75" x14ac:dyDescent="0.25">
      <c r="A1248" s="11" t="s">
        <v>57</v>
      </c>
      <c r="B1248" s="11" t="s">
        <v>56</v>
      </c>
      <c r="C1248" s="22">
        <f t="shared" si="82"/>
        <v>25001620</v>
      </c>
      <c r="D1248" s="11" t="str">
        <f t="shared" si="79"/>
        <v>SKIIFM_AT</v>
      </c>
      <c r="E1248" s="11" t="str">
        <f>IF(I1248&lt;&gt;"",VLOOKUP(F1248,OPDRACHTGEVER!$A$2:$B$4,2,FALSE),"")</f>
        <v>SKIIFM_AT</v>
      </c>
      <c r="F1248" s="11" t="s">
        <v>58</v>
      </c>
      <c r="I1248" s="11" t="str">
        <f>IF(DATA!B1247&lt;&gt;"",DATA!B1247,"")</f>
        <v>MEDU9355200</v>
      </c>
      <c r="J1248" s="12">
        <v>0</v>
      </c>
      <c r="K1248" s="11" t="s">
        <v>53</v>
      </c>
      <c r="L1248" s="11" t="str">
        <f t="shared" si="80"/>
        <v>847290</v>
      </c>
      <c r="M1248" s="11" t="str">
        <f>IF(I1248&lt;&gt;"",DATA!E1247,"")</f>
        <v>COIN COUNTER SORTER</v>
      </c>
      <c r="N1248" s="12">
        <v>0</v>
      </c>
      <c r="O1248" s="11">
        <f>IF(I1248&lt;&gt;"",DATA!C1247,"")</f>
        <v>243.8</v>
      </c>
      <c r="P1248" s="2">
        <v>294094</v>
      </c>
      <c r="Q1248" s="2" t="s">
        <v>1304</v>
      </c>
      <c r="R1248" s="2" t="s">
        <v>1329</v>
      </c>
      <c r="S1248" s="2">
        <v>583</v>
      </c>
      <c r="T1248" s="2">
        <v>1</v>
      </c>
      <c r="U1248" s="2" t="s">
        <v>141</v>
      </c>
      <c r="Y1248" s="2">
        <v>1700</v>
      </c>
      <c r="Z1248" s="11" t="s">
        <v>54</v>
      </c>
      <c r="AA1248" s="11" t="str">
        <f t="shared" si="81"/>
        <v>1700 - TBN</v>
      </c>
      <c r="AC1248" s="2" t="s">
        <v>145</v>
      </c>
      <c r="AD1248" s="11" t="str">
        <f>IF($I1248&lt;&gt;"",VLOOKUP($AC1248,GEADRESSEERDE!$A$2:$E$4,2,),"")</f>
        <v>LUITHAGEN HAVEN 2 D</v>
      </c>
      <c r="AE1248" s="11">
        <f>IF($I1248&lt;&gt;"",VLOOKUP($AC1248,GEADRESSEERDE!$A$2:$E$4,3,),"")</f>
        <v>2030</v>
      </c>
      <c r="AF1248" s="11" t="str">
        <f>IF($I1248&lt;&gt;"",VLOOKUP($AC1248,GEADRESSEERDE!$A$2:$E$4,4,),"")</f>
        <v>ANTWERPEN</v>
      </c>
      <c r="AG1248" s="11" t="str">
        <f>IF($I1248&lt;&gt;"",VLOOKUP($AC1248,GEADRESSEERDE!$A$2:$E$4,5,),"")</f>
        <v>BE</v>
      </c>
      <c r="AH1248" s="11" t="str">
        <f>IF(I1248&lt;&gt;"",VLOOKUP(AP1248,KvB!$A$2:$B$3,2,FALSE),"")</f>
        <v>BE101000</v>
      </c>
      <c r="AI1248" s="11" t="s">
        <v>55</v>
      </c>
      <c r="AJ1248" s="11"/>
      <c r="AK1248" s="11"/>
      <c r="AL1248" s="11"/>
      <c r="AM1248" s="11"/>
      <c r="AN1248" s="11"/>
      <c r="AO1248" s="11"/>
      <c r="AP1248" s="2" t="s">
        <v>70</v>
      </c>
      <c r="AQ1248" s="11" t="str">
        <f>IF(I1248&lt;&gt;"",DATA!D1247,"")</f>
        <v>8472908000</v>
      </c>
    </row>
    <row r="1249" spans="1:43" ht="15.75" x14ac:dyDescent="0.25">
      <c r="A1249" s="11" t="s">
        <v>57</v>
      </c>
      <c r="B1249" s="11" t="s">
        <v>56</v>
      </c>
      <c r="C1249" s="22">
        <f t="shared" si="82"/>
        <v>25001620</v>
      </c>
      <c r="D1249" s="11" t="str">
        <f t="shared" si="79"/>
        <v>SKIIFM_AT</v>
      </c>
      <c r="E1249" s="11" t="str">
        <f>IF(I1249&lt;&gt;"",VLOOKUP(F1249,OPDRACHTGEVER!$A$2:$B$4,2,FALSE),"")</f>
        <v>SKIIFM_AT</v>
      </c>
      <c r="F1249" s="11" t="s">
        <v>58</v>
      </c>
      <c r="I1249" s="11" t="str">
        <f>IF(DATA!B1248&lt;&gt;"",DATA!B1248,"")</f>
        <v>MEDU9355200</v>
      </c>
      <c r="J1249" s="12">
        <v>0</v>
      </c>
      <c r="K1249" s="11" t="s">
        <v>53</v>
      </c>
      <c r="L1249" s="11" t="str">
        <f t="shared" si="80"/>
        <v>843880</v>
      </c>
      <c r="M1249" s="11" t="str">
        <f>IF(I1249&lt;&gt;"",DATA!E1248,"")</f>
        <v>COTTON CANDY MACHINE</v>
      </c>
      <c r="N1249" s="12">
        <v>0</v>
      </c>
      <c r="O1249" s="11">
        <f>IF(I1249&lt;&gt;"",DATA!C1248,"")</f>
        <v>434</v>
      </c>
      <c r="P1249" s="2">
        <v>294094</v>
      </c>
      <c r="Q1249" s="2" t="s">
        <v>1304</v>
      </c>
      <c r="R1249" s="2" t="s">
        <v>1329</v>
      </c>
      <c r="S1249" s="2">
        <v>583</v>
      </c>
      <c r="T1249" s="2">
        <v>1</v>
      </c>
      <c r="U1249" s="2" t="s">
        <v>141</v>
      </c>
      <c r="Y1249" s="2">
        <v>1700</v>
      </c>
      <c r="Z1249" s="11" t="s">
        <v>54</v>
      </c>
      <c r="AA1249" s="11" t="str">
        <f t="shared" si="81"/>
        <v>1700 - TBN</v>
      </c>
      <c r="AC1249" s="2" t="s">
        <v>145</v>
      </c>
      <c r="AD1249" s="11" t="str">
        <f>IF($I1249&lt;&gt;"",VLOOKUP($AC1249,GEADRESSEERDE!$A$2:$E$4,2,),"")</f>
        <v>LUITHAGEN HAVEN 2 D</v>
      </c>
      <c r="AE1249" s="11">
        <f>IF($I1249&lt;&gt;"",VLOOKUP($AC1249,GEADRESSEERDE!$A$2:$E$4,3,),"")</f>
        <v>2030</v>
      </c>
      <c r="AF1249" s="11" t="str">
        <f>IF($I1249&lt;&gt;"",VLOOKUP($AC1249,GEADRESSEERDE!$A$2:$E$4,4,),"")</f>
        <v>ANTWERPEN</v>
      </c>
      <c r="AG1249" s="11" t="str">
        <f>IF($I1249&lt;&gt;"",VLOOKUP($AC1249,GEADRESSEERDE!$A$2:$E$4,5,),"")</f>
        <v>BE</v>
      </c>
      <c r="AH1249" s="11" t="str">
        <f>IF(I1249&lt;&gt;"",VLOOKUP(AP1249,KvB!$A$2:$B$3,2,FALSE),"")</f>
        <v>BE101000</v>
      </c>
      <c r="AI1249" s="11" t="s">
        <v>55</v>
      </c>
      <c r="AJ1249" s="11"/>
      <c r="AK1249" s="11"/>
      <c r="AL1249" s="11"/>
      <c r="AM1249" s="11"/>
      <c r="AN1249" s="11"/>
      <c r="AO1249" s="11"/>
      <c r="AP1249" s="2" t="s">
        <v>70</v>
      </c>
      <c r="AQ1249" s="11" t="str">
        <f>IF(I1249&lt;&gt;"",DATA!D1248,"")</f>
        <v>8438809900</v>
      </c>
    </row>
    <row r="1250" spans="1:43" ht="15.75" x14ac:dyDescent="0.25">
      <c r="A1250" s="11" t="s">
        <v>57</v>
      </c>
      <c r="B1250" s="11" t="s">
        <v>56</v>
      </c>
      <c r="C1250" s="22">
        <f t="shared" si="82"/>
        <v>25001620</v>
      </c>
      <c r="D1250" s="11" t="str">
        <f t="shared" si="79"/>
        <v>SKIIFM_AT</v>
      </c>
      <c r="E1250" s="11" t="str">
        <f>IF(I1250&lt;&gt;"",VLOOKUP(F1250,OPDRACHTGEVER!$A$2:$B$4,2,FALSE),"")</f>
        <v>SKIIFM_AT</v>
      </c>
      <c r="F1250" s="11" t="s">
        <v>58</v>
      </c>
      <c r="I1250" s="11" t="str">
        <f>IF(DATA!B1249&lt;&gt;"",DATA!B1249,"")</f>
        <v>MEDU9355200</v>
      </c>
      <c r="J1250" s="12">
        <v>0</v>
      </c>
      <c r="K1250" s="11" t="s">
        <v>53</v>
      </c>
      <c r="L1250" s="11" t="str">
        <f t="shared" si="80"/>
        <v>830241</v>
      </c>
      <c r="M1250" s="11" t="str">
        <f>IF(I1250&lt;&gt;"",DATA!E1249,"")</f>
        <v>CURTAIN TRACK</v>
      </c>
      <c r="N1250" s="12">
        <v>0</v>
      </c>
      <c r="O1250" s="11">
        <f>IF(I1250&lt;&gt;"",DATA!C1249,"")</f>
        <v>0.6</v>
      </c>
      <c r="P1250" s="2">
        <v>294094</v>
      </c>
      <c r="Q1250" s="2" t="s">
        <v>1304</v>
      </c>
      <c r="R1250" s="2" t="s">
        <v>1329</v>
      </c>
      <c r="S1250" s="2">
        <v>583</v>
      </c>
      <c r="T1250" s="2">
        <v>1</v>
      </c>
      <c r="U1250" s="2" t="s">
        <v>141</v>
      </c>
      <c r="Y1250" s="2">
        <v>1700</v>
      </c>
      <c r="Z1250" s="11" t="s">
        <v>54</v>
      </c>
      <c r="AA1250" s="11" t="str">
        <f t="shared" si="81"/>
        <v>1700 - TBN</v>
      </c>
      <c r="AC1250" s="2" t="s">
        <v>145</v>
      </c>
      <c r="AD1250" s="11" t="str">
        <f>IF($I1250&lt;&gt;"",VLOOKUP($AC1250,GEADRESSEERDE!$A$2:$E$4,2,),"")</f>
        <v>LUITHAGEN HAVEN 2 D</v>
      </c>
      <c r="AE1250" s="11">
        <f>IF($I1250&lt;&gt;"",VLOOKUP($AC1250,GEADRESSEERDE!$A$2:$E$4,3,),"")</f>
        <v>2030</v>
      </c>
      <c r="AF1250" s="11" t="str">
        <f>IF($I1250&lt;&gt;"",VLOOKUP($AC1250,GEADRESSEERDE!$A$2:$E$4,4,),"")</f>
        <v>ANTWERPEN</v>
      </c>
      <c r="AG1250" s="11" t="str">
        <f>IF($I1250&lt;&gt;"",VLOOKUP($AC1250,GEADRESSEERDE!$A$2:$E$4,5,),"")</f>
        <v>BE</v>
      </c>
      <c r="AH1250" s="11" t="str">
        <f>IF(I1250&lt;&gt;"",VLOOKUP(AP1250,KvB!$A$2:$B$3,2,FALSE),"")</f>
        <v>BE101000</v>
      </c>
      <c r="AI1250" s="11" t="s">
        <v>55</v>
      </c>
      <c r="AJ1250" s="11"/>
      <c r="AK1250" s="11"/>
      <c r="AL1250" s="11"/>
      <c r="AM1250" s="11"/>
      <c r="AN1250" s="11"/>
      <c r="AO1250" s="11"/>
      <c r="AP1250" s="2" t="s">
        <v>70</v>
      </c>
      <c r="AQ1250" s="11" t="str">
        <f>IF(I1250&lt;&gt;"",DATA!D1249,"")</f>
        <v>8302419000</v>
      </c>
    </row>
    <row r="1251" spans="1:43" ht="15.75" x14ac:dyDescent="0.25">
      <c r="A1251" s="11" t="s">
        <v>57</v>
      </c>
      <c r="B1251" s="11" t="s">
        <v>56</v>
      </c>
      <c r="C1251" s="22">
        <f t="shared" si="82"/>
        <v>25001620</v>
      </c>
      <c r="D1251" s="11" t="str">
        <f t="shared" si="79"/>
        <v>SKIIFM_AT</v>
      </c>
      <c r="E1251" s="11" t="str">
        <f>IF(I1251&lt;&gt;"",VLOOKUP(F1251,OPDRACHTGEVER!$A$2:$B$4,2,FALSE),"")</f>
        <v>SKIIFM_AT</v>
      </c>
      <c r="F1251" s="11" t="s">
        <v>58</v>
      </c>
      <c r="I1251" s="11" t="str">
        <f>IF(DATA!B1250&lt;&gt;"",DATA!B1250,"")</f>
        <v>MEDU9355200</v>
      </c>
      <c r="J1251" s="12">
        <v>0</v>
      </c>
      <c r="K1251" s="11" t="s">
        <v>53</v>
      </c>
      <c r="L1251" s="11" t="str">
        <f t="shared" si="80"/>
        <v>830140</v>
      </c>
      <c r="M1251" s="11" t="str">
        <f>IF(I1251&lt;&gt;"",DATA!E1250,"")</f>
        <v>DIGITAL DOOR LOCK</v>
      </c>
      <c r="N1251" s="12">
        <v>0</v>
      </c>
      <c r="O1251" s="11">
        <f>IF(I1251&lt;&gt;"",DATA!C1250,"")</f>
        <v>4.2</v>
      </c>
      <c r="P1251" s="2">
        <v>294094</v>
      </c>
      <c r="Q1251" s="2" t="s">
        <v>1304</v>
      </c>
      <c r="R1251" s="2" t="s">
        <v>1329</v>
      </c>
      <c r="S1251" s="2">
        <v>583</v>
      </c>
      <c r="T1251" s="2">
        <v>1</v>
      </c>
      <c r="U1251" s="2" t="s">
        <v>141</v>
      </c>
      <c r="Y1251" s="2">
        <v>1700</v>
      </c>
      <c r="Z1251" s="11" t="s">
        <v>54</v>
      </c>
      <c r="AA1251" s="11" t="str">
        <f t="shared" si="81"/>
        <v>1700 - TBN</v>
      </c>
      <c r="AC1251" s="2" t="s">
        <v>145</v>
      </c>
      <c r="AD1251" s="11" t="str">
        <f>IF($I1251&lt;&gt;"",VLOOKUP($AC1251,GEADRESSEERDE!$A$2:$E$4,2,),"")</f>
        <v>LUITHAGEN HAVEN 2 D</v>
      </c>
      <c r="AE1251" s="11">
        <f>IF($I1251&lt;&gt;"",VLOOKUP($AC1251,GEADRESSEERDE!$A$2:$E$4,3,),"")</f>
        <v>2030</v>
      </c>
      <c r="AF1251" s="11" t="str">
        <f>IF($I1251&lt;&gt;"",VLOOKUP($AC1251,GEADRESSEERDE!$A$2:$E$4,4,),"")</f>
        <v>ANTWERPEN</v>
      </c>
      <c r="AG1251" s="11" t="str">
        <f>IF($I1251&lt;&gt;"",VLOOKUP($AC1251,GEADRESSEERDE!$A$2:$E$4,5,),"")</f>
        <v>BE</v>
      </c>
      <c r="AH1251" s="11" t="str">
        <f>IF(I1251&lt;&gt;"",VLOOKUP(AP1251,KvB!$A$2:$B$3,2,FALSE),"")</f>
        <v>BE101000</v>
      </c>
      <c r="AI1251" s="11" t="s">
        <v>55</v>
      </c>
      <c r="AJ1251" s="11"/>
      <c r="AK1251" s="11"/>
      <c r="AL1251" s="11"/>
      <c r="AM1251" s="11"/>
      <c r="AN1251" s="11"/>
      <c r="AO1251" s="11"/>
      <c r="AP1251" s="2" t="s">
        <v>70</v>
      </c>
      <c r="AQ1251" s="11" t="str">
        <f>IF(I1251&lt;&gt;"",DATA!D1250,"")</f>
        <v>8301401900</v>
      </c>
    </row>
    <row r="1252" spans="1:43" ht="15.75" x14ac:dyDescent="0.25">
      <c r="A1252" s="11" t="s">
        <v>57</v>
      </c>
      <c r="B1252" s="11" t="s">
        <v>56</v>
      </c>
      <c r="C1252" s="22">
        <f t="shared" si="82"/>
        <v>25001620</v>
      </c>
      <c r="D1252" s="11" t="str">
        <f t="shared" si="79"/>
        <v>SKIIFM_AT</v>
      </c>
      <c r="E1252" s="11" t="str">
        <f>IF(I1252&lt;&gt;"",VLOOKUP(F1252,OPDRACHTGEVER!$A$2:$B$4,2,FALSE),"")</f>
        <v>SKIIFM_AT</v>
      </c>
      <c r="F1252" s="11" t="s">
        <v>58</v>
      </c>
      <c r="I1252" s="11" t="str">
        <f>IF(DATA!B1251&lt;&gt;"",DATA!B1251,"")</f>
        <v>MEDU9355200</v>
      </c>
      <c r="J1252" s="12">
        <v>0</v>
      </c>
      <c r="K1252" s="11" t="s">
        <v>53</v>
      </c>
      <c r="L1252" s="11" t="str">
        <f t="shared" si="80"/>
        <v>741920</v>
      </c>
      <c r="M1252" s="11" t="str">
        <f>IF(I1252&lt;&gt;"",DATA!E1251,"")</f>
        <v>DINING STOVE</v>
      </c>
      <c r="N1252" s="12">
        <v>0</v>
      </c>
      <c r="O1252" s="11">
        <f>IF(I1252&lt;&gt;"",DATA!C1251,"")</f>
        <v>2096.86</v>
      </c>
      <c r="P1252" s="2">
        <v>294094</v>
      </c>
      <c r="Q1252" s="2" t="s">
        <v>1304</v>
      </c>
      <c r="R1252" s="2" t="s">
        <v>1329</v>
      </c>
      <c r="S1252" s="2">
        <v>583</v>
      </c>
      <c r="T1252" s="2">
        <v>1</v>
      </c>
      <c r="U1252" s="2" t="s">
        <v>141</v>
      </c>
      <c r="Y1252" s="2">
        <v>1700</v>
      </c>
      <c r="Z1252" s="11" t="s">
        <v>54</v>
      </c>
      <c r="AA1252" s="11" t="str">
        <f t="shared" si="81"/>
        <v>1700 - TBN</v>
      </c>
      <c r="AC1252" s="2" t="s">
        <v>145</v>
      </c>
      <c r="AD1252" s="11" t="str">
        <f>IF($I1252&lt;&gt;"",VLOOKUP($AC1252,GEADRESSEERDE!$A$2:$E$4,2,),"")</f>
        <v>LUITHAGEN HAVEN 2 D</v>
      </c>
      <c r="AE1252" s="11">
        <f>IF($I1252&lt;&gt;"",VLOOKUP($AC1252,GEADRESSEERDE!$A$2:$E$4,3,),"")</f>
        <v>2030</v>
      </c>
      <c r="AF1252" s="11" t="str">
        <f>IF($I1252&lt;&gt;"",VLOOKUP($AC1252,GEADRESSEERDE!$A$2:$E$4,4,),"")</f>
        <v>ANTWERPEN</v>
      </c>
      <c r="AG1252" s="11" t="str">
        <f>IF($I1252&lt;&gt;"",VLOOKUP($AC1252,GEADRESSEERDE!$A$2:$E$4,5,),"")</f>
        <v>BE</v>
      </c>
      <c r="AH1252" s="11" t="str">
        <f>IF(I1252&lt;&gt;"",VLOOKUP(AP1252,KvB!$A$2:$B$3,2,FALSE),"")</f>
        <v>BE101000</v>
      </c>
      <c r="AI1252" s="11" t="s">
        <v>55</v>
      </c>
      <c r="AJ1252" s="11"/>
      <c r="AK1252" s="11"/>
      <c r="AL1252" s="11"/>
      <c r="AM1252" s="11"/>
      <c r="AN1252" s="11"/>
      <c r="AO1252" s="11"/>
      <c r="AP1252" s="2" t="s">
        <v>70</v>
      </c>
      <c r="AQ1252" s="11" t="str">
        <f>IF(I1252&lt;&gt;"",DATA!D1251,"")</f>
        <v>7419200090</v>
      </c>
    </row>
    <row r="1253" spans="1:43" ht="15.75" x14ac:dyDescent="0.25">
      <c r="A1253" s="11" t="s">
        <v>57</v>
      </c>
      <c r="B1253" s="11" t="s">
        <v>56</v>
      </c>
      <c r="C1253" s="22">
        <f t="shared" si="82"/>
        <v>25001620</v>
      </c>
      <c r="D1253" s="11" t="str">
        <f t="shared" si="79"/>
        <v>SKIIFM_AT</v>
      </c>
      <c r="E1253" s="11" t="str">
        <f>IF(I1253&lt;&gt;"",VLOOKUP(F1253,OPDRACHTGEVER!$A$2:$B$4,2,FALSE),"")</f>
        <v>SKIIFM_AT</v>
      </c>
      <c r="F1253" s="11" t="s">
        <v>58</v>
      </c>
      <c r="I1253" s="11" t="str">
        <f>IF(DATA!B1252&lt;&gt;"",DATA!B1252,"")</f>
        <v>MEDU9355200</v>
      </c>
      <c r="J1253" s="12">
        <v>0</v>
      </c>
      <c r="K1253" s="11" t="s">
        <v>53</v>
      </c>
      <c r="L1253" s="11" t="str">
        <f t="shared" si="80"/>
        <v>830242</v>
      </c>
      <c r="M1253" s="11" t="str">
        <f>IF(I1253&lt;&gt;"",DATA!E1252,"")</f>
        <v>DRAWER SLIDE</v>
      </c>
      <c r="N1253" s="12">
        <v>0</v>
      </c>
      <c r="O1253" s="11">
        <f>IF(I1253&lt;&gt;"",DATA!C1252,"")</f>
        <v>9.9</v>
      </c>
      <c r="P1253" s="2">
        <v>294094</v>
      </c>
      <c r="Q1253" s="2" t="s">
        <v>1304</v>
      </c>
      <c r="R1253" s="2" t="s">
        <v>1329</v>
      </c>
      <c r="S1253" s="2">
        <v>583</v>
      </c>
      <c r="T1253" s="2">
        <v>1</v>
      </c>
      <c r="U1253" s="2" t="s">
        <v>141</v>
      </c>
      <c r="Y1253" s="2">
        <v>1700</v>
      </c>
      <c r="Z1253" s="11" t="s">
        <v>54</v>
      </c>
      <c r="AA1253" s="11" t="str">
        <f t="shared" si="81"/>
        <v>1700 - TBN</v>
      </c>
      <c r="AC1253" s="2" t="s">
        <v>145</v>
      </c>
      <c r="AD1253" s="11" t="str">
        <f>IF($I1253&lt;&gt;"",VLOOKUP($AC1253,GEADRESSEERDE!$A$2:$E$4,2,),"")</f>
        <v>LUITHAGEN HAVEN 2 D</v>
      </c>
      <c r="AE1253" s="11">
        <f>IF($I1253&lt;&gt;"",VLOOKUP($AC1253,GEADRESSEERDE!$A$2:$E$4,3,),"")</f>
        <v>2030</v>
      </c>
      <c r="AF1253" s="11" t="str">
        <f>IF($I1253&lt;&gt;"",VLOOKUP($AC1253,GEADRESSEERDE!$A$2:$E$4,4,),"")</f>
        <v>ANTWERPEN</v>
      </c>
      <c r="AG1253" s="11" t="str">
        <f>IF($I1253&lt;&gt;"",VLOOKUP($AC1253,GEADRESSEERDE!$A$2:$E$4,5,),"")</f>
        <v>BE</v>
      </c>
      <c r="AH1253" s="11" t="str">
        <f>IF(I1253&lt;&gt;"",VLOOKUP(AP1253,KvB!$A$2:$B$3,2,FALSE),"")</f>
        <v>BE101000</v>
      </c>
      <c r="AI1253" s="11" t="s">
        <v>55</v>
      </c>
      <c r="AJ1253" s="11"/>
      <c r="AK1253" s="11"/>
      <c r="AL1253" s="11"/>
      <c r="AM1253" s="11"/>
      <c r="AN1253" s="11"/>
      <c r="AO1253" s="11"/>
      <c r="AP1253" s="2" t="s">
        <v>70</v>
      </c>
      <c r="AQ1253" s="11" t="str">
        <f>IF(I1253&lt;&gt;"",DATA!D1252,"")</f>
        <v>8302420090</v>
      </c>
    </row>
    <row r="1254" spans="1:43" ht="15.75" x14ac:dyDescent="0.25">
      <c r="A1254" s="11" t="s">
        <v>57</v>
      </c>
      <c r="B1254" s="11" t="s">
        <v>56</v>
      </c>
      <c r="C1254" s="22">
        <f t="shared" si="82"/>
        <v>25001620</v>
      </c>
      <c r="D1254" s="11" t="str">
        <f t="shared" si="79"/>
        <v>SKIIFM_AT</v>
      </c>
      <c r="E1254" s="11" t="str">
        <f>IF(I1254&lt;&gt;"",VLOOKUP(F1254,OPDRACHTGEVER!$A$2:$B$4,2,FALSE),"")</f>
        <v>SKIIFM_AT</v>
      </c>
      <c r="F1254" s="11" t="s">
        <v>58</v>
      </c>
      <c r="I1254" s="11" t="str">
        <f>IF(DATA!B1253&lt;&gt;"",DATA!B1253,"")</f>
        <v>MEDU9355200</v>
      </c>
      <c r="J1254" s="12">
        <v>0</v>
      </c>
      <c r="K1254" s="11" t="s">
        <v>53</v>
      </c>
      <c r="L1254" s="11" t="str">
        <f t="shared" si="80"/>
        <v>851660</v>
      </c>
      <c r="M1254" s="11" t="str">
        <f>IF(I1254&lt;&gt;"",DATA!E1253,"")</f>
        <v>ELECTRIC GRIDDLE STOVE</v>
      </c>
      <c r="N1254" s="12">
        <v>0</v>
      </c>
      <c r="O1254" s="11">
        <f>IF(I1254&lt;&gt;"",DATA!C1253,"")</f>
        <v>647.70000000000005</v>
      </c>
      <c r="P1254" s="2">
        <v>294094</v>
      </c>
      <c r="Q1254" s="2" t="s">
        <v>1304</v>
      </c>
      <c r="R1254" s="2" t="s">
        <v>1329</v>
      </c>
      <c r="S1254" s="2">
        <v>583</v>
      </c>
      <c r="T1254" s="2">
        <v>1</v>
      </c>
      <c r="U1254" s="2" t="s">
        <v>141</v>
      </c>
      <c r="Y1254" s="2">
        <v>1700</v>
      </c>
      <c r="Z1254" s="11" t="s">
        <v>54</v>
      </c>
      <c r="AA1254" s="11" t="str">
        <f t="shared" si="81"/>
        <v>1700 - TBN</v>
      </c>
      <c r="AC1254" s="2" t="s">
        <v>145</v>
      </c>
      <c r="AD1254" s="11" t="str">
        <f>IF($I1254&lt;&gt;"",VLOOKUP($AC1254,GEADRESSEERDE!$A$2:$E$4,2,),"")</f>
        <v>LUITHAGEN HAVEN 2 D</v>
      </c>
      <c r="AE1254" s="11">
        <f>IF($I1254&lt;&gt;"",VLOOKUP($AC1254,GEADRESSEERDE!$A$2:$E$4,3,),"")</f>
        <v>2030</v>
      </c>
      <c r="AF1254" s="11" t="str">
        <f>IF($I1254&lt;&gt;"",VLOOKUP($AC1254,GEADRESSEERDE!$A$2:$E$4,4,),"")</f>
        <v>ANTWERPEN</v>
      </c>
      <c r="AG1254" s="11" t="str">
        <f>IF($I1254&lt;&gt;"",VLOOKUP($AC1254,GEADRESSEERDE!$A$2:$E$4,5,),"")</f>
        <v>BE</v>
      </c>
      <c r="AH1254" s="11" t="str">
        <f>IF(I1254&lt;&gt;"",VLOOKUP(AP1254,KvB!$A$2:$B$3,2,FALSE),"")</f>
        <v>BE101000</v>
      </c>
      <c r="AI1254" s="11" t="s">
        <v>55</v>
      </c>
      <c r="AJ1254" s="11"/>
      <c r="AK1254" s="11"/>
      <c r="AL1254" s="11"/>
      <c r="AM1254" s="11"/>
      <c r="AN1254" s="11"/>
      <c r="AO1254" s="11"/>
      <c r="AP1254" s="2" t="s">
        <v>70</v>
      </c>
      <c r="AQ1254" s="11" t="str">
        <f>IF(I1254&lt;&gt;"",DATA!D1253,"")</f>
        <v>8516609000</v>
      </c>
    </row>
    <row r="1255" spans="1:43" ht="15.75" x14ac:dyDescent="0.25">
      <c r="A1255" s="11" t="s">
        <v>57</v>
      </c>
      <c r="B1255" s="11" t="s">
        <v>56</v>
      </c>
      <c r="C1255" s="22">
        <f t="shared" si="82"/>
        <v>25001620</v>
      </c>
      <c r="D1255" s="11" t="str">
        <f t="shared" si="79"/>
        <v>SKIIFM_AT</v>
      </c>
      <c r="E1255" s="11" t="str">
        <f>IF(I1255&lt;&gt;"",VLOOKUP(F1255,OPDRACHTGEVER!$A$2:$B$4,2,FALSE),"")</f>
        <v>SKIIFM_AT</v>
      </c>
      <c r="F1255" s="11" t="s">
        <v>58</v>
      </c>
      <c r="I1255" s="11" t="str">
        <f>IF(DATA!B1254&lt;&gt;"",DATA!B1254,"")</f>
        <v>MEDU9355200</v>
      </c>
      <c r="J1255" s="12">
        <v>0</v>
      </c>
      <c r="K1255" s="11" t="s">
        <v>53</v>
      </c>
      <c r="L1255" s="11" t="str">
        <f t="shared" si="80"/>
        <v>392490</v>
      </c>
      <c r="M1255" s="11" t="str">
        <f>IF(I1255&lt;&gt;"",DATA!E1254,"")</f>
        <v>ENCLOSED CAT LITTER BOX</v>
      </c>
      <c r="N1255" s="12">
        <v>0</v>
      </c>
      <c r="O1255" s="11">
        <f>IF(I1255&lt;&gt;"",DATA!C1254,"")</f>
        <v>121.8</v>
      </c>
      <c r="P1255" s="2">
        <v>294094</v>
      </c>
      <c r="Q1255" s="2" t="s">
        <v>1304</v>
      </c>
      <c r="R1255" s="2" t="s">
        <v>1329</v>
      </c>
      <c r="S1255" s="2">
        <v>583</v>
      </c>
      <c r="T1255" s="2">
        <v>1</v>
      </c>
      <c r="U1255" s="2" t="s">
        <v>141</v>
      </c>
      <c r="Y1255" s="2">
        <v>1700</v>
      </c>
      <c r="Z1255" s="11" t="s">
        <v>54</v>
      </c>
      <c r="AA1255" s="11" t="str">
        <f t="shared" si="81"/>
        <v>1700 - TBN</v>
      </c>
      <c r="AC1255" s="2" t="s">
        <v>145</v>
      </c>
      <c r="AD1255" s="11" t="str">
        <f>IF($I1255&lt;&gt;"",VLOOKUP($AC1255,GEADRESSEERDE!$A$2:$E$4,2,),"")</f>
        <v>LUITHAGEN HAVEN 2 D</v>
      </c>
      <c r="AE1255" s="11">
        <f>IF($I1255&lt;&gt;"",VLOOKUP($AC1255,GEADRESSEERDE!$A$2:$E$4,3,),"")</f>
        <v>2030</v>
      </c>
      <c r="AF1255" s="11" t="str">
        <f>IF($I1255&lt;&gt;"",VLOOKUP($AC1255,GEADRESSEERDE!$A$2:$E$4,4,),"")</f>
        <v>ANTWERPEN</v>
      </c>
      <c r="AG1255" s="11" t="str">
        <f>IF($I1255&lt;&gt;"",VLOOKUP($AC1255,GEADRESSEERDE!$A$2:$E$4,5,),"")</f>
        <v>BE</v>
      </c>
      <c r="AH1255" s="11" t="str">
        <f>IF(I1255&lt;&gt;"",VLOOKUP(AP1255,KvB!$A$2:$B$3,2,FALSE),"")</f>
        <v>BE101000</v>
      </c>
      <c r="AI1255" s="11" t="s">
        <v>55</v>
      </c>
      <c r="AJ1255" s="11"/>
      <c r="AK1255" s="11"/>
      <c r="AL1255" s="11"/>
      <c r="AM1255" s="11"/>
      <c r="AN1255" s="11"/>
      <c r="AO1255" s="11"/>
      <c r="AP1255" s="2" t="s">
        <v>70</v>
      </c>
      <c r="AQ1255" s="11" t="str">
        <f>IF(I1255&lt;&gt;"",DATA!D1254,"")</f>
        <v>3924900090</v>
      </c>
    </row>
    <row r="1256" spans="1:43" ht="15.75" x14ac:dyDescent="0.25">
      <c r="A1256" s="11" t="s">
        <v>57</v>
      </c>
      <c r="B1256" s="11" t="s">
        <v>56</v>
      </c>
      <c r="C1256" s="22">
        <f t="shared" si="82"/>
        <v>25001620</v>
      </c>
      <c r="D1256" s="11" t="str">
        <f t="shared" si="79"/>
        <v>SKIIFM_AT</v>
      </c>
      <c r="E1256" s="11" t="str">
        <f>IF(I1256&lt;&gt;"",VLOOKUP(F1256,OPDRACHTGEVER!$A$2:$B$4,2,FALSE),"")</f>
        <v>SKIIFM_AT</v>
      </c>
      <c r="F1256" s="11" t="s">
        <v>58</v>
      </c>
      <c r="I1256" s="11" t="str">
        <f>IF(DATA!B1255&lt;&gt;"",DATA!B1255,"")</f>
        <v>MEDU9355200</v>
      </c>
      <c r="J1256" s="12">
        <v>0</v>
      </c>
      <c r="K1256" s="11" t="s">
        <v>53</v>
      </c>
      <c r="L1256" s="11" t="str">
        <f t="shared" si="80"/>
        <v>854442</v>
      </c>
      <c r="M1256" s="11" t="str">
        <f>IF(I1256&lt;&gt;"",DATA!E1255,"")</f>
        <v>EXTENSION CORD WITH PLUG</v>
      </c>
      <c r="N1256" s="12">
        <v>0</v>
      </c>
      <c r="O1256" s="11">
        <f>IF(I1256&lt;&gt;"",DATA!C1255,"")</f>
        <v>20.34</v>
      </c>
      <c r="P1256" s="2">
        <v>294094</v>
      </c>
      <c r="Q1256" s="2" t="s">
        <v>1304</v>
      </c>
      <c r="R1256" s="2" t="s">
        <v>1329</v>
      </c>
      <c r="S1256" s="2">
        <v>583</v>
      </c>
      <c r="T1256" s="2">
        <v>1</v>
      </c>
      <c r="U1256" s="2" t="s">
        <v>141</v>
      </c>
      <c r="Y1256" s="2">
        <v>1700</v>
      </c>
      <c r="Z1256" s="11" t="s">
        <v>54</v>
      </c>
      <c r="AA1256" s="11" t="str">
        <f t="shared" si="81"/>
        <v>1700 - TBN</v>
      </c>
      <c r="AC1256" s="2" t="s">
        <v>145</v>
      </c>
      <c r="AD1256" s="11" t="str">
        <f>IF($I1256&lt;&gt;"",VLOOKUP($AC1256,GEADRESSEERDE!$A$2:$E$4,2,),"")</f>
        <v>LUITHAGEN HAVEN 2 D</v>
      </c>
      <c r="AE1256" s="11">
        <f>IF($I1256&lt;&gt;"",VLOOKUP($AC1256,GEADRESSEERDE!$A$2:$E$4,3,),"")</f>
        <v>2030</v>
      </c>
      <c r="AF1256" s="11" t="str">
        <f>IF($I1256&lt;&gt;"",VLOOKUP($AC1256,GEADRESSEERDE!$A$2:$E$4,4,),"")</f>
        <v>ANTWERPEN</v>
      </c>
      <c r="AG1256" s="11" t="str">
        <f>IF($I1256&lt;&gt;"",VLOOKUP($AC1256,GEADRESSEERDE!$A$2:$E$4,5,),"")</f>
        <v>BE</v>
      </c>
      <c r="AH1256" s="11" t="str">
        <f>IF(I1256&lt;&gt;"",VLOOKUP(AP1256,KvB!$A$2:$B$3,2,FALSE),"")</f>
        <v>BE101000</v>
      </c>
      <c r="AI1256" s="11" t="s">
        <v>55</v>
      </c>
      <c r="AJ1256" s="11"/>
      <c r="AK1256" s="11"/>
      <c r="AL1256" s="11"/>
      <c r="AM1256" s="11"/>
      <c r="AN1256" s="11"/>
      <c r="AO1256" s="11"/>
      <c r="AP1256" s="2" t="s">
        <v>70</v>
      </c>
      <c r="AQ1256" s="11" t="str">
        <f>IF(I1256&lt;&gt;"",DATA!D1255,"")</f>
        <v>8544429090</v>
      </c>
    </row>
    <row r="1257" spans="1:43" ht="15.75" x14ac:dyDescent="0.25">
      <c r="A1257" s="11" t="s">
        <v>57</v>
      </c>
      <c r="B1257" s="11" t="s">
        <v>56</v>
      </c>
      <c r="C1257" s="22">
        <f t="shared" si="82"/>
        <v>25001620</v>
      </c>
      <c r="D1257" s="11" t="str">
        <f t="shared" si="79"/>
        <v>SKIIFM_AT</v>
      </c>
      <c r="E1257" s="11" t="str">
        <f>IF(I1257&lt;&gt;"",VLOOKUP(F1257,OPDRACHTGEVER!$A$2:$B$4,2,FALSE),"")</f>
        <v>SKIIFM_AT</v>
      </c>
      <c r="F1257" s="11" t="s">
        <v>58</v>
      </c>
      <c r="I1257" s="11" t="str">
        <f>IF(DATA!B1256&lt;&gt;"",DATA!B1256,"")</f>
        <v>MEDU9355200</v>
      </c>
      <c r="J1257" s="12">
        <v>0</v>
      </c>
      <c r="K1257" s="11" t="s">
        <v>53</v>
      </c>
      <c r="L1257" s="11" t="str">
        <f t="shared" si="80"/>
        <v>841451</v>
      </c>
      <c r="M1257" s="11" t="str">
        <f>IF(I1257&lt;&gt;"",DATA!E1256,"")</f>
        <v>FAN</v>
      </c>
      <c r="N1257" s="12">
        <v>0</v>
      </c>
      <c r="O1257" s="11">
        <f>IF(I1257&lt;&gt;"",DATA!C1256,"")</f>
        <v>339</v>
      </c>
      <c r="P1257" s="2">
        <v>294094</v>
      </c>
      <c r="Q1257" s="2" t="s">
        <v>1304</v>
      </c>
      <c r="R1257" s="2" t="s">
        <v>1329</v>
      </c>
      <c r="S1257" s="2">
        <v>583</v>
      </c>
      <c r="T1257" s="2">
        <v>1</v>
      </c>
      <c r="U1257" s="2" t="s">
        <v>141</v>
      </c>
      <c r="Y1257" s="2">
        <v>1700</v>
      </c>
      <c r="Z1257" s="11" t="s">
        <v>54</v>
      </c>
      <c r="AA1257" s="11" t="str">
        <f t="shared" si="81"/>
        <v>1700 - TBN</v>
      </c>
      <c r="AC1257" s="2" t="s">
        <v>145</v>
      </c>
      <c r="AD1257" s="11" t="str">
        <f>IF($I1257&lt;&gt;"",VLOOKUP($AC1257,GEADRESSEERDE!$A$2:$E$4,2,),"")</f>
        <v>LUITHAGEN HAVEN 2 D</v>
      </c>
      <c r="AE1257" s="11">
        <f>IF($I1257&lt;&gt;"",VLOOKUP($AC1257,GEADRESSEERDE!$A$2:$E$4,3,),"")</f>
        <v>2030</v>
      </c>
      <c r="AF1257" s="11" t="str">
        <f>IF($I1257&lt;&gt;"",VLOOKUP($AC1257,GEADRESSEERDE!$A$2:$E$4,4,),"")</f>
        <v>ANTWERPEN</v>
      </c>
      <c r="AG1257" s="11" t="str">
        <f>IF($I1257&lt;&gt;"",VLOOKUP($AC1257,GEADRESSEERDE!$A$2:$E$4,5,),"")</f>
        <v>BE</v>
      </c>
      <c r="AH1257" s="11" t="str">
        <f>IF(I1257&lt;&gt;"",VLOOKUP(AP1257,KvB!$A$2:$B$3,2,FALSE),"")</f>
        <v>BE101000</v>
      </c>
      <c r="AI1257" s="11" t="s">
        <v>55</v>
      </c>
      <c r="AJ1257" s="11"/>
      <c r="AK1257" s="11"/>
      <c r="AL1257" s="11"/>
      <c r="AM1257" s="11"/>
      <c r="AN1257" s="11"/>
      <c r="AO1257" s="11"/>
      <c r="AP1257" s="2" t="s">
        <v>70</v>
      </c>
      <c r="AQ1257" s="11" t="str">
        <f>IF(I1257&lt;&gt;"",DATA!D1256,"")</f>
        <v>8414510090</v>
      </c>
    </row>
    <row r="1258" spans="1:43" ht="15.75" x14ac:dyDescent="0.25">
      <c r="A1258" s="11" t="s">
        <v>57</v>
      </c>
      <c r="B1258" s="11" t="s">
        <v>56</v>
      </c>
      <c r="C1258" s="22">
        <f t="shared" si="82"/>
        <v>25001620</v>
      </c>
      <c r="D1258" s="11" t="str">
        <f t="shared" si="79"/>
        <v>SKIIFM_AT</v>
      </c>
      <c r="E1258" s="11" t="str">
        <f>IF(I1258&lt;&gt;"",VLOOKUP(F1258,OPDRACHTGEVER!$A$2:$B$4,2,FALSE),"")</f>
        <v>SKIIFM_AT</v>
      </c>
      <c r="F1258" s="11" t="s">
        <v>58</v>
      </c>
      <c r="I1258" s="11" t="str">
        <f>IF(DATA!B1257&lt;&gt;"",DATA!B1257,"")</f>
        <v>MEDU9355200</v>
      </c>
      <c r="J1258" s="12">
        <v>0</v>
      </c>
      <c r="K1258" s="11" t="s">
        <v>53</v>
      </c>
      <c r="L1258" s="11" t="str">
        <f t="shared" si="80"/>
        <v>853180</v>
      </c>
      <c r="M1258" s="11" t="str">
        <f>IF(I1258&lt;&gt;"",DATA!E1257,"")</f>
        <v>FLOOR MATS</v>
      </c>
      <c r="N1258" s="12">
        <v>0</v>
      </c>
      <c r="O1258" s="11">
        <f>IF(I1258&lt;&gt;"",DATA!C1257,"")</f>
        <v>0.7</v>
      </c>
      <c r="P1258" s="2">
        <v>294094</v>
      </c>
      <c r="Q1258" s="2" t="s">
        <v>1304</v>
      </c>
      <c r="R1258" s="2" t="s">
        <v>1329</v>
      </c>
      <c r="S1258" s="2">
        <v>583</v>
      </c>
      <c r="T1258" s="2">
        <v>1</v>
      </c>
      <c r="U1258" s="2" t="s">
        <v>141</v>
      </c>
      <c r="Y1258" s="2">
        <v>1700</v>
      </c>
      <c r="Z1258" s="11" t="s">
        <v>54</v>
      </c>
      <c r="AA1258" s="11" t="str">
        <f t="shared" si="81"/>
        <v>1700 - TBN</v>
      </c>
      <c r="AC1258" s="2" t="s">
        <v>145</v>
      </c>
      <c r="AD1258" s="11" t="str">
        <f>IF($I1258&lt;&gt;"",VLOOKUP($AC1258,GEADRESSEERDE!$A$2:$E$4,2,),"")</f>
        <v>LUITHAGEN HAVEN 2 D</v>
      </c>
      <c r="AE1258" s="11">
        <f>IF($I1258&lt;&gt;"",VLOOKUP($AC1258,GEADRESSEERDE!$A$2:$E$4,3,),"")</f>
        <v>2030</v>
      </c>
      <c r="AF1258" s="11" t="str">
        <f>IF($I1258&lt;&gt;"",VLOOKUP($AC1258,GEADRESSEERDE!$A$2:$E$4,4,),"")</f>
        <v>ANTWERPEN</v>
      </c>
      <c r="AG1258" s="11" t="str">
        <f>IF($I1258&lt;&gt;"",VLOOKUP($AC1258,GEADRESSEERDE!$A$2:$E$4,5,),"")</f>
        <v>BE</v>
      </c>
      <c r="AH1258" s="11" t="str">
        <f>IF(I1258&lt;&gt;"",VLOOKUP(AP1258,KvB!$A$2:$B$3,2,FALSE),"")</f>
        <v>BE101000</v>
      </c>
      <c r="AI1258" s="11" t="s">
        <v>55</v>
      </c>
      <c r="AJ1258" s="11"/>
      <c r="AK1258" s="11"/>
      <c r="AL1258" s="11"/>
      <c r="AM1258" s="11"/>
      <c r="AN1258" s="11"/>
      <c r="AO1258" s="11"/>
      <c r="AP1258" s="2" t="s">
        <v>70</v>
      </c>
      <c r="AQ1258" s="11" t="str">
        <f>IF(I1258&lt;&gt;"",DATA!D1257,"")</f>
        <v>8531807000</v>
      </c>
    </row>
    <row r="1259" spans="1:43" ht="15.75" x14ac:dyDescent="0.25">
      <c r="A1259" s="11" t="s">
        <v>57</v>
      </c>
      <c r="B1259" s="11" t="s">
        <v>56</v>
      </c>
      <c r="C1259" s="22">
        <f t="shared" si="82"/>
        <v>25001620</v>
      </c>
      <c r="D1259" s="11" t="str">
        <f t="shared" si="79"/>
        <v>SKIIFM_AT</v>
      </c>
      <c r="E1259" s="11" t="str">
        <f>IF(I1259&lt;&gt;"",VLOOKUP(F1259,OPDRACHTGEVER!$A$2:$B$4,2,FALSE),"")</f>
        <v>SKIIFM_AT</v>
      </c>
      <c r="F1259" s="11" t="s">
        <v>58</v>
      </c>
      <c r="I1259" s="11" t="str">
        <f>IF(DATA!B1258&lt;&gt;"",DATA!B1258,"")</f>
        <v>MEDU9355200</v>
      </c>
      <c r="J1259" s="12">
        <v>0</v>
      </c>
      <c r="K1259" s="11" t="s">
        <v>53</v>
      </c>
      <c r="L1259" s="11" t="str">
        <f t="shared" si="80"/>
        <v>761699</v>
      </c>
      <c r="M1259" s="11" t="str">
        <f>IF(I1259&lt;&gt;"",DATA!E1258,"")</f>
        <v>FOLDABLE TILT LEGS</v>
      </c>
      <c r="N1259" s="12">
        <v>0</v>
      </c>
      <c r="O1259" s="11">
        <f>IF(I1259&lt;&gt;"",DATA!C1258,"")</f>
        <v>5.7</v>
      </c>
      <c r="P1259" s="2">
        <v>294094</v>
      </c>
      <c r="Q1259" s="2" t="s">
        <v>1304</v>
      </c>
      <c r="R1259" s="2" t="s">
        <v>1329</v>
      </c>
      <c r="S1259" s="2">
        <v>583</v>
      </c>
      <c r="T1259" s="2">
        <v>1</v>
      </c>
      <c r="U1259" s="2" t="s">
        <v>141</v>
      </c>
      <c r="Y1259" s="2">
        <v>1700</v>
      </c>
      <c r="Z1259" s="11" t="s">
        <v>54</v>
      </c>
      <c r="AA1259" s="11" t="str">
        <f t="shared" si="81"/>
        <v>1700 - TBN</v>
      </c>
      <c r="AC1259" s="2" t="s">
        <v>145</v>
      </c>
      <c r="AD1259" s="11" t="str">
        <f>IF($I1259&lt;&gt;"",VLOOKUP($AC1259,GEADRESSEERDE!$A$2:$E$4,2,),"")</f>
        <v>LUITHAGEN HAVEN 2 D</v>
      </c>
      <c r="AE1259" s="11">
        <f>IF($I1259&lt;&gt;"",VLOOKUP($AC1259,GEADRESSEERDE!$A$2:$E$4,3,),"")</f>
        <v>2030</v>
      </c>
      <c r="AF1259" s="11" t="str">
        <f>IF($I1259&lt;&gt;"",VLOOKUP($AC1259,GEADRESSEERDE!$A$2:$E$4,4,),"")</f>
        <v>ANTWERPEN</v>
      </c>
      <c r="AG1259" s="11" t="str">
        <f>IF($I1259&lt;&gt;"",VLOOKUP($AC1259,GEADRESSEERDE!$A$2:$E$4,5,),"")</f>
        <v>BE</v>
      </c>
      <c r="AH1259" s="11" t="str">
        <f>IF(I1259&lt;&gt;"",VLOOKUP(AP1259,KvB!$A$2:$B$3,2,FALSE),"")</f>
        <v>BE101000</v>
      </c>
      <c r="AI1259" s="11" t="s">
        <v>55</v>
      </c>
      <c r="AJ1259" s="11"/>
      <c r="AK1259" s="11"/>
      <c r="AL1259" s="11"/>
      <c r="AM1259" s="11"/>
      <c r="AN1259" s="11"/>
      <c r="AO1259" s="11"/>
      <c r="AP1259" s="2" t="s">
        <v>70</v>
      </c>
      <c r="AQ1259" s="11" t="str">
        <f>IF(I1259&lt;&gt;"",DATA!D1258,"")</f>
        <v>7616999099</v>
      </c>
    </row>
    <row r="1260" spans="1:43" ht="15.75" x14ac:dyDescent="0.25">
      <c r="A1260" s="11" t="s">
        <v>57</v>
      </c>
      <c r="B1260" s="11" t="s">
        <v>56</v>
      </c>
      <c r="C1260" s="22">
        <f t="shared" si="82"/>
        <v>25001620</v>
      </c>
      <c r="D1260" s="11" t="str">
        <f t="shared" si="79"/>
        <v>SKIIFM_AT</v>
      </c>
      <c r="E1260" s="11" t="str">
        <f>IF(I1260&lt;&gt;"",VLOOKUP(F1260,OPDRACHTGEVER!$A$2:$B$4,2,FALSE),"")</f>
        <v>SKIIFM_AT</v>
      </c>
      <c r="F1260" s="11" t="s">
        <v>58</v>
      </c>
      <c r="I1260" s="11" t="str">
        <f>IF(DATA!B1259&lt;&gt;"",DATA!B1259,"")</f>
        <v>MEDU9355200</v>
      </c>
      <c r="J1260" s="12">
        <v>0</v>
      </c>
      <c r="K1260" s="11" t="s">
        <v>53</v>
      </c>
      <c r="L1260" s="11" t="str">
        <f t="shared" si="80"/>
        <v>950691</v>
      </c>
      <c r="M1260" s="11" t="str">
        <f>IF(I1260&lt;&gt;"",DATA!E1259,"")</f>
        <v>FOOTBALL REBOUND DEVICE</v>
      </c>
      <c r="N1260" s="12">
        <v>0</v>
      </c>
      <c r="O1260" s="11">
        <f>IF(I1260&lt;&gt;"",DATA!C1259,"")</f>
        <v>267</v>
      </c>
      <c r="P1260" s="2">
        <v>294094</v>
      </c>
      <c r="Q1260" s="2" t="s">
        <v>1304</v>
      </c>
      <c r="R1260" s="2" t="s">
        <v>1329</v>
      </c>
      <c r="S1260" s="2">
        <v>583</v>
      </c>
      <c r="T1260" s="2">
        <v>1</v>
      </c>
      <c r="U1260" s="2" t="s">
        <v>141</v>
      </c>
      <c r="Y1260" s="2">
        <v>1700</v>
      </c>
      <c r="Z1260" s="11" t="s">
        <v>54</v>
      </c>
      <c r="AA1260" s="11" t="str">
        <f t="shared" si="81"/>
        <v>1700 - TBN</v>
      </c>
      <c r="AC1260" s="2" t="s">
        <v>145</v>
      </c>
      <c r="AD1260" s="11" t="str">
        <f>IF($I1260&lt;&gt;"",VLOOKUP($AC1260,GEADRESSEERDE!$A$2:$E$4,2,),"")</f>
        <v>LUITHAGEN HAVEN 2 D</v>
      </c>
      <c r="AE1260" s="11">
        <f>IF($I1260&lt;&gt;"",VLOOKUP($AC1260,GEADRESSEERDE!$A$2:$E$4,3,),"")</f>
        <v>2030</v>
      </c>
      <c r="AF1260" s="11" t="str">
        <f>IF($I1260&lt;&gt;"",VLOOKUP($AC1260,GEADRESSEERDE!$A$2:$E$4,4,),"")</f>
        <v>ANTWERPEN</v>
      </c>
      <c r="AG1260" s="11" t="str">
        <f>IF($I1260&lt;&gt;"",VLOOKUP($AC1260,GEADRESSEERDE!$A$2:$E$4,5,),"")</f>
        <v>BE</v>
      </c>
      <c r="AH1260" s="11" t="str">
        <f>IF(I1260&lt;&gt;"",VLOOKUP(AP1260,KvB!$A$2:$B$3,2,FALSE),"")</f>
        <v>BE101000</v>
      </c>
      <c r="AI1260" s="11" t="s">
        <v>55</v>
      </c>
      <c r="AJ1260" s="11"/>
      <c r="AK1260" s="11"/>
      <c r="AL1260" s="11"/>
      <c r="AM1260" s="11"/>
      <c r="AN1260" s="11"/>
      <c r="AO1260" s="11"/>
      <c r="AP1260" s="2" t="s">
        <v>70</v>
      </c>
      <c r="AQ1260" s="11" t="str">
        <f>IF(I1260&lt;&gt;"",DATA!D1259,"")</f>
        <v>9506919000</v>
      </c>
    </row>
    <row r="1261" spans="1:43" ht="15.75" x14ac:dyDescent="0.25">
      <c r="A1261" s="11" t="s">
        <v>57</v>
      </c>
      <c r="B1261" s="11" t="s">
        <v>56</v>
      </c>
      <c r="C1261" s="22">
        <f t="shared" si="82"/>
        <v>25001620</v>
      </c>
      <c r="D1261" s="11" t="str">
        <f t="shared" si="79"/>
        <v>SKIIFM_AT</v>
      </c>
      <c r="E1261" s="11" t="str">
        <f>IF(I1261&lt;&gt;"",VLOOKUP(F1261,OPDRACHTGEVER!$A$2:$B$4,2,FALSE),"")</f>
        <v>SKIIFM_AT</v>
      </c>
      <c r="F1261" s="11" t="s">
        <v>58</v>
      </c>
      <c r="I1261" s="11" t="str">
        <f>IF(DATA!B1260&lt;&gt;"",DATA!B1260,"")</f>
        <v>MEDU9355200</v>
      </c>
      <c r="J1261" s="12">
        <v>0</v>
      </c>
      <c r="K1261" s="11" t="s">
        <v>53</v>
      </c>
      <c r="L1261" s="11" t="str">
        <f t="shared" si="80"/>
        <v>820110</v>
      </c>
      <c r="M1261" s="11" t="str">
        <f>IF(I1261&lt;&gt;"",DATA!E1260,"")</f>
        <v>GARDEN TOOLS</v>
      </c>
      <c r="N1261" s="12">
        <v>0</v>
      </c>
      <c r="O1261" s="11">
        <f>IF(I1261&lt;&gt;"",DATA!C1260,"")</f>
        <v>3.6</v>
      </c>
      <c r="P1261" s="2">
        <v>294094</v>
      </c>
      <c r="Q1261" s="2" t="s">
        <v>1304</v>
      </c>
      <c r="R1261" s="2" t="s">
        <v>1329</v>
      </c>
      <c r="S1261" s="2">
        <v>583</v>
      </c>
      <c r="T1261" s="2">
        <v>1</v>
      </c>
      <c r="U1261" s="2" t="s">
        <v>141</v>
      </c>
      <c r="Y1261" s="2">
        <v>1700</v>
      </c>
      <c r="Z1261" s="11" t="s">
        <v>54</v>
      </c>
      <c r="AA1261" s="11" t="str">
        <f t="shared" si="81"/>
        <v>1700 - TBN</v>
      </c>
      <c r="AC1261" s="2" t="s">
        <v>145</v>
      </c>
      <c r="AD1261" s="11" t="str">
        <f>IF($I1261&lt;&gt;"",VLOOKUP($AC1261,GEADRESSEERDE!$A$2:$E$4,2,),"")</f>
        <v>LUITHAGEN HAVEN 2 D</v>
      </c>
      <c r="AE1261" s="11">
        <f>IF($I1261&lt;&gt;"",VLOOKUP($AC1261,GEADRESSEERDE!$A$2:$E$4,3,),"")</f>
        <v>2030</v>
      </c>
      <c r="AF1261" s="11" t="str">
        <f>IF($I1261&lt;&gt;"",VLOOKUP($AC1261,GEADRESSEERDE!$A$2:$E$4,4,),"")</f>
        <v>ANTWERPEN</v>
      </c>
      <c r="AG1261" s="11" t="str">
        <f>IF($I1261&lt;&gt;"",VLOOKUP($AC1261,GEADRESSEERDE!$A$2:$E$4,5,),"")</f>
        <v>BE</v>
      </c>
      <c r="AH1261" s="11" t="str">
        <f>IF(I1261&lt;&gt;"",VLOOKUP(AP1261,KvB!$A$2:$B$3,2,FALSE),"")</f>
        <v>BE101000</v>
      </c>
      <c r="AI1261" s="11" t="s">
        <v>55</v>
      </c>
      <c r="AJ1261" s="11"/>
      <c r="AK1261" s="11"/>
      <c r="AL1261" s="11"/>
      <c r="AM1261" s="11"/>
      <c r="AN1261" s="11"/>
      <c r="AO1261" s="11"/>
      <c r="AP1261" s="2" t="s">
        <v>70</v>
      </c>
      <c r="AQ1261" s="11" t="str">
        <f>IF(I1261&lt;&gt;"",DATA!D1260,"")</f>
        <v>8201100000</v>
      </c>
    </row>
    <row r="1262" spans="1:43" ht="15.75" x14ac:dyDescent="0.25">
      <c r="A1262" s="11" t="s">
        <v>57</v>
      </c>
      <c r="B1262" s="11" t="s">
        <v>56</v>
      </c>
      <c r="C1262" s="22">
        <f t="shared" si="82"/>
        <v>25001620</v>
      </c>
      <c r="D1262" s="11" t="str">
        <f t="shared" si="79"/>
        <v>SKIIFM_AT</v>
      </c>
      <c r="E1262" s="11" t="str">
        <f>IF(I1262&lt;&gt;"",VLOOKUP(F1262,OPDRACHTGEVER!$A$2:$B$4,2,FALSE),"")</f>
        <v>SKIIFM_AT</v>
      </c>
      <c r="F1262" s="11" t="s">
        <v>58</v>
      </c>
      <c r="I1262" s="11" t="str">
        <f>IF(DATA!B1261&lt;&gt;"",DATA!B1261,"")</f>
        <v>MEDU9355200</v>
      </c>
      <c r="J1262" s="12">
        <v>0</v>
      </c>
      <c r="K1262" s="11" t="s">
        <v>53</v>
      </c>
      <c r="L1262" s="11" t="str">
        <f t="shared" si="80"/>
        <v>940370</v>
      </c>
      <c r="M1262" s="11" t="str">
        <f>IF(I1262&lt;&gt;"",DATA!E1261,"")</f>
        <v>GUARD BAND</v>
      </c>
      <c r="N1262" s="12">
        <v>0</v>
      </c>
      <c r="O1262" s="11">
        <f>IF(I1262&lt;&gt;"",DATA!C1261,"")</f>
        <v>3.2</v>
      </c>
      <c r="P1262" s="2">
        <v>294094</v>
      </c>
      <c r="Q1262" s="2" t="s">
        <v>1304</v>
      </c>
      <c r="R1262" s="2" t="s">
        <v>1329</v>
      </c>
      <c r="S1262" s="2">
        <v>583</v>
      </c>
      <c r="T1262" s="2">
        <v>1</v>
      </c>
      <c r="U1262" s="2" t="s">
        <v>141</v>
      </c>
      <c r="Y1262" s="2">
        <v>1700</v>
      </c>
      <c r="Z1262" s="11" t="s">
        <v>54</v>
      </c>
      <c r="AA1262" s="11" t="str">
        <f t="shared" si="81"/>
        <v>1700 - TBN</v>
      </c>
      <c r="AC1262" s="2" t="s">
        <v>145</v>
      </c>
      <c r="AD1262" s="11" t="str">
        <f>IF($I1262&lt;&gt;"",VLOOKUP($AC1262,GEADRESSEERDE!$A$2:$E$4,2,),"")</f>
        <v>LUITHAGEN HAVEN 2 D</v>
      </c>
      <c r="AE1262" s="11">
        <f>IF($I1262&lt;&gt;"",VLOOKUP($AC1262,GEADRESSEERDE!$A$2:$E$4,3,),"")</f>
        <v>2030</v>
      </c>
      <c r="AF1262" s="11" t="str">
        <f>IF($I1262&lt;&gt;"",VLOOKUP($AC1262,GEADRESSEERDE!$A$2:$E$4,4,),"")</f>
        <v>ANTWERPEN</v>
      </c>
      <c r="AG1262" s="11" t="str">
        <f>IF($I1262&lt;&gt;"",VLOOKUP($AC1262,GEADRESSEERDE!$A$2:$E$4,5,),"")</f>
        <v>BE</v>
      </c>
      <c r="AH1262" s="11" t="str">
        <f>IF(I1262&lt;&gt;"",VLOOKUP(AP1262,KvB!$A$2:$B$3,2,FALSE),"")</f>
        <v>BE101000</v>
      </c>
      <c r="AI1262" s="11" t="s">
        <v>55</v>
      </c>
      <c r="AJ1262" s="11"/>
      <c r="AK1262" s="11"/>
      <c r="AL1262" s="11"/>
      <c r="AM1262" s="11"/>
      <c r="AN1262" s="11"/>
      <c r="AO1262" s="11"/>
      <c r="AP1262" s="2" t="s">
        <v>70</v>
      </c>
      <c r="AQ1262" s="11" t="str">
        <f>IF(I1262&lt;&gt;"",DATA!D1261,"")</f>
        <v>9403700000</v>
      </c>
    </row>
    <row r="1263" spans="1:43" ht="15.75" x14ac:dyDescent="0.25">
      <c r="A1263" s="11" t="s">
        <v>57</v>
      </c>
      <c r="B1263" s="11" t="s">
        <v>56</v>
      </c>
      <c r="C1263" s="22">
        <f t="shared" si="82"/>
        <v>25001620</v>
      </c>
      <c r="D1263" s="11" t="str">
        <f t="shared" si="79"/>
        <v>SKIIFM_AT</v>
      </c>
      <c r="E1263" s="11" t="str">
        <f>IF(I1263&lt;&gt;"",VLOOKUP(F1263,OPDRACHTGEVER!$A$2:$B$4,2,FALSE),"")</f>
        <v>SKIIFM_AT</v>
      </c>
      <c r="F1263" s="11" t="s">
        <v>58</v>
      </c>
      <c r="I1263" s="11" t="str">
        <f>IF(DATA!B1262&lt;&gt;"",DATA!B1262,"")</f>
        <v>MEDU9355200</v>
      </c>
      <c r="J1263" s="12">
        <v>0</v>
      </c>
      <c r="K1263" s="11" t="s">
        <v>53</v>
      </c>
      <c r="L1263" s="11" t="str">
        <f t="shared" si="80"/>
        <v>902580</v>
      </c>
      <c r="M1263" s="11" t="str">
        <f>IF(I1263&lt;&gt;"",DATA!E1262,"")</f>
        <v>HANDHELD THERMOMETER</v>
      </c>
      <c r="N1263" s="12">
        <v>0</v>
      </c>
      <c r="O1263" s="11">
        <f>IF(I1263&lt;&gt;"",DATA!C1262,"")</f>
        <v>1.2</v>
      </c>
      <c r="P1263" s="2">
        <v>294094</v>
      </c>
      <c r="Q1263" s="2" t="s">
        <v>1304</v>
      </c>
      <c r="R1263" s="2" t="s">
        <v>1329</v>
      </c>
      <c r="S1263" s="2">
        <v>583</v>
      </c>
      <c r="T1263" s="2">
        <v>1</v>
      </c>
      <c r="U1263" s="2" t="s">
        <v>141</v>
      </c>
      <c r="Y1263" s="2">
        <v>1700</v>
      </c>
      <c r="Z1263" s="11" t="s">
        <v>54</v>
      </c>
      <c r="AA1263" s="11" t="str">
        <f t="shared" si="81"/>
        <v>1700 - TBN</v>
      </c>
      <c r="AC1263" s="2" t="s">
        <v>145</v>
      </c>
      <c r="AD1263" s="11" t="str">
        <f>IF($I1263&lt;&gt;"",VLOOKUP($AC1263,GEADRESSEERDE!$A$2:$E$4,2,),"")</f>
        <v>LUITHAGEN HAVEN 2 D</v>
      </c>
      <c r="AE1263" s="11">
        <f>IF($I1263&lt;&gt;"",VLOOKUP($AC1263,GEADRESSEERDE!$A$2:$E$4,3,),"")</f>
        <v>2030</v>
      </c>
      <c r="AF1263" s="11" t="str">
        <f>IF($I1263&lt;&gt;"",VLOOKUP($AC1263,GEADRESSEERDE!$A$2:$E$4,4,),"")</f>
        <v>ANTWERPEN</v>
      </c>
      <c r="AG1263" s="11" t="str">
        <f>IF($I1263&lt;&gt;"",VLOOKUP($AC1263,GEADRESSEERDE!$A$2:$E$4,5,),"")</f>
        <v>BE</v>
      </c>
      <c r="AH1263" s="11" t="str">
        <f>IF(I1263&lt;&gt;"",VLOOKUP(AP1263,KvB!$A$2:$B$3,2,FALSE),"")</f>
        <v>BE101000</v>
      </c>
      <c r="AI1263" s="11" t="s">
        <v>55</v>
      </c>
      <c r="AJ1263" s="11"/>
      <c r="AK1263" s="11"/>
      <c r="AL1263" s="11"/>
      <c r="AM1263" s="11"/>
      <c r="AN1263" s="11"/>
      <c r="AO1263" s="11"/>
      <c r="AP1263" s="2" t="s">
        <v>70</v>
      </c>
      <c r="AQ1263" s="11" t="str">
        <f>IF(I1263&lt;&gt;"",DATA!D1262,"")</f>
        <v>9025804089</v>
      </c>
    </row>
    <row r="1264" spans="1:43" ht="15.75" x14ac:dyDescent="0.25">
      <c r="A1264" s="11" t="s">
        <v>57</v>
      </c>
      <c r="B1264" s="11" t="s">
        <v>56</v>
      </c>
      <c r="C1264" s="22">
        <f t="shared" si="82"/>
        <v>25001620</v>
      </c>
      <c r="D1264" s="11" t="str">
        <f t="shared" si="79"/>
        <v>SKIIFM_AT</v>
      </c>
      <c r="E1264" s="11" t="str">
        <f>IF(I1264&lt;&gt;"",VLOOKUP(F1264,OPDRACHTGEVER!$A$2:$B$4,2,FALSE),"")</f>
        <v>SKIIFM_AT</v>
      </c>
      <c r="F1264" s="11" t="s">
        <v>58</v>
      </c>
      <c r="I1264" s="11" t="str">
        <f>IF(DATA!B1263&lt;&gt;"",DATA!B1263,"")</f>
        <v>MEDU9355200</v>
      </c>
      <c r="J1264" s="12">
        <v>0</v>
      </c>
      <c r="K1264" s="11" t="s">
        <v>53</v>
      </c>
      <c r="L1264" s="11" t="str">
        <f t="shared" si="80"/>
        <v>741920</v>
      </c>
      <c r="M1264" s="11" t="str">
        <f>IF(I1264&lt;&gt;"",DATA!E1263,"")</f>
        <v>HANDLE</v>
      </c>
      <c r="N1264" s="12">
        <v>0</v>
      </c>
      <c r="O1264" s="11">
        <f>IF(I1264&lt;&gt;"",DATA!C1263,"")</f>
        <v>93</v>
      </c>
      <c r="P1264" s="2">
        <v>294094</v>
      </c>
      <c r="Q1264" s="2" t="s">
        <v>1304</v>
      </c>
      <c r="R1264" s="2" t="s">
        <v>1329</v>
      </c>
      <c r="S1264" s="2">
        <v>583</v>
      </c>
      <c r="T1264" s="2">
        <v>1</v>
      </c>
      <c r="U1264" s="2" t="s">
        <v>141</v>
      </c>
      <c r="Y1264" s="2">
        <v>1700</v>
      </c>
      <c r="Z1264" s="11" t="s">
        <v>54</v>
      </c>
      <c r="AA1264" s="11" t="str">
        <f t="shared" si="81"/>
        <v>1700 - TBN</v>
      </c>
      <c r="AC1264" s="2" t="s">
        <v>145</v>
      </c>
      <c r="AD1264" s="11" t="str">
        <f>IF($I1264&lt;&gt;"",VLOOKUP($AC1264,GEADRESSEERDE!$A$2:$E$4,2,),"")</f>
        <v>LUITHAGEN HAVEN 2 D</v>
      </c>
      <c r="AE1264" s="11">
        <f>IF($I1264&lt;&gt;"",VLOOKUP($AC1264,GEADRESSEERDE!$A$2:$E$4,3,),"")</f>
        <v>2030</v>
      </c>
      <c r="AF1264" s="11" t="str">
        <f>IF($I1264&lt;&gt;"",VLOOKUP($AC1264,GEADRESSEERDE!$A$2:$E$4,4,),"")</f>
        <v>ANTWERPEN</v>
      </c>
      <c r="AG1264" s="11" t="str">
        <f>IF($I1264&lt;&gt;"",VLOOKUP($AC1264,GEADRESSEERDE!$A$2:$E$4,5,),"")</f>
        <v>BE</v>
      </c>
      <c r="AH1264" s="11" t="str">
        <f>IF(I1264&lt;&gt;"",VLOOKUP(AP1264,KvB!$A$2:$B$3,2,FALSE),"")</f>
        <v>BE101000</v>
      </c>
      <c r="AI1264" s="11" t="s">
        <v>55</v>
      </c>
      <c r="AJ1264" s="11"/>
      <c r="AK1264" s="11"/>
      <c r="AL1264" s="11"/>
      <c r="AM1264" s="11"/>
      <c r="AN1264" s="11"/>
      <c r="AO1264" s="11"/>
      <c r="AP1264" s="2" t="s">
        <v>70</v>
      </c>
      <c r="AQ1264" s="11" t="str">
        <f>IF(I1264&lt;&gt;"",DATA!D1263,"")</f>
        <v>7419200090</v>
      </c>
    </row>
    <row r="1265" spans="1:43" ht="15.75" x14ac:dyDescent="0.25">
      <c r="A1265" s="11" t="s">
        <v>57</v>
      </c>
      <c r="B1265" s="11" t="s">
        <v>56</v>
      </c>
      <c r="C1265" s="22">
        <f t="shared" si="82"/>
        <v>25001620</v>
      </c>
      <c r="D1265" s="11" t="str">
        <f t="shared" si="79"/>
        <v>SKIIFM_AT</v>
      </c>
      <c r="E1265" s="11" t="str">
        <f>IF(I1265&lt;&gt;"",VLOOKUP(F1265,OPDRACHTGEVER!$A$2:$B$4,2,FALSE),"")</f>
        <v>SKIIFM_AT</v>
      </c>
      <c r="F1265" s="11" t="s">
        <v>58</v>
      </c>
      <c r="I1265" s="11" t="str">
        <f>IF(DATA!B1264&lt;&gt;"",DATA!B1264,"")</f>
        <v>MEDU9355200</v>
      </c>
      <c r="J1265" s="12">
        <v>0</v>
      </c>
      <c r="K1265" s="11" t="s">
        <v>53</v>
      </c>
      <c r="L1265" s="11" t="str">
        <f t="shared" si="80"/>
        <v>841950</v>
      </c>
      <c r="M1265" s="11" t="str">
        <f>IF(I1265&lt;&gt;"",DATA!E1264,"")</f>
        <v>HEAT EXCHANGER</v>
      </c>
      <c r="N1265" s="12">
        <v>0</v>
      </c>
      <c r="O1265" s="11">
        <f>IF(I1265&lt;&gt;"",DATA!C1264,"")</f>
        <v>2.3199999999999998</v>
      </c>
      <c r="P1265" s="2">
        <v>294094</v>
      </c>
      <c r="Q1265" s="2" t="s">
        <v>1304</v>
      </c>
      <c r="R1265" s="2" t="s">
        <v>1329</v>
      </c>
      <c r="S1265" s="2">
        <v>583</v>
      </c>
      <c r="T1265" s="2">
        <v>1</v>
      </c>
      <c r="U1265" s="2" t="s">
        <v>141</v>
      </c>
      <c r="Y1265" s="2">
        <v>1700</v>
      </c>
      <c r="Z1265" s="11" t="s">
        <v>54</v>
      </c>
      <c r="AA1265" s="11" t="str">
        <f t="shared" si="81"/>
        <v>1700 - TBN</v>
      </c>
      <c r="AC1265" s="2" t="s">
        <v>145</v>
      </c>
      <c r="AD1265" s="11" t="str">
        <f>IF($I1265&lt;&gt;"",VLOOKUP($AC1265,GEADRESSEERDE!$A$2:$E$4,2,),"")</f>
        <v>LUITHAGEN HAVEN 2 D</v>
      </c>
      <c r="AE1265" s="11">
        <f>IF($I1265&lt;&gt;"",VLOOKUP($AC1265,GEADRESSEERDE!$A$2:$E$4,3,),"")</f>
        <v>2030</v>
      </c>
      <c r="AF1265" s="11" t="str">
        <f>IF($I1265&lt;&gt;"",VLOOKUP($AC1265,GEADRESSEERDE!$A$2:$E$4,4,),"")</f>
        <v>ANTWERPEN</v>
      </c>
      <c r="AG1265" s="11" t="str">
        <f>IF($I1265&lt;&gt;"",VLOOKUP($AC1265,GEADRESSEERDE!$A$2:$E$4,5,),"")</f>
        <v>BE</v>
      </c>
      <c r="AH1265" s="11" t="str">
        <f>IF(I1265&lt;&gt;"",VLOOKUP(AP1265,KvB!$A$2:$B$3,2,FALSE),"")</f>
        <v>BE101000</v>
      </c>
      <c r="AI1265" s="11" t="s">
        <v>55</v>
      </c>
      <c r="AJ1265" s="11"/>
      <c r="AK1265" s="11"/>
      <c r="AL1265" s="11"/>
      <c r="AM1265" s="11"/>
      <c r="AN1265" s="11"/>
      <c r="AO1265" s="11"/>
      <c r="AP1265" s="2" t="s">
        <v>70</v>
      </c>
      <c r="AQ1265" s="11" t="str">
        <f>IF(I1265&lt;&gt;"",DATA!D1264,"")</f>
        <v>8419508090</v>
      </c>
    </row>
    <row r="1266" spans="1:43" ht="15.75" x14ac:dyDescent="0.25">
      <c r="A1266" s="11" t="s">
        <v>57</v>
      </c>
      <c r="B1266" s="11" t="s">
        <v>56</v>
      </c>
      <c r="C1266" s="22">
        <f t="shared" si="82"/>
        <v>25001620</v>
      </c>
      <c r="D1266" s="11" t="str">
        <f t="shared" si="79"/>
        <v>SKIIFM_AT</v>
      </c>
      <c r="E1266" s="11" t="str">
        <f>IF(I1266&lt;&gt;"",VLOOKUP(F1266,OPDRACHTGEVER!$A$2:$B$4,2,FALSE),"")</f>
        <v>SKIIFM_AT</v>
      </c>
      <c r="F1266" s="11" t="s">
        <v>58</v>
      </c>
      <c r="I1266" s="11" t="str">
        <f>IF(DATA!B1265&lt;&gt;"",DATA!B1265,"")</f>
        <v>MEDU9355200</v>
      </c>
      <c r="J1266" s="12">
        <v>0</v>
      </c>
      <c r="K1266" s="11" t="s">
        <v>53</v>
      </c>
      <c r="L1266" s="11" t="str">
        <f t="shared" si="80"/>
        <v>841981</v>
      </c>
      <c r="M1266" s="11" t="str">
        <f>IF(I1266&lt;&gt;"",DATA!E1265,"")</f>
        <v>HOT DOG MACHINE</v>
      </c>
      <c r="N1266" s="12">
        <v>0</v>
      </c>
      <c r="O1266" s="11">
        <f>IF(I1266&lt;&gt;"",DATA!C1265,"")</f>
        <v>254.1</v>
      </c>
      <c r="P1266" s="2">
        <v>294094</v>
      </c>
      <c r="Q1266" s="2" t="s">
        <v>1304</v>
      </c>
      <c r="R1266" s="2" t="s">
        <v>1329</v>
      </c>
      <c r="S1266" s="2">
        <v>583</v>
      </c>
      <c r="T1266" s="2">
        <v>1</v>
      </c>
      <c r="U1266" s="2" t="s">
        <v>141</v>
      </c>
      <c r="Y1266" s="2">
        <v>1700</v>
      </c>
      <c r="Z1266" s="11" t="s">
        <v>54</v>
      </c>
      <c r="AA1266" s="11" t="str">
        <f t="shared" si="81"/>
        <v>1700 - TBN</v>
      </c>
      <c r="AC1266" s="2" t="s">
        <v>145</v>
      </c>
      <c r="AD1266" s="11" t="str">
        <f>IF($I1266&lt;&gt;"",VLOOKUP($AC1266,GEADRESSEERDE!$A$2:$E$4,2,),"")</f>
        <v>LUITHAGEN HAVEN 2 D</v>
      </c>
      <c r="AE1266" s="11">
        <f>IF($I1266&lt;&gt;"",VLOOKUP($AC1266,GEADRESSEERDE!$A$2:$E$4,3,),"")</f>
        <v>2030</v>
      </c>
      <c r="AF1266" s="11" t="str">
        <f>IF($I1266&lt;&gt;"",VLOOKUP($AC1266,GEADRESSEERDE!$A$2:$E$4,4,),"")</f>
        <v>ANTWERPEN</v>
      </c>
      <c r="AG1266" s="11" t="str">
        <f>IF($I1266&lt;&gt;"",VLOOKUP($AC1266,GEADRESSEERDE!$A$2:$E$4,5,),"")</f>
        <v>BE</v>
      </c>
      <c r="AH1266" s="11" t="str">
        <f>IF(I1266&lt;&gt;"",VLOOKUP(AP1266,KvB!$A$2:$B$3,2,FALSE),"")</f>
        <v>BE101000</v>
      </c>
      <c r="AI1266" s="11" t="s">
        <v>55</v>
      </c>
      <c r="AJ1266" s="11"/>
      <c r="AK1266" s="11"/>
      <c r="AL1266" s="11"/>
      <c r="AM1266" s="11"/>
      <c r="AN1266" s="11"/>
      <c r="AO1266" s="11"/>
      <c r="AP1266" s="2" t="s">
        <v>70</v>
      </c>
      <c r="AQ1266" s="11" t="str">
        <f>IF(I1266&lt;&gt;"",DATA!D1265,"")</f>
        <v>8419818090</v>
      </c>
    </row>
    <row r="1267" spans="1:43" ht="15.75" x14ac:dyDescent="0.25">
      <c r="A1267" s="11" t="s">
        <v>57</v>
      </c>
      <c r="B1267" s="11" t="s">
        <v>56</v>
      </c>
      <c r="C1267" s="22">
        <f t="shared" si="82"/>
        <v>25001620</v>
      </c>
      <c r="D1267" s="11" t="str">
        <f t="shared" si="79"/>
        <v>SKIIFM_AT</v>
      </c>
      <c r="E1267" s="11" t="str">
        <f>IF(I1267&lt;&gt;"",VLOOKUP(F1267,OPDRACHTGEVER!$A$2:$B$4,2,FALSE),"")</f>
        <v>SKIIFM_AT</v>
      </c>
      <c r="F1267" s="11" t="s">
        <v>58</v>
      </c>
      <c r="I1267" s="11" t="str">
        <f>IF(DATA!B1266&lt;&gt;"",DATA!B1266,"")</f>
        <v>MEDU9355200</v>
      </c>
      <c r="J1267" s="12">
        <v>0</v>
      </c>
      <c r="K1267" s="11" t="s">
        <v>53</v>
      </c>
      <c r="L1267" s="11" t="str">
        <f t="shared" si="80"/>
        <v>392690</v>
      </c>
      <c r="M1267" s="11" t="str">
        <f>IF(I1267&lt;&gt;"",DATA!E1266,"")</f>
        <v>INFLATABLE PAINT BOOTH WITH CENTRE DOOR</v>
      </c>
      <c r="N1267" s="12">
        <v>0</v>
      </c>
      <c r="O1267" s="11">
        <f>IF(I1267&lt;&gt;"",DATA!C1266,"")</f>
        <v>991.8</v>
      </c>
      <c r="P1267" s="2">
        <v>294094</v>
      </c>
      <c r="Q1267" s="2" t="s">
        <v>1304</v>
      </c>
      <c r="R1267" s="2" t="s">
        <v>1329</v>
      </c>
      <c r="S1267" s="2">
        <v>583</v>
      </c>
      <c r="T1267" s="2">
        <v>1</v>
      </c>
      <c r="U1267" s="2" t="s">
        <v>141</v>
      </c>
      <c r="Y1267" s="2">
        <v>1700</v>
      </c>
      <c r="Z1267" s="11" t="s">
        <v>54</v>
      </c>
      <c r="AA1267" s="11" t="str">
        <f t="shared" si="81"/>
        <v>1700 - TBN</v>
      </c>
      <c r="AC1267" s="2" t="s">
        <v>145</v>
      </c>
      <c r="AD1267" s="11" t="str">
        <f>IF($I1267&lt;&gt;"",VLOOKUP($AC1267,GEADRESSEERDE!$A$2:$E$4,2,),"")</f>
        <v>LUITHAGEN HAVEN 2 D</v>
      </c>
      <c r="AE1267" s="11">
        <f>IF($I1267&lt;&gt;"",VLOOKUP($AC1267,GEADRESSEERDE!$A$2:$E$4,3,),"")</f>
        <v>2030</v>
      </c>
      <c r="AF1267" s="11" t="str">
        <f>IF($I1267&lt;&gt;"",VLOOKUP($AC1267,GEADRESSEERDE!$A$2:$E$4,4,),"")</f>
        <v>ANTWERPEN</v>
      </c>
      <c r="AG1267" s="11" t="str">
        <f>IF($I1267&lt;&gt;"",VLOOKUP($AC1267,GEADRESSEERDE!$A$2:$E$4,5,),"")</f>
        <v>BE</v>
      </c>
      <c r="AH1267" s="11" t="str">
        <f>IF(I1267&lt;&gt;"",VLOOKUP(AP1267,KvB!$A$2:$B$3,2,FALSE),"")</f>
        <v>BE101000</v>
      </c>
      <c r="AI1267" s="11" t="s">
        <v>55</v>
      </c>
      <c r="AJ1267" s="11"/>
      <c r="AK1267" s="11"/>
      <c r="AL1267" s="11"/>
      <c r="AM1267" s="11"/>
      <c r="AN1267" s="11"/>
      <c r="AO1267" s="11"/>
      <c r="AP1267" s="2" t="s">
        <v>70</v>
      </c>
      <c r="AQ1267" s="11" t="str">
        <f>IF(I1267&lt;&gt;"",DATA!D1266,"")</f>
        <v>3926909790</v>
      </c>
    </row>
    <row r="1268" spans="1:43" ht="15.75" x14ac:dyDescent="0.25">
      <c r="A1268" s="11" t="s">
        <v>57</v>
      </c>
      <c r="B1268" s="11" t="s">
        <v>56</v>
      </c>
      <c r="C1268" s="22">
        <f t="shared" si="82"/>
        <v>25001620</v>
      </c>
      <c r="D1268" s="11" t="str">
        <f t="shared" ref="D1268:D1331" si="83">E1268</f>
        <v>SKIIFM_AT</v>
      </c>
      <c r="E1268" s="11" t="str">
        <f>IF(I1268&lt;&gt;"",VLOOKUP(F1268,OPDRACHTGEVER!$A$2:$B$4,2,FALSE),"")</f>
        <v>SKIIFM_AT</v>
      </c>
      <c r="F1268" s="11" t="s">
        <v>58</v>
      </c>
      <c r="I1268" s="11" t="str">
        <f>IF(DATA!B1267&lt;&gt;"",DATA!B1267,"")</f>
        <v>MEDU9355200</v>
      </c>
      <c r="J1268" s="12">
        <v>0</v>
      </c>
      <c r="K1268" s="11" t="s">
        <v>53</v>
      </c>
      <c r="L1268" s="11" t="str">
        <f t="shared" ref="L1268:L1331" si="84">LEFT(AQ1268,6)</f>
        <v>401691</v>
      </c>
      <c r="M1268" s="11" t="str">
        <f>IF(I1268&lt;&gt;"",DATA!E1267,"")</f>
        <v>INSULATING COTTON</v>
      </c>
      <c r="N1268" s="12">
        <v>0</v>
      </c>
      <c r="O1268" s="11">
        <f>IF(I1268&lt;&gt;"",DATA!C1267,"")</f>
        <v>1088.5999999999999</v>
      </c>
      <c r="P1268" s="2">
        <v>294094</v>
      </c>
      <c r="Q1268" s="2" t="s">
        <v>1304</v>
      </c>
      <c r="R1268" s="2" t="s">
        <v>1329</v>
      </c>
      <c r="S1268" s="2">
        <v>583</v>
      </c>
      <c r="T1268" s="2">
        <v>1</v>
      </c>
      <c r="U1268" s="2" t="s">
        <v>141</v>
      </c>
      <c r="Y1268" s="2">
        <v>1700</v>
      </c>
      <c r="Z1268" s="11" t="s">
        <v>54</v>
      </c>
      <c r="AA1268" s="11" t="str">
        <f t="shared" ref="AA1268:AA1331" si="85">IF(I1268&lt;&gt;"",Y1268&amp;" - "&amp;Z1268,"")</f>
        <v>1700 - TBN</v>
      </c>
      <c r="AC1268" s="2" t="s">
        <v>145</v>
      </c>
      <c r="AD1268" s="11" t="str">
        <f>IF($I1268&lt;&gt;"",VLOOKUP($AC1268,GEADRESSEERDE!$A$2:$E$4,2,),"")</f>
        <v>LUITHAGEN HAVEN 2 D</v>
      </c>
      <c r="AE1268" s="11">
        <f>IF($I1268&lt;&gt;"",VLOOKUP($AC1268,GEADRESSEERDE!$A$2:$E$4,3,),"")</f>
        <v>2030</v>
      </c>
      <c r="AF1268" s="11" t="str">
        <f>IF($I1268&lt;&gt;"",VLOOKUP($AC1268,GEADRESSEERDE!$A$2:$E$4,4,),"")</f>
        <v>ANTWERPEN</v>
      </c>
      <c r="AG1268" s="11" t="str">
        <f>IF($I1268&lt;&gt;"",VLOOKUP($AC1268,GEADRESSEERDE!$A$2:$E$4,5,),"")</f>
        <v>BE</v>
      </c>
      <c r="AH1268" s="11" t="str">
        <f>IF(I1268&lt;&gt;"",VLOOKUP(AP1268,KvB!$A$2:$B$3,2,FALSE),"")</f>
        <v>BE101000</v>
      </c>
      <c r="AI1268" s="11" t="s">
        <v>55</v>
      </c>
      <c r="AJ1268" s="11"/>
      <c r="AK1268" s="11"/>
      <c r="AL1268" s="11"/>
      <c r="AM1268" s="11"/>
      <c r="AN1268" s="11"/>
      <c r="AO1268" s="11"/>
      <c r="AP1268" s="2" t="s">
        <v>70</v>
      </c>
      <c r="AQ1268" s="11" t="str">
        <f>IF(I1268&lt;&gt;"",DATA!D1267,"")</f>
        <v>4016910000</v>
      </c>
    </row>
    <row r="1269" spans="1:43" ht="15.75" x14ac:dyDescent="0.25">
      <c r="A1269" s="11" t="s">
        <v>57</v>
      </c>
      <c r="B1269" s="11" t="s">
        <v>56</v>
      </c>
      <c r="C1269" s="22">
        <f t="shared" si="82"/>
        <v>25001620</v>
      </c>
      <c r="D1269" s="11" t="str">
        <f t="shared" si="83"/>
        <v>SKIIFM_AT</v>
      </c>
      <c r="E1269" s="11" t="str">
        <f>IF(I1269&lt;&gt;"",VLOOKUP(F1269,OPDRACHTGEVER!$A$2:$B$4,2,FALSE),"")</f>
        <v>SKIIFM_AT</v>
      </c>
      <c r="F1269" s="11" t="s">
        <v>58</v>
      </c>
      <c r="I1269" s="11" t="str">
        <f>IF(DATA!B1268&lt;&gt;"",DATA!B1268,"")</f>
        <v>MEDU9355200</v>
      </c>
      <c r="J1269" s="12">
        <v>0</v>
      </c>
      <c r="K1269" s="11" t="s">
        <v>53</v>
      </c>
      <c r="L1269" s="11" t="str">
        <f t="shared" si="84"/>
        <v>902300</v>
      </c>
      <c r="M1269" s="11" t="str">
        <f>IF(I1269&lt;&gt;"",DATA!E1268,"")</f>
        <v>INTUBATION MANIKIN STUDY TEACHING MODEL</v>
      </c>
      <c r="N1269" s="12">
        <v>0</v>
      </c>
      <c r="O1269" s="11">
        <f>IF(I1269&lt;&gt;"",DATA!C1268,"")</f>
        <v>1.55</v>
      </c>
      <c r="P1269" s="2">
        <v>294094</v>
      </c>
      <c r="Q1269" s="2" t="s">
        <v>1304</v>
      </c>
      <c r="R1269" s="2" t="s">
        <v>1329</v>
      </c>
      <c r="S1269" s="2">
        <v>583</v>
      </c>
      <c r="T1269" s="2">
        <v>1</v>
      </c>
      <c r="U1269" s="2" t="s">
        <v>141</v>
      </c>
      <c r="Y1269" s="2">
        <v>1700</v>
      </c>
      <c r="Z1269" s="11" t="s">
        <v>54</v>
      </c>
      <c r="AA1269" s="11" t="str">
        <f t="shared" si="85"/>
        <v>1700 - TBN</v>
      </c>
      <c r="AC1269" s="2" t="s">
        <v>145</v>
      </c>
      <c r="AD1269" s="11" t="str">
        <f>IF($I1269&lt;&gt;"",VLOOKUP($AC1269,GEADRESSEERDE!$A$2:$E$4,2,),"")</f>
        <v>LUITHAGEN HAVEN 2 D</v>
      </c>
      <c r="AE1269" s="11">
        <f>IF($I1269&lt;&gt;"",VLOOKUP($AC1269,GEADRESSEERDE!$A$2:$E$4,3,),"")</f>
        <v>2030</v>
      </c>
      <c r="AF1269" s="11" t="str">
        <f>IF($I1269&lt;&gt;"",VLOOKUP($AC1269,GEADRESSEERDE!$A$2:$E$4,4,),"")</f>
        <v>ANTWERPEN</v>
      </c>
      <c r="AG1269" s="11" t="str">
        <f>IF($I1269&lt;&gt;"",VLOOKUP($AC1269,GEADRESSEERDE!$A$2:$E$4,5,),"")</f>
        <v>BE</v>
      </c>
      <c r="AH1269" s="11" t="str">
        <f>IF(I1269&lt;&gt;"",VLOOKUP(AP1269,KvB!$A$2:$B$3,2,FALSE),"")</f>
        <v>BE101000</v>
      </c>
      <c r="AI1269" s="11" t="s">
        <v>55</v>
      </c>
      <c r="AJ1269" s="11"/>
      <c r="AK1269" s="11"/>
      <c r="AL1269" s="11"/>
      <c r="AM1269" s="11"/>
      <c r="AN1269" s="11"/>
      <c r="AO1269" s="11"/>
      <c r="AP1269" s="2" t="s">
        <v>70</v>
      </c>
      <c r="AQ1269" s="11" t="str">
        <f>IF(I1269&lt;&gt;"",DATA!D1268,"")</f>
        <v>9023008000</v>
      </c>
    </row>
    <row r="1270" spans="1:43" ht="15.75" x14ac:dyDescent="0.25">
      <c r="A1270" s="11" t="s">
        <v>57</v>
      </c>
      <c r="B1270" s="11" t="s">
        <v>56</v>
      </c>
      <c r="C1270" s="22">
        <f t="shared" si="82"/>
        <v>25001620</v>
      </c>
      <c r="D1270" s="11" t="str">
        <f t="shared" si="83"/>
        <v>SKIIFM_AT</v>
      </c>
      <c r="E1270" s="11" t="str">
        <f>IF(I1270&lt;&gt;"",VLOOKUP(F1270,OPDRACHTGEVER!$A$2:$B$4,2,FALSE),"")</f>
        <v>SKIIFM_AT</v>
      </c>
      <c r="F1270" s="11" t="s">
        <v>58</v>
      </c>
      <c r="I1270" s="11" t="str">
        <f>IF(DATA!B1269&lt;&gt;"",DATA!B1269,"")</f>
        <v>MEDU9355200</v>
      </c>
      <c r="J1270" s="12">
        <v>0</v>
      </c>
      <c r="K1270" s="11" t="s">
        <v>53</v>
      </c>
      <c r="L1270" s="11" t="str">
        <f t="shared" si="84"/>
        <v>741920</v>
      </c>
      <c r="M1270" s="11" t="str">
        <f>IF(I1270&lt;&gt;"",DATA!E1269,"")</f>
        <v>IRON BASE</v>
      </c>
      <c r="N1270" s="12">
        <v>0</v>
      </c>
      <c r="O1270" s="11">
        <f>IF(I1270&lt;&gt;"",DATA!C1269,"")</f>
        <v>11.7</v>
      </c>
      <c r="P1270" s="2">
        <v>294094</v>
      </c>
      <c r="Q1270" s="2" t="s">
        <v>1304</v>
      </c>
      <c r="R1270" s="2" t="s">
        <v>1329</v>
      </c>
      <c r="S1270" s="2">
        <v>583</v>
      </c>
      <c r="T1270" s="2">
        <v>1</v>
      </c>
      <c r="U1270" s="2" t="s">
        <v>141</v>
      </c>
      <c r="Y1270" s="2">
        <v>1700</v>
      </c>
      <c r="Z1270" s="11" t="s">
        <v>54</v>
      </c>
      <c r="AA1270" s="11" t="str">
        <f t="shared" si="85"/>
        <v>1700 - TBN</v>
      </c>
      <c r="AC1270" s="2" t="s">
        <v>145</v>
      </c>
      <c r="AD1270" s="11" t="str">
        <f>IF($I1270&lt;&gt;"",VLOOKUP($AC1270,GEADRESSEERDE!$A$2:$E$4,2,),"")</f>
        <v>LUITHAGEN HAVEN 2 D</v>
      </c>
      <c r="AE1270" s="11">
        <f>IF($I1270&lt;&gt;"",VLOOKUP($AC1270,GEADRESSEERDE!$A$2:$E$4,3,),"")</f>
        <v>2030</v>
      </c>
      <c r="AF1270" s="11" t="str">
        <f>IF($I1270&lt;&gt;"",VLOOKUP($AC1270,GEADRESSEERDE!$A$2:$E$4,4,),"")</f>
        <v>ANTWERPEN</v>
      </c>
      <c r="AG1270" s="11" t="str">
        <f>IF($I1270&lt;&gt;"",VLOOKUP($AC1270,GEADRESSEERDE!$A$2:$E$4,5,),"")</f>
        <v>BE</v>
      </c>
      <c r="AH1270" s="11" t="str">
        <f>IF(I1270&lt;&gt;"",VLOOKUP(AP1270,KvB!$A$2:$B$3,2,FALSE),"")</f>
        <v>BE101000</v>
      </c>
      <c r="AI1270" s="11" t="s">
        <v>55</v>
      </c>
      <c r="AJ1270" s="11"/>
      <c r="AK1270" s="11"/>
      <c r="AL1270" s="11"/>
      <c r="AM1270" s="11"/>
      <c r="AN1270" s="11"/>
      <c r="AO1270" s="11"/>
      <c r="AP1270" s="2" t="s">
        <v>70</v>
      </c>
      <c r="AQ1270" s="11" t="str">
        <f>IF(I1270&lt;&gt;"",DATA!D1269,"")</f>
        <v>7419200090</v>
      </c>
    </row>
    <row r="1271" spans="1:43" ht="15.75" x14ac:dyDescent="0.25">
      <c r="A1271" s="11" t="s">
        <v>57</v>
      </c>
      <c r="B1271" s="11" t="s">
        <v>56</v>
      </c>
      <c r="C1271" s="22">
        <f t="shared" si="82"/>
        <v>25001620</v>
      </c>
      <c r="D1271" s="11" t="str">
        <f t="shared" si="83"/>
        <v>SKIIFM_AT</v>
      </c>
      <c r="E1271" s="11" t="str">
        <f>IF(I1271&lt;&gt;"",VLOOKUP(F1271,OPDRACHTGEVER!$A$2:$B$4,2,FALSE),"")</f>
        <v>SKIIFM_AT</v>
      </c>
      <c r="F1271" s="11" t="s">
        <v>58</v>
      </c>
      <c r="I1271" s="11" t="str">
        <f>IF(DATA!B1270&lt;&gt;"",DATA!B1270,"")</f>
        <v>MEDU9355200</v>
      </c>
      <c r="J1271" s="12">
        <v>0</v>
      </c>
      <c r="K1271" s="11" t="s">
        <v>53</v>
      </c>
      <c r="L1271" s="11" t="str">
        <f t="shared" si="84"/>
        <v>830220</v>
      </c>
      <c r="M1271" s="11" t="str">
        <f>IF(I1271&lt;&gt;"",DATA!E1270,"")</f>
        <v>IRON SWIVEL CASTER WHEELS</v>
      </c>
      <c r="N1271" s="12">
        <v>0</v>
      </c>
      <c r="O1271" s="11">
        <f>IF(I1271&lt;&gt;"",DATA!C1270,"")</f>
        <v>72.8</v>
      </c>
      <c r="P1271" s="2">
        <v>294094</v>
      </c>
      <c r="Q1271" s="2" t="s">
        <v>1304</v>
      </c>
      <c r="R1271" s="2" t="s">
        <v>1329</v>
      </c>
      <c r="S1271" s="2">
        <v>583</v>
      </c>
      <c r="T1271" s="2">
        <v>1</v>
      </c>
      <c r="U1271" s="2" t="s">
        <v>141</v>
      </c>
      <c r="Y1271" s="2">
        <v>1700</v>
      </c>
      <c r="Z1271" s="11" t="s">
        <v>54</v>
      </c>
      <c r="AA1271" s="11" t="str">
        <f t="shared" si="85"/>
        <v>1700 - TBN</v>
      </c>
      <c r="AC1271" s="2" t="s">
        <v>145</v>
      </c>
      <c r="AD1271" s="11" t="str">
        <f>IF($I1271&lt;&gt;"",VLOOKUP($AC1271,GEADRESSEERDE!$A$2:$E$4,2,),"")</f>
        <v>LUITHAGEN HAVEN 2 D</v>
      </c>
      <c r="AE1271" s="11">
        <f>IF($I1271&lt;&gt;"",VLOOKUP($AC1271,GEADRESSEERDE!$A$2:$E$4,3,),"")</f>
        <v>2030</v>
      </c>
      <c r="AF1271" s="11" t="str">
        <f>IF($I1271&lt;&gt;"",VLOOKUP($AC1271,GEADRESSEERDE!$A$2:$E$4,4,),"")</f>
        <v>ANTWERPEN</v>
      </c>
      <c r="AG1271" s="11" t="str">
        <f>IF($I1271&lt;&gt;"",VLOOKUP($AC1271,GEADRESSEERDE!$A$2:$E$4,5,),"")</f>
        <v>BE</v>
      </c>
      <c r="AH1271" s="11" t="str">
        <f>IF(I1271&lt;&gt;"",VLOOKUP(AP1271,KvB!$A$2:$B$3,2,FALSE),"")</f>
        <v>BE101000</v>
      </c>
      <c r="AI1271" s="11" t="s">
        <v>55</v>
      </c>
      <c r="AJ1271" s="11"/>
      <c r="AK1271" s="11"/>
      <c r="AL1271" s="11"/>
      <c r="AM1271" s="11"/>
      <c r="AN1271" s="11"/>
      <c r="AO1271" s="11"/>
      <c r="AP1271" s="2" t="s">
        <v>70</v>
      </c>
      <c r="AQ1271" s="11" t="str">
        <f>IF(I1271&lt;&gt;"",DATA!D1270,"")</f>
        <v>8302200090</v>
      </c>
    </row>
    <row r="1272" spans="1:43" ht="15.75" x14ac:dyDescent="0.25">
      <c r="A1272" s="11" t="s">
        <v>57</v>
      </c>
      <c r="B1272" s="11" t="s">
        <v>56</v>
      </c>
      <c r="C1272" s="22">
        <f t="shared" si="82"/>
        <v>25001620</v>
      </c>
      <c r="D1272" s="11" t="str">
        <f t="shared" si="83"/>
        <v>SKIIFM_AT</v>
      </c>
      <c r="E1272" s="11" t="str">
        <f>IF(I1272&lt;&gt;"",VLOOKUP(F1272,OPDRACHTGEVER!$A$2:$B$4,2,FALSE),"")</f>
        <v>SKIIFM_AT</v>
      </c>
      <c r="F1272" s="11" t="s">
        <v>58</v>
      </c>
      <c r="I1272" s="11" t="str">
        <f>IF(DATA!B1271&lt;&gt;"",DATA!B1271,"")</f>
        <v>MEDU9355200</v>
      </c>
      <c r="J1272" s="12">
        <v>0</v>
      </c>
      <c r="K1272" s="11" t="s">
        <v>53</v>
      </c>
      <c r="L1272" s="11" t="str">
        <f t="shared" si="84"/>
        <v>851420</v>
      </c>
      <c r="M1272" s="11" t="str">
        <f>IF(I1272&lt;&gt;"",DATA!E1271,"")</f>
        <v>MELTING FURNACE</v>
      </c>
      <c r="N1272" s="12">
        <v>0</v>
      </c>
      <c r="O1272" s="11">
        <f>IF(I1272&lt;&gt;"",DATA!C1271,"")</f>
        <v>245.69</v>
      </c>
      <c r="P1272" s="2">
        <v>294094</v>
      </c>
      <c r="Q1272" s="2" t="s">
        <v>1304</v>
      </c>
      <c r="R1272" s="2" t="s">
        <v>1329</v>
      </c>
      <c r="S1272" s="2">
        <v>583</v>
      </c>
      <c r="T1272" s="2">
        <v>1</v>
      </c>
      <c r="U1272" s="2" t="s">
        <v>141</v>
      </c>
      <c r="Y1272" s="2">
        <v>1700</v>
      </c>
      <c r="Z1272" s="11" t="s">
        <v>54</v>
      </c>
      <c r="AA1272" s="11" t="str">
        <f t="shared" si="85"/>
        <v>1700 - TBN</v>
      </c>
      <c r="AC1272" s="2" t="s">
        <v>145</v>
      </c>
      <c r="AD1272" s="11" t="str">
        <f>IF($I1272&lt;&gt;"",VLOOKUP($AC1272,GEADRESSEERDE!$A$2:$E$4,2,),"")</f>
        <v>LUITHAGEN HAVEN 2 D</v>
      </c>
      <c r="AE1272" s="11">
        <f>IF($I1272&lt;&gt;"",VLOOKUP($AC1272,GEADRESSEERDE!$A$2:$E$4,3,),"")</f>
        <v>2030</v>
      </c>
      <c r="AF1272" s="11" t="str">
        <f>IF($I1272&lt;&gt;"",VLOOKUP($AC1272,GEADRESSEERDE!$A$2:$E$4,4,),"")</f>
        <v>ANTWERPEN</v>
      </c>
      <c r="AG1272" s="11" t="str">
        <f>IF($I1272&lt;&gt;"",VLOOKUP($AC1272,GEADRESSEERDE!$A$2:$E$4,5,),"")</f>
        <v>BE</v>
      </c>
      <c r="AH1272" s="11" t="str">
        <f>IF(I1272&lt;&gt;"",VLOOKUP(AP1272,KvB!$A$2:$B$3,2,FALSE),"")</f>
        <v>BE101000</v>
      </c>
      <c r="AI1272" s="11" t="s">
        <v>55</v>
      </c>
      <c r="AJ1272" s="11"/>
      <c r="AK1272" s="11"/>
      <c r="AL1272" s="11"/>
      <c r="AM1272" s="11"/>
      <c r="AN1272" s="11"/>
      <c r="AO1272" s="11"/>
      <c r="AP1272" s="2" t="s">
        <v>70</v>
      </c>
      <c r="AQ1272" s="11" t="str">
        <f>IF(I1272&lt;&gt;"",DATA!D1271,"")</f>
        <v>8514208000</v>
      </c>
    </row>
    <row r="1273" spans="1:43" ht="15.75" x14ac:dyDescent="0.25">
      <c r="A1273" s="11" t="s">
        <v>57</v>
      </c>
      <c r="B1273" s="11" t="s">
        <v>56</v>
      </c>
      <c r="C1273" s="22">
        <f t="shared" si="82"/>
        <v>25001620</v>
      </c>
      <c r="D1273" s="11" t="str">
        <f t="shared" si="83"/>
        <v>SKIIFM_AT</v>
      </c>
      <c r="E1273" s="11" t="str">
        <f>IF(I1273&lt;&gt;"",VLOOKUP(F1273,OPDRACHTGEVER!$A$2:$B$4,2,FALSE),"")</f>
        <v>SKIIFM_AT</v>
      </c>
      <c r="F1273" s="11" t="s">
        <v>58</v>
      </c>
      <c r="I1273" s="11" t="str">
        <f>IF(DATA!B1272&lt;&gt;"",DATA!B1272,"")</f>
        <v>MEDU9355200</v>
      </c>
      <c r="J1273" s="12">
        <v>0</v>
      </c>
      <c r="K1273" s="11" t="s">
        <v>53</v>
      </c>
      <c r="L1273" s="11" t="str">
        <f t="shared" si="84"/>
        <v>741920</v>
      </c>
      <c r="M1273" s="11" t="str">
        <f>IF(I1273&lt;&gt;"",DATA!E1272,"")</f>
        <v>METAL FENCE</v>
      </c>
      <c r="N1273" s="12">
        <v>0</v>
      </c>
      <c r="O1273" s="11">
        <f>IF(I1273&lt;&gt;"",DATA!C1272,"")</f>
        <v>2.8</v>
      </c>
      <c r="P1273" s="2">
        <v>294094</v>
      </c>
      <c r="Q1273" s="2" t="s">
        <v>1304</v>
      </c>
      <c r="R1273" s="2" t="s">
        <v>1329</v>
      </c>
      <c r="S1273" s="2">
        <v>583</v>
      </c>
      <c r="T1273" s="2">
        <v>1</v>
      </c>
      <c r="U1273" s="2" t="s">
        <v>141</v>
      </c>
      <c r="Y1273" s="2">
        <v>1700</v>
      </c>
      <c r="Z1273" s="11" t="s">
        <v>54</v>
      </c>
      <c r="AA1273" s="11" t="str">
        <f t="shared" si="85"/>
        <v>1700 - TBN</v>
      </c>
      <c r="AC1273" s="2" t="s">
        <v>145</v>
      </c>
      <c r="AD1273" s="11" t="str">
        <f>IF($I1273&lt;&gt;"",VLOOKUP($AC1273,GEADRESSEERDE!$A$2:$E$4,2,),"")</f>
        <v>LUITHAGEN HAVEN 2 D</v>
      </c>
      <c r="AE1273" s="11">
        <f>IF($I1273&lt;&gt;"",VLOOKUP($AC1273,GEADRESSEERDE!$A$2:$E$4,3,),"")</f>
        <v>2030</v>
      </c>
      <c r="AF1273" s="11" t="str">
        <f>IF($I1273&lt;&gt;"",VLOOKUP($AC1273,GEADRESSEERDE!$A$2:$E$4,4,),"")</f>
        <v>ANTWERPEN</v>
      </c>
      <c r="AG1273" s="11" t="str">
        <f>IF($I1273&lt;&gt;"",VLOOKUP($AC1273,GEADRESSEERDE!$A$2:$E$4,5,),"")</f>
        <v>BE</v>
      </c>
      <c r="AH1273" s="11" t="str">
        <f>IF(I1273&lt;&gt;"",VLOOKUP(AP1273,KvB!$A$2:$B$3,2,FALSE),"")</f>
        <v>BE101000</v>
      </c>
      <c r="AI1273" s="11" t="s">
        <v>55</v>
      </c>
      <c r="AJ1273" s="11"/>
      <c r="AK1273" s="11"/>
      <c r="AL1273" s="11"/>
      <c r="AM1273" s="11"/>
      <c r="AN1273" s="11"/>
      <c r="AO1273" s="11"/>
      <c r="AP1273" s="2" t="s">
        <v>70</v>
      </c>
      <c r="AQ1273" s="11" t="str">
        <f>IF(I1273&lt;&gt;"",DATA!D1272,"")</f>
        <v>7419200090</v>
      </c>
    </row>
    <row r="1274" spans="1:43" ht="15.75" x14ac:dyDescent="0.25">
      <c r="A1274" s="11" t="s">
        <v>57</v>
      </c>
      <c r="B1274" s="11" t="s">
        <v>56</v>
      </c>
      <c r="C1274" s="22">
        <f t="shared" si="82"/>
        <v>25001620</v>
      </c>
      <c r="D1274" s="11" t="str">
        <f t="shared" si="83"/>
        <v>SKIIFM_AT</v>
      </c>
      <c r="E1274" s="11" t="str">
        <f>IF(I1274&lt;&gt;"",VLOOKUP(F1274,OPDRACHTGEVER!$A$2:$B$4,2,FALSE),"")</f>
        <v>SKIIFM_AT</v>
      </c>
      <c r="F1274" s="11" t="s">
        <v>58</v>
      </c>
      <c r="I1274" s="11" t="str">
        <f>IF(DATA!B1273&lt;&gt;"",DATA!B1273,"")</f>
        <v>MEDU9355200</v>
      </c>
      <c r="J1274" s="12">
        <v>0</v>
      </c>
      <c r="K1274" s="11" t="s">
        <v>53</v>
      </c>
      <c r="L1274" s="11" t="str">
        <f t="shared" si="84"/>
        <v>901210</v>
      </c>
      <c r="M1274" s="11" t="str">
        <f>IF(I1274&lt;&gt;"",DATA!E1273,"")</f>
        <v>MICROSCOPE</v>
      </c>
      <c r="N1274" s="12">
        <v>0</v>
      </c>
      <c r="O1274" s="11">
        <f>IF(I1274&lt;&gt;"",DATA!C1273,"")</f>
        <v>714</v>
      </c>
      <c r="P1274" s="2">
        <v>294094</v>
      </c>
      <c r="Q1274" s="2" t="s">
        <v>1304</v>
      </c>
      <c r="R1274" s="2" t="s">
        <v>1329</v>
      </c>
      <c r="S1274" s="2">
        <v>583</v>
      </c>
      <c r="T1274" s="2">
        <v>1</v>
      </c>
      <c r="U1274" s="2" t="s">
        <v>141</v>
      </c>
      <c r="Y1274" s="2">
        <v>1700</v>
      </c>
      <c r="Z1274" s="11" t="s">
        <v>54</v>
      </c>
      <c r="AA1274" s="11" t="str">
        <f t="shared" si="85"/>
        <v>1700 - TBN</v>
      </c>
      <c r="AC1274" s="2" t="s">
        <v>145</v>
      </c>
      <c r="AD1274" s="11" t="str">
        <f>IF($I1274&lt;&gt;"",VLOOKUP($AC1274,GEADRESSEERDE!$A$2:$E$4,2,),"")</f>
        <v>LUITHAGEN HAVEN 2 D</v>
      </c>
      <c r="AE1274" s="11">
        <f>IF($I1274&lt;&gt;"",VLOOKUP($AC1274,GEADRESSEERDE!$A$2:$E$4,3,),"")</f>
        <v>2030</v>
      </c>
      <c r="AF1274" s="11" t="str">
        <f>IF($I1274&lt;&gt;"",VLOOKUP($AC1274,GEADRESSEERDE!$A$2:$E$4,4,),"")</f>
        <v>ANTWERPEN</v>
      </c>
      <c r="AG1274" s="11" t="str">
        <f>IF($I1274&lt;&gt;"",VLOOKUP($AC1274,GEADRESSEERDE!$A$2:$E$4,5,),"")</f>
        <v>BE</v>
      </c>
      <c r="AH1274" s="11" t="str">
        <f>IF(I1274&lt;&gt;"",VLOOKUP(AP1274,KvB!$A$2:$B$3,2,FALSE),"")</f>
        <v>BE101000</v>
      </c>
      <c r="AI1274" s="11" t="s">
        <v>55</v>
      </c>
      <c r="AJ1274" s="11"/>
      <c r="AK1274" s="11"/>
      <c r="AL1274" s="11"/>
      <c r="AM1274" s="11"/>
      <c r="AN1274" s="11"/>
      <c r="AO1274" s="11"/>
      <c r="AP1274" s="2" t="s">
        <v>70</v>
      </c>
      <c r="AQ1274" s="11" t="str">
        <f>IF(I1274&lt;&gt;"",DATA!D1273,"")</f>
        <v>9012100000</v>
      </c>
    </row>
    <row r="1275" spans="1:43" ht="15.75" x14ac:dyDescent="0.25">
      <c r="A1275" s="11" t="s">
        <v>57</v>
      </c>
      <c r="B1275" s="11" t="s">
        <v>56</v>
      </c>
      <c r="C1275" s="22">
        <f t="shared" si="82"/>
        <v>25001620</v>
      </c>
      <c r="D1275" s="11" t="str">
        <f t="shared" si="83"/>
        <v>SKIIFM_AT</v>
      </c>
      <c r="E1275" s="11" t="str">
        <f>IF(I1275&lt;&gt;"",VLOOKUP(F1275,OPDRACHTGEVER!$A$2:$B$4,2,FALSE),"")</f>
        <v>SKIIFM_AT</v>
      </c>
      <c r="F1275" s="11" t="s">
        <v>58</v>
      </c>
      <c r="I1275" s="11" t="str">
        <f>IF(DATA!B1274&lt;&gt;"",DATA!B1274,"")</f>
        <v>MEDU9355200</v>
      </c>
      <c r="J1275" s="12">
        <v>0</v>
      </c>
      <c r="K1275" s="11" t="s">
        <v>53</v>
      </c>
      <c r="L1275" s="11" t="str">
        <f t="shared" si="84"/>
        <v>392690</v>
      </c>
      <c r="M1275" s="11" t="str">
        <f>IF(I1275&lt;&gt;"",DATA!E1274,"")</f>
        <v>PARTS BOX</v>
      </c>
      <c r="N1275" s="12">
        <v>0</v>
      </c>
      <c r="O1275" s="11">
        <f>IF(I1275&lt;&gt;"",DATA!C1274,"")</f>
        <v>191.6</v>
      </c>
      <c r="P1275" s="2">
        <v>294094</v>
      </c>
      <c r="Q1275" s="2" t="s">
        <v>1304</v>
      </c>
      <c r="R1275" s="2" t="s">
        <v>1329</v>
      </c>
      <c r="S1275" s="2">
        <v>583</v>
      </c>
      <c r="T1275" s="2">
        <v>1</v>
      </c>
      <c r="U1275" s="2" t="s">
        <v>141</v>
      </c>
      <c r="Y1275" s="2">
        <v>1700</v>
      </c>
      <c r="Z1275" s="11" t="s">
        <v>54</v>
      </c>
      <c r="AA1275" s="11" t="str">
        <f t="shared" si="85"/>
        <v>1700 - TBN</v>
      </c>
      <c r="AC1275" s="2" t="s">
        <v>145</v>
      </c>
      <c r="AD1275" s="11" t="str">
        <f>IF($I1275&lt;&gt;"",VLOOKUP($AC1275,GEADRESSEERDE!$A$2:$E$4,2,),"")</f>
        <v>LUITHAGEN HAVEN 2 D</v>
      </c>
      <c r="AE1275" s="11">
        <f>IF($I1275&lt;&gt;"",VLOOKUP($AC1275,GEADRESSEERDE!$A$2:$E$4,3,),"")</f>
        <v>2030</v>
      </c>
      <c r="AF1275" s="11" t="str">
        <f>IF($I1275&lt;&gt;"",VLOOKUP($AC1275,GEADRESSEERDE!$A$2:$E$4,4,),"")</f>
        <v>ANTWERPEN</v>
      </c>
      <c r="AG1275" s="11" t="str">
        <f>IF($I1275&lt;&gt;"",VLOOKUP($AC1275,GEADRESSEERDE!$A$2:$E$4,5,),"")</f>
        <v>BE</v>
      </c>
      <c r="AH1275" s="11" t="str">
        <f>IF(I1275&lt;&gt;"",VLOOKUP(AP1275,KvB!$A$2:$B$3,2,FALSE),"")</f>
        <v>BE101000</v>
      </c>
      <c r="AI1275" s="11" t="s">
        <v>55</v>
      </c>
      <c r="AJ1275" s="11"/>
      <c r="AK1275" s="11"/>
      <c r="AL1275" s="11"/>
      <c r="AM1275" s="11"/>
      <c r="AN1275" s="11"/>
      <c r="AO1275" s="11"/>
      <c r="AP1275" s="2" t="s">
        <v>70</v>
      </c>
      <c r="AQ1275" s="11" t="str">
        <f>IF(I1275&lt;&gt;"",DATA!D1274,"")</f>
        <v>3926909790</v>
      </c>
    </row>
    <row r="1276" spans="1:43" ht="15.75" x14ac:dyDescent="0.25">
      <c r="A1276" s="11" t="s">
        <v>57</v>
      </c>
      <c r="B1276" s="11" t="s">
        <v>56</v>
      </c>
      <c r="C1276" s="22">
        <f t="shared" si="82"/>
        <v>25001620</v>
      </c>
      <c r="D1276" s="11" t="str">
        <f t="shared" si="83"/>
        <v>SKIIFM_AT</v>
      </c>
      <c r="E1276" s="11" t="str">
        <f>IF(I1276&lt;&gt;"",VLOOKUP(F1276,OPDRACHTGEVER!$A$2:$B$4,2,FALSE),"")</f>
        <v>SKIIFM_AT</v>
      </c>
      <c r="F1276" s="11" t="s">
        <v>58</v>
      </c>
      <c r="I1276" s="11" t="str">
        <f>IF(DATA!B1275&lt;&gt;"",DATA!B1275,"")</f>
        <v>MEDU9355200</v>
      </c>
      <c r="J1276" s="12">
        <v>0</v>
      </c>
      <c r="K1276" s="11" t="s">
        <v>53</v>
      </c>
      <c r="L1276" s="11" t="str">
        <f t="shared" si="84"/>
        <v>940290</v>
      </c>
      <c r="M1276" s="11" t="str">
        <f>IF(I1276&lt;&gt;"",DATA!E1275,"")</f>
        <v>PET BEAUTY TABLE</v>
      </c>
      <c r="N1276" s="12">
        <v>0</v>
      </c>
      <c r="O1276" s="11">
        <f>IF(I1276&lt;&gt;"",DATA!C1275,"")</f>
        <v>138.9</v>
      </c>
      <c r="P1276" s="2">
        <v>294094</v>
      </c>
      <c r="Q1276" s="2" t="s">
        <v>1304</v>
      </c>
      <c r="R1276" s="2" t="s">
        <v>1329</v>
      </c>
      <c r="S1276" s="2">
        <v>583</v>
      </c>
      <c r="T1276" s="2">
        <v>1</v>
      </c>
      <c r="U1276" s="2" t="s">
        <v>141</v>
      </c>
      <c r="Y1276" s="2">
        <v>1700</v>
      </c>
      <c r="Z1276" s="11" t="s">
        <v>54</v>
      </c>
      <c r="AA1276" s="11" t="str">
        <f t="shared" si="85"/>
        <v>1700 - TBN</v>
      </c>
      <c r="AC1276" s="2" t="s">
        <v>145</v>
      </c>
      <c r="AD1276" s="11" t="str">
        <f>IF($I1276&lt;&gt;"",VLOOKUP($AC1276,GEADRESSEERDE!$A$2:$E$4,2,),"")</f>
        <v>LUITHAGEN HAVEN 2 D</v>
      </c>
      <c r="AE1276" s="11">
        <f>IF($I1276&lt;&gt;"",VLOOKUP($AC1276,GEADRESSEERDE!$A$2:$E$4,3,),"")</f>
        <v>2030</v>
      </c>
      <c r="AF1276" s="11" t="str">
        <f>IF($I1276&lt;&gt;"",VLOOKUP($AC1276,GEADRESSEERDE!$A$2:$E$4,4,),"")</f>
        <v>ANTWERPEN</v>
      </c>
      <c r="AG1276" s="11" t="str">
        <f>IF($I1276&lt;&gt;"",VLOOKUP($AC1276,GEADRESSEERDE!$A$2:$E$4,5,),"")</f>
        <v>BE</v>
      </c>
      <c r="AH1276" s="11" t="str">
        <f>IF(I1276&lt;&gt;"",VLOOKUP(AP1276,KvB!$A$2:$B$3,2,FALSE),"")</f>
        <v>BE101000</v>
      </c>
      <c r="AI1276" s="11" t="s">
        <v>55</v>
      </c>
      <c r="AJ1276" s="11"/>
      <c r="AK1276" s="11"/>
      <c r="AL1276" s="11"/>
      <c r="AM1276" s="11"/>
      <c r="AN1276" s="11"/>
      <c r="AO1276" s="11"/>
      <c r="AP1276" s="2" t="s">
        <v>70</v>
      </c>
      <c r="AQ1276" s="11" t="str">
        <f>IF(I1276&lt;&gt;"",DATA!D1275,"")</f>
        <v>9402900000</v>
      </c>
    </row>
    <row r="1277" spans="1:43" ht="15.75" x14ac:dyDescent="0.25">
      <c r="A1277" s="11" t="s">
        <v>57</v>
      </c>
      <c r="B1277" s="11" t="s">
        <v>56</v>
      </c>
      <c r="C1277" s="22">
        <f t="shared" si="82"/>
        <v>25001620</v>
      </c>
      <c r="D1277" s="11" t="str">
        <f t="shared" si="83"/>
        <v>SKIIFM_AT</v>
      </c>
      <c r="E1277" s="11" t="str">
        <f>IF(I1277&lt;&gt;"",VLOOKUP(F1277,OPDRACHTGEVER!$A$2:$B$4,2,FALSE),"")</f>
        <v>SKIIFM_AT</v>
      </c>
      <c r="F1277" s="11" t="s">
        <v>58</v>
      </c>
      <c r="I1277" s="11" t="str">
        <f>IF(DATA!B1276&lt;&gt;"",DATA!B1276,"")</f>
        <v>MEDU9355200</v>
      </c>
      <c r="J1277" s="12">
        <v>0</v>
      </c>
      <c r="K1277" s="11" t="s">
        <v>53</v>
      </c>
      <c r="L1277" s="11" t="str">
        <f t="shared" si="84"/>
        <v>741920</v>
      </c>
      <c r="M1277" s="11" t="str">
        <f>IF(I1277&lt;&gt;"",DATA!E1276,"")</f>
        <v>PIZZA PLATE</v>
      </c>
      <c r="N1277" s="12">
        <v>0</v>
      </c>
      <c r="O1277" s="11">
        <f>IF(I1277&lt;&gt;"",DATA!C1276,"")</f>
        <v>23.3</v>
      </c>
      <c r="P1277" s="2">
        <v>294094</v>
      </c>
      <c r="Q1277" s="2" t="s">
        <v>1304</v>
      </c>
      <c r="R1277" s="2" t="s">
        <v>1329</v>
      </c>
      <c r="S1277" s="2">
        <v>583</v>
      </c>
      <c r="T1277" s="2">
        <v>1</v>
      </c>
      <c r="U1277" s="2" t="s">
        <v>141</v>
      </c>
      <c r="Y1277" s="2">
        <v>1700</v>
      </c>
      <c r="Z1277" s="11" t="s">
        <v>54</v>
      </c>
      <c r="AA1277" s="11" t="str">
        <f t="shared" si="85"/>
        <v>1700 - TBN</v>
      </c>
      <c r="AC1277" s="2" t="s">
        <v>145</v>
      </c>
      <c r="AD1277" s="11" t="str">
        <f>IF($I1277&lt;&gt;"",VLOOKUP($AC1277,GEADRESSEERDE!$A$2:$E$4,2,),"")</f>
        <v>LUITHAGEN HAVEN 2 D</v>
      </c>
      <c r="AE1277" s="11">
        <f>IF($I1277&lt;&gt;"",VLOOKUP($AC1277,GEADRESSEERDE!$A$2:$E$4,3,),"")</f>
        <v>2030</v>
      </c>
      <c r="AF1277" s="11" t="str">
        <f>IF($I1277&lt;&gt;"",VLOOKUP($AC1277,GEADRESSEERDE!$A$2:$E$4,4,),"")</f>
        <v>ANTWERPEN</v>
      </c>
      <c r="AG1277" s="11" t="str">
        <f>IF($I1277&lt;&gt;"",VLOOKUP($AC1277,GEADRESSEERDE!$A$2:$E$4,5,),"")</f>
        <v>BE</v>
      </c>
      <c r="AH1277" s="11" t="str">
        <f>IF(I1277&lt;&gt;"",VLOOKUP(AP1277,KvB!$A$2:$B$3,2,FALSE),"")</f>
        <v>BE101000</v>
      </c>
      <c r="AI1277" s="11" t="s">
        <v>55</v>
      </c>
      <c r="AJ1277" s="11"/>
      <c r="AK1277" s="11"/>
      <c r="AL1277" s="11"/>
      <c r="AM1277" s="11"/>
      <c r="AN1277" s="11"/>
      <c r="AO1277" s="11"/>
      <c r="AP1277" s="2" t="s">
        <v>70</v>
      </c>
      <c r="AQ1277" s="11" t="str">
        <f>IF(I1277&lt;&gt;"",DATA!D1276,"")</f>
        <v>7419200090</v>
      </c>
    </row>
    <row r="1278" spans="1:43" ht="15.75" x14ac:dyDescent="0.25">
      <c r="A1278" s="11" t="s">
        <v>57</v>
      </c>
      <c r="B1278" s="11" t="s">
        <v>56</v>
      </c>
      <c r="C1278" s="22">
        <f t="shared" si="82"/>
        <v>25001620</v>
      </c>
      <c r="D1278" s="11" t="str">
        <f t="shared" si="83"/>
        <v>SKIIFM_AT</v>
      </c>
      <c r="E1278" s="11" t="str">
        <f>IF(I1278&lt;&gt;"",VLOOKUP(F1278,OPDRACHTGEVER!$A$2:$B$4,2,FALSE),"")</f>
        <v>SKIIFM_AT</v>
      </c>
      <c r="F1278" s="11" t="s">
        <v>58</v>
      </c>
      <c r="I1278" s="11" t="str">
        <f>IF(DATA!B1277&lt;&gt;"",DATA!B1277,"")</f>
        <v>MEDU9355200</v>
      </c>
      <c r="J1278" s="12">
        <v>0</v>
      </c>
      <c r="K1278" s="11" t="s">
        <v>53</v>
      </c>
      <c r="L1278" s="11" t="str">
        <f t="shared" si="84"/>
        <v>741920</v>
      </c>
      <c r="M1278" s="11" t="str">
        <f>IF(I1278&lt;&gt;"",DATA!E1277,"")</f>
        <v>QUEUE LINE PROTECT</v>
      </c>
      <c r="N1278" s="12">
        <v>0</v>
      </c>
      <c r="O1278" s="11">
        <f>IF(I1278&lt;&gt;"",DATA!C1277,"")</f>
        <v>607.91999999999996</v>
      </c>
      <c r="P1278" s="2">
        <v>294094</v>
      </c>
      <c r="Q1278" s="2" t="s">
        <v>1304</v>
      </c>
      <c r="R1278" s="2" t="s">
        <v>1329</v>
      </c>
      <c r="S1278" s="2">
        <v>583</v>
      </c>
      <c r="T1278" s="2">
        <v>1</v>
      </c>
      <c r="U1278" s="2" t="s">
        <v>141</v>
      </c>
      <c r="Y1278" s="2">
        <v>1700</v>
      </c>
      <c r="Z1278" s="11" t="s">
        <v>54</v>
      </c>
      <c r="AA1278" s="11" t="str">
        <f t="shared" si="85"/>
        <v>1700 - TBN</v>
      </c>
      <c r="AC1278" s="2" t="s">
        <v>145</v>
      </c>
      <c r="AD1278" s="11" t="str">
        <f>IF($I1278&lt;&gt;"",VLOOKUP($AC1278,GEADRESSEERDE!$A$2:$E$4,2,),"")</f>
        <v>LUITHAGEN HAVEN 2 D</v>
      </c>
      <c r="AE1278" s="11">
        <f>IF($I1278&lt;&gt;"",VLOOKUP($AC1278,GEADRESSEERDE!$A$2:$E$4,3,),"")</f>
        <v>2030</v>
      </c>
      <c r="AF1278" s="11" t="str">
        <f>IF($I1278&lt;&gt;"",VLOOKUP($AC1278,GEADRESSEERDE!$A$2:$E$4,4,),"")</f>
        <v>ANTWERPEN</v>
      </c>
      <c r="AG1278" s="11" t="str">
        <f>IF($I1278&lt;&gt;"",VLOOKUP($AC1278,GEADRESSEERDE!$A$2:$E$4,5,),"")</f>
        <v>BE</v>
      </c>
      <c r="AH1278" s="11" t="str">
        <f>IF(I1278&lt;&gt;"",VLOOKUP(AP1278,KvB!$A$2:$B$3,2,FALSE),"")</f>
        <v>BE101000</v>
      </c>
      <c r="AI1278" s="11" t="s">
        <v>55</v>
      </c>
      <c r="AJ1278" s="11"/>
      <c r="AK1278" s="11"/>
      <c r="AL1278" s="11"/>
      <c r="AM1278" s="11"/>
      <c r="AN1278" s="11"/>
      <c r="AO1278" s="11"/>
      <c r="AP1278" s="2" t="s">
        <v>70</v>
      </c>
      <c r="AQ1278" s="11" t="str">
        <f>IF(I1278&lt;&gt;"",DATA!D1277,"")</f>
        <v>7419200090</v>
      </c>
    </row>
    <row r="1279" spans="1:43" ht="15.75" x14ac:dyDescent="0.25">
      <c r="A1279" s="11" t="s">
        <v>57</v>
      </c>
      <c r="B1279" s="11" t="s">
        <v>56</v>
      </c>
      <c r="C1279" s="22">
        <f t="shared" si="82"/>
        <v>25001620</v>
      </c>
      <c r="D1279" s="11" t="str">
        <f t="shared" si="83"/>
        <v>SKIIFM_AT</v>
      </c>
      <c r="E1279" s="11" t="str">
        <f>IF(I1279&lt;&gt;"",VLOOKUP(F1279,OPDRACHTGEVER!$A$2:$B$4,2,FALSE),"")</f>
        <v>SKIIFM_AT</v>
      </c>
      <c r="F1279" s="11" t="s">
        <v>58</v>
      </c>
      <c r="I1279" s="11" t="str">
        <f>IF(DATA!B1278&lt;&gt;"",DATA!B1278,"")</f>
        <v>MEDU9355200</v>
      </c>
      <c r="J1279" s="12">
        <v>0</v>
      </c>
      <c r="K1279" s="11" t="s">
        <v>53</v>
      </c>
      <c r="L1279" s="11" t="str">
        <f t="shared" si="84"/>
        <v>392113</v>
      </c>
      <c r="M1279" s="11" t="str">
        <f>IF(I1279&lt;&gt;"",DATA!E1278,"")</f>
        <v>SELF-ADHESIVE ACOUSTIC FOAM PANELS</v>
      </c>
      <c r="N1279" s="12">
        <v>0</v>
      </c>
      <c r="O1279" s="11">
        <f>IF(I1279&lt;&gt;"",DATA!C1278,"")</f>
        <v>93.8</v>
      </c>
      <c r="P1279" s="2">
        <v>294094</v>
      </c>
      <c r="Q1279" s="2" t="s">
        <v>1304</v>
      </c>
      <c r="R1279" s="2" t="s">
        <v>1329</v>
      </c>
      <c r="S1279" s="2">
        <v>583</v>
      </c>
      <c r="T1279" s="2">
        <v>1</v>
      </c>
      <c r="U1279" s="2" t="s">
        <v>141</v>
      </c>
      <c r="Y1279" s="2">
        <v>1700</v>
      </c>
      <c r="Z1279" s="11" t="s">
        <v>54</v>
      </c>
      <c r="AA1279" s="11" t="str">
        <f t="shared" si="85"/>
        <v>1700 - TBN</v>
      </c>
      <c r="AC1279" s="2" t="s">
        <v>145</v>
      </c>
      <c r="AD1279" s="11" t="str">
        <f>IF($I1279&lt;&gt;"",VLOOKUP($AC1279,GEADRESSEERDE!$A$2:$E$4,2,),"")</f>
        <v>LUITHAGEN HAVEN 2 D</v>
      </c>
      <c r="AE1279" s="11">
        <f>IF($I1279&lt;&gt;"",VLOOKUP($AC1279,GEADRESSEERDE!$A$2:$E$4,3,),"")</f>
        <v>2030</v>
      </c>
      <c r="AF1279" s="11" t="str">
        <f>IF($I1279&lt;&gt;"",VLOOKUP($AC1279,GEADRESSEERDE!$A$2:$E$4,4,),"")</f>
        <v>ANTWERPEN</v>
      </c>
      <c r="AG1279" s="11" t="str">
        <f>IF($I1279&lt;&gt;"",VLOOKUP($AC1279,GEADRESSEERDE!$A$2:$E$4,5,),"")</f>
        <v>BE</v>
      </c>
      <c r="AH1279" s="11" t="str">
        <f>IF(I1279&lt;&gt;"",VLOOKUP(AP1279,KvB!$A$2:$B$3,2,FALSE),"")</f>
        <v>BE101000</v>
      </c>
      <c r="AI1279" s="11" t="s">
        <v>55</v>
      </c>
      <c r="AJ1279" s="11"/>
      <c r="AK1279" s="11"/>
      <c r="AL1279" s="11"/>
      <c r="AM1279" s="11"/>
      <c r="AN1279" s="11"/>
      <c r="AO1279" s="11"/>
      <c r="AP1279" s="2" t="s">
        <v>70</v>
      </c>
      <c r="AQ1279" s="11" t="str">
        <f>IF(I1279&lt;&gt;"",DATA!D1278,"")</f>
        <v>3921139000</v>
      </c>
    </row>
    <row r="1280" spans="1:43" ht="15.75" x14ac:dyDescent="0.25">
      <c r="A1280" s="11" t="s">
        <v>57</v>
      </c>
      <c r="B1280" s="11" t="s">
        <v>56</v>
      </c>
      <c r="C1280" s="22">
        <f t="shared" si="82"/>
        <v>25001620</v>
      </c>
      <c r="D1280" s="11" t="str">
        <f t="shared" si="83"/>
        <v>SKIIFM_AT</v>
      </c>
      <c r="E1280" s="11" t="str">
        <f>IF(I1280&lt;&gt;"",VLOOKUP(F1280,OPDRACHTGEVER!$A$2:$B$4,2,FALSE),"")</f>
        <v>SKIIFM_AT</v>
      </c>
      <c r="F1280" s="11" t="s">
        <v>58</v>
      </c>
      <c r="I1280" s="11" t="str">
        <f>IF(DATA!B1279&lt;&gt;"",DATA!B1279,"")</f>
        <v>MEDU9355200</v>
      </c>
      <c r="J1280" s="12">
        <v>0</v>
      </c>
      <c r="K1280" s="11" t="s">
        <v>53</v>
      </c>
      <c r="L1280" s="11" t="str">
        <f t="shared" si="84"/>
        <v>871680</v>
      </c>
      <c r="M1280" s="11" t="str">
        <f>IF(I1280&lt;&gt;"",DATA!E1279,"")</f>
        <v>TROLLEY</v>
      </c>
      <c r="N1280" s="12">
        <v>0</v>
      </c>
      <c r="O1280" s="11">
        <f>IF(I1280&lt;&gt;"",DATA!C1279,"")</f>
        <v>304.2</v>
      </c>
      <c r="P1280" s="2">
        <v>294094</v>
      </c>
      <c r="Q1280" s="2" t="s">
        <v>1304</v>
      </c>
      <c r="R1280" s="2" t="s">
        <v>1329</v>
      </c>
      <c r="S1280" s="2">
        <v>583</v>
      </c>
      <c r="T1280" s="2">
        <v>1</v>
      </c>
      <c r="U1280" s="2" t="s">
        <v>141</v>
      </c>
      <c r="Y1280" s="2">
        <v>1700</v>
      </c>
      <c r="Z1280" s="11" t="s">
        <v>54</v>
      </c>
      <c r="AA1280" s="11" t="str">
        <f t="shared" si="85"/>
        <v>1700 - TBN</v>
      </c>
      <c r="AC1280" s="2" t="s">
        <v>145</v>
      </c>
      <c r="AD1280" s="11" t="str">
        <f>IF($I1280&lt;&gt;"",VLOOKUP($AC1280,GEADRESSEERDE!$A$2:$E$4,2,),"")</f>
        <v>LUITHAGEN HAVEN 2 D</v>
      </c>
      <c r="AE1280" s="11">
        <f>IF($I1280&lt;&gt;"",VLOOKUP($AC1280,GEADRESSEERDE!$A$2:$E$4,3,),"")</f>
        <v>2030</v>
      </c>
      <c r="AF1280" s="11" t="str">
        <f>IF($I1280&lt;&gt;"",VLOOKUP($AC1280,GEADRESSEERDE!$A$2:$E$4,4,),"")</f>
        <v>ANTWERPEN</v>
      </c>
      <c r="AG1280" s="11" t="str">
        <f>IF($I1280&lt;&gt;"",VLOOKUP($AC1280,GEADRESSEERDE!$A$2:$E$4,5,),"")</f>
        <v>BE</v>
      </c>
      <c r="AH1280" s="11" t="str">
        <f>IF(I1280&lt;&gt;"",VLOOKUP(AP1280,KvB!$A$2:$B$3,2,FALSE),"")</f>
        <v>BE101000</v>
      </c>
      <c r="AI1280" s="11" t="s">
        <v>55</v>
      </c>
      <c r="AJ1280" s="11"/>
      <c r="AK1280" s="11"/>
      <c r="AL1280" s="11"/>
      <c r="AM1280" s="11"/>
      <c r="AN1280" s="11"/>
      <c r="AO1280" s="11"/>
      <c r="AP1280" s="2" t="s">
        <v>70</v>
      </c>
      <c r="AQ1280" s="11" t="str">
        <f>IF(I1280&lt;&gt;"",DATA!D1279,"")</f>
        <v>8716800000</v>
      </c>
    </row>
    <row r="1281" spans="1:43" ht="15.75" x14ac:dyDescent="0.25">
      <c r="A1281" s="11" t="s">
        <v>57</v>
      </c>
      <c r="B1281" s="11" t="s">
        <v>56</v>
      </c>
      <c r="C1281" s="22">
        <f t="shared" si="82"/>
        <v>25001620</v>
      </c>
      <c r="D1281" s="11" t="str">
        <f t="shared" si="83"/>
        <v>SKIIFM_AT</v>
      </c>
      <c r="E1281" s="11" t="str">
        <f>IF(I1281&lt;&gt;"",VLOOKUP(F1281,OPDRACHTGEVER!$A$2:$B$4,2,FALSE),"")</f>
        <v>SKIIFM_AT</v>
      </c>
      <c r="F1281" s="11" t="s">
        <v>58</v>
      </c>
      <c r="I1281" s="11" t="str">
        <f>IF(DATA!B1280&lt;&gt;"",DATA!B1280,"")</f>
        <v>MEDU9355200</v>
      </c>
      <c r="J1281" s="12">
        <v>0</v>
      </c>
      <c r="K1281" s="11" t="s">
        <v>53</v>
      </c>
      <c r="L1281" s="11" t="str">
        <f t="shared" si="84"/>
        <v>851679</v>
      </c>
      <c r="M1281" s="11" t="str">
        <f>IF(I1281&lt;&gt;"",DATA!E1280,"")</f>
        <v>STEAM GENERATOR</v>
      </c>
      <c r="N1281" s="12">
        <v>0</v>
      </c>
      <c r="O1281" s="11">
        <f>IF(I1281&lt;&gt;"",DATA!C1280,"")</f>
        <v>473</v>
      </c>
      <c r="P1281" s="2">
        <v>294094</v>
      </c>
      <c r="Q1281" s="2" t="s">
        <v>1304</v>
      </c>
      <c r="R1281" s="2" t="s">
        <v>1329</v>
      </c>
      <c r="S1281" s="2">
        <v>583</v>
      </c>
      <c r="T1281" s="2">
        <v>1</v>
      </c>
      <c r="U1281" s="2" t="s">
        <v>141</v>
      </c>
      <c r="Y1281" s="2">
        <v>1700</v>
      </c>
      <c r="Z1281" s="11" t="s">
        <v>54</v>
      </c>
      <c r="AA1281" s="11" t="str">
        <f t="shared" si="85"/>
        <v>1700 - TBN</v>
      </c>
      <c r="AC1281" s="2" t="s">
        <v>145</v>
      </c>
      <c r="AD1281" s="11" t="str">
        <f>IF($I1281&lt;&gt;"",VLOOKUP($AC1281,GEADRESSEERDE!$A$2:$E$4,2,),"")</f>
        <v>LUITHAGEN HAVEN 2 D</v>
      </c>
      <c r="AE1281" s="11">
        <f>IF($I1281&lt;&gt;"",VLOOKUP($AC1281,GEADRESSEERDE!$A$2:$E$4,3,),"")</f>
        <v>2030</v>
      </c>
      <c r="AF1281" s="11" t="str">
        <f>IF($I1281&lt;&gt;"",VLOOKUP($AC1281,GEADRESSEERDE!$A$2:$E$4,4,),"")</f>
        <v>ANTWERPEN</v>
      </c>
      <c r="AG1281" s="11" t="str">
        <f>IF($I1281&lt;&gt;"",VLOOKUP($AC1281,GEADRESSEERDE!$A$2:$E$4,5,),"")</f>
        <v>BE</v>
      </c>
      <c r="AH1281" s="11" t="str">
        <f>IF(I1281&lt;&gt;"",VLOOKUP(AP1281,KvB!$A$2:$B$3,2,FALSE),"")</f>
        <v>BE101000</v>
      </c>
      <c r="AI1281" s="11" t="s">
        <v>55</v>
      </c>
      <c r="AJ1281" s="11"/>
      <c r="AK1281" s="11"/>
      <c r="AL1281" s="11"/>
      <c r="AM1281" s="11"/>
      <c r="AN1281" s="11"/>
      <c r="AO1281" s="11"/>
      <c r="AP1281" s="2" t="s">
        <v>70</v>
      </c>
      <c r="AQ1281" s="11" t="str">
        <f>IF(I1281&lt;&gt;"",DATA!D1280,"")</f>
        <v>8516797090</v>
      </c>
    </row>
    <row r="1282" spans="1:43" ht="15.75" x14ac:dyDescent="0.25">
      <c r="A1282" s="11" t="s">
        <v>57</v>
      </c>
      <c r="B1282" s="11" t="s">
        <v>56</v>
      </c>
      <c r="C1282" s="22">
        <f t="shared" si="82"/>
        <v>25001620</v>
      </c>
      <c r="D1282" s="11" t="str">
        <f t="shared" si="83"/>
        <v>SKIIFM_AT</v>
      </c>
      <c r="E1282" s="11" t="str">
        <f>IF(I1282&lt;&gt;"",VLOOKUP(F1282,OPDRACHTGEVER!$A$2:$B$4,2,FALSE),"")</f>
        <v>SKIIFM_AT</v>
      </c>
      <c r="F1282" s="11" t="s">
        <v>58</v>
      </c>
      <c r="I1282" s="11" t="str">
        <f>IF(DATA!B1281&lt;&gt;"",DATA!B1281,"")</f>
        <v>MEDU9355200</v>
      </c>
      <c r="J1282" s="12">
        <v>0</v>
      </c>
      <c r="K1282" s="11" t="s">
        <v>53</v>
      </c>
      <c r="L1282" s="11" t="str">
        <f t="shared" si="84"/>
        <v>420292</v>
      </c>
      <c r="M1282" s="11" t="str">
        <f>IF(I1282&lt;&gt;"",DATA!E1281,"")</f>
        <v>STORAGE BAG</v>
      </c>
      <c r="N1282" s="12">
        <v>0</v>
      </c>
      <c r="O1282" s="11">
        <f>IF(I1282&lt;&gt;"",DATA!C1281,"")</f>
        <v>150.4</v>
      </c>
      <c r="P1282" s="2">
        <v>294094</v>
      </c>
      <c r="Q1282" s="2" t="s">
        <v>1304</v>
      </c>
      <c r="R1282" s="2" t="s">
        <v>1329</v>
      </c>
      <c r="S1282" s="2">
        <v>583</v>
      </c>
      <c r="T1282" s="2">
        <v>1</v>
      </c>
      <c r="U1282" s="2" t="s">
        <v>141</v>
      </c>
      <c r="Y1282" s="2">
        <v>1700</v>
      </c>
      <c r="Z1282" s="11" t="s">
        <v>54</v>
      </c>
      <c r="AA1282" s="11" t="str">
        <f t="shared" si="85"/>
        <v>1700 - TBN</v>
      </c>
      <c r="AC1282" s="2" t="s">
        <v>145</v>
      </c>
      <c r="AD1282" s="11" t="str">
        <f>IF($I1282&lt;&gt;"",VLOOKUP($AC1282,GEADRESSEERDE!$A$2:$E$4,2,),"")</f>
        <v>LUITHAGEN HAVEN 2 D</v>
      </c>
      <c r="AE1282" s="11">
        <f>IF($I1282&lt;&gt;"",VLOOKUP($AC1282,GEADRESSEERDE!$A$2:$E$4,3,),"")</f>
        <v>2030</v>
      </c>
      <c r="AF1282" s="11" t="str">
        <f>IF($I1282&lt;&gt;"",VLOOKUP($AC1282,GEADRESSEERDE!$A$2:$E$4,4,),"")</f>
        <v>ANTWERPEN</v>
      </c>
      <c r="AG1282" s="11" t="str">
        <f>IF($I1282&lt;&gt;"",VLOOKUP($AC1282,GEADRESSEERDE!$A$2:$E$4,5,),"")</f>
        <v>BE</v>
      </c>
      <c r="AH1282" s="11" t="str">
        <f>IF(I1282&lt;&gt;"",VLOOKUP(AP1282,KvB!$A$2:$B$3,2,FALSE),"")</f>
        <v>BE101000</v>
      </c>
      <c r="AI1282" s="11" t="s">
        <v>55</v>
      </c>
      <c r="AJ1282" s="11"/>
      <c r="AK1282" s="11"/>
      <c r="AL1282" s="11"/>
      <c r="AM1282" s="11"/>
      <c r="AN1282" s="11"/>
      <c r="AO1282" s="11"/>
      <c r="AP1282" s="2" t="s">
        <v>70</v>
      </c>
      <c r="AQ1282" s="11" t="str">
        <f>IF(I1282&lt;&gt;"",DATA!D1281,"")</f>
        <v>4202929890</v>
      </c>
    </row>
    <row r="1283" spans="1:43" ht="15.75" x14ac:dyDescent="0.25">
      <c r="A1283" s="11" t="s">
        <v>57</v>
      </c>
      <c r="B1283" s="11" t="s">
        <v>56</v>
      </c>
      <c r="C1283" s="22">
        <f t="shared" si="82"/>
        <v>25001620</v>
      </c>
      <c r="D1283" s="11" t="str">
        <f t="shared" si="83"/>
        <v>SKIIFM_AT</v>
      </c>
      <c r="E1283" s="11" t="str">
        <f>IF(I1283&lt;&gt;"",VLOOKUP(F1283,OPDRACHTGEVER!$A$2:$B$4,2,FALSE),"")</f>
        <v>SKIIFM_AT</v>
      </c>
      <c r="F1283" s="11" t="s">
        <v>58</v>
      </c>
      <c r="I1283" s="11" t="str">
        <f>IF(DATA!B1282&lt;&gt;"",DATA!B1282,"")</f>
        <v>MEDU9355200</v>
      </c>
      <c r="J1283" s="12">
        <v>0</v>
      </c>
      <c r="K1283" s="11" t="s">
        <v>53</v>
      </c>
      <c r="L1283" s="11" t="str">
        <f t="shared" si="84"/>
        <v>392490</v>
      </c>
      <c r="M1283" s="11" t="str">
        <f>IF(I1283&lt;&gt;"",DATA!E1282,"")</f>
        <v>TABLE MAT</v>
      </c>
      <c r="N1283" s="12">
        <v>0</v>
      </c>
      <c r="O1283" s="11">
        <f>IF(I1283&lt;&gt;"",DATA!C1282,"")</f>
        <v>17.7</v>
      </c>
      <c r="P1283" s="2">
        <v>294094</v>
      </c>
      <c r="Q1283" s="2" t="s">
        <v>1304</v>
      </c>
      <c r="R1283" s="2" t="s">
        <v>1329</v>
      </c>
      <c r="S1283" s="2">
        <v>583</v>
      </c>
      <c r="T1283" s="2">
        <v>1</v>
      </c>
      <c r="U1283" s="2" t="s">
        <v>141</v>
      </c>
      <c r="Y1283" s="2">
        <v>1700</v>
      </c>
      <c r="Z1283" s="11" t="s">
        <v>54</v>
      </c>
      <c r="AA1283" s="11" t="str">
        <f t="shared" si="85"/>
        <v>1700 - TBN</v>
      </c>
      <c r="AC1283" s="2" t="s">
        <v>145</v>
      </c>
      <c r="AD1283" s="11" t="str">
        <f>IF($I1283&lt;&gt;"",VLOOKUP($AC1283,GEADRESSEERDE!$A$2:$E$4,2,),"")</f>
        <v>LUITHAGEN HAVEN 2 D</v>
      </c>
      <c r="AE1283" s="11">
        <f>IF($I1283&lt;&gt;"",VLOOKUP($AC1283,GEADRESSEERDE!$A$2:$E$4,3,),"")</f>
        <v>2030</v>
      </c>
      <c r="AF1283" s="11" t="str">
        <f>IF($I1283&lt;&gt;"",VLOOKUP($AC1283,GEADRESSEERDE!$A$2:$E$4,4,),"")</f>
        <v>ANTWERPEN</v>
      </c>
      <c r="AG1283" s="11" t="str">
        <f>IF($I1283&lt;&gt;"",VLOOKUP($AC1283,GEADRESSEERDE!$A$2:$E$4,5,),"")</f>
        <v>BE</v>
      </c>
      <c r="AH1283" s="11" t="str">
        <f>IF(I1283&lt;&gt;"",VLOOKUP(AP1283,KvB!$A$2:$B$3,2,FALSE),"")</f>
        <v>BE101000</v>
      </c>
      <c r="AI1283" s="11" t="s">
        <v>55</v>
      </c>
      <c r="AJ1283" s="11"/>
      <c r="AK1283" s="11"/>
      <c r="AL1283" s="11"/>
      <c r="AM1283" s="11"/>
      <c r="AN1283" s="11"/>
      <c r="AO1283" s="11"/>
      <c r="AP1283" s="2" t="s">
        <v>70</v>
      </c>
      <c r="AQ1283" s="11" t="str">
        <f>IF(I1283&lt;&gt;"",DATA!D1282,"")</f>
        <v>3924900090</v>
      </c>
    </row>
    <row r="1284" spans="1:43" ht="15.75" x14ac:dyDescent="0.25">
      <c r="A1284" s="11" t="s">
        <v>57</v>
      </c>
      <c r="B1284" s="11" t="s">
        <v>56</v>
      </c>
      <c r="C1284" s="22">
        <f t="shared" si="82"/>
        <v>25001620</v>
      </c>
      <c r="D1284" s="11" t="str">
        <f t="shared" si="83"/>
        <v>SKIIFM_AT</v>
      </c>
      <c r="E1284" s="11" t="str">
        <f>IF(I1284&lt;&gt;"",VLOOKUP(F1284,OPDRACHTGEVER!$A$2:$B$4,2,FALSE),"")</f>
        <v>SKIIFM_AT</v>
      </c>
      <c r="F1284" s="11" t="s">
        <v>58</v>
      </c>
      <c r="I1284" s="11" t="str">
        <f>IF(DATA!B1283&lt;&gt;"",DATA!B1283,"")</f>
        <v>MEDU9355200</v>
      </c>
      <c r="J1284" s="12">
        <v>0</v>
      </c>
      <c r="K1284" s="11" t="s">
        <v>53</v>
      </c>
      <c r="L1284" s="11" t="str">
        <f t="shared" si="84"/>
        <v>820559</v>
      </c>
      <c r="M1284" s="11" t="str">
        <f>IF(I1284&lt;&gt;"",DATA!E1283,"")</f>
        <v>TABLE SAW MITER GAUGE</v>
      </c>
      <c r="N1284" s="12">
        <v>0</v>
      </c>
      <c r="O1284" s="11">
        <f>IF(I1284&lt;&gt;"",DATA!C1283,"")</f>
        <v>55.7</v>
      </c>
      <c r="P1284" s="2">
        <v>294094</v>
      </c>
      <c r="Q1284" s="2" t="s">
        <v>1304</v>
      </c>
      <c r="R1284" s="2" t="s">
        <v>1329</v>
      </c>
      <c r="S1284" s="2">
        <v>583</v>
      </c>
      <c r="T1284" s="2">
        <v>1</v>
      </c>
      <c r="U1284" s="2" t="s">
        <v>141</v>
      </c>
      <c r="Y1284" s="2">
        <v>1700</v>
      </c>
      <c r="Z1284" s="11" t="s">
        <v>54</v>
      </c>
      <c r="AA1284" s="11" t="str">
        <f t="shared" si="85"/>
        <v>1700 - TBN</v>
      </c>
      <c r="AC1284" s="2" t="s">
        <v>145</v>
      </c>
      <c r="AD1284" s="11" t="str">
        <f>IF($I1284&lt;&gt;"",VLOOKUP($AC1284,GEADRESSEERDE!$A$2:$E$4,2,),"")</f>
        <v>LUITHAGEN HAVEN 2 D</v>
      </c>
      <c r="AE1284" s="11">
        <f>IF($I1284&lt;&gt;"",VLOOKUP($AC1284,GEADRESSEERDE!$A$2:$E$4,3,),"")</f>
        <v>2030</v>
      </c>
      <c r="AF1284" s="11" t="str">
        <f>IF($I1284&lt;&gt;"",VLOOKUP($AC1284,GEADRESSEERDE!$A$2:$E$4,4,),"")</f>
        <v>ANTWERPEN</v>
      </c>
      <c r="AG1284" s="11" t="str">
        <f>IF($I1284&lt;&gt;"",VLOOKUP($AC1284,GEADRESSEERDE!$A$2:$E$4,5,),"")</f>
        <v>BE</v>
      </c>
      <c r="AH1284" s="11" t="str">
        <f>IF(I1284&lt;&gt;"",VLOOKUP(AP1284,KvB!$A$2:$B$3,2,FALSE),"")</f>
        <v>BE101000</v>
      </c>
      <c r="AI1284" s="11" t="s">
        <v>55</v>
      </c>
      <c r="AJ1284" s="11"/>
      <c r="AK1284" s="11"/>
      <c r="AL1284" s="11"/>
      <c r="AM1284" s="11"/>
      <c r="AN1284" s="11"/>
      <c r="AO1284" s="11"/>
      <c r="AP1284" s="2" t="s">
        <v>70</v>
      </c>
      <c r="AQ1284" s="11" t="str">
        <f>IF(I1284&lt;&gt;"",DATA!D1283,"")</f>
        <v>8205598000</v>
      </c>
    </row>
    <row r="1285" spans="1:43" ht="15.75" x14ac:dyDescent="0.25">
      <c r="A1285" s="11" t="s">
        <v>57</v>
      </c>
      <c r="B1285" s="11" t="s">
        <v>56</v>
      </c>
      <c r="C1285" s="22">
        <f t="shared" ref="C1285:C1348" si="86">C1284</f>
        <v>25001620</v>
      </c>
      <c r="D1285" s="11" t="str">
        <f t="shared" si="83"/>
        <v>SKIIFM_AT</v>
      </c>
      <c r="E1285" s="11" t="str">
        <f>IF(I1285&lt;&gt;"",VLOOKUP(F1285,OPDRACHTGEVER!$A$2:$B$4,2,FALSE),"")</f>
        <v>SKIIFM_AT</v>
      </c>
      <c r="F1285" s="11" t="s">
        <v>58</v>
      </c>
      <c r="I1285" s="11" t="str">
        <f>IF(DATA!B1284&lt;&gt;"",DATA!B1284,"")</f>
        <v>MEDU9355200</v>
      </c>
      <c r="J1285" s="12">
        <v>0</v>
      </c>
      <c r="K1285" s="11" t="s">
        <v>53</v>
      </c>
      <c r="L1285" s="11" t="str">
        <f t="shared" si="84"/>
        <v>761520</v>
      </c>
      <c r="M1285" s="11" t="str">
        <f>IF(I1285&lt;&gt;"",DATA!E1284,"")</f>
        <v>TOILET ARMREST</v>
      </c>
      <c r="N1285" s="12">
        <v>0</v>
      </c>
      <c r="O1285" s="11">
        <f>IF(I1285&lt;&gt;"",DATA!C1284,"")</f>
        <v>68</v>
      </c>
      <c r="P1285" s="2">
        <v>294094</v>
      </c>
      <c r="Q1285" s="2" t="s">
        <v>1304</v>
      </c>
      <c r="R1285" s="2" t="s">
        <v>1329</v>
      </c>
      <c r="S1285" s="2">
        <v>583</v>
      </c>
      <c r="T1285" s="2">
        <v>1</v>
      </c>
      <c r="U1285" s="2" t="s">
        <v>141</v>
      </c>
      <c r="Y1285" s="2">
        <v>1700</v>
      </c>
      <c r="Z1285" s="11" t="s">
        <v>54</v>
      </c>
      <c r="AA1285" s="11" t="str">
        <f t="shared" si="85"/>
        <v>1700 - TBN</v>
      </c>
      <c r="AC1285" s="2" t="s">
        <v>145</v>
      </c>
      <c r="AD1285" s="11" t="str">
        <f>IF($I1285&lt;&gt;"",VLOOKUP($AC1285,GEADRESSEERDE!$A$2:$E$4,2,),"")</f>
        <v>LUITHAGEN HAVEN 2 D</v>
      </c>
      <c r="AE1285" s="11">
        <f>IF($I1285&lt;&gt;"",VLOOKUP($AC1285,GEADRESSEERDE!$A$2:$E$4,3,),"")</f>
        <v>2030</v>
      </c>
      <c r="AF1285" s="11" t="str">
        <f>IF($I1285&lt;&gt;"",VLOOKUP($AC1285,GEADRESSEERDE!$A$2:$E$4,4,),"")</f>
        <v>ANTWERPEN</v>
      </c>
      <c r="AG1285" s="11" t="str">
        <f>IF($I1285&lt;&gt;"",VLOOKUP($AC1285,GEADRESSEERDE!$A$2:$E$4,5,),"")</f>
        <v>BE</v>
      </c>
      <c r="AH1285" s="11" t="str">
        <f>IF(I1285&lt;&gt;"",VLOOKUP(AP1285,KvB!$A$2:$B$3,2,FALSE),"")</f>
        <v>BE101000</v>
      </c>
      <c r="AI1285" s="11" t="s">
        <v>55</v>
      </c>
      <c r="AJ1285" s="11"/>
      <c r="AK1285" s="11"/>
      <c r="AL1285" s="11"/>
      <c r="AM1285" s="11"/>
      <c r="AN1285" s="11"/>
      <c r="AO1285" s="11"/>
      <c r="AP1285" s="2" t="s">
        <v>70</v>
      </c>
      <c r="AQ1285" s="11" t="str">
        <f>IF(I1285&lt;&gt;"",DATA!D1284,"")</f>
        <v>7615200000</v>
      </c>
    </row>
    <row r="1286" spans="1:43" ht="15.75" x14ac:dyDescent="0.25">
      <c r="A1286" s="11" t="s">
        <v>57</v>
      </c>
      <c r="B1286" s="11" t="s">
        <v>56</v>
      </c>
      <c r="C1286" s="22">
        <f t="shared" si="86"/>
        <v>25001620</v>
      </c>
      <c r="D1286" s="11" t="str">
        <f t="shared" si="83"/>
        <v>SKIIFM_AT</v>
      </c>
      <c r="E1286" s="11" t="str">
        <f>IF(I1286&lt;&gt;"",VLOOKUP(F1286,OPDRACHTGEVER!$A$2:$B$4,2,FALSE),"")</f>
        <v>SKIIFM_AT</v>
      </c>
      <c r="F1286" s="11" t="s">
        <v>58</v>
      </c>
      <c r="I1286" s="11" t="str">
        <f>IF(DATA!B1285&lt;&gt;"",DATA!B1285,"")</f>
        <v>MEDU9355200</v>
      </c>
      <c r="J1286" s="12">
        <v>0</v>
      </c>
      <c r="K1286" s="11" t="s">
        <v>53</v>
      </c>
      <c r="L1286" s="11" t="str">
        <f t="shared" si="84"/>
        <v>847989</v>
      </c>
      <c r="M1286" s="11" t="str">
        <f>IF(I1286&lt;&gt;"",DATA!E1285,"")</f>
        <v>ULTRASONIC JEWELRY CLEANER</v>
      </c>
      <c r="N1286" s="12">
        <v>0</v>
      </c>
      <c r="O1286" s="11">
        <f>IF(I1286&lt;&gt;"",DATA!C1285,"")</f>
        <v>0.9</v>
      </c>
      <c r="P1286" s="2">
        <v>294094</v>
      </c>
      <c r="Q1286" s="2" t="s">
        <v>1304</v>
      </c>
      <c r="R1286" s="2" t="s">
        <v>1329</v>
      </c>
      <c r="S1286" s="2">
        <v>583</v>
      </c>
      <c r="T1286" s="2">
        <v>1</v>
      </c>
      <c r="U1286" s="2" t="s">
        <v>141</v>
      </c>
      <c r="Y1286" s="2">
        <v>1700</v>
      </c>
      <c r="Z1286" s="11" t="s">
        <v>54</v>
      </c>
      <c r="AA1286" s="11" t="str">
        <f t="shared" si="85"/>
        <v>1700 - TBN</v>
      </c>
      <c r="AC1286" s="2" t="s">
        <v>145</v>
      </c>
      <c r="AD1286" s="11" t="str">
        <f>IF($I1286&lt;&gt;"",VLOOKUP($AC1286,GEADRESSEERDE!$A$2:$E$4,2,),"")</f>
        <v>LUITHAGEN HAVEN 2 D</v>
      </c>
      <c r="AE1286" s="11">
        <f>IF($I1286&lt;&gt;"",VLOOKUP($AC1286,GEADRESSEERDE!$A$2:$E$4,3,),"")</f>
        <v>2030</v>
      </c>
      <c r="AF1286" s="11" t="str">
        <f>IF($I1286&lt;&gt;"",VLOOKUP($AC1286,GEADRESSEERDE!$A$2:$E$4,4,),"")</f>
        <v>ANTWERPEN</v>
      </c>
      <c r="AG1286" s="11" t="str">
        <f>IF($I1286&lt;&gt;"",VLOOKUP($AC1286,GEADRESSEERDE!$A$2:$E$4,5,),"")</f>
        <v>BE</v>
      </c>
      <c r="AH1286" s="11" t="str">
        <f>IF(I1286&lt;&gt;"",VLOOKUP(AP1286,KvB!$A$2:$B$3,2,FALSE),"")</f>
        <v>BE101000</v>
      </c>
      <c r="AI1286" s="11" t="s">
        <v>55</v>
      </c>
      <c r="AJ1286" s="11"/>
      <c r="AK1286" s="11"/>
      <c r="AL1286" s="11"/>
      <c r="AM1286" s="11"/>
      <c r="AN1286" s="11"/>
      <c r="AO1286" s="11"/>
      <c r="AP1286" s="2" t="s">
        <v>70</v>
      </c>
      <c r="AQ1286" s="11" t="str">
        <f>IF(I1286&lt;&gt;"",DATA!D1285,"")</f>
        <v>8479899790</v>
      </c>
    </row>
    <row r="1287" spans="1:43" ht="15.75" x14ac:dyDescent="0.25">
      <c r="A1287" s="11" t="s">
        <v>57</v>
      </c>
      <c r="B1287" s="11" t="s">
        <v>56</v>
      </c>
      <c r="C1287" s="22">
        <f t="shared" si="86"/>
        <v>25001620</v>
      </c>
      <c r="D1287" s="11" t="str">
        <f t="shared" si="83"/>
        <v>SKIIFM_AT</v>
      </c>
      <c r="E1287" s="11" t="str">
        <f>IF(I1287&lt;&gt;"",VLOOKUP(F1287,OPDRACHTGEVER!$A$2:$B$4,2,FALSE),"")</f>
        <v>SKIIFM_AT</v>
      </c>
      <c r="F1287" s="11" t="s">
        <v>58</v>
      </c>
      <c r="I1287" s="11" t="str">
        <f>IF(DATA!B1286&lt;&gt;"",DATA!B1286,"")</f>
        <v>MEDU9355200</v>
      </c>
      <c r="J1287" s="12">
        <v>0</v>
      </c>
      <c r="K1287" s="11" t="s">
        <v>53</v>
      </c>
      <c r="L1287" s="11" t="str">
        <f t="shared" si="84"/>
        <v>660200</v>
      </c>
      <c r="M1287" s="11" t="str">
        <f>IF(I1287&lt;&gt;"",DATA!E1286,"")</f>
        <v>UNDERARM CRUTCHES</v>
      </c>
      <c r="N1287" s="12">
        <v>0</v>
      </c>
      <c r="O1287" s="11">
        <f>IF(I1287&lt;&gt;"",DATA!C1286,"")</f>
        <v>99</v>
      </c>
      <c r="P1287" s="2">
        <v>294094</v>
      </c>
      <c r="Q1287" s="2" t="s">
        <v>1304</v>
      </c>
      <c r="R1287" s="2" t="s">
        <v>1329</v>
      </c>
      <c r="S1287" s="2">
        <v>583</v>
      </c>
      <c r="T1287" s="2">
        <v>1</v>
      </c>
      <c r="U1287" s="2" t="s">
        <v>141</v>
      </c>
      <c r="Y1287" s="2">
        <v>1700</v>
      </c>
      <c r="Z1287" s="11" t="s">
        <v>54</v>
      </c>
      <c r="AA1287" s="11" t="str">
        <f t="shared" si="85"/>
        <v>1700 - TBN</v>
      </c>
      <c r="AC1287" s="2" t="s">
        <v>145</v>
      </c>
      <c r="AD1287" s="11" t="str">
        <f>IF($I1287&lt;&gt;"",VLOOKUP($AC1287,GEADRESSEERDE!$A$2:$E$4,2,),"")</f>
        <v>LUITHAGEN HAVEN 2 D</v>
      </c>
      <c r="AE1287" s="11">
        <f>IF($I1287&lt;&gt;"",VLOOKUP($AC1287,GEADRESSEERDE!$A$2:$E$4,3,),"")</f>
        <v>2030</v>
      </c>
      <c r="AF1287" s="11" t="str">
        <f>IF($I1287&lt;&gt;"",VLOOKUP($AC1287,GEADRESSEERDE!$A$2:$E$4,4,),"")</f>
        <v>ANTWERPEN</v>
      </c>
      <c r="AG1287" s="11" t="str">
        <f>IF($I1287&lt;&gt;"",VLOOKUP($AC1287,GEADRESSEERDE!$A$2:$E$4,5,),"")</f>
        <v>BE</v>
      </c>
      <c r="AH1287" s="11" t="str">
        <f>IF(I1287&lt;&gt;"",VLOOKUP(AP1287,KvB!$A$2:$B$3,2,FALSE),"")</f>
        <v>BE101000</v>
      </c>
      <c r="AI1287" s="11" t="s">
        <v>55</v>
      </c>
      <c r="AJ1287" s="11"/>
      <c r="AK1287" s="11"/>
      <c r="AL1287" s="11"/>
      <c r="AM1287" s="11"/>
      <c r="AN1287" s="11"/>
      <c r="AO1287" s="11"/>
      <c r="AP1287" s="2" t="s">
        <v>70</v>
      </c>
      <c r="AQ1287" s="11" t="str">
        <f>IF(I1287&lt;&gt;"",DATA!D1286,"")</f>
        <v>6602000090</v>
      </c>
    </row>
    <row r="1288" spans="1:43" ht="15.75" x14ac:dyDescent="0.25">
      <c r="A1288" s="11" t="s">
        <v>57</v>
      </c>
      <c r="B1288" s="11" t="s">
        <v>56</v>
      </c>
      <c r="C1288" s="22">
        <f t="shared" si="86"/>
        <v>25001620</v>
      </c>
      <c r="D1288" s="11" t="str">
        <f t="shared" si="83"/>
        <v>SKIIFM_AT</v>
      </c>
      <c r="E1288" s="11" t="str">
        <f>IF(I1288&lt;&gt;"",VLOOKUP(F1288,OPDRACHTGEVER!$A$2:$B$4,2,FALSE),"")</f>
        <v>SKIIFM_AT</v>
      </c>
      <c r="F1288" s="11" t="s">
        <v>58</v>
      </c>
      <c r="I1288" s="11" t="str">
        <f>IF(DATA!B1287&lt;&gt;"",DATA!B1287,"")</f>
        <v>MEDU9355200</v>
      </c>
      <c r="J1288" s="12">
        <v>0</v>
      </c>
      <c r="K1288" s="11" t="s">
        <v>53</v>
      </c>
      <c r="L1288" s="11" t="str">
        <f t="shared" si="84"/>
        <v>841830</v>
      </c>
      <c r="M1288" s="11" t="str">
        <f>IF(I1288&lt;&gt;"",DATA!E1287,"")</f>
        <v>VEHICLE REFRIGERATOR</v>
      </c>
      <c r="N1288" s="12">
        <v>0</v>
      </c>
      <c r="O1288" s="11">
        <f>IF(I1288&lt;&gt;"",DATA!C1287,"")</f>
        <v>486.3</v>
      </c>
      <c r="P1288" s="2">
        <v>294094</v>
      </c>
      <c r="Q1288" s="2" t="s">
        <v>1304</v>
      </c>
      <c r="R1288" s="2" t="s">
        <v>1329</v>
      </c>
      <c r="S1288" s="2">
        <v>583</v>
      </c>
      <c r="T1288" s="2">
        <v>1</v>
      </c>
      <c r="U1288" s="2" t="s">
        <v>141</v>
      </c>
      <c r="Y1288" s="2">
        <v>1700</v>
      </c>
      <c r="Z1288" s="11" t="s">
        <v>54</v>
      </c>
      <c r="AA1288" s="11" t="str">
        <f t="shared" si="85"/>
        <v>1700 - TBN</v>
      </c>
      <c r="AC1288" s="2" t="s">
        <v>145</v>
      </c>
      <c r="AD1288" s="11" t="str">
        <f>IF($I1288&lt;&gt;"",VLOOKUP($AC1288,GEADRESSEERDE!$A$2:$E$4,2,),"")</f>
        <v>LUITHAGEN HAVEN 2 D</v>
      </c>
      <c r="AE1288" s="11">
        <f>IF($I1288&lt;&gt;"",VLOOKUP($AC1288,GEADRESSEERDE!$A$2:$E$4,3,),"")</f>
        <v>2030</v>
      </c>
      <c r="AF1288" s="11" t="str">
        <f>IF($I1288&lt;&gt;"",VLOOKUP($AC1288,GEADRESSEERDE!$A$2:$E$4,4,),"")</f>
        <v>ANTWERPEN</v>
      </c>
      <c r="AG1288" s="11" t="str">
        <f>IF($I1288&lt;&gt;"",VLOOKUP($AC1288,GEADRESSEERDE!$A$2:$E$4,5,),"")</f>
        <v>BE</v>
      </c>
      <c r="AH1288" s="11" t="str">
        <f>IF(I1288&lt;&gt;"",VLOOKUP(AP1288,KvB!$A$2:$B$3,2,FALSE),"")</f>
        <v>BE101000</v>
      </c>
      <c r="AI1288" s="11" t="s">
        <v>55</v>
      </c>
      <c r="AJ1288" s="11"/>
      <c r="AK1288" s="11"/>
      <c r="AL1288" s="11"/>
      <c r="AM1288" s="11"/>
      <c r="AN1288" s="11"/>
      <c r="AO1288" s="11"/>
      <c r="AP1288" s="2" t="s">
        <v>70</v>
      </c>
      <c r="AQ1288" s="11" t="str">
        <f>IF(I1288&lt;&gt;"",DATA!D1287,"")</f>
        <v>8418302099</v>
      </c>
    </row>
    <row r="1289" spans="1:43" ht="15.75" x14ac:dyDescent="0.25">
      <c r="A1289" s="11" t="s">
        <v>57</v>
      </c>
      <c r="B1289" s="11" t="s">
        <v>56</v>
      </c>
      <c r="C1289" s="22">
        <f t="shared" si="86"/>
        <v>25001620</v>
      </c>
      <c r="D1289" s="11" t="str">
        <f t="shared" si="83"/>
        <v>SKIIFM_AT</v>
      </c>
      <c r="E1289" s="11" t="str">
        <f>IF(I1289&lt;&gt;"",VLOOKUP(F1289,OPDRACHTGEVER!$A$2:$B$4,2,FALSE),"")</f>
        <v>SKIIFM_AT</v>
      </c>
      <c r="F1289" s="11" t="s">
        <v>58</v>
      </c>
      <c r="I1289" s="11" t="str">
        <f>IF(DATA!B1288&lt;&gt;"",DATA!B1288,"")</f>
        <v>MEDU9355200</v>
      </c>
      <c r="J1289" s="12">
        <v>0</v>
      </c>
      <c r="K1289" s="11" t="s">
        <v>53</v>
      </c>
      <c r="L1289" s="11" t="str">
        <f t="shared" si="84"/>
        <v>851672</v>
      </c>
      <c r="M1289" s="11" t="str">
        <f>IF(I1289&lt;&gt;"",DATA!E1288,"")</f>
        <v>WAFFLE MACHINE</v>
      </c>
      <c r="N1289" s="12">
        <v>0</v>
      </c>
      <c r="O1289" s="11">
        <f>IF(I1289&lt;&gt;"",DATA!C1288,"")</f>
        <v>287.39999999999998</v>
      </c>
      <c r="P1289" s="2">
        <v>294094</v>
      </c>
      <c r="Q1289" s="2" t="s">
        <v>1304</v>
      </c>
      <c r="R1289" s="2" t="s">
        <v>1329</v>
      </c>
      <c r="S1289" s="2">
        <v>583</v>
      </c>
      <c r="T1289" s="2">
        <v>1</v>
      </c>
      <c r="U1289" s="2" t="s">
        <v>141</v>
      </c>
      <c r="Y1289" s="2">
        <v>1700</v>
      </c>
      <c r="Z1289" s="11" t="s">
        <v>54</v>
      </c>
      <c r="AA1289" s="11" t="str">
        <f t="shared" si="85"/>
        <v>1700 - TBN</v>
      </c>
      <c r="AC1289" s="2" t="s">
        <v>145</v>
      </c>
      <c r="AD1289" s="11" t="str">
        <f>IF($I1289&lt;&gt;"",VLOOKUP($AC1289,GEADRESSEERDE!$A$2:$E$4,2,),"")</f>
        <v>LUITHAGEN HAVEN 2 D</v>
      </c>
      <c r="AE1289" s="11">
        <f>IF($I1289&lt;&gt;"",VLOOKUP($AC1289,GEADRESSEERDE!$A$2:$E$4,3,),"")</f>
        <v>2030</v>
      </c>
      <c r="AF1289" s="11" t="str">
        <f>IF($I1289&lt;&gt;"",VLOOKUP($AC1289,GEADRESSEERDE!$A$2:$E$4,4,),"")</f>
        <v>ANTWERPEN</v>
      </c>
      <c r="AG1289" s="11" t="str">
        <f>IF($I1289&lt;&gt;"",VLOOKUP($AC1289,GEADRESSEERDE!$A$2:$E$4,5,),"")</f>
        <v>BE</v>
      </c>
      <c r="AH1289" s="11" t="str">
        <f>IF(I1289&lt;&gt;"",VLOOKUP(AP1289,KvB!$A$2:$B$3,2,FALSE),"")</f>
        <v>BE101000</v>
      </c>
      <c r="AI1289" s="11" t="s">
        <v>55</v>
      </c>
      <c r="AJ1289" s="11"/>
      <c r="AK1289" s="11"/>
      <c r="AL1289" s="11"/>
      <c r="AM1289" s="11"/>
      <c r="AN1289" s="11"/>
      <c r="AO1289" s="11"/>
      <c r="AP1289" s="2" t="s">
        <v>70</v>
      </c>
      <c r="AQ1289" s="11" t="str">
        <f>IF(I1289&lt;&gt;"",DATA!D1288,"")</f>
        <v>8516720000</v>
      </c>
    </row>
    <row r="1290" spans="1:43" ht="15.75" x14ac:dyDescent="0.25">
      <c r="A1290" s="11" t="s">
        <v>57</v>
      </c>
      <c r="B1290" s="11" t="s">
        <v>56</v>
      </c>
      <c r="C1290" s="22">
        <f t="shared" si="86"/>
        <v>25001620</v>
      </c>
      <c r="D1290" s="11" t="str">
        <f t="shared" si="83"/>
        <v>SKIIFM_AT</v>
      </c>
      <c r="E1290" s="11" t="str">
        <f>IF(I1290&lt;&gt;"",VLOOKUP(F1290,OPDRACHTGEVER!$A$2:$B$4,2,FALSE),"")</f>
        <v>SKIIFM_AT</v>
      </c>
      <c r="F1290" s="11" t="s">
        <v>58</v>
      </c>
      <c r="I1290" s="11" t="str">
        <f>IF(DATA!B1289&lt;&gt;"",DATA!B1289,"")</f>
        <v>MEDU9355200</v>
      </c>
      <c r="J1290" s="12">
        <v>0</v>
      </c>
      <c r="K1290" s="11" t="s">
        <v>53</v>
      </c>
      <c r="L1290" s="11" t="str">
        <f t="shared" si="84"/>
        <v>950691</v>
      </c>
      <c r="M1290" s="11" t="str">
        <f>IF(I1290&lt;&gt;"",DATA!E1289,"")</f>
        <v>WALL-MOUNTED BOXING TARGET</v>
      </c>
      <c r="N1290" s="12">
        <v>0</v>
      </c>
      <c r="O1290" s="11">
        <f>IF(I1290&lt;&gt;"",DATA!C1289,"")</f>
        <v>281.89999999999998</v>
      </c>
      <c r="P1290" s="2">
        <v>294094</v>
      </c>
      <c r="Q1290" s="2" t="s">
        <v>1304</v>
      </c>
      <c r="R1290" s="2" t="s">
        <v>1329</v>
      </c>
      <c r="S1290" s="2">
        <v>583</v>
      </c>
      <c r="T1290" s="2">
        <v>1</v>
      </c>
      <c r="U1290" s="2" t="s">
        <v>141</v>
      </c>
      <c r="Y1290" s="2">
        <v>1700</v>
      </c>
      <c r="Z1290" s="11" t="s">
        <v>54</v>
      </c>
      <c r="AA1290" s="11" t="str">
        <f t="shared" si="85"/>
        <v>1700 - TBN</v>
      </c>
      <c r="AC1290" s="2" t="s">
        <v>145</v>
      </c>
      <c r="AD1290" s="11" t="str">
        <f>IF($I1290&lt;&gt;"",VLOOKUP($AC1290,GEADRESSEERDE!$A$2:$E$4,2,),"")</f>
        <v>LUITHAGEN HAVEN 2 D</v>
      </c>
      <c r="AE1290" s="11">
        <f>IF($I1290&lt;&gt;"",VLOOKUP($AC1290,GEADRESSEERDE!$A$2:$E$4,3,),"")</f>
        <v>2030</v>
      </c>
      <c r="AF1290" s="11" t="str">
        <f>IF($I1290&lt;&gt;"",VLOOKUP($AC1290,GEADRESSEERDE!$A$2:$E$4,4,),"")</f>
        <v>ANTWERPEN</v>
      </c>
      <c r="AG1290" s="11" t="str">
        <f>IF($I1290&lt;&gt;"",VLOOKUP($AC1290,GEADRESSEERDE!$A$2:$E$4,5,),"")</f>
        <v>BE</v>
      </c>
      <c r="AH1290" s="11" t="str">
        <f>IF(I1290&lt;&gt;"",VLOOKUP(AP1290,KvB!$A$2:$B$3,2,FALSE),"")</f>
        <v>BE101000</v>
      </c>
      <c r="AI1290" s="11" t="s">
        <v>55</v>
      </c>
      <c r="AJ1290" s="11"/>
      <c r="AK1290" s="11"/>
      <c r="AL1290" s="11"/>
      <c r="AM1290" s="11"/>
      <c r="AN1290" s="11"/>
      <c r="AO1290" s="11"/>
      <c r="AP1290" s="2" t="s">
        <v>70</v>
      </c>
      <c r="AQ1290" s="11" t="str">
        <f>IF(I1290&lt;&gt;"",DATA!D1289,"")</f>
        <v>9506919000</v>
      </c>
    </row>
    <row r="1291" spans="1:43" ht="15.75" x14ac:dyDescent="0.25">
      <c r="A1291" s="11" t="s">
        <v>57</v>
      </c>
      <c r="B1291" s="11" t="s">
        <v>56</v>
      </c>
      <c r="C1291" s="22">
        <f t="shared" si="86"/>
        <v>25001620</v>
      </c>
      <c r="D1291" s="11" t="str">
        <f t="shared" si="83"/>
        <v>SKIIFM_AT</v>
      </c>
      <c r="E1291" s="11" t="str">
        <f>IF(I1291&lt;&gt;"",VLOOKUP(F1291,OPDRACHTGEVER!$A$2:$B$4,2,FALSE),"")</f>
        <v>SKIIFM_AT</v>
      </c>
      <c r="F1291" s="11" t="s">
        <v>58</v>
      </c>
      <c r="I1291" s="11" t="str">
        <f>IF(DATA!B1290&lt;&gt;"",DATA!B1290,"")</f>
        <v>MSBU5516482</v>
      </c>
      <c r="J1291" s="12">
        <v>991</v>
      </c>
      <c r="K1291" s="11" t="s">
        <v>53</v>
      </c>
      <c r="L1291" s="11" t="str">
        <f t="shared" si="84"/>
        <v>761090</v>
      </c>
      <c r="M1291" s="11" t="str">
        <f>IF(I1291&lt;&gt;"",DATA!E1290,"")</f>
        <v>ALUMINUM ALLOY RAILING</v>
      </c>
      <c r="N1291" s="12">
        <v>15835</v>
      </c>
      <c r="O1291" s="11">
        <f>IF(I1291&lt;&gt;"",DATA!C1290,"")</f>
        <v>84.6</v>
      </c>
      <c r="P1291" s="2">
        <v>294094</v>
      </c>
      <c r="Q1291" s="2" t="s">
        <v>1304</v>
      </c>
      <c r="R1291" s="2" t="s">
        <v>1330</v>
      </c>
      <c r="S1291" s="2">
        <v>344</v>
      </c>
      <c r="T1291" s="2">
        <v>1</v>
      </c>
      <c r="U1291" s="2" t="s">
        <v>141</v>
      </c>
      <c r="Y1291" s="2">
        <v>1700</v>
      </c>
      <c r="Z1291" s="11" t="s">
        <v>54</v>
      </c>
      <c r="AA1291" s="11" t="str">
        <f t="shared" si="85"/>
        <v>1700 - TBN</v>
      </c>
      <c r="AC1291" s="2" t="s">
        <v>145</v>
      </c>
      <c r="AD1291" s="11" t="str">
        <f>IF($I1291&lt;&gt;"",VLOOKUP($AC1291,GEADRESSEERDE!$A$2:$E$4,2,),"")</f>
        <v>LUITHAGEN HAVEN 2 D</v>
      </c>
      <c r="AE1291" s="11">
        <f>IF($I1291&lt;&gt;"",VLOOKUP($AC1291,GEADRESSEERDE!$A$2:$E$4,3,),"")</f>
        <v>2030</v>
      </c>
      <c r="AF1291" s="11" t="str">
        <f>IF($I1291&lt;&gt;"",VLOOKUP($AC1291,GEADRESSEERDE!$A$2:$E$4,4,),"")</f>
        <v>ANTWERPEN</v>
      </c>
      <c r="AG1291" s="11" t="str">
        <f>IF($I1291&lt;&gt;"",VLOOKUP($AC1291,GEADRESSEERDE!$A$2:$E$4,5,),"")</f>
        <v>BE</v>
      </c>
      <c r="AH1291" s="11" t="str">
        <f>IF(I1291&lt;&gt;"",VLOOKUP(AP1291,KvB!$A$2:$B$3,2,FALSE),"")</f>
        <v>BE101000</v>
      </c>
      <c r="AI1291" s="11" t="s">
        <v>55</v>
      </c>
      <c r="AJ1291" s="11"/>
      <c r="AK1291" s="11"/>
      <c r="AL1291" s="11"/>
      <c r="AM1291" s="11"/>
      <c r="AN1291" s="11"/>
      <c r="AO1291" s="11"/>
      <c r="AP1291" s="2" t="s">
        <v>70</v>
      </c>
      <c r="AQ1291" s="11" t="str">
        <f>IF(I1291&lt;&gt;"",DATA!D1290,"")</f>
        <v>7610909095</v>
      </c>
    </row>
    <row r="1292" spans="1:43" ht="15.75" x14ac:dyDescent="0.25">
      <c r="A1292" s="11" t="s">
        <v>57</v>
      </c>
      <c r="B1292" s="11" t="s">
        <v>56</v>
      </c>
      <c r="C1292" s="22">
        <f t="shared" si="86"/>
        <v>25001620</v>
      </c>
      <c r="D1292" s="11" t="str">
        <f t="shared" si="83"/>
        <v>SKIIFM_AT</v>
      </c>
      <c r="E1292" s="11" t="str">
        <f>IF(I1292&lt;&gt;"",VLOOKUP(F1292,OPDRACHTGEVER!$A$2:$B$4,2,FALSE),"")</f>
        <v>SKIIFM_AT</v>
      </c>
      <c r="F1292" s="11" t="s">
        <v>58</v>
      </c>
      <c r="I1292" s="11" t="str">
        <f>IF(DATA!B1291&lt;&gt;"",DATA!B1291,"")</f>
        <v>MSBU5516482</v>
      </c>
      <c r="J1292" s="12">
        <v>0</v>
      </c>
      <c r="K1292" s="11" t="s">
        <v>53</v>
      </c>
      <c r="L1292" s="11" t="str">
        <f t="shared" si="84"/>
        <v>761699</v>
      </c>
      <c r="M1292" s="11" t="str">
        <f>IF(I1292&lt;&gt;"",DATA!E1291,"")</f>
        <v>ALUMINUM RAMP</v>
      </c>
      <c r="N1292" s="12">
        <v>0</v>
      </c>
      <c r="O1292" s="11">
        <f>IF(I1292&lt;&gt;"",DATA!C1291,"")</f>
        <v>2.35</v>
      </c>
      <c r="P1292" s="2">
        <v>294094</v>
      </c>
      <c r="Q1292" s="2" t="s">
        <v>1304</v>
      </c>
      <c r="R1292" s="2" t="s">
        <v>1330</v>
      </c>
      <c r="S1292" s="2">
        <v>344</v>
      </c>
      <c r="T1292" s="2">
        <v>1</v>
      </c>
      <c r="U1292" s="2" t="s">
        <v>141</v>
      </c>
      <c r="Y1292" s="2">
        <v>1700</v>
      </c>
      <c r="Z1292" s="11" t="s">
        <v>54</v>
      </c>
      <c r="AA1292" s="11" t="str">
        <f t="shared" si="85"/>
        <v>1700 - TBN</v>
      </c>
      <c r="AC1292" s="2" t="s">
        <v>145</v>
      </c>
      <c r="AD1292" s="11" t="str">
        <f>IF($I1292&lt;&gt;"",VLOOKUP($AC1292,GEADRESSEERDE!$A$2:$E$4,2,),"")</f>
        <v>LUITHAGEN HAVEN 2 D</v>
      </c>
      <c r="AE1292" s="11">
        <f>IF($I1292&lt;&gt;"",VLOOKUP($AC1292,GEADRESSEERDE!$A$2:$E$4,3,),"")</f>
        <v>2030</v>
      </c>
      <c r="AF1292" s="11" t="str">
        <f>IF($I1292&lt;&gt;"",VLOOKUP($AC1292,GEADRESSEERDE!$A$2:$E$4,4,),"")</f>
        <v>ANTWERPEN</v>
      </c>
      <c r="AG1292" s="11" t="str">
        <f>IF($I1292&lt;&gt;"",VLOOKUP($AC1292,GEADRESSEERDE!$A$2:$E$4,5,),"")</f>
        <v>BE</v>
      </c>
      <c r="AH1292" s="11" t="str">
        <f>IF(I1292&lt;&gt;"",VLOOKUP(AP1292,KvB!$A$2:$B$3,2,FALSE),"")</f>
        <v>BE101000</v>
      </c>
      <c r="AI1292" s="11" t="s">
        <v>55</v>
      </c>
      <c r="AJ1292" s="11"/>
      <c r="AK1292" s="11"/>
      <c r="AL1292" s="11"/>
      <c r="AM1292" s="11"/>
      <c r="AN1292" s="11"/>
      <c r="AO1292" s="11"/>
      <c r="AP1292" s="2" t="s">
        <v>70</v>
      </c>
      <c r="AQ1292" s="11" t="str">
        <f>IF(I1292&lt;&gt;"",DATA!D1291,"")</f>
        <v>7616999009</v>
      </c>
    </row>
    <row r="1293" spans="1:43" ht="15.75" x14ac:dyDescent="0.25">
      <c r="A1293" s="11" t="s">
        <v>57</v>
      </c>
      <c r="B1293" s="11" t="s">
        <v>56</v>
      </c>
      <c r="C1293" s="22">
        <f t="shared" si="86"/>
        <v>25001620</v>
      </c>
      <c r="D1293" s="11" t="str">
        <f t="shared" si="83"/>
        <v>SKIIFM_AT</v>
      </c>
      <c r="E1293" s="11" t="str">
        <f>IF(I1293&lt;&gt;"",VLOOKUP(F1293,OPDRACHTGEVER!$A$2:$B$4,2,FALSE),"")</f>
        <v>SKIIFM_AT</v>
      </c>
      <c r="F1293" s="11" t="s">
        <v>58</v>
      </c>
      <c r="I1293" s="11" t="str">
        <f>IF(DATA!B1292&lt;&gt;"",DATA!B1292,"")</f>
        <v>MSBU5516482</v>
      </c>
      <c r="J1293" s="12">
        <v>0</v>
      </c>
      <c r="K1293" s="11" t="s">
        <v>53</v>
      </c>
      <c r="L1293" s="11" t="str">
        <f t="shared" si="84"/>
        <v>871500</v>
      </c>
      <c r="M1293" s="11" t="str">
        <f>IF(I1293&lt;&gt;"",DATA!E1292,"")</f>
        <v>BABY STROLLERS</v>
      </c>
      <c r="N1293" s="12">
        <v>0</v>
      </c>
      <c r="O1293" s="11">
        <f>IF(I1293&lt;&gt;"",DATA!C1292,"")</f>
        <v>2991.85</v>
      </c>
      <c r="P1293" s="2">
        <v>294094</v>
      </c>
      <c r="Q1293" s="2" t="s">
        <v>1304</v>
      </c>
      <c r="R1293" s="2" t="s">
        <v>1330</v>
      </c>
      <c r="S1293" s="2">
        <v>344</v>
      </c>
      <c r="T1293" s="2">
        <v>1</v>
      </c>
      <c r="U1293" s="2" t="s">
        <v>141</v>
      </c>
      <c r="Y1293" s="2">
        <v>1700</v>
      </c>
      <c r="Z1293" s="11" t="s">
        <v>54</v>
      </c>
      <c r="AA1293" s="11" t="str">
        <f t="shared" si="85"/>
        <v>1700 - TBN</v>
      </c>
      <c r="AC1293" s="2" t="s">
        <v>145</v>
      </c>
      <c r="AD1293" s="11" t="str">
        <f>IF($I1293&lt;&gt;"",VLOOKUP($AC1293,GEADRESSEERDE!$A$2:$E$4,2,),"")</f>
        <v>LUITHAGEN HAVEN 2 D</v>
      </c>
      <c r="AE1293" s="11">
        <f>IF($I1293&lt;&gt;"",VLOOKUP($AC1293,GEADRESSEERDE!$A$2:$E$4,3,),"")</f>
        <v>2030</v>
      </c>
      <c r="AF1293" s="11" t="str">
        <f>IF($I1293&lt;&gt;"",VLOOKUP($AC1293,GEADRESSEERDE!$A$2:$E$4,4,),"")</f>
        <v>ANTWERPEN</v>
      </c>
      <c r="AG1293" s="11" t="str">
        <f>IF($I1293&lt;&gt;"",VLOOKUP($AC1293,GEADRESSEERDE!$A$2:$E$4,5,),"")</f>
        <v>BE</v>
      </c>
      <c r="AH1293" s="11" t="str">
        <f>IF(I1293&lt;&gt;"",VLOOKUP(AP1293,KvB!$A$2:$B$3,2,FALSE),"")</f>
        <v>BE101000</v>
      </c>
      <c r="AI1293" s="11" t="s">
        <v>55</v>
      </c>
      <c r="AJ1293" s="11"/>
      <c r="AK1293" s="11"/>
      <c r="AL1293" s="11"/>
      <c r="AM1293" s="11"/>
      <c r="AN1293" s="11"/>
      <c r="AO1293" s="11"/>
      <c r="AP1293" s="2" t="s">
        <v>70</v>
      </c>
      <c r="AQ1293" s="11" t="str">
        <f>IF(I1293&lt;&gt;"",DATA!D1292,"")</f>
        <v>8715001000</v>
      </c>
    </row>
    <row r="1294" spans="1:43" ht="15.75" x14ac:dyDescent="0.25">
      <c r="A1294" s="11" t="s">
        <v>57</v>
      </c>
      <c r="B1294" s="11" t="s">
        <v>56</v>
      </c>
      <c r="C1294" s="22">
        <f t="shared" si="86"/>
        <v>25001620</v>
      </c>
      <c r="D1294" s="11" t="str">
        <f t="shared" si="83"/>
        <v>SKIIFM_AT</v>
      </c>
      <c r="E1294" s="11" t="str">
        <f>IF(I1294&lt;&gt;"",VLOOKUP(F1294,OPDRACHTGEVER!$A$2:$B$4,2,FALSE),"")</f>
        <v>SKIIFM_AT</v>
      </c>
      <c r="F1294" s="11" t="s">
        <v>58</v>
      </c>
      <c r="I1294" s="11" t="str">
        <f>IF(DATA!B1293&lt;&gt;"",DATA!B1293,"")</f>
        <v>MSBU5516482</v>
      </c>
      <c r="J1294" s="12">
        <v>0</v>
      </c>
      <c r="K1294" s="11" t="s">
        <v>53</v>
      </c>
      <c r="L1294" s="11" t="str">
        <f t="shared" si="84"/>
        <v>820570</v>
      </c>
      <c r="M1294" s="11" t="str">
        <f>IF(I1294&lt;&gt;"",DATA!E1293,"")</f>
        <v>BENCH CHAIN VISE</v>
      </c>
      <c r="N1294" s="12">
        <v>0</v>
      </c>
      <c r="O1294" s="11">
        <f>IF(I1294&lt;&gt;"",DATA!C1293,"")</f>
        <v>169.8</v>
      </c>
      <c r="P1294" s="2">
        <v>294094</v>
      </c>
      <c r="Q1294" s="2" t="s">
        <v>1304</v>
      </c>
      <c r="R1294" s="2" t="s">
        <v>1330</v>
      </c>
      <c r="S1294" s="2">
        <v>344</v>
      </c>
      <c r="T1294" s="2">
        <v>1</v>
      </c>
      <c r="U1294" s="2" t="s">
        <v>141</v>
      </c>
      <c r="Y1294" s="2">
        <v>1700</v>
      </c>
      <c r="Z1294" s="11" t="s">
        <v>54</v>
      </c>
      <c r="AA1294" s="11" t="str">
        <f t="shared" si="85"/>
        <v>1700 - TBN</v>
      </c>
      <c r="AC1294" s="2" t="s">
        <v>145</v>
      </c>
      <c r="AD1294" s="11" t="str">
        <f>IF($I1294&lt;&gt;"",VLOOKUP($AC1294,GEADRESSEERDE!$A$2:$E$4,2,),"")</f>
        <v>LUITHAGEN HAVEN 2 D</v>
      </c>
      <c r="AE1294" s="11">
        <f>IF($I1294&lt;&gt;"",VLOOKUP($AC1294,GEADRESSEERDE!$A$2:$E$4,3,),"")</f>
        <v>2030</v>
      </c>
      <c r="AF1294" s="11" t="str">
        <f>IF($I1294&lt;&gt;"",VLOOKUP($AC1294,GEADRESSEERDE!$A$2:$E$4,4,),"")</f>
        <v>ANTWERPEN</v>
      </c>
      <c r="AG1294" s="11" t="str">
        <f>IF($I1294&lt;&gt;"",VLOOKUP($AC1294,GEADRESSEERDE!$A$2:$E$4,5,),"")</f>
        <v>BE</v>
      </c>
      <c r="AH1294" s="11" t="str">
        <f>IF(I1294&lt;&gt;"",VLOOKUP(AP1294,KvB!$A$2:$B$3,2,FALSE),"")</f>
        <v>BE101000</v>
      </c>
      <c r="AI1294" s="11" t="s">
        <v>55</v>
      </c>
      <c r="AJ1294" s="11"/>
      <c r="AK1294" s="11"/>
      <c r="AL1294" s="11"/>
      <c r="AM1294" s="11"/>
      <c r="AN1294" s="11"/>
      <c r="AO1294" s="11"/>
      <c r="AP1294" s="2" t="s">
        <v>70</v>
      </c>
      <c r="AQ1294" s="11" t="str">
        <f>IF(I1294&lt;&gt;"",DATA!D1293,"")</f>
        <v>8205700000</v>
      </c>
    </row>
    <row r="1295" spans="1:43" ht="15.75" x14ac:dyDescent="0.25">
      <c r="A1295" s="11" t="s">
        <v>57</v>
      </c>
      <c r="B1295" s="11" t="s">
        <v>56</v>
      </c>
      <c r="C1295" s="22">
        <f t="shared" si="86"/>
        <v>25001620</v>
      </c>
      <c r="D1295" s="11" t="str">
        <f t="shared" si="83"/>
        <v>SKIIFM_AT</v>
      </c>
      <c r="E1295" s="11" t="str">
        <f>IF(I1295&lt;&gt;"",VLOOKUP(F1295,OPDRACHTGEVER!$A$2:$B$4,2,FALSE),"")</f>
        <v>SKIIFM_AT</v>
      </c>
      <c r="F1295" s="11" t="s">
        <v>58</v>
      </c>
      <c r="I1295" s="11" t="str">
        <f>IF(DATA!B1294&lt;&gt;"",DATA!B1294,"")</f>
        <v>MSBU5516482</v>
      </c>
      <c r="J1295" s="12">
        <v>0</v>
      </c>
      <c r="K1295" s="11" t="s">
        <v>53</v>
      </c>
      <c r="L1295" s="11" t="str">
        <f t="shared" si="84"/>
        <v>847989</v>
      </c>
      <c r="M1295" s="11" t="str">
        <f>IF(I1295&lt;&gt;"",DATA!E1294,"")</f>
        <v>BIT</v>
      </c>
      <c r="N1295" s="12">
        <v>0</v>
      </c>
      <c r="O1295" s="11">
        <f>IF(I1295&lt;&gt;"",DATA!C1294,"")</f>
        <v>3.6</v>
      </c>
      <c r="P1295" s="2">
        <v>294094</v>
      </c>
      <c r="Q1295" s="2" t="s">
        <v>1304</v>
      </c>
      <c r="R1295" s="2" t="s">
        <v>1330</v>
      </c>
      <c r="S1295" s="2">
        <v>344</v>
      </c>
      <c r="T1295" s="2">
        <v>1</v>
      </c>
      <c r="U1295" s="2" t="s">
        <v>141</v>
      </c>
      <c r="Y1295" s="2">
        <v>1700</v>
      </c>
      <c r="Z1295" s="11" t="s">
        <v>54</v>
      </c>
      <c r="AA1295" s="11" t="str">
        <f t="shared" si="85"/>
        <v>1700 - TBN</v>
      </c>
      <c r="AC1295" s="2" t="s">
        <v>145</v>
      </c>
      <c r="AD1295" s="11" t="str">
        <f>IF($I1295&lt;&gt;"",VLOOKUP($AC1295,GEADRESSEERDE!$A$2:$E$4,2,),"")</f>
        <v>LUITHAGEN HAVEN 2 D</v>
      </c>
      <c r="AE1295" s="11">
        <f>IF($I1295&lt;&gt;"",VLOOKUP($AC1295,GEADRESSEERDE!$A$2:$E$4,3,),"")</f>
        <v>2030</v>
      </c>
      <c r="AF1295" s="11" t="str">
        <f>IF($I1295&lt;&gt;"",VLOOKUP($AC1295,GEADRESSEERDE!$A$2:$E$4,4,),"")</f>
        <v>ANTWERPEN</v>
      </c>
      <c r="AG1295" s="11" t="str">
        <f>IF($I1295&lt;&gt;"",VLOOKUP($AC1295,GEADRESSEERDE!$A$2:$E$4,5,),"")</f>
        <v>BE</v>
      </c>
      <c r="AH1295" s="11" t="str">
        <f>IF(I1295&lt;&gt;"",VLOOKUP(AP1295,KvB!$A$2:$B$3,2,FALSE),"")</f>
        <v>BE101000</v>
      </c>
      <c r="AI1295" s="11" t="s">
        <v>55</v>
      </c>
      <c r="AJ1295" s="11"/>
      <c r="AK1295" s="11"/>
      <c r="AL1295" s="11"/>
      <c r="AM1295" s="11"/>
      <c r="AN1295" s="11"/>
      <c r="AO1295" s="11"/>
      <c r="AP1295" s="2" t="s">
        <v>70</v>
      </c>
      <c r="AQ1295" s="11" t="str">
        <f>IF(I1295&lt;&gt;"",DATA!D1294,"")</f>
        <v>8479899790</v>
      </c>
    </row>
    <row r="1296" spans="1:43" ht="15.75" x14ac:dyDescent="0.25">
      <c r="A1296" s="11" t="s">
        <v>57</v>
      </c>
      <c r="B1296" s="11" t="s">
        <v>56</v>
      </c>
      <c r="C1296" s="22">
        <f t="shared" si="86"/>
        <v>25001620</v>
      </c>
      <c r="D1296" s="11" t="str">
        <f t="shared" si="83"/>
        <v>SKIIFM_AT</v>
      </c>
      <c r="E1296" s="11" t="str">
        <f>IF(I1296&lt;&gt;"",VLOOKUP(F1296,OPDRACHTGEVER!$A$2:$B$4,2,FALSE),"")</f>
        <v>SKIIFM_AT</v>
      </c>
      <c r="F1296" s="11" t="s">
        <v>58</v>
      </c>
      <c r="I1296" s="11" t="str">
        <f>IF(DATA!B1295&lt;&gt;"",DATA!B1295,"")</f>
        <v>MSBU5516482</v>
      </c>
      <c r="J1296" s="12">
        <v>0</v>
      </c>
      <c r="K1296" s="11" t="s">
        <v>53</v>
      </c>
      <c r="L1296" s="11" t="str">
        <f t="shared" si="84"/>
        <v>820890</v>
      </c>
      <c r="M1296" s="11" t="str">
        <f>IF(I1296&lt;&gt;"",DATA!E1295,"")</f>
        <v>BLADE</v>
      </c>
      <c r="N1296" s="12">
        <v>0</v>
      </c>
      <c r="O1296" s="11">
        <f>IF(I1296&lt;&gt;"",DATA!C1295,"")</f>
        <v>0.35</v>
      </c>
      <c r="P1296" s="2">
        <v>294094</v>
      </c>
      <c r="Q1296" s="2" t="s">
        <v>1304</v>
      </c>
      <c r="R1296" s="2" t="s">
        <v>1330</v>
      </c>
      <c r="S1296" s="2">
        <v>344</v>
      </c>
      <c r="T1296" s="2">
        <v>1</v>
      </c>
      <c r="U1296" s="2" t="s">
        <v>141</v>
      </c>
      <c r="Y1296" s="2">
        <v>1700</v>
      </c>
      <c r="Z1296" s="11" t="s">
        <v>54</v>
      </c>
      <c r="AA1296" s="11" t="str">
        <f t="shared" si="85"/>
        <v>1700 - TBN</v>
      </c>
      <c r="AC1296" s="2" t="s">
        <v>145</v>
      </c>
      <c r="AD1296" s="11" t="str">
        <f>IF($I1296&lt;&gt;"",VLOOKUP($AC1296,GEADRESSEERDE!$A$2:$E$4,2,),"")</f>
        <v>LUITHAGEN HAVEN 2 D</v>
      </c>
      <c r="AE1296" s="11">
        <f>IF($I1296&lt;&gt;"",VLOOKUP($AC1296,GEADRESSEERDE!$A$2:$E$4,3,),"")</f>
        <v>2030</v>
      </c>
      <c r="AF1296" s="11" t="str">
        <f>IF($I1296&lt;&gt;"",VLOOKUP($AC1296,GEADRESSEERDE!$A$2:$E$4,4,),"")</f>
        <v>ANTWERPEN</v>
      </c>
      <c r="AG1296" s="11" t="str">
        <f>IF($I1296&lt;&gt;"",VLOOKUP($AC1296,GEADRESSEERDE!$A$2:$E$4,5,),"")</f>
        <v>BE</v>
      </c>
      <c r="AH1296" s="11" t="str">
        <f>IF(I1296&lt;&gt;"",VLOOKUP(AP1296,KvB!$A$2:$B$3,2,FALSE),"")</f>
        <v>BE101000</v>
      </c>
      <c r="AI1296" s="11" t="s">
        <v>55</v>
      </c>
      <c r="AJ1296" s="11"/>
      <c r="AK1296" s="11"/>
      <c r="AL1296" s="11"/>
      <c r="AM1296" s="11"/>
      <c r="AN1296" s="11"/>
      <c r="AO1296" s="11"/>
      <c r="AP1296" s="2" t="s">
        <v>70</v>
      </c>
      <c r="AQ1296" s="11" t="str">
        <f>IF(I1296&lt;&gt;"",DATA!D1295,"")</f>
        <v>8208900000</v>
      </c>
    </row>
    <row r="1297" spans="1:43" ht="15.75" x14ac:dyDescent="0.25">
      <c r="A1297" s="11" t="s">
        <v>57</v>
      </c>
      <c r="B1297" s="11" t="s">
        <v>56</v>
      </c>
      <c r="C1297" s="22">
        <f t="shared" si="86"/>
        <v>25001620</v>
      </c>
      <c r="D1297" s="11" t="str">
        <f t="shared" si="83"/>
        <v>SKIIFM_AT</v>
      </c>
      <c r="E1297" s="11" t="str">
        <f>IF(I1297&lt;&gt;"",VLOOKUP(F1297,OPDRACHTGEVER!$A$2:$B$4,2,FALSE),"")</f>
        <v>SKIIFM_AT</v>
      </c>
      <c r="F1297" s="11" t="s">
        <v>58</v>
      </c>
      <c r="I1297" s="11" t="str">
        <f>IF(DATA!B1296&lt;&gt;"",DATA!B1296,"")</f>
        <v>MSBU5516482</v>
      </c>
      <c r="J1297" s="12">
        <v>0</v>
      </c>
      <c r="K1297" s="11" t="s">
        <v>53</v>
      </c>
      <c r="L1297" s="11" t="str">
        <f t="shared" si="84"/>
        <v>850980</v>
      </c>
      <c r="M1297" s="11" t="str">
        <f>IF(I1297&lt;&gt;"",DATA!E1296,"")</f>
        <v>CARPET MOP</v>
      </c>
      <c r="N1297" s="12">
        <v>0</v>
      </c>
      <c r="O1297" s="11">
        <f>IF(I1297&lt;&gt;"",DATA!C1296,"")</f>
        <v>0.9</v>
      </c>
      <c r="P1297" s="2">
        <v>294094</v>
      </c>
      <c r="Q1297" s="2" t="s">
        <v>1304</v>
      </c>
      <c r="R1297" s="2" t="s">
        <v>1330</v>
      </c>
      <c r="S1297" s="2">
        <v>344</v>
      </c>
      <c r="T1297" s="2">
        <v>1</v>
      </c>
      <c r="U1297" s="2" t="s">
        <v>141</v>
      </c>
      <c r="Y1297" s="2">
        <v>1700</v>
      </c>
      <c r="Z1297" s="11" t="s">
        <v>54</v>
      </c>
      <c r="AA1297" s="11" t="str">
        <f t="shared" si="85"/>
        <v>1700 - TBN</v>
      </c>
      <c r="AC1297" s="2" t="s">
        <v>145</v>
      </c>
      <c r="AD1297" s="11" t="str">
        <f>IF($I1297&lt;&gt;"",VLOOKUP($AC1297,GEADRESSEERDE!$A$2:$E$4,2,),"")</f>
        <v>LUITHAGEN HAVEN 2 D</v>
      </c>
      <c r="AE1297" s="11">
        <f>IF($I1297&lt;&gt;"",VLOOKUP($AC1297,GEADRESSEERDE!$A$2:$E$4,3,),"")</f>
        <v>2030</v>
      </c>
      <c r="AF1297" s="11" t="str">
        <f>IF($I1297&lt;&gt;"",VLOOKUP($AC1297,GEADRESSEERDE!$A$2:$E$4,4,),"")</f>
        <v>ANTWERPEN</v>
      </c>
      <c r="AG1297" s="11" t="str">
        <f>IF($I1297&lt;&gt;"",VLOOKUP($AC1297,GEADRESSEERDE!$A$2:$E$4,5,),"")</f>
        <v>BE</v>
      </c>
      <c r="AH1297" s="11" t="str">
        <f>IF(I1297&lt;&gt;"",VLOOKUP(AP1297,KvB!$A$2:$B$3,2,FALSE),"")</f>
        <v>BE101000</v>
      </c>
      <c r="AI1297" s="11" t="s">
        <v>55</v>
      </c>
      <c r="AJ1297" s="11"/>
      <c r="AK1297" s="11"/>
      <c r="AL1297" s="11"/>
      <c r="AM1297" s="11"/>
      <c r="AN1297" s="11"/>
      <c r="AO1297" s="11"/>
      <c r="AP1297" s="2" t="s">
        <v>70</v>
      </c>
      <c r="AQ1297" s="11" t="str">
        <f>IF(I1297&lt;&gt;"",DATA!D1296,"")</f>
        <v>8509800000</v>
      </c>
    </row>
    <row r="1298" spans="1:43" ht="15.75" x14ac:dyDescent="0.25">
      <c r="A1298" s="11" t="s">
        <v>57</v>
      </c>
      <c r="B1298" s="11" t="s">
        <v>56</v>
      </c>
      <c r="C1298" s="22">
        <f t="shared" si="86"/>
        <v>25001620</v>
      </c>
      <c r="D1298" s="11" t="str">
        <f t="shared" si="83"/>
        <v>SKIIFM_AT</v>
      </c>
      <c r="E1298" s="11" t="str">
        <f>IF(I1298&lt;&gt;"",VLOOKUP(F1298,OPDRACHTGEVER!$A$2:$B$4,2,FALSE),"")</f>
        <v>SKIIFM_AT</v>
      </c>
      <c r="F1298" s="11" t="s">
        <v>58</v>
      </c>
      <c r="I1298" s="11" t="str">
        <f>IF(DATA!B1297&lt;&gt;"",DATA!B1297,"")</f>
        <v>MSBU5516482</v>
      </c>
      <c r="J1298" s="12">
        <v>0</v>
      </c>
      <c r="K1298" s="11" t="s">
        <v>53</v>
      </c>
      <c r="L1298" s="11" t="str">
        <f t="shared" si="84"/>
        <v>741920</v>
      </c>
      <c r="M1298" s="11" t="str">
        <f>IF(I1298&lt;&gt;"",DATA!E1297,"")</f>
        <v>CHAIN WITH HOOK</v>
      </c>
      <c r="N1298" s="12">
        <v>0</v>
      </c>
      <c r="O1298" s="11">
        <f>IF(I1298&lt;&gt;"",DATA!C1297,"")</f>
        <v>82.55</v>
      </c>
      <c r="P1298" s="2">
        <v>294094</v>
      </c>
      <c r="Q1298" s="2" t="s">
        <v>1304</v>
      </c>
      <c r="R1298" s="2" t="s">
        <v>1330</v>
      </c>
      <c r="S1298" s="2">
        <v>344</v>
      </c>
      <c r="T1298" s="2">
        <v>1</v>
      </c>
      <c r="U1298" s="2" t="s">
        <v>141</v>
      </c>
      <c r="Y1298" s="2">
        <v>1700</v>
      </c>
      <c r="Z1298" s="11" t="s">
        <v>54</v>
      </c>
      <c r="AA1298" s="11" t="str">
        <f t="shared" si="85"/>
        <v>1700 - TBN</v>
      </c>
      <c r="AC1298" s="2" t="s">
        <v>145</v>
      </c>
      <c r="AD1298" s="11" t="str">
        <f>IF($I1298&lt;&gt;"",VLOOKUP($AC1298,GEADRESSEERDE!$A$2:$E$4,2,),"")</f>
        <v>LUITHAGEN HAVEN 2 D</v>
      </c>
      <c r="AE1298" s="11">
        <f>IF($I1298&lt;&gt;"",VLOOKUP($AC1298,GEADRESSEERDE!$A$2:$E$4,3,),"")</f>
        <v>2030</v>
      </c>
      <c r="AF1298" s="11" t="str">
        <f>IF($I1298&lt;&gt;"",VLOOKUP($AC1298,GEADRESSEERDE!$A$2:$E$4,4,),"")</f>
        <v>ANTWERPEN</v>
      </c>
      <c r="AG1298" s="11" t="str">
        <f>IF($I1298&lt;&gt;"",VLOOKUP($AC1298,GEADRESSEERDE!$A$2:$E$4,5,),"")</f>
        <v>BE</v>
      </c>
      <c r="AH1298" s="11" t="str">
        <f>IF(I1298&lt;&gt;"",VLOOKUP(AP1298,KvB!$A$2:$B$3,2,FALSE),"")</f>
        <v>BE101000</v>
      </c>
      <c r="AI1298" s="11" t="s">
        <v>55</v>
      </c>
      <c r="AJ1298" s="11"/>
      <c r="AK1298" s="11"/>
      <c r="AL1298" s="11"/>
      <c r="AM1298" s="11"/>
      <c r="AN1298" s="11"/>
      <c r="AO1298" s="11"/>
      <c r="AP1298" s="2" t="s">
        <v>70</v>
      </c>
      <c r="AQ1298" s="11" t="str">
        <f>IF(I1298&lt;&gt;"",DATA!D1297,"")</f>
        <v>7419200090</v>
      </c>
    </row>
    <row r="1299" spans="1:43" ht="15.75" x14ac:dyDescent="0.25">
      <c r="A1299" s="11" t="s">
        <v>57</v>
      </c>
      <c r="B1299" s="11" t="s">
        <v>56</v>
      </c>
      <c r="C1299" s="22">
        <f t="shared" si="86"/>
        <v>25001620</v>
      </c>
      <c r="D1299" s="11" t="str">
        <f t="shared" si="83"/>
        <v>SKIIFM_AT</v>
      </c>
      <c r="E1299" s="11" t="str">
        <f>IF(I1299&lt;&gt;"",VLOOKUP(F1299,OPDRACHTGEVER!$A$2:$B$4,2,FALSE),"")</f>
        <v>SKIIFM_AT</v>
      </c>
      <c r="F1299" s="11" t="s">
        <v>58</v>
      </c>
      <c r="I1299" s="11" t="str">
        <f>IF(DATA!B1298&lt;&gt;"",DATA!B1298,"")</f>
        <v>MSBU5516482</v>
      </c>
      <c r="J1299" s="12">
        <v>0</v>
      </c>
      <c r="K1299" s="11" t="s">
        <v>53</v>
      </c>
      <c r="L1299" s="11" t="str">
        <f t="shared" si="84"/>
        <v>741920</v>
      </c>
      <c r="M1299" s="11" t="str">
        <f>IF(I1299&lt;&gt;"",DATA!E1298,"")</f>
        <v>CONNECTOR</v>
      </c>
      <c r="N1299" s="12">
        <v>0</v>
      </c>
      <c r="O1299" s="11">
        <f>IF(I1299&lt;&gt;"",DATA!C1298,"")</f>
        <v>6.9</v>
      </c>
      <c r="P1299" s="2">
        <v>294094</v>
      </c>
      <c r="Q1299" s="2" t="s">
        <v>1304</v>
      </c>
      <c r="R1299" s="2" t="s">
        <v>1330</v>
      </c>
      <c r="S1299" s="2">
        <v>344</v>
      </c>
      <c r="T1299" s="2">
        <v>1</v>
      </c>
      <c r="U1299" s="2" t="s">
        <v>141</v>
      </c>
      <c r="Y1299" s="2">
        <v>1700</v>
      </c>
      <c r="Z1299" s="11" t="s">
        <v>54</v>
      </c>
      <c r="AA1299" s="11" t="str">
        <f t="shared" si="85"/>
        <v>1700 - TBN</v>
      </c>
      <c r="AC1299" s="2" t="s">
        <v>145</v>
      </c>
      <c r="AD1299" s="11" t="str">
        <f>IF($I1299&lt;&gt;"",VLOOKUP($AC1299,GEADRESSEERDE!$A$2:$E$4,2,),"")</f>
        <v>LUITHAGEN HAVEN 2 D</v>
      </c>
      <c r="AE1299" s="11">
        <f>IF($I1299&lt;&gt;"",VLOOKUP($AC1299,GEADRESSEERDE!$A$2:$E$4,3,),"")</f>
        <v>2030</v>
      </c>
      <c r="AF1299" s="11" t="str">
        <f>IF($I1299&lt;&gt;"",VLOOKUP($AC1299,GEADRESSEERDE!$A$2:$E$4,4,),"")</f>
        <v>ANTWERPEN</v>
      </c>
      <c r="AG1299" s="11" t="str">
        <f>IF($I1299&lt;&gt;"",VLOOKUP($AC1299,GEADRESSEERDE!$A$2:$E$4,5,),"")</f>
        <v>BE</v>
      </c>
      <c r="AH1299" s="11" t="str">
        <f>IF(I1299&lt;&gt;"",VLOOKUP(AP1299,KvB!$A$2:$B$3,2,FALSE),"")</f>
        <v>BE101000</v>
      </c>
      <c r="AI1299" s="11" t="s">
        <v>55</v>
      </c>
      <c r="AJ1299" s="11"/>
      <c r="AK1299" s="11"/>
      <c r="AL1299" s="11"/>
      <c r="AM1299" s="11"/>
      <c r="AN1299" s="11"/>
      <c r="AO1299" s="11"/>
      <c r="AP1299" s="2" t="s">
        <v>70</v>
      </c>
      <c r="AQ1299" s="11" t="str">
        <f>IF(I1299&lt;&gt;"",DATA!D1298,"")</f>
        <v>7419200090</v>
      </c>
    </row>
    <row r="1300" spans="1:43" ht="15.75" x14ac:dyDescent="0.25">
      <c r="A1300" s="11" t="s">
        <v>57</v>
      </c>
      <c r="B1300" s="11" t="s">
        <v>56</v>
      </c>
      <c r="C1300" s="22">
        <f t="shared" si="86"/>
        <v>25001620</v>
      </c>
      <c r="D1300" s="11" t="str">
        <f t="shared" si="83"/>
        <v>SKIIFM_AT</v>
      </c>
      <c r="E1300" s="11" t="str">
        <f>IF(I1300&lt;&gt;"",VLOOKUP(F1300,OPDRACHTGEVER!$A$2:$B$4,2,FALSE),"")</f>
        <v>SKIIFM_AT</v>
      </c>
      <c r="F1300" s="11" t="s">
        <v>58</v>
      </c>
      <c r="I1300" s="11" t="str">
        <f>IF(DATA!B1299&lt;&gt;"",DATA!B1299,"")</f>
        <v>MSBU5516482</v>
      </c>
      <c r="J1300" s="12">
        <v>0</v>
      </c>
      <c r="K1300" s="11" t="s">
        <v>53</v>
      </c>
      <c r="L1300" s="11" t="str">
        <f t="shared" si="84"/>
        <v>848180</v>
      </c>
      <c r="M1300" s="11" t="str">
        <f>IF(I1300&lt;&gt;"",DATA!E1299,"")</f>
        <v>CONTROL VALVE</v>
      </c>
      <c r="N1300" s="12">
        <v>0</v>
      </c>
      <c r="O1300" s="11">
        <f>IF(I1300&lt;&gt;"",DATA!C1299,"")</f>
        <v>11</v>
      </c>
      <c r="P1300" s="2">
        <v>294094</v>
      </c>
      <c r="Q1300" s="2" t="s">
        <v>1304</v>
      </c>
      <c r="R1300" s="2" t="s">
        <v>1330</v>
      </c>
      <c r="S1300" s="2">
        <v>344</v>
      </c>
      <c r="T1300" s="2">
        <v>1</v>
      </c>
      <c r="U1300" s="2" t="s">
        <v>141</v>
      </c>
      <c r="Y1300" s="2">
        <v>1700</v>
      </c>
      <c r="Z1300" s="11" t="s">
        <v>54</v>
      </c>
      <c r="AA1300" s="11" t="str">
        <f t="shared" si="85"/>
        <v>1700 - TBN</v>
      </c>
      <c r="AC1300" s="2" t="s">
        <v>145</v>
      </c>
      <c r="AD1300" s="11" t="str">
        <f>IF($I1300&lt;&gt;"",VLOOKUP($AC1300,GEADRESSEERDE!$A$2:$E$4,2,),"")</f>
        <v>LUITHAGEN HAVEN 2 D</v>
      </c>
      <c r="AE1300" s="11">
        <f>IF($I1300&lt;&gt;"",VLOOKUP($AC1300,GEADRESSEERDE!$A$2:$E$4,3,),"")</f>
        <v>2030</v>
      </c>
      <c r="AF1300" s="11" t="str">
        <f>IF($I1300&lt;&gt;"",VLOOKUP($AC1300,GEADRESSEERDE!$A$2:$E$4,4,),"")</f>
        <v>ANTWERPEN</v>
      </c>
      <c r="AG1300" s="11" t="str">
        <f>IF($I1300&lt;&gt;"",VLOOKUP($AC1300,GEADRESSEERDE!$A$2:$E$4,5,),"")</f>
        <v>BE</v>
      </c>
      <c r="AH1300" s="11" t="str">
        <f>IF(I1300&lt;&gt;"",VLOOKUP(AP1300,KvB!$A$2:$B$3,2,FALSE),"")</f>
        <v>BE101000</v>
      </c>
      <c r="AI1300" s="11" t="s">
        <v>55</v>
      </c>
      <c r="AJ1300" s="11"/>
      <c r="AK1300" s="11"/>
      <c r="AL1300" s="11"/>
      <c r="AM1300" s="11"/>
      <c r="AN1300" s="11"/>
      <c r="AO1300" s="11"/>
      <c r="AP1300" s="2" t="s">
        <v>70</v>
      </c>
      <c r="AQ1300" s="11" t="str">
        <f>IF(I1300&lt;&gt;"",DATA!D1299,"")</f>
        <v>8481803900</v>
      </c>
    </row>
    <row r="1301" spans="1:43" ht="15.75" x14ac:dyDescent="0.25">
      <c r="A1301" s="11" t="s">
        <v>57</v>
      </c>
      <c r="B1301" s="11" t="s">
        <v>56</v>
      </c>
      <c r="C1301" s="22">
        <f t="shared" si="86"/>
        <v>25001620</v>
      </c>
      <c r="D1301" s="11" t="str">
        <f t="shared" si="83"/>
        <v>SKIIFM_AT</v>
      </c>
      <c r="E1301" s="11" t="str">
        <f>IF(I1301&lt;&gt;"",VLOOKUP(F1301,OPDRACHTGEVER!$A$2:$B$4,2,FALSE),"")</f>
        <v>SKIIFM_AT</v>
      </c>
      <c r="F1301" s="11" t="s">
        <v>58</v>
      </c>
      <c r="I1301" s="11" t="str">
        <f>IF(DATA!B1300&lt;&gt;"",DATA!B1300,"")</f>
        <v>MSBU5516482</v>
      </c>
      <c r="J1301" s="12">
        <v>0</v>
      </c>
      <c r="K1301" s="11" t="s">
        <v>53</v>
      </c>
      <c r="L1301" s="11" t="str">
        <f t="shared" si="84"/>
        <v>842310</v>
      </c>
      <c r="M1301" s="11" t="str">
        <f>IF(I1301&lt;&gt;"",DATA!E1300,"")</f>
        <v>DIGITAL MEDICAL SCALE</v>
      </c>
      <c r="N1301" s="12">
        <v>0</v>
      </c>
      <c r="O1301" s="11">
        <f>IF(I1301&lt;&gt;"",DATA!C1300,"")</f>
        <v>2.5</v>
      </c>
      <c r="P1301" s="2">
        <v>294094</v>
      </c>
      <c r="Q1301" s="2" t="s">
        <v>1304</v>
      </c>
      <c r="R1301" s="2" t="s">
        <v>1330</v>
      </c>
      <c r="S1301" s="2">
        <v>344</v>
      </c>
      <c r="T1301" s="2">
        <v>1</v>
      </c>
      <c r="U1301" s="2" t="s">
        <v>141</v>
      </c>
      <c r="Y1301" s="2">
        <v>1700</v>
      </c>
      <c r="Z1301" s="11" t="s">
        <v>54</v>
      </c>
      <c r="AA1301" s="11" t="str">
        <f t="shared" si="85"/>
        <v>1700 - TBN</v>
      </c>
      <c r="AC1301" s="2" t="s">
        <v>145</v>
      </c>
      <c r="AD1301" s="11" t="str">
        <f>IF($I1301&lt;&gt;"",VLOOKUP($AC1301,GEADRESSEERDE!$A$2:$E$4,2,),"")</f>
        <v>LUITHAGEN HAVEN 2 D</v>
      </c>
      <c r="AE1301" s="11">
        <f>IF($I1301&lt;&gt;"",VLOOKUP($AC1301,GEADRESSEERDE!$A$2:$E$4,3,),"")</f>
        <v>2030</v>
      </c>
      <c r="AF1301" s="11" t="str">
        <f>IF($I1301&lt;&gt;"",VLOOKUP($AC1301,GEADRESSEERDE!$A$2:$E$4,4,),"")</f>
        <v>ANTWERPEN</v>
      </c>
      <c r="AG1301" s="11" t="str">
        <f>IF($I1301&lt;&gt;"",VLOOKUP($AC1301,GEADRESSEERDE!$A$2:$E$4,5,),"")</f>
        <v>BE</v>
      </c>
      <c r="AH1301" s="11" t="str">
        <f>IF(I1301&lt;&gt;"",VLOOKUP(AP1301,KvB!$A$2:$B$3,2,FALSE),"")</f>
        <v>BE101000</v>
      </c>
      <c r="AI1301" s="11" t="s">
        <v>55</v>
      </c>
      <c r="AJ1301" s="11"/>
      <c r="AK1301" s="11"/>
      <c r="AL1301" s="11"/>
      <c r="AM1301" s="11"/>
      <c r="AN1301" s="11"/>
      <c r="AO1301" s="11"/>
      <c r="AP1301" s="2" t="s">
        <v>70</v>
      </c>
      <c r="AQ1301" s="11" t="str">
        <f>IF(I1301&lt;&gt;"",DATA!D1300,"")</f>
        <v>8423109000</v>
      </c>
    </row>
    <row r="1302" spans="1:43" ht="15.75" x14ac:dyDescent="0.25">
      <c r="A1302" s="11" t="s">
        <v>57</v>
      </c>
      <c r="B1302" s="11" t="s">
        <v>56</v>
      </c>
      <c r="C1302" s="22">
        <f t="shared" si="86"/>
        <v>25001620</v>
      </c>
      <c r="D1302" s="11" t="str">
        <f t="shared" si="83"/>
        <v>SKIIFM_AT</v>
      </c>
      <c r="E1302" s="11" t="str">
        <f>IF(I1302&lt;&gt;"",VLOOKUP(F1302,OPDRACHTGEVER!$A$2:$B$4,2,FALSE),"")</f>
        <v>SKIIFM_AT</v>
      </c>
      <c r="F1302" s="11" t="s">
        <v>58</v>
      </c>
      <c r="I1302" s="11" t="str">
        <f>IF(DATA!B1301&lt;&gt;"",DATA!B1301,"")</f>
        <v>MSBU5516482</v>
      </c>
      <c r="J1302" s="12">
        <v>0</v>
      </c>
      <c r="K1302" s="11" t="s">
        <v>53</v>
      </c>
      <c r="L1302" s="11" t="str">
        <f t="shared" si="84"/>
        <v>820540</v>
      </c>
      <c r="M1302" s="11" t="str">
        <f>IF(I1302&lt;&gt;"",DATA!E1301,"")</f>
        <v>DIGITAL TORQUE SCREWDRIVER</v>
      </c>
      <c r="N1302" s="12">
        <v>0</v>
      </c>
      <c r="O1302" s="11">
        <f>IF(I1302&lt;&gt;"",DATA!C1301,"")</f>
        <v>1</v>
      </c>
      <c r="P1302" s="2">
        <v>294094</v>
      </c>
      <c r="Q1302" s="2" t="s">
        <v>1304</v>
      </c>
      <c r="R1302" s="2" t="s">
        <v>1330</v>
      </c>
      <c r="S1302" s="2">
        <v>344</v>
      </c>
      <c r="T1302" s="2">
        <v>1</v>
      </c>
      <c r="U1302" s="2" t="s">
        <v>141</v>
      </c>
      <c r="Y1302" s="2">
        <v>1700</v>
      </c>
      <c r="Z1302" s="11" t="s">
        <v>54</v>
      </c>
      <c r="AA1302" s="11" t="str">
        <f t="shared" si="85"/>
        <v>1700 - TBN</v>
      </c>
      <c r="AC1302" s="2" t="s">
        <v>145</v>
      </c>
      <c r="AD1302" s="11" t="str">
        <f>IF($I1302&lt;&gt;"",VLOOKUP($AC1302,GEADRESSEERDE!$A$2:$E$4,2,),"")</f>
        <v>LUITHAGEN HAVEN 2 D</v>
      </c>
      <c r="AE1302" s="11">
        <f>IF($I1302&lt;&gt;"",VLOOKUP($AC1302,GEADRESSEERDE!$A$2:$E$4,3,),"")</f>
        <v>2030</v>
      </c>
      <c r="AF1302" s="11" t="str">
        <f>IF($I1302&lt;&gt;"",VLOOKUP($AC1302,GEADRESSEERDE!$A$2:$E$4,4,),"")</f>
        <v>ANTWERPEN</v>
      </c>
      <c r="AG1302" s="11" t="str">
        <f>IF($I1302&lt;&gt;"",VLOOKUP($AC1302,GEADRESSEERDE!$A$2:$E$4,5,),"")</f>
        <v>BE</v>
      </c>
      <c r="AH1302" s="11" t="str">
        <f>IF(I1302&lt;&gt;"",VLOOKUP(AP1302,KvB!$A$2:$B$3,2,FALSE),"")</f>
        <v>BE101000</v>
      </c>
      <c r="AI1302" s="11" t="s">
        <v>55</v>
      </c>
      <c r="AJ1302" s="11"/>
      <c r="AK1302" s="11"/>
      <c r="AL1302" s="11"/>
      <c r="AM1302" s="11"/>
      <c r="AN1302" s="11"/>
      <c r="AO1302" s="11"/>
      <c r="AP1302" s="2" t="s">
        <v>70</v>
      </c>
      <c r="AQ1302" s="11" t="str">
        <f>IF(I1302&lt;&gt;"",DATA!D1301,"")</f>
        <v>8205400000</v>
      </c>
    </row>
    <row r="1303" spans="1:43" ht="15.75" x14ac:dyDescent="0.25">
      <c r="A1303" s="11" t="s">
        <v>57</v>
      </c>
      <c r="B1303" s="11" t="s">
        <v>56</v>
      </c>
      <c r="C1303" s="22">
        <f t="shared" si="86"/>
        <v>25001620</v>
      </c>
      <c r="D1303" s="11" t="str">
        <f t="shared" si="83"/>
        <v>SKIIFM_AT</v>
      </c>
      <c r="E1303" s="11" t="str">
        <f>IF(I1303&lt;&gt;"",VLOOKUP(F1303,OPDRACHTGEVER!$A$2:$B$4,2,FALSE),"")</f>
        <v>SKIIFM_AT</v>
      </c>
      <c r="F1303" s="11" t="s">
        <v>58</v>
      </c>
      <c r="I1303" s="11" t="str">
        <f>IF(DATA!B1302&lt;&gt;"",DATA!B1302,"")</f>
        <v>MSBU5516482</v>
      </c>
      <c r="J1303" s="12">
        <v>0</v>
      </c>
      <c r="K1303" s="11" t="s">
        <v>53</v>
      </c>
      <c r="L1303" s="11" t="str">
        <f t="shared" si="84"/>
        <v>841940</v>
      </c>
      <c r="M1303" s="11" t="str">
        <f>IF(I1303&lt;&gt;"",DATA!E1302,"")</f>
        <v>DISTILLER</v>
      </c>
      <c r="N1303" s="12">
        <v>0</v>
      </c>
      <c r="O1303" s="11">
        <f>IF(I1303&lt;&gt;"",DATA!C1302,"")</f>
        <v>973.1</v>
      </c>
      <c r="P1303" s="2">
        <v>294094</v>
      </c>
      <c r="Q1303" s="2" t="s">
        <v>1304</v>
      </c>
      <c r="R1303" s="2" t="s">
        <v>1330</v>
      </c>
      <c r="S1303" s="2">
        <v>344</v>
      </c>
      <c r="T1303" s="2">
        <v>1</v>
      </c>
      <c r="U1303" s="2" t="s">
        <v>141</v>
      </c>
      <c r="Y1303" s="2">
        <v>1700</v>
      </c>
      <c r="Z1303" s="11" t="s">
        <v>54</v>
      </c>
      <c r="AA1303" s="11" t="str">
        <f t="shared" si="85"/>
        <v>1700 - TBN</v>
      </c>
      <c r="AC1303" s="2" t="s">
        <v>145</v>
      </c>
      <c r="AD1303" s="11" t="str">
        <f>IF($I1303&lt;&gt;"",VLOOKUP($AC1303,GEADRESSEERDE!$A$2:$E$4,2,),"")</f>
        <v>LUITHAGEN HAVEN 2 D</v>
      </c>
      <c r="AE1303" s="11">
        <f>IF($I1303&lt;&gt;"",VLOOKUP($AC1303,GEADRESSEERDE!$A$2:$E$4,3,),"")</f>
        <v>2030</v>
      </c>
      <c r="AF1303" s="11" t="str">
        <f>IF($I1303&lt;&gt;"",VLOOKUP($AC1303,GEADRESSEERDE!$A$2:$E$4,4,),"")</f>
        <v>ANTWERPEN</v>
      </c>
      <c r="AG1303" s="11" t="str">
        <f>IF($I1303&lt;&gt;"",VLOOKUP($AC1303,GEADRESSEERDE!$A$2:$E$4,5,),"")</f>
        <v>BE</v>
      </c>
      <c r="AH1303" s="11" t="str">
        <f>IF(I1303&lt;&gt;"",VLOOKUP(AP1303,KvB!$A$2:$B$3,2,FALSE),"")</f>
        <v>BE101000</v>
      </c>
      <c r="AI1303" s="11" t="s">
        <v>55</v>
      </c>
      <c r="AJ1303" s="11"/>
      <c r="AK1303" s="11"/>
      <c r="AL1303" s="11"/>
      <c r="AM1303" s="11"/>
      <c r="AN1303" s="11"/>
      <c r="AO1303" s="11"/>
      <c r="AP1303" s="2" t="s">
        <v>70</v>
      </c>
      <c r="AQ1303" s="11" t="str">
        <f>IF(I1303&lt;&gt;"",DATA!D1302,"")</f>
        <v>8419400090</v>
      </c>
    </row>
    <row r="1304" spans="1:43" ht="15.75" x14ac:dyDescent="0.25">
      <c r="A1304" s="11" t="s">
        <v>57</v>
      </c>
      <c r="B1304" s="11" t="s">
        <v>56</v>
      </c>
      <c r="C1304" s="22">
        <f t="shared" si="86"/>
        <v>25001620</v>
      </c>
      <c r="D1304" s="11" t="str">
        <f t="shared" si="83"/>
        <v>SKIIFM_AT</v>
      </c>
      <c r="E1304" s="11" t="str">
        <f>IF(I1304&lt;&gt;"",VLOOKUP(F1304,OPDRACHTGEVER!$A$2:$B$4,2,FALSE),"")</f>
        <v>SKIIFM_AT</v>
      </c>
      <c r="F1304" s="11" t="s">
        <v>58</v>
      </c>
      <c r="I1304" s="11" t="str">
        <f>IF(DATA!B1303&lt;&gt;"",DATA!B1303,"")</f>
        <v>MSBU5516482</v>
      </c>
      <c r="J1304" s="12">
        <v>0</v>
      </c>
      <c r="K1304" s="11" t="s">
        <v>53</v>
      </c>
      <c r="L1304" s="11" t="str">
        <f t="shared" si="84"/>
        <v>830260</v>
      </c>
      <c r="M1304" s="11" t="str">
        <f>IF(I1304&lt;&gt;"",DATA!E1303,"")</f>
        <v>DOOR CLOSERS</v>
      </c>
      <c r="N1304" s="12">
        <v>0</v>
      </c>
      <c r="O1304" s="11">
        <f>IF(I1304&lt;&gt;"",DATA!C1303,"")</f>
        <v>1.75</v>
      </c>
      <c r="P1304" s="2">
        <v>294094</v>
      </c>
      <c r="Q1304" s="2" t="s">
        <v>1304</v>
      </c>
      <c r="R1304" s="2" t="s">
        <v>1330</v>
      </c>
      <c r="S1304" s="2">
        <v>344</v>
      </c>
      <c r="T1304" s="2">
        <v>1</v>
      </c>
      <c r="U1304" s="2" t="s">
        <v>141</v>
      </c>
      <c r="Y1304" s="2">
        <v>1700</v>
      </c>
      <c r="Z1304" s="11" t="s">
        <v>54</v>
      </c>
      <c r="AA1304" s="11" t="str">
        <f t="shared" si="85"/>
        <v>1700 - TBN</v>
      </c>
      <c r="AC1304" s="2" t="s">
        <v>145</v>
      </c>
      <c r="AD1304" s="11" t="str">
        <f>IF($I1304&lt;&gt;"",VLOOKUP($AC1304,GEADRESSEERDE!$A$2:$E$4,2,),"")</f>
        <v>LUITHAGEN HAVEN 2 D</v>
      </c>
      <c r="AE1304" s="11">
        <f>IF($I1304&lt;&gt;"",VLOOKUP($AC1304,GEADRESSEERDE!$A$2:$E$4,3,),"")</f>
        <v>2030</v>
      </c>
      <c r="AF1304" s="11" t="str">
        <f>IF($I1304&lt;&gt;"",VLOOKUP($AC1304,GEADRESSEERDE!$A$2:$E$4,4,),"")</f>
        <v>ANTWERPEN</v>
      </c>
      <c r="AG1304" s="11" t="str">
        <f>IF($I1304&lt;&gt;"",VLOOKUP($AC1304,GEADRESSEERDE!$A$2:$E$4,5,),"")</f>
        <v>BE</v>
      </c>
      <c r="AH1304" s="11" t="str">
        <f>IF(I1304&lt;&gt;"",VLOOKUP(AP1304,KvB!$A$2:$B$3,2,FALSE),"")</f>
        <v>BE101000</v>
      </c>
      <c r="AI1304" s="11" t="s">
        <v>55</v>
      </c>
      <c r="AJ1304" s="11"/>
      <c r="AK1304" s="11"/>
      <c r="AL1304" s="11"/>
      <c r="AM1304" s="11"/>
      <c r="AN1304" s="11"/>
      <c r="AO1304" s="11"/>
      <c r="AP1304" s="2" t="s">
        <v>70</v>
      </c>
      <c r="AQ1304" s="11" t="str">
        <f>IF(I1304&lt;&gt;"",DATA!D1303,"")</f>
        <v>8302600090</v>
      </c>
    </row>
    <row r="1305" spans="1:43" ht="15.75" x14ac:dyDescent="0.25">
      <c r="A1305" s="11" t="s">
        <v>57</v>
      </c>
      <c r="B1305" s="11" t="s">
        <v>56</v>
      </c>
      <c r="C1305" s="22">
        <f t="shared" si="86"/>
        <v>25001620</v>
      </c>
      <c r="D1305" s="11" t="str">
        <f t="shared" si="83"/>
        <v>SKIIFM_AT</v>
      </c>
      <c r="E1305" s="11" t="str">
        <f>IF(I1305&lt;&gt;"",VLOOKUP(F1305,OPDRACHTGEVER!$A$2:$B$4,2,FALSE),"")</f>
        <v>SKIIFM_AT</v>
      </c>
      <c r="F1305" s="11" t="s">
        <v>58</v>
      </c>
      <c r="I1305" s="11" t="str">
        <f>IF(DATA!B1304&lt;&gt;"",DATA!B1304,"")</f>
        <v>MSBU5516482</v>
      </c>
      <c r="J1305" s="12">
        <v>0</v>
      </c>
      <c r="K1305" s="11" t="s">
        <v>53</v>
      </c>
      <c r="L1305" s="11" t="str">
        <f t="shared" si="84"/>
        <v>842199</v>
      </c>
      <c r="M1305" s="11" t="str">
        <f>IF(I1305&lt;&gt;"",DATA!E1304,"")</f>
        <v>FIBER FILTER BALL</v>
      </c>
      <c r="N1305" s="12">
        <v>0</v>
      </c>
      <c r="O1305" s="11">
        <f>IF(I1305&lt;&gt;"",DATA!C1304,"")</f>
        <v>1.8</v>
      </c>
      <c r="P1305" s="2">
        <v>294094</v>
      </c>
      <c r="Q1305" s="2" t="s">
        <v>1304</v>
      </c>
      <c r="R1305" s="2" t="s">
        <v>1330</v>
      </c>
      <c r="S1305" s="2">
        <v>344</v>
      </c>
      <c r="T1305" s="2">
        <v>1</v>
      </c>
      <c r="U1305" s="2" t="s">
        <v>141</v>
      </c>
      <c r="Y1305" s="2">
        <v>1700</v>
      </c>
      <c r="Z1305" s="11" t="s">
        <v>54</v>
      </c>
      <c r="AA1305" s="11" t="str">
        <f t="shared" si="85"/>
        <v>1700 - TBN</v>
      </c>
      <c r="AC1305" s="2" t="s">
        <v>145</v>
      </c>
      <c r="AD1305" s="11" t="str">
        <f>IF($I1305&lt;&gt;"",VLOOKUP($AC1305,GEADRESSEERDE!$A$2:$E$4,2,),"")</f>
        <v>LUITHAGEN HAVEN 2 D</v>
      </c>
      <c r="AE1305" s="11">
        <f>IF($I1305&lt;&gt;"",VLOOKUP($AC1305,GEADRESSEERDE!$A$2:$E$4,3,),"")</f>
        <v>2030</v>
      </c>
      <c r="AF1305" s="11" t="str">
        <f>IF($I1305&lt;&gt;"",VLOOKUP($AC1305,GEADRESSEERDE!$A$2:$E$4,4,),"")</f>
        <v>ANTWERPEN</v>
      </c>
      <c r="AG1305" s="11" t="str">
        <f>IF($I1305&lt;&gt;"",VLOOKUP($AC1305,GEADRESSEERDE!$A$2:$E$4,5,),"")</f>
        <v>BE</v>
      </c>
      <c r="AH1305" s="11" t="str">
        <f>IF(I1305&lt;&gt;"",VLOOKUP(AP1305,KvB!$A$2:$B$3,2,FALSE),"")</f>
        <v>BE101000</v>
      </c>
      <c r="AI1305" s="11" t="s">
        <v>55</v>
      </c>
      <c r="AJ1305" s="11"/>
      <c r="AK1305" s="11"/>
      <c r="AL1305" s="11"/>
      <c r="AM1305" s="11"/>
      <c r="AN1305" s="11"/>
      <c r="AO1305" s="11"/>
      <c r="AP1305" s="2" t="s">
        <v>70</v>
      </c>
      <c r="AQ1305" s="11" t="str">
        <f>IF(I1305&lt;&gt;"",DATA!D1304,"")</f>
        <v>8421999099</v>
      </c>
    </row>
    <row r="1306" spans="1:43" ht="15.75" x14ac:dyDescent="0.25">
      <c r="A1306" s="11" t="s">
        <v>57</v>
      </c>
      <c r="B1306" s="11" t="s">
        <v>56</v>
      </c>
      <c r="C1306" s="22">
        <f t="shared" si="86"/>
        <v>25001620</v>
      </c>
      <c r="D1306" s="11" t="str">
        <f t="shared" si="83"/>
        <v>SKIIFM_AT</v>
      </c>
      <c r="E1306" s="11" t="str">
        <f>IF(I1306&lt;&gt;"",VLOOKUP(F1306,OPDRACHTGEVER!$A$2:$B$4,2,FALSE),"")</f>
        <v>SKIIFM_AT</v>
      </c>
      <c r="F1306" s="11" t="s">
        <v>58</v>
      </c>
      <c r="I1306" s="11" t="str">
        <f>IF(DATA!B1305&lt;&gt;"",DATA!B1305,"")</f>
        <v>MSBU5516482</v>
      </c>
      <c r="J1306" s="12">
        <v>0</v>
      </c>
      <c r="K1306" s="11" t="s">
        <v>53</v>
      </c>
      <c r="L1306" s="11" t="str">
        <f t="shared" si="84"/>
        <v>741920</v>
      </c>
      <c r="M1306" s="11" t="str">
        <f>IF(I1306&lt;&gt;"",DATA!E1305,"")</f>
        <v>FORKLIFT WORKING PLATFORM</v>
      </c>
      <c r="N1306" s="12">
        <v>0</v>
      </c>
      <c r="O1306" s="11">
        <f>IF(I1306&lt;&gt;"",DATA!C1305,"")</f>
        <v>586.4</v>
      </c>
      <c r="P1306" s="2">
        <v>294094</v>
      </c>
      <c r="Q1306" s="2" t="s">
        <v>1304</v>
      </c>
      <c r="R1306" s="2" t="s">
        <v>1330</v>
      </c>
      <c r="S1306" s="2">
        <v>344</v>
      </c>
      <c r="T1306" s="2">
        <v>1</v>
      </c>
      <c r="U1306" s="2" t="s">
        <v>141</v>
      </c>
      <c r="Y1306" s="2">
        <v>1700</v>
      </c>
      <c r="Z1306" s="11" t="s">
        <v>54</v>
      </c>
      <c r="AA1306" s="11" t="str">
        <f t="shared" si="85"/>
        <v>1700 - TBN</v>
      </c>
      <c r="AC1306" s="2" t="s">
        <v>145</v>
      </c>
      <c r="AD1306" s="11" t="str">
        <f>IF($I1306&lt;&gt;"",VLOOKUP($AC1306,GEADRESSEERDE!$A$2:$E$4,2,),"")</f>
        <v>LUITHAGEN HAVEN 2 D</v>
      </c>
      <c r="AE1306" s="11">
        <f>IF($I1306&lt;&gt;"",VLOOKUP($AC1306,GEADRESSEERDE!$A$2:$E$4,3,),"")</f>
        <v>2030</v>
      </c>
      <c r="AF1306" s="11" t="str">
        <f>IF($I1306&lt;&gt;"",VLOOKUP($AC1306,GEADRESSEERDE!$A$2:$E$4,4,),"")</f>
        <v>ANTWERPEN</v>
      </c>
      <c r="AG1306" s="11" t="str">
        <f>IF($I1306&lt;&gt;"",VLOOKUP($AC1306,GEADRESSEERDE!$A$2:$E$4,5,),"")</f>
        <v>BE</v>
      </c>
      <c r="AH1306" s="11" t="str">
        <f>IF(I1306&lt;&gt;"",VLOOKUP(AP1306,KvB!$A$2:$B$3,2,FALSE),"")</f>
        <v>BE101000</v>
      </c>
      <c r="AI1306" s="11" t="s">
        <v>55</v>
      </c>
      <c r="AJ1306" s="11"/>
      <c r="AK1306" s="11"/>
      <c r="AL1306" s="11"/>
      <c r="AM1306" s="11"/>
      <c r="AN1306" s="11"/>
      <c r="AO1306" s="11"/>
      <c r="AP1306" s="2" t="s">
        <v>70</v>
      </c>
      <c r="AQ1306" s="11" t="str">
        <f>IF(I1306&lt;&gt;"",DATA!D1305,"")</f>
        <v>7419200090</v>
      </c>
    </row>
    <row r="1307" spans="1:43" ht="15.75" x14ac:dyDescent="0.25">
      <c r="A1307" s="11" t="s">
        <v>57</v>
      </c>
      <c r="B1307" s="11" t="s">
        <v>56</v>
      </c>
      <c r="C1307" s="22">
        <f t="shared" si="86"/>
        <v>25001620</v>
      </c>
      <c r="D1307" s="11" t="str">
        <f t="shared" si="83"/>
        <v>SKIIFM_AT</v>
      </c>
      <c r="E1307" s="11" t="str">
        <f>IF(I1307&lt;&gt;"",VLOOKUP(F1307,OPDRACHTGEVER!$A$2:$B$4,2,FALSE),"")</f>
        <v>SKIIFM_AT</v>
      </c>
      <c r="F1307" s="11" t="s">
        <v>58</v>
      </c>
      <c r="I1307" s="11" t="str">
        <f>IF(DATA!B1306&lt;&gt;"",DATA!B1306,"")</f>
        <v>MSBU5516482</v>
      </c>
      <c r="J1307" s="12">
        <v>0</v>
      </c>
      <c r="K1307" s="11" t="s">
        <v>53</v>
      </c>
      <c r="L1307" s="11" t="str">
        <f t="shared" si="84"/>
        <v>841320</v>
      </c>
      <c r="M1307" s="11" t="str">
        <f>IF(I1307&lt;&gt;"",DATA!E1306,"")</f>
        <v>HAND PRESSURE PUMP</v>
      </c>
      <c r="N1307" s="12">
        <v>0</v>
      </c>
      <c r="O1307" s="11">
        <f>IF(I1307&lt;&gt;"",DATA!C1306,"")</f>
        <v>26.8</v>
      </c>
      <c r="P1307" s="2">
        <v>294094</v>
      </c>
      <c r="Q1307" s="2" t="s">
        <v>1304</v>
      </c>
      <c r="R1307" s="2" t="s">
        <v>1330</v>
      </c>
      <c r="S1307" s="2">
        <v>344</v>
      </c>
      <c r="T1307" s="2">
        <v>1</v>
      </c>
      <c r="U1307" s="2" t="s">
        <v>141</v>
      </c>
      <c r="Y1307" s="2">
        <v>1700</v>
      </c>
      <c r="Z1307" s="11" t="s">
        <v>54</v>
      </c>
      <c r="AA1307" s="11" t="str">
        <f t="shared" si="85"/>
        <v>1700 - TBN</v>
      </c>
      <c r="AC1307" s="2" t="s">
        <v>145</v>
      </c>
      <c r="AD1307" s="11" t="str">
        <f>IF($I1307&lt;&gt;"",VLOOKUP($AC1307,GEADRESSEERDE!$A$2:$E$4,2,),"")</f>
        <v>LUITHAGEN HAVEN 2 D</v>
      </c>
      <c r="AE1307" s="11">
        <f>IF($I1307&lt;&gt;"",VLOOKUP($AC1307,GEADRESSEERDE!$A$2:$E$4,3,),"")</f>
        <v>2030</v>
      </c>
      <c r="AF1307" s="11" t="str">
        <f>IF($I1307&lt;&gt;"",VLOOKUP($AC1307,GEADRESSEERDE!$A$2:$E$4,4,),"")</f>
        <v>ANTWERPEN</v>
      </c>
      <c r="AG1307" s="11" t="str">
        <f>IF($I1307&lt;&gt;"",VLOOKUP($AC1307,GEADRESSEERDE!$A$2:$E$4,5,),"")</f>
        <v>BE</v>
      </c>
      <c r="AH1307" s="11" t="str">
        <f>IF(I1307&lt;&gt;"",VLOOKUP(AP1307,KvB!$A$2:$B$3,2,FALSE),"")</f>
        <v>BE101000</v>
      </c>
      <c r="AI1307" s="11" t="s">
        <v>55</v>
      </c>
      <c r="AJ1307" s="11"/>
      <c r="AK1307" s="11"/>
      <c r="AL1307" s="11"/>
      <c r="AM1307" s="11"/>
      <c r="AN1307" s="11"/>
      <c r="AO1307" s="11"/>
      <c r="AP1307" s="2" t="s">
        <v>70</v>
      </c>
      <c r="AQ1307" s="11" t="str">
        <f>IF(I1307&lt;&gt;"",DATA!D1306,"")</f>
        <v>8413200090</v>
      </c>
    </row>
    <row r="1308" spans="1:43" ht="15.75" x14ac:dyDescent="0.25">
      <c r="A1308" s="11" t="s">
        <v>57</v>
      </c>
      <c r="B1308" s="11" t="s">
        <v>56</v>
      </c>
      <c r="C1308" s="22">
        <f t="shared" si="86"/>
        <v>25001620</v>
      </c>
      <c r="D1308" s="11" t="str">
        <f t="shared" si="83"/>
        <v>SKIIFM_AT</v>
      </c>
      <c r="E1308" s="11" t="str">
        <f>IF(I1308&lt;&gt;"",VLOOKUP(F1308,OPDRACHTGEVER!$A$2:$B$4,2,FALSE),"")</f>
        <v>SKIIFM_AT</v>
      </c>
      <c r="F1308" s="11" t="s">
        <v>58</v>
      </c>
      <c r="I1308" s="11" t="str">
        <f>IF(DATA!B1307&lt;&gt;"",DATA!B1307,"")</f>
        <v>MSBU5516482</v>
      </c>
      <c r="J1308" s="12">
        <v>0</v>
      </c>
      <c r="K1308" s="11" t="s">
        <v>53</v>
      </c>
      <c r="L1308" s="11" t="str">
        <f t="shared" si="84"/>
        <v>741920</v>
      </c>
      <c r="M1308" s="11" t="str">
        <f>IF(I1308&lt;&gt;"",DATA!E1307,"")</f>
        <v>HANDRAIL</v>
      </c>
      <c r="N1308" s="12">
        <v>0</v>
      </c>
      <c r="O1308" s="11">
        <f>IF(I1308&lt;&gt;"",DATA!C1307,"")</f>
        <v>74.8</v>
      </c>
      <c r="P1308" s="2">
        <v>294094</v>
      </c>
      <c r="Q1308" s="2" t="s">
        <v>1304</v>
      </c>
      <c r="R1308" s="2" t="s">
        <v>1330</v>
      </c>
      <c r="S1308" s="2">
        <v>344</v>
      </c>
      <c r="T1308" s="2">
        <v>1</v>
      </c>
      <c r="U1308" s="2" t="s">
        <v>141</v>
      </c>
      <c r="Y1308" s="2">
        <v>1700</v>
      </c>
      <c r="Z1308" s="11" t="s">
        <v>54</v>
      </c>
      <c r="AA1308" s="11" t="str">
        <f t="shared" si="85"/>
        <v>1700 - TBN</v>
      </c>
      <c r="AC1308" s="2" t="s">
        <v>145</v>
      </c>
      <c r="AD1308" s="11" t="str">
        <f>IF($I1308&lt;&gt;"",VLOOKUP($AC1308,GEADRESSEERDE!$A$2:$E$4,2,),"")</f>
        <v>LUITHAGEN HAVEN 2 D</v>
      </c>
      <c r="AE1308" s="11">
        <f>IF($I1308&lt;&gt;"",VLOOKUP($AC1308,GEADRESSEERDE!$A$2:$E$4,3,),"")</f>
        <v>2030</v>
      </c>
      <c r="AF1308" s="11" t="str">
        <f>IF($I1308&lt;&gt;"",VLOOKUP($AC1308,GEADRESSEERDE!$A$2:$E$4,4,),"")</f>
        <v>ANTWERPEN</v>
      </c>
      <c r="AG1308" s="11" t="str">
        <f>IF($I1308&lt;&gt;"",VLOOKUP($AC1308,GEADRESSEERDE!$A$2:$E$4,5,),"")</f>
        <v>BE</v>
      </c>
      <c r="AH1308" s="11" t="str">
        <f>IF(I1308&lt;&gt;"",VLOOKUP(AP1308,KvB!$A$2:$B$3,2,FALSE),"")</f>
        <v>BE101000</v>
      </c>
      <c r="AI1308" s="11" t="s">
        <v>55</v>
      </c>
      <c r="AJ1308" s="11"/>
      <c r="AK1308" s="11"/>
      <c r="AL1308" s="11"/>
      <c r="AM1308" s="11"/>
      <c r="AN1308" s="11"/>
      <c r="AO1308" s="11"/>
      <c r="AP1308" s="2" t="s">
        <v>70</v>
      </c>
      <c r="AQ1308" s="11" t="str">
        <f>IF(I1308&lt;&gt;"",DATA!D1307,"")</f>
        <v>7419200090</v>
      </c>
    </row>
    <row r="1309" spans="1:43" ht="15.75" x14ac:dyDescent="0.25">
      <c r="A1309" s="11" t="s">
        <v>57</v>
      </c>
      <c r="B1309" s="11" t="s">
        <v>56</v>
      </c>
      <c r="C1309" s="22">
        <f t="shared" si="86"/>
        <v>25001620</v>
      </c>
      <c r="D1309" s="11" t="str">
        <f t="shared" si="83"/>
        <v>SKIIFM_AT</v>
      </c>
      <c r="E1309" s="11" t="str">
        <f>IF(I1309&lt;&gt;"",VLOOKUP(F1309,OPDRACHTGEVER!$A$2:$B$4,2,FALSE),"")</f>
        <v>SKIIFM_AT</v>
      </c>
      <c r="F1309" s="11" t="s">
        <v>58</v>
      </c>
      <c r="I1309" s="11" t="str">
        <f>IF(DATA!B1308&lt;&gt;"",DATA!B1308,"")</f>
        <v>MSBU5516482</v>
      </c>
      <c r="J1309" s="12">
        <v>0</v>
      </c>
      <c r="K1309" s="11" t="s">
        <v>53</v>
      </c>
      <c r="L1309" s="11" t="str">
        <f t="shared" si="84"/>
        <v>843290</v>
      </c>
      <c r="M1309" s="11" t="str">
        <f>IF(I1309&lt;&gt;"",DATA!E1308,"")</f>
        <v>HAY BALE SPEAR</v>
      </c>
      <c r="N1309" s="12">
        <v>0</v>
      </c>
      <c r="O1309" s="11">
        <f>IF(I1309&lt;&gt;"",DATA!C1308,"")</f>
        <v>4.6500000000000004</v>
      </c>
      <c r="P1309" s="2">
        <v>294094</v>
      </c>
      <c r="Q1309" s="2" t="s">
        <v>1304</v>
      </c>
      <c r="R1309" s="2" t="s">
        <v>1330</v>
      </c>
      <c r="S1309" s="2">
        <v>344</v>
      </c>
      <c r="T1309" s="2">
        <v>1</v>
      </c>
      <c r="U1309" s="2" t="s">
        <v>141</v>
      </c>
      <c r="Y1309" s="2">
        <v>1700</v>
      </c>
      <c r="Z1309" s="11" t="s">
        <v>54</v>
      </c>
      <c r="AA1309" s="11" t="str">
        <f t="shared" si="85"/>
        <v>1700 - TBN</v>
      </c>
      <c r="AC1309" s="2" t="s">
        <v>145</v>
      </c>
      <c r="AD1309" s="11" t="str">
        <f>IF($I1309&lt;&gt;"",VLOOKUP($AC1309,GEADRESSEERDE!$A$2:$E$4,2,),"")</f>
        <v>LUITHAGEN HAVEN 2 D</v>
      </c>
      <c r="AE1309" s="11">
        <f>IF($I1309&lt;&gt;"",VLOOKUP($AC1309,GEADRESSEERDE!$A$2:$E$4,3,),"")</f>
        <v>2030</v>
      </c>
      <c r="AF1309" s="11" t="str">
        <f>IF($I1309&lt;&gt;"",VLOOKUP($AC1309,GEADRESSEERDE!$A$2:$E$4,4,),"")</f>
        <v>ANTWERPEN</v>
      </c>
      <c r="AG1309" s="11" t="str">
        <f>IF($I1309&lt;&gt;"",VLOOKUP($AC1309,GEADRESSEERDE!$A$2:$E$4,5,),"")</f>
        <v>BE</v>
      </c>
      <c r="AH1309" s="11" t="str">
        <f>IF(I1309&lt;&gt;"",VLOOKUP(AP1309,KvB!$A$2:$B$3,2,FALSE),"")</f>
        <v>BE101000</v>
      </c>
      <c r="AI1309" s="11" t="s">
        <v>55</v>
      </c>
      <c r="AJ1309" s="11"/>
      <c r="AK1309" s="11"/>
      <c r="AL1309" s="11"/>
      <c r="AM1309" s="11"/>
      <c r="AN1309" s="11"/>
      <c r="AO1309" s="11"/>
      <c r="AP1309" s="2" t="s">
        <v>70</v>
      </c>
      <c r="AQ1309" s="11" t="str">
        <f>IF(I1309&lt;&gt;"",DATA!D1308,"")</f>
        <v>8432900000</v>
      </c>
    </row>
    <row r="1310" spans="1:43" ht="15.75" x14ac:dyDescent="0.25">
      <c r="A1310" s="11" t="s">
        <v>57</v>
      </c>
      <c r="B1310" s="11" t="s">
        <v>56</v>
      </c>
      <c r="C1310" s="22">
        <f t="shared" si="86"/>
        <v>25001620</v>
      </c>
      <c r="D1310" s="11" t="str">
        <f t="shared" si="83"/>
        <v>SKIIFM_AT</v>
      </c>
      <c r="E1310" s="11" t="str">
        <f>IF(I1310&lt;&gt;"",VLOOKUP(F1310,OPDRACHTGEVER!$A$2:$B$4,2,FALSE),"")</f>
        <v>SKIIFM_AT</v>
      </c>
      <c r="F1310" s="11" t="s">
        <v>58</v>
      </c>
      <c r="I1310" s="11" t="str">
        <f>IF(DATA!B1309&lt;&gt;"",DATA!B1309,"")</f>
        <v>MSBU5516482</v>
      </c>
      <c r="J1310" s="12">
        <v>0</v>
      </c>
      <c r="K1310" s="11" t="s">
        <v>53</v>
      </c>
      <c r="L1310" s="11" t="str">
        <f t="shared" si="84"/>
        <v>844339</v>
      </c>
      <c r="M1310" s="11" t="str">
        <f>IF(I1310&lt;&gt;"",DATA!E1309,"")</f>
        <v>HEAT PRESS MACHINE</v>
      </c>
      <c r="N1310" s="12">
        <v>0</v>
      </c>
      <c r="O1310" s="11">
        <f>IF(I1310&lt;&gt;"",DATA!C1309,"")</f>
        <v>220</v>
      </c>
      <c r="P1310" s="2">
        <v>294094</v>
      </c>
      <c r="Q1310" s="2" t="s">
        <v>1304</v>
      </c>
      <c r="R1310" s="2" t="s">
        <v>1330</v>
      </c>
      <c r="S1310" s="2">
        <v>344</v>
      </c>
      <c r="T1310" s="2">
        <v>1</v>
      </c>
      <c r="U1310" s="2" t="s">
        <v>141</v>
      </c>
      <c r="Y1310" s="2">
        <v>1700</v>
      </c>
      <c r="Z1310" s="11" t="s">
        <v>54</v>
      </c>
      <c r="AA1310" s="11" t="str">
        <f t="shared" si="85"/>
        <v>1700 - TBN</v>
      </c>
      <c r="AC1310" s="2" t="s">
        <v>145</v>
      </c>
      <c r="AD1310" s="11" t="str">
        <f>IF($I1310&lt;&gt;"",VLOOKUP($AC1310,GEADRESSEERDE!$A$2:$E$4,2,),"")</f>
        <v>LUITHAGEN HAVEN 2 D</v>
      </c>
      <c r="AE1310" s="11">
        <f>IF($I1310&lt;&gt;"",VLOOKUP($AC1310,GEADRESSEERDE!$A$2:$E$4,3,),"")</f>
        <v>2030</v>
      </c>
      <c r="AF1310" s="11" t="str">
        <f>IF($I1310&lt;&gt;"",VLOOKUP($AC1310,GEADRESSEERDE!$A$2:$E$4,4,),"")</f>
        <v>ANTWERPEN</v>
      </c>
      <c r="AG1310" s="11" t="str">
        <f>IF($I1310&lt;&gt;"",VLOOKUP($AC1310,GEADRESSEERDE!$A$2:$E$4,5,),"")</f>
        <v>BE</v>
      </c>
      <c r="AH1310" s="11" t="str">
        <f>IF(I1310&lt;&gt;"",VLOOKUP(AP1310,KvB!$A$2:$B$3,2,FALSE),"")</f>
        <v>BE101000</v>
      </c>
      <c r="AI1310" s="11" t="s">
        <v>55</v>
      </c>
      <c r="AJ1310" s="11"/>
      <c r="AK1310" s="11"/>
      <c r="AL1310" s="11"/>
      <c r="AM1310" s="11"/>
      <c r="AN1310" s="11"/>
      <c r="AO1310" s="11"/>
      <c r="AP1310" s="2" t="s">
        <v>70</v>
      </c>
      <c r="AQ1310" s="11" t="str">
        <f>IF(I1310&lt;&gt;"",DATA!D1309,"")</f>
        <v>8443390000</v>
      </c>
    </row>
    <row r="1311" spans="1:43" ht="15.75" x14ac:dyDescent="0.25">
      <c r="A1311" s="11" t="s">
        <v>57</v>
      </c>
      <c r="B1311" s="11" t="s">
        <v>56</v>
      </c>
      <c r="C1311" s="22">
        <f t="shared" si="86"/>
        <v>25001620</v>
      </c>
      <c r="D1311" s="11" t="str">
        <f t="shared" si="83"/>
        <v>SKIIFM_AT</v>
      </c>
      <c r="E1311" s="11" t="str">
        <f>IF(I1311&lt;&gt;"",VLOOKUP(F1311,OPDRACHTGEVER!$A$2:$B$4,2,FALSE),"")</f>
        <v>SKIIFM_AT</v>
      </c>
      <c r="F1311" s="11" t="s">
        <v>58</v>
      </c>
      <c r="I1311" s="11" t="str">
        <f>IF(DATA!B1310&lt;&gt;"",DATA!B1310,"")</f>
        <v>MSBU5516482</v>
      </c>
      <c r="J1311" s="12">
        <v>0</v>
      </c>
      <c r="K1311" s="11" t="s">
        <v>53</v>
      </c>
      <c r="L1311" s="11" t="str">
        <f t="shared" si="84"/>
        <v>846261</v>
      </c>
      <c r="M1311" s="11" t="str">
        <f>IF(I1311&lt;&gt;"",DATA!E1310,"")</f>
        <v>HYDRAULIC PRESS</v>
      </c>
      <c r="N1311" s="12">
        <v>0</v>
      </c>
      <c r="O1311" s="11">
        <f>IF(I1311&lt;&gt;"",DATA!C1310,"")</f>
        <v>119.25</v>
      </c>
      <c r="P1311" s="2">
        <v>294094</v>
      </c>
      <c r="Q1311" s="2" t="s">
        <v>1304</v>
      </c>
      <c r="R1311" s="2" t="s">
        <v>1330</v>
      </c>
      <c r="S1311" s="2">
        <v>344</v>
      </c>
      <c r="T1311" s="2">
        <v>1</v>
      </c>
      <c r="U1311" s="2" t="s">
        <v>141</v>
      </c>
      <c r="Y1311" s="2">
        <v>1700</v>
      </c>
      <c r="Z1311" s="11" t="s">
        <v>54</v>
      </c>
      <c r="AA1311" s="11" t="str">
        <f t="shared" si="85"/>
        <v>1700 - TBN</v>
      </c>
      <c r="AC1311" s="2" t="s">
        <v>145</v>
      </c>
      <c r="AD1311" s="11" t="str">
        <f>IF($I1311&lt;&gt;"",VLOOKUP($AC1311,GEADRESSEERDE!$A$2:$E$4,2,),"")</f>
        <v>LUITHAGEN HAVEN 2 D</v>
      </c>
      <c r="AE1311" s="11">
        <f>IF($I1311&lt;&gt;"",VLOOKUP($AC1311,GEADRESSEERDE!$A$2:$E$4,3,),"")</f>
        <v>2030</v>
      </c>
      <c r="AF1311" s="11" t="str">
        <f>IF($I1311&lt;&gt;"",VLOOKUP($AC1311,GEADRESSEERDE!$A$2:$E$4,4,),"")</f>
        <v>ANTWERPEN</v>
      </c>
      <c r="AG1311" s="11" t="str">
        <f>IF($I1311&lt;&gt;"",VLOOKUP($AC1311,GEADRESSEERDE!$A$2:$E$4,5,),"")</f>
        <v>BE</v>
      </c>
      <c r="AH1311" s="11" t="str">
        <f>IF(I1311&lt;&gt;"",VLOOKUP(AP1311,KvB!$A$2:$B$3,2,FALSE),"")</f>
        <v>BE101000</v>
      </c>
      <c r="AI1311" s="11" t="s">
        <v>55</v>
      </c>
      <c r="AJ1311" s="11"/>
      <c r="AK1311" s="11"/>
      <c r="AL1311" s="11"/>
      <c r="AM1311" s="11"/>
      <c r="AN1311" s="11"/>
      <c r="AO1311" s="11"/>
      <c r="AP1311" s="2" t="s">
        <v>70</v>
      </c>
      <c r="AQ1311" s="11" t="str">
        <f>IF(I1311&lt;&gt;"",DATA!D1310,"")</f>
        <v>8462619000</v>
      </c>
    </row>
    <row r="1312" spans="1:43" ht="15.75" x14ac:dyDescent="0.25">
      <c r="A1312" s="11" t="s">
        <v>57</v>
      </c>
      <c r="B1312" s="11" t="s">
        <v>56</v>
      </c>
      <c r="C1312" s="22">
        <f t="shared" si="86"/>
        <v>25001620</v>
      </c>
      <c r="D1312" s="11" t="str">
        <f t="shared" si="83"/>
        <v>SKIIFM_AT</v>
      </c>
      <c r="E1312" s="11" t="str">
        <f>IF(I1312&lt;&gt;"",VLOOKUP(F1312,OPDRACHTGEVER!$A$2:$B$4,2,FALSE),"")</f>
        <v>SKIIFM_AT</v>
      </c>
      <c r="F1312" s="11" t="s">
        <v>58</v>
      </c>
      <c r="I1312" s="11" t="str">
        <f>IF(DATA!B1311&lt;&gt;"",DATA!B1311,"")</f>
        <v>MSBU5516482</v>
      </c>
      <c r="J1312" s="12">
        <v>0</v>
      </c>
      <c r="K1312" s="11" t="s">
        <v>53</v>
      </c>
      <c r="L1312" s="11" t="str">
        <f t="shared" si="84"/>
        <v>820559</v>
      </c>
      <c r="M1312" s="11" t="str">
        <f>IF(I1312&lt;&gt;"",DATA!E1311,"")</f>
        <v>HYDRAULIC PULLER</v>
      </c>
      <c r="N1312" s="12">
        <v>0</v>
      </c>
      <c r="O1312" s="11">
        <f>IF(I1312&lt;&gt;"",DATA!C1311,"")</f>
        <v>56.4</v>
      </c>
      <c r="P1312" s="2">
        <v>294094</v>
      </c>
      <c r="Q1312" s="2" t="s">
        <v>1304</v>
      </c>
      <c r="R1312" s="2" t="s">
        <v>1330</v>
      </c>
      <c r="S1312" s="2">
        <v>344</v>
      </c>
      <c r="T1312" s="2">
        <v>1</v>
      </c>
      <c r="U1312" s="2" t="s">
        <v>141</v>
      </c>
      <c r="Y1312" s="2">
        <v>1700</v>
      </c>
      <c r="Z1312" s="11" t="s">
        <v>54</v>
      </c>
      <c r="AA1312" s="11" t="str">
        <f t="shared" si="85"/>
        <v>1700 - TBN</v>
      </c>
      <c r="AC1312" s="2" t="s">
        <v>145</v>
      </c>
      <c r="AD1312" s="11" t="str">
        <f>IF($I1312&lt;&gt;"",VLOOKUP($AC1312,GEADRESSEERDE!$A$2:$E$4,2,),"")</f>
        <v>LUITHAGEN HAVEN 2 D</v>
      </c>
      <c r="AE1312" s="11">
        <f>IF($I1312&lt;&gt;"",VLOOKUP($AC1312,GEADRESSEERDE!$A$2:$E$4,3,),"")</f>
        <v>2030</v>
      </c>
      <c r="AF1312" s="11" t="str">
        <f>IF($I1312&lt;&gt;"",VLOOKUP($AC1312,GEADRESSEERDE!$A$2:$E$4,4,),"")</f>
        <v>ANTWERPEN</v>
      </c>
      <c r="AG1312" s="11" t="str">
        <f>IF($I1312&lt;&gt;"",VLOOKUP($AC1312,GEADRESSEERDE!$A$2:$E$4,5,),"")</f>
        <v>BE</v>
      </c>
      <c r="AH1312" s="11" t="str">
        <f>IF(I1312&lt;&gt;"",VLOOKUP(AP1312,KvB!$A$2:$B$3,2,FALSE),"")</f>
        <v>BE101000</v>
      </c>
      <c r="AI1312" s="11" t="s">
        <v>55</v>
      </c>
      <c r="AJ1312" s="11"/>
      <c r="AK1312" s="11"/>
      <c r="AL1312" s="11"/>
      <c r="AM1312" s="11"/>
      <c r="AN1312" s="11"/>
      <c r="AO1312" s="11"/>
      <c r="AP1312" s="2" t="s">
        <v>70</v>
      </c>
      <c r="AQ1312" s="11" t="str">
        <f>IF(I1312&lt;&gt;"",DATA!D1311,"")</f>
        <v>8205598000</v>
      </c>
    </row>
    <row r="1313" spans="1:43" ht="15.75" x14ac:dyDescent="0.25">
      <c r="A1313" s="11" t="s">
        <v>57</v>
      </c>
      <c r="B1313" s="11" t="s">
        <v>56</v>
      </c>
      <c r="C1313" s="22">
        <f t="shared" si="86"/>
        <v>25001620</v>
      </c>
      <c r="D1313" s="11" t="str">
        <f t="shared" si="83"/>
        <v>SKIIFM_AT</v>
      </c>
      <c r="E1313" s="11" t="str">
        <f>IF(I1313&lt;&gt;"",VLOOKUP(F1313,OPDRACHTGEVER!$A$2:$B$4,2,FALSE),"")</f>
        <v>SKIIFM_AT</v>
      </c>
      <c r="F1313" s="11" t="s">
        <v>58</v>
      </c>
      <c r="I1313" s="11" t="str">
        <f>IF(DATA!B1312&lt;&gt;"",DATA!B1312,"")</f>
        <v>MSBU5516482</v>
      </c>
      <c r="J1313" s="12">
        <v>0</v>
      </c>
      <c r="K1313" s="11" t="s">
        <v>53</v>
      </c>
      <c r="L1313" s="11" t="str">
        <f t="shared" si="84"/>
        <v>441879</v>
      </c>
      <c r="M1313" s="11" t="str">
        <f>IF(I1313&lt;&gt;"",DATA!E1312,"")</f>
        <v>INTERLOCKING EVENT FLOORING</v>
      </c>
      <c r="N1313" s="12">
        <v>0</v>
      </c>
      <c r="O1313" s="11">
        <f>IF(I1313&lt;&gt;"",DATA!C1312,"")</f>
        <v>378</v>
      </c>
      <c r="P1313" s="2">
        <v>294094</v>
      </c>
      <c r="Q1313" s="2" t="s">
        <v>1304</v>
      </c>
      <c r="R1313" s="2" t="s">
        <v>1330</v>
      </c>
      <c r="S1313" s="2">
        <v>344</v>
      </c>
      <c r="T1313" s="2">
        <v>1</v>
      </c>
      <c r="U1313" s="2" t="s">
        <v>141</v>
      </c>
      <c r="Y1313" s="2">
        <v>1700</v>
      </c>
      <c r="Z1313" s="11" t="s">
        <v>54</v>
      </c>
      <c r="AA1313" s="11" t="str">
        <f t="shared" si="85"/>
        <v>1700 - TBN</v>
      </c>
      <c r="AC1313" s="2" t="s">
        <v>145</v>
      </c>
      <c r="AD1313" s="11" t="str">
        <f>IF($I1313&lt;&gt;"",VLOOKUP($AC1313,GEADRESSEERDE!$A$2:$E$4,2,),"")</f>
        <v>LUITHAGEN HAVEN 2 D</v>
      </c>
      <c r="AE1313" s="11">
        <f>IF($I1313&lt;&gt;"",VLOOKUP($AC1313,GEADRESSEERDE!$A$2:$E$4,3,),"")</f>
        <v>2030</v>
      </c>
      <c r="AF1313" s="11" t="str">
        <f>IF($I1313&lt;&gt;"",VLOOKUP($AC1313,GEADRESSEERDE!$A$2:$E$4,4,),"")</f>
        <v>ANTWERPEN</v>
      </c>
      <c r="AG1313" s="11" t="str">
        <f>IF($I1313&lt;&gt;"",VLOOKUP($AC1313,GEADRESSEERDE!$A$2:$E$4,5,),"")</f>
        <v>BE</v>
      </c>
      <c r="AH1313" s="11" t="str">
        <f>IF(I1313&lt;&gt;"",VLOOKUP(AP1313,KvB!$A$2:$B$3,2,FALSE),"")</f>
        <v>BE101000</v>
      </c>
      <c r="AI1313" s="11" t="s">
        <v>55</v>
      </c>
      <c r="AJ1313" s="11"/>
      <c r="AK1313" s="11"/>
      <c r="AL1313" s="11"/>
      <c r="AM1313" s="11"/>
      <c r="AN1313" s="11"/>
      <c r="AO1313" s="11"/>
      <c r="AP1313" s="2" t="s">
        <v>70</v>
      </c>
      <c r="AQ1313" s="11" t="str">
        <f>IF(I1313&lt;&gt;"",DATA!D1312,"")</f>
        <v>4418790000</v>
      </c>
    </row>
    <row r="1314" spans="1:43" ht="15.75" x14ac:dyDescent="0.25">
      <c r="A1314" s="11" t="s">
        <v>57</v>
      </c>
      <c r="B1314" s="11" t="s">
        <v>56</v>
      </c>
      <c r="C1314" s="22">
        <f t="shared" si="86"/>
        <v>25001620</v>
      </c>
      <c r="D1314" s="11" t="str">
        <f t="shared" si="83"/>
        <v>SKIIFM_AT</v>
      </c>
      <c r="E1314" s="11" t="str">
        <f>IF(I1314&lt;&gt;"",VLOOKUP(F1314,OPDRACHTGEVER!$A$2:$B$4,2,FALSE),"")</f>
        <v>SKIIFM_AT</v>
      </c>
      <c r="F1314" s="11" t="s">
        <v>58</v>
      </c>
      <c r="I1314" s="11" t="str">
        <f>IF(DATA!B1313&lt;&gt;"",DATA!B1313,"")</f>
        <v>MSBU5516482</v>
      </c>
      <c r="J1314" s="12">
        <v>0</v>
      </c>
      <c r="K1314" s="11" t="s">
        <v>53</v>
      </c>
      <c r="L1314" s="11" t="str">
        <f t="shared" si="84"/>
        <v>850940</v>
      </c>
      <c r="M1314" s="11" t="str">
        <f>IF(I1314&lt;&gt;"",DATA!E1313,"")</f>
        <v>JUICE PRESS</v>
      </c>
      <c r="N1314" s="12">
        <v>0</v>
      </c>
      <c r="O1314" s="11">
        <f>IF(I1314&lt;&gt;"",DATA!C1313,"")</f>
        <v>34.65</v>
      </c>
      <c r="P1314" s="2">
        <v>294094</v>
      </c>
      <c r="Q1314" s="2" t="s">
        <v>1304</v>
      </c>
      <c r="R1314" s="2" t="s">
        <v>1330</v>
      </c>
      <c r="S1314" s="2">
        <v>344</v>
      </c>
      <c r="T1314" s="2">
        <v>1</v>
      </c>
      <c r="U1314" s="2" t="s">
        <v>141</v>
      </c>
      <c r="Y1314" s="2">
        <v>1700</v>
      </c>
      <c r="Z1314" s="11" t="s">
        <v>54</v>
      </c>
      <c r="AA1314" s="11" t="str">
        <f t="shared" si="85"/>
        <v>1700 - TBN</v>
      </c>
      <c r="AC1314" s="2" t="s">
        <v>145</v>
      </c>
      <c r="AD1314" s="11" t="str">
        <f>IF($I1314&lt;&gt;"",VLOOKUP($AC1314,GEADRESSEERDE!$A$2:$E$4,2,),"")</f>
        <v>LUITHAGEN HAVEN 2 D</v>
      </c>
      <c r="AE1314" s="11">
        <f>IF($I1314&lt;&gt;"",VLOOKUP($AC1314,GEADRESSEERDE!$A$2:$E$4,3,),"")</f>
        <v>2030</v>
      </c>
      <c r="AF1314" s="11" t="str">
        <f>IF($I1314&lt;&gt;"",VLOOKUP($AC1314,GEADRESSEERDE!$A$2:$E$4,4,),"")</f>
        <v>ANTWERPEN</v>
      </c>
      <c r="AG1314" s="11" t="str">
        <f>IF($I1314&lt;&gt;"",VLOOKUP($AC1314,GEADRESSEERDE!$A$2:$E$4,5,),"")</f>
        <v>BE</v>
      </c>
      <c r="AH1314" s="11" t="str">
        <f>IF(I1314&lt;&gt;"",VLOOKUP(AP1314,KvB!$A$2:$B$3,2,FALSE),"")</f>
        <v>BE101000</v>
      </c>
      <c r="AI1314" s="11" t="s">
        <v>55</v>
      </c>
      <c r="AJ1314" s="11"/>
      <c r="AK1314" s="11"/>
      <c r="AL1314" s="11"/>
      <c r="AM1314" s="11"/>
      <c r="AN1314" s="11"/>
      <c r="AO1314" s="11"/>
      <c r="AP1314" s="2" t="s">
        <v>70</v>
      </c>
      <c r="AQ1314" s="11" t="str">
        <f>IF(I1314&lt;&gt;"",DATA!D1313,"")</f>
        <v>8509400000</v>
      </c>
    </row>
    <row r="1315" spans="1:43" ht="15.75" x14ac:dyDescent="0.25">
      <c r="A1315" s="11" t="s">
        <v>57</v>
      </c>
      <c r="B1315" s="11" t="s">
        <v>56</v>
      </c>
      <c r="C1315" s="22">
        <f t="shared" si="86"/>
        <v>25001620</v>
      </c>
      <c r="D1315" s="11" t="str">
        <f t="shared" si="83"/>
        <v>SKIIFM_AT</v>
      </c>
      <c r="E1315" s="11" t="str">
        <f>IF(I1315&lt;&gt;"",VLOOKUP(F1315,OPDRACHTGEVER!$A$2:$B$4,2,FALSE),"")</f>
        <v>SKIIFM_AT</v>
      </c>
      <c r="F1315" s="11" t="s">
        <v>58</v>
      </c>
      <c r="I1315" s="11" t="str">
        <f>IF(DATA!B1314&lt;&gt;"",DATA!B1314,"")</f>
        <v>MSBU5516482</v>
      </c>
      <c r="J1315" s="12">
        <v>0</v>
      </c>
      <c r="K1315" s="11" t="s">
        <v>53</v>
      </c>
      <c r="L1315" s="11" t="str">
        <f t="shared" si="84"/>
        <v>901530</v>
      </c>
      <c r="M1315" s="11" t="str">
        <f>IF(I1315&lt;&gt;"",DATA!E1314,"")</f>
        <v>LASER LEVELER</v>
      </c>
      <c r="N1315" s="12">
        <v>0</v>
      </c>
      <c r="O1315" s="11">
        <f>IF(I1315&lt;&gt;"",DATA!C1314,"")</f>
        <v>2.4500000000000002</v>
      </c>
      <c r="P1315" s="2">
        <v>294094</v>
      </c>
      <c r="Q1315" s="2" t="s">
        <v>1304</v>
      </c>
      <c r="R1315" s="2" t="s">
        <v>1330</v>
      </c>
      <c r="S1315" s="2">
        <v>344</v>
      </c>
      <c r="T1315" s="2">
        <v>1</v>
      </c>
      <c r="U1315" s="2" t="s">
        <v>141</v>
      </c>
      <c r="Y1315" s="2">
        <v>1700</v>
      </c>
      <c r="Z1315" s="11" t="s">
        <v>54</v>
      </c>
      <c r="AA1315" s="11" t="str">
        <f t="shared" si="85"/>
        <v>1700 - TBN</v>
      </c>
      <c r="AC1315" s="2" t="s">
        <v>145</v>
      </c>
      <c r="AD1315" s="11" t="str">
        <f>IF($I1315&lt;&gt;"",VLOOKUP($AC1315,GEADRESSEERDE!$A$2:$E$4,2,),"")</f>
        <v>LUITHAGEN HAVEN 2 D</v>
      </c>
      <c r="AE1315" s="11">
        <f>IF($I1315&lt;&gt;"",VLOOKUP($AC1315,GEADRESSEERDE!$A$2:$E$4,3,),"")</f>
        <v>2030</v>
      </c>
      <c r="AF1315" s="11" t="str">
        <f>IF($I1315&lt;&gt;"",VLOOKUP($AC1315,GEADRESSEERDE!$A$2:$E$4,4,),"")</f>
        <v>ANTWERPEN</v>
      </c>
      <c r="AG1315" s="11" t="str">
        <f>IF($I1315&lt;&gt;"",VLOOKUP($AC1315,GEADRESSEERDE!$A$2:$E$4,5,),"")</f>
        <v>BE</v>
      </c>
      <c r="AH1315" s="11" t="str">
        <f>IF(I1315&lt;&gt;"",VLOOKUP(AP1315,KvB!$A$2:$B$3,2,FALSE),"")</f>
        <v>BE101000</v>
      </c>
      <c r="AI1315" s="11" t="s">
        <v>55</v>
      </c>
      <c r="AJ1315" s="11"/>
      <c r="AK1315" s="11"/>
      <c r="AL1315" s="11"/>
      <c r="AM1315" s="11"/>
      <c r="AN1315" s="11"/>
      <c r="AO1315" s="11"/>
      <c r="AP1315" s="2" t="s">
        <v>70</v>
      </c>
      <c r="AQ1315" s="11" t="str">
        <f>IF(I1315&lt;&gt;"",DATA!D1314,"")</f>
        <v>9015301000</v>
      </c>
    </row>
    <row r="1316" spans="1:43" ht="15.75" x14ac:dyDescent="0.25">
      <c r="A1316" s="11" t="s">
        <v>57</v>
      </c>
      <c r="B1316" s="11" t="s">
        <v>56</v>
      </c>
      <c r="C1316" s="22">
        <f t="shared" si="86"/>
        <v>25001620</v>
      </c>
      <c r="D1316" s="11" t="str">
        <f t="shared" si="83"/>
        <v>SKIIFM_AT</v>
      </c>
      <c r="E1316" s="11" t="str">
        <f>IF(I1316&lt;&gt;"",VLOOKUP(F1316,OPDRACHTGEVER!$A$2:$B$4,2,FALSE),"")</f>
        <v>SKIIFM_AT</v>
      </c>
      <c r="F1316" s="11" t="s">
        <v>58</v>
      </c>
      <c r="I1316" s="11" t="str">
        <f>IF(DATA!B1315&lt;&gt;"",DATA!B1315,"")</f>
        <v>MSBU5516482</v>
      </c>
      <c r="J1316" s="12">
        <v>0</v>
      </c>
      <c r="K1316" s="11" t="s">
        <v>53</v>
      </c>
      <c r="L1316" s="11" t="str">
        <f t="shared" si="84"/>
        <v>741920</v>
      </c>
      <c r="M1316" s="11" t="str">
        <f>IF(I1316&lt;&gt;"",DATA!E1315,"")</f>
        <v>LIFTING CHAIN</v>
      </c>
      <c r="N1316" s="12">
        <v>0</v>
      </c>
      <c r="O1316" s="11">
        <f>IF(I1316&lt;&gt;"",DATA!C1315,"")</f>
        <v>10.199999999999999</v>
      </c>
      <c r="P1316" s="2">
        <v>294094</v>
      </c>
      <c r="Q1316" s="2" t="s">
        <v>1304</v>
      </c>
      <c r="R1316" s="2" t="s">
        <v>1330</v>
      </c>
      <c r="S1316" s="2">
        <v>344</v>
      </c>
      <c r="T1316" s="2">
        <v>1</v>
      </c>
      <c r="U1316" s="2" t="s">
        <v>141</v>
      </c>
      <c r="Y1316" s="2">
        <v>1700</v>
      </c>
      <c r="Z1316" s="11" t="s">
        <v>54</v>
      </c>
      <c r="AA1316" s="11" t="str">
        <f t="shared" si="85"/>
        <v>1700 - TBN</v>
      </c>
      <c r="AC1316" s="2" t="s">
        <v>145</v>
      </c>
      <c r="AD1316" s="11" t="str">
        <f>IF($I1316&lt;&gt;"",VLOOKUP($AC1316,GEADRESSEERDE!$A$2:$E$4,2,),"")</f>
        <v>LUITHAGEN HAVEN 2 D</v>
      </c>
      <c r="AE1316" s="11">
        <f>IF($I1316&lt;&gt;"",VLOOKUP($AC1316,GEADRESSEERDE!$A$2:$E$4,3,),"")</f>
        <v>2030</v>
      </c>
      <c r="AF1316" s="11" t="str">
        <f>IF($I1316&lt;&gt;"",VLOOKUP($AC1316,GEADRESSEERDE!$A$2:$E$4,4,),"")</f>
        <v>ANTWERPEN</v>
      </c>
      <c r="AG1316" s="11" t="str">
        <f>IF($I1316&lt;&gt;"",VLOOKUP($AC1316,GEADRESSEERDE!$A$2:$E$4,5,),"")</f>
        <v>BE</v>
      </c>
      <c r="AH1316" s="11" t="str">
        <f>IF(I1316&lt;&gt;"",VLOOKUP(AP1316,KvB!$A$2:$B$3,2,FALSE),"")</f>
        <v>BE101000</v>
      </c>
      <c r="AI1316" s="11" t="s">
        <v>55</v>
      </c>
      <c r="AJ1316" s="11"/>
      <c r="AK1316" s="11"/>
      <c r="AL1316" s="11"/>
      <c r="AM1316" s="11"/>
      <c r="AN1316" s="11"/>
      <c r="AO1316" s="11"/>
      <c r="AP1316" s="2" t="s">
        <v>70</v>
      </c>
      <c r="AQ1316" s="11" t="str">
        <f>IF(I1316&lt;&gt;"",DATA!D1315,"")</f>
        <v>7419200090</v>
      </c>
    </row>
    <row r="1317" spans="1:43" ht="15.75" x14ac:dyDescent="0.25">
      <c r="A1317" s="11" t="s">
        <v>57</v>
      </c>
      <c r="B1317" s="11" t="s">
        <v>56</v>
      </c>
      <c r="C1317" s="22">
        <f t="shared" si="86"/>
        <v>25001620</v>
      </c>
      <c r="D1317" s="11" t="str">
        <f t="shared" si="83"/>
        <v>SKIIFM_AT</v>
      </c>
      <c r="E1317" s="11" t="str">
        <f>IF(I1317&lt;&gt;"",VLOOKUP(F1317,OPDRACHTGEVER!$A$2:$B$4,2,FALSE),"")</f>
        <v>SKIIFM_AT</v>
      </c>
      <c r="F1317" s="11" t="s">
        <v>58</v>
      </c>
      <c r="I1317" s="11" t="str">
        <f>IF(DATA!B1316&lt;&gt;"",DATA!B1316,"")</f>
        <v>MSBU5516482</v>
      </c>
      <c r="J1317" s="12">
        <v>0</v>
      </c>
      <c r="K1317" s="11" t="s">
        <v>53</v>
      </c>
      <c r="L1317" s="11" t="str">
        <f t="shared" si="84"/>
        <v>850131</v>
      </c>
      <c r="M1317" s="11" t="str">
        <f>IF(I1317&lt;&gt;"",DATA!E1316,"")</f>
        <v>LINEAR ACTUATOR</v>
      </c>
      <c r="N1317" s="12">
        <v>0</v>
      </c>
      <c r="O1317" s="11">
        <f>IF(I1317&lt;&gt;"",DATA!C1316,"")</f>
        <v>3</v>
      </c>
      <c r="P1317" s="2">
        <v>294094</v>
      </c>
      <c r="Q1317" s="2" t="s">
        <v>1304</v>
      </c>
      <c r="R1317" s="2" t="s">
        <v>1330</v>
      </c>
      <c r="S1317" s="2">
        <v>344</v>
      </c>
      <c r="T1317" s="2">
        <v>1</v>
      </c>
      <c r="U1317" s="2" t="s">
        <v>141</v>
      </c>
      <c r="Y1317" s="2">
        <v>1700</v>
      </c>
      <c r="Z1317" s="11" t="s">
        <v>54</v>
      </c>
      <c r="AA1317" s="11" t="str">
        <f t="shared" si="85"/>
        <v>1700 - TBN</v>
      </c>
      <c r="AC1317" s="2" t="s">
        <v>145</v>
      </c>
      <c r="AD1317" s="11" t="str">
        <f>IF($I1317&lt;&gt;"",VLOOKUP($AC1317,GEADRESSEERDE!$A$2:$E$4,2,),"")</f>
        <v>LUITHAGEN HAVEN 2 D</v>
      </c>
      <c r="AE1317" s="11">
        <f>IF($I1317&lt;&gt;"",VLOOKUP($AC1317,GEADRESSEERDE!$A$2:$E$4,3,),"")</f>
        <v>2030</v>
      </c>
      <c r="AF1317" s="11" t="str">
        <f>IF($I1317&lt;&gt;"",VLOOKUP($AC1317,GEADRESSEERDE!$A$2:$E$4,4,),"")</f>
        <v>ANTWERPEN</v>
      </c>
      <c r="AG1317" s="11" t="str">
        <f>IF($I1317&lt;&gt;"",VLOOKUP($AC1317,GEADRESSEERDE!$A$2:$E$4,5,),"")</f>
        <v>BE</v>
      </c>
      <c r="AH1317" s="11" t="str">
        <f>IF(I1317&lt;&gt;"",VLOOKUP(AP1317,KvB!$A$2:$B$3,2,FALSE),"")</f>
        <v>BE101000</v>
      </c>
      <c r="AI1317" s="11" t="s">
        <v>55</v>
      </c>
      <c r="AJ1317" s="11"/>
      <c r="AK1317" s="11"/>
      <c r="AL1317" s="11"/>
      <c r="AM1317" s="11"/>
      <c r="AN1317" s="11"/>
      <c r="AO1317" s="11"/>
      <c r="AP1317" s="2" t="s">
        <v>70</v>
      </c>
      <c r="AQ1317" s="11" t="str">
        <f>IF(I1317&lt;&gt;"",DATA!D1316,"")</f>
        <v>8501310099</v>
      </c>
    </row>
    <row r="1318" spans="1:43" ht="15.75" x14ac:dyDescent="0.25">
      <c r="A1318" s="11" t="s">
        <v>57</v>
      </c>
      <c r="B1318" s="11" t="s">
        <v>56</v>
      </c>
      <c r="C1318" s="22">
        <f t="shared" si="86"/>
        <v>25001620</v>
      </c>
      <c r="D1318" s="11" t="str">
        <f t="shared" si="83"/>
        <v>SKIIFM_AT</v>
      </c>
      <c r="E1318" s="11" t="str">
        <f>IF(I1318&lt;&gt;"",VLOOKUP(F1318,OPDRACHTGEVER!$A$2:$B$4,2,FALSE),"")</f>
        <v>SKIIFM_AT</v>
      </c>
      <c r="F1318" s="11" t="s">
        <v>58</v>
      </c>
      <c r="I1318" s="11" t="str">
        <f>IF(DATA!B1317&lt;&gt;"",DATA!B1317,"")</f>
        <v>MSBU5516482</v>
      </c>
      <c r="J1318" s="12">
        <v>0</v>
      </c>
      <c r="K1318" s="11" t="s">
        <v>53</v>
      </c>
      <c r="L1318" s="11" t="str">
        <f t="shared" si="84"/>
        <v>842121</v>
      </c>
      <c r="M1318" s="11" t="str">
        <f>IF(I1318&lt;&gt;"",DATA!E1317,"")</f>
        <v>MANUAL FLUSH PRE-FILTER</v>
      </c>
      <c r="N1318" s="12">
        <v>0</v>
      </c>
      <c r="O1318" s="11">
        <f>IF(I1318&lt;&gt;"",DATA!C1317,"")</f>
        <v>1.25</v>
      </c>
      <c r="P1318" s="2">
        <v>294094</v>
      </c>
      <c r="Q1318" s="2" t="s">
        <v>1304</v>
      </c>
      <c r="R1318" s="2" t="s">
        <v>1330</v>
      </c>
      <c r="S1318" s="2">
        <v>344</v>
      </c>
      <c r="T1318" s="2">
        <v>1</v>
      </c>
      <c r="U1318" s="2" t="s">
        <v>141</v>
      </c>
      <c r="Y1318" s="2">
        <v>1700</v>
      </c>
      <c r="Z1318" s="11" t="s">
        <v>54</v>
      </c>
      <c r="AA1318" s="11" t="str">
        <f t="shared" si="85"/>
        <v>1700 - TBN</v>
      </c>
      <c r="AC1318" s="2" t="s">
        <v>145</v>
      </c>
      <c r="AD1318" s="11" t="str">
        <f>IF($I1318&lt;&gt;"",VLOOKUP($AC1318,GEADRESSEERDE!$A$2:$E$4,2,),"")</f>
        <v>LUITHAGEN HAVEN 2 D</v>
      </c>
      <c r="AE1318" s="11">
        <f>IF($I1318&lt;&gt;"",VLOOKUP($AC1318,GEADRESSEERDE!$A$2:$E$4,3,),"")</f>
        <v>2030</v>
      </c>
      <c r="AF1318" s="11" t="str">
        <f>IF($I1318&lt;&gt;"",VLOOKUP($AC1318,GEADRESSEERDE!$A$2:$E$4,4,),"")</f>
        <v>ANTWERPEN</v>
      </c>
      <c r="AG1318" s="11" t="str">
        <f>IF($I1318&lt;&gt;"",VLOOKUP($AC1318,GEADRESSEERDE!$A$2:$E$4,5,),"")</f>
        <v>BE</v>
      </c>
      <c r="AH1318" s="11" t="str">
        <f>IF(I1318&lt;&gt;"",VLOOKUP(AP1318,KvB!$A$2:$B$3,2,FALSE),"")</f>
        <v>BE101000</v>
      </c>
      <c r="AI1318" s="11" t="s">
        <v>55</v>
      </c>
      <c r="AJ1318" s="11"/>
      <c r="AK1318" s="11"/>
      <c r="AL1318" s="11"/>
      <c r="AM1318" s="11"/>
      <c r="AN1318" s="11"/>
      <c r="AO1318" s="11"/>
      <c r="AP1318" s="2" t="s">
        <v>70</v>
      </c>
      <c r="AQ1318" s="11" t="str">
        <f>IF(I1318&lt;&gt;"",DATA!D1317,"")</f>
        <v>8421210090</v>
      </c>
    </row>
    <row r="1319" spans="1:43" ht="15.75" x14ac:dyDescent="0.25">
      <c r="A1319" s="11" t="s">
        <v>57</v>
      </c>
      <c r="B1319" s="11" t="s">
        <v>56</v>
      </c>
      <c r="C1319" s="22">
        <f t="shared" si="86"/>
        <v>25001620</v>
      </c>
      <c r="D1319" s="11" t="str">
        <f t="shared" si="83"/>
        <v>SKIIFM_AT</v>
      </c>
      <c r="E1319" s="11" t="str">
        <f>IF(I1319&lt;&gt;"",VLOOKUP(F1319,OPDRACHTGEVER!$A$2:$B$4,2,FALSE),"")</f>
        <v>SKIIFM_AT</v>
      </c>
      <c r="F1319" s="11" t="s">
        <v>58</v>
      </c>
      <c r="I1319" s="11" t="str">
        <f>IF(DATA!B1318&lt;&gt;"",DATA!B1318,"")</f>
        <v>MSBU5516482</v>
      </c>
      <c r="J1319" s="12">
        <v>0</v>
      </c>
      <c r="K1319" s="11" t="s">
        <v>53</v>
      </c>
      <c r="L1319" s="11" t="str">
        <f t="shared" si="84"/>
        <v>841319</v>
      </c>
      <c r="M1319" s="11" t="str">
        <f>IF(I1319&lt;&gt;"",DATA!E1318,"")</f>
        <v>MANUAL PRESSURE TEST PUMP</v>
      </c>
      <c r="N1319" s="12">
        <v>0</v>
      </c>
      <c r="O1319" s="11">
        <f>IF(I1319&lt;&gt;"",DATA!C1318,"")</f>
        <v>745.4</v>
      </c>
      <c r="P1319" s="2">
        <v>294094</v>
      </c>
      <c r="Q1319" s="2" t="s">
        <v>1304</v>
      </c>
      <c r="R1319" s="2" t="s">
        <v>1330</v>
      </c>
      <c r="S1319" s="2">
        <v>344</v>
      </c>
      <c r="T1319" s="2">
        <v>1</v>
      </c>
      <c r="U1319" s="2" t="s">
        <v>141</v>
      </c>
      <c r="Y1319" s="2">
        <v>1700</v>
      </c>
      <c r="Z1319" s="11" t="s">
        <v>54</v>
      </c>
      <c r="AA1319" s="11" t="str">
        <f t="shared" si="85"/>
        <v>1700 - TBN</v>
      </c>
      <c r="AC1319" s="2" t="s">
        <v>145</v>
      </c>
      <c r="AD1319" s="11" t="str">
        <f>IF($I1319&lt;&gt;"",VLOOKUP($AC1319,GEADRESSEERDE!$A$2:$E$4,2,),"")</f>
        <v>LUITHAGEN HAVEN 2 D</v>
      </c>
      <c r="AE1319" s="11">
        <f>IF($I1319&lt;&gt;"",VLOOKUP($AC1319,GEADRESSEERDE!$A$2:$E$4,3,),"")</f>
        <v>2030</v>
      </c>
      <c r="AF1319" s="11" t="str">
        <f>IF($I1319&lt;&gt;"",VLOOKUP($AC1319,GEADRESSEERDE!$A$2:$E$4,4,),"")</f>
        <v>ANTWERPEN</v>
      </c>
      <c r="AG1319" s="11" t="str">
        <f>IF($I1319&lt;&gt;"",VLOOKUP($AC1319,GEADRESSEERDE!$A$2:$E$4,5,),"")</f>
        <v>BE</v>
      </c>
      <c r="AH1319" s="11" t="str">
        <f>IF(I1319&lt;&gt;"",VLOOKUP(AP1319,KvB!$A$2:$B$3,2,FALSE),"")</f>
        <v>BE101000</v>
      </c>
      <c r="AI1319" s="11" t="s">
        <v>55</v>
      </c>
      <c r="AJ1319" s="11"/>
      <c r="AK1319" s="11"/>
      <c r="AL1319" s="11"/>
      <c r="AM1319" s="11"/>
      <c r="AN1319" s="11"/>
      <c r="AO1319" s="11"/>
      <c r="AP1319" s="2" t="s">
        <v>70</v>
      </c>
      <c r="AQ1319" s="11" t="str">
        <f>IF(I1319&lt;&gt;"",DATA!D1318,"")</f>
        <v>8413190090</v>
      </c>
    </row>
    <row r="1320" spans="1:43" ht="15.75" x14ac:dyDescent="0.25">
      <c r="A1320" s="11" t="s">
        <v>57</v>
      </c>
      <c r="B1320" s="11" t="s">
        <v>56</v>
      </c>
      <c r="C1320" s="22">
        <f t="shared" si="86"/>
        <v>25001620</v>
      </c>
      <c r="D1320" s="11" t="str">
        <f t="shared" si="83"/>
        <v>SKIIFM_AT</v>
      </c>
      <c r="E1320" s="11" t="str">
        <f>IF(I1320&lt;&gt;"",VLOOKUP(F1320,OPDRACHTGEVER!$A$2:$B$4,2,FALSE),"")</f>
        <v>SKIIFM_AT</v>
      </c>
      <c r="F1320" s="11" t="s">
        <v>58</v>
      </c>
      <c r="I1320" s="11" t="str">
        <f>IF(DATA!B1319&lt;&gt;"",DATA!B1319,"")</f>
        <v>MSBU5516482</v>
      </c>
      <c r="J1320" s="12">
        <v>0</v>
      </c>
      <c r="K1320" s="11" t="s">
        <v>53</v>
      </c>
      <c r="L1320" s="11" t="str">
        <f t="shared" si="84"/>
        <v>846693</v>
      </c>
      <c r="M1320" s="11" t="str">
        <f>IF(I1320&lt;&gt;"",DATA!E1319,"")</f>
        <v>MILLING MACHINE TABLE</v>
      </c>
      <c r="N1320" s="12">
        <v>0</v>
      </c>
      <c r="O1320" s="11">
        <f>IF(I1320&lt;&gt;"",DATA!C1319,"")</f>
        <v>6.6</v>
      </c>
      <c r="P1320" s="2">
        <v>294094</v>
      </c>
      <c r="Q1320" s="2" t="s">
        <v>1304</v>
      </c>
      <c r="R1320" s="2" t="s">
        <v>1330</v>
      </c>
      <c r="S1320" s="2">
        <v>344</v>
      </c>
      <c r="T1320" s="2">
        <v>1</v>
      </c>
      <c r="U1320" s="2" t="s">
        <v>141</v>
      </c>
      <c r="Y1320" s="2">
        <v>1700</v>
      </c>
      <c r="Z1320" s="11" t="s">
        <v>54</v>
      </c>
      <c r="AA1320" s="11" t="str">
        <f t="shared" si="85"/>
        <v>1700 - TBN</v>
      </c>
      <c r="AC1320" s="2" t="s">
        <v>145</v>
      </c>
      <c r="AD1320" s="11" t="str">
        <f>IF($I1320&lt;&gt;"",VLOOKUP($AC1320,GEADRESSEERDE!$A$2:$E$4,2,),"")</f>
        <v>LUITHAGEN HAVEN 2 D</v>
      </c>
      <c r="AE1320" s="11">
        <f>IF($I1320&lt;&gt;"",VLOOKUP($AC1320,GEADRESSEERDE!$A$2:$E$4,3,),"")</f>
        <v>2030</v>
      </c>
      <c r="AF1320" s="11" t="str">
        <f>IF($I1320&lt;&gt;"",VLOOKUP($AC1320,GEADRESSEERDE!$A$2:$E$4,4,),"")</f>
        <v>ANTWERPEN</v>
      </c>
      <c r="AG1320" s="11" t="str">
        <f>IF($I1320&lt;&gt;"",VLOOKUP($AC1320,GEADRESSEERDE!$A$2:$E$4,5,),"")</f>
        <v>BE</v>
      </c>
      <c r="AH1320" s="11" t="str">
        <f>IF(I1320&lt;&gt;"",VLOOKUP(AP1320,KvB!$A$2:$B$3,2,FALSE),"")</f>
        <v>BE101000</v>
      </c>
      <c r="AI1320" s="11" t="s">
        <v>55</v>
      </c>
      <c r="AJ1320" s="11"/>
      <c r="AK1320" s="11"/>
      <c r="AL1320" s="11"/>
      <c r="AM1320" s="11"/>
      <c r="AN1320" s="11"/>
      <c r="AO1320" s="11"/>
      <c r="AP1320" s="2" t="s">
        <v>70</v>
      </c>
      <c r="AQ1320" s="11" t="str">
        <f>IF(I1320&lt;&gt;"",DATA!D1319,"")</f>
        <v>8466936000</v>
      </c>
    </row>
    <row r="1321" spans="1:43" ht="15.75" x14ac:dyDescent="0.25">
      <c r="A1321" s="11" t="s">
        <v>57</v>
      </c>
      <c r="B1321" s="11" t="s">
        <v>56</v>
      </c>
      <c r="C1321" s="22">
        <f t="shared" si="86"/>
        <v>25001620</v>
      </c>
      <c r="D1321" s="11" t="str">
        <f t="shared" si="83"/>
        <v>SKIIFM_AT</v>
      </c>
      <c r="E1321" s="11" t="str">
        <f>IF(I1321&lt;&gt;"",VLOOKUP(F1321,OPDRACHTGEVER!$A$2:$B$4,2,FALSE),"")</f>
        <v>SKIIFM_AT</v>
      </c>
      <c r="F1321" s="11" t="s">
        <v>58</v>
      </c>
      <c r="I1321" s="11" t="str">
        <f>IF(DATA!B1320&lt;&gt;"",DATA!B1320,"")</f>
        <v>MSBU5516482</v>
      </c>
      <c r="J1321" s="12">
        <v>0</v>
      </c>
      <c r="K1321" s="11" t="s">
        <v>53</v>
      </c>
      <c r="L1321" s="11" t="str">
        <f t="shared" si="84"/>
        <v>850132</v>
      </c>
      <c r="M1321" s="11" t="str">
        <f>IF(I1321&lt;&gt;"",DATA!E1320,"")</f>
        <v>MOTOR</v>
      </c>
      <c r="N1321" s="12">
        <v>0</v>
      </c>
      <c r="O1321" s="11">
        <f>IF(I1321&lt;&gt;"",DATA!C1320,"")</f>
        <v>3.1</v>
      </c>
      <c r="P1321" s="2">
        <v>294094</v>
      </c>
      <c r="Q1321" s="2" t="s">
        <v>1304</v>
      </c>
      <c r="R1321" s="2" t="s">
        <v>1330</v>
      </c>
      <c r="S1321" s="2">
        <v>344</v>
      </c>
      <c r="T1321" s="2">
        <v>1</v>
      </c>
      <c r="U1321" s="2" t="s">
        <v>141</v>
      </c>
      <c r="Y1321" s="2">
        <v>1700</v>
      </c>
      <c r="Z1321" s="11" t="s">
        <v>54</v>
      </c>
      <c r="AA1321" s="11" t="str">
        <f t="shared" si="85"/>
        <v>1700 - TBN</v>
      </c>
      <c r="AC1321" s="2" t="s">
        <v>145</v>
      </c>
      <c r="AD1321" s="11" t="str">
        <f>IF($I1321&lt;&gt;"",VLOOKUP($AC1321,GEADRESSEERDE!$A$2:$E$4,2,),"")</f>
        <v>LUITHAGEN HAVEN 2 D</v>
      </c>
      <c r="AE1321" s="11">
        <f>IF($I1321&lt;&gt;"",VLOOKUP($AC1321,GEADRESSEERDE!$A$2:$E$4,3,),"")</f>
        <v>2030</v>
      </c>
      <c r="AF1321" s="11" t="str">
        <f>IF($I1321&lt;&gt;"",VLOOKUP($AC1321,GEADRESSEERDE!$A$2:$E$4,4,),"")</f>
        <v>ANTWERPEN</v>
      </c>
      <c r="AG1321" s="11" t="str">
        <f>IF($I1321&lt;&gt;"",VLOOKUP($AC1321,GEADRESSEERDE!$A$2:$E$4,5,),"")</f>
        <v>BE</v>
      </c>
      <c r="AH1321" s="11" t="str">
        <f>IF(I1321&lt;&gt;"",VLOOKUP(AP1321,KvB!$A$2:$B$3,2,FALSE),"")</f>
        <v>BE101000</v>
      </c>
      <c r="AI1321" s="11" t="s">
        <v>55</v>
      </c>
      <c r="AJ1321" s="11"/>
      <c r="AK1321" s="11"/>
      <c r="AL1321" s="11"/>
      <c r="AM1321" s="11"/>
      <c r="AN1321" s="11"/>
      <c r="AO1321" s="11"/>
      <c r="AP1321" s="2" t="s">
        <v>70</v>
      </c>
      <c r="AQ1321" s="11" t="str">
        <f>IF(I1321&lt;&gt;"",DATA!D1320,"")</f>
        <v>8501320099</v>
      </c>
    </row>
    <row r="1322" spans="1:43" ht="15.75" x14ac:dyDescent="0.25">
      <c r="A1322" s="11" t="s">
        <v>57</v>
      </c>
      <c r="B1322" s="11" t="s">
        <v>56</v>
      </c>
      <c r="C1322" s="22">
        <f t="shared" si="86"/>
        <v>25001620</v>
      </c>
      <c r="D1322" s="11" t="str">
        <f t="shared" si="83"/>
        <v>SKIIFM_AT</v>
      </c>
      <c r="E1322" s="11" t="str">
        <f>IF(I1322&lt;&gt;"",VLOOKUP(F1322,OPDRACHTGEVER!$A$2:$B$4,2,FALSE),"")</f>
        <v>SKIIFM_AT</v>
      </c>
      <c r="F1322" s="11" t="s">
        <v>58</v>
      </c>
      <c r="I1322" s="11" t="str">
        <f>IF(DATA!B1321&lt;&gt;"",DATA!B1321,"")</f>
        <v>MSBU5516482</v>
      </c>
      <c r="J1322" s="12">
        <v>0</v>
      </c>
      <c r="K1322" s="11" t="s">
        <v>53</v>
      </c>
      <c r="L1322" s="11" t="str">
        <f t="shared" si="84"/>
        <v>842820</v>
      </c>
      <c r="M1322" s="11" t="str">
        <f>IF(I1322&lt;&gt;"",DATA!E1321,"")</f>
        <v>MOTORCYCLE LIFT STAND</v>
      </c>
      <c r="N1322" s="12">
        <v>0</v>
      </c>
      <c r="O1322" s="11">
        <f>IF(I1322&lt;&gt;"",DATA!C1321,"")</f>
        <v>7192.8</v>
      </c>
      <c r="P1322" s="2">
        <v>294094</v>
      </c>
      <c r="Q1322" s="2" t="s">
        <v>1304</v>
      </c>
      <c r="R1322" s="2" t="s">
        <v>1330</v>
      </c>
      <c r="S1322" s="2">
        <v>344</v>
      </c>
      <c r="T1322" s="2">
        <v>1</v>
      </c>
      <c r="U1322" s="2" t="s">
        <v>141</v>
      </c>
      <c r="Y1322" s="2">
        <v>1700</v>
      </c>
      <c r="Z1322" s="11" t="s">
        <v>54</v>
      </c>
      <c r="AA1322" s="11" t="str">
        <f t="shared" si="85"/>
        <v>1700 - TBN</v>
      </c>
      <c r="AC1322" s="2" t="s">
        <v>145</v>
      </c>
      <c r="AD1322" s="11" t="str">
        <f>IF($I1322&lt;&gt;"",VLOOKUP($AC1322,GEADRESSEERDE!$A$2:$E$4,2,),"")</f>
        <v>LUITHAGEN HAVEN 2 D</v>
      </c>
      <c r="AE1322" s="11">
        <f>IF($I1322&lt;&gt;"",VLOOKUP($AC1322,GEADRESSEERDE!$A$2:$E$4,3,),"")</f>
        <v>2030</v>
      </c>
      <c r="AF1322" s="11" t="str">
        <f>IF($I1322&lt;&gt;"",VLOOKUP($AC1322,GEADRESSEERDE!$A$2:$E$4,4,),"")</f>
        <v>ANTWERPEN</v>
      </c>
      <c r="AG1322" s="11" t="str">
        <f>IF($I1322&lt;&gt;"",VLOOKUP($AC1322,GEADRESSEERDE!$A$2:$E$4,5,),"")</f>
        <v>BE</v>
      </c>
      <c r="AH1322" s="11" t="str">
        <f>IF(I1322&lt;&gt;"",VLOOKUP(AP1322,KvB!$A$2:$B$3,2,FALSE),"")</f>
        <v>BE101000</v>
      </c>
      <c r="AI1322" s="11" t="s">
        <v>55</v>
      </c>
      <c r="AJ1322" s="11"/>
      <c r="AK1322" s="11"/>
      <c r="AL1322" s="11"/>
      <c r="AM1322" s="11"/>
      <c r="AN1322" s="11"/>
      <c r="AO1322" s="11"/>
      <c r="AP1322" s="2" t="s">
        <v>70</v>
      </c>
      <c r="AQ1322" s="11" t="str">
        <f>IF(I1322&lt;&gt;"",DATA!D1321,"")</f>
        <v>8428208000</v>
      </c>
    </row>
    <row r="1323" spans="1:43" ht="15.75" x14ac:dyDescent="0.25">
      <c r="A1323" s="11" t="s">
        <v>57</v>
      </c>
      <c r="B1323" s="11" t="s">
        <v>56</v>
      </c>
      <c r="C1323" s="22">
        <f t="shared" si="86"/>
        <v>25001620</v>
      </c>
      <c r="D1323" s="11" t="str">
        <f t="shared" si="83"/>
        <v>SKIIFM_AT</v>
      </c>
      <c r="E1323" s="11" t="str">
        <f>IF(I1323&lt;&gt;"",VLOOKUP(F1323,OPDRACHTGEVER!$A$2:$B$4,2,FALSE),"")</f>
        <v>SKIIFM_AT</v>
      </c>
      <c r="F1323" s="11" t="s">
        <v>58</v>
      </c>
      <c r="I1323" s="11" t="str">
        <f>IF(DATA!B1322&lt;&gt;"",DATA!B1322,"")</f>
        <v>MSBU5516482</v>
      </c>
      <c r="J1323" s="12">
        <v>0</v>
      </c>
      <c r="K1323" s="11" t="s">
        <v>53</v>
      </c>
      <c r="L1323" s="11" t="str">
        <f t="shared" si="84"/>
        <v>820320</v>
      </c>
      <c r="M1323" s="11" t="str">
        <f>IF(I1323&lt;&gt;"",DATA!E1322,"")</f>
        <v>PIPE CLAMP</v>
      </c>
      <c r="N1323" s="12">
        <v>0</v>
      </c>
      <c r="O1323" s="11">
        <f>IF(I1323&lt;&gt;"",DATA!C1322,"")</f>
        <v>2.65</v>
      </c>
      <c r="P1323" s="2">
        <v>294094</v>
      </c>
      <c r="Q1323" s="2" t="s">
        <v>1304</v>
      </c>
      <c r="R1323" s="2" t="s">
        <v>1330</v>
      </c>
      <c r="S1323" s="2">
        <v>344</v>
      </c>
      <c r="T1323" s="2">
        <v>1</v>
      </c>
      <c r="U1323" s="2" t="s">
        <v>141</v>
      </c>
      <c r="Y1323" s="2">
        <v>1700</v>
      </c>
      <c r="Z1323" s="11" t="s">
        <v>54</v>
      </c>
      <c r="AA1323" s="11" t="str">
        <f t="shared" si="85"/>
        <v>1700 - TBN</v>
      </c>
      <c r="AC1323" s="2" t="s">
        <v>145</v>
      </c>
      <c r="AD1323" s="11" t="str">
        <f>IF($I1323&lt;&gt;"",VLOOKUP($AC1323,GEADRESSEERDE!$A$2:$E$4,2,),"")</f>
        <v>LUITHAGEN HAVEN 2 D</v>
      </c>
      <c r="AE1323" s="11">
        <f>IF($I1323&lt;&gt;"",VLOOKUP($AC1323,GEADRESSEERDE!$A$2:$E$4,3,),"")</f>
        <v>2030</v>
      </c>
      <c r="AF1323" s="11" t="str">
        <f>IF($I1323&lt;&gt;"",VLOOKUP($AC1323,GEADRESSEERDE!$A$2:$E$4,4,),"")</f>
        <v>ANTWERPEN</v>
      </c>
      <c r="AG1323" s="11" t="str">
        <f>IF($I1323&lt;&gt;"",VLOOKUP($AC1323,GEADRESSEERDE!$A$2:$E$4,5,),"")</f>
        <v>BE</v>
      </c>
      <c r="AH1323" s="11" t="str">
        <f>IF(I1323&lt;&gt;"",VLOOKUP(AP1323,KvB!$A$2:$B$3,2,FALSE),"")</f>
        <v>BE101000</v>
      </c>
      <c r="AI1323" s="11" t="s">
        <v>55</v>
      </c>
      <c r="AJ1323" s="11"/>
      <c r="AK1323" s="11"/>
      <c r="AL1323" s="11"/>
      <c r="AM1323" s="11"/>
      <c r="AN1323" s="11"/>
      <c r="AO1323" s="11"/>
      <c r="AP1323" s="2" t="s">
        <v>70</v>
      </c>
      <c r="AQ1323" s="11" t="str">
        <f>IF(I1323&lt;&gt;"",DATA!D1322,"")</f>
        <v>8203200000</v>
      </c>
    </row>
    <row r="1324" spans="1:43" ht="15.75" x14ac:dyDescent="0.25">
      <c r="A1324" s="11" t="s">
        <v>57</v>
      </c>
      <c r="B1324" s="11" t="s">
        <v>56</v>
      </c>
      <c r="C1324" s="22">
        <f t="shared" si="86"/>
        <v>25001620</v>
      </c>
      <c r="D1324" s="11" t="str">
        <f t="shared" si="83"/>
        <v>SKIIFM_AT</v>
      </c>
      <c r="E1324" s="11" t="str">
        <f>IF(I1324&lt;&gt;"",VLOOKUP(F1324,OPDRACHTGEVER!$A$2:$B$4,2,FALSE),"")</f>
        <v>SKIIFM_AT</v>
      </c>
      <c r="F1324" s="11" t="s">
        <v>58</v>
      </c>
      <c r="I1324" s="11" t="str">
        <f>IF(DATA!B1323&lt;&gt;"",DATA!B1323,"")</f>
        <v>MSBU5516482</v>
      </c>
      <c r="J1324" s="12">
        <v>0</v>
      </c>
      <c r="K1324" s="11" t="s">
        <v>53</v>
      </c>
      <c r="L1324" s="11" t="str">
        <f t="shared" si="84"/>
        <v>442199</v>
      </c>
      <c r="M1324" s="11" t="str">
        <f>IF(I1324&lt;&gt;"",DATA!E1323,"")</f>
        <v>PLANTING BED</v>
      </c>
      <c r="N1324" s="12">
        <v>0</v>
      </c>
      <c r="O1324" s="11">
        <f>IF(I1324&lt;&gt;"",DATA!C1323,"")</f>
        <v>1343.05</v>
      </c>
      <c r="P1324" s="2">
        <v>294094</v>
      </c>
      <c r="Q1324" s="2" t="s">
        <v>1304</v>
      </c>
      <c r="R1324" s="2" t="s">
        <v>1330</v>
      </c>
      <c r="S1324" s="2">
        <v>344</v>
      </c>
      <c r="T1324" s="2">
        <v>1</v>
      </c>
      <c r="U1324" s="2" t="s">
        <v>141</v>
      </c>
      <c r="Y1324" s="2">
        <v>1700</v>
      </c>
      <c r="Z1324" s="11" t="s">
        <v>54</v>
      </c>
      <c r="AA1324" s="11" t="str">
        <f t="shared" si="85"/>
        <v>1700 - TBN</v>
      </c>
      <c r="AC1324" s="2" t="s">
        <v>145</v>
      </c>
      <c r="AD1324" s="11" t="str">
        <f>IF($I1324&lt;&gt;"",VLOOKUP($AC1324,GEADRESSEERDE!$A$2:$E$4,2,),"")</f>
        <v>LUITHAGEN HAVEN 2 D</v>
      </c>
      <c r="AE1324" s="11">
        <f>IF($I1324&lt;&gt;"",VLOOKUP($AC1324,GEADRESSEERDE!$A$2:$E$4,3,),"")</f>
        <v>2030</v>
      </c>
      <c r="AF1324" s="11" t="str">
        <f>IF($I1324&lt;&gt;"",VLOOKUP($AC1324,GEADRESSEERDE!$A$2:$E$4,4,),"")</f>
        <v>ANTWERPEN</v>
      </c>
      <c r="AG1324" s="11" t="str">
        <f>IF($I1324&lt;&gt;"",VLOOKUP($AC1324,GEADRESSEERDE!$A$2:$E$4,5,),"")</f>
        <v>BE</v>
      </c>
      <c r="AH1324" s="11" t="str">
        <f>IF(I1324&lt;&gt;"",VLOOKUP(AP1324,KvB!$A$2:$B$3,2,FALSE),"")</f>
        <v>BE101000</v>
      </c>
      <c r="AI1324" s="11" t="s">
        <v>55</v>
      </c>
      <c r="AJ1324" s="11"/>
      <c r="AK1324" s="11"/>
      <c r="AL1324" s="11"/>
      <c r="AM1324" s="11"/>
      <c r="AN1324" s="11"/>
      <c r="AO1324" s="11"/>
      <c r="AP1324" s="2" t="s">
        <v>70</v>
      </c>
      <c r="AQ1324" s="11" t="str">
        <f>IF(I1324&lt;&gt;"",DATA!D1323,"")</f>
        <v>4421999999</v>
      </c>
    </row>
    <row r="1325" spans="1:43" ht="15.75" x14ac:dyDescent="0.25">
      <c r="A1325" s="11" t="s">
        <v>57</v>
      </c>
      <c r="B1325" s="11" t="s">
        <v>56</v>
      </c>
      <c r="C1325" s="22">
        <f t="shared" si="86"/>
        <v>25001620</v>
      </c>
      <c r="D1325" s="11" t="str">
        <f t="shared" si="83"/>
        <v>SKIIFM_AT</v>
      </c>
      <c r="E1325" s="11" t="str">
        <f>IF(I1325&lt;&gt;"",VLOOKUP(F1325,OPDRACHTGEVER!$A$2:$B$4,2,FALSE),"")</f>
        <v>SKIIFM_AT</v>
      </c>
      <c r="F1325" s="11" t="s">
        <v>58</v>
      </c>
      <c r="I1325" s="11" t="str">
        <f>IF(DATA!B1324&lt;&gt;"",DATA!B1324,"")</f>
        <v>MSBU5516482</v>
      </c>
      <c r="J1325" s="12">
        <v>0</v>
      </c>
      <c r="K1325" s="11" t="s">
        <v>53</v>
      </c>
      <c r="L1325" s="11" t="str">
        <f t="shared" si="84"/>
        <v>846150</v>
      </c>
      <c r="M1325" s="11" t="str">
        <f>IF(I1325&lt;&gt;"",DATA!E1324,"")</f>
        <v>PLASMA CUTTING EQUIPMENT</v>
      </c>
      <c r="N1325" s="12">
        <v>0</v>
      </c>
      <c r="O1325" s="11">
        <f>IF(I1325&lt;&gt;"",DATA!C1324,"")</f>
        <v>3.4</v>
      </c>
      <c r="P1325" s="2">
        <v>294094</v>
      </c>
      <c r="Q1325" s="2" t="s">
        <v>1304</v>
      </c>
      <c r="R1325" s="2" t="s">
        <v>1330</v>
      </c>
      <c r="S1325" s="2">
        <v>344</v>
      </c>
      <c r="T1325" s="2">
        <v>1</v>
      </c>
      <c r="U1325" s="2" t="s">
        <v>141</v>
      </c>
      <c r="Y1325" s="2">
        <v>1700</v>
      </c>
      <c r="Z1325" s="11" t="s">
        <v>54</v>
      </c>
      <c r="AA1325" s="11" t="str">
        <f t="shared" si="85"/>
        <v>1700 - TBN</v>
      </c>
      <c r="AC1325" s="2" t="s">
        <v>145</v>
      </c>
      <c r="AD1325" s="11" t="str">
        <f>IF($I1325&lt;&gt;"",VLOOKUP($AC1325,GEADRESSEERDE!$A$2:$E$4,2,),"")</f>
        <v>LUITHAGEN HAVEN 2 D</v>
      </c>
      <c r="AE1325" s="11">
        <f>IF($I1325&lt;&gt;"",VLOOKUP($AC1325,GEADRESSEERDE!$A$2:$E$4,3,),"")</f>
        <v>2030</v>
      </c>
      <c r="AF1325" s="11" t="str">
        <f>IF($I1325&lt;&gt;"",VLOOKUP($AC1325,GEADRESSEERDE!$A$2:$E$4,4,),"")</f>
        <v>ANTWERPEN</v>
      </c>
      <c r="AG1325" s="11" t="str">
        <f>IF($I1325&lt;&gt;"",VLOOKUP($AC1325,GEADRESSEERDE!$A$2:$E$4,5,),"")</f>
        <v>BE</v>
      </c>
      <c r="AH1325" s="11" t="str">
        <f>IF(I1325&lt;&gt;"",VLOOKUP(AP1325,KvB!$A$2:$B$3,2,FALSE),"")</f>
        <v>BE101000</v>
      </c>
      <c r="AI1325" s="11" t="s">
        <v>55</v>
      </c>
      <c r="AJ1325" s="11"/>
      <c r="AK1325" s="11"/>
      <c r="AL1325" s="11"/>
      <c r="AM1325" s="11"/>
      <c r="AN1325" s="11"/>
      <c r="AO1325" s="11"/>
      <c r="AP1325" s="2" t="s">
        <v>70</v>
      </c>
      <c r="AQ1325" s="11" t="str">
        <f>IF(I1325&lt;&gt;"",DATA!D1324,"")</f>
        <v>8461509000</v>
      </c>
    </row>
    <row r="1326" spans="1:43" ht="15.75" x14ac:dyDescent="0.25">
      <c r="A1326" s="11" t="s">
        <v>57</v>
      </c>
      <c r="B1326" s="11" t="s">
        <v>56</v>
      </c>
      <c r="C1326" s="22">
        <f t="shared" si="86"/>
        <v>25001620</v>
      </c>
      <c r="D1326" s="11" t="str">
        <f t="shared" si="83"/>
        <v>SKIIFM_AT</v>
      </c>
      <c r="E1326" s="11" t="str">
        <f>IF(I1326&lt;&gt;"",VLOOKUP(F1326,OPDRACHTGEVER!$A$2:$B$4,2,FALSE),"")</f>
        <v>SKIIFM_AT</v>
      </c>
      <c r="F1326" s="11" t="s">
        <v>58</v>
      </c>
      <c r="I1326" s="11" t="str">
        <f>IF(DATA!B1325&lt;&gt;"",DATA!B1325,"")</f>
        <v>MSBU5516482</v>
      </c>
      <c r="J1326" s="12">
        <v>0</v>
      </c>
      <c r="K1326" s="11" t="s">
        <v>53</v>
      </c>
      <c r="L1326" s="11" t="str">
        <f t="shared" si="84"/>
        <v>560900</v>
      </c>
      <c r="M1326" s="11" t="str">
        <f>IF(I1326&lt;&gt;"",DATA!E1325,"")</f>
        <v>POLYESTER ROPES</v>
      </c>
      <c r="N1326" s="12">
        <v>0</v>
      </c>
      <c r="O1326" s="11">
        <f>IF(I1326&lt;&gt;"",DATA!C1325,"")</f>
        <v>2.6</v>
      </c>
      <c r="P1326" s="2">
        <v>294094</v>
      </c>
      <c r="Q1326" s="2" t="s">
        <v>1304</v>
      </c>
      <c r="R1326" s="2" t="s">
        <v>1330</v>
      </c>
      <c r="S1326" s="2">
        <v>344</v>
      </c>
      <c r="T1326" s="2">
        <v>1</v>
      </c>
      <c r="U1326" s="2" t="s">
        <v>141</v>
      </c>
      <c r="Y1326" s="2">
        <v>1700</v>
      </c>
      <c r="Z1326" s="11" t="s">
        <v>54</v>
      </c>
      <c r="AA1326" s="11" t="str">
        <f t="shared" si="85"/>
        <v>1700 - TBN</v>
      </c>
      <c r="AC1326" s="2" t="s">
        <v>145</v>
      </c>
      <c r="AD1326" s="11" t="str">
        <f>IF($I1326&lt;&gt;"",VLOOKUP($AC1326,GEADRESSEERDE!$A$2:$E$4,2,),"")</f>
        <v>LUITHAGEN HAVEN 2 D</v>
      </c>
      <c r="AE1326" s="11">
        <f>IF($I1326&lt;&gt;"",VLOOKUP($AC1326,GEADRESSEERDE!$A$2:$E$4,3,),"")</f>
        <v>2030</v>
      </c>
      <c r="AF1326" s="11" t="str">
        <f>IF($I1326&lt;&gt;"",VLOOKUP($AC1326,GEADRESSEERDE!$A$2:$E$4,4,),"")</f>
        <v>ANTWERPEN</v>
      </c>
      <c r="AG1326" s="11" t="str">
        <f>IF($I1326&lt;&gt;"",VLOOKUP($AC1326,GEADRESSEERDE!$A$2:$E$4,5,),"")</f>
        <v>BE</v>
      </c>
      <c r="AH1326" s="11" t="str">
        <f>IF(I1326&lt;&gt;"",VLOOKUP(AP1326,KvB!$A$2:$B$3,2,FALSE),"")</f>
        <v>BE101000</v>
      </c>
      <c r="AI1326" s="11" t="s">
        <v>55</v>
      </c>
      <c r="AJ1326" s="11"/>
      <c r="AK1326" s="11"/>
      <c r="AL1326" s="11"/>
      <c r="AM1326" s="11"/>
      <c r="AN1326" s="11"/>
      <c r="AO1326" s="11"/>
      <c r="AP1326" s="2" t="s">
        <v>70</v>
      </c>
      <c r="AQ1326" s="11" t="str">
        <f>IF(I1326&lt;&gt;"",DATA!D1325,"")</f>
        <v>5609000000</v>
      </c>
    </row>
    <row r="1327" spans="1:43" ht="15.75" x14ac:dyDescent="0.25">
      <c r="A1327" s="11" t="s">
        <v>57</v>
      </c>
      <c r="B1327" s="11" t="s">
        <v>56</v>
      </c>
      <c r="C1327" s="22">
        <f t="shared" si="86"/>
        <v>25001620</v>
      </c>
      <c r="D1327" s="11" t="str">
        <f t="shared" si="83"/>
        <v>SKIIFM_AT</v>
      </c>
      <c r="E1327" s="11" t="str">
        <f>IF(I1327&lt;&gt;"",VLOOKUP(F1327,OPDRACHTGEVER!$A$2:$B$4,2,FALSE),"")</f>
        <v>SKIIFM_AT</v>
      </c>
      <c r="F1327" s="11" t="s">
        <v>58</v>
      </c>
      <c r="I1327" s="11" t="str">
        <f>IF(DATA!B1326&lt;&gt;"",DATA!B1326,"")</f>
        <v>MSBU5516482</v>
      </c>
      <c r="J1327" s="12">
        <v>0</v>
      </c>
      <c r="K1327" s="11" t="s">
        <v>53</v>
      </c>
      <c r="L1327" s="11" t="str">
        <f t="shared" si="84"/>
        <v>841391</v>
      </c>
      <c r="M1327" s="11" t="str">
        <f>IF(I1327&lt;&gt;"",DATA!E1326,"")</f>
        <v>PUMP FRAME</v>
      </c>
      <c r="N1327" s="12">
        <v>0</v>
      </c>
      <c r="O1327" s="11">
        <f>IF(I1327&lt;&gt;"",DATA!C1326,"")</f>
        <v>24.7</v>
      </c>
      <c r="P1327" s="2">
        <v>294094</v>
      </c>
      <c r="Q1327" s="2" t="s">
        <v>1304</v>
      </c>
      <c r="R1327" s="2" t="s">
        <v>1330</v>
      </c>
      <c r="S1327" s="2">
        <v>344</v>
      </c>
      <c r="T1327" s="2">
        <v>1</v>
      </c>
      <c r="U1327" s="2" t="s">
        <v>141</v>
      </c>
      <c r="Y1327" s="2">
        <v>1700</v>
      </c>
      <c r="Z1327" s="11" t="s">
        <v>54</v>
      </c>
      <c r="AA1327" s="11" t="str">
        <f t="shared" si="85"/>
        <v>1700 - TBN</v>
      </c>
      <c r="AC1327" s="2" t="s">
        <v>145</v>
      </c>
      <c r="AD1327" s="11" t="str">
        <f>IF($I1327&lt;&gt;"",VLOOKUP($AC1327,GEADRESSEERDE!$A$2:$E$4,2,),"")</f>
        <v>LUITHAGEN HAVEN 2 D</v>
      </c>
      <c r="AE1327" s="11">
        <f>IF($I1327&lt;&gt;"",VLOOKUP($AC1327,GEADRESSEERDE!$A$2:$E$4,3,),"")</f>
        <v>2030</v>
      </c>
      <c r="AF1327" s="11" t="str">
        <f>IF($I1327&lt;&gt;"",VLOOKUP($AC1327,GEADRESSEERDE!$A$2:$E$4,4,),"")</f>
        <v>ANTWERPEN</v>
      </c>
      <c r="AG1327" s="11" t="str">
        <f>IF($I1327&lt;&gt;"",VLOOKUP($AC1327,GEADRESSEERDE!$A$2:$E$4,5,),"")</f>
        <v>BE</v>
      </c>
      <c r="AH1327" s="11" t="str">
        <f>IF(I1327&lt;&gt;"",VLOOKUP(AP1327,KvB!$A$2:$B$3,2,FALSE),"")</f>
        <v>BE101000</v>
      </c>
      <c r="AI1327" s="11" t="s">
        <v>55</v>
      </c>
      <c r="AJ1327" s="11"/>
      <c r="AK1327" s="11"/>
      <c r="AL1327" s="11"/>
      <c r="AM1327" s="11"/>
      <c r="AN1327" s="11"/>
      <c r="AO1327" s="11"/>
      <c r="AP1327" s="2" t="s">
        <v>70</v>
      </c>
      <c r="AQ1327" s="11" t="str">
        <f>IF(I1327&lt;&gt;"",DATA!D1326,"")</f>
        <v>8413910090</v>
      </c>
    </row>
    <row r="1328" spans="1:43" ht="15.75" x14ac:dyDescent="0.25">
      <c r="A1328" s="11" t="s">
        <v>57</v>
      </c>
      <c r="B1328" s="11" t="s">
        <v>56</v>
      </c>
      <c r="C1328" s="22">
        <f t="shared" si="86"/>
        <v>25001620</v>
      </c>
      <c r="D1328" s="11" t="str">
        <f t="shared" si="83"/>
        <v>SKIIFM_AT</v>
      </c>
      <c r="E1328" s="11" t="str">
        <f>IF(I1328&lt;&gt;"",VLOOKUP(F1328,OPDRACHTGEVER!$A$2:$B$4,2,FALSE),"")</f>
        <v>SKIIFM_AT</v>
      </c>
      <c r="F1328" s="11" t="s">
        <v>58</v>
      </c>
      <c r="I1328" s="11" t="str">
        <f>IF(DATA!B1327&lt;&gt;"",DATA!B1327,"")</f>
        <v>MSBU5516482</v>
      </c>
      <c r="J1328" s="12">
        <v>0</v>
      </c>
      <c r="K1328" s="11" t="s">
        <v>53</v>
      </c>
      <c r="L1328" s="11" t="str">
        <f t="shared" si="84"/>
        <v>820510</v>
      </c>
      <c r="M1328" s="11" t="str">
        <f>IF(I1328&lt;&gt;"",DATA!E1327,"")</f>
        <v>PUNCH LOCATOR</v>
      </c>
      <c r="N1328" s="12">
        <v>0</v>
      </c>
      <c r="O1328" s="11">
        <f>IF(I1328&lt;&gt;"",DATA!C1327,"")</f>
        <v>0.75</v>
      </c>
      <c r="P1328" s="2">
        <v>294094</v>
      </c>
      <c r="Q1328" s="2" t="s">
        <v>1304</v>
      </c>
      <c r="R1328" s="2" t="s">
        <v>1330</v>
      </c>
      <c r="S1328" s="2">
        <v>344</v>
      </c>
      <c r="T1328" s="2">
        <v>1</v>
      </c>
      <c r="U1328" s="2" t="s">
        <v>141</v>
      </c>
      <c r="Y1328" s="2">
        <v>1700</v>
      </c>
      <c r="Z1328" s="11" t="s">
        <v>54</v>
      </c>
      <c r="AA1328" s="11" t="str">
        <f t="shared" si="85"/>
        <v>1700 - TBN</v>
      </c>
      <c r="AC1328" s="2" t="s">
        <v>145</v>
      </c>
      <c r="AD1328" s="11" t="str">
        <f>IF($I1328&lt;&gt;"",VLOOKUP($AC1328,GEADRESSEERDE!$A$2:$E$4,2,),"")</f>
        <v>LUITHAGEN HAVEN 2 D</v>
      </c>
      <c r="AE1328" s="11">
        <f>IF($I1328&lt;&gt;"",VLOOKUP($AC1328,GEADRESSEERDE!$A$2:$E$4,3,),"")</f>
        <v>2030</v>
      </c>
      <c r="AF1328" s="11" t="str">
        <f>IF($I1328&lt;&gt;"",VLOOKUP($AC1328,GEADRESSEERDE!$A$2:$E$4,4,),"")</f>
        <v>ANTWERPEN</v>
      </c>
      <c r="AG1328" s="11" t="str">
        <f>IF($I1328&lt;&gt;"",VLOOKUP($AC1328,GEADRESSEERDE!$A$2:$E$4,5,),"")</f>
        <v>BE</v>
      </c>
      <c r="AH1328" s="11" t="str">
        <f>IF(I1328&lt;&gt;"",VLOOKUP(AP1328,KvB!$A$2:$B$3,2,FALSE),"")</f>
        <v>BE101000</v>
      </c>
      <c r="AI1328" s="11" t="s">
        <v>55</v>
      </c>
      <c r="AJ1328" s="11"/>
      <c r="AK1328" s="11"/>
      <c r="AL1328" s="11"/>
      <c r="AM1328" s="11"/>
      <c r="AN1328" s="11"/>
      <c r="AO1328" s="11"/>
      <c r="AP1328" s="2" t="s">
        <v>70</v>
      </c>
      <c r="AQ1328" s="11" t="str">
        <f>IF(I1328&lt;&gt;"",DATA!D1327,"")</f>
        <v>8205100000</v>
      </c>
    </row>
    <row r="1329" spans="1:43" ht="15.75" x14ac:dyDescent="0.25">
      <c r="A1329" s="11" t="s">
        <v>57</v>
      </c>
      <c r="B1329" s="11" t="s">
        <v>56</v>
      </c>
      <c r="C1329" s="22">
        <f t="shared" si="86"/>
        <v>25001620</v>
      </c>
      <c r="D1329" s="11" t="str">
        <f t="shared" si="83"/>
        <v>SKIIFM_AT</v>
      </c>
      <c r="E1329" s="11" t="str">
        <f>IF(I1329&lt;&gt;"",VLOOKUP(F1329,OPDRACHTGEVER!$A$2:$B$4,2,FALSE),"")</f>
        <v>SKIIFM_AT</v>
      </c>
      <c r="F1329" s="11" t="s">
        <v>58</v>
      </c>
      <c r="I1329" s="11" t="str">
        <f>IF(DATA!B1328&lt;&gt;"",DATA!B1328,"")</f>
        <v>MSBU5516482</v>
      </c>
      <c r="J1329" s="12">
        <v>0</v>
      </c>
      <c r="K1329" s="11" t="s">
        <v>53</v>
      </c>
      <c r="L1329" s="11" t="str">
        <f t="shared" si="84"/>
        <v>391810</v>
      </c>
      <c r="M1329" s="11" t="str">
        <f>IF(I1329&lt;&gt;"",DATA!E1328,"")</f>
        <v>PVC FLOOR MAT</v>
      </c>
      <c r="N1329" s="12">
        <v>0</v>
      </c>
      <c r="O1329" s="11">
        <f>IF(I1329&lt;&gt;"",DATA!C1328,"")</f>
        <v>2.35</v>
      </c>
      <c r="P1329" s="2">
        <v>294094</v>
      </c>
      <c r="Q1329" s="2" t="s">
        <v>1304</v>
      </c>
      <c r="R1329" s="2" t="s">
        <v>1330</v>
      </c>
      <c r="S1329" s="2">
        <v>344</v>
      </c>
      <c r="T1329" s="2">
        <v>1</v>
      </c>
      <c r="U1329" s="2" t="s">
        <v>141</v>
      </c>
      <c r="Y1329" s="2">
        <v>1700</v>
      </c>
      <c r="Z1329" s="11" t="s">
        <v>54</v>
      </c>
      <c r="AA1329" s="11" t="str">
        <f t="shared" si="85"/>
        <v>1700 - TBN</v>
      </c>
      <c r="AC1329" s="2" t="s">
        <v>145</v>
      </c>
      <c r="AD1329" s="11" t="str">
        <f>IF($I1329&lt;&gt;"",VLOOKUP($AC1329,GEADRESSEERDE!$A$2:$E$4,2,),"")</f>
        <v>LUITHAGEN HAVEN 2 D</v>
      </c>
      <c r="AE1329" s="11">
        <f>IF($I1329&lt;&gt;"",VLOOKUP($AC1329,GEADRESSEERDE!$A$2:$E$4,3,),"")</f>
        <v>2030</v>
      </c>
      <c r="AF1329" s="11" t="str">
        <f>IF($I1329&lt;&gt;"",VLOOKUP($AC1329,GEADRESSEERDE!$A$2:$E$4,4,),"")</f>
        <v>ANTWERPEN</v>
      </c>
      <c r="AG1329" s="11" t="str">
        <f>IF($I1329&lt;&gt;"",VLOOKUP($AC1329,GEADRESSEERDE!$A$2:$E$4,5,),"")</f>
        <v>BE</v>
      </c>
      <c r="AH1329" s="11" t="str">
        <f>IF(I1329&lt;&gt;"",VLOOKUP(AP1329,KvB!$A$2:$B$3,2,FALSE),"")</f>
        <v>BE101000</v>
      </c>
      <c r="AI1329" s="11" t="s">
        <v>55</v>
      </c>
      <c r="AJ1329" s="11"/>
      <c r="AK1329" s="11"/>
      <c r="AL1329" s="11"/>
      <c r="AM1329" s="11"/>
      <c r="AN1329" s="11"/>
      <c r="AO1329" s="11"/>
      <c r="AP1329" s="2" t="s">
        <v>70</v>
      </c>
      <c r="AQ1329" s="11" t="str">
        <f>IF(I1329&lt;&gt;"",DATA!D1328,"")</f>
        <v>3918109090</v>
      </c>
    </row>
    <row r="1330" spans="1:43" ht="15.75" x14ac:dyDescent="0.25">
      <c r="A1330" s="11" t="s">
        <v>57</v>
      </c>
      <c r="B1330" s="11" t="s">
        <v>56</v>
      </c>
      <c r="C1330" s="22">
        <f t="shared" si="86"/>
        <v>25001620</v>
      </c>
      <c r="D1330" s="11" t="str">
        <f t="shared" si="83"/>
        <v>SKIIFM_AT</v>
      </c>
      <c r="E1330" s="11" t="str">
        <f>IF(I1330&lt;&gt;"",VLOOKUP(F1330,OPDRACHTGEVER!$A$2:$B$4,2,FALSE),"")</f>
        <v>SKIIFM_AT</v>
      </c>
      <c r="F1330" s="11" t="s">
        <v>58</v>
      </c>
      <c r="I1330" s="11" t="str">
        <f>IF(DATA!B1329&lt;&gt;"",DATA!B1329,"")</f>
        <v>MSBU5516482</v>
      </c>
      <c r="J1330" s="12">
        <v>0</v>
      </c>
      <c r="K1330" s="11" t="s">
        <v>53</v>
      </c>
      <c r="L1330" s="11" t="str">
        <f t="shared" si="84"/>
        <v>830242</v>
      </c>
      <c r="M1330" s="11" t="str">
        <f>IF(I1330&lt;&gt;"",DATA!E1329,"")</f>
        <v>SHELF  BRACKETS</v>
      </c>
      <c r="N1330" s="12">
        <v>0</v>
      </c>
      <c r="O1330" s="11">
        <f>IF(I1330&lt;&gt;"",DATA!C1329,"")</f>
        <v>15.25</v>
      </c>
      <c r="P1330" s="2">
        <v>294094</v>
      </c>
      <c r="Q1330" s="2" t="s">
        <v>1304</v>
      </c>
      <c r="R1330" s="2" t="s">
        <v>1330</v>
      </c>
      <c r="S1330" s="2">
        <v>344</v>
      </c>
      <c r="T1330" s="2">
        <v>1</v>
      </c>
      <c r="U1330" s="2" t="s">
        <v>141</v>
      </c>
      <c r="Y1330" s="2">
        <v>1700</v>
      </c>
      <c r="Z1330" s="11" t="s">
        <v>54</v>
      </c>
      <c r="AA1330" s="11" t="str">
        <f t="shared" si="85"/>
        <v>1700 - TBN</v>
      </c>
      <c r="AC1330" s="2" t="s">
        <v>145</v>
      </c>
      <c r="AD1330" s="11" t="str">
        <f>IF($I1330&lt;&gt;"",VLOOKUP($AC1330,GEADRESSEERDE!$A$2:$E$4,2,),"")</f>
        <v>LUITHAGEN HAVEN 2 D</v>
      </c>
      <c r="AE1330" s="11">
        <f>IF($I1330&lt;&gt;"",VLOOKUP($AC1330,GEADRESSEERDE!$A$2:$E$4,3,),"")</f>
        <v>2030</v>
      </c>
      <c r="AF1330" s="11" t="str">
        <f>IF($I1330&lt;&gt;"",VLOOKUP($AC1330,GEADRESSEERDE!$A$2:$E$4,4,),"")</f>
        <v>ANTWERPEN</v>
      </c>
      <c r="AG1330" s="11" t="str">
        <f>IF($I1330&lt;&gt;"",VLOOKUP($AC1330,GEADRESSEERDE!$A$2:$E$4,5,),"")</f>
        <v>BE</v>
      </c>
      <c r="AH1330" s="11" t="str">
        <f>IF(I1330&lt;&gt;"",VLOOKUP(AP1330,KvB!$A$2:$B$3,2,FALSE),"")</f>
        <v>BE101000</v>
      </c>
      <c r="AI1330" s="11" t="s">
        <v>55</v>
      </c>
      <c r="AJ1330" s="11"/>
      <c r="AK1330" s="11"/>
      <c r="AL1330" s="11"/>
      <c r="AM1330" s="11"/>
      <c r="AN1330" s="11"/>
      <c r="AO1330" s="11"/>
      <c r="AP1330" s="2" t="s">
        <v>70</v>
      </c>
      <c r="AQ1330" s="11" t="str">
        <f>IF(I1330&lt;&gt;"",DATA!D1329,"")</f>
        <v>8302420090</v>
      </c>
    </row>
    <row r="1331" spans="1:43" ht="15.75" x14ac:dyDescent="0.25">
      <c r="A1331" s="11" t="s">
        <v>57</v>
      </c>
      <c r="B1331" s="11" t="s">
        <v>56</v>
      </c>
      <c r="C1331" s="22">
        <f t="shared" si="86"/>
        <v>25001620</v>
      </c>
      <c r="D1331" s="11" t="str">
        <f t="shared" si="83"/>
        <v>SKIIFM_AT</v>
      </c>
      <c r="E1331" s="11" t="str">
        <f>IF(I1331&lt;&gt;"",VLOOKUP(F1331,OPDRACHTGEVER!$A$2:$B$4,2,FALSE),"")</f>
        <v>SKIIFM_AT</v>
      </c>
      <c r="F1331" s="11" t="s">
        <v>58</v>
      </c>
      <c r="I1331" s="11" t="str">
        <f>IF(DATA!B1330&lt;&gt;"",DATA!B1330,"")</f>
        <v>MSBU5516482</v>
      </c>
      <c r="J1331" s="12">
        <v>0</v>
      </c>
      <c r="K1331" s="11" t="s">
        <v>53</v>
      </c>
      <c r="L1331" s="11" t="str">
        <f t="shared" si="84"/>
        <v>851679</v>
      </c>
      <c r="M1331" s="11" t="str">
        <f>IF(I1331&lt;&gt;"",DATA!E1330,"")</f>
        <v>SOCKET HOLDER</v>
      </c>
      <c r="N1331" s="12">
        <v>0</v>
      </c>
      <c r="O1331" s="11">
        <f>IF(I1331&lt;&gt;"",DATA!C1330,"")</f>
        <v>3.85</v>
      </c>
      <c r="P1331" s="2">
        <v>294094</v>
      </c>
      <c r="Q1331" s="2" t="s">
        <v>1304</v>
      </c>
      <c r="R1331" s="2" t="s">
        <v>1330</v>
      </c>
      <c r="S1331" s="2">
        <v>344</v>
      </c>
      <c r="T1331" s="2">
        <v>1</v>
      </c>
      <c r="U1331" s="2" t="s">
        <v>141</v>
      </c>
      <c r="Y1331" s="2">
        <v>1700</v>
      </c>
      <c r="Z1331" s="11" t="s">
        <v>54</v>
      </c>
      <c r="AA1331" s="11" t="str">
        <f t="shared" si="85"/>
        <v>1700 - TBN</v>
      </c>
      <c r="AC1331" s="2" t="s">
        <v>145</v>
      </c>
      <c r="AD1331" s="11" t="str">
        <f>IF($I1331&lt;&gt;"",VLOOKUP($AC1331,GEADRESSEERDE!$A$2:$E$4,2,),"")</f>
        <v>LUITHAGEN HAVEN 2 D</v>
      </c>
      <c r="AE1331" s="11">
        <f>IF($I1331&lt;&gt;"",VLOOKUP($AC1331,GEADRESSEERDE!$A$2:$E$4,3,),"")</f>
        <v>2030</v>
      </c>
      <c r="AF1331" s="11" t="str">
        <f>IF($I1331&lt;&gt;"",VLOOKUP($AC1331,GEADRESSEERDE!$A$2:$E$4,4,),"")</f>
        <v>ANTWERPEN</v>
      </c>
      <c r="AG1331" s="11" t="str">
        <f>IF($I1331&lt;&gt;"",VLOOKUP($AC1331,GEADRESSEERDE!$A$2:$E$4,5,),"")</f>
        <v>BE</v>
      </c>
      <c r="AH1331" s="11" t="str">
        <f>IF(I1331&lt;&gt;"",VLOOKUP(AP1331,KvB!$A$2:$B$3,2,FALSE),"")</f>
        <v>BE101000</v>
      </c>
      <c r="AI1331" s="11" t="s">
        <v>55</v>
      </c>
      <c r="AJ1331" s="11"/>
      <c r="AK1331" s="11"/>
      <c r="AL1331" s="11"/>
      <c r="AM1331" s="11"/>
      <c r="AN1331" s="11"/>
      <c r="AO1331" s="11"/>
      <c r="AP1331" s="2" t="s">
        <v>70</v>
      </c>
      <c r="AQ1331" s="11" t="str">
        <f>IF(I1331&lt;&gt;"",DATA!D1330,"")</f>
        <v>8516797090</v>
      </c>
    </row>
    <row r="1332" spans="1:43" ht="15.75" x14ac:dyDescent="0.25">
      <c r="A1332" s="11" t="s">
        <v>57</v>
      </c>
      <c r="B1332" s="11" t="s">
        <v>56</v>
      </c>
      <c r="C1332" s="22">
        <f t="shared" si="86"/>
        <v>25001620</v>
      </c>
      <c r="D1332" s="11" t="str">
        <f t="shared" ref="D1332:D1395" si="87">E1332</f>
        <v>SKIIFM_AT</v>
      </c>
      <c r="E1332" s="11" t="str">
        <f>IF(I1332&lt;&gt;"",VLOOKUP(F1332,OPDRACHTGEVER!$A$2:$B$4,2,FALSE),"")</f>
        <v>SKIIFM_AT</v>
      </c>
      <c r="F1332" s="11" t="s">
        <v>58</v>
      </c>
      <c r="I1332" s="11" t="str">
        <f>IF(DATA!B1331&lt;&gt;"",DATA!B1331,"")</f>
        <v>MSBU5516482</v>
      </c>
      <c r="J1332" s="12">
        <v>0</v>
      </c>
      <c r="K1332" s="11" t="s">
        <v>53</v>
      </c>
      <c r="L1332" s="11" t="str">
        <f t="shared" ref="L1332:L1395" si="88">LEFT(AQ1332,6)</f>
        <v>841350</v>
      </c>
      <c r="M1332" s="11" t="str">
        <f>IF(I1332&lt;&gt;"",DATA!E1331,"")</f>
        <v>SOLAR POWERED WATER PUMP</v>
      </c>
      <c r="N1332" s="12">
        <v>0</v>
      </c>
      <c r="O1332" s="11">
        <f>IF(I1332&lt;&gt;"",DATA!C1331,"")</f>
        <v>4.1500000000000004</v>
      </c>
      <c r="P1332" s="2">
        <v>294094</v>
      </c>
      <c r="Q1332" s="2" t="s">
        <v>1304</v>
      </c>
      <c r="R1332" s="2" t="s">
        <v>1330</v>
      </c>
      <c r="S1332" s="2">
        <v>344</v>
      </c>
      <c r="T1332" s="2">
        <v>1</v>
      </c>
      <c r="U1332" s="2" t="s">
        <v>141</v>
      </c>
      <c r="Y1332" s="2">
        <v>1700</v>
      </c>
      <c r="Z1332" s="11" t="s">
        <v>54</v>
      </c>
      <c r="AA1332" s="11" t="str">
        <f t="shared" ref="AA1332:AA1395" si="89">IF(I1332&lt;&gt;"",Y1332&amp;" - "&amp;Z1332,"")</f>
        <v>1700 - TBN</v>
      </c>
      <c r="AC1332" s="2" t="s">
        <v>145</v>
      </c>
      <c r="AD1332" s="11" t="str">
        <f>IF($I1332&lt;&gt;"",VLOOKUP($AC1332,GEADRESSEERDE!$A$2:$E$4,2,),"")</f>
        <v>LUITHAGEN HAVEN 2 D</v>
      </c>
      <c r="AE1332" s="11">
        <f>IF($I1332&lt;&gt;"",VLOOKUP($AC1332,GEADRESSEERDE!$A$2:$E$4,3,),"")</f>
        <v>2030</v>
      </c>
      <c r="AF1332" s="11" t="str">
        <f>IF($I1332&lt;&gt;"",VLOOKUP($AC1332,GEADRESSEERDE!$A$2:$E$4,4,),"")</f>
        <v>ANTWERPEN</v>
      </c>
      <c r="AG1332" s="11" t="str">
        <f>IF($I1332&lt;&gt;"",VLOOKUP($AC1332,GEADRESSEERDE!$A$2:$E$4,5,),"")</f>
        <v>BE</v>
      </c>
      <c r="AH1332" s="11" t="str">
        <f>IF(I1332&lt;&gt;"",VLOOKUP(AP1332,KvB!$A$2:$B$3,2,FALSE),"")</f>
        <v>BE101000</v>
      </c>
      <c r="AI1332" s="11" t="s">
        <v>55</v>
      </c>
      <c r="AJ1332" s="11"/>
      <c r="AK1332" s="11"/>
      <c r="AL1332" s="11"/>
      <c r="AM1332" s="11"/>
      <c r="AN1332" s="11"/>
      <c r="AO1332" s="11"/>
      <c r="AP1332" s="2" t="s">
        <v>70</v>
      </c>
      <c r="AQ1332" s="11" t="str">
        <f>IF(I1332&lt;&gt;"",DATA!D1331,"")</f>
        <v>8413508090</v>
      </c>
    </row>
    <row r="1333" spans="1:43" ht="15.75" x14ac:dyDescent="0.25">
      <c r="A1333" s="11" t="s">
        <v>57</v>
      </c>
      <c r="B1333" s="11" t="s">
        <v>56</v>
      </c>
      <c r="C1333" s="22">
        <f t="shared" si="86"/>
        <v>25001620</v>
      </c>
      <c r="D1333" s="11" t="str">
        <f t="shared" si="87"/>
        <v>SKIIFM_AT</v>
      </c>
      <c r="E1333" s="11" t="str">
        <f>IF(I1333&lt;&gt;"",VLOOKUP(F1333,OPDRACHTGEVER!$A$2:$B$4,2,FALSE),"")</f>
        <v>SKIIFM_AT</v>
      </c>
      <c r="F1333" s="11" t="s">
        <v>58</v>
      </c>
      <c r="I1333" s="11" t="str">
        <f>IF(DATA!B1332&lt;&gt;"",DATA!B1332,"")</f>
        <v>MSBU5516482</v>
      </c>
      <c r="J1333" s="12">
        <v>0</v>
      </c>
      <c r="K1333" s="11" t="s">
        <v>53</v>
      </c>
      <c r="L1333" s="11" t="str">
        <f t="shared" si="88"/>
        <v>741920</v>
      </c>
      <c r="M1333" s="11" t="str">
        <f>IF(I1333&lt;&gt;"",DATA!E1332,"")</f>
        <v>BAKING PAN</v>
      </c>
      <c r="N1333" s="12">
        <v>0</v>
      </c>
      <c r="O1333" s="11">
        <f>IF(I1333&lt;&gt;"",DATA!C1332,"")</f>
        <v>3.45</v>
      </c>
      <c r="P1333" s="2">
        <v>294094</v>
      </c>
      <c r="Q1333" s="2" t="s">
        <v>1304</v>
      </c>
      <c r="R1333" s="2" t="s">
        <v>1330</v>
      </c>
      <c r="S1333" s="2">
        <v>344</v>
      </c>
      <c r="T1333" s="2">
        <v>1</v>
      </c>
      <c r="U1333" s="2" t="s">
        <v>141</v>
      </c>
      <c r="Y1333" s="2">
        <v>1700</v>
      </c>
      <c r="Z1333" s="11" t="s">
        <v>54</v>
      </c>
      <c r="AA1333" s="11" t="str">
        <f t="shared" si="89"/>
        <v>1700 - TBN</v>
      </c>
      <c r="AC1333" s="2" t="s">
        <v>145</v>
      </c>
      <c r="AD1333" s="11" t="str">
        <f>IF($I1333&lt;&gt;"",VLOOKUP($AC1333,GEADRESSEERDE!$A$2:$E$4,2,),"")</f>
        <v>LUITHAGEN HAVEN 2 D</v>
      </c>
      <c r="AE1333" s="11">
        <f>IF($I1333&lt;&gt;"",VLOOKUP($AC1333,GEADRESSEERDE!$A$2:$E$4,3,),"")</f>
        <v>2030</v>
      </c>
      <c r="AF1333" s="11" t="str">
        <f>IF($I1333&lt;&gt;"",VLOOKUP($AC1333,GEADRESSEERDE!$A$2:$E$4,4,),"")</f>
        <v>ANTWERPEN</v>
      </c>
      <c r="AG1333" s="11" t="str">
        <f>IF($I1333&lt;&gt;"",VLOOKUP($AC1333,GEADRESSEERDE!$A$2:$E$4,5,),"")</f>
        <v>BE</v>
      </c>
      <c r="AH1333" s="11" t="str">
        <f>IF(I1333&lt;&gt;"",VLOOKUP(AP1333,KvB!$A$2:$B$3,2,FALSE),"")</f>
        <v>BE101000</v>
      </c>
      <c r="AI1333" s="11" t="s">
        <v>55</v>
      </c>
      <c r="AJ1333" s="11"/>
      <c r="AK1333" s="11"/>
      <c r="AL1333" s="11"/>
      <c r="AM1333" s="11"/>
      <c r="AN1333" s="11"/>
      <c r="AO1333" s="11"/>
      <c r="AP1333" s="2" t="s">
        <v>70</v>
      </c>
      <c r="AQ1333" s="11" t="str">
        <f>IF(I1333&lt;&gt;"",DATA!D1332,"")</f>
        <v>7419200090</v>
      </c>
    </row>
    <row r="1334" spans="1:43" ht="15.75" x14ac:dyDescent="0.25">
      <c r="A1334" s="11" t="s">
        <v>57</v>
      </c>
      <c r="B1334" s="11" t="s">
        <v>56</v>
      </c>
      <c r="C1334" s="22">
        <f t="shared" si="86"/>
        <v>25001620</v>
      </c>
      <c r="D1334" s="11" t="str">
        <f t="shared" si="87"/>
        <v>SKIIFM_AT</v>
      </c>
      <c r="E1334" s="11" t="str">
        <f>IF(I1334&lt;&gt;"",VLOOKUP(F1334,OPDRACHTGEVER!$A$2:$B$4,2,FALSE),"")</f>
        <v>SKIIFM_AT</v>
      </c>
      <c r="F1334" s="11" t="s">
        <v>58</v>
      </c>
      <c r="I1334" s="11" t="str">
        <f>IF(DATA!B1333&lt;&gt;"",DATA!B1333,"")</f>
        <v>MSBU5516482</v>
      </c>
      <c r="J1334" s="12">
        <v>0</v>
      </c>
      <c r="K1334" s="11" t="s">
        <v>53</v>
      </c>
      <c r="L1334" s="11" t="str">
        <f t="shared" si="88"/>
        <v>741920</v>
      </c>
      <c r="M1334" s="11" t="str">
        <f>IF(I1334&lt;&gt;"",DATA!E1333,"")</f>
        <v>WIRE ROPE</v>
      </c>
      <c r="N1334" s="12">
        <v>0</v>
      </c>
      <c r="O1334" s="11">
        <f>IF(I1334&lt;&gt;"",DATA!C1333,"")</f>
        <v>7.15</v>
      </c>
      <c r="P1334" s="2">
        <v>294094</v>
      </c>
      <c r="Q1334" s="2" t="s">
        <v>1304</v>
      </c>
      <c r="R1334" s="2" t="s">
        <v>1330</v>
      </c>
      <c r="S1334" s="2">
        <v>344</v>
      </c>
      <c r="T1334" s="2">
        <v>1</v>
      </c>
      <c r="U1334" s="2" t="s">
        <v>141</v>
      </c>
      <c r="Y1334" s="2">
        <v>1700</v>
      </c>
      <c r="Z1334" s="11" t="s">
        <v>54</v>
      </c>
      <c r="AA1334" s="11" t="str">
        <f t="shared" si="89"/>
        <v>1700 - TBN</v>
      </c>
      <c r="AC1334" s="2" t="s">
        <v>145</v>
      </c>
      <c r="AD1334" s="11" t="str">
        <f>IF($I1334&lt;&gt;"",VLOOKUP($AC1334,GEADRESSEERDE!$A$2:$E$4,2,),"")</f>
        <v>LUITHAGEN HAVEN 2 D</v>
      </c>
      <c r="AE1334" s="11">
        <f>IF($I1334&lt;&gt;"",VLOOKUP($AC1334,GEADRESSEERDE!$A$2:$E$4,3,),"")</f>
        <v>2030</v>
      </c>
      <c r="AF1334" s="11" t="str">
        <f>IF($I1334&lt;&gt;"",VLOOKUP($AC1334,GEADRESSEERDE!$A$2:$E$4,4,),"")</f>
        <v>ANTWERPEN</v>
      </c>
      <c r="AG1334" s="11" t="str">
        <f>IF($I1334&lt;&gt;"",VLOOKUP($AC1334,GEADRESSEERDE!$A$2:$E$4,5,),"")</f>
        <v>BE</v>
      </c>
      <c r="AH1334" s="11" t="str">
        <f>IF(I1334&lt;&gt;"",VLOOKUP(AP1334,KvB!$A$2:$B$3,2,FALSE),"")</f>
        <v>BE101000</v>
      </c>
      <c r="AI1334" s="11" t="s">
        <v>55</v>
      </c>
      <c r="AJ1334" s="11"/>
      <c r="AK1334" s="11"/>
      <c r="AL1334" s="11"/>
      <c r="AM1334" s="11"/>
      <c r="AN1334" s="11"/>
      <c r="AO1334" s="11"/>
      <c r="AP1334" s="2" t="s">
        <v>70</v>
      </c>
      <c r="AQ1334" s="11" t="str">
        <f>IF(I1334&lt;&gt;"",DATA!D1333,"")</f>
        <v>7419200090</v>
      </c>
    </row>
    <row r="1335" spans="1:43" ht="15.75" x14ac:dyDescent="0.25">
      <c r="A1335" s="11" t="s">
        <v>57</v>
      </c>
      <c r="B1335" s="11" t="s">
        <v>56</v>
      </c>
      <c r="C1335" s="22">
        <f t="shared" si="86"/>
        <v>25001620</v>
      </c>
      <c r="D1335" s="11" t="str">
        <f t="shared" si="87"/>
        <v>SKIIFM_AT</v>
      </c>
      <c r="E1335" s="11" t="str">
        <f>IF(I1335&lt;&gt;"",VLOOKUP(F1335,OPDRACHTGEVER!$A$2:$B$4,2,FALSE),"")</f>
        <v>SKIIFM_AT</v>
      </c>
      <c r="F1335" s="11" t="s">
        <v>58</v>
      </c>
      <c r="I1335" s="11" t="str">
        <f>IF(DATA!B1334&lt;&gt;"",DATA!B1334,"")</f>
        <v>MSBU5516482</v>
      </c>
      <c r="J1335" s="12">
        <v>0</v>
      </c>
      <c r="K1335" s="11" t="s">
        <v>53</v>
      </c>
      <c r="L1335" s="11" t="str">
        <f t="shared" si="88"/>
        <v>940290</v>
      </c>
      <c r="M1335" s="11" t="str">
        <f>IF(I1335&lt;&gt;"",DATA!E1334,"")</f>
        <v>STAIRCASE STRETCHER</v>
      </c>
      <c r="N1335" s="12">
        <v>0</v>
      </c>
      <c r="O1335" s="11">
        <f>IF(I1335&lt;&gt;"",DATA!C1334,"")</f>
        <v>124.8</v>
      </c>
      <c r="P1335" s="2">
        <v>294094</v>
      </c>
      <c r="Q1335" s="2" t="s">
        <v>1304</v>
      </c>
      <c r="R1335" s="2" t="s">
        <v>1330</v>
      </c>
      <c r="S1335" s="2">
        <v>344</v>
      </c>
      <c r="T1335" s="2">
        <v>1</v>
      </c>
      <c r="U1335" s="2" t="s">
        <v>141</v>
      </c>
      <c r="Y1335" s="2">
        <v>1700</v>
      </c>
      <c r="Z1335" s="11" t="s">
        <v>54</v>
      </c>
      <c r="AA1335" s="11" t="str">
        <f t="shared" si="89"/>
        <v>1700 - TBN</v>
      </c>
      <c r="AC1335" s="2" t="s">
        <v>145</v>
      </c>
      <c r="AD1335" s="11" t="str">
        <f>IF($I1335&lt;&gt;"",VLOOKUP($AC1335,GEADRESSEERDE!$A$2:$E$4,2,),"")</f>
        <v>LUITHAGEN HAVEN 2 D</v>
      </c>
      <c r="AE1335" s="11">
        <f>IF($I1335&lt;&gt;"",VLOOKUP($AC1335,GEADRESSEERDE!$A$2:$E$4,3,),"")</f>
        <v>2030</v>
      </c>
      <c r="AF1335" s="11" t="str">
        <f>IF($I1335&lt;&gt;"",VLOOKUP($AC1335,GEADRESSEERDE!$A$2:$E$4,4,),"")</f>
        <v>ANTWERPEN</v>
      </c>
      <c r="AG1335" s="11" t="str">
        <f>IF($I1335&lt;&gt;"",VLOOKUP($AC1335,GEADRESSEERDE!$A$2:$E$4,5,),"")</f>
        <v>BE</v>
      </c>
      <c r="AH1335" s="11" t="str">
        <f>IF(I1335&lt;&gt;"",VLOOKUP(AP1335,KvB!$A$2:$B$3,2,FALSE),"")</f>
        <v>BE101000</v>
      </c>
      <c r="AI1335" s="11" t="s">
        <v>55</v>
      </c>
      <c r="AJ1335" s="11"/>
      <c r="AK1335" s="11"/>
      <c r="AL1335" s="11"/>
      <c r="AM1335" s="11"/>
      <c r="AN1335" s="11"/>
      <c r="AO1335" s="11"/>
      <c r="AP1335" s="2" t="s">
        <v>70</v>
      </c>
      <c r="AQ1335" s="11" t="str">
        <f>IF(I1335&lt;&gt;"",DATA!D1334,"")</f>
        <v>9402900000</v>
      </c>
    </row>
    <row r="1336" spans="1:43" ht="15.75" x14ac:dyDescent="0.25">
      <c r="A1336" s="11" t="s">
        <v>57</v>
      </c>
      <c r="B1336" s="11" t="s">
        <v>56</v>
      </c>
      <c r="C1336" s="22">
        <f t="shared" si="86"/>
        <v>25001620</v>
      </c>
      <c r="D1336" s="11" t="str">
        <f t="shared" si="87"/>
        <v>SKIIFM_AT</v>
      </c>
      <c r="E1336" s="11" t="str">
        <f>IF(I1336&lt;&gt;"",VLOOKUP(F1336,OPDRACHTGEVER!$A$2:$B$4,2,FALSE),"")</f>
        <v>SKIIFM_AT</v>
      </c>
      <c r="F1336" s="11" t="s">
        <v>58</v>
      </c>
      <c r="I1336" s="11" t="str">
        <f>IF(DATA!B1335&lt;&gt;"",DATA!B1335,"")</f>
        <v>MSBU5516482</v>
      </c>
      <c r="J1336" s="12">
        <v>0</v>
      </c>
      <c r="K1336" s="11" t="s">
        <v>53</v>
      </c>
      <c r="L1336" s="11" t="str">
        <f t="shared" si="88"/>
        <v>820740</v>
      </c>
      <c r="M1336" s="11" t="str">
        <f>IF(I1336&lt;&gt;"",DATA!E1335,"")</f>
        <v>TAP AND MOLD GROUP</v>
      </c>
      <c r="N1336" s="12">
        <v>0</v>
      </c>
      <c r="O1336" s="11">
        <f>IF(I1336&lt;&gt;"",DATA!C1335,"")</f>
        <v>1.45</v>
      </c>
      <c r="P1336" s="2">
        <v>294094</v>
      </c>
      <c r="Q1336" s="2" t="s">
        <v>1304</v>
      </c>
      <c r="R1336" s="2" t="s">
        <v>1330</v>
      </c>
      <c r="S1336" s="2">
        <v>344</v>
      </c>
      <c r="T1336" s="2">
        <v>1</v>
      </c>
      <c r="U1336" s="2" t="s">
        <v>141</v>
      </c>
      <c r="Y1336" s="2">
        <v>1700</v>
      </c>
      <c r="Z1336" s="11" t="s">
        <v>54</v>
      </c>
      <c r="AA1336" s="11" t="str">
        <f t="shared" si="89"/>
        <v>1700 - TBN</v>
      </c>
      <c r="AC1336" s="2" t="s">
        <v>145</v>
      </c>
      <c r="AD1336" s="11" t="str">
        <f>IF($I1336&lt;&gt;"",VLOOKUP($AC1336,GEADRESSEERDE!$A$2:$E$4,2,),"")</f>
        <v>LUITHAGEN HAVEN 2 D</v>
      </c>
      <c r="AE1336" s="11">
        <f>IF($I1336&lt;&gt;"",VLOOKUP($AC1336,GEADRESSEERDE!$A$2:$E$4,3,),"")</f>
        <v>2030</v>
      </c>
      <c r="AF1336" s="11" t="str">
        <f>IF($I1336&lt;&gt;"",VLOOKUP($AC1336,GEADRESSEERDE!$A$2:$E$4,4,),"")</f>
        <v>ANTWERPEN</v>
      </c>
      <c r="AG1336" s="11" t="str">
        <f>IF($I1336&lt;&gt;"",VLOOKUP($AC1336,GEADRESSEERDE!$A$2:$E$4,5,),"")</f>
        <v>BE</v>
      </c>
      <c r="AH1336" s="11" t="str">
        <f>IF(I1336&lt;&gt;"",VLOOKUP(AP1336,KvB!$A$2:$B$3,2,FALSE),"")</f>
        <v>BE101000</v>
      </c>
      <c r="AI1336" s="11" t="s">
        <v>55</v>
      </c>
      <c r="AJ1336" s="11"/>
      <c r="AK1336" s="11"/>
      <c r="AL1336" s="11"/>
      <c r="AM1336" s="11"/>
      <c r="AN1336" s="11"/>
      <c r="AO1336" s="11"/>
      <c r="AP1336" s="2" t="s">
        <v>70</v>
      </c>
      <c r="AQ1336" s="11" t="str">
        <f>IF(I1336&lt;&gt;"",DATA!D1335,"")</f>
        <v>8207409000</v>
      </c>
    </row>
    <row r="1337" spans="1:43" ht="15.75" x14ac:dyDescent="0.25">
      <c r="A1337" s="11" t="s">
        <v>57</v>
      </c>
      <c r="B1337" s="11" t="s">
        <v>56</v>
      </c>
      <c r="C1337" s="22">
        <f t="shared" si="86"/>
        <v>25001620</v>
      </c>
      <c r="D1337" s="11" t="str">
        <f t="shared" si="87"/>
        <v>SKIIFM_AT</v>
      </c>
      <c r="E1337" s="11" t="str">
        <f>IF(I1337&lt;&gt;"",VLOOKUP(F1337,OPDRACHTGEVER!$A$2:$B$4,2,FALSE),"")</f>
        <v>SKIIFM_AT</v>
      </c>
      <c r="F1337" s="11" t="s">
        <v>58</v>
      </c>
      <c r="I1337" s="11" t="str">
        <f>IF(DATA!B1336&lt;&gt;"",DATA!B1336,"")</f>
        <v>MSBU5516482</v>
      </c>
      <c r="J1337" s="12">
        <v>0</v>
      </c>
      <c r="K1337" s="11" t="s">
        <v>53</v>
      </c>
      <c r="L1337" s="11" t="str">
        <f t="shared" si="88"/>
        <v>950691</v>
      </c>
      <c r="M1337" s="11" t="str">
        <f>IF(I1337&lt;&gt;"",DATA!E1336,"")</f>
        <v>TOP ADJUSTMENT-ROUND</v>
      </c>
      <c r="N1337" s="12">
        <v>0</v>
      </c>
      <c r="O1337" s="11">
        <f>IF(I1337&lt;&gt;"",DATA!C1336,"")</f>
        <v>100.35</v>
      </c>
      <c r="P1337" s="2">
        <v>294094</v>
      </c>
      <c r="Q1337" s="2" t="s">
        <v>1304</v>
      </c>
      <c r="R1337" s="2" t="s">
        <v>1330</v>
      </c>
      <c r="S1337" s="2">
        <v>344</v>
      </c>
      <c r="T1337" s="2">
        <v>1</v>
      </c>
      <c r="U1337" s="2" t="s">
        <v>141</v>
      </c>
      <c r="Y1337" s="2">
        <v>1700</v>
      </c>
      <c r="Z1337" s="11" t="s">
        <v>54</v>
      </c>
      <c r="AA1337" s="11" t="str">
        <f t="shared" si="89"/>
        <v>1700 - TBN</v>
      </c>
      <c r="AC1337" s="2" t="s">
        <v>145</v>
      </c>
      <c r="AD1337" s="11" t="str">
        <f>IF($I1337&lt;&gt;"",VLOOKUP($AC1337,GEADRESSEERDE!$A$2:$E$4,2,),"")</f>
        <v>LUITHAGEN HAVEN 2 D</v>
      </c>
      <c r="AE1337" s="11">
        <f>IF($I1337&lt;&gt;"",VLOOKUP($AC1337,GEADRESSEERDE!$A$2:$E$4,3,),"")</f>
        <v>2030</v>
      </c>
      <c r="AF1337" s="11" t="str">
        <f>IF($I1337&lt;&gt;"",VLOOKUP($AC1337,GEADRESSEERDE!$A$2:$E$4,4,),"")</f>
        <v>ANTWERPEN</v>
      </c>
      <c r="AG1337" s="11" t="str">
        <f>IF($I1337&lt;&gt;"",VLOOKUP($AC1337,GEADRESSEERDE!$A$2:$E$4,5,),"")</f>
        <v>BE</v>
      </c>
      <c r="AH1337" s="11" t="str">
        <f>IF(I1337&lt;&gt;"",VLOOKUP(AP1337,KvB!$A$2:$B$3,2,FALSE),"")</f>
        <v>BE101000</v>
      </c>
      <c r="AI1337" s="11" t="s">
        <v>55</v>
      </c>
      <c r="AJ1337" s="11"/>
      <c r="AK1337" s="11"/>
      <c r="AL1337" s="11"/>
      <c r="AM1337" s="11"/>
      <c r="AN1337" s="11"/>
      <c r="AO1337" s="11"/>
      <c r="AP1337" s="2" t="s">
        <v>70</v>
      </c>
      <c r="AQ1337" s="11" t="str">
        <f>IF(I1337&lt;&gt;"",DATA!D1336,"")</f>
        <v>9506919000</v>
      </c>
    </row>
    <row r="1338" spans="1:43" ht="15.75" x14ac:dyDescent="0.25">
      <c r="A1338" s="11" t="s">
        <v>57</v>
      </c>
      <c r="B1338" s="11" t="s">
        <v>56</v>
      </c>
      <c r="C1338" s="22">
        <f t="shared" si="86"/>
        <v>25001620</v>
      </c>
      <c r="D1338" s="11" t="str">
        <f t="shared" si="87"/>
        <v>SKIIFM_AT</v>
      </c>
      <c r="E1338" s="11" t="str">
        <f>IF(I1338&lt;&gt;"",VLOOKUP(F1338,OPDRACHTGEVER!$A$2:$B$4,2,FALSE),"")</f>
        <v>SKIIFM_AT</v>
      </c>
      <c r="F1338" s="11" t="s">
        <v>58</v>
      </c>
      <c r="I1338" s="11" t="str">
        <f>IF(DATA!B1337&lt;&gt;"",DATA!B1337,"")</f>
        <v>MSBU5516482</v>
      </c>
      <c r="J1338" s="12">
        <v>0</v>
      </c>
      <c r="K1338" s="11" t="s">
        <v>53</v>
      </c>
      <c r="L1338" s="11" t="str">
        <f t="shared" si="88"/>
        <v>871680</v>
      </c>
      <c r="M1338" s="11" t="str">
        <f>IF(I1338&lt;&gt;"",DATA!E1337,"")</f>
        <v>TRACTOR</v>
      </c>
      <c r="N1338" s="12">
        <v>0</v>
      </c>
      <c r="O1338" s="11">
        <f>IF(I1338&lt;&gt;"",DATA!C1337,"")</f>
        <v>384.3</v>
      </c>
      <c r="P1338" s="2">
        <v>294094</v>
      </c>
      <c r="Q1338" s="2" t="s">
        <v>1304</v>
      </c>
      <c r="R1338" s="2" t="s">
        <v>1330</v>
      </c>
      <c r="S1338" s="2">
        <v>344</v>
      </c>
      <c r="T1338" s="2">
        <v>1</v>
      </c>
      <c r="U1338" s="2" t="s">
        <v>141</v>
      </c>
      <c r="Y1338" s="2">
        <v>1700</v>
      </c>
      <c r="Z1338" s="11" t="s">
        <v>54</v>
      </c>
      <c r="AA1338" s="11" t="str">
        <f t="shared" si="89"/>
        <v>1700 - TBN</v>
      </c>
      <c r="AC1338" s="2" t="s">
        <v>145</v>
      </c>
      <c r="AD1338" s="11" t="str">
        <f>IF($I1338&lt;&gt;"",VLOOKUP($AC1338,GEADRESSEERDE!$A$2:$E$4,2,),"")</f>
        <v>LUITHAGEN HAVEN 2 D</v>
      </c>
      <c r="AE1338" s="11">
        <f>IF($I1338&lt;&gt;"",VLOOKUP($AC1338,GEADRESSEERDE!$A$2:$E$4,3,),"")</f>
        <v>2030</v>
      </c>
      <c r="AF1338" s="11" t="str">
        <f>IF($I1338&lt;&gt;"",VLOOKUP($AC1338,GEADRESSEERDE!$A$2:$E$4,4,),"")</f>
        <v>ANTWERPEN</v>
      </c>
      <c r="AG1338" s="11" t="str">
        <f>IF($I1338&lt;&gt;"",VLOOKUP($AC1338,GEADRESSEERDE!$A$2:$E$4,5,),"")</f>
        <v>BE</v>
      </c>
      <c r="AH1338" s="11" t="str">
        <f>IF(I1338&lt;&gt;"",VLOOKUP(AP1338,KvB!$A$2:$B$3,2,FALSE),"")</f>
        <v>BE101000</v>
      </c>
      <c r="AI1338" s="11" t="s">
        <v>55</v>
      </c>
      <c r="AJ1338" s="11"/>
      <c r="AK1338" s="11"/>
      <c r="AL1338" s="11"/>
      <c r="AM1338" s="11"/>
      <c r="AN1338" s="11"/>
      <c r="AO1338" s="11"/>
      <c r="AP1338" s="2" t="s">
        <v>70</v>
      </c>
      <c r="AQ1338" s="11" t="str">
        <f>IF(I1338&lt;&gt;"",DATA!D1337,"")</f>
        <v>8716800000</v>
      </c>
    </row>
    <row r="1339" spans="1:43" ht="15.75" x14ac:dyDescent="0.25">
      <c r="A1339" s="11" t="s">
        <v>57</v>
      </c>
      <c r="B1339" s="11" t="s">
        <v>56</v>
      </c>
      <c r="C1339" s="22">
        <f t="shared" si="86"/>
        <v>25001620</v>
      </c>
      <c r="D1339" s="11" t="str">
        <f t="shared" si="87"/>
        <v>SKIIFM_AT</v>
      </c>
      <c r="E1339" s="11" t="str">
        <f>IF(I1339&lt;&gt;"",VLOOKUP(F1339,OPDRACHTGEVER!$A$2:$B$4,2,FALSE),"")</f>
        <v>SKIIFM_AT</v>
      </c>
      <c r="F1339" s="11" t="s">
        <v>58</v>
      </c>
      <c r="I1339" s="11" t="str">
        <f>IF(DATA!B1338&lt;&gt;"",DATA!B1338,"")</f>
        <v>MSBU5516482</v>
      </c>
      <c r="J1339" s="12">
        <v>0</v>
      </c>
      <c r="K1339" s="11" t="s">
        <v>53</v>
      </c>
      <c r="L1339" s="11" t="str">
        <f t="shared" si="88"/>
        <v>841350</v>
      </c>
      <c r="M1339" s="11" t="str">
        <f>IF(I1339&lt;&gt;"",DATA!E1338,"")</f>
        <v>WATER PUMP</v>
      </c>
      <c r="N1339" s="12">
        <v>0</v>
      </c>
      <c r="O1339" s="11">
        <f>IF(I1339&lt;&gt;"",DATA!C1338,"")</f>
        <v>2.15</v>
      </c>
      <c r="P1339" s="2">
        <v>294094</v>
      </c>
      <c r="Q1339" s="2" t="s">
        <v>1304</v>
      </c>
      <c r="R1339" s="2" t="s">
        <v>1330</v>
      </c>
      <c r="S1339" s="2">
        <v>344</v>
      </c>
      <c r="T1339" s="2">
        <v>1</v>
      </c>
      <c r="U1339" s="2" t="s">
        <v>141</v>
      </c>
      <c r="Y1339" s="2">
        <v>1700</v>
      </c>
      <c r="Z1339" s="11" t="s">
        <v>54</v>
      </c>
      <c r="AA1339" s="11" t="str">
        <f t="shared" si="89"/>
        <v>1700 - TBN</v>
      </c>
      <c r="AC1339" s="2" t="s">
        <v>145</v>
      </c>
      <c r="AD1339" s="11" t="str">
        <f>IF($I1339&lt;&gt;"",VLOOKUP($AC1339,GEADRESSEERDE!$A$2:$E$4,2,),"")</f>
        <v>LUITHAGEN HAVEN 2 D</v>
      </c>
      <c r="AE1339" s="11">
        <f>IF($I1339&lt;&gt;"",VLOOKUP($AC1339,GEADRESSEERDE!$A$2:$E$4,3,),"")</f>
        <v>2030</v>
      </c>
      <c r="AF1339" s="11" t="str">
        <f>IF($I1339&lt;&gt;"",VLOOKUP($AC1339,GEADRESSEERDE!$A$2:$E$4,4,),"")</f>
        <v>ANTWERPEN</v>
      </c>
      <c r="AG1339" s="11" t="str">
        <f>IF($I1339&lt;&gt;"",VLOOKUP($AC1339,GEADRESSEERDE!$A$2:$E$4,5,),"")</f>
        <v>BE</v>
      </c>
      <c r="AH1339" s="11" t="str">
        <f>IF(I1339&lt;&gt;"",VLOOKUP(AP1339,KvB!$A$2:$B$3,2,FALSE),"")</f>
        <v>BE101000</v>
      </c>
      <c r="AI1339" s="11" t="s">
        <v>55</v>
      </c>
      <c r="AJ1339" s="11"/>
      <c r="AK1339" s="11"/>
      <c r="AL1339" s="11"/>
      <c r="AM1339" s="11"/>
      <c r="AN1339" s="11"/>
      <c r="AO1339" s="11"/>
      <c r="AP1339" s="2" t="s">
        <v>70</v>
      </c>
      <c r="AQ1339" s="11" t="str">
        <f>IF(I1339&lt;&gt;"",DATA!D1338,"")</f>
        <v>8413502090</v>
      </c>
    </row>
    <row r="1340" spans="1:43" ht="15.75" x14ac:dyDescent="0.25">
      <c r="A1340" s="11" t="s">
        <v>57</v>
      </c>
      <c r="B1340" s="11" t="s">
        <v>56</v>
      </c>
      <c r="C1340" s="22">
        <f t="shared" si="86"/>
        <v>25001620</v>
      </c>
      <c r="D1340" s="11" t="str">
        <f t="shared" si="87"/>
        <v>SKIIFM_AT</v>
      </c>
      <c r="E1340" s="11" t="str">
        <f>IF(I1340&lt;&gt;"",VLOOKUP(F1340,OPDRACHTGEVER!$A$2:$B$4,2,FALSE),"")</f>
        <v>SKIIFM_AT</v>
      </c>
      <c r="F1340" s="11" t="s">
        <v>58</v>
      </c>
      <c r="I1340" s="11" t="str">
        <f>IF(DATA!B1339&lt;&gt;"",DATA!B1339,"")</f>
        <v>MSBU5516482</v>
      </c>
      <c r="J1340" s="12">
        <v>0</v>
      </c>
      <c r="K1340" s="11" t="s">
        <v>53</v>
      </c>
      <c r="L1340" s="11" t="str">
        <f t="shared" si="88"/>
        <v>851580</v>
      </c>
      <c r="M1340" s="11" t="str">
        <f>IF(I1340&lt;&gt;"",DATA!E1339,"")</f>
        <v>WELDING TORCH</v>
      </c>
      <c r="N1340" s="12">
        <v>0</v>
      </c>
      <c r="O1340" s="11">
        <f>IF(I1340&lt;&gt;"",DATA!C1339,"")</f>
        <v>6</v>
      </c>
      <c r="P1340" s="2">
        <v>294094</v>
      </c>
      <c r="Q1340" s="2" t="s">
        <v>1304</v>
      </c>
      <c r="R1340" s="2" t="s">
        <v>1330</v>
      </c>
      <c r="S1340" s="2">
        <v>344</v>
      </c>
      <c r="T1340" s="2">
        <v>1</v>
      </c>
      <c r="U1340" s="2" t="s">
        <v>141</v>
      </c>
      <c r="Y1340" s="2">
        <v>1700</v>
      </c>
      <c r="Z1340" s="11" t="s">
        <v>54</v>
      </c>
      <c r="AA1340" s="11" t="str">
        <f t="shared" si="89"/>
        <v>1700 - TBN</v>
      </c>
      <c r="AC1340" s="2" t="s">
        <v>145</v>
      </c>
      <c r="AD1340" s="11" t="str">
        <f>IF($I1340&lt;&gt;"",VLOOKUP($AC1340,GEADRESSEERDE!$A$2:$E$4,2,),"")</f>
        <v>LUITHAGEN HAVEN 2 D</v>
      </c>
      <c r="AE1340" s="11">
        <f>IF($I1340&lt;&gt;"",VLOOKUP($AC1340,GEADRESSEERDE!$A$2:$E$4,3,),"")</f>
        <v>2030</v>
      </c>
      <c r="AF1340" s="11" t="str">
        <f>IF($I1340&lt;&gt;"",VLOOKUP($AC1340,GEADRESSEERDE!$A$2:$E$4,4,),"")</f>
        <v>ANTWERPEN</v>
      </c>
      <c r="AG1340" s="11" t="str">
        <f>IF($I1340&lt;&gt;"",VLOOKUP($AC1340,GEADRESSEERDE!$A$2:$E$4,5,),"")</f>
        <v>BE</v>
      </c>
      <c r="AH1340" s="11" t="str">
        <f>IF(I1340&lt;&gt;"",VLOOKUP(AP1340,KvB!$A$2:$B$3,2,FALSE),"")</f>
        <v>BE101000</v>
      </c>
      <c r="AI1340" s="11" t="s">
        <v>55</v>
      </c>
      <c r="AJ1340" s="11"/>
      <c r="AK1340" s="11"/>
      <c r="AL1340" s="11"/>
      <c r="AM1340" s="11"/>
      <c r="AN1340" s="11"/>
      <c r="AO1340" s="11"/>
      <c r="AP1340" s="2" t="s">
        <v>70</v>
      </c>
      <c r="AQ1340" s="11" t="str">
        <f>IF(I1340&lt;&gt;"",DATA!D1339,"")</f>
        <v>8515809000</v>
      </c>
    </row>
    <row r="1341" spans="1:43" ht="15.75" x14ac:dyDescent="0.25">
      <c r="A1341" s="11" t="s">
        <v>57</v>
      </c>
      <c r="B1341" s="11" t="s">
        <v>56</v>
      </c>
      <c r="C1341" s="22">
        <f t="shared" si="86"/>
        <v>25001620</v>
      </c>
      <c r="D1341" s="11" t="str">
        <f t="shared" si="87"/>
        <v>SKIIFM_AT</v>
      </c>
      <c r="E1341" s="11" t="str">
        <f>IF(I1341&lt;&gt;"",VLOOKUP(F1341,OPDRACHTGEVER!$A$2:$B$4,2,FALSE),"")</f>
        <v>SKIIFM_AT</v>
      </c>
      <c r="F1341" s="11" t="s">
        <v>58</v>
      </c>
      <c r="I1341" s="11" t="str">
        <f>IF(DATA!B1340&lt;&gt;"",DATA!B1340,"")</f>
        <v>MSBU5516482</v>
      </c>
      <c r="J1341" s="12">
        <v>0</v>
      </c>
      <c r="K1341" s="11" t="s">
        <v>53</v>
      </c>
      <c r="L1341" s="11" t="str">
        <f t="shared" si="88"/>
        <v>560790</v>
      </c>
      <c r="M1341" s="11" t="str">
        <f>IF(I1341&lt;&gt;"",DATA!E1340,"")</f>
        <v>WINCH LINE</v>
      </c>
      <c r="N1341" s="12">
        <v>0</v>
      </c>
      <c r="O1341" s="11">
        <f>IF(I1341&lt;&gt;"",DATA!C1340,"")</f>
        <v>0.95</v>
      </c>
      <c r="P1341" s="2">
        <v>294094</v>
      </c>
      <c r="Q1341" s="2" t="s">
        <v>1304</v>
      </c>
      <c r="R1341" s="2" t="s">
        <v>1330</v>
      </c>
      <c r="S1341" s="2">
        <v>344</v>
      </c>
      <c r="T1341" s="2">
        <v>1</v>
      </c>
      <c r="U1341" s="2" t="s">
        <v>141</v>
      </c>
      <c r="Y1341" s="2">
        <v>1700</v>
      </c>
      <c r="Z1341" s="11" t="s">
        <v>54</v>
      </c>
      <c r="AA1341" s="11" t="str">
        <f t="shared" si="89"/>
        <v>1700 - TBN</v>
      </c>
      <c r="AC1341" s="2" t="s">
        <v>145</v>
      </c>
      <c r="AD1341" s="11" t="str">
        <f>IF($I1341&lt;&gt;"",VLOOKUP($AC1341,GEADRESSEERDE!$A$2:$E$4,2,),"")</f>
        <v>LUITHAGEN HAVEN 2 D</v>
      </c>
      <c r="AE1341" s="11">
        <f>IF($I1341&lt;&gt;"",VLOOKUP($AC1341,GEADRESSEERDE!$A$2:$E$4,3,),"")</f>
        <v>2030</v>
      </c>
      <c r="AF1341" s="11" t="str">
        <f>IF($I1341&lt;&gt;"",VLOOKUP($AC1341,GEADRESSEERDE!$A$2:$E$4,4,),"")</f>
        <v>ANTWERPEN</v>
      </c>
      <c r="AG1341" s="11" t="str">
        <f>IF($I1341&lt;&gt;"",VLOOKUP($AC1341,GEADRESSEERDE!$A$2:$E$4,5,),"")</f>
        <v>BE</v>
      </c>
      <c r="AH1341" s="11" t="str">
        <f>IF(I1341&lt;&gt;"",VLOOKUP(AP1341,KvB!$A$2:$B$3,2,FALSE),"")</f>
        <v>BE101000</v>
      </c>
      <c r="AI1341" s="11" t="s">
        <v>55</v>
      </c>
      <c r="AJ1341" s="11"/>
      <c r="AK1341" s="11"/>
      <c r="AL1341" s="11"/>
      <c r="AM1341" s="11"/>
      <c r="AN1341" s="11"/>
      <c r="AO1341" s="11"/>
      <c r="AP1341" s="2" t="s">
        <v>70</v>
      </c>
      <c r="AQ1341" s="11" t="str">
        <f>IF(I1341&lt;&gt;"",DATA!D1340,"")</f>
        <v>5607909090</v>
      </c>
    </row>
    <row r="1342" spans="1:43" ht="15.75" x14ac:dyDescent="0.25">
      <c r="A1342" s="11" t="s">
        <v>57</v>
      </c>
      <c r="B1342" s="11" t="s">
        <v>56</v>
      </c>
      <c r="C1342" s="22">
        <f t="shared" si="86"/>
        <v>25001620</v>
      </c>
      <c r="D1342" s="11" t="str">
        <f t="shared" si="87"/>
        <v>SKIIFM_AT</v>
      </c>
      <c r="E1342" s="11" t="str">
        <f>IF(I1342&lt;&gt;"",VLOOKUP(F1342,OPDRACHTGEVER!$A$2:$B$4,2,FALSE),"")</f>
        <v>SKIIFM_AT</v>
      </c>
      <c r="F1342" s="11" t="s">
        <v>58</v>
      </c>
      <c r="I1342" s="11" t="str">
        <f>IF(DATA!B1341&lt;&gt;"",DATA!B1341,"")</f>
        <v>MSBU5516482</v>
      </c>
      <c r="J1342" s="12">
        <v>0</v>
      </c>
      <c r="K1342" s="11" t="s">
        <v>53</v>
      </c>
      <c r="L1342" s="11" t="str">
        <f t="shared" si="88"/>
        <v>560749</v>
      </c>
      <c r="M1342" s="11" t="str">
        <f>IF(I1342&lt;&gt;"",DATA!E1341,"")</f>
        <v>WINCH ROPE</v>
      </c>
      <c r="N1342" s="12">
        <v>0</v>
      </c>
      <c r="O1342" s="11">
        <f>IF(I1342&lt;&gt;"",DATA!C1341,"")</f>
        <v>2.25</v>
      </c>
      <c r="P1342" s="2">
        <v>294094</v>
      </c>
      <c r="Q1342" s="2" t="s">
        <v>1304</v>
      </c>
      <c r="R1342" s="2" t="s">
        <v>1330</v>
      </c>
      <c r="S1342" s="2">
        <v>344</v>
      </c>
      <c r="T1342" s="2">
        <v>1</v>
      </c>
      <c r="U1342" s="2" t="s">
        <v>141</v>
      </c>
      <c r="Y1342" s="2">
        <v>1700</v>
      </c>
      <c r="Z1342" s="11" t="s">
        <v>54</v>
      </c>
      <c r="AA1342" s="11" t="str">
        <f t="shared" si="89"/>
        <v>1700 - TBN</v>
      </c>
      <c r="AC1342" s="2" t="s">
        <v>145</v>
      </c>
      <c r="AD1342" s="11" t="str">
        <f>IF($I1342&lt;&gt;"",VLOOKUP($AC1342,GEADRESSEERDE!$A$2:$E$4,2,),"")</f>
        <v>LUITHAGEN HAVEN 2 D</v>
      </c>
      <c r="AE1342" s="11">
        <f>IF($I1342&lt;&gt;"",VLOOKUP($AC1342,GEADRESSEERDE!$A$2:$E$4,3,),"")</f>
        <v>2030</v>
      </c>
      <c r="AF1342" s="11" t="str">
        <f>IF($I1342&lt;&gt;"",VLOOKUP($AC1342,GEADRESSEERDE!$A$2:$E$4,4,),"")</f>
        <v>ANTWERPEN</v>
      </c>
      <c r="AG1342" s="11" t="str">
        <f>IF($I1342&lt;&gt;"",VLOOKUP($AC1342,GEADRESSEERDE!$A$2:$E$4,5,),"")</f>
        <v>BE</v>
      </c>
      <c r="AH1342" s="11" t="str">
        <f>IF(I1342&lt;&gt;"",VLOOKUP(AP1342,KvB!$A$2:$B$3,2,FALSE),"")</f>
        <v>BE101000</v>
      </c>
      <c r="AI1342" s="11" t="s">
        <v>55</v>
      </c>
      <c r="AJ1342" s="11"/>
      <c r="AK1342" s="11"/>
      <c r="AL1342" s="11"/>
      <c r="AM1342" s="11"/>
      <c r="AN1342" s="11"/>
      <c r="AO1342" s="11"/>
      <c r="AP1342" s="2" t="s">
        <v>70</v>
      </c>
      <c r="AQ1342" s="11" t="str">
        <f>IF(I1342&lt;&gt;"",DATA!D1341,"")</f>
        <v>5607491900</v>
      </c>
    </row>
    <row r="1343" spans="1:43" ht="15.75" x14ac:dyDescent="0.25">
      <c r="A1343" s="11" t="s">
        <v>57</v>
      </c>
      <c r="B1343" s="11" t="s">
        <v>56</v>
      </c>
      <c r="C1343" s="22">
        <f t="shared" si="86"/>
        <v>25001620</v>
      </c>
      <c r="D1343" s="11" t="str">
        <f t="shared" si="87"/>
        <v>SKIIFM_AT</v>
      </c>
      <c r="E1343" s="11" t="str">
        <f>IF(I1343&lt;&gt;"",VLOOKUP(F1343,OPDRACHTGEVER!$A$2:$B$4,2,FALSE),"")</f>
        <v>SKIIFM_AT</v>
      </c>
      <c r="F1343" s="11" t="s">
        <v>58</v>
      </c>
      <c r="I1343" s="11" t="str">
        <f>IF(DATA!B1342&lt;&gt;"",DATA!B1342,"")</f>
        <v>MSCU5497581</v>
      </c>
      <c r="J1343" s="12">
        <v>1053</v>
      </c>
      <c r="K1343" s="11" t="s">
        <v>53</v>
      </c>
      <c r="L1343" s="11" t="str">
        <f t="shared" si="88"/>
        <v>761699</v>
      </c>
      <c r="M1343" s="11" t="str">
        <f>IF(I1343&lt;&gt;"",DATA!E1342,"")</f>
        <v>ALUMINUM WHEEL</v>
      </c>
      <c r="N1343" s="12">
        <v>11892</v>
      </c>
      <c r="O1343" s="11">
        <f>IF(I1343&lt;&gt;"",DATA!C1342,"")</f>
        <v>6.32</v>
      </c>
      <c r="P1343" s="2">
        <v>294094</v>
      </c>
      <c r="Q1343" s="2" t="s">
        <v>1304</v>
      </c>
      <c r="R1343" s="2" t="s">
        <v>1331</v>
      </c>
      <c r="S1343" s="2">
        <v>348</v>
      </c>
      <c r="T1343" s="2">
        <v>1</v>
      </c>
      <c r="U1343" s="2" t="s">
        <v>141</v>
      </c>
      <c r="Y1343" s="2">
        <v>1700</v>
      </c>
      <c r="Z1343" s="11" t="s">
        <v>54</v>
      </c>
      <c r="AA1343" s="11" t="str">
        <f t="shared" si="89"/>
        <v>1700 - TBN</v>
      </c>
      <c r="AC1343" s="2" t="s">
        <v>145</v>
      </c>
      <c r="AD1343" s="11" t="str">
        <f>IF($I1343&lt;&gt;"",VLOOKUP($AC1343,GEADRESSEERDE!$A$2:$E$4,2,),"")</f>
        <v>LUITHAGEN HAVEN 2 D</v>
      </c>
      <c r="AE1343" s="11">
        <f>IF($I1343&lt;&gt;"",VLOOKUP($AC1343,GEADRESSEERDE!$A$2:$E$4,3,),"")</f>
        <v>2030</v>
      </c>
      <c r="AF1343" s="11" t="str">
        <f>IF($I1343&lt;&gt;"",VLOOKUP($AC1343,GEADRESSEERDE!$A$2:$E$4,4,),"")</f>
        <v>ANTWERPEN</v>
      </c>
      <c r="AG1343" s="11" t="str">
        <f>IF($I1343&lt;&gt;"",VLOOKUP($AC1343,GEADRESSEERDE!$A$2:$E$4,5,),"")</f>
        <v>BE</v>
      </c>
      <c r="AH1343" s="11" t="str">
        <f>IF(I1343&lt;&gt;"",VLOOKUP(AP1343,KvB!$A$2:$B$3,2,FALSE),"")</f>
        <v>BE101000</v>
      </c>
      <c r="AI1343" s="11" t="s">
        <v>55</v>
      </c>
      <c r="AJ1343" s="11"/>
      <c r="AK1343" s="11"/>
      <c r="AL1343" s="11"/>
      <c r="AM1343" s="11"/>
      <c r="AN1343" s="11"/>
      <c r="AO1343" s="11"/>
      <c r="AP1343" s="2" t="s">
        <v>70</v>
      </c>
      <c r="AQ1343" s="11" t="str">
        <f>IF(I1343&lt;&gt;"",DATA!D1342,"")</f>
        <v>7616999099</v>
      </c>
    </row>
    <row r="1344" spans="1:43" ht="15.75" x14ac:dyDescent="0.25">
      <c r="A1344" s="11" t="s">
        <v>57</v>
      </c>
      <c r="B1344" s="11" t="s">
        <v>56</v>
      </c>
      <c r="C1344" s="22">
        <f t="shared" si="86"/>
        <v>25001620</v>
      </c>
      <c r="D1344" s="11" t="str">
        <f t="shared" si="87"/>
        <v>SKIIFM_AT</v>
      </c>
      <c r="E1344" s="11" t="str">
        <f>IF(I1344&lt;&gt;"",VLOOKUP(F1344,OPDRACHTGEVER!$A$2:$B$4,2,FALSE),"")</f>
        <v>SKIIFM_AT</v>
      </c>
      <c r="F1344" s="11" t="s">
        <v>58</v>
      </c>
      <c r="I1344" s="11" t="str">
        <f>IF(DATA!B1343&lt;&gt;"",DATA!B1343,"")</f>
        <v>MSCU5497581</v>
      </c>
      <c r="J1344" s="12">
        <v>0</v>
      </c>
      <c r="K1344" s="11" t="s">
        <v>53</v>
      </c>
      <c r="L1344" s="11" t="str">
        <f t="shared" si="88"/>
        <v>871500</v>
      </c>
      <c r="M1344" s="11" t="str">
        <f>IF(I1344&lt;&gt;"",DATA!E1343,"")</f>
        <v>BABY STROLLERS</v>
      </c>
      <c r="N1344" s="12">
        <v>0</v>
      </c>
      <c r="O1344" s="11">
        <f>IF(I1344&lt;&gt;"",DATA!C1343,"")</f>
        <v>803.85</v>
      </c>
      <c r="P1344" s="2">
        <v>294094</v>
      </c>
      <c r="Q1344" s="2" t="s">
        <v>1304</v>
      </c>
      <c r="R1344" s="2" t="s">
        <v>1331</v>
      </c>
      <c r="S1344" s="2">
        <v>348</v>
      </c>
      <c r="T1344" s="2">
        <v>1</v>
      </c>
      <c r="U1344" s="2" t="s">
        <v>141</v>
      </c>
      <c r="Y1344" s="2">
        <v>1700</v>
      </c>
      <c r="Z1344" s="11" t="s">
        <v>54</v>
      </c>
      <c r="AA1344" s="11" t="str">
        <f t="shared" si="89"/>
        <v>1700 - TBN</v>
      </c>
      <c r="AC1344" s="2" t="s">
        <v>145</v>
      </c>
      <c r="AD1344" s="11" t="str">
        <f>IF($I1344&lt;&gt;"",VLOOKUP($AC1344,GEADRESSEERDE!$A$2:$E$4,2,),"")</f>
        <v>LUITHAGEN HAVEN 2 D</v>
      </c>
      <c r="AE1344" s="11">
        <f>IF($I1344&lt;&gt;"",VLOOKUP($AC1344,GEADRESSEERDE!$A$2:$E$4,3,),"")</f>
        <v>2030</v>
      </c>
      <c r="AF1344" s="11" t="str">
        <f>IF($I1344&lt;&gt;"",VLOOKUP($AC1344,GEADRESSEERDE!$A$2:$E$4,4,),"")</f>
        <v>ANTWERPEN</v>
      </c>
      <c r="AG1344" s="11" t="str">
        <f>IF($I1344&lt;&gt;"",VLOOKUP($AC1344,GEADRESSEERDE!$A$2:$E$4,5,),"")</f>
        <v>BE</v>
      </c>
      <c r="AH1344" s="11" t="str">
        <f>IF(I1344&lt;&gt;"",VLOOKUP(AP1344,KvB!$A$2:$B$3,2,FALSE),"")</f>
        <v>BE101000</v>
      </c>
      <c r="AI1344" s="11" t="s">
        <v>55</v>
      </c>
      <c r="AJ1344" s="11"/>
      <c r="AK1344" s="11"/>
      <c r="AL1344" s="11"/>
      <c r="AM1344" s="11"/>
      <c r="AN1344" s="11"/>
      <c r="AO1344" s="11"/>
      <c r="AP1344" s="2" t="s">
        <v>70</v>
      </c>
      <c r="AQ1344" s="11" t="str">
        <f>IF(I1344&lt;&gt;"",DATA!D1343,"")</f>
        <v>8715001000</v>
      </c>
    </row>
    <row r="1345" spans="1:43" ht="15.75" x14ac:dyDescent="0.25">
      <c r="A1345" s="11" t="s">
        <v>57</v>
      </c>
      <c r="B1345" s="11" t="s">
        <v>56</v>
      </c>
      <c r="C1345" s="22">
        <f t="shared" si="86"/>
        <v>25001620</v>
      </c>
      <c r="D1345" s="11" t="str">
        <f t="shared" si="87"/>
        <v>SKIIFM_AT</v>
      </c>
      <c r="E1345" s="11" t="str">
        <f>IF(I1345&lt;&gt;"",VLOOKUP(F1345,OPDRACHTGEVER!$A$2:$B$4,2,FALSE),"")</f>
        <v>SKIIFM_AT</v>
      </c>
      <c r="F1345" s="11" t="s">
        <v>58</v>
      </c>
      <c r="I1345" s="11" t="str">
        <f>IF(DATA!B1344&lt;&gt;"",DATA!B1344,"")</f>
        <v>MSCU5497581</v>
      </c>
      <c r="J1345" s="12">
        <v>0</v>
      </c>
      <c r="K1345" s="11" t="s">
        <v>53</v>
      </c>
      <c r="L1345" s="11" t="str">
        <f t="shared" si="88"/>
        <v>847050</v>
      </c>
      <c r="M1345" s="11" t="str">
        <f>IF(I1345&lt;&gt;"",DATA!E1344,"")</f>
        <v>BILL COUNTER</v>
      </c>
      <c r="N1345" s="12">
        <v>0</v>
      </c>
      <c r="O1345" s="11">
        <f>IF(I1345&lt;&gt;"",DATA!C1344,"")</f>
        <v>343.2</v>
      </c>
      <c r="P1345" s="2">
        <v>294094</v>
      </c>
      <c r="Q1345" s="2" t="s">
        <v>1304</v>
      </c>
      <c r="R1345" s="2" t="s">
        <v>1331</v>
      </c>
      <c r="S1345" s="2">
        <v>348</v>
      </c>
      <c r="T1345" s="2">
        <v>1</v>
      </c>
      <c r="U1345" s="2" t="s">
        <v>141</v>
      </c>
      <c r="Y1345" s="2">
        <v>1700</v>
      </c>
      <c r="Z1345" s="11" t="s">
        <v>54</v>
      </c>
      <c r="AA1345" s="11" t="str">
        <f t="shared" si="89"/>
        <v>1700 - TBN</v>
      </c>
      <c r="AC1345" s="2" t="s">
        <v>145</v>
      </c>
      <c r="AD1345" s="11" t="str">
        <f>IF($I1345&lt;&gt;"",VLOOKUP($AC1345,GEADRESSEERDE!$A$2:$E$4,2,),"")</f>
        <v>LUITHAGEN HAVEN 2 D</v>
      </c>
      <c r="AE1345" s="11">
        <f>IF($I1345&lt;&gt;"",VLOOKUP($AC1345,GEADRESSEERDE!$A$2:$E$4,3,),"")</f>
        <v>2030</v>
      </c>
      <c r="AF1345" s="11" t="str">
        <f>IF($I1345&lt;&gt;"",VLOOKUP($AC1345,GEADRESSEERDE!$A$2:$E$4,4,),"")</f>
        <v>ANTWERPEN</v>
      </c>
      <c r="AG1345" s="11" t="str">
        <f>IF($I1345&lt;&gt;"",VLOOKUP($AC1345,GEADRESSEERDE!$A$2:$E$4,5,),"")</f>
        <v>BE</v>
      </c>
      <c r="AH1345" s="11" t="str">
        <f>IF(I1345&lt;&gt;"",VLOOKUP(AP1345,KvB!$A$2:$B$3,2,FALSE),"")</f>
        <v>BE101000</v>
      </c>
      <c r="AI1345" s="11" t="s">
        <v>55</v>
      </c>
      <c r="AJ1345" s="11"/>
      <c r="AK1345" s="11"/>
      <c r="AL1345" s="11"/>
      <c r="AM1345" s="11"/>
      <c r="AN1345" s="11"/>
      <c r="AO1345" s="11"/>
      <c r="AP1345" s="2" t="s">
        <v>70</v>
      </c>
      <c r="AQ1345" s="11" t="str">
        <f>IF(I1345&lt;&gt;"",DATA!D1344,"")</f>
        <v>8470500000</v>
      </c>
    </row>
    <row r="1346" spans="1:43" ht="15.75" x14ac:dyDescent="0.25">
      <c r="A1346" s="11" t="s">
        <v>57</v>
      </c>
      <c r="B1346" s="11" t="s">
        <v>56</v>
      </c>
      <c r="C1346" s="22">
        <f t="shared" si="86"/>
        <v>25001620</v>
      </c>
      <c r="D1346" s="11" t="str">
        <f t="shared" si="87"/>
        <v>SKIIFM_AT</v>
      </c>
      <c r="E1346" s="11" t="str">
        <f>IF(I1346&lt;&gt;"",VLOOKUP(F1346,OPDRACHTGEVER!$A$2:$B$4,2,FALSE),"")</f>
        <v>SKIIFM_AT</v>
      </c>
      <c r="F1346" s="11" t="s">
        <v>58</v>
      </c>
      <c r="I1346" s="11" t="str">
        <f>IF(DATA!B1345&lt;&gt;"",DATA!B1345,"")</f>
        <v>MSCU5497581</v>
      </c>
      <c r="J1346" s="12">
        <v>0</v>
      </c>
      <c r="K1346" s="11" t="s">
        <v>53</v>
      </c>
      <c r="L1346" s="11" t="str">
        <f t="shared" si="88"/>
        <v>820890</v>
      </c>
      <c r="M1346" s="11" t="str">
        <f>IF(I1346&lt;&gt;"",DATA!E1345,"")</f>
        <v>BLADE</v>
      </c>
      <c r="N1346" s="12">
        <v>0</v>
      </c>
      <c r="O1346" s="11">
        <f>IF(I1346&lt;&gt;"",DATA!C1345,"")</f>
        <v>6.9</v>
      </c>
      <c r="P1346" s="2">
        <v>294094</v>
      </c>
      <c r="Q1346" s="2" t="s">
        <v>1304</v>
      </c>
      <c r="R1346" s="2" t="s">
        <v>1331</v>
      </c>
      <c r="S1346" s="2">
        <v>348</v>
      </c>
      <c r="T1346" s="2">
        <v>1</v>
      </c>
      <c r="U1346" s="2" t="s">
        <v>141</v>
      </c>
      <c r="Y1346" s="2">
        <v>1700</v>
      </c>
      <c r="Z1346" s="11" t="s">
        <v>54</v>
      </c>
      <c r="AA1346" s="11" t="str">
        <f t="shared" si="89"/>
        <v>1700 - TBN</v>
      </c>
      <c r="AC1346" s="2" t="s">
        <v>145</v>
      </c>
      <c r="AD1346" s="11" t="str">
        <f>IF($I1346&lt;&gt;"",VLOOKUP($AC1346,GEADRESSEERDE!$A$2:$E$4,2,),"")</f>
        <v>LUITHAGEN HAVEN 2 D</v>
      </c>
      <c r="AE1346" s="11">
        <f>IF($I1346&lt;&gt;"",VLOOKUP($AC1346,GEADRESSEERDE!$A$2:$E$4,3,),"")</f>
        <v>2030</v>
      </c>
      <c r="AF1346" s="11" t="str">
        <f>IF($I1346&lt;&gt;"",VLOOKUP($AC1346,GEADRESSEERDE!$A$2:$E$4,4,),"")</f>
        <v>ANTWERPEN</v>
      </c>
      <c r="AG1346" s="11" t="str">
        <f>IF($I1346&lt;&gt;"",VLOOKUP($AC1346,GEADRESSEERDE!$A$2:$E$4,5,),"")</f>
        <v>BE</v>
      </c>
      <c r="AH1346" s="11" t="str">
        <f>IF(I1346&lt;&gt;"",VLOOKUP(AP1346,KvB!$A$2:$B$3,2,FALSE),"")</f>
        <v>BE101000</v>
      </c>
      <c r="AI1346" s="11" t="s">
        <v>55</v>
      </c>
      <c r="AJ1346" s="11"/>
      <c r="AK1346" s="11"/>
      <c r="AL1346" s="11"/>
      <c r="AM1346" s="11"/>
      <c r="AN1346" s="11"/>
      <c r="AO1346" s="11"/>
      <c r="AP1346" s="2" t="s">
        <v>70</v>
      </c>
      <c r="AQ1346" s="11" t="str">
        <f>IF(I1346&lt;&gt;"",DATA!D1345,"")</f>
        <v>8208900000</v>
      </c>
    </row>
    <row r="1347" spans="1:43" ht="15.75" x14ac:dyDescent="0.25">
      <c r="A1347" s="11" t="s">
        <v>57</v>
      </c>
      <c r="B1347" s="11" t="s">
        <v>56</v>
      </c>
      <c r="C1347" s="22">
        <f t="shared" si="86"/>
        <v>25001620</v>
      </c>
      <c r="D1347" s="11" t="str">
        <f t="shared" si="87"/>
        <v>SKIIFM_AT</v>
      </c>
      <c r="E1347" s="11" t="str">
        <f>IF(I1347&lt;&gt;"",VLOOKUP(F1347,OPDRACHTGEVER!$A$2:$B$4,2,FALSE),"")</f>
        <v>SKIIFM_AT</v>
      </c>
      <c r="F1347" s="11" t="s">
        <v>58</v>
      </c>
      <c r="I1347" s="11" t="str">
        <f>IF(DATA!B1346&lt;&gt;"",DATA!B1346,"")</f>
        <v>MSCU5497581</v>
      </c>
      <c r="J1347" s="12">
        <v>0</v>
      </c>
      <c r="K1347" s="11" t="s">
        <v>53</v>
      </c>
      <c r="L1347" s="11" t="str">
        <f t="shared" si="88"/>
        <v>741920</v>
      </c>
      <c r="M1347" s="11" t="str">
        <f>IF(I1347&lt;&gt;"",DATA!E1346,"")</f>
        <v>CHAIN WITH HOOK</v>
      </c>
      <c r="N1347" s="12">
        <v>0</v>
      </c>
      <c r="O1347" s="11">
        <f>IF(I1347&lt;&gt;"",DATA!C1346,"")</f>
        <v>67.25</v>
      </c>
      <c r="P1347" s="2">
        <v>294094</v>
      </c>
      <c r="Q1347" s="2" t="s">
        <v>1304</v>
      </c>
      <c r="R1347" s="2" t="s">
        <v>1331</v>
      </c>
      <c r="S1347" s="2">
        <v>348</v>
      </c>
      <c r="T1347" s="2">
        <v>1</v>
      </c>
      <c r="U1347" s="2" t="s">
        <v>141</v>
      </c>
      <c r="Y1347" s="2">
        <v>1700</v>
      </c>
      <c r="Z1347" s="11" t="s">
        <v>54</v>
      </c>
      <c r="AA1347" s="11" t="str">
        <f t="shared" si="89"/>
        <v>1700 - TBN</v>
      </c>
      <c r="AC1347" s="2" t="s">
        <v>145</v>
      </c>
      <c r="AD1347" s="11" t="str">
        <f>IF($I1347&lt;&gt;"",VLOOKUP($AC1347,GEADRESSEERDE!$A$2:$E$4,2,),"")</f>
        <v>LUITHAGEN HAVEN 2 D</v>
      </c>
      <c r="AE1347" s="11">
        <f>IF($I1347&lt;&gt;"",VLOOKUP($AC1347,GEADRESSEERDE!$A$2:$E$4,3,),"")</f>
        <v>2030</v>
      </c>
      <c r="AF1347" s="11" t="str">
        <f>IF($I1347&lt;&gt;"",VLOOKUP($AC1347,GEADRESSEERDE!$A$2:$E$4,4,),"")</f>
        <v>ANTWERPEN</v>
      </c>
      <c r="AG1347" s="11" t="str">
        <f>IF($I1347&lt;&gt;"",VLOOKUP($AC1347,GEADRESSEERDE!$A$2:$E$4,5,),"")</f>
        <v>BE</v>
      </c>
      <c r="AH1347" s="11" t="str">
        <f>IF(I1347&lt;&gt;"",VLOOKUP(AP1347,KvB!$A$2:$B$3,2,FALSE),"")</f>
        <v>BE101000</v>
      </c>
      <c r="AI1347" s="11" t="s">
        <v>55</v>
      </c>
      <c r="AJ1347" s="11"/>
      <c r="AK1347" s="11"/>
      <c r="AL1347" s="11"/>
      <c r="AM1347" s="11"/>
      <c r="AN1347" s="11"/>
      <c r="AO1347" s="11"/>
      <c r="AP1347" s="2" t="s">
        <v>70</v>
      </c>
      <c r="AQ1347" s="11" t="str">
        <f>IF(I1347&lt;&gt;"",DATA!D1346,"")</f>
        <v>7419200090</v>
      </c>
    </row>
    <row r="1348" spans="1:43" ht="15.75" x14ac:dyDescent="0.25">
      <c r="A1348" s="11" t="s">
        <v>57</v>
      </c>
      <c r="B1348" s="11" t="s">
        <v>56</v>
      </c>
      <c r="C1348" s="22">
        <f t="shared" si="86"/>
        <v>25001620</v>
      </c>
      <c r="D1348" s="11" t="str">
        <f t="shared" si="87"/>
        <v>SKIIFM_AT</v>
      </c>
      <c r="E1348" s="11" t="str">
        <f>IF(I1348&lt;&gt;"",VLOOKUP(F1348,OPDRACHTGEVER!$A$2:$B$4,2,FALSE),"")</f>
        <v>SKIIFM_AT</v>
      </c>
      <c r="F1348" s="11" t="s">
        <v>58</v>
      </c>
      <c r="I1348" s="11" t="str">
        <f>IF(DATA!B1347&lt;&gt;"",DATA!B1347,"")</f>
        <v>MSCU5497581</v>
      </c>
      <c r="J1348" s="12">
        <v>0</v>
      </c>
      <c r="K1348" s="11" t="s">
        <v>53</v>
      </c>
      <c r="L1348" s="11" t="str">
        <f t="shared" si="88"/>
        <v>848071</v>
      </c>
      <c r="M1348" s="11" t="str">
        <f>IF(I1348&lt;&gt;"",DATA!E1347,"")</f>
        <v>CONCRETE STAMP</v>
      </c>
      <c r="N1348" s="12">
        <v>0</v>
      </c>
      <c r="O1348" s="11">
        <f>IF(I1348&lt;&gt;"",DATA!C1347,"")</f>
        <v>1.45</v>
      </c>
      <c r="P1348" s="2">
        <v>294094</v>
      </c>
      <c r="Q1348" s="2" t="s">
        <v>1304</v>
      </c>
      <c r="R1348" s="2" t="s">
        <v>1331</v>
      </c>
      <c r="S1348" s="2">
        <v>348</v>
      </c>
      <c r="T1348" s="2">
        <v>1</v>
      </c>
      <c r="U1348" s="2" t="s">
        <v>141</v>
      </c>
      <c r="Y1348" s="2">
        <v>1700</v>
      </c>
      <c r="Z1348" s="11" t="s">
        <v>54</v>
      </c>
      <c r="AA1348" s="11" t="str">
        <f t="shared" si="89"/>
        <v>1700 - TBN</v>
      </c>
      <c r="AC1348" s="2" t="s">
        <v>145</v>
      </c>
      <c r="AD1348" s="11" t="str">
        <f>IF($I1348&lt;&gt;"",VLOOKUP($AC1348,GEADRESSEERDE!$A$2:$E$4,2,),"")</f>
        <v>LUITHAGEN HAVEN 2 D</v>
      </c>
      <c r="AE1348" s="11">
        <f>IF($I1348&lt;&gt;"",VLOOKUP($AC1348,GEADRESSEERDE!$A$2:$E$4,3,),"")</f>
        <v>2030</v>
      </c>
      <c r="AF1348" s="11" t="str">
        <f>IF($I1348&lt;&gt;"",VLOOKUP($AC1348,GEADRESSEERDE!$A$2:$E$4,4,),"")</f>
        <v>ANTWERPEN</v>
      </c>
      <c r="AG1348" s="11" t="str">
        <f>IF($I1348&lt;&gt;"",VLOOKUP($AC1348,GEADRESSEERDE!$A$2:$E$4,5,),"")</f>
        <v>BE</v>
      </c>
      <c r="AH1348" s="11" t="str">
        <f>IF(I1348&lt;&gt;"",VLOOKUP(AP1348,KvB!$A$2:$B$3,2,FALSE),"")</f>
        <v>BE101000</v>
      </c>
      <c r="AI1348" s="11" t="s">
        <v>55</v>
      </c>
      <c r="AJ1348" s="11"/>
      <c r="AK1348" s="11"/>
      <c r="AL1348" s="11"/>
      <c r="AM1348" s="11"/>
      <c r="AN1348" s="11"/>
      <c r="AO1348" s="11"/>
      <c r="AP1348" s="2" t="s">
        <v>70</v>
      </c>
      <c r="AQ1348" s="11" t="str">
        <f>IF(I1348&lt;&gt;"",DATA!D1347,"")</f>
        <v>8480710000</v>
      </c>
    </row>
    <row r="1349" spans="1:43" ht="15.75" x14ac:dyDescent="0.25">
      <c r="A1349" s="11" t="s">
        <v>57</v>
      </c>
      <c r="B1349" s="11" t="s">
        <v>56</v>
      </c>
      <c r="C1349" s="22">
        <f t="shared" ref="C1349:C1412" si="90">C1348</f>
        <v>25001620</v>
      </c>
      <c r="D1349" s="11" t="str">
        <f t="shared" si="87"/>
        <v>SKIIFM_AT</v>
      </c>
      <c r="E1349" s="11" t="str">
        <f>IF(I1349&lt;&gt;"",VLOOKUP(F1349,OPDRACHTGEVER!$A$2:$B$4,2,FALSE),"")</f>
        <v>SKIIFM_AT</v>
      </c>
      <c r="F1349" s="11" t="s">
        <v>58</v>
      </c>
      <c r="I1349" s="11" t="str">
        <f>IF(DATA!B1348&lt;&gt;"",DATA!B1348,"")</f>
        <v>MSCU5497581</v>
      </c>
      <c r="J1349" s="12">
        <v>0</v>
      </c>
      <c r="K1349" s="11" t="s">
        <v>53</v>
      </c>
      <c r="L1349" s="11" t="str">
        <f t="shared" si="88"/>
        <v>741920</v>
      </c>
      <c r="M1349" s="11" t="str">
        <f>IF(I1349&lt;&gt;"",DATA!E1348,"")</f>
        <v>CONNECTOR</v>
      </c>
      <c r="N1349" s="12">
        <v>0</v>
      </c>
      <c r="O1349" s="11">
        <f>IF(I1349&lt;&gt;"",DATA!C1348,"")</f>
        <v>8.1999999999999993</v>
      </c>
      <c r="P1349" s="2">
        <v>294094</v>
      </c>
      <c r="Q1349" s="2" t="s">
        <v>1304</v>
      </c>
      <c r="R1349" s="2" t="s">
        <v>1331</v>
      </c>
      <c r="S1349" s="2">
        <v>348</v>
      </c>
      <c r="T1349" s="2">
        <v>1</v>
      </c>
      <c r="U1349" s="2" t="s">
        <v>141</v>
      </c>
      <c r="Y1349" s="2">
        <v>1700</v>
      </c>
      <c r="Z1349" s="11" t="s">
        <v>54</v>
      </c>
      <c r="AA1349" s="11" t="str">
        <f t="shared" si="89"/>
        <v>1700 - TBN</v>
      </c>
      <c r="AC1349" s="2" t="s">
        <v>145</v>
      </c>
      <c r="AD1349" s="11" t="str">
        <f>IF($I1349&lt;&gt;"",VLOOKUP($AC1349,GEADRESSEERDE!$A$2:$E$4,2,),"")</f>
        <v>LUITHAGEN HAVEN 2 D</v>
      </c>
      <c r="AE1349" s="11">
        <f>IF($I1349&lt;&gt;"",VLOOKUP($AC1349,GEADRESSEERDE!$A$2:$E$4,3,),"")</f>
        <v>2030</v>
      </c>
      <c r="AF1349" s="11" t="str">
        <f>IF($I1349&lt;&gt;"",VLOOKUP($AC1349,GEADRESSEERDE!$A$2:$E$4,4,),"")</f>
        <v>ANTWERPEN</v>
      </c>
      <c r="AG1349" s="11" t="str">
        <f>IF($I1349&lt;&gt;"",VLOOKUP($AC1349,GEADRESSEERDE!$A$2:$E$4,5,),"")</f>
        <v>BE</v>
      </c>
      <c r="AH1349" s="11" t="str">
        <f>IF(I1349&lt;&gt;"",VLOOKUP(AP1349,KvB!$A$2:$B$3,2,FALSE),"")</f>
        <v>BE101000</v>
      </c>
      <c r="AI1349" s="11" t="s">
        <v>55</v>
      </c>
      <c r="AJ1349" s="11"/>
      <c r="AK1349" s="11"/>
      <c r="AL1349" s="11"/>
      <c r="AM1349" s="11"/>
      <c r="AN1349" s="11"/>
      <c r="AO1349" s="11"/>
      <c r="AP1349" s="2" t="s">
        <v>70</v>
      </c>
      <c r="AQ1349" s="11" t="str">
        <f>IF(I1349&lt;&gt;"",DATA!D1348,"")</f>
        <v>7419200090</v>
      </c>
    </row>
    <row r="1350" spans="1:43" ht="15.75" x14ac:dyDescent="0.25">
      <c r="A1350" s="11" t="s">
        <v>57</v>
      </c>
      <c r="B1350" s="11" t="s">
        <v>56</v>
      </c>
      <c r="C1350" s="22">
        <f t="shared" si="90"/>
        <v>25001620</v>
      </c>
      <c r="D1350" s="11" t="str">
        <f t="shared" si="87"/>
        <v>SKIIFM_AT</v>
      </c>
      <c r="E1350" s="11" t="str">
        <f>IF(I1350&lt;&gt;"",VLOOKUP(F1350,OPDRACHTGEVER!$A$2:$B$4,2,FALSE),"")</f>
        <v>SKIIFM_AT</v>
      </c>
      <c r="F1350" s="11" t="s">
        <v>58</v>
      </c>
      <c r="I1350" s="11" t="str">
        <f>IF(DATA!B1349&lt;&gt;"",DATA!B1349,"")</f>
        <v>MSCU5497581</v>
      </c>
      <c r="J1350" s="12">
        <v>0</v>
      </c>
      <c r="K1350" s="11" t="s">
        <v>53</v>
      </c>
      <c r="L1350" s="11" t="str">
        <f t="shared" si="88"/>
        <v>830150</v>
      </c>
      <c r="M1350" s="11" t="str">
        <f>IF(I1350&lt;&gt;"",DATA!E1349,"")</f>
        <v>CONTAINER DOOR LOCK</v>
      </c>
      <c r="N1350" s="12">
        <v>0</v>
      </c>
      <c r="O1350" s="11">
        <f>IF(I1350&lt;&gt;"",DATA!C1349,"")</f>
        <v>4.8</v>
      </c>
      <c r="P1350" s="2">
        <v>294094</v>
      </c>
      <c r="Q1350" s="2" t="s">
        <v>1304</v>
      </c>
      <c r="R1350" s="2" t="s">
        <v>1331</v>
      </c>
      <c r="S1350" s="2">
        <v>348</v>
      </c>
      <c r="T1350" s="2">
        <v>1</v>
      </c>
      <c r="U1350" s="2" t="s">
        <v>141</v>
      </c>
      <c r="Y1350" s="2">
        <v>1700</v>
      </c>
      <c r="Z1350" s="11" t="s">
        <v>54</v>
      </c>
      <c r="AA1350" s="11" t="str">
        <f t="shared" si="89"/>
        <v>1700 - TBN</v>
      </c>
      <c r="AC1350" s="2" t="s">
        <v>145</v>
      </c>
      <c r="AD1350" s="11" t="str">
        <f>IF($I1350&lt;&gt;"",VLOOKUP($AC1350,GEADRESSEERDE!$A$2:$E$4,2,),"")</f>
        <v>LUITHAGEN HAVEN 2 D</v>
      </c>
      <c r="AE1350" s="11">
        <f>IF($I1350&lt;&gt;"",VLOOKUP($AC1350,GEADRESSEERDE!$A$2:$E$4,3,),"")</f>
        <v>2030</v>
      </c>
      <c r="AF1350" s="11" t="str">
        <f>IF($I1350&lt;&gt;"",VLOOKUP($AC1350,GEADRESSEERDE!$A$2:$E$4,4,),"")</f>
        <v>ANTWERPEN</v>
      </c>
      <c r="AG1350" s="11" t="str">
        <f>IF($I1350&lt;&gt;"",VLOOKUP($AC1350,GEADRESSEERDE!$A$2:$E$4,5,),"")</f>
        <v>BE</v>
      </c>
      <c r="AH1350" s="11" t="str">
        <f>IF(I1350&lt;&gt;"",VLOOKUP(AP1350,KvB!$A$2:$B$3,2,FALSE),"")</f>
        <v>BE101000</v>
      </c>
      <c r="AI1350" s="11" t="s">
        <v>55</v>
      </c>
      <c r="AJ1350" s="11"/>
      <c r="AK1350" s="11"/>
      <c r="AL1350" s="11"/>
      <c r="AM1350" s="11"/>
      <c r="AN1350" s="11"/>
      <c r="AO1350" s="11"/>
      <c r="AP1350" s="2" t="s">
        <v>70</v>
      </c>
      <c r="AQ1350" s="11" t="str">
        <f>IF(I1350&lt;&gt;"",DATA!D1349,"")</f>
        <v>8301500000</v>
      </c>
    </row>
    <row r="1351" spans="1:43" ht="15.75" x14ac:dyDescent="0.25">
      <c r="A1351" s="11" t="s">
        <v>57</v>
      </c>
      <c r="B1351" s="11" t="s">
        <v>56</v>
      </c>
      <c r="C1351" s="22">
        <f t="shared" si="90"/>
        <v>25001620</v>
      </c>
      <c r="D1351" s="11" t="str">
        <f t="shared" si="87"/>
        <v>SKIIFM_AT</v>
      </c>
      <c r="E1351" s="11" t="str">
        <f>IF(I1351&lt;&gt;"",VLOOKUP(F1351,OPDRACHTGEVER!$A$2:$B$4,2,FALSE),"")</f>
        <v>SKIIFM_AT</v>
      </c>
      <c r="F1351" s="11" t="s">
        <v>58</v>
      </c>
      <c r="I1351" s="11" t="str">
        <f>IF(DATA!B1350&lt;&gt;"",DATA!B1350,"")</f>
        <v>MSCU5497581</v>
      </c>
      <c r="J1351" s="12">
        <v>0</v>
      </c>
      <c r="K1351" s="11" t="s">
        <v>53</v>
      </c>
      <c r="L1351" s="11" t="str">
        <f t="shared" si="88"/>
        <v>848180</v>
      </c>
      <c r="M1351" s="11" t="str">
        <f>IF(I1351&lt;&gt;"",DATA!E1350,"")</f>
        <v>CONTROL VALVE</v>
      </c>
      <c r="N1351" s="12">
        <v>0</v>
      </c>
      <c r="O1351" s="11">
        <f>IF(I1351&lt;&gt;"",DATA!C1350,"")</f>
        <v>11</v>
      </c>
      <c r="P1351" s="2">
        <v>294094</v>
      </c>
      <c r="Q1351" s="2" t="s">
        <v>1304</v>
      </c>
      <c r="R1351" s="2" t="s">
        <v>1331</v>
      </c>
      <c r="S1351" s="2">
        <v>348</v>
      </c>
      <c r="T1351" s="2">
        <v>1</v>
      </c>
      <c r="U1351" s="2" t="s">
        <v>141</v>
      </c>
      <c r="Y1351" s="2">
        <v>1700</v>
      </c>
      <c r="Z1351" s="11" t="s">
        <v>54</v>
      </c>
      <c r="AA1351" s="11" t="str">
        <f t="shared" si="89"/>
        <v>1700 - TBN</v>
      </c>
      <c r="AC1351" s="2" t="s">
        <v>145</v>
      </c>
      <c r="AD1351" s="11" t="str">
        <f>IF($I1351&lt;&gt;"",VLOOKUP($AC1351,GEADRESSEERDE!$A$2:$E$4,2,),"")</f>
        <v>LUITHAGEN HAVEN 2 D</v>
      </c>
      <c r="AE1351" s="11">
        <f>IF($I1351&lt;&gt;"",VLOOKUP($AC1351,GEADRESSEERDE!$A$2:$E$4,3,),"")</f>
        <v>2030</v>
      </c>
      <c r="AF1351" s="11" t="str">
        <f>IF($I1351&lt;&gt;"",VLOOKUP($AC1351,GEADRESSEERDE!$A$2:$E$4,4,),"")</f>
        <v>ANTWERPEN</v>
      </c>
      <c r="AG1351" s="11" t="str">
        <f>IF($I1351&lt;&gt;"",VLOOKUP($AC1351,GEADRESSEERDE!$A$2:$E$4,5,),"")</f>
        <v>BE</v>
      </c>
      <c r="AH1351" s="11" t="str">
        <f>IF(I1351&lt;&gt;"",VLOOKUP(AP1351,KvB!$A$2:$B$3,2,FALSE),"")</f>
        <v>BE101000</v>
      </c>
      <c r="AI1351" s="11" t="s">
        <v>55</v>
      </c>
      <c r="AJ1351" s="11"/>
      <c r="AK1351" s="11"/>
      <c r="AL1351" s="11"/>
      <c r="AM1351" s="11"/>
      <c r="AN1351" s="11"/>
      <c r="AO1351" s="11"/>
      <c r="AP1351" s="2" t="s">
        <v>70</v>
      </c>
      <c r="AQ1351" s="11" t="str">
        <f>IF(I1351&lt;&gt;"",DATA!D1350,"")</f>
        <v>8481803900</v>
      </c>
    </row>
    <row r="1352" spans="1:43" ht="15.75" x14ac:dyDescent="0.25">
      <c r="A1352" s="11" t="s">
        <v>57</v>
      </c>
      <c r="B1352" s="11" t="s">
        <v>56</v>
      </c>
      <c r="C1352" s="22">
        <f t="shared" si="90"/>
        <v>25001620</v>
      </c>
      <c r="D1352" s="11" t="str">
        <f t="shared" si="87"/>
        <v>SKIIFM_AT</v>
      </c>
      <c r="E1352" s="11" t="str">
        <f>IF(I1352&lt;&gt;"",VLOOKUP(F1352,OPDRACHTGEVER!$A$2:$B$4,2,FALSE),"")</f>
        <v>SKIIFM_AT</v>
      </c>
      <c r="F1352" s="11" t="s">
        <v>58</v>
      </c>
      <c r="I1352" s="11" t="str">
        <f>IF(DATA!B1351&lt;&gt;"",DATA!B1351,"")</f>
        <v>MSCU5497581</v>
      </c>
      <c r="J1352" s="12">
        <v>0</v>
      </c>
      <c r="K1352" s="11" t="s">
        <v>53</v>
      </c>
      <c r="L1352" s="11" t="str">
        <f t="shared" si="88"/>
        <v>842310</v>
      </c>
      <c r="M1352" s="11" t="str">
        <f>IF(I1352&lt;&gt;"",DATA!E1351,"")</f>
        <v>DIGITAL MEDICAL SCALE</v>
      </c>
      <c r="N1352" s="12">
        <v>0</v>
      </c>
      <c r="O1352" s="11">
        <f>IF(I1352&lt;&gt;"",DATA!C1351,"")</f>
        <v>2.5</v>
      </c>
      <c r="P1352" s="2">
        <v>294094</v>
      </c>
      <c r="Q1352" s="2" t="s">
        <v>1304</v>
      </c>
      <c r="R1352" s="2" t="s">
        <v>1331</v>
      </c>
      <c r="S1352" s="2">
        <v>348</v>
      </c>
      <c r="T1352" s="2">
        <v>1</v>
      </c>
      <c r="U1352" s="2" t="s">
        <v>141</v>
      </c>
      <c r="Y1352" s="2">
        <v>1700</v>
      </c>
      <c r="Z1352" s="11" t="s">
        <v>54</v>
      </c>
      <c r="AA1352" s="11" t="str">
        <f t="shared" si="89"/>
        <v>1700 - TBN</v>
      </c>
      <c r="AC1352" s="2" t="s">
        <v>145</v>
      </c>
      <c r="AD1352" s="11" t="str">
        <f>IF($I1352&lt;&gt;"",VLOOKUP($AC1352,GEADRESSEERDE!$A$2:$E$4,2,),"")</f>
        <v>LUITHAGEN HAVEN 2 D</v>
      </c>
      <c r="AE1352" s="11">
        <f>IF($I1352&lt;&gt;"",VLOOKUP($AC1352,GEADRESSEERDE!$A$2:$E$4,3,),"")</f>
        <v>2030</v>
      </c>
      <c r="AF1352" s="11" t="str">
        <f>IF($I1352&lt;&gt;"",VLOOKUP($AC1352,GEADRESSEERDE!$A$2:$E$4,4,),"")</f>
        <v>ANTWERPEN</v>
      </c>
      <c r="AG1352" s="11" t="str">
        <f>IF($I1352&lt;&gt;"",VLOOKUP($AC1352,GEADRESSEERDE!$A$2:$E$4,5,),"")</f>
        <v>BE</v>
      </c>
      <c r="AH1352" s="11" t="str">
        <f>IF(I1352&lt;&gt;"",VLOOKUP(AP1352,KvB!$A$2:$B$3,2,FALSE),"")</f>
        <v>BE101000</v>
      </c>
      <c r="AI1352" s="11" t="s">
        <v>55</v>
      </c>
      <c r="AJ1352" s="11"/>
      <c r="AK1352" s="11"/>
      <c r="AL1352" s="11"/>
      <c r="AM1352" s="11"/>
      <c r="AN1352" s="11"/>
      <c r="AO1352" s="11"/>
      <c r="AP1352" s="2" t="s">
        <v>70</v>
      </c>
      <c r="AQ1352" s="11" t="str">
        <f>IF(I1352&lt;&gt;"",DATA!D1351,"")</f>
        <v>8423109000</v>
      </c>
    </row>
    <row r="1353" spans="1:43" ht="15.75" x14ac:dyDescent="0.25">
      <c r="A1353" s="11" t="s">
        <v>57</v>
      </c>
      <c r="B1353" s="11" t="s">
        <v>56</v>
      </c>
      <c r="C1353" s="22">
        <f t="shared" si="90"/>
        <v>25001620</v>
      </c>
      <c r="D1353" s="11" t="str">
        <f t="shared" si="87"/>
        <v>SKIIFM_AT</v>
      </c>
      <c r="E1353" s="11" t="str">
        <f>IF(I1353&lt;&gt;"",VLOOKUP(F1353,OPDRACHTGEVER!$A$2:$B$4,2,FALSE),"")</f>
        <v>SKIIFM_AT</v>
      </c>
      <c r="F1353" s="11" t="s">
        <v>58</v>
      </c>
      <c r="I1353" s="11" t="str">
        <f>IF(DATA!B1352&lt;&gt;"",DATA!B1352,"")</f>
        <v>MSCU5497581</v>
      </c>
      <c r="J1353" s="12">
        <v>0</v>
      </c>
      <c r="K1353" s="11" t="s">
        <v>53</v>
      </c>
      <c r="L1353" s="11" t="str">
        <f t="shared" si="88"/>
        <v>820559</v>
      </c>
      <c r="M1353" s="11" t="str">
        <f>IF(I1353&lt;&gt;"",DATA!E1352,"")</f>
        <v>DISASSEMBLY TOOL</v>
      </c>
      <c r="N1353" s="12">
        <v>0</v>
      </c>
      <c r="O1353" s="11">
        <f>IF(I1353&lt;&gt;"",DATA!C1352,"")</f>
        <v>55.5</v>
      </c>
      <c r="P1353" s="2">
        <v>294094</v>
      </c>
      <c r="Q1353" s="2" t="s">
        <v>1304</v>
      </c>
      <c r="R1353" s="2" t="s">
        <v>1331</v>
      </c>
      <c r="S1353" s="2">
        <v>348</v>
      </c>
      <c r="T1353" s="2">
        <v>1</v>
      </c>
      <c r="U1353" s="2" t="s">
        <v>141</v>
      </c>
      <c r="Y1353" s="2">
        <v>1700</v>
      </c>
      <c r="Z1353" s="11" t="s">
        <v>54</v>
      </c>
      <c r="AA1353" s="11" t="str">
        <f t="shared" si="89"/>
        <v>1700 - TBN</v>
      </c>
      <c r="AC1353" s="2" t="s">
        <v>145</v>
      </c>
      <c r="AD1353" s="11" t="str">
        <f>IF($I1353&lt;&gt;"",VLOOKUP($AC1353,GEADRESSEERDE!$A$2:$E$4,2,),"")</f>
        <v>LUITHAGEN HAVEN 2 D</v>
      </c>
      <c r="AE1353" s="11">
        <f>IF($I1353&lt;&gt;"",VLOOKUP($AC1353,GEADRESSEERDE!$A$2:$E$4,3,),"")</f>
        <v>2030</v>
      </c>
      <c r="AF1353" s="11" t="str">
        <f>IF($I1353&lt;&gt;"",VLOOKUP($AC1353,GEADRESSEERDE!$A$2:$E$4,4,),"")</f>
        <v>ANTWERPEN</v>
      </c>
      <c r="AG1353" s="11" t="str">
        <f>IF($I1353&lt;&gt;"",VLOOKUP($AC1353,GEADRESSEERDE!$A$2:$E$4,5,),"")</f>
        <v>BE</v>
      </c>
      <c r="AH1353" s="11" t="str">
        <f>IF(I1353&lt;&gt;"",VLOOKUP(AP1353,KvB!$A$2:$B$3,2,FALSE),"")</f>
        <v>BE101000</v>
      </c>
      <c r="AI1353" s="11" t="s">
        <v>55</v>
      </c>
      <c r="AJ1353" s="11"/>
      <c r="AK1353" s="11"/>
      <c r="AL1353" s="11"/>
      <c r="AM1353" s="11"/>
      <c r="AN1353" s="11"/>
      <c r="AO1353" s="11"/>
      <c r="AP1353" s="2" t="s">
        <v>70</v>
      </c>
      <c r="AQ1353" s="11" t="str">
        <f>IF(I1353&lt;&gt;"",DATA!D1352,"")</f>
        <v>8205598000</v>
      </c>
    </row>
    <row r="1354" spans="1:43" ht="15.75" x14ac:dyDescent="0.25">
      <c r="A1354" s="11" t="s">
        <v>57</v>
      </c>
      <c r="B1354" s="11" t="s">
        <v>56</v>
      </c>
      <c r="C1354" s="22">
        <f t="shared" si="90"/>
        <v>25001620</v>
      </c>
      <c r="D1354" s="11" t="str">
        <f t="shared" si="87"/>
        <v>SKIIFM_AT</v>
      </c>
      <c r="E1354" s="11" t="str">
        <f>IF(I1354&lt;&gt;"",VLOOKUP(F1354,OPDRACHTGEVER!$A$2:$B$4,2,FALSE),"")</f>
        <v>SKIIFM_AT</v>
      </c>
      <c r="F1354" s="11" t="s">
        <v>58</v>
      </c>
      <c r="I1354" s="11" t="str">
        <f>IF(DATA!B1353&lt;&gt;"",DATA!B1353,"")</f>
        <v>MSCU5497581</v>
      </c>
      <c r="J1354" s="12">
        <v>0</v>
      </c>
      <c r="K1354" s="11" t="s">
        <v>53</v>
      </c>
      <c r="L1354" s="11" t="str">
        <f t="shared" si="88"/>
        <v>830260</v>
      </c>
      <c r="M1354" s="11" t="str">
        <f>IF(I1354&lt;&gt;"",DATA!E1353,"")</f>
        <v>DOOR CLOSERS</v>
      </c>
      <c r="N1354" s="12">
        <v>0</v>
      </c>
      <c r="O1354" s="11">
        <f>IF(I1354&lt;&gt;"",DATA!C1353,"")</f>
        <v>3.3</v>
      </c>
      <c r="P1354" s="2">
        <v>294094</v>
      </c>
      <c r="Q1354" s="2" t="s">
        <v>1304</v>
      </c>
      <c r="R1354" s="2" t="s">
        <v>1331</v>
      </c>
      <c r="S1354" s="2">
        <v>348</v>
      </c>
      <c r="T1354" s="2">
        <v>1</v>
      </c>
      <c r="U1354" s="2" t="s">
        <v>141</v>
      </c>
      <c r="Y1354" s="2">
        <v>1700</v>
      </c>
      <c r="Z1354" s="11" t="s">
        <v>54</v>
      </c>
      <c r="AA1354" s="11" t="str">
        <f t="shared" si="89"/>
        <v>1700 - TBN</v>
      </c>
      <c r="AC1354" s="2" t="s">
        <v>145</v>
      </c>
      <c r="AD1354" s="11" t="str">
        <f>IF($I1354&lt;&gt;"",VLOOKUP($AC1354,GEADRESSEERDE!$A$2:$E$4,2,),"")</f>
        <v>LUITHAGEN HAVEN 2 D</v>
      </c>
      <c r="AE1354" s="11">
        <f>IF($I1354&lt;&gt;"",VLOOKUP($AC1354,GEADRESSEERDE!$A$2:$E$4,3,),"")</f>
        <v>2030</v>
      </c>
      <c r="AF1354" s="11" t="str">
        <f>IF($I1354&lt;&gt;"",VLOOKUP($AC1354,GEADRESSEERDE!$A$2:$E$4,4,),"")</f>
        <v>ANTWERPEN</v>
      </c>
      <c r="AG1354" s="11" t="str">
        <f>IF($I1354&lt;&gt;"",VLOOKUP($AC1354,GEADRESSEERDE!$A$2:$E$4,5,),"")</f>
        <v>BE</v>
      </c>
      <c r="AH1354" s="11" t="str">
        <f>IF(I1354&lt;&gt;"",VLOOKUP(AP1354,KvB!$A$2:$B$3,2,FALSE),"")</f>
        <v>BE101000</v>
      </c>
      <c r="AI1354" s="11" t="s">
        <v>55</v>
      </c>
      <c r="AJ1354" s="11"/>
      <c r="AK1354" s="11"/>
      <c r="AL1354" s="11"/>
      <c r="AM1354" s="11"/>
      <c r="AN1354" s="11"/>
      <c r="AO1354" s="11"/>
      <c r="AP1354" s="2" t="s">
        <v>70</v>
      </c>
      <c r="AQ1354" s="11" t="str">
        <f>IF(I1354&lt;&gt;"",DATA!D1353,"")</f>
        <v>8302600090</v>
      </c>
    </row>
    <row r="1355" spans="1:43" ht="15.75" x14ac:dyDescent="0.25">
      <c r="A1355" s="11" t="s">
        <v>57</v>
      </c>
      <c r="B1355" s="11" t="s">
        <v>56</v>
      </c>
      <c r="C1355" s="22">
        <f t="shared" si="90"/>
        <v>25001620</v>
      </c>
      <c r="D1355" s="11" t="str">
        <f t="shared" si="87"/>
        <v>SKIIFM_AT</v>
      </c>
      <c r="E1355" s="11" t="str">
        <f>IF(I1355&lt;&gt;"",VLOOKUP(F1355,OPDRACHTGEVER!$A$2:$B$4,2,FALSE),"")</f>
        <v>SKIIFM_AT</v>
      </c>
      <c r="F1355" s="11" t="s">
        <v>58</v>
      </c>
      <c r="I1355" s="11" t="str">
        <f>IF(DATA!B1354&lt;&gt;"",DATA!B1354,"")</f>
        <v>MSCU5497581</v>
      </c>
      <c r="J1355" s="12">
        <v>0</v>
      </c>
      <c r="K1355" s="11" t="s">
        <v>53</v>
      </c>
      <c r="L1355" s="11" t="str">
        <f t="shared" si="88"/>
        <v>843149</v>
      </c>
      <c r="M1355" s="11" t="str">
        <f>IF(I1355&lt;&gt;"",DATA!E1354,"")</f>
        <v>DRILL BITS</v>
      </c>
      <c r="N1355" s="12">
        <v>0</v>
      </c>
      <c r="O1355" s="11">
        <f>IF(I1355&lt;&gt;"",DATA!C1354,"")</f>
        <v>2.7</v>
      </c>
      <c r="P1355" s="2">
        <v>294094</v>
      </c>
      <c r="Q1355" s="2" t="s">
        <v>1304</v>
      </c>
      <c r="R1355" s="2" t="s">
        <v>1331</v>
      </c>
      <c r="S1355" s="2">
        <v>348</v>
      </c>
      <c r="T1355" s="2">
        <v>1</v>
      </c>
      <c r="U1355" s="2" t="s">
        <v>141</v>
      </c>
      <c r="Y1355" s="2">
        <v>1700</v>
      </c>
      <c r="Z1355" s="11" t="s">
        <v>54</v>
      </c>
      <c r="AA1355" s="11" t="str">
        <f t="shared" si="89"/>
        <v>1700 - TBN</v>
      </c>
      <c r="AC1355" s="2" t="s">
        <v>145</v>
      </c>
      <c r="AD1355" s="11" t="str">
        <f>IF($I1355&lt;&gt;"",VLOOKUP($AC1355,GEADRESSEERDE!$A$2:$E$4,2,),"")</f>
        <v>LUITHAGEN HAVEN 2 D</v>
      </c>
      <c r="AE1355" s="11">
        <f>IF($I1355&lt;&gt;"",VLOOKUP($AC1355,GEADRESSEERDE!$A$2:$E$4,3,),"")</f>
        <v>2030</v>
      </c>
      <c r="AF1355" s="11" t="str">
        <f>IF($I1355&lt;&gt;"",VLOOKUP($AC1355,GEADRESSEERDE!$A$2:$E$4,4,),"")</f>
        <v>ANTWERPEN</v>
      </c>
      <c r="AG1355" s="11" t="str">
        <f>IF($I1355&lt;&gt;"",VLOOKUP($AC1355,GEADRESSEERDE!$A$2:$E$4,5,),"")</f>
        <v>BE</v>
      </c>
      <c r="AH1355" s="11" t="str">
        <f>IF(I1355&lt;&gt;"",VLOOKUP(AP1355,KvB!$A$2:$B$3,2,FALSE),"")</f>
        <v>BE101000</v>
      </c>
      <c r="AI1355" s="11" t="s">
        <v>55</v>
      </c>
      <c r="AJ1355" s="11"/>
      <c r="AK1355" s="11"/>
      <c r="AL1355" s="11"/>
      <c r="AM1355" s="11"/>
      <c r="AN1355" s="11"/>
      <c r="AO1355" s="11"/>
      <c r="AP1355" s="2" t="s">
        <v>70</v>
      </c>
      <c r="AQ1355" s="11" t="str">
        <f>IF(I1355&lt;&gt;"",DATA!D1354,"")</f>
        <v>8431498090</v>
      </c>
    </row>
    <row r="1356" spans="1:43" ht="15.75" x14ac:dyDescent="0.25">
      <c r="A1356" s="11" t="s">
        <v>57</v>
      </c>
      <c r="B1356" s="11" t="s">
        <v>56</v>
      </c>
      <c r="C1356" s="22">
        <f t="shared" si="90"/>
        <v>25001620</v>
      </c>
      <c r="D1356" s="11" t="str">
        <f t="shared" si="87"/>
        <v>SKIIFM_AT</v>
      </c>
      <c r="E1356" s="11" t="str">
        <f>IF(I1356&lt;&gt;"",VLOOKUP(F1356,OPDRACHTGEVER!$A$2:$B$4,2,FALSE),"")</f>
        <v>SKIIFM_AT</v>
      </c>
      <c r="F1356" s="11" t="s">
        <v>58</v>
      </c>
      <c r="I1356" s="11" t="str">
        <f>IF(DATA!B1355&lt;&gt;"",DATA!B1355,"")</f>
        <v>MSCU5497581</v>
      </c>
      <c r="J1356" s="12">
        <v>0</v>
      </c>
      <c r="K1356" s="11" t="s">
        <v>53</v>
      </c>
      <c r="L1356" s="11" t="str">
        <f t="shared" si="88"/>
        <v>843850</v>
      </c>
      <c r="M1356" s="11" t="str">
        <f>IF(I1356&lt;&gt;"",DATA!E1355,"")</f>
        <v>ELECTRIC MEAT SLICER</v>
      </c>
      <c r="N1356" s="12">
        <v>0</v>
      </c>
      <c r="O1356" s="11">
        <f>IF(I1356&lt;&gt;"",DATA!C1355,"")</f>
        <v>2241.5500000000002</v>
      </c>
      <c r="P1356" s="2">
        <v>294094</v>
      </c>
      <c r="Q1356" s="2" t="s">
        <v>1304</v>
      </c>
      <c r="R1356" s="2" t="s">
        <v>1331</v>
      </c>
      <c r="S1356" s="2">
        <v>348</v>
      </c>
      <c r="T1356" s="2">
        <v>1</v>
      </c>
      <c r="U1356" s="2" t="s">
        <v>141</v>
      </c>
      <c r="Y1356" s="2">
        <v>1700</v>
      </c>
      <c r="Z1356" s="11" t="s">
        <v>54</v>
      </c>
      <c r="AA1356" s="11" t="str">
        <f t="shared" si="89"/>
        <v>1700 - TBN</v>
      </c>
      <c r="AC1356" s="2" t="s">
        <v>145</v>
      </c>
      <c r="AD1356" s="11" t="str">
        <f>IF($I1356&lt;&gt;"",VLOOKUP($AC1356,GEADRESSEERDE!$A$2:$E$4,2,),"")</f>
        <v>LUITHAGEN HAVEN 2 D</v>
      </c>
      <c r="AE1356" s="11">
        <f>IF($I1356&lt;&gt;"",VLOOKUP($AC1356,GEADRESSEERDE!$A$2:$E$4,3,),"")</f>
        <v>2030</v>
      </c>
      <c r="AF1356" s="11" t="str">
        <f>IF($I1356&lt;&gt;"",VLOOKUP($AC1356,GEADRESSEERDE!$A$2:$E$4,4,),"")</f>
        <v>ANTWERPEN</v>
      </c>
      <c r="AG1356" s="11" t="str">
        <f>IF($I1356&lt;&gt;"",VLOOKUP($AC1356,GEADRESSEERDE!$A$2:$E$4,5,),"")</f>
        <v>BE</v>
      </c>
      <c r="AH1356" s="11" t="str">
        <f>IF(I1356&lt;&gt;"",VLOOKUP(AP1356,KvB!$A$2:$B$3,2,FALSE),"")</f>
        <v>BE101000</v>
      </c>
      <c r="AI1356" s="11" t="s">
        <v>55</v>
      </c>
      <c r="AJ1356" s="11"/>
      <c r="AK1356" s="11"/>
      <c r="AL1356" s="11"/>
      <c r="AM1356" s="11"/>
      <c r="AN1356" s="11"/>
      <c r="AO1356" s="11"/>
      <c r="AP1356" s="2" t="s">
        <v>70</v>
      </c>
      <c r="AQ1356" s="11" t="str">
        <f>IF(I1356&lt;&gt;"",DATA!D1355,"")</f>
        <v>8438500000</v>
      </c>
    </row>
    <row r="1357" spans="1:43" ht="15.75" x14ac:dyDescent="0.25">
      <c r="A1357" s="11" t="s">
        <v>57</v>
      </c>
      <c r="B1357" s="11" t="s">
        <v>56</v>
      </c>
      <c r="C1357" s="22">
        <f t="shared" si="90"/>
        <v>25001620</v>
      </c>
      <c r="D1357" s="11" t="str">
        <f t="shared" si="87"/>
        <v>SKIIFM_AT</v>
      </c>
      <c r="E1357" s="11" t="str">
        <f>IF(I1357&lt;&gt;"",VLOOKUP(F1357,OPDRACHTGEVER!$A$2:$B$4,2,FALSE),"")</f>
        <v>SKIIFM_AT</v>
      </c>
      <c r="F1357" s="11" t="s">
        <v>58</v>
      </c>
      <c r="I1357" s="11" t="str">
        <f>IF(DATA!B1356&lt;&gt;"",DATA!B1356,"")</f>
        <v>MSCU5497581</v>
      </c>
      <c r="J1357" s="12">
        <v>0</v>
      </c>
      <c r="K1357" s="11" t="s">
        <v>53</v>
      </c>
      <c r="L1357" s="11" t="str">
        <f t="shared" si="88"/>
        <v>853110</v>
      </c>
      <c r="M1357" s="11" t="str">
        <f>IF(I1357&lt;&gt;"",DATA!E1356,"")</f>
        <v>FIRE RESISTANT PAD</v>
      </c>
      <c r="N1357" s="12">
        <v>0</v>
      </c>
      <c r="O1357" s="11">
        <f>IF(I1357&lt;&gt;"",DATA!C1356,"")</f>
        <v>6</v>
      </c>
      <c r="P1357" s="2">
        <v>294094</v>
      </c>
      <c r="Q1357" s="2" t="s">
        <v>1304</v>
      </c>
      <c r="R1357" s="2" t="s">
        <v>1331</v>
      </c>
      <c r="S1357" s="2">
        <v>348</v>
      </c>
      <c r="T1357" s="2">
        <v>1</v>
      </c>
      <c r="U1357" s="2" t="s">
        <v>141</v>
      </c>
      <c r="Y1357" s="2">
        <v>1700</v>
      </c>
      <c r="Z1357" s="11" t="s">
        <v>54</v>
      </c>
      <c r="AA1357" s="11" t="str">
        <f t="shared" si="89"/>
        <v>1700 - TBN</v>
      </c>
      <c r="AC1357" s="2" t="s">
        <v>145</v>
      </c>
      <c r="AD1357" s="11" t="str">
        <f>IF($I1357&lt;&gt;"",VLOOKUP($AC1357,GEADRESSEERDE!$A$2:$E$4,2,),"")</f>
        <v>LUITHAGEN HAVEN 2 D</v>
      </c>
      <c r="AE1357" s="11">
        <f>IF($I1357&lt;&gt;"",VLOOKUP($AC1357,GEADRESSEERDE!$A$2:$E$4,3,),"")</f>
        <v>2030</v>
      </c>
      <c r="AF1357" s="11" t="str">
        <f>IF($I1357&lt;&gt;"",VLOOKUP($AC1357,GEADRESSEERDE!$A$2:$E$4,4,),"")</f>
        <v>ANTWERPEN</v>
      </c>
      <c r="AG1357" s="11" t="str">
        <f>IF($I1357&lt;&gt;"",VLOOKUP($AC1357,GEADRESSEERDE!$A$2:$E$4,5,),"")</f>
        <v>BE</v>
      </c>
      <c r="AH1357" s="11" t="str">
        <f>IF(I1357&lt;&gt;"",VLOOKUP(AP1357,KvB!$A$2:$B$3,2,FALSE),"")</f>
        <v>BE101000</v>
      </c>
      <c r="AI1357" s="11" t="s">
        <v>55</v>
      </c>
      <c r="AJ1357" s="11"/>
      <c r="AK1357" s="11"/>
      <c r="AL1357" s="11"/>
      <c r="AM1357" s="11"/>
      <c r="AN1357" s="11"/>
      <c r="AO1357" s="11"/>
      <c r="AP1357" s="2" t="s">
        <v>70</v>
      </c>
      <c r="AQ1357" s="11" t="str">
        <f>IF(I1357&lt;&gt;"",DATA!D1356,"")</f>
        <v>8531109590</v>
      </c>
    </row>
    <row r="1358" spans="1:43" ht="15.75" x14ac:dyDescent="0.25">
      <c r="A1358" s="11" t="s">
        <v>57</v>
      </c>
      <c r="B1358" s="11" t="s">
        <v>56</v>
      </c>
      <c r="C1358" s="22">
        <f t="shared" si="90"/>
        <v>25001620</v>
      </c>
      <c r="D1358" s="11" t="str">
        <f t="shared" si="87"/>
        <v>SKIIFM_AT</v>
      </c>
      <c r="E1358" s="11" t="str">
        <f>IF(I1358&lt;&gt;"",VLOOKUP(F1358,OPDRACHTGEVER!$A$2:$B$4,2,FALSE),"")</f>
        <v>SKIIFM_AT</v>
      </c>
      <c r="F1358" s="11" t="s">
        <v>58</v>
      </c>
      <c r="I1358" s="11" t="str">
        <f>IF(DATA!B1357&lt;&gt;"",DATA!B1357,"")</f>
        <v>MSCU5497581</v>
      </c>
      <c r="J1358" s="12">
        <v>0</v>
      </c>
      <c r="K1358" s="11" t="s">
        <v>53</v>
      </c>
      <c r="L1358" s="11" t="str">
        <f t="shared" si="88"/>
        <v>850440</v>
      </c>
      <c r="M1358" s="11" t="str">
        <f>IF(I1358&lt;&gt;"",DATA!E1357,"")</f>
        <v>FREQUENCY CONVERTER</v>
      </c>
      <c r="N1358" s="12">
        <v>0</v>
      </c>
      <c r="O1358" s="11">
        <f>IF(I1358&lt;&gt;"",DATA!C1357,"")</f>
        <v>1.4</v>
      </c>
      <c r="P1358" s="2">
        <v>294094</v>
      </c>
      <c r="Q1358" s="2" t="s">
        <v>1304</v>
      </c>
      <c r="R1358" s="2" t="s">
        <v>1331</v>
      </c>
      <c r="S1358" s="2">
        <v>348</v>
      </c>
      <c r="T1358" s="2">
        <v>1</v>
      </c>
      <c r="U1358" s="2" t="s">
        <v>141</v>
      </c>
      <c r="Y1358" s="2">
        <v>1700</v>
      </c>
      <c r="Z1358" s="11" t="s">
        <v>54</v>
      </c>
      <c r="AA1358" s="11" t="str">
        <f t="shared" si="89"/>
        <v>1700 - TBN</v>
      </c>
      <c r="AC1358" s="2" t="s">
        <v>145</v>
      </c>
      <c r="AD1358" s="11" t="str">
        <f>IF($I1358&lt;&gt;"",VLOOKUP($AC1358,GEADRESSEERDE!$A$2:$E$4,2,),"")</f>
        <v>LUITHAGEN HAVEN 2 D</v>
      </c>
      <c r="AE1358" s="11">
        <f>IF($I1358&lt;&gt;"",VLOOKUP($AC1358,GEADRESSEERDE!$A$2:$E$4,3,),"")</f>
        <v>2030</v>
      </c>
      <c r="AF1358" s="11" t="str">
        <f>IF($I1358&lt;&gt;"",VLOOKUP($AC1358,GEADRESSEERDE!$A$2:$E$4,4,),"")</f>
        <v>ANTWERPEN</v>
      </c>
      <c r="AG1358" s="11" t="str">
        <f>IF($I1358&lt;&gt;"",VLOOKUP($AC1358,GEADRESSEERDE!$A$2:$E$4,5,),"")</f>
        <v>BE</v>
      </c>
      <c r="AH1358" s="11" t="str">
        <f>IF(I1358&lt;&gt;"",VLOOKUP(AP1358,KvB!$A$2:$B$3,2,FALSE),"")</f>
        <v>BE101000</v>
      </c>
      <c r="AI1358" s="11" t="s">
        <v>55</v>
      </c>
      <c r="AJ1358" s="11"/>
      <c r="AK1358" s="11"/>
      <c r="AL1358" s="11"/>
      <c r="AM1358" s="11"/>
      <c r="AN1358" s="11"/>
      <c r="AO1358" s="11"/>
      <c r="AP1358" s="2" t="s">
        <v>70</v>
      </c>
      <c r="AQ1358" s="11" t="str">
        <f>IF(I1358&lt;&gt;"",DATA!D1357,"")</f>
        <v>8504406090</v>
      </c>
    </row>
    <row r="1359" spans="1:43" ht="15.75" x14ac:dyDescent="0.25">
      <c r="A1359" s="11" t="s">
        <v>57</v>
      </c>
      <c r="B1359" s="11" t="s">
        <v>56</v>
      </c>
      <c r="C1359" s="22">
        <f t="shared" si="90"/>
        <v>25001620</v>
      </c>
      <c r="D1359" s="11" t="str">
        <f t="shared" si="87"/>
        <v>SKIIFM_AT</v>
      </c>
      <c r="E1359" s="11" t="str">
        <f>IF(I1359&lt;&gt;"",VLOOKUP(F1359,OPDRACHTGEVER!$A$2:$B$4,2,FALSE),"")</f>
        <v>SKIIFM_AT</v>
      </c>
      <c r="F1359" s="11" t="s">
        <v>58</v>
      </c>
      <c r="I1359" s="11" t="str">
        <f>IF(DATA!B1358&lt;&gt;"",DATA!B1358,"")</f>
        <v>MSCU5497581</v>
      </c>
      <c r="J1359" s="12">
        <v>0</v>
      </c>
      <c r="K1359" s="11" t="s">
        <v>53</v>
      </c>
      <c r="L1359" s="11" t="str">
        <f t="shared" si="88"/>
        <v>392020</v>
      </c>
      <c r="M1359" s="11" t="str">
        <f>IF(I1359&lt;&gt;"",DATA!E1358,"")</f>
        <v>GARAGE FLOOR MATS</v>
      </c>
      <c r="N1359" s="12">
        <v>0</v>
      </c>
      <c r="O1359" s="11">
        <f>IF(I1359&lt;&gt;"",DATA!C1358,"")</f>
        <v>31.4</v>
      </c>
      <c r="P1359" s="2">
        <v>294094</v>
      </c>
      <c r="Q1359" s="2" t="s">
        <v>1304</v>
      </c>
      <c r="R1359" s="2" t="s">
        <v>1331</v>
      </c>
      <c r="S1359" s="2">
        <v>348</v>
      </c>
      <c r="T1359" s="2">
        <v>1</v>
      </c>
      <c r="U1359" s="2" t="s">
        <v>141</v>
      </c>
      <c r="Y1359" s="2">
        <v>1700</v>
      </c>
      <c r="Z1359" s="11" t="s">
        <v>54</v>
      </c>
      <c r="AA1359" s="11" t="str">
        <f t="shared" si="89"/>
        <v>1700 - TBN</v>
      </c>
      <c r="AC1359" s="2" t="s">
        <v>145</v>
      </c>
      <c r="AD1359" s="11" t="str">
        <f>IF($I1359&lt;&gt;"",VLOOKUP($AC1359,GEADRESSEERDE!$A$2:$E$4,2,),"")</f>
        <v>LUITHAGEN HAVEN 2 D</v>
      </c>
      <c r="AE1359" s="11">
        <f>IF($I1359&lt;&gt;"",VLOOKUP($AC1359,GEADRESSEERDE!$A$2:$E$4,3,),"")</f>
        <v>2030</v>
      </c>
      <c r="AF1359" s="11" t="str">
        <f>IF($I1359&lt;&gt;"",VLOOKUP($AC1359,GEADRESSEERDE!$A$2:$E$4,4,),"")</f>
        <v>ANTWERPEN</v>
      </c>
      <c r="AG1359" s="11" t="str">
        <f>IF($I1359&lt;&gt;"",VLOOKUP($AC1359,GEADRESSEERDE!$A$2:$E$4,5,),"")</f>
        <v>BE</v>
      </c>
      <c r="AH1359" s="11" t="str">
        <f>IF(I1359&lt;&gt;"",VLOOKUP(AP1359,KvB!$A$2:$B$3,2,FALSE),"")</f>
        <v>BE101000</v>
      </c>
      <c r="AI1359" s="11" t="s">
        <v>55</v>
      </c>
      <c r="AJ1359" s="11"/>
      <c r="AK1359" s="11"/>
      <c r="AL1359" s="11"/>
      <c r="AM1359" s="11"/>
      <c r="AN1359" s="11"/>
      <c r="AO1359" s="11"/>
      <c r="AP1359" s="2" t="s">
        <v>70</v>
      </c>
      <c r="AQ1359" s="11" t="str">
        <f>IF(I1359&lt;&gt;"",DATA!D1358,"")</f>
        <v>3920208090</v>
      </c>
    </row>
    <row r="1360" spans="1:43" ht="15.75" x14ac:dyDescent="0.25">
      <c r="A1360" s="11" t="s">
        <v>57</v>
      </c>
      <c r="B1360" s="11" t="s">
        <v>56</v>
      </c>
      <c r="C1360" s="22">
        <f t="shared" si="90"/>
        <v>25001620</v>
      </c>
      <c r="D1360" s="11" t="str">
        <f t="shared" si="87"/>
        <v>SKIIFM_AT</v>
      </c>
      <c r="E1360" s="11" t="str">
        <f>IF(I1360&lt;&gt;"",VLOOKUP(F1360,OPDRACHTGEVER!$A$2:$B$4,2,FALSE),"")</f>
        <v>SKIIFM_AT</v>
      </c>
      <c r="F1360" s="11" t="s">
        <v>58</v>
      </c>
      <c r="I1360" s="11" t="str">
        <f>IF(DATA!B1359&lt;&gt;"",DATA!B1359,"")</f>
        <v>MSCU5497581</v>
      </c>
      <c r="J1360" s="12">
        <v>0</v>
      </c>
      <c r="K1360" s="11" t="s">
        <v>53</v>
      </c>
      <c r="L1360" s="11" t="str">
        <f t="shared" si="88"/>
        <v>846620</v>
      </c>
      <c r="M1360" s="11" t="str">
        <f>IF(I1360&lt;&gt;"",DATA!E1359,"")</f>
        <v>GRINDING FIXTURE</v>
      </c>
      <c r="N1360" s="12">
        <v>0</v>
      </c>
      <c r="O1360" s="11">
        <f>IF(I1360&lt;&gt;"",DATA!C1359,"")</f>
        <v>3.7</v>
      </c>
      <c r="P1360" s="2">
        <v>294094</v>
      </c>
      <c r="Q1360" s="2" t="s">
        <v>1304</v>
      </c>
      <c r="R1360" s="2" t="s">
        <v>1331</v>
      </c>
      <c r="S1360" s="2">
        <v>348</v>
      </c>
      <c r="T1360" s="2">
        <v>1</v>
      </c>
      <c r="U1360" s="2" t="s">
        <v>141</v>
      </c>
      <c r="Y1360" s="2">
        <v>1700</v>
      </c>
      <c r="Z1360" s="11" t="s">
        <v>54</v>
      </c>
      <c r="AA1360" s="11" t="str">
        <f t="shared" si="89"/>
        <v>1700 - TBN</v>
      </c>
      <c r="AC1360" s="2" t="s">
        <v>145</v>
      </c>
      <c r="AD1360" s="11" t="str">
        <f>IF($I1360&lt;&gt;"",VLOOKUP($AC1360,GEADRESSEERDE!$A$2:$E$4,2,),"")</f>
        <v>LUITHAGEN HAVEN 2 D</v>
      </c>
      <c r="AE1360" s="11">
        <f>IF($I1360&lt;&gt;"",VLOOKUP($AC1360,GEADRESSEERDE!$A$2:$E$4,3,),"")</f>
        <v>2030</v>
      </c>
      <c r="AF1360" s="11" t="str">
        <f>IF($I1360&lt;&gt;"",VLOOKUP($AC1360,GEADRESSEERDE!$A$2:$E$4,4,),"")</f>
        <v>ANTWERPEN</v>
      </c>
      <c r="AG1360" s="11" t="str">
        <f>IF($I1360&lt;&gt;"",VLOOKUP($AC1360,GEADRESSEERDE!$A$2:$E$4,5,),"")</f>
        <v>BE</v>
      </c>
      <c r="AH1360" s="11" t="str">
        <f>IF(I1360&lt;&gt;"",VLOOKUP(AP1360,KvB!$A$2:$B$3,2,FALSE),"")</f>
        <v>BE101000</v>
      </c>
      <c r="AI1360" s="11" t="s">
        <v>55</v>
      </c>
      <c r="AJ1360" s="11"/>
      <c r="AK1360" s="11"/>
      <c r="AL1360" s="11"/>
      <c r="AM1360" s="11"/>
      <c r="AN1360" s="11"/>
      <c r="AO1360" s="11"/>
      <c r="AP1360" s="2" t="s">
        <v>70</v>
      </c>
      <c r="AQ1360" s="11" t="str">
        <f>IF(I1360&lt;&gt;"",DATA!D1359,"")</f>
        <v>8466202000</v>
      </c>
    </row>
    <row r="1361" spans="1:43" ht="15.75" x14ac:dyDescent="0.25">
      <c r="A1361" s="11" t="s">
        <v>57</v>
      </c>
      <c r="B1361" s="11" t="s">
        <v>56</v>
      </c>
      <c r="C1361" s="22">
        <f t="shared" si="90"/>
        <v>25001620</v>
      </c>
      <c r="D1361" s="11" t="str">
        <f t="shared" si="87"/>
        <v>SKIIFM_AT</v>
      </c>
      <c r="E1361" s="11" t="str">
        <f>IF(I1361&lt;&gt;"",VLOOKUP(F1361,OPDRACHTGEVER!$A$2:$B$4,2,FALSE),"")</f>
        <v>SKIIFM_AT</v>
      </c>
      <c r="F1361" s="11" t="s">
        <v>58</v>
      </c>
      <c r="I1361" s="11" t="str">
        <f>IF(DATA!B1360&lt;&gt;"",DATA!B1360,"")</f>
        <v>MSCU5497581</v>
      </c>
      <c r="J1361" s="12">
        <v>0</v>
      </c>
      <c r="K1361" s="11" t="s">
        <v>53</v>
      </c>
      <c r="L1361" s="11" t="str">
        <f t="shared" si="88"/>
        <v>741920</v>
      </c>
      <c r="M1361" s="11" t="str">
        <f>IF(I1361&lt;&gt;"",DATA!E1360,"")</f>
        <v>HANDRAIL</v>
      </c>
      <c r="N1361" s="12">
        <v>0</v>
      </c>
      <c r="O1361" s="11">
        <f>IF(I1361&lt;&gt;"",DATA!C1360,"")</f>
        <v>576.85</v>
      </c>
      <c r="P1361" s="2">
        <v>294094</v>
      </c>
      <c r="Q1361" s="2" t="s">
        <v>1304</v>
      </c>
      <c r="R1361" s="2" t="s">
        <v>1331</v>
      </c>
      <c r="S1361" s="2">
        <v>348</v>
      </c>
      <c r="T1361" s="2">
        <v>1</v>
      </c>
      <c r="U1361" s="2" t="s">
        <v>141</v>
      </c>
      <c r="Y1361" s="2">
        <v>1700</v>
      </c>
      <c r="Z1361" s="11" t="s">
        <v>54</v>
      </c>
      <c r="AA1361" s="11" t="str">
        <f t="shared" si="89"/>
        <v>1700 - TBN</v>
      </c>
      <c r="AC1361" s="2" t="s">
        <v>145</v>
      </c>
      <c r="AD1361" s="11" t="str">
        <f>IF($I1361&lt;&gt;"",VLOOKUP($AC1361,GEADRESSEERDE!$A$2:$E$4,2,),"")</f>
        <v>LUITHAGEN HAVEN 2 D</v>
      </c>
      <c r="AE1361" s="11">
        <f>IF($I1361&lt;&gt;"",VLOOKUP($AC1361,GEADRESSEERDE!$A$2:$E$4,3,),"")</f>
        <v>2030</v>
      </c>
      <c r="AF1361" s="11" t="str">
        <f>IF($I1361&lt;&gt;"",VLOOKUP($AC1361,GEADRESSEERDE!$A$2:$E$4,4,),"")</f>
        <v>ANTWERPEN</v>
      </c>
      <c r="AG1361" s="11" t="str">
        <f>IF($I1361&lt;&gt;"",VLOOKUP($AC1361,GEADRESSEERDE!$A$2:$E$4,5,),"")</f>
        <v>BE</v>
      </c>
      <c r="AH1361" s="11" t="str">
        <f>IF(I1361&lt;&gt;"",VLOOKUP(AP1361,KvB!$A$2:$B$3,2,FALSE),"")</f>
        <v>BE101000</v>
      </c>
      <c r="AI1361" s="11" t="s">
        <v>55</v>
      </c>
      <c r="AJ1361" s="11"/>
      <c r="AK1361" s="11"/>
      <c r="AL1361" s="11"/>
      <c r="AM1361" s="11"/>
      <c r="AN1361" s="11"/>
      <c r="AO1361" s="11"/>
      <c r="AP1361" s="2" t="s">
        <v>70</v>
      </c>
      <c r="AQ1361" s="11" t="str">
        <f>IF(I1361&lt;&gt;"",DATA!D1360,"")</f>
        <v>7419200090</v>
      </c>
    </row>
    <row r="1362" spans="1:43" ht="15.75" x14ac:dyDescent="0.25">
      <c r="A1362" s="11" t="s">
        <v>57</v>
      </c>
      <c r="B1362" s="11" t="s">
        <v>56</v>
      </c>
      <c r="C1362" s="22">
        <f t="shared" si="90"/>
        <v>25001620</v>
      </c>
      <c r="D1362" s="11" t="str">
        <f t="shared" si="87"/>
        <v>SKIIFM_AT</v>
      </c>
      <c r="E1362" s="11" t="str">
        <f>IF(I1362&lt;&gt;"",VLOOKUP(F1362,OPDRACHTGEVER!$A$2:$B$4,2,FALSE),"")</f>
        <v>SKIIFM_AT</v>
      </c>
      <c r="F1362" s="11" t="s">
        <v>58</v>
      </c>
      <c r="I1362" s="11" t="str">
        <f>IF(DATA!B1361&lt;&gt;"",DATA!B1361,"")</f>
        <v>MSCU5497581</v>
      </c>
      <c r="J1362" s="12">
        <v>0</v>
      </c>
      <c r="K1362" s="11" t="s">
        <v>53</v>
      </c>
      <c r="L1362" s="11" t="str">
        <f t="shared" si="88"/>
        <v>843290</v>
      </c>
      <c r="M1362" s="11" t="str">
        <f>IF(I1362&lt;&gt;"",DATA!E1361,"")</f>
        <v>HAY BALE SPEAR</v>
      </c>
      <c r="N1362" s="12">
        <v>0</v>
      </c>
      <c r="O1362" s="11">
        <f>IF(I1362&lt;&gt;"",DATA!C1361,"")</f>
        <v>9.3000000000000007</v>
      </c>
      <c r="P1362" s="2">
        <v>294094</v>
      </c>
      <c r="Q1362" s="2" t="s">
        <v>1304</v>
      </c>
      <c r="R1362" s="2" t="s">
        <v>1331</v>
      </c>
      <c r="S1362" s="2">
        <v>348</v>
      </c>
      <c r="T1362" s="2">
        <v>1</v>
      </c>
      <c r="U1362" s="2" t="s">
        <v>141</v>
      </c>
      <c r="Y1362" s="2">
        <v>1700</v>
      </c>
      <c r="Z1362" s="11" t="s">
        <v>54</v>
      </c>
      <c r="AA1362" s="11" t="str">
        <f t="shared" si="89"/>
        <v>1700 - TBN</v>
      </c>
      <c r="AC1362" s="2" t="s">
        <v>145</v>
      </c>
      <c r="AD1362" s="11" t="str">
        <f>IF($I1362&lt;&gt;"",VLOOKUP($AC1362,GEADRESSEERDE!$A$2:$E$4,2,),"")</f>
        <v>LUITHAGEN HAVEN 2 D</v>
      </c>
      <c r="AE1362" s="11">
        <f>IF($I1362&lt;&gt;"",VLOOKUP($AC1362,GEADRESSEERDE!$A$2:$E$4,3,),"")</f>
        <v>2030</v>
      </c>
      <c r="AF1362" s="11" t="str">
        <f>IF($I1362&lt;&gt;"",VLOOKUP($AC1362,GEADRESSEERDE!$A$2:$E$4,4,),"")</f>
        <v>ANTWERPEN</v>
      </c>
      <c r="AG1362" s="11" t="str">
        <f>IF($I1362&lt;&gt;"",VLOOKUP($AC1362,GEADRESSEERDE!$A$2:$E$4,5,),"")</f>
        <v>BE</v>
      </c>
      <c r="AH1362" s="11" t="str">
        <f>IF(I1362&lt;&gt;"",VLOOKUP(AP1362,KvB!$A$2:$B$3,2,FALSE),"")</f>
        <v>BE101000</v>
      </c>
      <c r="AI1362" s="11" t="s">
        <v>55</v>
      </c>
      <c r="AJ1362" s="11"/>
      <c r="AK1362" s="11"/>
      <c r="AL1362" s="11"/>
      <c r="AM1362" s="11"/>
      <c r="AN1362" s="11"/>
      <c r="AO1362" s="11"/>
      <c r="AP1362" s="2" t="s">
        <v>70</v>
      </c>
      <c r="AQ1362" s="11" t="str">
        <f>IF(I1362&lt;&gt;"",DATA!D1361,"")</f>
        <v>8432900000</v>
      </c>
    </row>
    <row r="1363" spans="1:43" ht="15.75" x14ac:dyDescent="0.25">
      <c r="A1363" s="11" t="s">
        <v>57</v>
      </c>
      <c r="B1363" s="11" t="s">
        <v>56</v>
      </c>
      <c r="C1363" s="22">
        <f t="shared" si="90"/>
        <v>25001620</v>
      </c>
      <c r="D1363" s="11" t="str">
        <f t="shared" si="87"/>
        <v>SKIIFM_AT</v>
      </c>
      <c r="E1363" s="11" t="str">
        <f>IF(I1363&lt;&gt;"",VLOOKUP(F1363,OPDRACHTGEVER!$A$2:$B$4,2,FALSE),"")</f>
        <v>SKIIFM_AT</v>
      </c>
      <c r="F1363" s="11" t="s">
        <v>58</v>
      </c>
      <c r="I1363" s="11" t="str">
        <f>IF(DATA!B1362&lt;&gt;"",DATA!B1362,"")</f>
        <v>MSCU5497581</v>
      </c>
      <c r="J1363" s="12">
        <v>0</v>
      </c>
      <c r="K1363" s="11" t="s">
        <v>53</v>
      </c>
      <c r="L1363" s="11" t="str">
        <f t="shared" si="88"/>
        <v>846789</v>
      </c>
      <c r="M1363" s="11" t="str">
        <f>IF(I1363&lt;&gt;"",DATA!E1362,"")</f>
        <v>HYDRAULIC OPENING DEVICE</v>
      </c>
      <c r="N1363" s="12">
        <v>0</v>
      </c>
      <c r="O1363" s="11">
        <f>IF(I1363&lt;&gt;"",DATA!C1362,"")</f>
        <v>7.97</v>
      </c>
      <c r="P1363" s="2">
        <v>294094</v>
      </c>
      <c r="Q1363" s="2" t="s">
        <v>1304</v>
      </c>
      <c r="R1363" s="2" t="s">
        <v>1331</v>
      </c>
      <c r="S1363" s="2">
        <v>348</v>
      </c>
      <c r="T1363" s="2">
        <v>1</v>
      </c>
      <c r="U1363" s="2" t="s">
        <v>141</v>
      </c>
      <c r="Y1363" s="2">
        <v>1700</v>
      </c>
      <c r="Z1363" s="11" t="s">
        <v>54</v>
      </c>
      <c r="AA1363" s="11" t="str">
        <f t="shared" si="89"/>
        <v>1700 - TBN</v>
      </c>
      <c r="AC1363" s="2" t="s">
        <v>145</v>
      </c>
      <c r="AD1363" s="11" t="str">
        <f>IF($I1363&lt;&gt;"",VLOOKUP($AC1363,GEADRESSEERDE!$A$2:$E$4,2,),"")</f>
        <v>LUITHAGEN HAVEN 2 D</v>
      </c>
      <c r="AE1363" s="11">
        <f>IF($I1363&lt;&gt;"",VLOOKUP($AC1363,GEADRESSEERDE!$A$2:$E$4,3,),"")</f>
        <v>2030</v>
      </c>
      <c r="AF1363" s="11" t="str">
        <f>IF($I1363&lt;&gt;"",VLOOKUP($AC1363,GEADRESSEERDE!$A$2:$E$4,4,),"")</f>
        <v>ANTWERPEN</v>
      </c>
      <c r="AG1363" s="11" t="str">
        <f>IF($I1363&lt;&gt;"",VLOOKUP($AC1363,GEADRESSEERDE!$A$2:$E$4,5,),"")</f>
        <v>BE</v>
      </c>
      <c r="AH1363" s="11" t="str">
        <f>IF(I1363&lt;&gt;"",VLOOKUP(AP1363,KvB!$A$2:$B$3,2,FALSE),"")</f>
        <v>BE101000</v>
      </c>
      <c r="AI1363" s="11" t="s">
        <v>55</v>
      </c>
      <c r="AJ1363" s="11"/>
      <c r="AK1363" s="11"/>
      <c r="AL1363" s="11"/>
      <c r="AM1363" s="11"/>
      <c r="AN1363" s="11"/>
      <c r="AO1363" s="11"/>
      <c r="AP1363" s="2" t="s">
        <v>70</v>
      </c>
      <c r="AQ1363" s="11" t="str">
        <f>IF(I1363&lt;&gt;"",DATA!D1362,"")</f>
        <v>8467890000</v>
      </c>
    </row>
    <row r="1364" spans="1:43" ht="15.75" x14ac:dyDescent="0.25">
      <c r="A1364" s="11" t="s">
        <v>57</v>
      </c>
      <c r="B1364" s="11" t="s">
        <v>56</v>
      </c>
      <c r="C1364" s="22">
        <f t="shared" si="90"/>
        <v>25001620</v>
      </c>
      <c r="D1364" s="11" t="str">
        <f t="shared" si="87"/>
        <v>SKIIFM_AT</v>
      </c>
      <c r="E1364" s="11" t="str">
        <f>IF(I1364&lt;&gt;"",VLOOKUP(F1364,OPDRACHTGEVER!$A$2:$B$4,2,FALSE),"")</f>
        <v>SKIIFM_AT</v>
      </c>
      <c r="F1364" s="11" t="s">
        <v>58</v>
      </c>
      <c r="I1364" s="11" t="str">
        <f>IF(DATA!B1363&lt;&gt;"",DATA!B1363,"")</f>
        <v>MSCU5497581</v>
      </c>
      <c r="J1364" s="12">
        <v>0</v>
      </c>
      <c r="K1364" s="11" t="s">
        <v>53</v>
      </c>
      <c r="L1364" s="11" t="str">
        <f t="shared" si="88"/>
        <v>841869</v>
      </c>
      <c r="M1364" s="11" t="str">
        <f>IF(I1364&lt;&gt;"",DATA!E1363,"")</f>
        <v>ICE CREAM MACHINERY</v>
      </c>
      <c r="N1364" s="12">
        <v>0</v>
      </c>
      <c r="O1364" s="11">
        <f>IF(I1364&lt;&gt;"",DATA!C1363,"")</f>
        <v>1188</v>
      </c>
      <c r="P1364" s="2">
        <v>294094</v>
      </c>
      <c r="Q1364" s="2" t="s">
        <v>1304</v>
      </c>
      <c r="R1364" s="2" t="s">
        <v>1331</v>
      </c>
      <c r="S1364" s="2">
        <v>348</v>
      </c>
      <c r="T1364" s="2">
        <v>1</v>
      </c>
      <c r="U1364" s="2" t="s">
        <v>141</v>
      </c>
      <c r="Y1364" s="2">
        <v>1700</v>
      </c>
      <c r="Z1364" s="11" t="s">
        <v>54</v>
      </c>
      <c r="AA1364" s="11" t="str">
        <f t="shared" si="89"/>
        <v>1700 - TBN</v>
      </c>
      <c r="AC1364" s="2" t="s">
        <v>145</v>
      </c>
      <c r="AD1364" s="11" t="str">
        <f>IF($I1364&lt;&gt;"",VLOOKUP($AC1364,GEADRESSEERDE!$A$2:$E$4,2,),"")</f>
        <v>LUITHAGEN HAVEN 2 D</v>
      </c>
      <c r="AE1364" s="11">
        <f>IF($I1364&lt;&gt;"",VLOOKUP($AC1364,GEADRESSEERDE!$A$2:$E$4,3,),"")</f>
        <v>2030</v>
      </c>
      <c r="AF1364" s="11" t="str">
        <f>IF($I1364&lt;&gt;"",VLOOKUP($AC1364,GEADRESSEERDE!$A$2:$E$4,4,),"")</f>
        <v>ANTWERPEN</v>
      </c>
      <c r="AG1364" s="11" t="str">
        <f>IF($I1364&lt;&gt;"",VLOOKUP($AC1364,GEADRESSEERDE!$A$2:$E$4,5,),"")</f>
        <v>BE</v>
      </c>
      <c r="AH1364" s="11" t="str">
        <f>IF(I1364&lt;&gt;"",VLOOKUP(AP1364,KvB!$A$2:$B$3,2,FALSE),"")</f>
        <v>BE101000</v>
      </c>
      <c r="AI1364" s="11" t="s">
        <v>55</v>
      </c>
      <c r="AJ1364" s="11"/>
      <c r="AK1364" s="11"/>
      <c r="AL1364" s="11"/>
      <c r="AM1364" s="11"/>
      <c r="AN1364" s="11"/>
      <c r="AO1364" s="11"/>
      <c r="AP1364" s="2" t="s">
        <v>70</v>
      </c>
      <c r="AQ1364" s="11" t="str">
        <f>IF(I1364&lt;&gt;"",DATA!D1363,"")</f>
        <v>8418690099</v>
      </c>
    </row>
    <row r="1365" spans="1:43" ht="15.75" x14ac:dyDescent="0.25">
      <c r="A1365" s="11" t="s">
        <v>57</v>
      </c>
      <c r="B1365" s="11" t="s">
        <v>56</v>
      </c>
      <c r="C1365" s="22">
        <f t="shared" si="90"/>
        <v>25001620</v>
      </c>
      <c r="D1365" s="11" t="str">
        <f t="shared" si="87"/>
        <v>SKIIFM_AT</v>
      </c>
      <c r="E1365" s="11" t="str">
        <f>IF(I1365&lt;&gt;"",VLOOKUP(F1365,OPDRACHTGEVER!$A$2:$B$4,2,FALSE),"")</f>
        <v>SKIIFM_AT</v>
      </c>
      <c r="F1365" s="11" t="s">
        <v>58</v>
      </c>
      <c r="I1365" s="11" t="str">
        <f>IF(DATA!B1364&lt;&gt;"",DATA!B1364,"")</f>
        <v>MSCU5497581</v>
      </c>
      <c r="J1365" s="12">
        <v>0</v>
      </c>
      <c r="K1365" s="11" t="s">
        <v>53</v>
      </c>
      <c r="L1365" s="11" t="str">
        <f t="shared" si="88"/>
        <v>901730</v>
      </c>
      <c r="M1365" s="11" t="str">
        <f>IF(I1365&lt;&gt;"",DATA!E1364,"")</f>
        <v>IMPERIAL GRADE ROD</v>
      </c>
      <c r="N1365" s="12">
        <v>0</v>
      </c>
      <c r="O1365" s="11">
        <f>IF(I1365&lt;&gt;"",DATA!C1364,"")</f>
        <v>3.2</v>
      </c>
      <c r="P1365" s="2">
        <v>294094</v>
      </c>
      <c r="Q1365" s="2" t="s">
        <v>1304</v>
      </c>
      <c r="R1365" s="2" t="s">
        <v>1331</v>
      </c>
      <c r="S1365" s="2">
        <v>348</v>
      </c>
      <c r="T1365" s="2">
        <v>1</v>
      </c>
      <c r="U1365" s="2" t="s">
        <v>141</v>
      </c>
      <c r="Y1365" s="2">
        <v>1700</v>
      </c>
      <c r="Z1365" s="11" t="s">
        <v>54</v>
      </c>
      <c r="AA1365" s="11" t="str">
        <f t="shared" si="89"/>
        <v>1700 - TBN</v>
      </c>
      <c r="AC1365" s="2" t="s">
        <v>145</v>
      </c>
      <c r="AD1365" s="11" t="str">
        <f>IF($I1365&lt;&gt;"",VLOOKUP($AC1365,GEADRESSEERDE!$A$2:$E$4,2,),"")</f>
        <v>LUITHAGEN HAVEN 2 D</v>
      </c>
      <c r="AE1365" s="11">
        <f>IF($I1365&lt;&gt;"",VLOOKUP($AC1365,GEADRESSEERDE!$A$2:$E$4,3,),"")</f>
        <v>2030</v>
      </c>
      <c r="AF1365" s="11" t="str">
        <f>IF($I1365&lt;&gt;"",VLOOKUP($AC1365,GEADRESSEERDE!$A$2:$E$4,4,),"")</f>
        <v>ANTWERPEN</v>
      </c>
      <c r="AG1365" s="11" t="str">
        <f>IF($I1365&lt;&gt;"",VLOOKUP($AC1365,GEADRESSEERDE!$A$2:$E$4,5,),"")</f>
        <v>BE</v>
      </c>
      <c r="AH1365" s="11" t="str">
        <f>IF(I1365&lt;&gt;"",VLOOKUP(AP1365,KvB!$A$2:$B$3,2,FALSE),"")</f>
        <v>BE101000</v>
      </c>
      <c r="AI1365" s="11" t="s">
        <v>55</v>
      </c>
      <c r="AJ1365" s="11"/>
      <c r="AK1365" s="11"/>
      <c r="AL1365" s="11"/>
      <c r="AM1365" s="11"/>
      <c r="AN1365" s="11"/>
      <c r="AO1365" s="11"/>
      <c r="AP1365" s="2" t="s">
        <v>70</v>
      </c>
      <c r="AQ1365" s="11" t="str">
        <f>IF(I1365&lt;&gt;"",DATA!D1364,"")</f>
        <v>9017300000</v>
      </c>
    </row>
    <row r="1366" spans="1:43" ht="15.75" x14ac:dyDescent="0.25">
      <c r="A1366" s="11" t="s">
        <v>57</v>
      </c>
      <c r="B1366" s="11" t="s">
        <v>56</v>
      </c>
      <c r="C1366" s="22">
        <f t="shared" si="90"/>
        <v>25001620</v>
      </c>
      <c r="D1366" s="11" t="str">
        <f t="shared" si="87"/>
        <v>SKIIFM_AT</v>
      </c>
      <c r="E1366" s="11" t="str">
        <f>IF(I1366&lt;&gt;"",VLOOKUP(F1366,OPDRACHTGEVER!$A$2:$B$4,2,FALSE),"")</f>
        <v>SKIIFM_AT</v>
      </c>
      <c r="F1366" s="11" t="s">
        <v>58</v>
      </c>
      <c r="I1366" s="11" t="str">
        <f>IF(DATA!B1365&lt;&gt;"",DATA!B1365,"")</f>
        <v>MSCU5497581</v>
      </c>
      <c r="J1366" s="12">
        <v>0</v>
      </c>
      <c r="K1366" s="11" t="s">
        <v>53</v>
      </c>
      <c r="L1366" s="11" t="str">
        <f t="shared" si="88"/>
        <v>741920</v>
      </c>
      <c r="M1366" s="11" t="str">
        <f>IF(I1366&lt;&gt;"",DATA!E1365,"")</f>
        <v>IRON BRACKET</v>
      </c>
      <c r="N1366" s="12">
        <v>0</v>
      </c>
      <c r="O1366" s="11">
        <f>IF(I1366&lt;&gt;"",DATA!C1365,"")</f>
        <v>8.8000000000000007</v>
      </c>
      <c r="P1366" s="2">
        <v>294094</v>
      </c>
      <c r="Q1366" s="2" t="s">
        <v>1304</v>
      </c>
      <c r="R1366" s="2" t="s">
        <v>1331</v>
      </c>
      <c r="S1366" s="2">
        <v>348</v>
      </c>
      <c r="T1366" s="2">
        <v>1</v>
      </c>
      <c r="U1366" s="2" t="s">
        <v>141</v>
      </c>
      <c r="Y1366" s="2">
        <v>1700</v>
      </c>
      <c r="Z1366" s="11" t="s">
        <v>54</v>
      </c>
      <c r="AA1366" s="11" t="str">
        <f t="shared" si="89"/>
        <v>1700 - TBN</v>
      </c>
      <c r="AC1366" s="2" t="s">
        <v>145</v>
      </c>
      <c r="AD1366" s="11" t="str">
        <f>IF($I1366&lt;&gt;"",VLOOKUP($AC1366,GEADRESSEERDE!$A$2:$E$4,2,),"")</f>
        <v>LUITHAGEN HAVEN 2 D</v>
      </c>
      <c r="AE1366" s="11">
        <f>IF($I1366&lt;&gt;"",VLOOKUP($AC1366,GEADRESSEERDE!$A$2:$E$4,3,),"")</f>
        <v>2030</v>
      </c>
      <c r="AF1366" s="11" t="str">
        <f>IF($I1366&lt;&gt;"",VLOOKUP($AC1366,GEADRESSEERDE!$A$2:$E$4,4,),"")</f>
        <v>ANTWERPEN</v>
      </c>
      <c r="AG1366" s="11" t="str">
        <f>IF($I1366&lt;&gt;"",VLOOKUP($AC1366,GEADRESSEERDE!$A$2:$E$4,5,),"")</f>
        <v>BE</v>
      </c>
      <c r="AH1366" s="11" t="str">
        <f>IF(I1366&lt;&gt;"",VLOOKUP(AP1366,KvB!$A$2:$B$3,2,FALSE),"")</f>
        <v>BE101000</v>
      </c>
      <c r="AI1366" s="11" t="s">
        <v>55</v>
      </c>
      <c r="AJ1366" s="11"/>
      <c r="AK1366" s="11"/>
      <c r="AL1366" s="11"/>
      <c r="AM1366" s="11"/>
      <c r="AN1366" s="11"/>
      <c r="AO1366" s="11"/>
      <c r="AP1366" s="2" t="s">
        <v>70</v>
      </c>
      <c r="AQ1366" s="11" t="str">
        <f>IF(I1366&lt;&gt;"",DATA!D1365,"")</f>
        <v>7419200090</v>
      </c>
    </row>
    <row r="1367" spans="1:43" ht="15.75" x14ac:dyDescent="0.25">
      <c r="A1367" s="11" t="s">
        <v>57</v>
      </c>
      <c r="B1367" s="11" t="s">
        <v>56</v>
      </c>
      <c r="C1367" s="22">
        <f t="shared" si="90"/>
        <v>25001620</v>
      </c>
      <c r="D1367" s="11" t="str">
        <f t="shared" si="87"/>
        <v>SKIIFM_AT</v>
      </c>
      <c r="E1367" s="11" t="str">
        <f>IF(I1367&lt;&gt;"",VLOOKUP(F1367,OPDRACHTGEVER!$A$2:$B$4,2,FALSE),"")</f>
        <v>SKIIFM_AT</v>
      </c>
      <c r="F1367" s="11" t="s">
        <v>58</v>
      </c>
      <c r="I1367" s="11" t="str">
        <f>IF(DATA!B1366&lt;&gt;"",DATA!B1366,"")</f>
        <v>MSCU5497581</v>
      </c>
      <c r="J1367" s="12">
        <v>0</v>
      </c>
      <c r="K1367" s="11" t="s">
        <v>53</v>
      </c>
      <c r="L1367" s="11" t="str">
        <f t="shared" si="88"/>
        <v>741920</v>
      </c>
      <c r="M1367" s="11" t="str">
        <f>IF(I1367&lt;&gt;"",DATA!E1366,"")</f>
        <v>LIFTING CHAIN</v>
      </c>
      <c r="N1367" s="12">
        <v>0</v>
      </c>
      <c r="O1367" s="11">
        <f>IF(I1367&lt;&gt;"",DATA!C1366,"")</f>
        <v>10.199999999999999</v>
      </c>
      <c r="P1367" s="2">
        <v>294094</v>
      </c>
      <c r="Q1367" s="2" t="s">
        <v>1304</v>
      </c>
      <c r="R1367" s="2" t="s">
        <v>1331</v>
      </c>
      <c r="S1367" s="2">
        <v>348</v>
      </c>
      <c r="T1367" s="2">
        <v>1</v>
      </c>
      <c r="U1367" s="2" t="s">
        <v>141</v>
      </c>
      <c r="Y1367" s="2">
        <v>1700</v>
      </c>
      <c r="Z1367" s="11" t="s">
        <v>54</v>
      </c>
      <c r="AA1367" s="11" t="str">
        <f t="shared" si="89"/>
        <v>1700 - TBN</v>
      </c>
      <c r="AC1367" s="2" t="s">
        <v>145</v>
      </c>
      <c r="AD1367" s="11" t="str">
        <f>IF($I1367&lt;&gt;"",VLOOKUP($AC1367,GEADRESSEERDE!$A$2:$E$4,2,),"")</f>
        <v>LUITHAGEN HAVEN 2 D</v>
      </c>
      <c r="AE1367" s="11">
        <f>IF($I1367&lt;&gt;"",VLOOKUP($AC1367,GEADRESSEERDE!$A$2:$E$4,3,),"")</f>
        <v>2030</v>
      </c>
      <c r="AF1367" s="11" t="str">
        <f>IF($I1367&lt;&gt;"",VLOOKUP($AC1367,GEADRESSEERDE!$A$2:$E$4,4,),"")</f>
        <v>ANTWERPEN</v>
      </c>
      <c r="AG1367" s="11" t="str">
        <f>IF($I1367&lt;&gt;"",VLOOKUP($AC1367,GEADRESSEERDE!$A$2:$E$4,5,),"")</f>
        <v>BE</v>
      </c>
      <c r="AH1367" s="11" t="str">
        <f>IF(I1367&lt;&gt;"",VLOOKUP(AP1367,KvB!$A$2:$B$3,2,FALSE),"")</f>
        <v>BE101000</v>
      </c>
      <c r="AI1367" s="11" t="s">
        <v>55</v>
      </c>
      <c r="AJ1367" s="11"/>
      <c r="AK1367" s="11"/>
      <c r="AL1367" s="11"/>
      <c r="AM1367" s="11"/>
      <c r="AN1367" s="11"/>
      <c r="AO1367" s="11"/>
      <c r="AP1367" s="2" t="s">
        <v>70</v>
      </c>
      <c r="AQ1367" s="11" t="str">
        <f>IF(I1367&lt;&gt;"",DATA!D1366,"")</f>
        <v>7419200090</v>
      </c>
    </row>
    <row r="1368" spans="1:43" ht="15.75" x14ac:dyDescent="0.25">
      <c r="A1368" s="11" t="s">
        <v>57</v>
      </c>
      <c r="B1368" s="11" t="s">
        <v>56</v>
      </c>
      <c r="C1368" s="22">
        <f t="shared" si="90"/>
        <v>25001620</v>
      </c>
      <c r="D1368" s="11" t="str">
        <f t="shared" si="87"/>
        <v>SKIIFM_AT</v>
      </c>
      <c r="E1368" s="11" t="str">
        <f>IF(I1368&lt;&gt;"",VLOOKUP(F1368,OPDRACHTGEVER!$A$2:$B$4,2,FALSE),"")</f>
        <v>SKIIFM_AT</v>
      </c>
      <c r="F1368" s="11" t="s">
        <v>58</v>
      </c>
      <c r="I1368" s="11" t="str">
        <f>IF(DATA!B1367&lt;&gt;"",DATA!B1367,"")</f>
        <v>MSCU5497581</v>
      </c>
      <c r="J1368" s="12">
        <v>0</v>
      </c>
      <c r="K1368" s="11" t="s">
        <v>53</v>
      </c>
      <c r="L1368" s="11" t="str">
        <f t="shared" si="88"/>
        <v>850131</v>
      </c>
      <c r="M1368" s="11" t="str">
        <f>IF(I1368&lt;&gt;"",DATA!E1367,"")</f>
        <v>LINEAR ACTUATOR</v>
      </c>
      <c r="N1368" s="12">
        <v>0</v>
      </c>
      <c r="O1368" s="11">
        <f>IF(I1368&lt;&gt;"",DATA!C1367,"")</f>
        <v>3</v>
      </c>
      <c r="P1368" s="2">
        <v>294094</v>
      </c>
      <c r="Q1368" s="2" t="s">
        <v>1304</v>
      </c>
      <c r="R1368" s="2" t="s">
        <v>1331</v>
      </c>
      <c r="S1368" s="2">
        <v>348</v>
      </c>
      <c r="T1368" s="2">
        <v>1</v>
      </c>
      <c r="U1368" s="2" t="s">
        <v>141</v>
      </c>
      <c r="Y1368" s="2">
        <v>1700</v>
      </c>
      <c r="Z1368" s="11" t="s">
        <v>54</v>
      </c>
      <c r="AA1368" s="11" t="str">
        <f t="shared" si="89"/>
        <v>1700 - TBN</v>
      </c>
      <c r="AC1368" s="2" t="s">
        <v>145</v>
      </c>
      <c r="AD1368" s="11" t="str">
        <f>IF($I1368&lt;&gt;"",VLOOKUP($AC1368,GEADRESSEERDE!$A$2:$E$4,2,),"")</f>
        <v>LUITHAGEN HAVEN 2 D</v>
      </c>
      <c r="AE1368" s="11">
        <f>IF($I1368&lt;&gt;"",VLOOKUP($AC1368,GEADRESSEERDE!$A$2:$E$4,3,),"")</f>
        <v>2030</v>
      </c>
      <c r="AF1368" s="11" t="str">
        <f>IF($I1368&lt;&gt;"",VLOOKUP($AC1368,GEADRESSEERDE!$A$2:$E$4,4,),"")</f>
        <v>ANTWERPEN</v>
      </c>
      <c r="AG1368" s="11" t="str">
        <f>IF($I1368&lt;&gt;"",VLOOKUP($AC1368,GEADRESSEERDE!$A$2:$E$4,5,),"")</f>
        <v>BE</v>
      </c>
      <c r="AH1368" s="11" t="str">
        <f>IF(I1368&lt;&gt;"",VLOOKUP(AP1368,KvB!$A$2:$B$3,2,FALSE),"")</f>
        <v>BE101000</v>
      </c>
      <c r="AI1368" s="11" t="s">
        <v>55</v>
      </c>
      <c r="AJ1368" s="11"/>
      <c r="AK1368" s="11"/>
      <c r="AL1368" s="11"/>
      <c r="AM1368" s="11"/>
      <c r="AN1368" s="11"/>
      <c r="AO1368" s="11"/>
      <c r="AP1368" s="2" t="s">
        <v>70</v>
      </c>
      <c r="AQ1368" s="11" t="str">
        <f>IF(I1368&lt;&gt;"",DATA!D1367,"")</f>
        <v>8501310099</v>
      </c>
    </row>
    <row r="1369" spans="1:43" ht="15.75" x14ac:dyDescent="0.25">
      <c r="A1369" s="11" t="s">
        <v>57</v>
      </c>
      <c r="B1369" s="11" t="s">
        <v>56</v>
      </c>
      <c r="C1369" s="22">
        <f t="shared" si="90"/>
        <v>25001620</v>
      </c>
      <c r="D1369" s="11" t="str">
        <f t="shared" si="87"/>
        <v>SKIIFM_AT</v>
      </c>
      <c r="E1369" s="11" t="str">
        <f>IF(I1369&lt;&gt;"",VLOOKUP(F1369,OPDRACHTGEVER!$A$2:$B$4,2,FALSE),"")</f>
        <v>SKIIFM_AT</v>
      </c>
      <c r="F1369" s="11" t="s">
        <v>58</v>
      </c>
      <c r="I1369" s="11" t="str">
        <f>IF(DATA!B1368&lt;&gt;"",DATA!B1368,"")</f>
        <v>MSCU5497581</v>
      </c>
      <c r="J1369" s="12">
        <v>0</v>
      </c>
      <c r="K1369" s="11" t="s">
        <v>53</v>
      </c>
      <c r="L1369" s="11" t="str">
        <f t="shared" si="88"/>
        <v>850980</v>
      </c>
      <c r="M1369" s="11" t="str">
        <f>IF(I1369&lt;&gt;"",DATA!E1368,"")</f>
        <v>MAGNETIC CLEANER</v>
      </c>
      <c r="N1369" s="12">
        <v>0</v>
      </c>
      <c r="O1369" s="11">
        <f>IF(I1369&lt;&gt;"",DATA!C1368,"")</f>
        <v>4.0999999999999996</v>
      </c>
      <c r="P1369" s="2">
        <v>294094</v>
      </c>
      <c r="Q1369" s="2" t="s">
        <v>1304</v>
      </c>
      <c r="R1369" s="2" t="s">
        <v>1331</v>
      </c>
      <c r="S1369" s="2">
        <v>348</v>
      </c>
      <c r="T1369" s="2">
        <v>1</v>
      </c>
      <c r="U1369" s="2" t="s">
        <v>141</v>
      </c>
      <c r="Y1369" s="2">
        <v>1700</v>
      </c>
      <c r="Z1369" s="11" t="s">
        <v>54</v>
      </c>
      <c r="AA1369" s="11" t="str">
        <f t="shared" si="89"/>
        <v>1700 - TBN</v>
      </c>
      <c r="AC1369" s="2" t="s">
        <v>145</v>
      </c>
      <c r="AD1369" s="11" t="str">
        <f>IF($I1369&lt;&gt;"",VLOOKUP($AC1369,GEADRESSEERDE!$A$2:$E$4,2,),"")</f>
        <v>LUITHAGEN HAVEN 2 D</v>
      </c>
      <c r="AE1369" s="11">
        <f>IF($I1369&lt;&gt;"",VLOOKUP($AC1369,GEADRESSEERDE!$A$2:$E$4,3,),"")</f>
        <v>2030</v>
      </c>
      <c r="AF1369" s="11" t="str">
        <f>IF($I1369&lt;&gt;"",VLOOKUP($AC1369,GEADRESSEERDE!$A$2:$E$4,4,),"")</f>
        <v>ANTWERPEN</v>
      </c>
      <c r="AG1369" s="11" t="str">
        <f>IF($I1369&lt;&gt;"",VLOOKUP($AC1369,GEADRESSEERDE!$A$2:$E$4,5,),"")</f>
        <v>BE</v>
      </c>
      <c r="AH1369" s="11" t="str">
        <f>IF(I1369&lt;&gt;"",VLOOKUP(AP1369,KvB!$A$2:$B$3,2,FALSE),"")</f>
        <v>BE101000</v>
      </c>
      <c r="AI1369" s="11" t="s">
        <v>55</v>
      </c>
      <c r="AJ1369" s="11"/>
      <c r="AK1369" s="11"/>
      <c r="AL1369" s="11"/>
      <c r="AM1369" s="11"/>
      <c r="AN1369" s="11"/>
      <c r="AO1369" s="11"/>
      <c r="AP1369" s="2" t="s">
        <v>70</v>
      </c>
      <c r="AQ1369" s="11" t="str">
        <f>IF(I1369&lt;&gt;"",DATA!D1368,"")</f>
        <v>8509800000</v>
      </c>
    </row>
    <row r="1370" spans="1:43" ht="15.75" x14ac:dyDescent="0.25">
      <c r="A1370" s="11" t="s">
        <v>57</v>
      </c>
      <c r="B1370" s="11" t="s">
        <v>56</v>
      </c>
      <c r="C1370" s="22">
        <f t="shared" si="90"/>
        <v>25001620</v>
      </c>
      <c r="D1370" s="11" t="str">
        <f t="shared" si="87"/>
        <v>SKIIFM_AT</v>
      </c>
      <c r="E1370" s="11" t="str">
        <f>IF(I1370&lt;&gt;"",VLOOKUP(F1370,OPDRACHTGEVER!$A$2:$B$4,2,FALSE),"")</f>
        <v>SKIIFM_AT</v>
      </c>
      <c r="F1370" s="11" t="s">
        <v>58</v>
      </c>
      <c r="I1370" s="11" t="str">
        <f>IF(DATA!B1369&lt;&gt;"",DATA!B1369,"")</f>
        <v>MSCU5497581</v>
      </c>
      <c r="J1370" s="12">
        <v>0</v>
      </c>
      <c r="K1370" s="11" t="s">
        <v>53</v>
      </c>
      <c r="L1370" s="11" t="str">
        <f t="shared" si="88"/>
        <v>820750</v>
      </c>
      <c r="M1370" s="11" t="str">
        <f>IF(I1370&lt;&gt;"",DATA!E1369,"")</f>
        <v>MAGNETIC DRILL</v>
      </c>
      <c r="N1370" s="12">
        <v>0</v>
      </c>
      <c r="O1370" s="11">
        <f>IF(I1370&lt;&gt;"",DATA!C1369,"")</f>
        <v>0.9</v>
      </c>
      <c r="P1370" s="2">
        <v>294094</v>
      </c>
      <c r="Q1370" s="2" t="s">
        <v>1304</v>
      </c>
      <c r="R1370" s="2" t="s">
        <v>1331</v>
      </c>
      <c r="S1370" s="2">
        <v>348</v>
      </c>
      <c r="T1370" s="2">
        <v>1</v>
      </c>
      <c r="U1370" s="2" t="s">
        <v>141</v>
      </c>
      <c r="Y1370" s="2">
        <v>1700</v>
      </c>
      <c r="Z1370" s="11" t="s">
        <v>54</v>
      </c>
      <c r="AA1370" s="11" t="str">
        <f t="shared" si="89"/>
        <v>1700 - TBN</v>
      </c>
      <c r="AC1370" s="2" t="s">
        <v>145</v>
      </c>
      <c r="AD1370" s="11" t="str">
        <f>IF($I1370&lt;&gt;"",VLOOKUP($AC1370,GEADRESSEERDE!$A$2:$E$4,2,),"")</f>
        <v>LUITHAGEN HAVEN 2 D</v>
      </c>
      <c r="AE1370" s="11">
        <f>IF($I1370&lt;&gt;"",VLOOKUP($AC1370,GEADRESSEERDE!$A$2:$E$4,3,),"")</f>
        <v>2030</v>
      </c>
      <c r="AF1370" s="11" t="str">
        <f>IF($I1370&lt;&gt;"",VLOOKUP($AC1370,GEADRESSEERDE!$A$2:$E$4,4,),"")</f>
        <v>ANTWERPEN</v>
      </c>
      <c r="AG1370" s="11" t="str">
        <f>IF($I1370&lt;&gt;"",VLOOKUP($AC1370,GEADRESSEERDE!$A$2:$E$4,5,),"")</f>
        <v>BE</v>
      </c>
      <c r="AH1370" s="11" t="str">
        <f>IF(I1370&lt;&gt;"",VLOOKUP(AP1370,KvB!$A$2:$B$3,2,FALSE),"")</f>
        <v>BE101000</v>
      </c>
      <c r="AI1370" s="11" t="s">
        <v>55</v>
      </c>
      <c r="AJ1370" s="11"/>
      <c r="AK1370" s="11"/>
      <c r="AL1370" s="11"/>
      <c r="AM1370" s="11"/>
      <c r="AN1370" s="11"/>
      <c r="AO1370" s="11"/>
      <c r="AP1370" s="2" t="s">
        <v>70</v>
      </c>
      <c r="AQ1370" s="11" t="str">
        <f>IF(I1370&lt;&gt;"",DATA!D1369,"")</f>
        <v>8207509000</v>
      </c>
    </row>
    <row r="1371" spans="1:43" ht="15.75" x14ac:dyDescent="0.25">
      <c r="A1371" s="11" t="s">
        <v>57</v>
      </c>
      <c r="B1371" s="11" t="s">
        <v>56</v>
      </c>
      <c r="C1371" s="22">
        <f t="shared" si="90"/>
        <v>25001620</v>
      </c>
      <c r="D1371" s="11" t="str">
        <f t="shared" si="87"/>
        <v>SKIIFM_AT</v>
      </c>
      <c r="E1371" s="11" t="str">
        <f>IF(I1371&lt;&gt;"",VLOOKUP(F1371,OPDRACHTGEVER!$A$2:$B$4,2,FALSE),"")</f>
        <v>SKIIFM_AT</v>
      </c>
      <c r="F1371" s="11" t="s">
        <v>58</v>
      </c>
      <c r="I1371" s="11" t="str">
        <f>IF(DATA!B1370&lt;&gt;"",DATA!B1370,"")</f>
        <v>MSCU5497581</v>
      </c>
      <c r="J1371" s="12">
        <v>0</v>
      </c>
      <c r="K1371" s="11" t="s">
        <v>53</v>
      </c>
      <c r="L1371" s="11" t="str">
        <f t="shared" si="88"/>
        <v>842121</v>
      </c>
      <c r="M1371" s="11" t="str">
        <f>IF(I1371&lt;&gt;"",DATA!E1370,"")</f>
        <v>MANUAL FLUSH PRE-FILTER</v>
      </c>
      <c r="N1371" s="12">
        <v>0</v>
      </c>
      <c r="O1371" s="11">
        <f>IF(I1371&lt;&gt;"",DATA!C1370,"")</f>
        <v>1.25</v>
      </c>
      <c r="P1371" s="2">
        <v>294094</v>
      </c>
      <c r="Q1371" s="2" t="s">
        <v>1304</v>
      </c>
      <c r="R1371" s="2" t="s">
        <v>1331</v>
      </c>
      <c r="S1371" s="2">
        <v>348</v>
      </c>
      <c r="T1371" s="2">
        <v>1</v>
      </c>
      <c r="U1371" s="2" t="s">
        <v>141</v>
      </c>
      <c r="Y1371" s="2">
        <v>1700</v>
      </c>
      <c r="Z1371" s="11" t="s">
        <v>54</v>
      </c>
      <c r="AA1371" s="11" t="str">
        <f t="shared" si="89"/>
        <v>1700 - TBN</v>
      </c>
      <c r="AC1371" s="2" t="s">
        <v>145</v>
      </c>
      <c r="AD1371" s="11" t="str">
        <f>IF($I1371&lt;&gt;"",VLOOKUP($AC1371,GEADRESSEERDE!$A$2:$E$4,2,),"")</f>
        <v>LUITHAGEN HAVEN 2 D</v>
      </c>
      <c r="AE1371" s="11">
        <f>IF($I1371&lt;&gt;"",VLOOKUP($AC1371,GEADRESSEERDE!$A$2:$E$4,3,),"")</f>
        <v>2030</v>
      </c>
      <c r="AF1371" s="11" t="str">
        <f>IF($I1371&lt;&gt;"",VLOOKUP($AC1371,GEADRESSEERDE!$A$2:$E$4,4,),"")</f>
        <v>ANTWERPEN</v>
      </c>
      <c r="AG1371" s="11" t="str">
        <f>IF($I1371&lt;&gt;"",VLOOKUP($AC1371,GEADRESSEERDE!$A$2:$E$4,5,),"")</f>
        <v>BE</v>
      </c>
      <c r="AH1371" s="11" t="str">
        <f>IF(I1371&lt;&gt;"",VLOOKUP(AP1371,KvB!$A$2:$B$3,2,FALSE),"")</f>
        <v>BE101000</v>
      </c>
      <c r="AI1371" s="11" t="s">
        <v>55</v>
      </c>
      <c r="AJ1371" s="11"/>
      <c r="AK1371" s="11"/>
      <c r="AL1371" s="11"/>
      <c r="AM1371" s="11"/>
      <c r="AN1371" s="11"/>
      <c r="AO1371" s="11"/>
      <c r="AP1371" s="2" t="s">
        <v>70</v>
      </c>
      <c r="AQ1371" s="11" t="str">
        <f>IF(I1371&lt;&gt;"",DATA!D1370,"")</f>
        <v>8421210090</v>
      </c>
    </row>
    <row r="1372" spans="1:43" ht="15.75" x14ac:dyDescent="0.25">
      <c r="A1372" s="11" t="s">
        <v>57</v>
      </c>
      <c r="B1372" s="11" t="s">
        <v>56</v>
      </c>
      <c r="C1372" s="22">
        <f t="shared" si="90"/>
        <v>25001620</v>
      </c>
      <c r="D1372" s="11" t="str">
        <f t="shared" si="87"/>
        <v>SKIIFM_AT</v>
      </c>
      <c r="E1372" s="11" t="str">
        <f>IF(I1372&lt;&gt;"",VLOOKUP(F1372,OPDRACHTGEVER!$A$2:$B$4,2,FALSE),"")</f>
        <v>SKIIFM_AT</v>
      </c>
      <c r="F1372" s="11" t="s">
        <v>58</v>
      </c>
      <c r="I1372" s="11" t="str">
        <f>IF(DATA!B1371&lt;&gt;"",DATA!B1371,"")</f>
        <v>MSCU5497581</v>
      </c>
      <c r="J1372" s="12">
        <v>0</v>
      </c>
      <c r="K1372" s="11" t="s">
        <v>53</v>
      </c>
      <c r="L1372" s="11" t="str">
        <f t="shared" si="88"/>
        <v>820210</v>
      </c>
      <c r="M1372" s="11" t="str">
        <f>IF(I1372&lt;&gt;"",DATA!E1371,"")</f>
        <v>MANUAL HIGH BRANCH SAW</v>
      </c>
      <c r="N1372" s="12">
        <v>0</v>
      </c>
      <c r="O1372" s="11">
        <f>IF(I1372&lt;&gt;"",DATA!C1371,"")</f>
        <v>1.8</v>
      </c>
      <c r="P1372" s="2">
        <v>294094</v>
      </c>
      <c r="Q1372" s="2" t="s">
        <v>1304</v>
      </c>
      <c r="R1372" s="2" t="s">
        <v>1331</v>
      </c>
      <c r="S1372" s="2">
        <v>348</v>
      </c>
      <c r="T1372" s="2">
        <v>1</v>
      </c>
      <c r="U1372" s="2" t="s">
        <v>141</v>
      </c>
      <c r="Y1372" s="2">
        <v>1700</v>
      </c>
      <c r="Z1372" s="11" t="s">
        <v>54</v>
      </c>
      <c r="AA1372" s="11" t="str">
        <f t="shared" si="89"/>
        <v>1700 - TBN</v>
      </c>
      <c r="AC1372" s="2" t="s">
        <v>145</v>
      </c>
      <c r="AD1372" s="11" t="str">
        <f>IF($I1372&lt;&gt;"",VLOOKUP($AC1372,GEADRESSEERDE!$A$2:$E$4,2,),"")</f>
        <v>LUITHAGEN HAVEN 2 D</v>
      </c>
      <c r="AE1372" s="11">
        <f>IF($I1372&lt;&gt;"",VLOOKUP($AC1372,GEADRESSEERDE!$A$2:$E$4,3,),"")</f>
        <v>2030</v>
      </c>
      <c r="AF1372" s="11" t="str">
        <f>IF($I1372&lt;&gt;"",VLOOKUP($AC1372,GEADRESSEERDE!$A$2:$E$4,4,),"")</f>
        <v>ANTWERPEN</v>
      </c>
      <c r="AG1372" s="11" t="str">
        <f>IF($I1372&lt;&gt;"",VLOOKUP($AC1372,GEADRESSEERDE!$A$2:$E$4,5,),"")</f>
        <v>BE</v>
      </c>
      <c r="AH1372" s="11" t="str">
        <f>IF(I1372&lt;&gt;"",VLOOKUP(AP1372,KvB!$A$2:$B$3,2,FALSE),"")</f>
        <v>BE101000</v>
      </c>
      <c r="AI1372" s="11" t="s">
        <v>55</v>
      </c>
      <c r="AJ1372" s="11"/>
      <c r="AK1372" s="11"/>
      <c r="AL1372" s="11"/>
      <c r="AM1372" s="11"/>
      <c r="AN1372" s="11"/>
      <c r="AO1372" s="11"/>
      <c r="AP1372" s="2" t="s">
        <v>70</v>
      </c>
      <c r="AQ1372" s="11" t="str">
        <f>IF(I1372&lt;&gt;"",DATA!D1371,"")</f>
        <v>8202100000</v>
      </c>
    </row>
    <row r="1373" spans="1:43" ht="15.75" x14ac:dyDescent="0.25">
      <c r="A1373" s="11" t="s">
        <v>57</v>
      </c>
      <c r="B1373" s="11" t="s">
        <v>56</v>
      </c>
      <c r="C1373" s="22">
        <f t="shared" si="90"/>
        <v>25001620</v>
      </c>
      <c r="D1373" s="11" t="str">
        <f t="shared" si="87"/>
        <v>SKIIFM_AT</v>
      </c>
      <c r="E1373" s="11" t="str">
        <f>IF(I1373&lt;&gt;"",VLOOKUP(F1373,OPDRACHTGEVER!$A$2:$B$4,2,FALSE),"")</f>
        <v>SKIIFM_AT</v>
      </c>
      <c r="F1373" s="11" t="s">
        <v>58</v>
      </c>
      <c r="I1373" s="11" t="str">
        <f>IF(DATA!B1372&lt;&gt;"",DATA!B1372,"")</f>
        <v>MSCU5497581</v>
      </c>
      <c r="J1373" s="12">
        <v>0</v>
      </c>
      <c r="K1373" s="11" t="s">
        <v>53</v>
      </c>
      <c r="L1373" s="11" t="str">
        <f t="shared" si="88"/>
        <v>850132</v>
      </c>
      <c r="M1373" s="11" t="str">
        <f>IF(I1373&lt;&gt;"",DATA!E1372,"")</f>
        <v>MOTOR</v>
      </c>
      <c r="N1373" s="12">
        <v>0</v>
      </c>
      <c r="O1373" s="11">
        <f>IF(I1373&lt;&gt;"",DATA!C1372,"")</f>
        <v>6.2</v>
      </c>
      <c r="P1373" s="2">
        <v>294094</v>
      </c>
      <c r="Q1373" s="2" t="s">
        <v>1304</v>
      </c>
      <c r="R1373" s="2" t="s">
        <v>1331</v>
      </c>
      <c r="S1373" s="2">
        <v>348</v>
      </c>
      <c r="T1373" s="2">
        <v>1</v>
      </c>
      <c r="U1373" s="2" t="s">
        <v>141</v>
      </c>
      <c r="Y1373" s="2">
        <v>1700</v>
      </c>
      <c r="Z1373" s="11" t="s">
        <v>54</v>
      </c>
      <c r="AA1373" s="11" t="str">
        <f t="shared" si="89"/>
        <v>1700 - TBN</v>
      </c>
      <c r="AC1373" s="2" t="s">
        <v>145</v>
      </c>
      <c r="AD1373" s="11" t="str">
        <f>IF($I1373&lt;&gt;"",VLOOKUP($AC1373,GEADRESSEERDE!$A$2:$E$4,2,),"")</f>
        <v>LUITHAGEN HAVEN 2 D</v>
      </c>
      <c r="AE1373" s="11">
        <f>IF($I1373&lt;&gt;"",VLOOKUP($AC1373,GEADRESSEERDE!$A$2:$E$4,3,),"")</f>
        <v>2030</v>
      </c>
      <c r="AF1373" s="11" t="str">
        <f>IF($I1373&lt;&gt;"",VLOOKUP($AC1373,GEADRESSEERDE!$A$2:$E$4,4,),"")</f>
        <v>ANTWERPEN</v>
      </c>
      <c r="AG1373" s="11" t="str">
        <f>IF($I1373&lt;&gt;"",VLOOKUP($AC1373,GEADRESSEERDE!$A$2:$E$4,5,),"")</f>
        <v>BE</v>
      </c>
      <c r="AH1373" s="11" t="str">
        <f>IF(I1373&lt;&gt;"",VLOOKUP(AP1373,KvB!$A$2:$B$3,2,FALSE),"")</f>
        <v>BE101000</v>
      </c>
      <c r="AI1373" s="11" t="s">
        <v>55</v>
      </c>
      <c r="AJ1373" s="11"/>
      <c r="AK1373" s="11"/>
      <c r="AL1373" s="11"/>
      <c r="AM1373" s="11"/>
      <c r="AN1373" s="11"/>
      <c r="AO1373" s="11"/>
      <c r="AP1373" s="2" t="s">
        <v>70</v>
      </c>
      <c r="AQ1373" s="11" t="str">
        <f>IF(I1373&lt;&gt;"",DATA!D1372,"")</f>
        <v>8501320099</v>
      </c>
    </row>
    <row r="1374" spans="1:43" ht="15.75" x14ac:dyDescent="0.25">
      <c r="A1374" s="11" t="s">
        <v>57</v>
      </c>
      <c r="B1374" s="11" t="s">
        <v>56</v>
      </c>
      <c r="C1374" s="22">
        <f t="shared" si="90"/>
        <v>25001620</v>
      </c>
      <c r="D1374" s="11" t="str">
        <f t="shared" si="87"/>
        <v>SKIIFM_AT</v>
      </c>
      <c r="E1374" s="11" t="str">
        <f>IF(I1374&lt;&gt;"",VLOOKUP(F1374,OPDRACHTGEVER!$A$2:$B$4,2,FALSE),"")</f>
        <v>SKIIFM_AT</v>
      </c>
      <c r="F1374" s="11" t="s">
        <v>58</v>
      </c>
      <c r="I1374" s="11" t="str">
        <f>IF(DATA!B1373&lt;&gt;"",DATA!B1373,"")</f>
        <v>MSCU5497581</v>
      </c>
      <c r="J1374" s="12">
        <v>0</v>
      </c>
      <c r="K1374" s="11" t="s">
        <v>53</v>
      </c>
      <c r="L1374" s="11" t="str">
        <f t="shared" si="88"/>
        <v>842820</v>
      </c>
      <c r="M1374" s="11" t="str">
        <f>IF(I1374&lt;&gt;"",DATA!E1373,"")</f>
        <v>MOTORCYCLE LIFT STAND</v>
      </c>
      <c r="N1374" s="12">
        <v>0</v>
      </c>
      <c r="O1374" s="11">
        <f>IF(I1374&lt;&gt;"",DATA!C1373,"")</f>
        <v>3931.9</v>
      </c>
      <c r="P1374" s="2">
        <v>294094</v>
      </c>
      <c r="Q1374" s="2" t="s">
        <v>1304</v>
      </c>
      <c r="R1374" s="2" t="s">
        <v>1331</v>
      </c>
      <c r="S1374" s="2">
        <v>348</v>
      </c>
      <c r="T1374" s="2">
        <v>1</v>
      </c>
      <c r="U1374" s="2" t="s">
        <v>141</v>
      </c>
      <c r="Y1374" s="2">
        <v>1700</v>
      </c>
      <c r="Z1374" s="11" t="s">
        <v>54</v>
      </c>
      <c r="AA1374" s="11" t="str">
        <f t="shared" si="89"/>
        <v>1700 - TBN</v>
      </c>
      <c r="AC1374" s="2" t="s">
        <v>145</v>
      </c>
      <c r="AD1374" s="11" t="str">
        <f>IF($I1374&lt;&gt;"",VLOOKUP($AC1374,GEADRESSEERDE!$A$2:$E$4,2,),"")</f>
        <v>LUITHAGEN HAVEN 2 D</v>
      </c>
      <c r="AE1374" s="11">
        <f>IF($I1374&lt;&gt;"",VLOOKUP($AC1374,GEADRESSEERDE!$A$2:$E$4,3,),"")</f>
        <v>2030</v>
      </c>
      <c r="AF1374" s="11" t="str">
        <f>IF($I1374&lt;&gt;"",VLOOKUP($AC1374,GEADRESSEERDE!$A$2:$E$4,4,),"")</f>
        <v>ANTWERPEN</v>
      </c>
      <c r="AG1374" s="11" t="str">
        <f>IF($I1374&lt;&gt;"",VLOOKUP($AC1374,GEADRESSEERDE!$A$2:$E$4,5,),"")</f>
        <v>BE</v>
      </c>
      <c r="AH1374" s="11" t="str">
        <f>IF(I1374&lt;&gt;"",VLOOKUP(AP1374,KvB!$A$2:$B$3,2,FALSE),"")</f>
        <v>BE101000</v>
      </c>
      <c r="AI1374" s="11" t="s">
        <v>55</v>
      </c>
      <c r="AJ1374" s="11"/>
      <c r="AK1374" s="11"/>
      <c r="AL1374" s="11"/>
      <c r="AM1374" s="11"/>
      <c r="AN1374" s="11"/>
      <c r="AO1374" s="11"/>
      <c r="AP1374" s="2" t="s">
        <v>70</v>
      </c>
      <c r="AQ1374" s="11" t="str">
        <f>IF(I1374&lt;&gt;"",DATA!D1373,"")</f>
        <v>8428208000</v>
      </c>
    </row>
    <row r="1375" spans="1:43" ht="15.75" x14ac:dyDescent="0.25">
      <c r="A1375" s="11" t="s">
        <v>57</v>
      </c>
      <c r="B1375" s="11" t="s">
        <v>56</v>
      </c>
      <c r="C1375" s="22">
        <f t="shared" si="90"/>
        <v>25001620</v>
      </c>
      <c r="D1375" s="11" t="str">
        <f t="shared" si="87"/>
        <v>SKIIFM_AT</v>
      </c>
      <c r="E1375" s="11" t="str">
        <f>IF(I1375&lt;&gt;"",VLOOKUP(F1375,OPDRACHTGEVER!$A$2:$B$4,2,FALSE),"")</f>
        <v>SKIIFM_AT</v>
      </c>
      <c r="F1375" s="11" t="s">
        <v>58</v>
      </c>
      <c r="I1375" s="11" t="str">
        <f>IF(DATA!B1374&lt;&gt;"",DATA!B1374,"")</f>
        <v>MSCU5497581</v>
      </c>
      <c r="J1375" s="12">
        <v>0</v>
      </c>
      <c r="K1375" s="11" t="s">
        <v>53</v>
      </c>
      <c r="L1375" s="11" t="str">
        <f t="shared" si="88"/>
        <v>820320</v>
      </c>
      <c r="M1375" s="11" t="str">
        <f>IF(I1375&lt;&gt;"",DATA!E1374,"")</f>
        <v>PIPE CLAMP</v>
      </c>
      <c r="N1375" s="12">
        <v>0</v>
      </c>
      <c r="O1375" s="11">
        <f>IF(I1375&lt;&gt;"",DATA!C1374,"")</f>
        <v>13.8</v>
      </c>
      <c r="P1375" s="2">
        <v>294094</v>
      </c>
      <c r="Q1375" s="2" t="s">
        <v>1304</v>
      </c>
      <c r="R1375" s="2" t="s">
        <v>1331</v>
      </c>
      <c r="S1375" s="2">
        <v>348</v>
      </c>
      <c r="T1375" s="2">
        <v>1</v>
      </c>
      <c r="U1375" s="2" t="s">
        <v>141</v>
      </c>
      <c r="Y1375" s="2">
        <v>1700</v>
      </c>
      <c r="Z1375" s="11" t="s">
        <v>54</v>
      </c>
      <c r="AA1375" s="11" t="str">
        <f t="shared" si="89"/>
        <v>1700 - TBN</v>
      </c>
      <c r="AC1375" s="2" t="s">
        <v>145</v>
      </c>
      <c r="AD1375" s="11" t="str">
        <f>IF($I1375&lt;&gt;"",VLOOKUP($AC1375,GEADRESSEERDE!$A$2:$E$4,2,),"")</f>
        <v>LUITHAGEN HAVEN 2 D</v>
      </c>
      <c r="AE1375" s="11">
        <f>IF($I1375&lt;&gt;"",VLOOKUP($AC1375,GEADRESSEERDE!$A$2:$E$4,3,),"")</f>
        <v>2030</v>
      </c>
      <c r="AF1375" s="11" t="str">
        <f>IF($I1375&lt;&gt;"",VLOOKUP($AC1375,GEADRESSEERDE!$A$2:$E$4,4,),"")</f>
        <v>ANTWERPEN</v>
      </c>
      <c r="AG1375" s="11" t="str">
        <f>IF($I1375&lt;&gt;"",VLOOKUP($AC1375,GEADRESSEERDE!$A$2:$E$4,5,),"")</f>
        <v>BE</v>
      </c>
      <c r="AH1375" s="11" t="str">
        <f>IF(I1375&lt;&gt;"",VLOOKUP(AP1375,KvB!$A$2:$B$3,2,FALSE),"")</f>
        <v>BE101000</v>
      </c>
      <c r="AI1375" s="11" t="s">
        <v>55</v>
      </c>
      <c r="AJ1375" s="11"/>
      <c r="AK1375" s="11"/>
      <c r="AL1375" s="11"/>
      <c r="AM1375" s="11"/>
      <c r="AN1375" s="11"/>
      <c r="AO1375" s="11"/>
      <c r="AP1375" s="2" t="s">
        <v>70</v>
      </c>
      <c r="AQ1375" s="11" t="str">
        <f>IF(I1375&lt;&gt;"",DATA!D1374,"")</f>
        <v>8203200000</v>
      </c>
    </row>
    <row r="1376" spans="1:43" ht="15.75" x14ac:dyDescent="0.25">
      <c r="A1376" s="11" t="s">
        <v>57</v>
      </c>
      <c r="B1376" s="11" t="s">
        <v>56</v>
      </c>
      <c r="C1376" s="22">
        <f t="shared" si="90"/>
        <v>25001620</v>
      </c>
      <c r="D1376" s="11" t="str">
        <f t="shared" si="87"/>
        <v>SKIIFM_AT</v>
      </c>
      <c r="E1376" s="11" t="str">
        <f>IF(I1376&lt;&gt;"",VLOOKUP(F1376,OPDRACHTGEVER!$A$2:$B$4,2,FALSE),"")</f>
        <v>SKIIFM_AT</v>
      </c>
      <c r="F1376" s="11" t="s">
        <v>58</v>
      </c>
      <c r="I1376" s="11" t="str">
        <f>IF(DATA!B1375&lt;&gt;"",DATA!B1375,"")</f>
        <v>MSCU5497581</v>
      </c>
      <c r="J1376" s="12">
        <v>0</v>
      </c>
      <c r="K1376" s="11" t="s">
        <v>53</v>
      </c>
      <c r="L1376" s="11" t="str">
        <f t="shared" si="88"/>
        <v>846150</v>
      </c>
      <c r="M1376" s="11" t="str">
        <f>IF(I1376&lt;&gt;"",DATA!E1375,"")</f>
        <v>PLASMA CUTTING EQUIPMENT</v>
      </c>
      <c r="N1376" s="12">
        <v>0</v>
      </c>
      <c r="O1376" s="11">
        <f>IF(I1376&lt;&gt;"",DATA!C1375,"")</f>
        <v>6.95</v>
      </c>
      <c r="P1376" s="2">
        <v>294094</v>
      </c>
      <c r="Q1376" s="2" t="s">
        <v>1304</v>
      </c>
      <c r="R1376" s="2" t="s">
        <v>1331</v>
      </c>
      <c r="S1376" s="2">
        <v>348</v>
      </c>
      <c r="T1376" s="2">
        <v>1</v>
      </c>
      <c r="U1376" s="2" t="s">
        <v>141</v>
      </c>
      <c r="Y1376" s="2">
        <v>1700</v>
      </c>
      <c r="Z1376" s="11" t="s">
        <v>54</v>
      </c>
      <c r="AA1376" s="11" t="str">
        <f t="shared" si="89"/>
        <v>1700 - TBN</v>
      </c>
      <c r="AC1376" s="2" t="s">
        <v>145</v>
      </c>
      <c r="AD1376" s="11" t="str">
        <f>IF($I1376&lt;&gt;"",VLOOKUP($AC1376,GEADRESSEERDE!$A$2:$E$4,2,),"")</f>
        <v>LUITHAGEN HAVEN 2 D</v>
      </c>
      <c r="AE1376" s="11">
        <f>IF($I1376&lt;&gt;"",VLOOKUP($AC1376,GEADRESSEERDE!$A$2:$E$4,3,),"")</f>
        <v>2030</v>
      </c>
      <c r="AF1376" s="11" t="str">
        <f>IF($I1376&lt;&gt;"",VLOOKUP($AC1376,GEADRESSEERDE!$A$2:$E$4,4,),"")</f>
        <v>ANTWERPEN</v>
      </c>
      <c r="AG1376" s="11" t="str">
        <f>IF($I1376&lt;&gt;"",VLOOKUP($AC1376,GEADRESSEERDE!$A$2:$E$4,5,),"")</f>
        <v>BE</v>
      </c>
      <c r="AH1376" s="11" t="str">
        <f>IF(I1376&lt;&gt;"",VLOOKUP(AP1376,KvB!$A$2:$B$3,2,FALSE),"")</f>
        <v>BE101000</v>
      </c>
      <c r="AI1376" s="11" t="s">
        <v>55</v>
      </c>
      <c r="AJ1376" s="11"/>
      <c r="AK1376" s="11"/>
      <c r="AL1376" s="11"/>
      <c r="AM1376" s="11"/>
      <c r="AN1376" s="11"/>
      <c r="AO1376" s="11"/>
      <c r="AP1376" s="2" t="s">
        <v>70</v>
      </c>
      <c r="AQ1376" s="11" t="str">
        <f>IF(I1376&lt;&gt;"",DATA!D1375,"")</f>
        <v>8461509000</v>
      </c>
    </row>
    <row r="1377" spans="1:43" ht="15.75" x14ac:dyDescent="0.25">
      <c r="A1377" s="11" t="s">
        <v>57</v>
      </c>
      <c r="B1377" s="11" t="s">
        <v>56</v>
      </c>
      <c r="C1377" s="22">
        <f t="shared" si="90"/>
        <v>25001620</v>
      </c>
      <c r="D1377" s="11" t="str">
        <f t="shared" si="87"/>
        <v>SKIIFM_AT</v>
      </c>
      <c r="E1377" s="11" t="str">
        <f>IF(I1377&lt;&gt;"",VLOOKUP(F1377,OPDRACHTGEVER!$A$2:$B$4,2,FALSE),"")</f>
        <v>SKIIFM_AT</v>
      </c>
      <c r="F1377" s="11" t="s">
        <v>58</v>
      </c>
      <c r="I1377" s="11" t="str">
        <f>IF(DATA!B1376&lt;&gt;"",DATA!B1376,"")</f>
        <v>MSCU5497581</v>
      </c>
      <c r="J1377" s="12">
        <v>0</v>
      </c>
      <c r="K1377" s="11" t="s">
        <v>53</v>
      </c>
      <c r="L1377" s="11" t="str">
        <f t="shared" si="88"/>
        <v>560900</v>
      </c>
      <c r="M1377" s="11" t="str">
        <f>IF(I1377&lt;&gt;"",DATA!E1376,"")</f>
        <v>POLYESTER PULL TAPES</v>
      </c>
      <c r="N1377" s="12">
        <v>0</v>
      </c>
      <c r="O1377" s="11">
        <f>IF(I1377&lt;&gt;"",DATA!C1376,"")</f>
        <v>0.9</v>
      </c>
      <c r="P1377" s="2">
        <v>294094</v>
      </c>
      <c r="Q1377" s="2" t="s">
        <v>1304</v>
      </c>
      <c r="R1377" s="2" t="s">
        <v>1331</v>
      </c>
      <c r="S1377" s="2">
        <v>348</v>
      </c>
      <c r="T1377" s="2">
        <v>1</v>
      </c>
      <c r="U1377" s="2" t="s">
        <v>141</v>
      </c>
      <c r="Y1377" s="2">
        <v>1700</v>
      </c>
      <c r="Z1377" s="11" t="s">
        <v>54</v>
      </c>
      <c r="AA1377" s="11" t="str">
        <f t="shared" si="89"/>
        <v>1700 - TBN</v>
      </c>
      <c r="AC1377" s="2" t="s">
        <v>145</v>
      </c>
      <c r="AD1377" s="11" t="str">
        <f>IF($I1377&lt;&gt;"",VLOOKUP($AC1377,GEADRESSEERDE!$A$2:$E$4,2,),"")</f>
        <v>LUITHAGEN HAVEN 2 D</v>
      </c>
      <c r="AE1377" s="11">
        <f>IF($I1377&lt;&gt;"",VLOOKUP($AC1377,GEADRESSEERDE!$A$2:$E$4,3,),"")</f>
        <v>2030</v>
      </c>
      <c r="AF1377" s="11" t="str">
        <f>IF($I1377&lt;&gt;"",VLOOKUP($AC1377,GEADRESSEERDE!$A$2:$E$4,4,),"")</f>
        <v>ANTWERPEN</v>
      </c>
      <c r="AG1377" s="11" t="str">
        <f>IF($I1377&lt;&gt;"",VLOOKUP($AC1377,GEADRESSEERDE!$A$2:$E$4,5,),"")</f>
        <v>BE</v>
      </c>
      <c r="AH1377" s="11" t="str">
        <f>IF(I1377&lt;&gt;"",VLOOKUP(AP1377,KvB!$A$2:$B$3,2,FALSE),"")</f>
        <v>BE101000</v>
      </c>
      <c r="AI1377" s="11" t="s">
        <v>55</v>
      </c>
      <c r="AJ1377" s="11"/>
      <c r="AK1377" s="11"/>
      <c r="AL1377" s="11"/>
      <c r="AM1377" s="11"/>
      <c r="AN1377" s="11"/>
      <c r="AO1377" s="11"/>
      <c r="AP1377" s="2" t="s">
        <v>70</v>
      </c>
      <c r="AQ1377" s="11" t="str">
        <f>IF(I1377&lt;&gt;"",DATA!D1376,"")</f>
        <v>5609000000</v>
      </c>
    </row>
    <row r="1378" spans="1:43" ht="15.75" x14ac:dyDescent="0.25">
      <c r="A1378" s="11" t="s">
        <v>57</v>
      </c>
      <c r="B1378" s="11" t="s">
        <v>56</v>
      </c>
      <c r="C1378" s="22">
        <f t="shared" si="90"/>
        <v>25001620</v>
      </c>
      <c r="D1378" s="11" t="str">
        <f t="shared" si="87"/>
        <v>SKIIFM_AT</v>
      </c>
      <c r="E1378" s="11" t="str">
        <f>IF(I1378&lt;&gt;"",VLOOKUP(F1378,OPDRACHTGEVER!$A$2:$B$4,2,FALSE),"")</f>
        <v>SKIIFM_AT</v>
      </c>
      <c r="F1378" s="11" t="s">
        <v>58</v>
      </c>
      <c r="I1378" s="11" t="str">
        <f>IF(DATA!B1377&lt;&gt;"",DATA!B1377,"")</f>
        <v>MSCU5497581</v>
      </c>
      <c r="J1378" s="12">
        <v>0</v>
      </c>
      <c r="K1378" s="11" t="s">
        <v>53</v>
      </c>
      <c r="L1378" s="11" t="str">
        <f t="shared" si="88"/>
        <v>848350</v>
      </c>
      <c r="M1378" s="11" t="str">
        <f>IF(I1378&lt;&gt;"",DATA!E1377,"")</f>
        <v>PULLEY</v>
      </c>
      <c r="N1378" s="12">
        <v>0</v>
      </c>
      <c r="O1378" s="11">
        <f>IF(I1378&lt;&gt;"",DATA!C1377,"")</f>
        <v>3.75</v>
      </c>
      <c r="P1378" s="2">
        <v>294094</v>
      </c>
      <c r="Q1378" s="2" t="s">
        <v>1304</v>
      </c>
      <c r="R1378" s="2" t="s">
        <v>1331</v>
      </c>
      <c r="S1378" s="2">
        <v>348</v>
      </c>
      <c r="T1378" s="2">
        <v>1</v>
      </c>
      <c r="U1378" s="2" t="s">
        <v>141</v>
      </c>
      <c r="Y1378" s="2">
        <v>1700</v>
      </c>
      <c r="Z1378" s="11" t="s">
        <v>54</v>
      </c>
      <c r="AA1378" s="11" t="str">
        <f t="shared" si="89"/>
        <v>1700 - TBN</v>
      </c>
      <c r="AC1378" s="2" t="s">
        <v>145</v>
      </c>
      <c r="AD1378" s="11" t="str">
        <f>IF($I1378&lt;&gt;"",VLOOKUP($AC1378,GEADRESSEERDE!$A$2:$E$4,2,),"")</f>
        <v>LUITHAGEN HAVEN 2 D</v>
      </c>
      <c r="AE1378" s="11">
        <f>IF($I1378&lt;&gt;"",VLOOKUP($AC1378,GEADRESSEERDE!$A$2:$E$4,3,),"")</f>
        <v>2030</v>
      </c>
      <c r="AF1378" s="11" t="str">
        <f>IF($I1378&lt;&gt;"",VLOOKUP($AC1378,GEADRESSEERDE!$A$2:$E$4,4,),"")</f>
        <v>ANTWERPEN</v>
      </c>
      <c r="AG1378" s="11" t="str">
        <f>IF($I1378&lt;&gt;"",VLOOKUP($AC1378,GEADRESSEERDE!$A$2:$E$4,5,),"")</f>
        <v>BE</v>
      </c>
      <c r="AH1378" s="11" t="str">
        <f>IF(I1378&lt;&gt;"",VLOOKUP(AP1378,KvB!$A$2:$B$3,2,FALSE),"")</f>
        <v>BE101000</v>
      </c>
      <c r="AI1378" s="11" t="s">
        <v>55</v>
      </c>
      <c r="AJ1378" s="11"/>
      <c r="AK1378" s="11"/>
      <c r="AL1378" s="11"/>
      <c r="AM1378" s="11"/>
      <c r="AN1378" s="11"/>
      <c r="AO1378" s="11"/>
      <c r="AP1378" s="2" t="s">
        <v>70</v>
      </c>
      <c r="AQ1378" s="11" t="str">
        <f>IF(I1378&lt;&gt;"",DATA!D1377,"")</f>
        <v>8483508090</v>
      </c>
    </row>
    <row r="1379" spans="1:43" ht="15.75" x14ac:dyDescent="0.25">
      <c r="A1379" s="11" t="s">
        <v>57</v>
      </c>
      <c r="B1379" s="11" t="s">
        <v>56</v>
      </c>
      <c r="C1379" s="22">
        <f t="shared" si="90"/>
        <v>25001620</v>
      </c>
      <c r="D1379" s="11" t="str">
        <f t="shared" si="87"/>
        <v>SKIIFM_AT</v>
      </c>
      <c r="E1379" s="11" t="str">
        <f>IF(I1379&lt;&gt;"",VLOOKUP(F1379,OPDRACHTGEVER!$A$2:$B$4,2,FALSE),"")</f>
        <v>SKIIFM_AT</v>
      </c>
      <c r="F1379" s="11" t="s">
        <v>58</v>
      </c>
      <c r="I1379" s="11" t="str">
        <f>IF(DATA!B1378&lt;&gt;"",DATA!B1378,"")</f>
        <v>MSCU5497581</v>
      </c>
      <c r="J1379" s="12">
        <v>0</v>
      </c>
      <c r="K1379" s="11" t="s">
        <v>53</v>
      </c>
      <c r="L1379" s="11" t="str">
        <f t="shared" si="88"/>
        <v>820510</v>
      </c>
      <c r="M1379" s="11" t="str">
        <f>IF(I1379&lt;&gt;"",DATA!E1378,"")</f>
        <v>PUNCH LOCATOR</v>
      </c>
      <c r="N1379" s="12">
        <v>0</v>
      </c>
      <c r="O1379" s="11">
        <f>IF(I1379&lt;&gt;"",DATA!C1378,"")</f>
        <v>5.25</v>
      </c>
      <c r="P1379" s="2">
        <v>294094</v>
      </c>
      <c r="Q1379" s="2" t="s">
        <v>1304</v>
      </c>
      <c r="R1379" s="2" t="s">
        <v>1331</v>
      </c>
      <c r="S1379" s="2">
        <v>348</v>
      </c>
      <c r="T1379" s="2">
        <v>1</v>
      </c>
      <c r="U1379" s="2" t="s">
        <v>141</v>
      </c>
      <c r="Y1379" s="2">
        <v>1700</v>
      </c>
      <c r="Z1379" s="11" t="s">
        <v>54</v>
      </c>
      <c r="AA1379" s="11" t="str">
        <f t="shared" si="89"/>
        <v>1700 - TBN</v>
      </c>
      <c r="AC1379" s="2" t="s">
        <v>145</v>
      </c>
      <c r="AD1379" s="11" t="str">
        <f>IF($I1379&lt;&gt;"",VLOOKUP($AC1379,GEADRESSEERDE!$A$2:$E$4,2,),"")</f>
        <v>LUITHAGEN HAVEN 2 D</v>
      </c>
      <c r="AE1379" s="11">
        <f>IF($I1379&lt;&gt;"",VLOOKUP($AC1379,GEADRESSEERDE!$A$2:$E$4,3,),"")</f>
        <v>2030</v>
      </c>
      <c r="AF1379" s="11" t="str">
        <f>IF($I1379&lt;&gt;"",VLOOKUP($AC1379,GEADRESSEERDE!$A$2:$E$4,4,),"")</f>
        <v>ANTWERPEN</v>
      </c>
      <c r="AG1379" s="11" t="str">
        <f>IF($I1379&lt;&gt;"",VLOOKUP($AC1379,GEADRESSEERDE!$A$2:$E$4,5,),"")</f>
        <v>BE</v>
      </c>
      <c r="AH1379" s="11" t="str">
        <f>IF(I1379&lt;&gt;"",VLOOKUP(AP1379,KvB!$A$2:$B$3,2,FALSE),"")</f>
        <v>BE101000</v>
      </c>
      <c r="AI1379" s="11" t="s">
        <v>55</v>
      </c>
      <c r="AJ1379" s="11"/>
      <c r="AK1379" s="11"/>
      <c r="AL1379" s="11"/>
      <c r="AM1379" s="11"/>
      <c r="AN1379" s="11"/>
      <c r="AO1379" s="11"/>
      <c r="AP1379" s="2" t="s">
        <v>70</v>
      </c>
      <c r="AQ1379" s="11" t="str">
        <f>IF(I1379&lt;&gt;"",DATA!D1378,"")</f>
        <v>8205100000</v>
      </c>
    </row>
    <row r="1380" spans="1:43" ht="15.75" x14ac:dyDescent="0.25">
      <c r="A1380" s="11" t="s">
        <v>57</v>
      </c>
      <c r="B1380" s="11" t="s">
        <v>56</v>
      </c>
      <c r="C1380" s="22">
        <f t="shared" si="90"/>
        <v>25001620</v>
      </c>
      <c r="D1380" s="11" t="str">
        <f t="shared" si="87"/>
        <v>SKIIFM_AT</v>
      </c>
      <c r="E1380" s="11" t="str">
        <f>IF(I1380&lt;&gt;"",VLOOKUP(F1380,OPDRACHTGEVER!$A$2:$B$4,2,FALSE),"")</f>
        <v>SKIIFM_AT</v>
      </c>
      <c r="F1380" s="11" t="s">
        <v>58</v>
      </c>
      <c r="I1380" s="11" t="str">
        <f>IF(DATA!B1379&lt;&gt;"",DATA!B1379,"")</f>
        <v>MSCU5497581</v>
      </c>
      <c r="J1380" s="12">
        <v>0</v>
      </c>
      <c r="K1380" s="11" t="s">
        <v>53</v>
      </c>
      <c r="L1380" s="11" t="str">
        <f t="shared" si="88"/>
        <v>820551</v>
      </c>
      <c r="M1380" s="11" t="str">
        <f>IF(I1380&lt;&gt;"",DATA!E1379,"")</f>
        <v>PUTTY SCRAPER</v>
      </c>
      <c r="N1380" s="12">
        <v>0</v>
      </c>
      <c r="O1380" s="11">
        <f>IF(I1380&lt;&gt;"",DATA!C1379,"")</f>
        <v>1.4</v>
      </c>
      <c r="P1380" s="2">
        <v>294094</v>
      </c>
      <c r="Q1380" s="2" t="s">
        <v>1304</v>
      </c>
      <c r="R1380" s="2" t="s">
        <v>1331</v>
      </c>
      <c r="S1380" s="2">
        <v>348</v>
      </c>
      <c r="T1380" s="2">
        <v>1</v>
      </c>
      <c r="U1380" s="2" t="s">
        <v>141</v>
      </c>
      <c r="Y1380" s="2">
        <v>1700</v>
      </c>
      <c r="Z1380" s="11" t="s">
        <v>54</v>
      </c>
      <c r="AA1380" s="11" t="str">
        <f t="shared" si="89"/>
        <v>1700 - TBN</v>
      </c>
      <c r="AC1380" s="2" t="s">
        <v>145</v>
      </c>
      <c r="AD1380" s="11" t="str">
        <f>IF($I1380&lt;&gt;"",VLOOKUP($AC1380,GEADRESSEERDE!$A$2:$E$4,2,),"")</f>
        <v>LUITHAGEN HAVEN 2 D</v>
      </c>
      <c r="AE1380" s="11">
        <f>IF($I1380&lt;&gt;"",VLOOKUP($AC1380,GEADRESSEERDE!$A$2:$E$4,3,),"")</f>
        <v>2030</v>
      </c>
      <c r="AF1380" s="11" t="str">
        <f>IF($I1380&lt;&gt;"",VLOOKUP($AC1380,GEADRESSEERDE!$A$2:$E$4,4,),"")</f>
        <v>ANTWERPEN</v>
      </c>
      <c r="AG1380" s="11" t="str">
        <f>IF($I1380&lt;&gt;"",VLOOKUP($AC1380,GEADRESSEERDE!$A$2:$E$4,5,),"")</f>
        <v>BE</v>
      </c>
      <c r="AH1380" s="11" t="str">
        <f>IF(I1380&lt;&gt;"",VLOOKUP(AP1380,KvB!$A$2:$B$3,2,FALSE),"")</f>
        <v>BE101000</v>
      </c>
      <c r="AI1380" s="11" t="s">
        <v>55</v>
      </c>
      <c r="AJ1380" s="11"/>
      <c r="AK1380" s="11"/>
      <c r="AL1380" s="11"/>
      <c r="AM1380" s="11"/>
      <c r="AN1380" s="11"/>
      <c r="AO1380" s="11"/>
      <c r="AP1380" s="2" t="s">
        <v>70</v>
      </c>
      <c r="AQ1380" s="11" t="str">
        <f>IF(I1380&lt;&gt;"",DATA!D1379,"")</f>
        <v>8205510000</v>
      </c>
    </row>
    <row r="1381" spans="1:43" ht="15.75" x14ac:dyDescent="0.25">
      <c r="A1381" s="11" t="s">
        <v>57</v>
      </c>
      <c r="B1381" s="11" t="s">
        <v>56</v>
      </c>
      <c r="C1381" s="22">
        <f t="shared" si="90"/>
        <v>25001620</v>
      </c>
      <c r="D1381" s="11" t="str">
        <f t="shared" si="87"/>
        <v>SKIIFM_AT</v>
      </c>
      <c r="E1381" s="11" t="str">
        <f>IF(I1381&lt;&gt;"",VLOOKUP(F1381,OPDRACHTGEVER!$A$2:$B$4,2,FALSE),"")</f>
        <v>SKIIFM_AT</v>
      </c>
      <c r="F1381" s="11" t="s">
        <v>58</v>
      </c>
      <c r="I1381" s="11" t="str">
        <f>IF(DATA!B1380&lt;&gt;"",DATA!B1380,"")</f>
        <v>MSCU5497581</v>
      </c>
      <c r="J1381" s="12">
        <v>0</v>
      </c>
      <c r="K1381" s="11" t="s">
        <v>53</v>
      </c>
      <c r="L1381" s="11" t="str">
        <f t="shared" si="88"/>
        <v>391810</v>
      </c>
      <c r="M1381" s="11" t="str">
        <f>IF(I1381&lt;&gt;"",DATA!E1380,"")</f>
        <v>PVC FLOOR MAT</v>
      </c>
      <c r="N1381" s="12">
        <v>0</v>
      </c>
      <c r="O1381" s="11">
        <f>IF(I1381&lt;&gt;"",DATA!C1380,"")</f>
        <v>21.7</v>
      </c>
      <c r="P1381" s="2">
        <v>294094</v>
      </c>
      <c r="Q1381" s="2" t="s">
        <v>1304</v>
      </c>
      <c r="R1381" s="2" t="s">
        <v>1331</v>
      </c>
      <c r="S1381" s="2">
        <v>348</v>
      </c>
      <c r="T1381" s="2">
        <v>1</v>
      </c>
      <c r="U1381" s="2" t="s">
        <v>141</v>
      </c>
      <c r="Y1381" s="2">
        <v>1700</v>
      </c>
      <c r="Z1381" s="11" t="s">
        <v>54</v>
      </c>
      <c r="AA1381" s="11" t="str">
        <f t="shared" si="89"/>
        <v>1700 - TBN</v>
      </c>
      <c r="AC1381" s="2" t="s">
        <v>145</v>
      </c>
      <c r="AD1381" s="11" t="str">
        <f>IF($I1381&lt;&gt;"",VLOOKUP($AC1381,GEADRESSEERDE!$A$2:$E$4,2,),"")</f>
        <v>LUITHAGEN HAVEN 2 D</v>
      </c>
      <c r="AE1381" s="11">
        <f>IF($I1381&lt;&gt;"",VLOOKUP($AC1381,GEADRESSEERDE!$A$2:$E$4,3,),"")</f>
        <v>2030</v>
      </c>
      <c r="AF1381" s="11" t="str">
        <f>IF($I1381&lt;&gt;"",VLOOKUP($AC1381,GEADRESSEERDE!$A$2:$E$4,4,),"")</f>
        <v>ANTWERPEN</v>
      </c>
      <c r="AG1381" s="11" t="str">
        <f>IF($I1381&lt;&gt;"",VLOOKUP($AC1381,GEADRESSEERDE!$A$2:$E$4,5,),"")</f>
        <v>BE</v>
      </c>
      <c r="AH1381" s="11" t="str">
        <f>IF(I1381&lt;&gt;"",VLOOKUP(AP1381,KvB!$A$2:$B$3,2,FALSE),"")</f>
        <v>BE101000</v>
      </c>
      <c r="AI1381" s="11" t="s">
        <v>55</v>
      </c>
      <c r="AJ1381" s="11"/>
      <c r="AK1381" s="11"/>
      <c r="AL1381" s="11"/>
      <c r="AM1381" s="11"/>
      <c r="AN1381" s="11"/>
      <c r="AO1381" s="11"/>
      <c r="AP1381" s="2" t="s">
        <v>70</v>
      </c>
      <c r="AQ1381" s="11" t="str">
        <f>IF(I1381&lt;&gt;"",DATA!D1380,"")</f>
        <v>3918109090</v>
      </c>
    </row>
    <row r="1382" spans="1:43" ht="15.75" x14ac:dyDescent="0.25">
      <c r="A1382" s="11" t="s">
        <v>57</v>
      </c>
      <c r="B1382" s="11" t="s">
        <v>56</v>
      </c>
      <c r="C1382" s="22">
        <f t="shared" si="90"/>
        <v>25001620</v>
      </c>
      <c r="D1382" s="11" t="str">
        <f t="shared" si="87"/>
        <v>SKIIFM_AT</v>
      </c>
      <c r="E1382" s="11" t="str">
        <f>IF(I1382&lt;&gt;"",VLOOKUP(F1382,OPDRACHTGEVER!$A$2:$B$4,2,FALSE),"")</f>
        <v>SKIIFM_AT</v>
      </c>
      <c r="F1382" s="11" t="s">
        <v>58</v>
      </c>
      <c r="I1382" s="11" t="str">
        <f>IF(DATA!B1381&lt;&gt;"",DATA!B1381,"")</f>
        <v>MSCU5497581</v>
      </c>
      <c r="J1382" s="12">
        <v>0</v>
      </c>
      <c r="K1382" s="11" t="s">
        <v>53</v>
      </c>
      <c r="L1382" s="11" t="str">
        <f t="shared" si="88"/>
        <v>842382</v>
      </c>
      <c r="M1382" s="11" t="str">
        <f>IF(I1382&lt;&gt;"",DATA!E1381,"")</f>
        <v>SCALE KIT</v>
      </c>
      <c r="N1382" s="12">
        <v>0</v>
      </c>
      <c r="O1382" s="11">
        <f>IF(I1382&lt;&gt;"",DATA!C1381,"")</f>
        <v>2.65</v>
      </c>
      <c r="P1382" s="2">
        <v>294094</v>
      </c>
      <c r="Q1382" s="2" t="s">
        <v>1304</v>
      </c>
      <c r="R1382" s="2" t="s">
        <v>1331</v>
      </c>
      <c r="S1382" s="2">
        <v>348</v>
      </c>
      <c r="T1382" s="2">
        <v>1</v>
      </c>
      <c r="U1382" s="2" t="s">
        <v>141</v>
      </c>
      <c r="Y1382" s="2">
        <v>1700</v>
      </c>
      <c r="Z1382" s="11" t="s">
        <v>54</v>
      </c>
      <c r="AA1382" s="11" t="str">
        <f t="shared" si="89"/>
        <v>1700 - TBN</v>
      </c>
      <c r="AC1382" s="2" t="s">
        <v>145</v>
      </c>
      <c r="AD1382" s="11" t="str">
        <f>IF($I1382&lt;&gt;"",VLOOKUP($AC1382,GEADRESSEERDE!$A$2:$E$4,2,),"")</f>
        <v>LUITHAGEN HAVEN 2 D</v>
      </c>
      <c r="AE1382" s="11">
        <f>IF($I1382&lt;&gt;"",VLOOKUP($AC1382,GEADRESSEERDE!$A$2:$E$4,3,),"")</f>
        <v>2030</v>
      </c>
      <c r="AF1382" s="11" t="str">
        <f>IF($I1382&lt;&gt;"",VLOOKUP($AC1382,GEADRESSEERDE!$A$2:$E$4,4,),"")</f>
        <v>ANTWERPEN</v>
      </c>
      <c r="AG1382" s="11" t="str">
        <f>IF($I1382&lt;&gt;"",VLOOKUP($AC1382,GEADRESSEERDE!$A$2:$E$4,5,),"")</f>
        <v>BE</v>
      </c>
      <c r="AH1382" s="11" t="str">
        <f>IF(I1382&lt;&gt;"",VLOOKUP(AP1382,KvB!$A$2:$B$3,2,FALSE),"")</f>
        <v>BE101000</v>
      </c>
      <c r="AI1382" s="11" t="s">
        <v>55</v>
      </c>
      <c r="AJ1382" s="11"/>
      <c r="AK1382" s="11"/>
      <c r="AL1382" s="11"/>
      <c r="AM1382" s="11"/>
      <c r="AN1382" s="11"/>
      <c r="AO1382" s="11"/>
      <c r="AP1382" s="2" t="s">
        <v>70</v>
      </c>
      <c r="AQ1382" s="11" t="str">
        <f>IF(I1382&lt;&gt;"",DATA!D1381,"")</f>
        <v>8423822000</v>
      </c>
    </row>
    <row r="1383" spans="1:43" ht="15.75" x14ac:dyDescent="0.25">
      <c r="A1383" s="11" t="s">
        <v>57</v>
      </c>
      <c r="B1383" s="11" t="s">
        <v>56</v>
      </c>
      <c r="C1383" s="22">
        <f t="shared" si="90"/>
        <v>25001620</v>
      </c>
      <c r="D1383" s="11" t="str">
        <f t="shared" si="87"/>
        <v>SKIIFM_AT</v>
      </c>
      <c r="E1383" s="11" t="str">
        <f>IF(I1383&lt;&gt;"",VLOOKUP(F1383,OPDRACHTGEVER!$A$2:$B$4,2,FALSE),"")</f>
        <v>SKIIFM_AT</v>
      </c>
      <c r="F1383" s="11" t="s">
        <v>58</v>
      </c>
      <c r="I1383" s="11" t="str">
        <f>IF(DATA!B1382&lt;&gt;"",DATA!B1382,"")</f>
        <v>MSCU5497581</v>
      </c>
      <c r="J1383" s="12">
        <v>0</v>
      </c>
      <c r="K1383" s="11" t="s">
        <v>53</v>
      </c>
      <c r="L1383" s="11" t="str">
        <f t="shared" si="88"/>
        <v>851672</v>
      </c>
      <c r="M1383" s="11" t="str">
        <f>IF(I1383&lt;&gt;"",DATA!E1382,"")</f>
        <v>SHELLER</v>
      </c>
      <c r="N1383" s="12">
        <v>0</v>
      </c>
      <c r="O1383" s="11">
        <f>IF(I1383&lt;&gt;"",DATA!C1382,"")</f>
        <v>1.52</v>
      </c>
      <c r="P1383" s="2">
        <v>294094</v>
      </c>
      <c r="Q1383" s="2" t="s">
        <v>1304</v>
      </c>
      <c r="R1383" s="2" t="s">
        <v>1331</v>
      </c>
      <c r="S1383" s="2">
        <v>348</v>
      </c>
      <c r="T1383" s="2">
        <v>1</v>
      </c>
      <c r="U1383" s="2" t="s">
        <v>141</v>
      </c>
      <c r="Y1383" s="2">
        <v>1700</v>
      </c>
      <c r="Z1383" s="11" t="s">
        <v>54</v>
      </c>
      <c r="AA1383" s="11" t="str">
        <f t="shared" si="89"/>
        <v>1700 - TBN</v>
      </c>
      <c r="AC1383" s="2" t="s">
        <v>145</v>
      </c>
      <c r="AD1383" s="11" t="str">
        <f>IF($I1383&lt;&gt;"",VLOOKUP($AC1383,GEADRESSEERDE!$A$2:$E$4,2,),"")</f>
        <v>LUITHAGEN HAVEN 2 D</v>
      </c>
      <c r="AE1383" s="11">
        <f>IF($I1383&lt;&gt;"",VLOOKUP($AC1383,GEADRESSEERDE!$A$2:$E$4,3,),"")</f>
        <v>2030</v>
      </c>
      <c r="AF1383" s="11" t="str">
        <f>IF($I1383&lt;&gt;"",VLOOKUP($AC1383,GEADRESSEERDE!$A$2:$E$4,4,),"")</f>
        <v>ANTWERPEN</v>
      </c>
      <c r="AG1383" s="11" t="str">
        <f>IF($I1383&lt;&gt;"",VLOOKUP($AC1383,GEADRESSEERDE!$A$2:$E$4,5,),"")</f>
        <v>BE</v>
      </c>
      <c r="AH1383" s="11" t="str">
        <f>IF(I1383&lt;&gt;"",VLOOKUP(AP1383,KvB!$A$2:$B$3,2,FALSE),"")</f>
        <v>BE101000</v>
      </c>
      <c r="AI1383" s="11" t="s">
        <v>55</v>
      </c>
      <c r="AJ1383" s="11"/>
      <c r="AK1383" s="11"/>
      <c r="AL1383" s="11"/>
      <c r="AM1383" s="11"/>
      <c r="AN1383" s="11"/>
      <c r="AO1383" s="11"/>
      <c r="AP1383" s="2" t="s">
        <v>70</v>
      </c>
      <c r="AQ1383" s="11" t="str">
        <f>IF(I1383&lt;&gt;"",DATA!D1382,"")</f>
        <v>8516720000</v>
      </c>
    </row>
    <row r="1384" spans="1:43" ht="15.75" x14ac:dyDescent="0.25">
      <c r="A1384" s="11" t="s">
        <v>57</v>
      </c>
      <c r="B1384" s="11" t="s">
        <v>56</v>
      </c>
      <c r="C1384" s="22">
        <f t="shared" si="90"/>
        <v>25001620</v>
      </c>
      <c r="D1384" s="11" t="str">
        <f t="shared" si="87"/>
        <v>SKIIFM_AT</v>
      </c>
      <c r="E1384" s="11" t="str">
        <f>IF(I1384&lt;&gt;"",VLOOKUP(F1384,OPDRACHTGEVER!$A$2:$B$4,2,FALSE),"")</f>
        <v>SKIIFM_AT</v>
      </c>
      <c r="F1384" s="11" t="s">
        <v>58</v>
      </c>
      <c r="I1384" s="11" t="str">
        <f>IF(DATA!B1383&lt;&gt;"",DATA!B1383,"")</f>
        <v>MSCU5497581</v>
      </c>
      <c r="J1384" s="12">
        <v>0</v>
      </c>
      <c r="K1384" s="11" t="s">
        <v>53</v>
      </c>
      <c r="L1384" s="11" t="str">
        <f t="shared" si="88"/>
        <v>741920</v>
      </c>
      <c r="M1384" s="11" t="str">
        <f>IF(I1384&lt;&gt;"",DATA!E1383,"")</f>
        <v>BAKING PAN</v>
      </c>
      <c r="N1384" s="12">
        <v>0</v>
      </c>
      <c r="O1384" s="11">
        <f>IF(I1384&lt;&gt;"",DATA!C1383,"")</f>
        <v>3.45</v>
      </c>
      <c r="P1384" s="2">
        <v>294094</v>
      </c>
      <c r="Q1384" s="2" t="s">
        <v>1304</v>
      </c>
      <c r="R1384" s="2" t="s">
        <v>1331</v>
      </c>
      <c r="S1384" s="2">
        <v>348</v>
      </c>
      <c r="T1384" s="2">
        <v>1</v>
      </c>
      <c r="U1384" s="2" t="s">
        <v>141</v>
      </c>
      <c r="Y1384" s="2">
        <v>1700</v>
      </c>
      <c r="Z1384" s="11" t="s">
        <v>54</v>
      </c>
      <c r="AA1384" s="11" t="str">
        <f t="shared" si="89"/>
        <v>1700 - TBN</v>
      </c>
      <c r="AC1384" s="2" t="s">
        <v>145</v>
      </c>
      <c r="AD1384" s="11" t="str">
        <f>IF($I1384&lt;&gt;"",VLOOKUP($AC1384,GEADRESSEERDE!$A$2:$E$4,2,),"")</f>
        <v>LUITHAGEN HAVEN 2 D</v>
      </c>
      <c r="AE1384" s="11">
        <f>IF($I1384&lt;&gt;"",VLOOKUP($AC1384,GEADRESSEERDE!$A$2:$E$4,3,),"")</f>
        <v>2030</v>
      </c>
      <c r="AF1384" s="11" t="str">
        <f>IF($I1384&lt;&gt;"",VLOOKUP($AC1384,GEADRESSEERDE!$A$2:$E$4,4,),"")</f>
        <v>ANTWERPEN</v>
      </c>
      <c r="AG1384" s="11" t="str">
        <f>IF($I1384&lt;&gt;"",VLOOKUP($AC1384,GEADRESSEERDE!$A$2:$E$4,5,),"")</f>
        <v>BE</v>
      </c>
      <c r="AH1384" s="11" t="str">
        <f>IF(I1384&lt;&gt;"",VLOOKUP(AP1384,KvB!$A$2:$B$3,2,FALSE),"")</f>
        <v>BE101000</v>
      </c>
      <c r="AI1384" s="11" t="s">
        <v>55</v>
      </c>
      <c r="AJ1384" s="11"/>
      <c r="AK1384" s="11"/>
      <c r="AL1384" s="11"/>
      <c r="AM1384" s="11"/>
      <c r="AN1384" s="11"/>
      <c r="AO1384" s="11"/>
      <c r="AP1384" s="2" t="s">
        <v>70</v>
      </c>
      <c r="AQ1384" s="11" t="str">
        <f>IF(I1384&lt;&gt;"",DATA!D1383,"")</f>
        <v>7419200090</v>
      </c>
    </row>
    <row r="1385" spans="1:43" ht="15.75" x14ac:dyDescent="0.25">
      <c r="A1385" s="11" t="s">
        <v>57</v>
      </c>
      <c r="B1385" s="11" t="s">
        <v>56</v>
      </c>
      <c r="C1385" s="22">
        <f t="shared" si="90"/>
        <v>25001620</v>
      </c>
      <c r="D1385" s="11" t="str">
        <f t="shared" si="87"/>
        <v>SKIIFM_AT</v>
      </c>
      <c r="E1385" s="11" t="str">
        <f>IF(I1385&lt;&gt;"",VLOOKUP(F1385,OPDRACHTGEVER!$A$2:$B$4,2,FALSE),"")</f>
        <v>SKIIFM_AT</v>
      </c>
      <c r="F1385" s="11" t="s">
        <v>58</v>
      </c>
      <c r="I1385" s="11" t="str">
        <f>IF(DATA!B1384&lt;&gt;"",DATA!B1384,"")</f>
        <v>MSCU5497581</v>
      </c>
      <c r="J1385" s="12">
        <v>0</v>
      </c>
      <c r="K1385" s="11" t="s">
        <v>53</v>
      </c>
      <c r="L1385" s="11" t="str">
        <f t="shared" si="88"/>
        <v>741920</v>
      </c>
      <c r="M1385" s="11" t="str">
        <f>IF(I1385&lt;&gt;"",DATA!E1384,"")</f>
        <v>WIRE ROPE</v>
      </c>
      <c r="N1385" s="12">
        <v>0</v>
      </c>
      <c r="O1385" s="11">
        <f>IF(I1385&lt;&gt;"",DATA!C1384,"")</f>
        <v>3.95</v>
      </c>
      <c r="P1385" s="2">
        <v>294094</v>
      </c>
      <c r="Q1385" s="2" t="s">
        <v>1304</v>
      </c>
      <c r="R1385" s="2" t="s">
        <v>1331</v>
      </c>
      <c r="S1385" s="2">
        <v>348</v>
      </c>
      <c r="T1385" s="2">
        <v>1</v>
      </c>
      <c r="U1385" s="2" t="s">
        <v>141</v>
      </c>
      <c r="Y1385" s="2">
        <v>1700</v>
      </c>
      <c r="Z1385" s="11" t="s">
        <v>54</v>
      </c>
      <c r="AA1385" s="11" t="str">
        <f t="shared" si="89"/>
        <v>1700 - TBN</v>
      </c>
      <c r="AC1385" s="2" t="s">
        <v>145</v>
      </c>
      <c r="AD1385" s="11" t="str">
        <f>IF($I1385&lt;&gt;"",VLOOKUP($AC1385,GEADRESSEERDE!$A$2:$E$4,2,),"")</f>
        <v>LUITHAGEN HAVEN 2 D</v>
      </c>
      <c r="AE1385" s="11">
        <f>IF($I1385&lt;&gt;"",VLOOKUP($AC1385,GEADRESSEERDE!$A$2:$E$4,3,),"")</f>
        <v>2030</v>
      </c>
      <c r="AF1385" s="11" t="str">
        <f>IF($I1385&lt;&gt;"",VLOOKUP($AC1385,GEADRESSEERDE!$A$2:$E$4,4,),"")</f>
        <v>ANTWERPEN</v>
      </c>
      <c r="AG1385" s="11" t="str">
        <f>IF($I1385&lt;&gt;"",VLOOKUP($AC1385,GEADRESSEERDE!$A$2:$E$4,5,),"")</f>
        <v>BE</v>
      </c>
      <c r="AH1385" s="11" t="str">
        <f>IF(I1385&lt;&gt;"",VLOOKUP(AP1385,KvB!$A$2:$B$3,2,FALSE),"")</f>
        <v>BE101000</v>
      </c>
      <c r="AI1385" s="11" t="s">
        <v>55</v>
      </c>
      <c r="AJ1385" s="11"/>
      <c r="AK1385" s="11"/>
      <c r="AL1385" s="11"/>
      <c r="AM1385" s="11"/>
      <c r="AN1385" s="11"/>
      <c r="AO1385" s="11"/>
      <c r="AP1385" s="2" t="s">
        <v>70</v>
      </c>
      <c r="AQ1385" s="11" t="str">
        <f>IF(I1385&lt;&gt;"",DATA!D1384,"")</f>
        <v>7419200090</v>
      </c>
    </row>
    <row r="1386" spans="1:43" ht="15.75" x14ac:dyDescent="0.25">
      <c r="A1386" s="11" t="s">
        <v>57</v>
      </c>
      <c r="B1386" s="11" t="s">
        <v>56</v>
      </c>
      <c r="C1386" s="22">
        <f t="shared" si="90"/>
        <v>25001620</v>
      </c>
      <c r="D1386" s="11" t="str">
        <f t="shared" si="87"/>
        <v>SKIIFM_AT</v>
      </c>
      <c r="E1386" s="11" t="str">
        <f>IF(I1386&lt;&gt;"",VLOOKUP(F1386,OPDRACHTGEVER!$A$2:$B$4,2,FALSE),"")</f>
        <v>SKIIFM_AT</v>
      </c>
      <c r="F1386" s="11" t="s">
        <v>58</v>
      </c>
      <c r="I1386" s="11" t="str">
        <f>IF(DATA!B1385&lt;&gt;"",DATA!B1385,"")</f>
        <v>MSCU5497581</v>
      </c>
      <c r="J1386" s="12">
        <v>0</v>
      </c>
      <c r="K1386" s="11" t="s">
        <v>53</v>
      </c>
      <c r="L1386" s="11" t="str">
        <f t="shared" si="88"/>
        <v>870899</v>
      </c>
      <c r="M1386" s="11" t="str">
        <f>IF(I1386&lt;&gt;"",DATA!E1385,"")</f>
        <v>STRAP</v>
      </c>
      <c r="N1386" s="12">
        <v>0</v>
      </c>
      <c r="O1386" s="11">
        <f>IF(I1386&lt;&gt;"",DATA!C1385,"")</f>
        <v>4.7</v>
      </c>
      <c r="P1386" s="2">
        <v>294094</v>
      </c>
      <c r="Q1386" s="2" t="s">
        <v>1304</v>
      </c>
      <c r="R1386" s="2" t="s">
        <v>1331</v>
      </c>
      <c r="S1386" s="2">
        <v>348</v>
      </c>
      <c r="T1386" s="2">
        <v>1</v>
      </c>
      <c r="U1386" s="2" t="s">
        <v>141</v>
      </c>
      <c r="Y1386" s="2">
        <v>1700</v>
      </c>
      <c r="Z1386" s="11" t="s">
        <v>54</v>
      </c>
      <c r="AA1386" s="11" t="str">
        <f t="shared" si="89"/>
        <v>1700 - TBN</v>
      </c>
      <c r="AC1386" s="2" t="s">
        <v>145</v>
      </c>
      <c r="AD1386" s="11" t="str">
        <f>IF($I1386&lt;&gt;"",VLOOKUP($AC1386,GEADRESSEERDE!$A$2:$E$4,2,),"")</f>
        <v>LUITHAGEN HAVEN 2 D</v>
      </c>
      <c r="AE1386" s="11">
        <f>IF($I1386&lt;&gt;"",VLOOKUP($AC1386,GEADRESSEERDE!$A$2:$E$4,3,),"")</f>
        <v>2030</v>
      </c>
      <c r="AF1386" s="11" t="str">
        <f>IF($I1386&lt;&gt;"",VLOOKUP($AC1386,GEADRESSEERDE!$A$2:$E$4,4,),"")</f>
        <v>ANTWERPEN</v>
      </c>
      <c r="AG1386" s="11" t="str">
        <f>IF($I1386&lt;&gt;"",VLOOKUP($AC1386,GEADRESSEERDE!$A$2:$E$4,5,),"")</f>
        <v>BE</v>
      </c>
      <c r="AH1386" s="11" t="str">
        <f>IF(I1386&lt;&gt;"",VLOOKUP(AP1386,KvB!$A$2:$B$3,2,FALSE),"")</f>
        <v>BE101000</v>
      </c>
      <c r="AI1386" s="11" t="s">
        <v>55</v>
      </c>
      <c r="AJ1386" s="11"/>
      <c r="AK1386" s="11"/>
      <c r="AL1386" s="11"/>
      <c r="AM1386" s="11"/>
      <c r="AN1386" s="11"/>
      <c r="AO1386" s="11"/>
      <c r="AP1386" s="2" t="s">
        <v>70</v>
      </c>
      <c r="AQ1386" s="11" t="str">
        <f>IF(I1386&lt;&gt;"",DATA!D1385,"")</f>
        <v>8708999790</v>
      </c>
    </row>
    <row r="1387" spans="1:43" ht="15.75" x14ac:dyDescent="0.25">
      <c r="A1387" s="11" t="s">
        <v>57</v>
      </c>
      <c r="B1387" s="11" t="s">
        <v>56</v>
      </c>
      <c r="C1387" s="22">
        <f t="shared" si="90"/>
        <v>25001620</v>
      </c>
      <c r="D1387" s="11" t="str">
        <f t="shared" si="87"/>
        <v>SKIIFM_AT</v>
      </c>
      <c r="E1387" s="11" t="str">
        <f>IF(I1387&lt;&gt;"",VLOOKUP(F1387,OPDRACHTGEVER!$A$2:$B$4,2,FALSE),"")</f>
        <v>SKIIFM_AT</v>
      </c>
      <c r="F1387" s="11" t="s">
        <v>58</v>
      </c>
      <c r="I1387" s="11" t="str">
        <f>IF(DATA!B1386&lt;&gt;"",DATA!B1386,"")</f>
        <v>MSCU5497581</v>
      </c>
      <c r="J1387" s="12">
        <v>0</v>
      </c>
      <c r="K1387" s="11" t="s">
        <v>53</v>
      </c>
      <c r="L1387" s="11" t="str">
        <f t="shared" si="88"/>
        <v>761699</v>
      </c>
      <c r="M1387" s="11" t="str">
        <f>IF(I1387&lt;&gt;"",DATA!E1386,"")</f>
        <v>TERMINAL ALUMINUM LADDER</v>
      </c>
      <c r="N1387" s="12">
        <v>0</v>
      </c>
      <c r="O1387" s="11">
        <f>IF(I1387&lt;&gt;"",DATA!C1386,"")</f>
        <v>676.2</v>
      </c>
      <c r="P1387" s="2">
        <v>294094</v>
      </c>
      <c r="Q1387" s="2" t="s">
        <v>1304</v>
      </c>
      <c r="R1387" s="2" t="s">
        <v>1331</v>
      </c>
      <c r="S1387" s="2">
        <v>348</v>
      </c>
      <c r="T1387" s="2">
        <v>1</v>
      </c>
      <c r="U1387" s="2" t="s">
        <v>141</v>
      </c>
      <c r="Y1387" s="2">
        <v>1700</v>
      </c>
      <c r="Z1387" s="11" t="s">
        <v>54</v>
      </c>
      <c r="AA1387" s="11" t="str">
        <f t="shared" si="89"/>
        <v>1700 - TBN</v>
      </c>
      <c r="AC1387" s="2" t="s">
        <v>145</v>
      </c>
      <c r="AD1387" s="11" t="str">
        <f>IF($I1387&lt;&gt;"",VLOOKUP($AC1387,GEADRESSEERDE!$A$2:$E$4,2,),"")</f>
        <v>LUITHAGEN HAVEN 2 D</v>
      </c>
      <c r="AE1387" s="11">
        <f>IF($I1387&lt;&gt;"",VLOOKUP($AC1387,GEADRESSEERDE!$A$2:$E$4,3,),"")</f>
        <v>2030</v>
      </c>
      <c r="AF1387" s="11" t="str">
        <f>IF($I1387&lt;&gt;"",VLOOKUP($AC1387,GEADRESSEERDE!$A$2:$E$4,4,),"")</f>
        <v>ANTWERPEN</v>
      </c>
      <c r="AG1387" s="11" t="str">
        <f>IF($I1387&lt;&gt;"",VLOOKUP($AC1387,GEADRESSEERDE!$A$2:$E$4,5,),"")</f>
        <v>BE</v>
      </c>
      <c r="AH1387" s="11" t="str">
        <f>IF(I1387&lt;&gt;"",VLOOKUP(AP1387,KvB!$A$2:$B$3,2,FALSE),"")</f>
        <v>BE101000</v>
      </c>
      <c r="AI1387" s="11" t="s">
        <v>55</v>
      </c>
      <c r="AJ1387" s="11"/>
      <c r="AK1387" s="11"/>
      <c r="AL1387" s="11"/>
      <c r="AM1387" s="11"/>
      <c r="AN1387" s="11"/>
      <c r="AO1387" s="11"/>
      <c r="AP1387" s="2" t="s">
        <v>70</v>
      </c>
      <c r="AQ1387" s="11" t="str">
        <f>IF(I1387&lt;&gt;"",DATA!D1386,"")</f>
        <v>7616999009</v>
      </c>
    </row>
    <row r="1388" spans="1:43" ht="15.75" x14ac:dyDescent="0.25">
      <c r="A1388" s="11" t="s">
        <v>57</v>
      </c>
      <c r="B1388" s="11" t="s">
        <v>56</v>
      </c>
      <c r="C1388" s="22">
        <f t="shared" si="90"/>
        <v>25001620</v>
      </c>
      <c r="D1388" s="11" t="str">
        <f t="shared" si="87"/>
        <v>SKIIFM_AT</v>
      </c>
      <c r="E1388" s="11" t="str">
        <f>IF(I1388&lt;&gt;"",VLOOKUP(F1388,OPDRACHTGEVER!$A$2:$B$4,2,FALSE),"")</f>
        <v>SKIIFM_AT</v>
      </c>
      <c r="F1388" s="11" t="s">
        <v>58</v>
      </c>
      <c r="I1388" s="11" t="str">
        <f>IF(DATA!B1387&lt;&gt;"",DATA!B1387,"")</f>
        <v>MSCU5497581</v>
      </c>
      <c r="J1388" s="12">
        <v>0</v>
      </c>
      <c r="K1388" s="11" t="s">
        <v>53</v>
      </c>
      <c r="L1388" s="11" t="str">
        <f t="shared" si="88"/>
        <v>820740</v>
      </c>
      <c r="M1388" s="11" t="str">
        <f>IF(I1388&lt;&gt;"",DATA!E1387,"")</f>
        <v>THREAD REPAIR KIT</v>
      </c>
      <c r="N1388" s="12">
        <v>0</v>
      </c>
      <c r="O1388" s="11">
        <f>IF(I1388&lt;&gt;"",DATA!C1387,"")</f>
        <v>2.9</v>
      </c>
      <c r="P1388" s="2">
        <v>294094</v>
      </c>
      <c r="Q1388" s="2" t="s">
        <v>1304</v>
      </c>
      <c r="R1388" s="2" t="s">
        <v>1331</v>
      </c>
      <c r="S1388" s="2">
        <v>348</v>
      </c>
      <c r="T1388" s="2">
        <v>1</v>
      </c>
      <c r="U1388" s="2" t="s">
        <v>141</v>
      </c>
      <c r="Y1388" s="2">
        <v>1700</v>
      </c>
      <c r="Z1388" s="11" t="s">
        <v>54</v>
      </c>
      <c r="AA1388" s="11" t="str">
        <f t="shared" si="89"/>
        <v>1700 - TBN</v>
      </c>
      <c r="AC1388" s="2" t="s">
        <v>145</v>
      </c>
      <c r="AD1388" s="11" t="str">
        <f>IF($I1388&lt;&gt;"",VLOOKUP($AC1388,GEADRESSEERDE!$A$2:$E$4,2,),"")</f>
        <v>LUITHAGEN HAVEN 2 D</v>
      </c>
      <c r="AE1388" s="11">
        <f>IF($I1388&lt;&gt;"",VLOOKUP($AC1388,GEADRESSEERDE!$A$2:$E$4,3,),"")</f>
        <v>2030</v>
      </c>
      <c r="AF1388" s="11" t="str">
        <f>IF($I1388&lt;&gt;"",VLOOKUP($AC1388,GEADRESSEERDE!$A$2:$E$4,4,),"")</f>
        <v>ANTWERPEN</v>
      </c>
      <c r="AG1388" s="11" t="str">
        <f>IF($I1388&lt;&gt;"",VLOOKUP($AC1388,GEADRESSEERDE!$A$2:$E$4,5,),"")</f>
        <v>BE</v>
      </c>
      <c r="AH1388" s="11" t="str">
        <f>IF(I1388&lt;&gt;"",VLOOKUP(AP1388,KvB!$A$2:$B$3,2,FALSE),"")</f>
        <v>BE101000</v>
      </c>
      <c r="AI1388" s="11" t="s">
        <v>55</v>
      </c>
      <c r="AJ1388" s="11"/>
      <c r="AK1388" s="11"/>
      <c r="AL1388" s="11"/>
      <c r="AM1388" s="11"/>
      <c r="AN1388" s="11"/>
      <c r="AO1388" s="11"/>
      <c r="AP1388" s="2" t="s">
        <v>70</v>
      </c>
      <c r="AQ1388" s="11" t="str">
        <f>IF(I1388&lt;&gt;"",DATA!D1387,"")</f>
        <v>8207409000</v>
      </c>
    </row>
    <row r="1389" spans="1:43" ht="15.75" x14ac:dyDescent="0.25">
      <c r="A1389" s="11" t="s">
        <v>57</v>
      </c>
      <c r="B1389" s="11" t="s">
        <v>56</v>
      </c>
      <c r="C1389" s="22">
        <f t="shared" si="90"/>
        <v>25001620</v>
      </c>
      <c r="D1389" s="11" t="str">
        <f t="shared" si="87"/>
        <v>SKIIFM_AT</v>
      </c>
      <c r="E1389" s="11" t="str">
        <f>IF(I1389&lt;&gt;"",VLOOKUP(F1389,OPDRACHTGEVER!$A$2:$B$4,2,FALSE),"")</f>
        <v>SKIIFM_AT</v>
      </c>
      <c r="F1389" s="11" t="s">
        <v>58</v>
      </c>
      <c r="I1389" s="11" t="str">
        <f>IF(DATA!B1388&lt;&gt;"",DATA!B1388,"")</f>
        <v>MSCU5497581</v>
      </c>
      <c r="J1389" s="12">
        <v>0</v>
      </c>
      <c r="K1389" s="11" t="s">
        <v>53</v>
      </c>
      <c r="L1389" s="11" t="str">
        <f t="shared" si="88"/>
        <v>820411</v>
      </c>
      <c r="M1389" s="11" t="str">
        <f>IF(I1389&lt;&gt;"",DATA!E1388,"")</f>
        <v>TORQUE WRENCH</v>
      </c>
      <c r="N1389" s="12">
        <v>0</v>
      </c>
      <c r="O1389" s="11">
        <f>IF(I1389&lt;&gt;"",DATA!C1388,"")</f>
        <v>2.25</v>
      </c>
      <c r="P1389" s="2">
        <v>294094</v>
      </c>
      <c r="Q1389" s="2" t="s">
        <v>1304</v>
      </c>
      <c r="R1389" s="2" t="s">
        <v>1331</v>
      </c>
      <c r="S1389" s="2">
        <v>348</v>
      </c>
      <c r="T1389" s="2">
        <v>1</v>
      </c>
      <c r="U1389" s="2" t="s">
        <v>141</v>
      </c>
      <c r="Y1389" s="2">
        <v>1700</v>
      </c>
      <c r="Z1389" s="11" t="s">
        <v>54</v>
      </c>
      <c r="AA1389" s="11" t="str">
        <f t="shared" si="89"/>
        <v>1700 - TBN</v>
      </c>
      <c r="AC1389" s="2" t="s">
        <v>145</v>
      </c>
      <c r="AD1389" s="11" t="str">
        <f>IF($I1389&lt;&gt;"",VLOOKUP($AC1389,GEADRESSEERDE!$A$2:$E$4,2,),"")</f>
        <v>LUITHAGEN HAVEN 2 D</v>
      </c>
      <c r="AE1389" s="11">
        <f>IF($I1389&lt;&gt;"",VLOOKUP($AC1389,GEADRESSEERDE!$A$2:$E$4,3,),"")</f>
        <v>2030</v>
      </c>
      <c r="AF1389" s="11" t="str">
        <f>IF($I1389&lt;&gt;"",VLOOKUP($AC1389,GEADRESSEERDE!$A$2:$E$4,4,),"")</f>
        <v>ANTWERPEN</v>
      </c>
      <c r="AG1389" s="11" t="str">
        <f>IF($I1389&lt;&gt;"",VLOOKUP($AC1389,GEADRESSEERDE!$A$2:$E$4,5,),"")</f>
        <v>BE</v>
      </c>
      <c r="AH1389" s="11" t="str">
        <f>IF(I1389&lt;&gt;"",VLOOKUP(AP1389,KvB!$A$2:$B$3,2,FALSE),"")</f>
        <v>BE101000</v>
      </c>
      <c r="AI1389" s="11" t="s">
        <v>55</v>
      </c>
      <c r="AJ1389" s="11"/>
      <c r="AK1389" s="11"/>
      <c r="AL1389" s="11"/>
      <c r="AM1389" s="11"/>
      <c r="AN1389" s="11"/>
      <c r="AO1389" s="11"/>
      <c r="AP1389" s="2" t="s">
        <v>70</v>
      </c>
      <c r="AQ1389" s="11" t="str">
        <f>IF(I1389&lt;&gt;"",DATA!D1388,"")</f>
        <v>8204110000</v>
      </c>
    </row>
    <row r="1390" spans="1:43" ht="15.75" x14ac:dyDescent="0.25">
      <c r="A1390" s="11" t="s">
        <v>57</v>
      </c>
      <c r="B1390" s="11" t="s">
        <v>56</v>
      </c>
      <c r="C1390" s="22">
        <f t="shared" si="90"/>
        <v>25001620</v>
      </c>
      <c r="D1390" s="11" t="str">
        <f t="shared" si="87"/>
        <v>SKIIFM_AT</v>
      </c>
      <c r="E1390" s="11" t="str">
        <f>IF(I1390&lt;&gt;"",VLOOKUP(F1390,OPDRACHTGEVER!$A$2:$B$4,2,FALSE),"")</f>
        <v>SKIIFM_AT</v>
      </c>
      <c r="F1390" s="11" t="s">
        <v>58</v>
      </c>
      <c r="I1390" s="11" t="str">
        <f>IF(DATA!B1389&lt;&gt;"",DATA!B1389,"")</f>
        <v>MSCU5497581</v>
      </c>
      <c r="J1390" s="12">
        <v>0</v>
      </c>
      <c r="K1390" s="11" t="s">
        <v>53</v>
      </c>
      <c r="L1390" s="11" t="str">
        <f t="shared" si="88"/>
        <v>871680</v>
      </c>
      <c r="M1390" s="11" t="str">
        <f>IF(I1390&lt;&gt;"",DATA!E1389,"")</f>
        <v>TRASH CAN ROLLER BASE</v>
      </c>
      <c r="N1390" s="12">
        <v>0</v>
      </c>
      <c r="O1390" s="11">
        <f>IF(I1390&lt;&gt;"",DATA!C1389,"")</f>
        <v>5.7</v>
      </c>
      <c r="P1390" s="2">
        <v>294094</v>
      </c>
      <c r="Q1390" s="2" t="s">
        <v>1304</v>
      </c>
      <c r="R1390" s="2" t="s">
        <v>1331</v>
      </c>
      <c r="S1390" s="2">
        <v>348</v>
      </c>
      <c r="T1390" s="2">
        <v>1</v>
      </c>
      <c r="U1390" s="2" t="s">
        <v>141</v>
      </c>
      <c r="Y1390" s="2">
        <v>1700</v>
      </c>
      <c r="Z1390" s="11" t="s">
        <v>54</v>
      </c>
      <c r="AA1390" s="11" t="str">
        <f t="shared" si="89"/>
        <v>1700 - TBN</v>
      </c>
      <c r="AC1390" s="2" t="s">
        <v>145</v>
      </c>
      <c r="AD1390" s="11" t="str">
        <f>IF($I1390&lt;&gt;"",VLOOKUP($AC1390,GEADRESSEERDE!$A$2:$E$4,2,),"")</f>
        <v>LUITHAGEN HAVEN 2 D</v>
      </c>
      <c r="AE1390" s="11">
        <f>IF($I1390&lt;&gt;"",VLOOKUP($AC1390,GEADRESSEERDE!$A$2:$E$4,3,),"")</f>
        <v>2030</v>
      </c>
      <c r="AF1390" s="11" t="str">
        <f>IF($I1390&lt;&gt;"",VLOOKUP($AC1390,GEADRESSEERDE!$A$2:$E$4,4,),"")</f>
        <v>ANTWERPEN</v>
      </c>
      <c r="AG1390" s="11" t="str">
        <f>IF($I1390&lt;&gt;"",VLOOKUP($AC1390,GEADRESSEERDE!$A$2:$E$4,5,),"")</f>
        <v>BE</v>
      </c>
      <c r="AH1390" s="11" t="str">
        <f>IF(I1390&lt;&gt;"",VLOOKUP(AP1390,KvB!$A$2:$B$3,2,FALSE),"")</f>
        <v>BE101000</v>
      </c>
      <c r="AI1390" s="11" t="s">
        <v>55</v>
      </c>
      <c r="AJ1390" s="11"/>
      <c r="AK1390" s="11"/>
      <c r="AL1390" s="11"/>
      <c r="AM1390" s="11"/>
      <c r="AN1390" s="11"/>
      <c r="AO1390" s="11"/>
      <c r="AP1390" s="2" t="s">
        <v>70</v>
      </c>
      <c r="AQ1390" s="11" t="str">
        <f>IF(I1390&lt;&gt;"",DATA!D1389,"")</f>
        <v>8716800000</v>
      </c>
    </row>
    <row r="1391" spans="1:43" ht="15.75" x14ac:dyDescent="0.25">
      <c r="A1391" s="11" t="s">
        <v>57</v>
      </c>
      <c r="B1391" s="11" t="s">
        <v>56</v>
      </c>
      <c r="C1391" s="22">
        <f t="shared" si="90"/>
        <v>25001620</v>
      </c>
      <c r="D1391" s="11" t="str">
        <f t="shared" si="87"/>
        <v>SKIIFM_AT</v>
      </c>
      <c r="E1391" s="11" t="str">
        <f>IF(I1391&lt;&gt;"",VLOOKUP(F1391,OPDRACHTGEVER!$A$2:$B$4,2,FALSE),"")</f>
        <v>SKIIFM_AT</v>
      </c>
      <c r="F1391" s="11" t="s">
        <v>58</v>
      </c>
      <c r="I1391" s="11" t="str">
        <f>IF(DATA!B1390&lt;&gt;"",DATA!B1390,"")</f>
        <v>MSCU5497581</v>
      </c>
      <c r="J1391" s="12">
        <v>0</v>
      </c>
      <c r="K1391" s="11" t="s">
        <v>53</v>
      </c>
      <c r="L1391" s="11" t="str">
        <f t="shared" si="88"/>
        <v>841940</v>
      </c>
      <c r="M1391" s="11" t="str">
        <f>IF(I1391&lt;&gt;"",DATA!E1390,"")</f>
        <v>WATER DISTILLER</v>
      </c>
      <c r="N1391" s="12">
        <v>0</v>
      </c>
      <c r="O1391" s="11">
        <f>IF(I1391&lt;&gt;"",DATA!C1390,"")</f>
        <v>1319.15</v>
      </c>
      <c r="P1391" s="2">
        <v>294094</v>
      </c>
      <c r="Q1391" s="2" t="s">
        <v>1304</v>
      </c>
      <c r="R1391" s="2" t="s">
        <v>1331</v>
      </c>
      <c r="S1391" s="2">
        <v>348</v>
      </c>
      <c r="T1391" s="2">
        <v>1</v>
      </c>
      <c r="U1391" s="2" t="s">
        <v>141</v>
      </c>
      <c r="Y1391" s="2">
        <v>1700</v>
      </c>
      <c r="Z1391" s="11" t="s">
        <v>54</v>
      </c>
      <c r="AA1391" s="11" t="str">
        <f t="shared" si="89"/>
        <v>1700 - TBN</v>
      </c>
      <c r="AC1391" s="2" t="s">
        <v>145</v>
      </c>
      <c r="AD1391" s="11" t="str">
        <f>IF($I1391&lt;&gt;"",VLOOKUP($AC1391,GEADRESSEERDE!$A$2:$E$4,2,),"")</f>
        <v>LUITHAGEN HAVEN 2 D</v>
      </c>
      <c r="AE1391" s="11">
        <f>IF($I1391&lt;&gt;"",VLOOKUP($AC1391,GEADRESSEERDE!$A$2:$E$4,3,),"")</f>
        <v>2030</v>
      </c>
      <c r="AF1391" s="11" t="str">
        <f>IF($I1391&lt;&gt;"",VLOOKUP($AC1391,GEADRESSEERDE!$A$2:$E$4,4,),"")</f>
        <v>ANTWERPEN</v>
      </c>
      <c r="AG1391" s="11" t="str">
        <f>IF($I1391&lt;&gt;"",VLOOKUP($AC1391,GEADRESSEERDE!$A$2:$E$4,5,),"")</f>
        <v>BE</v>
      </c>
      <c r="AH1391" s="11" t="str">
        <f>IF(I1391&lt;&gt;"",VLOOKUP(AP1391,KvB!$A$2:$B$3,2,FALSE),"")</f>
        <v>BE101000</v>
      </c>
      <c r="AI1391" s="11" t="s">
        <v>55</v>
      </c>
      <c r="AJ1391" s="11"/>
      <c r="AK1391" s="11"/>
      <c r="AL1391" s="11"/>
      <c r="AM1391" s="11"/>
      <c r="AN1391" s="11"/>
      <c r="AO1391" s="11"/>
      <c r="AP1391" s="2" t="s">
        <v>70</v>
      </c>
      <c r="AQ1391" s="11" t="str">
        <f>IF(I1391&lt;&gt;"",DATA!D1390,"")</f>
        <v>8419400090</v>
      </c>
    </row>
    <row r="1392" spans="1:43" ht="15.75" x14ac:dyDescent="0.25">
      <c r="A1392" s="11" t="s">
        <v>57</v>
      </c>
      <c r="B1392" s="11" t="s">
        <v>56</v>
      </c>
      <c r="C1392" s="22">
        <f t="shared" si="90"/>
        <v>25001620</v>
      </c>
      <c r="D1392" s="11" t="str">
        <f t="shared" si="87"/>
        <v>SKIIFM_AT</v>
      </c>
      <c r="E1392" s="11" t="str">
        <f>IF(I1392&lt;&gt;"",VLOOKUP(F1392,OPDRACHTGEVER!$A$2:$B$4,2,FALSE),"")</f>
        <v>SKIIFM_AT</v>
      </c>
      <c r="F1392" s="11" t="s">
        <v>58</v>
      </c>
      <c r="I1392" s="11" t="str">
        <f>IF(DATA!B1391&lt;&gt;"",DATA!B1391,"")</f>
        <v>MSCU5497581</v>
      </c>
      <c r="J1392" s="12">
        <v>0</v>
      </c>
      <c r="K1392" s="11" t="s">
        <v>53</v>
      </c>
      <c r="L1392" s="11" t="str">
        <f t="shared" si="88"/>
        <v>392690</v>
      </c>
      <c r="M1392" s="11" t="str">
        <f>IF(I1392&lt;&gt;"",DATA!E1391,"")</f>
        <v>WATERPROOF SHOWER SUBSTRATE</v>
      </c>
      <c r="N1392" s="12">
        <v>0</v>
      </c>
      <c r="O1392" s="11">
        <f>IF(I1392&lt;&gt;"",DATA!C1391,"")</f>
        <v>274.45</v>
      </c>
      <c r="P1392" s="2">
        <v>294094</v>
      </c>
      <c r="Q1392" s="2" t="s">
        <v>1304</v>
      </c>
      <c r="R1392" s="2" t="s">
        <v>1331</v>
      </c>
      <c r="S1392" s="2">
        <v>348</v>
      </c>
      <c r="T1392" s="2">
        <v>1</v>
      </c>
      <c r="U1392" s="2" t="s">
        <v>141</v>
      </c>
      <c r="Y1392" s="2">
        <v>1700</v>
      </c>
      <c r="Z1392" s="11" t="s">
        <v>54</v>
      </c>
      <c r="AA1392" s="11" t="str">
        <f t="shared" si="89"/>
        <v>1700 - TBN</v>
      </c>
      <c r="AC1392" s="2" t="s">
        <v>145</v>
      </c>
      <c r="AD1392" s="11" t="str">
        <f>IF($I1392&lt;&gt;"",VLOOKUP($AC1392,GEADRESSEERDE!$A$2:$E$4,2,),"")</f>
        <v>LUITHAGEN HAVEN 2 D</v>
      </c>
      <c r="AE1392" s="11">
        <f>IF($I1392&lt;&gt;"",VLOOKUP($AC1392,GEADRESSEERDE!$A$2:$E$4,3,),"")</f>
        <v>2030</v>
      </c>
      <c r="AF1392" s="11" t="str">
        <f>IF($I1392&lt;&gt;"",VLOOKUP($AC1392,GEADRESSEERDE!$A$2:$E$4,4,),"")</f>
        <v>ANTWERPEN</v>
      </c>
      <c r="AG1392" s="11" t="str">
        <f>IF($I1392&lt;&gt;"",VLOOKUP($AC1392,GEADRESSEERDE!$A$2:$E$4,5,),"")</f>
        <v>BE</v>
      </c>
      <c r="AH1392" s="11" t="str">
        <f>IF(I1392&lt;&gt;"",VLOOKUP(AP1392,KvB!$A$2:$B$3,2,FALSE),"")</f>
        <v>BE101000</v>
      </c>
      <c r="AI1392" s="11" t="s">
        <v>55</v>
      </c>
      <c r="AJ1392" s="11"/>
      <c r="AK1392" s="11"/>
      <c r="AL1392" s="11"/>
      <c r="AM1392" s="11"/>
      <c r="AN1392" s="11"/>
      <c r="AO1392" s="11"/>
      <c r="AP1392" s="2" t="s">
        <v>70</v>
      </c>
      <c r="AQ1392" s="11" t="str">
        <f>IF(I1392&lt;&gt;"",DATA!D1391,"")</f>
        <v>3926909790</v>
      </c>
    </row>
    <row r="1393" spans="1:43" ht="15.75" x14ac:dyDescent="0.25">
      <c r="A1393" s="11" t="s">
        <v>57</v>
      </c>
      <c r="B1393" s="11" t="s">
        <v>56</v>
      </c>
      <c r="C1393" s="22">
        <f t="shared" si="90"/>
        <v>25001620</v>
      </c>
      <c r="D1393" s="11" t="str">
        <f t="shared" si="87"/>
        <v>SKIIFM_AT</v>
      </c>
      <c r="E1393" s="11" t="str">
        <f>IF(I1393&lt;&gt;"",VLOOKUP(F1393,OPDRACHTGEVER!$A$2:$B$4,2,FALSE),"")</f>
        <v>SKIIFM_AT</v>
      </c>
      <c r="F1393" s="11" t="s">
        <v>58</v>
      </c>
      <c r="I1393" s="11" t="str">
        <f>IF(DATA!B1392&lt;&gt;"",DATA!B1392,"")</f>
        <v>MSCU5497581</v>
      </c>
      <c r="J1393" s="12">
        <v>0</v>
      </c>
      <c r="K1393" s="11" t="s">
        <v>53</v>
      </c>
      <c r="L1393" s="11" t="str">
        <f t="shared" si="88"/>
        <v>741920</v>
      </c>
      <c r="M1393" s="11" t="str">
        <f>IF(I1393&lt;&gt;"",DATA!E1392,"")</f>
        <v>WINCH LINE</v>
      </c>
      <c r="N1393" s="12">
        <v>0</v>
      </c>
      <c r="O1393" s="11">
        <f>IF(I1393&lt;&gt;"",DATA!C1392,"")</f>
        <v>184.6</v>
      </c>
      <c r="P1393" s="2">
        <v>294094</v>
      </c>
      <c r="Q1393" s="2" t="s">
        <v>1304</v>
      </c>
      <c r="R1393" s="2" t="s">
        <v>1331</v>
      </c>
      <c r="S1393" s="2">
        <v>348</v>
      </c>
      <c r="T1393" s="2">
        <v>1</v>
      </c>
      <c r="U1393" s="2" t="s">
        <v>141</v>
      </c>
      <c r="Y1393" s="2">
        <v>1700</v>
      </c>
      <c r="Z1393" s="11" t="s">
        <v>54</v>
      </c>
      <c r="AA1393" s="11" t="str">
        <f t="shared" si="89"/>
        <v>1700 - TBN</v>
      </c>
      <c r="AC1393" s="2" t="s">
        <v>145</v>
      </c>
      <c r="AD1393" s="11" t="str">
        <f>IF($I1393&lt;&gt;"",VLOOKUP($AC1393,GEADRESSEERDE!$A$2:$E$4,2,),"")</f>
        <v>LUITHAGEN HAVEN 2 D</v>
      </c>
      <c r="AE1393" s="11">
        <f>IF($I1393&lt;&gt;"",VLOOKUP($AC1393,GEADRESSEERDE!$A$2:$E$4,3,),"")</f>
        <v>2030</v>
      </c>
      <c r="AF1393" s="11" t="str">
        <f>IF($I1393&lt;&gt;"",VLOOKUP($AC1393,GEADRESSEERDE!$A$2:$E$4,4,),"")</f>
        <v>ANTWERPEN</v>
      </c>
      <c r="AG1393" s="11" t="str">
        <f>IF($I1393&lt;&gt;"",VLOOKUP($AC1393,GEADRESSEERDE!$A$2:$E$4,5,),"")</f>
        <v>BE</v>
      </c>
      <c r="AH1393" s="11" t="str">
        <f>IF(I1393&lt;&gt;"",VLOOKUP(AP1393,KvB!$A$2:$B$3,2,FALSE),"")</f>
        <v>BE101000</v>
      </c>
      <c r="AI1393" s="11" t="s">
        <v>55</v>
      </c>
      <c r="AJ1393" s="11"/>
      <c r="AK1393" s="11"/>
      <c r="AL1393" s="11"/>
      <c r="AM1393" s="11"/>
      <c r="AN1393" s="11"/>
      <c r="AO1393" s="11"/>
      <c r="AP1393" s="2" t="s">
        <v>70</v>
      </c>
      <c r="AQ1393" s="11" t="str">
        <f>IF(I1393&lt;&gt;"",DATA!D1392,"")</f>
        <v>7419200090</v>
      </c>
    </row>
    <row r="1394" spans="1:43" ht="15.75" x14ac:dyDescent="0.25">
      <c r="A1394" s="11" t="s">
        <v>57</v>
      </c>
      <c r="B1394" s="11" t="s">
        <v>56</v>
      </c>
      <c r="C1394" s="22">
        <f t="shared" si="90"/>
        <v>25001620</v>
      </c>
      <c r="D1394" s="11" t="str">
        <f t="shared" si="87"/>
        <v>SKIIFM_AT</v>
      </c>
      <c r="E1394" s="11" t="str">
        <f>IF(I1394&lt;&gt;"",VLOOKUP(F1394,OPDRACHTGEVER!$A$2:$B$4,2,FALSE),"")</f>
        <v>SKIIFM_AT</v>
      </c>
      <c r="F1394" s="11" t="s">
        <v>58</v>
      </c>
      <c r="I1394" s="11" t="str">
        <f>IF(DATA!B1393&lt;&gt;"",DATA!B1393,"")</f>
        <v>MSCU5497581</v>
      </c>
      <c r="J1394" s="12">
        <v>0</v>
      </c>
      <c r="K1394" s="11" t="s">
        <v>53</v>
      </c>
      <c r="L1394" s="11" t="str">
        <f t="shared" si="88"/>
        <v>560749</v>
      </c>
      <c r="M1394" s="11" t="str">
        <f>IF(I1394&lt;&gt;"",DATA!E1393,"")</f>
        <v>WINCH ROPE</v>
      </c>
      <c r="N1394" s="12">
        <v>0</v>
      </c>
      <c r="O1394" s="11">
        <f>IF(I1394&lt;&gt;"",DATA!C1393,"")</f>
        <v>2.1</v>
      </c>
      <c r="P1394" s="2">
        <v>294094</v>
      </c>
      <c r="Q1394" s="2" t="s">
        <v>1304</v>
      </c>
      <c r="R1394" s="2" t="s">
        <v>1331</v>
      </c>
      <c r="S1394" s="2">
        <v>348</v>
      </c>
      <c r="T1394" s="2">
        <v>1</v>
      </c>
      <c r="U1394" s="2" t="s">
        <v>141</v>
      </c>
      <c r="Y1394" s="2">
        <v>1700</v>
      </c>
      <c r="Z1394" s="11" t="s">
        <v>54</v>
      </c>
      <c r="AA1394" s="11" t="str">
        <f t="shared" si="89"/>
        <v>1700 - TBN</v>
      </c>
      <c r="AC1394" s="2" t="s">
        <v>145</v>
      </c>
      <c r="AD1394" s="11" t="str">
        <f>IF($I1394&lt;&gt;"",VLOOKUP($AC1394,GEADRESSEERDE!$A$2:$E$4,2,),"")</f>
        <v>LUITHAGEN HAVEN 2 D</v>
      </c>
      <c r="AE1394" s="11">
        <f>IF($I1394&lt;&gt;"",VLOOKUP($AC1394,GEADRESSEERDE!$A$2:$E$4,3,),"")</f>
        <v>2030</v>
      </c>
      <c r="AF1394" s="11" t="str">
        <f>IF($I1394&lt;&gt;"",VLOOKUP($AC1394,GEADRESSEERDE!$A$2:$E$4,4,),"")</f>
        <v>ANTWERPEN</v>
      </c>
      <c r="AG1394" s="11" t="str">
        <f>IF($I1394&lt;&gt;"",VLOOKUP($AC1394,GEADRESSEERDE!$A$2:$E$4,5,),"")</f>
        <v>BE</v>
      </c>
      <c r="AH1394" s="11" t="str">
        <f>IF(I1394&lt;&gt;"",VLOOKUP(AP1394,KvB!$A$2:$B$3,2,FALSE),"")</f>
        <v>BE101000</v>
      </c>
      <c r="AI1394" s="11" t="s">
        <v>55</v>
      </c>
      <c r="AJ1394" s="11"/>
      <c r="AK1394" s="11"/>
      <c r="AL1394" s="11"/>
      <c r="AM1394" s="11"/>
      <c r="AN1394" s="11"/>
      <c r="AO1394" s="11"/>
      <c r="AP1394" s="2" t="s">
        <v>70</v>
      </c>
      <c r="AQ1394" s="11" t="str">
        <f>IF(I1394&lt;&gt;"",DATA!D1393,"")</f>
        <v>5607491900</v>
      </c>
    </row>
    <row r="1395" spans="1:43" ht="15.75" x14ac:dyDescent="0.25">
      <c r="A1395" s="11" t="s">
        <v>57</v>
      </c>
      <c r="B1395" s="11" t="s">
        <v>56</v>
      </c>
      <c r="C1395" s="22">
        <f t="shared" si="90"/>
        <v>25001620</v>
      </c>
      <c r="D1395" s="11" t="str">
        <f t="shared" si="87"/>
        <v>SKIIFM_AT</v>
      </c>
      <c r="E1395" s="11" t="str">
        <f>IF(I1395&lt;&gt;"",VLOOKUP(F1395,OPDRACHTGEVER!$A$2:$B$4,2,FALSE),"")</f>
        <v>SKIIFM_AT</v>
      </c>
      <c r="F1395" s="11" t="s">
        <v>58</v>
      </c>
      <c r="I1395" s="11" t="str">
        <f>IF(DATA!B1394&lt;&gt;"",DATA!B1394,"")</f>
        <v>MSDU5224106</v>
      </c>
      <c r="J1395" s="12">
        <v>1093</v>
      </c>
      <c r="K1395" s="11" t="s">
        <v>53</v>
      </c>
      <c r="L1395" s="11" t="str">
        <f t="shared" si="88"/>
        <v>961900</v>
      </c>
      <c r="M1395" s="11" t="str">
        <f>IF(I1395&lt;&gt;"",DATA!E1394,"")</f>
        <v>ABSORBENT UNDERPAD</v>
      </c>
      <c r="N1395" s="12">
        <v>9696</v>
      </c>
      <c r="O1395" s="11">
        <f>IF(I1395&lt;&gt;"",DATA!C1394,"")</f>
        <v>837.39</v>
      </c>
      <c r="P1395" s="2">
        <v>294094</v>
      </c>
      <c r="Q1395" s="2" t="s">
        <v>1304</v>
      </c>
      <c r="R1395" s="2" t="s">
        <v>1332</v>
      </c>
      <c r="S1395" s="2">
        <v>6</v>
      </c>
      <c r="T1395" s="2">
        <v>1</v>
      </c>
      <c r="U1395" s="2" t="s">
        <v>141</v>
      </c>
      <c r="Y1395" s="2">
        <v>1700</v>
      </c>
      <c r="Z1395" s="11" t="s">
        <v>54</v>
      </c>
      <c r="AA1395" s="11" t="str">
        <f t="shared" si="89"/>
        <v>1700 - TBN</v>
      </c>
      <c r="AC1395" s="2" t="s">
        <v>145</v>
      </c>
      <c r="AD1395" s="11" t="str">
        <f>IF($I1395&lt;&gt;"",VLOOKUP($AC1395,GEADRESSEERDE!$A$2:$E$4,2,),"")</f>
        <v>LUITHAGEN HAVEN 2 D</v>
      </c>
      <c r="AE1395" s="11">
        <f>IF($I1395&lt;&gt;"",VLOOKUP($AC1395,GEADRESSEERDE!$A$2:$E$4,3,),"")</f>
        <v>2030</v>
      </c>
      <c r="AF1395" s="11" t="str">
        <f>IF($I1395&lt;&gt;"",VLOOKUP($AC1395,GEADRESSEERDE!$A$2:$E$4,4,),"")</f>
        <v>ANTWERPEN</v>
      </c>
      <c r="AG1395" s="11" t="str">
        <f>IF($I1395&lt;&gt;"",VLOOKUP($AC1395,GEADRESSEERDE!$A$2:$E$4,5,),"")</f>
        <v>BE</v>
      </c>
      <c r="AH1395" s="11" t="str">
        <f>IF(I1395&lt;&gt;"",VLOOKUP(AP1395,KvB!$A$2:$B$3,2,FALSE),"")</f>
        <v>BE101000</v>
      </c>
      <c r="AI1395" s="11" t="s">
        <v>55</v>
      </c>
      <c r="AJ1395" s="11"/>
      <c r="AK1395" s="11"/>
      <c r="AL1395" s="11"/>
      <c r="AM1395" s="11"/>
      <c r="AN1395" s="11"/>
      <c r="AO1395" s="11"/>
      <c r="AP1395" s="2" t="s">
        <v>70</v>
      </c>
      <c r="AQ1395" s="11" t="str">
        <f>IF(I1395&lt;&gt;"",DATA!D1394,"")</f>
        <v>9619004090</v>
      </c>
    </row>
    <row r="1396" spans="1:43" ht="15.75" x14ac:dyDescent="0.25">
      <c r="A1396" s="11" t="s">
        <v>57</v>
      </c>
      <c r="B1396" s="11" t="s">
        <v>56</v>
      </c>
      <c r="C1396" s="22">
        <f t="shared" si="90"/>
        <v>25001620</v>
      </c>
      <c r="D1396" s="11" t="str">
        <f t="shared" ref="D1396:D1459" si="91">E1396</f>
        <v>SKIIFM_AT</v>
      </c>
      <c r="E1396" s="11" t="str">
        <f>IF(I1396&lt;&gt;"",VLOOKUP(F1396,OPDRACHTGEVER!$A$2:$B$4,2,FALSE),"")</f>
        <v>SKIIFM_AT</v>
      </c>
      <c r="F1396" s="11" t="s">
        <v>58</v>
      </c>
      <c r="I1396" s="11" t="str">
        <f>IF(DATA!B1395&lt;&gt;"",DATA!B1395,"")</f>
        <v>MSDU5224106</v>
      </c>
      <c r="J1396" s="12">
        <v>0</v>
      </c>
      <c r="K1396" s="11" t="s">
        <v>53</v>
      </c>
      <c r="L1396" s="11" t="str">
        <f t="shared" ref="L1396:L1459" si="92">LEFT(AQ1396,6)</f>
        <v>741920</v>
      </c>
      <c r="M1396" s="11" t="str">
        <f>IF(I1396&lt;&gt;"",DATA!E1395,"")</f>
        <v>BARBED WIRE MESH</v>
      </c>
      <c r="N1396" s="12">
        <v>0</v>
      </c>
      <c r="O1396" s="11">
        <f>IF(I1396&lt;&gt;"",DATA!C1395,"")</f>
        <v>66.400000000000006</v>
      </c>
      <c r="P1396" s="2">
        <v>294094</v>
      </c>
      <c r="Q1396" s="2" t="s">
        <v>1304</v>
      </c>
      <c r="R1396" s="2" t="s">
        <v>1332</v>
      </c>
      <c r="S1396" s="2">
        <v>6</v>
      </c>
      <c r="T1396" s="2">
        <v>1</v>
      </c>
      <c r="U1396" s="2" t="s">
        <v>141</v>
      </c>
      <c r="Y1396" s="2">
        <v>1700</v>
      </c>
      <c r="Z1396" s="11" t="s">
        <v>54</v>
      </c>
      <c r="AA1396" s="11" t="str">
        <f t="shared" ref="AA1396:AA1459" si="93">IF(I1396&lt;&gt;"",Y1396&amp;" - "&amp;Z1396,"")</f>
        <v>1700 - TBN</v>
      </c>
      <c r="AC1396" s="2" t="s">
        <v>145</v>
      </c>
      <c r="AD1396" s="11" t="str">
        <f>IF($I1396&lt;&gt;"",VLOOKUP($AC1396,GEADRESSEERDE!$A$2:$E$4,2,),"")</f>
        <v>LUITHAGEN HAVEN 2 D</v>
      </c>
      <c r="AE1396" s="11">
        <f>IF($I1396&lt;&gt;"",VLOOKUP($AC1396,GEADRESSEERDE!$A$2:$E$4,3,),"")</f>
        <v>2030</v>
      </c>
      <c r="AF1396" s="11" t="str">
        <f>IF($I1396&lt;&gt;"",VLOOKUP($AC1396,GEADRESSEERDE!$A$2:$E$4,4,),"")</f>
        <v>ANTWERPEN</v>
      </c>
      <c r="AG1396" s="11" t="str">
        <f>IF($I1396&lt;&gt;"",VLOOKUP($AC1396,GEADRESSEERDE!$A$2:$E$4,5,),"")</f>
        <v>BE</v>
      </c>
      <c r="AH1396" s="11" t="str">
        <f>IF(I1396&lt;&gt;"",VLOOKUP(AP1396,KvB!$A$2:$B$3,2,FALSE),"")</f>
        <v>BE101000</v>
      </c>
      <c r="AI1396" s="11" t="s">
        <v>55</v>
      </c>
      <c r="AJ1396" s="11"/>
      <c r="AK1396" s="11"/>
      <c r="AL1396" s="11"/>
      <c r="AM1396" s="11"/>
      <c r="AN1396" s="11"/>
      <c r="AO1396" s="11"/>
      <c r="AP1396" s="2" t="s">
        <v>70</v>
      </c>
      <c r="AQ1396" s="11" t="str">
        <f>IF(I1396&lt;&gt;"",DATA!D1395,"")</f>
        <v>7419200090</v>
      </c>
    </row>
    <row r="1397" spans="1:43" ht="15.75" x14ac:dyDescent="0.25">
      <c r="A1397" s="11" t="s">
        <v>57</v>
      </c>
      <c r="B1397" s="11" t="s">
        <v>56</v>
      </c>
      <c r="C1397" s="22">
        <f t="shared" si="90"/>
        <v>25001620</v>
      </c>
      <c r="D1397" s="11" t="str">
        <f t="shared" si="91"/>
        <v>SKIIFM_AT</v>
      </c>
      <c r="E1397" s="11" t="str">
        <f>IF(I1397&lt;&gt;"",VLOOKUP(F1397,OPDRACHTGEVER!$A$2:$B$4,2,FALSE),"")</f>
        <v>SKIIFM_AT</v>
      </c>
      <c r="F1397" s="11" t="s">
        <v>58</v>
      </c>
      <c r="I1397" s="11" t="str">
        <f>IF(DATA!B1396&lt;&gt;"",DATA!B1396,"")</f>
        <v>MSDU5224106</v>
      </c>
      <c r="J1397" s="12">
        <v>0</v>
      </c>
      <c r="K1397" s="11" t="s">
        <v>53</v>
      </c>
      <c r="L1397" s="11" t="str">
        <f t="shared" si="92"/>
        <v>846249</v>
      </c>
      <c r="M1397" s="11" t="str">
        <f>IF(I1397&lt;&gt;"",DATA!E1396,"")</f>
        <v>BENDING MACHINE</v>
      </c>
      <c r="N1397" s="12">
        <v>0</v>
      </c>
      <c r="O1397" s="11">
        <f>IF(I1397&lt;&gt;"",DATA!C1396,"")</f>
        <v>25.1</v>
      </c>
      <c r="P1397" s="2">
        <v>294094</v>
      </c>
      <c r="Q1397" s="2" t="s">
        <v>1304</v>
      </c>
      <c r="R1397" s="2" t="s">
        <v>1332</v>
      </c>
      <c r="S1397" s="2">
        <v>6</v>
      </c>
      <c r="T1397" s="2">
        <v>1</v>
      </c>
      <c r="U1397" s="2" t="s">
        <v>141</v>
      </c>
      <c r="Y1397" s="2">
        <v>1700</v>
      </c>
      <c r="Z1397" s="11" t="s">
        <v>54</v>
      </c>
      <c r="AA1397" s="11" t="str">
        <f t="shared" si="93"/>
        <v>1700 - TBN</v>
      </c>
      <c r="AC1397" s="2" t="s">
        <v>145</v>
      </c>
      <c r="AD1397" s="11" t="str">
        <f>IF($I1397&lt;&gt;"",VLOOKUP($AC1397,GEADRESSEERDE!$A$2:$E$4,2,),"")</f>
        <v>LUITHAGEN HAVEN 2 D</v>
      </c>
      <c r="AE1397" s="11">
        <f>IF($I1397&lt;&gt;"",VLOOKUP($AC1397,GEADRESSEERDE!$A$2:$E$4,3,),"")</f>
        <v>2030</v>
      </c>
      <c r="AF1397" s="11" t="str">
        <f>IF($I1397&lt;&gt;"",VLOOKUP($AC1397,GEADRESSEERDE!$A$2:$E$4,4,),"")</f>
        <v>ANTWERPEN</v>
      </c>
      <c r="AG1397" s="11" t="str">
        <f>IF($I1397&lt;&gt;"",VLOOKUP($AC1397,GEADRESSEERDE!$A$2:$E$4,5,),"")</f>
        <v>BE</v>
      </c>
      <c r="AH1397" s="11" t="str">
        <f>IF(I1397&lt;&gt;"",VLOOKUP(AP1397,KvB!$A$2:$B$3,2,FALSE),"")</f>
        <v>BE101000</v>
      </c>
      <c r="AI1397" s="11" t="s">
        <v>55</v>
      </c>
      <c r="AJ1397" s="11"/>
      <c r="AK1397" s="11"/>
      <c r="AL1397" s="11"/>
      <c r="AM1397" s="11"/>
      <c r="AN1397" s="11"/>
      <c r="AO1397" s="11"/>
      <c r="AP1397" s="2" t="s">
        <v>70</v>
      </c>
      <c r="AQ1397" s="11" t="str">
        <f>IF(I1397&lt;&gt;"",DATA!D1396,"")</f>
        <v>8462490000</v>
      </c>
    </row>
    <row r="1398" spans="1:43" ht="15.75" x14ac:dyDescent="0.25">
      <c r="A1398" s="11" t="s">
        <v>57</v>
      </c>
      <c r="B1398" s="11" t="s">
        <v>56</v>
      </c>
      <c r="C1398" s="22">
        <f t="shared" si="90"/>
        <v>25001620</v>
      </c>
      <c r="D1398" s="11" t="str">
        <f t="shared" si="91"/>
        <v>SKIIFM_AT</v>
      </c>
      <c r="E1398" s="11" t="str">
        <f>IF(I1398&lt;&gt;"",VLOOKUP(F1398,OPDRACHTGEVER!$A$2:$B$4,2,FALSE),"")</f>
        <v>SKIIFM_AT</v>
      </c>
      <c r="F1398" s="11" t="s">
        <v>58</v>
      </c>
      <c r="I1398" s="11" t="str">
        <f>IF(DATA!B1397&lt;&gt;"",DATA!B1397,"")</f>
        <v>MSDU5224106</v>
      </c>
      <c r="J1398" s="12">
        <v>0</v>
      </c>
      <c r="K1398" s="11" t="s">
        <v>53</v>
      </c>
      <c r="L1398" s="11" t="str">
        <f t="shared" si="92"/>
        <v>843810</v>
      </c>
      <c r="M1398" s="11" t="str">
        <f>IF(I1398&lt;&gt;"",DATA!E1397,"")</f>
        <v>CAKE DECORATING MACHINE</v>
      </c>
      <c r="N1398" s="12">
        <v>0</v>
      </c>
      <c r="O1398" s="11">
        <f>IF(I1398&lt;&gt;"",DATA!C1397,"")</f>
        <v>50.39</v>
      </c>
      <c r="P1398" s="2">
        <v>294094</v>
      </c>
      <c r="Q1398" s="2" t="s">
        <v>1304</v>
      </c>
      <c r="R1398" s="2" t="s">
        <v>1332</v>
      </c>
      <c r="S1398" s="2">
        <v>6</v>
      </c>
      <c r="T1398" s="2">
        <v>1</v>
      </c>
      <c r="U1398" s="2" t="s">
        <v>141</v>
      </c>
      <c r="Y1398" s="2">
        <v>1700</v>
      </c>
      <c r="Z1398" s="11" t="s">
        <v>54</v>
      </c>
      <c r="AA1398" s="11" t="str">
        <f t="shared" si="93"/>
        <v>1700 - TBN</v>
      </c>
      <c r="AC1398" s="2" t="s">
        <v>145</v>
      </c>
      <c r="AD1398" s="11" t="str">
        <f>IF($I1398&lt;&gt;"",VLOOKUP($AC1398,GEADRESSEERDE!$A$2:$E$4,2,),"")</f>
        <v>LUITHAGEN HAVEN 2 D</v>
      </c>
      <c r="AE1398" s="11">
        <f>IF($I1398&lt;&gt;"",VLOOKUP($AC1398,GEADRESSEERDE!$A$2:$E$4,3,),"")</f>
        <v>2030</v>
      </c>
      <c r="AF1398" s="11" t="str">
        <f>IF($I1398&lt;&gt;"",VLOOKUP($AC1398,GEADRESSEERDE!$A$2:$E$4,4,),"")</f>
        <v>ANTWERPEN</v>
      </c>
      <c r="AG1398" s="11" t="str">
        <f>IF($I1398&lt;&gt;"",VLOOKUP($AC1398,GEADRESSEERDE!$A$2:$E$4,5,),"")</f>
        <v>BE</v>
      </c>
      <c r="AH1398" s="11" t="str">
        <f>IF(I1398&lt;&gt;"",VLOOKUP(AP1398,KvB!$A$2:$B$3,2,FALSE),"")</f>
        <v>BE101000</v>
      </c>
      <c r="AI1398" s="11" t="s">
        <v>55</v>
      </c>
      <c r="AJ1398" s="11"/>
      <c r="AK1398" s="11"/>
      <c r="AL1398" s="11"/>
      <c r="AM1398" s="11"/>
      <c r="AN1398" s="11"/>
      <c r="AO1398" s="11"/>
      <c r="AP1398" s="2" t="s">
        <v>70</v>
      </c>
      <c r="AQ1398" s="11" t="str">
        <f>IF(I1398&lt;&gt;"",DATA!D1397,"")</f>
        <v>8438101000</v>
      </c>
    </row>
    <row r="1399" spans="1:43" ht="15.75" x14ac:dyDescent="0.25">
      <c r="A1399" s="11" t="s">
        <v>57</v>
      </c>
      <c r="B1399" s="11" t="s">
        <v>56</v>
      </c>
      <c r="C1399" s="22">
        <f t="shared" si="90"/>
        <v>25001620</v>
      </c>
      <c r="D1399" s="11" t="str">
        <f t="shared" si="91"/>
        <v>SKIIFM_AT</v>
      </c>
      <c r="E1399" s="11" t="str">
        <f>IF(I1399&lt;&gt;"",VLOOKUP(F1399,OPDRACHTGEVER!$A$2:$B$4,2,FALSE),"")</f>
        <v>SKIIFM_AT</v>
      </c>
      <c r="F1399" s="11" t="s">
        <v>58</v>
      </c>
      <c r="I1399" s="11" t="str">
        <f>IF(DATA!B1398&lt;&gt;"",DATA!B1398,"")</f>
        <v>MSDU5224106</v>
      </c>
      <c r="J1399" s="12">
        <v>0</v>
      </c>
      <c r="K1399" s="11" t="s">
        <v>53</v>
      </c>
      <c r="L1399" s="11" t="str">
        <f t="shared" si="92"/>
        <v>820551</v>
      </c>
      <c r="M1399" s="11" t="str">
        <f>IF(I1399&lt;&gt;"",DATA!E1398,"")</f>
        <v>CAN OPENER</v>
      </c>
      <c r="N1399" s="12">
        <v>0</v>
      </c>
      <c r="O1399" s="11">
        <f>IF(I1399&lt;&gt;"",DATA!C1398,"")</f>
        <v>42.26</v>
      </c>
      <c r="P1399" s="2">
        <v>294094</v>
      </c>
      <c r="Q1399" s="2" t="s">
        <v>1304</v>
      </c>
      <c r="R1399" s="2" t="s">
        <v>1332</v>
      </c>
      <c r="S1399" s="2">
        <v>6</v>
      </c>
      <c r="T1399" s="2">
        <v>1</v>
      </c>
      <c r="U1399" s="2" t="s">
        <v>141</v>
      </c>
      <c r="Y1399" s="2">
        <v>1700</v>
      </c>
      <c r="Z1399" s="11" t="s">
        <v>54</v>
      </c>
      <c r="AA1399" s="11" t="str">
        <f t="shared" si="93"/>
        <v>1700 - TBN</v>
      </c>
      <c r="AC1399" s="2" t="s">
        <v>145</v>
      </c>
      <c r="AD1399" s="11" t="str">
        <f>IF($I1399&lt;&gt;"",VLOOKUP($AC1399,GEADRESSEERDE!$A$2:$E$4,2,),"")</f>
        <v>LUITHAGEN HAVEN 2 D</v>
      </c>
      <c r="AE1399" s="11">
        <f>IF($I1399&lt;&gt;"",VLOOKUP($AC1399,GEADRESSEERDE!$A$2:$E$4,3,),"")</f>
        <v>2030</v>
      </c>
      <c r="AF1399" s="11" t="str">
        <f>IF($I1399&lt;&gt;"",VLOOKUP($AC1399,GEADRESSEERDE!$A$2:$E$4,4,),"")</f>
        <v>ANTWERPEN</v>
      </c>
      <c r="AG1399" s="11" t="str">
        <f>IF($I1399&lt;&gt;"",VLOOKUP($AC1399,GEADRESSEERDE!$A$2:$E$4,5,),"")</f>
        <v>BE</v>
      </c>
      <c r="AH1399" s="11" t="str">
        <f>IF(I1399&lt;&gt;"",VLOOKUP(AP1399,KvB!$A$2:$B$3,2,FALSE),"")</f>
        <v>BE101000</v>
      </c>
      <c r="AI1399" s="11" t="s">
        <v>55</v>
      </c>
      <c r="AJ1399" s="11"/>
      <c r="AK1399" s="11"/>
      <c r="AL1399" s="11"/>
      <c r="AM1399" s="11"/>
      <c r="AN1399" s="11"/>
      <c r="AO1399" s="11"/>
      <c r="AP1399" s="2" t="s">
        <v>70</v>
      </c>
      <c r="AQ1399" s="11" t="str">
        <f>IF(I1399&lt;&gt;"",DATA!D1398,"")</f>
        <v>8205510000</v>
      </c>
    </row>
    <row r="1400" spans="1:43" ht="15.75" x14ac:dyDescent="0.25">
      <c r="A1400" s="11" t="s">
        <v>57</v>
      </c>
      <c r="B1400" s="11" t="s">
        <v>56</v>
      </c>
      <c r="C1400" s="22">
        <f t="shared" si="90"/>
        <v>25001620</v>
      </c>
      <c r="D1400" s="11" t="str">
        <f t="shared" si="91"/>
        <v>SKIIFM_AT</v>
      </c>
      <c r="E1400" s="11" t="str">
        <f>IF(I1400&lt;&gt;"",VLOOKUP(F1400,OPDRACHTGEVER!$A$2:$B$4,2,FALSE),"")</f>
        <v>SKIIFM_AT</v>
      </c>
      <c r="F1400" s="11" t="s">
        <v>58</v>
      </c>
      <c r="I1400" s="11" t="str">
        <f>IF(DATA!B1399&lt;&gt;"",DATA!B1399,"")</f>
        <v>MSDU5224106</v>
      </c>
      <c r="J1400" s="12">
        <v>0</v>
      </c>
      <c r="K1400" s="11" t="s">
        <v>53</v>
      </c>
      <c r="L1400" s="11" t="str">
        <f t="shared" si="92"/>
        <v>391890</v>
      </c>
      <c r="M1400" s="11" t="str">
        <f>IF(I1400&lt;&gt;"",DATA!E1399,"")</f>
        <v>CARPET</v>
      </c>
      <c r="N1400" s="12">
        <v>0</v>
      </c>
      <c r="O1400" s="11">
        <f>IF(I1400&lt;&gt;"",DATA!C1399,"")</f>
        <v>152.4</v>
      </c>
      <c r="P1400" s="2">
        <v>294094</v>
      </c>
      <c r="Q1400" s="2" t="s">
        <v>1304</v>
      </c>
      <c r="R1400" s="2" t="s">
        <v>1332</v>
      </c>
      <c r="S1400" s="2">
        <v>6</v>
      </c>
      <c r="T1400" s="2">
        <v>1</v>
      </c>
      <c r="U1400" s="2" t="s">
        <v>141</v>
      </c>
      <c r="Y1400" s="2">
        <v>1700</v>
      </c>
      <c r="Z1400" s="11" t="s">
        <v>54</v>
      </c>
      <c r="AA1400" s="11" t="str">
        <f t="shared" si="93"/>
        <v>1700 - TBN</v>
      </c>
      <c r="AC1400" s="2" t="s">
        <v>145</v>
      </c>
      <c r="AD1400" s="11" t="str">
        <f>IF($I1400&lt;&gt;"",VLOOKUP($AC1400,GEADRESSEERDE!$A$2:$E$4,2,),"")</f>
        <v>LUITHAGEN HAVEN 2 D</v>
      </c>
      <c r="AE1400" s="11">
        <f>IF($I1400&lt;&gt;"",VLOOKUP($AC1400,GEADRESSEERDE!$A$2:$E$4,3,),"")</f>
        <v>2030</v>
      </c>
      <c r="AF1400" s="11" t="str">
        <f>IF($I1400&lt;&gt;"",VLOOKUP($AC1400,GEADRESSEERDE!$A$2:$E$4,4,),"")</f>
        <v>ANTWERPEN</v>
      </c>
      <c r="AG1400" s="11" t="str">
        <f>IF($I1400&lt;&gt;"",VLOOKUP($AC1400,GEADRESSEERDE!$A$2:$E$4,5,),"")</f>
        <v>BE</v>
      </c>
      <c r="AH1400" s="11" t="str">
        <f>IF(I1400&lt;&gt;"",VLOOKUP(AP1400,KvB!$A$2:$B$3,2,FALSE),"")</f>
        <v>BE101000</v>
      </c>
      <c r="AI1400" s="11" t="s">
        <v>55</v>
      </c>
      <c r="AJ1400" s="11"/>
      <c r="AK1400" s="11"/>
      <c r="AL1400" s="11"/>
      <c r="AM1400" s="11"/>
      <c r="AN1400" s="11"/>
      <c r="AO1400" s="11"/>
      <c r="AP1400" s="2" t="s">
        <v>70</v>
      </c>
      <c r="AQ1400" s="11" t="str">
        <f>IF(I1400&lt;&gt;"",DATA!D1399,"")</f>
        <v>3918900090</v>
      </c>
    </row>
    <row r="1401" spans="1:43" ht="15.75" x14ac:dyDescent="0.25">
      <c r="A1401" s="11" t="s">
        <v>57</v>
      </c>
      <c r="B1401" s="11" t="s">
        <v>56</v>
      </c>
      <c r="C1401" s="22">
        <f t="shared" si="90"/>
        <v>25001620</v>
      </c>
      <c r="D1401" s="11" t="str">
        <f t="shared" si="91"/>
        <v>SKIIFM_AT</v>
      </c>
      <c r="E1401" s="11" t="str">
        <f>IF(I1401&lt;&gt;"",VLOOKUP(F1401,OPDRACHTGEVER!$A$2:$B$4,2,FALSE),"")</f>
        <v>SKIIFM_AT</v>
      </c>
      <c r="F1401" s="11" t="s">
        <v>58</v>
      </c>
      <c r="I1401" s="11" t="str">
        <f>IF(DATA!B1400&lt;&gt;"",DATA!B1400,"")</f>
        <v>MSDU5224106</v>
      </c>
      <c r="J1401" s="12">
        <v>0</v>
      </c>
      <c r="K1401" s="11" t="s">
        <v>53</v>
      </c>
      <c r="L1401" s="11" t="str">
        <f t="shared" si="92"/>
        <v>560900</v>
      </c>
      <c r="M1401" s="11" t="str">
        <f>IF(I1401&lt;&gt;"",DATA!E1400,"")</f>
        <v>CORE LANYARD</v>
      </c>
      <c r="N1401" s="12">
        <v>0</v>
      </c>
      <c r="O1401" s="11">
        <f>IF(I1401&lt;&gt;"",DATA!C1400,"")</f>
        <v>47.3</v>
      </c>
      <c r="P1401" s="2">
        <v>294094</v>
      </c>
      <c r="Q1401" s="2" t="s">
        <v>1304</v>
      </c>
      <c r="R1401" s="2" t="s">
        <v>1332</v>
      </c>
      <c r="S1401" s="2">
        <v>6</v>
      </c>
      <c r="T1401" s="2">
        <v>1</v>
      </c>
      <c r="U1401" s="2" t="s">
        <v>141</v>
      </c>
      <c r="Y1401" s="2">
        <v>1700</v>
      </c>
      <c r="Z1401" s="11" t="s">
        <v>54</v>
      </c>
      <c r="AA1401" s="11" t="str">
        <f t="shared" si="93"/>
        <v>1700 - TBN</v>
      </c>
      <c r="AC1401" s="2" t="s">
        <v>145</v>
      </c>
      <c r="AD1401" s="11" t="str">
        <f>IF($I1401&lt;&gt;"",VLOOKUP($AC1401,GEADRESSEERDE!$A$2:$E$4,2,),"")</f>
        <v>LUITHAGEN HAVEN 2 D</v>
      </c>
      <c r="AE1401" s="11">
        <f>IF($I1401&lt;&gt;"",VLOOKUP($AC1401,GEADRESSEERDE!$A$2:$E$4,3,),"")</f>
        <v>2030</v>
      </c>
      <c r="AF1401" s="11" t="str">
        <f>IF($I1401&lt;&gt;"",VLOOKUP($AC1401,GEADRESSEERDE!$A$2:$E$4,4,),"")</f>
        <v>ANTWERPEN</v>
      </c>
      <c r="AG1401" s="11" t="str">
        <f>IF($I1401&lt;&gt;"",VLOOKUP($AC1401,GEADRESSEERDE!$A$2:$E$4,5,),"")</f>
        <v>BE</v>
      </c>
      <c r="AH1401" s="11" t="str">
        <f>IF(I1401&lt;&gt;"",VLOOKUP(AP1401,KvB!$A$2:$B$3,2,FALSE),"")</f>
        <v>BE101000</v>
      </c>
      <c r="AI1401" s="11" t="s">
        <v>55</v>
      </c>
      <c r="AJ1401" s="11"/>
      <c r="AK1401" s="11"/>
      <c r="AL1401" s="11"/>
      <c r="AM1401" s="11"/>
      <c r="AN1401" s="11"/>
      <c r="AO1401" s="11"/>
      <c r="AP1401" s="2" t="s">
        <v>70</v>
      </c>
      <c r="AQ1401" s="11" t="str">
        <f>IF(I1401&lt;&gt;"",DATA!D1400,"")</f>
        <v>5609000000</v>
      </c>
    </row>
    <row r="1402" spans="1:43" ht="15.75" x14ac:dyDescent="0.25">
      <c r="A1402" s="11" t="s">
        <v>57</v>
      </c>
      <c r="B1402" s="11" t="s">
        <v>56</v>
      </c>
      <c r="C1402" s="22">
        <f t="shared" si="90"/>
        <v>25001620</v>
      </c>
      <c r="D1402" s="11" t="str">
        <f t="shared" si="91"/>
        <v>SKIIFM_AT</v>
      </c>
      <c r="E1402" s="11" t="str">
        <f>IF(I1402&lt;&gt;"",VLOOKUP(F1402,OPDRACHTGEVER!$A$2:$B$4,2,FALSE),"")</f>
        <v>SKIIFM_AT</v>
      </c>
      <c r="F1402" s="11" t="s">
        <v>58</v>
      </c>
      <c r="I1402" s="11" t="str">
        <f>IF(DATA!B1401&lt;&gt;"",DATA!B1401,"")</f>
        <v>MSDU5224106</v>
      </c>
      <c r="J1402" s="12">
        <v>0</v>
      </c>
      <c r="K1402" s="11" t="s">
        <v>53</v>
      </c>
      <c r="L1402" s="11" t="str">
        <f t="shared" si="92"/>
        <v>691410</v>
      </c>
      <c r="M1402" s="11" t="str">
        <f>IF(I1402&lt;&gt;"",DATA!E1401,"")</f>
        <v>DEDICATED TO FIREPLACE</v>
      </c>
      <c r="N1402" s="12">
        <v>0</v>
      </c>
      <c r="O1402" s="11">
        <f>IF(I1402&lt;&gt;"",DATA!C1401,"")</f>
        <v>5.0599999999999996</v>
      </c>
      <c r="P1402" s="2">
        <v>294094</v>
      </c>
      <c r="Q1402" s="2" t="s">
        <v>1304</v>
      </c>
      <c r="R1402" s="2" t="s">
        <v>1332</v>
      </c>
      <c r="S1402" s="2">
        <v>6</v>
      </c>
      <c r="T1402" s="2">
        <v>1</v>
      </c>
      <c r="U1402" s="2" t="s">
        <v>141</v>
      </c>
      <c r="Y1402" s="2">
        <v>1700</v>
      </c>
      <c r="Z1402" s="11" t="s">
        <v>54</v>
      </c>
      <c r="AA1402" s="11" t="str">
        <f t="shared" si="93"/>
        <v>1700 - TBN</v>
      </c>
      <c r="AC1402" s="2" t="s">
        <v>145</v>
      </c>
      <c r="AD1402" s="11" t="str">
        <f>IF($I1402&lt;&gt;"",VLOOKUP($AC1402,GEADRESSEERDE!$A$2:$E$4,2,),"")</f>
        <v>LUITHAGEN HAVEN 2 D</v>
      </c>
      <c r="AE1402" s="11">
        <f>IF($I1402&lt;&gt;"",VLOOKUP($AC1402,GEADRESSEERDE!$A$2:$E$4,3,),"")</f>
        <v>2030</v>
      </c>
      <c r="AF1402" s="11" t="str">
        <f>IF($I1402&lt;&gt;"",VLOOKUP($AC1402,GEADRESSEERDE!$A$2:$E$4,4,),"")</f>
        <v>ANTWERPEN</v>
      </c>
      <c r="AG1402" s="11" t="str">
        <f>IF($I1402&lt;&gt;"",VLOOKUP($AC1402,GEADRESSEERDE!$A$2:$E$4,5,),"")</f>
        <v>BE</v>
      </c>
      <c r="AH1402" s="11" t="str">
        <f>IF(I1402&lt;&gt;"",VLOOKUP(AP1402,KvB!$A$2:$B$3,2,FALSE),"")</f>
        <v>BE101000</v>
      </c>
      <c r="AI1402" s="11" t="s">
        <v>55</v>
      </c>
      <c r="AJ1402" s="11"/>
      <c r="AK1402" s="11"/>
      <c r="AL1402" s="11"/>
      <c r="AM1402" s="11"/>
      <c r="AN1402" s="11"/>
      <c r="AO1402" s="11"/>
      <c r="AP1402" s="2" t="s">
        <v>70</v>
      </c>
      <c r="AQ1402" s="11" t="str">
        <f>IF(I1402&lt;&gt;"",DATA!D1401,"")</f>
        <v>6914100000</v>
      </c>
    </row>
    <row r="1403" spans="1:43" ht="15.75" x14ac:dyDescent="0.25">
      <c r="A1403" s="11" t="s">
        <v>57</v>
      </c>
      <c r="B1403" s="11" t="s">
        <v>56</v>
      </c>
      <c r="C1403" s="22">
        <f t="shared" si="90"/>
        <v>25001620</v>
      </c>
      <c r="D1403" s="11" t="str">
        <f t="shared" si="91"/>
        <v>SKIIFM_AT</v>
      </c>
      <c r="E1403" s="11" t="str">
        <f>IF(I1403&lt;&gt;"",VLOOKUP(F1403,OPDRACHTGEVER!$A$2:$B$4,2,FALSE),"")</f>
        <v>SKIIFM_AT</v>
      </c>
      <c r="F1403" s="11" t="s">
        <v>58</v>
      </c>
      <c r="I1403" s="11" t="str">
        <f>IF(DATA!B1402&lt;&gt;"",DATA!B1402,"")</f>
        <v>MSDU5224106</v>
      </c>
      <c r="J1403" s="12">
        <v>0</v>
      </c>
      <c r="K1403" s="11" t="s">
        <v>53</v>
      </c>
      <c r="L1403" s="11" t="str">
        <f t="shared" si="92"/>
        <v>851519</v>
      </c>
      <c r="M1403" s="11" t="str">
        <f>IF(I1403&lt;&gt;"",DATA!E1402,"")</f>
        <v>DENT REPAIR TOOL</v>
      </c>
      <c r="N1403" s="12">
        <v>0</v>
      </c>
      <c r="O1403" s="11">
        <f>IF(I1403&lt;&gt;"",DATA!C1402,"")</f>
        <v>46.24</v>
      </c>
      <c r="P1403" s="2">
        <v>294094</v>
      </c>
      <c r="Q1403" s="2" t="s">
        <v>1304</v>
      </c>
      <c r="R1403" s="2" t="s">
        <v>1332</v>
      </c>
      <c r="S1403" s="2">
        <v>6</v>
      </c>
      <c r="T1403" s="2">
        <v>1</v>
      </c>
      <c r="U1403" s="2" t="s">
        <v>141</v>
      </c>
      <c r="Y1403" s="2">
        <v>1700</v>
      </c>
      <c r="Z1403" s="11" t="s">
        <v>54</v>
      </c>
      <c r="AA1403" s="11" t="str">
        <f t="shared" si="93"/>
        <v>1700 - TBN</v>
      </c>
      <c r="AC1403" s="2" t="s">
        <v>145</v>
      </c>
      <c r="AD1403" s="11" t="str">
        <f>IF($I1403&lt;&gt;"",VLOOKUP($AC1403,GEADRESSEERDE!$A$2:$E$4,2,),"")</f>
        <v>LUITHAGEN HAVEN 2 D</v>
      </c>
      <c r="AE1403" s="11">
        <f>IF($I1403&lt;&gt;"",VLOOKUP($AC1403,GEADRESSEERDE!$A$2:$E$4,3,),"")</f>
        <v>2030</v>
      </c>
      <c r="AF1403" s="11" t="str">
        <f>IF($I1403&lt;&gt;"",VLOOKUP($AC1403,GEADRESSEERDE!$A$2:$E$4,4,),"")</f>
        <v>ANTWERPEN</v>
      </c>
      <c r="AG1403" s="11" t="str">
        <f>IF($I1403&lt;&gt;"",VLOOKUP($AC1403,GEADRESSEERDE!$A$2:$E$4,5,),"")</f>
        <v>BE</v>
      </c>
      <c r="AH1403" s="11" t="str">
        <f>IF(I1403&lt;&gt;"",VLOOKUP(AP1403,KvB!$A$2:$B$3,2,FALSE),"")</f>
        <v>BE101000</v>
      </c>
      <c r="AI1403" s="11" t="s">
        <v>55</v>
      </c>
      <c r="AJ1403" s="11"/>
      <c r="AK1403" s="11"/>
      <c r="AL1403" s="11"/>
      <c r="AM1403" s="11"/>
      <c r="AN1403" s="11"/>
      <c r="AO1403" s="11"/>
      <c r="AP1403" s="2" t="s">
        <v>70</v>
      </c>
      <c r="AQ1403" s="11" t="str">
        <f>IF(I1403&lt;&gt;"",DATA!D1402,"")</f>
        <v>8515199000</v>
      </c>
    </row>
    <row r="1404" spans="1:43" ht="15.75" x14ac:dyDescent="0.25">
      <c r="A1404" s="11" t="s">
        <v>57</v>
      </c>
      <c r="B1404" s="11" t="s">
        <v>56</v>
      </c>
      <c r="C1404" s="22">
        <f t="shared" si="90"/>
        <v>25001620</v>
      </c>
      <c r="D1404" s="11" t="str">
        <f t="shared" si="91"/>
        <v>SKIIFM_AT</v>
      </c>
      <c r="E1404" s="11" t="str">
        <f>IF(I1404&lt;&gt;"",VLOOKUP(F1404,OPDRACHTGEVER!$A$2:$B$4,2,FALSE),"")</f>
        <v>SKIIFM_AT</v>
      </c>
      <c r="F1404" s="11" t="s">
        <v>58</v>
      </c>
      <c r="I1404" s="11" t="str">
        <f>IF(DATA!B1403&lt;&gt;"",DATA!B1403,"")</f>
        <v>MSDU5224106</v>
      </c>
      <c r="J1404" s="12">
        <v>0</v>
      </c>
      <c r="K1404" s="11" t="s">
        <v>53</v>
      </c>
      <c r="L1404" s="11" t="str">
        <f t="shared" si="92"/>
        <v>820750</v>
      </c>
      <c r="M1404" s="11" t="str">
        <f>IF(I1404&lt;&gt;"",DATA!E1403,"")</f>
        <v>DIAMOND BIT</v>
      </c>
      <c r="N1404" s="12">
        <v>0</v>
      </c>
      <c r="O1404" s="11">
        <f>IF(I1404&lt;&gt;"",DATA!C1403,"")</f>
        <v>4.4400000000000004</v>
      </c>
      <c r="P1404" s="2">
        <v>294094</v>
      </c>
      <c r="Q1404" s="2" t="s">
        <v>1304</v>
      </c>
      <c r="R1404" s="2" t="s">
        <v>1332</v>
      </c>
      <c r="S1404" s="2">
        <v>6</v>
      </c>
      <c r="T1404" s="2">
        <v>1</v>
      </c>
      <c r="U1404" s="2" t="s">
        <v>141</v>
      </c>
      <c r="Y1404" s="2">
        <v>1700</v>
      </c>
      <c r="Z1404" s="11" t="s">
        <v>54</v>
      </c>
      <c r="AA1404" s="11" t="str">
        <f t="shared" si="93"/>
        <v>1700 - TBN</v>
      </c>
      <c r="AC1404" s="2" t="s">
        <v>145</v>
      </c>
      <c r="AD1404" s="11" t="str">
        <f>IF($I1404&lt;&gt;"",VLOOKUP($AC1404,GEADRESSEERDE!$A$2:$E$4,2,),"")</f>
        <v>LUITHAGEN HAVEN 2 D</v>
      </c>
      <c r="AE1404" s="11">
        <f>IF($I1404&lt;&gt;"",VLOOKUP($AC1404,GEADRESSEERDE!$A$2:$E$4,3,),"")</f>
        <v>2030</v>
      </c>
      <c r="AF1404" s="11" t="str">
        <f>IF($I1404&lt;&gt;"",VLOOKUP($AC1404,GEADRESSEERDE!$A$2:$E$4,4,),"")</f>
        <v>ANTWERPEN</v>
      </c>
      <c r="AG1404" s="11" t="str">
        <f>IF($I1404&lt;&gt;"",VLOOKUP($AC1404,GEADRESSEERDE!$A$2:$E$4,5,),"")</f>
        <v>BE</v>
      </c>
      <c r="AH1404" s="11" t="str">
        <f>IF(I1404&lt;&gt;"",VLOOKUP(AP1404,KvB!$A$2:$B$3,2,FALSE),"")</f>
        <v>BE101000</v>
      </c>
      <c r="AI1404" s="11" t="s">
        <v>55</v>
      </c>
      <c r="AJ1404" s="11"/>
      <c r="AK1404" s="11"/>
      <c r="AL1404" s="11"/>
      <c r="AM1404" s="11"/>
      <c r="AN1404" s="11"/>
      <c r="AO1404" s="11"/>
      <c r="AP1404" s="2" t="s">
        <v>70</v>
      </c>
      <c r="AQ1404" s="11" t="str">
        <f>IF(I1404&lt;&gt;"",DATA!D1403,"")</f>
        <v>8207501000</v>
      </c>
    </row>
    <row r="1405" spans="1:43" ht="15.75" x14ac:dyDescent="0.25">
      <c r="A1405" s="11" t="s">
        <v>57</v>
      </c>
      <c r="B1405" s="11" t="s">
        <v>56</v>
      </c>
      <c r="C1405" s="22">
        <f t="shared" si="90"/>
        <v>25001620</v>
      </c>
      <c r="D1405" s="11" t="str">
        <f t="shared" si="91"/>
        <v>SKIIFM_AT</v>
      </c>
      <c r="E1405" s="11" t="str">
        <f>IF(I1405&lt;&gt;"",VLOOKUP(F1405,OPDRACHTGEVER!$A$2:$B$4,2,FALSE),"")</f>
        <v>SKIIFM_AT</v>
      </c>
      <c r="F1405" s="11" t="s">
        <v>58</v>
      </c>
      <c r="I1405" s="11" t="str">
        <f>IF(DATA!B1404&lt;&gt;"",DATA!B1404,"")</f>
        <v>MSDU5224106</v>
      </c>
      <c r="J1405" s="12">
        <v>0</v>
      </c>
      <c r="K1405" s="11" t="s">
        <v>53</v>
      </c>
      <c r="L1405" s="11" t="str">
        <f t="shared" si="92"/>
        <v>820559</v>
      </c>
      <c r="M1405" s="11" t="str">
        <f>IF(I1405&lt;&gt;"",DATA!E1404,"")</f>
        <v>DOVETAIL JIG</v>
      </c>
      <c r="N1405" s="12">
        <v>0</v>
      </c>
      <c r="O1405" s="11">
        <f>IF(I1405&lt;&gt;"",DATA!C1404,"")</f>
        <v>399.28</v>
      </c>
      <c r="P1405" s="2">
        <v>294094</v>
      </c>
      <c r="Q1405" s="2" t="s">
        <v>1304</v>
      </c>
      <c r="R1405" s="2" t="s">
        <v>1332</v>
      </c>
      <c r="S1405" s="2">
        <v>6</v>
      </c>
      <c r="T1405" s="2">
        <v>1</v>
      </c>
      <c r="U1405" s="2" t="s">
        <v>141</v>
      </c>
      <c r="Y1405" s="2">
        <v>1700</v>
      </c>
      <c r="Z1405" s="11" t="s">
        <v>54</v>
      </c>
      <c r="AA1405" s="11" t="str">
        <f t="shared" si="93"/>
        <v>1700 - TBN</v>
      </c>
      <c r="AC1405" s="2" t="s">
        <v>145</v>
      </c>
      <c r="AD1405" s="11" t="str">
        <f>IF($I1405&lt;&gt;"",VLOOKUP($AC1405,GEADRESSEERDE!$A$2:$E$4,2,),"")</f>
        <v>LUITHAGEN HAVEN 2 D</v>
      </c>
      <c r="AE1405" s="11">
        <f>IF($I1405&lt;&gt;"",VLOOKUP($AC1405,GEADRESSEERDE!$A$2:$E$4,3,),"")</f>
        <v>2030</v>
      </c>
      <c r="AF1405" s="11" t="str">
        <f>IF($I1405&lt;&gt;"",VLOOKUP($AC1405,GEADRESSEERDE!$A$2:$E$4,4,),"")</f>
        <v>ANTWERPEN</v>
      </c>
      <c r="AG1405" s="11" t="str">
        <f>IF($I1405&lt;&gt;"",VLOOKUP($AC1405,GEADRESSEERDE!$A$2:$E$4,5,),"")</f>
        <v>BE</v>
      </c>
      <c r="AH1405" s="11" t="str">
        <f>IF(I1405&lt;&gt;"",VLOOKUP(AP1405,KvB!$A$2:$B$3,2,FALSE),"")</f>
        <v>BE101000</v>
      </c>
      <c r="AI1405" s="11" t="s">
        <v>55</v>
      </c>
      <c r="AJ1405" s="11"/>
      <c r="AK1405" s="11"/>
      <c r="AL1405" s="11"/>
      <c r="AM1405" s="11"/>
      <c r="AN1405" s="11"/>
      <c r="AO1405" s="11"/>
      <c r="AP1405" s="2" t="s">
        <v>70</v>
      </c>
      <c r="AQ1405" s="11" t="str">
        <f>IF(I1405&lt;&gt;"",DATA!D1404,"")</f>
        <v>8205598000</v>
      </c>
    </row>
    <row r="1406" spans="1:43" ht="15.75" x14ac:dyDescent="0.25">
      <c r="A1406" s="11" t="s">
        <v>57</v>
      </c>
      <c r="B1406" s="11" t="s">
        <v>56</v>
      </c>
      <c r="C1406" s="22">
        <f t="shared" si="90"/>
        <v>25001620</v>
      </c>
      <c r="D1406" s="11" t="str">
        <f t="shared" si="91"/>
        <v>SKIIFM_AT</v>
      </c>
      <c r="E1406" s="11" t="str">
        <f>IF(I1406&lt;&gt;"",VLOOKUP(F1406,OPDRACHTGEVER!$A$2:$B$4,2,FALSE),"")</f>
        <v>SKIIFM_AT</v>
      </c>
      <c r="F1406" s="11" t="s">
        <v>58</v>
      </c>
      <c r="I1406" s="11" t="str">
        <f>IF(DATA!B1405&lt;&gt;"",DATA!B1405,"")</f>
        <v>MSDU5224106</v>
      </c>
      <c r="J1406" s="12">
        <v>0</v>
      </c>
      <c r="K1406" s="11" t="s">
        <v>53</v>
      </c>
      <c r="L1406" s="11" t="str">
        <f t="shared" si="92"/>
        <v>847480</v>
      </c>
      <c r="M1406" s="11" t="str">
        <f>IF(I1406&lt;&gt;"",DATA!E1405,"")</f>
        <v>DRAWING MACHINE</v>
      </c>
      <c r="N1406" s="12">
        <v>0</v>
      </c>
      <c r="O1406" s="11">
        <f>IF(I1406&lt;&gt;"",DATA!C1405,"")</f>
        <v>115.7</v>
      </c>
      <c r="P1406" s="2">
        <v>294094</v>
      </c>
      <c r="Q1406" s="2" t="s">
        <v>1304</v>
      </c>
      <c r="R1406" s="2" t="s">
        <v>1332</v>
      </c>
      <c r="S1406" s="2">
        <v>6</v>
      </c>
      <c r="T1406" s="2">
        <v>1</v>
      </c>
      <c r="U1406" s="2" t="s">
        <v>141</v>
      </c>
      <c r="Y1406" s="2">
        <v>1700</v>
      </c>
      <c r="Z1406" s="11" t="s">
        <v>54</v>
      </c>
      <c r="AA1406" s="11" t="str">
        <f t="shared" si="93"/>
        <v>1700 - TBN</v>
      </c>
      <c r="AC1406" s="2" t="s">
        <v>145</v>
      </c>
      <c r="AD1406" s="11" t="str">
        <f>IF($I1406&lt;&gt;"",VLOOKUP($AC1406,GEADRESSEERDE!$A$2:$E$4,2,),"")</f>
        <v>LUITHAGEN HAVEN 2 D</v>
      </c>
      <c r="AE1406" s="11">
        <f>IF($I1406&lt;&gt;"",VLOOKUP($AC1406,GEADRESSEERDE!$A$2:$E$4,3,),"")</f>
        <v>2030</v>
      </c>
      <c r="AF1406" s="11" t="str">
        <f>IF($I1406&lt;&gt;"",VLOOKUP($AC1406,GEADRESSEERDE!$A$2:$E$4,4,),"")</f>
        <v>ANTWERPEN</v>
      </c>
      <c r="AG1406" s="11" t="str">
        <f>IF($I1406&lt;&gt;"",VLOOKUP($AC1406,GEADRESSEERDE!$A$2:$E$4,5,),"")</f>
        <v>BE</v>
      </c>
      <c r="AH1406" s="11" t="str">
        <f>IF(I1406&lt;&gt;"",VLOOKUP(AP1406,KvB!$A$2:$B$3,2,FALSE),"")</f>
        <v>BE101000</v>
      </c>
      <c r="AI1406" s="11" t="s">
        <v>55</v>
      </c>
      <c r="AJ1406" s="11"/>
      <c r="AK1406" s="11"/>
      <c r="AL1406" s="11"/>
      <c r="AM1406" s="11"/>
      <c r="AN1406" s="11"/>
      <c r="AO1406" s="11"/>
      <c r="AP1406" s="2" t="s">
        <v>70</v>
      </c>
      <c r="AQ1406" s="11" t="str">
        <f>IF(I1406&lt;&gt;"",DATA!D1405,"")</f>
        <v>8474809000</v>
      </c>
    </row>
    <row r="1407" spans="1:43" ht="15.75" x14ac:dyDescent="0.25">
      <c r="A1407" s="11" t="s">
        <v>57</v>
      </c>
      <c r="B1407" s="11" t="s">
        <v>56</v>
      </c>
      <c r="C1407" s="22">
        <f t="shared" si="90"/>
        <v>25001620</v>
      </c>
      <c r="D1407" s="11" t="str">
        <f t="shared" si="91"/>
        <v>SKIIFM_AT</v>
      </c>
      <c r="E1407" s="11" t="str">
        <f>IF(I1407&lt;&gt;"",VLOOKUP(F1407,OPDRACHTGEVER!$A$2:$B$4,2,FALSE),"")</f>
        <v>SKIIFM_AT</v>
      </c>
      <c r="F1407" s="11" t="s">
        <v>58</v>
      </c>
      <c r="I1407" s="11" t="str">
        <f>IF(DATA!B1406&lt;&gt;"",DATA!B1406,"")</f>
        <v>MSDU5224106</v>
      </c>
      <c r="J1407" s="12">
        <v>0</v>
      </c>
      <c r="K1407" s="11" t="s">
        <v>53</v>
      </c>
      <c r="L1407" s="11" t="str">
        <f t="shared" si="92"/>
        <v>392530</v>
      </c>
      <c r="M1407" s="11" t="str">
        <f>IF(I1407&lt;&gt;"",DATA!E1406,"")</f>
        <v>DUST BARRIERS</v>
      </c>
      <c r="N1407" s="12">
        <v>0</v>
      </c>
      <c r="O1407" s="11">
        <f>IF(I1407&lt;&gt;"",DATA!C1406,"")</f>
        <v>22.14</v>
      </c>
      <c r="P1407" s="2">
        <v>294094</v>
      </c>
      <c r="Q1407" s="2" t="s">
        <v>1304</v>
      </c>
      <c r="R1407" s="2" t="s">
        <v>1332</v>
      </c>
      <c r="S1407" s="2">
        <v>6</v>
      </c>
      <c r="T1407" s="2">
        <v>1</v>
      </c>
      <c r="U1407" s="2" t="s">
        <v>141</v>
      </c>
      <c r="Y1407" s="2">
        <v>1700</v>
      </c>
      <c r="Z1407" s="11" t="s">
        <v>54</v>
      </c>
      <c r="AA1407" s="11" t="str">
        <f t="shared" si="93"/>
        <v>1700 - TBN</v>
      </c>
      <c r="AC1407" s="2" t="s">
        <v>145</v>
      </c>
      <c r="AD1407" s="11" t="str">
        <f>IF($I1407&lt;&gt;"",VLOOKUP($AC1407,GEADRESSEERDE!$A$2:$E$4,2,),"")</f>
        <v>LUITHAGEN HAVEN 2 D</v>
      </c>
      <c r="AE1407" s="11">
        <f>IF($I1407&lt;&gt;"",VLOOKUP($AC1407,GEADRESSEERDE!$A$2:$E$4,3,),"")</f>
        <v>2030</v>
      </c>
      <c r="AF1407" s="11" t="str">
        <f>IF($I1407&lt;&gt;"",VLOOKUP($AC1407,GEADRESSEERDE!$A$2:$E$4,4,),"")</f>
        <v>ANTWERPEN</v>
      </c>
      <c r="AG1407" s="11" t="str">
        <f>IF($I1407&lt;&gt;"",VLOOKUP($AC1407,GEADRESSEERDE!$A$2:$E$4,5,),"")</f>
        <v>BE</v>
      </c>
      <c r="AH1407" s="11" t="str">
        <f>IF(I1407&lt;&gt;"",VLOOKUP(AP1407,KvB!$A$2:$B$3,2,FALSE),"")</f>
        <v>BE101000</v>
      </c>
      <c r="AI1407" s="11" t="s">
        <v>55</v>
      </c>
      <c r="AJ1407" s="11"/>
      <c r="AK1407" s="11"/>
      <c r="AL1407" s="11"/>
      <c r="AM1407" s="11"/>
      <c r="AN1407" s="11"/>
      <c r="AO1407" s="11"/>
      <c r="AP1407" s="2" t="s">
        <v>70</v>
      </c>
      <c r="AQ1407" s="11" t="str">
        <f>IF(I1407&lt;&gt;"",DATA!D1406,"")</f>
        <v>3925300000</v>
      </c>
    </row>
    <row r="1408" spans="1:43" ht="15.75" x14ac:dyDescent="0.25">
      <c r="A1408" s="11" t="s">
        <v>57</v>
      </c>
      <c r="B1408" s="11" t="s">
        <v>56</v>
      </c>
      <c r="C1408" s="22">
        <f t="shared" si="90"/>
        <v>25001620</v>
      </c>
      <c r="D1408" s="11" t="str">
        <f t="shared" si="91"/>
        <v>SKIIFM_AT</v>
      </c>
      <c r="E1408" s="11" t="str">
        <f>IF(I1408&lt;&gt;"",VLOOKUP(F1408,OPDRACHTGEVER!$A$2:$B$4,2,FALSE),"")</f>
        <v>SKIIFM_AT</v>
      </c>
      <c r="F1408" s="11" t="s">
        <v>58</v>
      </c>
      <c r="I1408" s="11" t="str">
        <f>IF(DATA!B1407&lt;&gt;"",DATA!B1407,"")</f>
        <v>MSDU5224106</v>
      </c>
      <c r="J1408" s="12">
        <v>0</v>
      </c>
      <c r="K1408" s="11" t="s">
        <v>53</v>
      </c>
      <c r="L1408" s="11" t="str">
        <f t="shared" si="92"/>
        <v>842511</v>
      </c>
      <c r="M1408" s="11" t="str">
        <f>IF(I1408&lt;&gt;"",DATA!E1407,"")</f>
        <v>ELECTRIC WIRE ROPE HOIST</v>
      </c>
      <c r="N1408" s="12">
        <v>0</v>
      </c>
      <c r="O1408" s="11">
        <f>IF(I1408&lt;&gt;"",DATA!C1407,"")</f>
        <v>59.28</v>
      </c>
      <c r="P1408" s="2">
        <v>294094</v>
      </c>
      <c r="Q1408" s="2" t="s">
        <v>1304</v>
      </c>
      <c r="R1408" s="2" t="s">
        <v>1332</v>
      </c>
      <c r="S1408" s="2">
        <v>6</v>
      </c>
      <c r="T1408" s="2">
        <v>1</v>
      </c>
      <c r="U1408" s="2" t="s">
        <v>141</v>
      </c>
      <c r="Y1408" s="2">
        <v>1700</v>
      </c>
      <c r="Z1408" s="11" t="s">
        <v>54</v>
      </c>
      <c r="AA1408" s="11" t="str">
        <f t="shared" si="93"/>
        <v>1700 - TBN</v>
      </c>
      <c r="AC1408" s="2" t="s">
        <v>145</v>
      </c>
      <c r="AD1408" s="11" t="str">
        <f>IF($I1408&lt;&gt;"",VLOOKUP($AC1408,GEADRESSEERDE!$A$2:$E$4,2,),"")</f>
        <v>LUITHAGEN HAVEN 2 D</v>
      </c>
      <c r="AE1408" s="11">
        <f>IF($I1408&lt;&gt;"",VLOOKUP($AC1408,GEADRESSEERDE!$A$2:$E$4,3,),"")</f>
        <v>2030</v>
      </c>
      <c r="AF1408" s="11" t="str">
        <f>IF($I1408&lt;&gt;"",VLOOKUP($AC1408,GEADRESSEERDE!$A$2:$E$4,4,),"")</f>
        <v>ANTWERPEN</v>
      </c>
      <c r="AG1408" s="11" t="str">
        <f>IF($I1408&lt;&gt;"",VLOOKUP($AC1408,GEADRESSEERDE!$A$2:$E$4,5,),"")</f>
        <v>BE</v>
      </c>
      <c r="AH1408" s="11" t="str">
        <f>IF(I1408&lt;&gt;"",VLOOKUP(AP1408,KvB!$A$2:$B$3,2,FALSE),"")</f>
        <v>BE101000</v>
      </c>
      <c r="AI1408" s="11" t="s">
        <v>55</v>
      </c>
      <c r="AJ1408" s="11"/>
      <c r="AK1408" s="11"/>
      <c r="AL1408" s="11"/>
      <c r="AM1408" s="11"/>
      <c r="AN1408" s="11"/>
      <c r="AO1408" s="11"/>
      <c r="AP1408" s="2" t="s">
        <v>70</v>
      </c>
      <c r="AQ1408" s="11" t="str">
        <f>IF(I1408&lt;&gt;"",DATA!D1407,"")</f>
        <v>8425110000</v>
      </c>
    </row>
    <row r="1409" spans="1:43" ht="15.75" x14ac:dyDescent="0.25">
      <c r="A1409" s="11" t="s">
        <v>57</v>
      </c>
      <c r="B1409" s="11" t="s">
        <v>56</v>
      </c>
      <c r="C1409" s="22">
        <f t="shared" si="90"/>
        <v>25001620</v>
      </c>
      <c r="D1409" s="11" t="str">
        <f t="shared" si="91"/>
        <v>SKIIFM_AT</v>
      </c>
      <c r="E1409" s="11" t="str">
        <f>IF(I1409&lt;&gt;"",VLOOKUP(F1409,OPDRACHTGEVER!$A$2:$B$4,2,FALSE),"")</f>
        <v>SKIIFM_AT</v>
      </c>
      <c r="F1409" s="11" t="s">
        <v>58</v>
      </c>
      <c r="I1409" s="11" t="str">
        <f>IF(DATA!B1408&lt;&gt;"",DATA!B1408,"")</f>
        <v>MSDU5224106</v>
      </c>
      <c r="J1409" s="12">
        <v>0</v>
      </c>
      <c r="K1409" s="11" t="s">
        <v>53</v>
      </c>
      <c r="L1409" s="11" t="str">
        <f t="shared" si="92"/>
        <v>841869</v>
      </c>
      <c r="M1409" s="11" t="str">
        <f>IF(I1409&lt;&gt;"",DATA!E1408,"")</f>
        <v>ENGRAVING MACHINE CHILLER</v>
      </c>
      <c r="N1409" s="12">
        <v>0</v>
      </c>
      <c r="O1409" s="11">
        <f>IF(I1409&lt;&gt;"",DATA!C1408,"")</f>
        <v>42.64</v>
      </c>
      <c r="P1409" s="2">
        <v>294094</v>
      </c>
      <c r="Q1409" s="2" t="s">
        <v>1304</v>
      </c>
      <c r="R1409" s="2" t="s">
        <v>1332</v>
      </c>
      <c r="S1409" s="2">
        <v>6</v>
      </c>
      <c r="T1409" s="2">
        <v>1</v>
      </c>
      <c r="U1409" s="2" t="s">
        <v>141</v>
      </c>
      <c r="Y1409" s="2">
        <v>1700</v>
      </c>
      <c r="Z1409" s="11" t="s">
        <v>54</v>
      </c>
      <c r="AA1409" s="11" t="str">
        <f t="shared" si="93"/>
        <v>1700 - TBN</v>
      </c>
      <c r="AC1409" s="2" t="s">
        <v>145</v>
      </c>
      <c r="AD1409" s="11" t="str">
        <f>IF($I1409&lt;&gt;"",VLOOKUP($AC1409,GEADRESSEERDE!$A$2:$E$4,2,),"")</f>
        <v>LUITHAGEN HAVEN 2 D</v>
      </c>
      <c r="AE1409" s="11">
        <f>IF($I1409&lt;&gt;"",VLOOKUP($AC1409,GEADRESSEERDE!$A$2:$E$4,3,),"")</f>
        <v>2030</v>
      </c>
      <c r="AF1409" s="11" t="str">
        <f>IF($I1409&lt;&gt;"",VLOOKUP($AC1409,GEADRESSEERDE!$A$2:$E$4,4,),"")</f>
        <v>ANTWERPEN</v>
      </c>
      <c r="AG1409" s="11" t="str">
        <f>IF($I1409&lt;&gt;"",VLOOKUP($AC1409,GEADRESSEERDE!$A$2:$E$4,5,),"")</f>
        <v>BE</v>
      </c>
      <c r="AH1409" s="11" t="str">
        <f>IF(I1409&lt;&gt;"",VLOOKUP(AP1409,KvB!$A$2:$B$3,2,FALSE),"")</f>
        <v>BE101000</v>
      </c>
      <c r="AI1409" s="11" t="s">
        <v>55</v>
      </c>
      <c r="AJ1409" s="11"/>
      <c r="AK1409" s="11"/>
      <c r="AL1409" s="11"/>
      <c r="AM1409" s="11"/>
      <c r="AN1409" s="11"/>
      <c r="AO1409" s="11"/>
      <c r="AP1409" s="2" t="s">
        <v>70</v>
      </c>
      <c r="AQ1409" s="11" t="str">
        <f>IF(I1409&lt;&gt;"",DATA!D1408,"")</f>
        <v>8418690099</v>
      </c>
    </row>
    <row r="1410" spans="1:43" ht="15.75" x14ac:dyDescent="0.25">
      <c r="A1410" s="11" t="s">
        <v>57</v>
      </c>
      <c r="B1410" s="11" t="s">
        <v>56</v>
      </c>
      <c r="C1410" s="22">
        <f t="shared" si="90"/>
        <v>25001620</v>
      </c>
      <c r="D1410" s="11" t="str">
        <f t="shared" si="91"/>
        <v>SKIIFM_AT</v>
      </c>
      <c r="E1410" s="11" t="str">
        <f>IF(I1410&lt;&gt;"",VLOOKUP(F1410,OPDRACHTGEVER!$A$2:$B$4,2,FALSE),"")</f>
        <v>SKIIFM_AT</v>
      </c>
      <c r="F1410" s="11" t="s">
        <v>58</v>
      </c>
      <c r="I1410" s="11" t="str">
        <f>IF(DATA!B1409&lt;&gt;"",DATA!B1409,"")</f>
        <v>MSDU5224106</v>
      </c>
      <c r="J1410" s="12">
        <v>0</v>
      </c>
      <c r="K1410" s="11" t="s">
        <v>53</v>
      </c>
      <c r="L1410" s="11" t="str">
        <f t="shared" si="92"/>
        <v>741920</v>
      </c>
      <c r="M1410" s="11" t="str">
        <f>IF(I1410&lt;&gt;"",DATA!E1409,"")</f>
        <v>FENCE GATE</v>
      </c>
      <c r="N1410" s="12">
        <v>0</v>
      </c>
      <c r="O1410" s="11">
        <f>IF(I1410&lt;&gt;"",DATA!C1409,"")</f>
        <v>48.24</v>
      </c>
      <c r="P1410" s="2">
        <v>294094</v>
      </c>
      <c r="Q1410" s="2" t="s">
        <v>1304</v>
      </c>
      <c r="R1410" s="2" t="s">
        <v>1332</v>
      </c>
      <c r="S1410" s="2">
        <v>6</v>
      </c>
      <c r="T1410" s="2">
        <v>1</v>
      </c>
      <c r="U1410" s="2" t="s">
        <v>141</v>
      </c>
      <c r="Y1410" s="2">
        <v>1700</v>
      </c>
      <c r="Z1410" s="11" t="s">
        <v>54</v>
      </c>
      <c r="AA1410" s="11" t="str">
        <f t="shared" si="93"/>
        <v>1700 - TBN</v>
      </c>
      <c r="AC1410" s="2" t="s">
        <v>145</v>
      </c>
      <c r="AD1410" s="11" t="str">
        <f>IF($I1410&lt;&gt;"",VLOOKUP($AC1410,GEADRESSEERDE!$A$2:$E$4,2,),"")</f>
        <v>LUITHAGEN HAVEN 2 D</v>
      </c>
      <c r="AE1410" s="11">
        <f>IF($I1410&lt;&gt;"",VLOOKUP($AC1410,GEADRESSEERDE!$A$2:$E$4,3,),"")</f>
        <v>2030</v>
      </c>
      <c r="AF1410" s="11" t="str">
        <f>IF($I1410&lt;&gt;"",VLOOKUP($AC1410,GEADRESSEERDE!$A$2:$E$4,4,),"")</f>
        <v>ANTWERPEN</v>
      </c>
      <c r="AG1410" s="11" t="str">
        <f>IF($I1410&lt;&gt;"",VLOOKUP($AC1410,GEADRESSEERDE!$A$2:$E$4,5,),"")</f>
        <v>BE</v>
      </c>
      <c r="AH1410" s="11" t="str">
        <f>IF(I1410&lt;&gt;"",VLOOKUP(AP1410,KvB!$A$2:$B$3,2,FALSE),"")</f>
        <v>BE101000</v>
      </c>
      <c r="AI1410" s="11" t="s">
        <v>55</v>
      </c>
      <c r="AJ1410" s="11"/>
      <c r="AK1410" s="11"/>
      <c r="AL1410" s="11"/>
      <c r="AM1410" s="11"/>
      <c r="AN1410" s="11"/>
      <c r="AO1410" s="11"/>
      <c r="AP1410" s="2" t="s">
        <v>70</v>
      </c>
      <c r="AQ1410" s="11" t="str">
        <f>IF(I1410&lt;&gt;"",DATA!D1409,"")</f>
        <v>7419200090</v>
      </c>
    </row>
    <row r="1411" spans="1:43" ht="15.75" x14ac:dyDescent="0.25">
      <c r="A1411" s="11" t="s">
        <v>57</v>
      </c>
      <c r="B1411" s="11" t="s">
        <v>56</v>
      </c>
      <c r="C1411" s="22">
        <f t="shared" si="90"/>
        <v>25001620</v>
      </c>
      <c r="D1411" s="11" t="str">
        <f t="shared" si="91"/>
        <v>SKIIFM_AT</v>
      </c>
      <c r="E1411" s="11" t="str">
        <f>IF(I1411&lt;&gt;"",VLOOKUP(F1411,OPDRACHTGEVER!$A$2:$B$4,2,FALSE),"")</f>
        <v>SKIIFM_AT</v>
      </c>
      <c r="F1411" s="11" t="s">
        <v>58</v>
      </c>
      <c r="I1411" s="11" t="str">
        <f>IF(DATA!B1410&lt;&gt;"",DATA!B1410,"")</f>
        <v>MSDU5224106</v>
      </c>
      <c r="J1411" s="12">
        <v>0</v>
      </c>
      <c r="K1411" s="11" t="s">
        <v>53</v>
      </c>
      <c r="L1411" s="11" t="str">
        <f t="shared" si="92"/>
        <v>820320</v>
      </c>
      <c r="M1411" s="11" t="str">
        <f>IF(I1411&lt;&gt;"",DATA!E1410,"")</f>
        <v>FORGING PLIERS</v>
      </c>
      <c r="N1411" s="12">
        <v>0</v>
      </c>
      <c r="O1411" s="11">
        <f>IF(I1411&lt;&gt;"",DATA!C1410,"")</f>
        <v>171.67</v>
      </c>
      <c r="P1411" s="2">
        <v>294094</v>
      </c>
      <c r="Q1411" s="2" t="s">
        <v>1304</v>
      </c>
      <c r="R1411" s="2" t="s">
        <v>1332</v>
      </c>
      <c r="S1411" s="2">
        <v>6</v>
      </c>
      <c r="T1411" s="2">
        <v>1</v>
      </c>
      <c r="U1411" s="2" t="s">
        <v>141</v>
      </c>
      <c r="Y1411" s="2">
        <v>1700</v>
      </c>
      <c r="Z1411" s="11" t="s">
        <v>54</v>
      </c>
      <c r="AA1411" s="11" t="str">
        <f t="shared" si="93"/>
        <v>1700 - TBN</v>
      </c>
      <c r="AC1411" s="2" t="s">
        <v>145</v>
      </c>
      <c r="AD1411" s="11" t="str">
        <f>IF($I1411&lt;&gt;"",VLOOKUP($AC1411,GEADRESSEERDE!$A$2:$E$4,2,),"")</f>
        <v>LUITHAGEN HAVEN 2 D</v>
      </c>
      <c r="AE1411" s="11">
        <f>IF($I1411&lt;&gt;"",VLOOKUP($AC1411,GEADRESSEERDE!$A$2:$E$4,3,),"")</f>
        <v>2030</v>
      </c>
      <c r="AF1411" s="11" t="str">
        <f>IF($I1411&lt;&gt;"",VLOOKUP($AC1411,GEADRESSEERDE!$A$2:$E$4,4,),"")</f>
        <v>ANTWERPEN</v>
      </c>
      <c r="AG1411" s="11" t="str">
        <f>IF($I1411&lt;&gt;"",VLOOKUP($AC1411,GEADRESSEERDE!$A$2:$E$4,5,),"")</f>
        <v>BE</v>
      </c>
      <c r="AH1411" s="11" t="str">
        <f>IF(I1411&lt;&gt;"",VLOOKUP(AP1411,KvB!$A$2:$B$3,2,FALSE),"")</f>
        <v>BE101000</v>
      </c>
      <c r="AI1411" s="11" t="s">
        <v>55</v>
      </c>
      <c r="AJ1411" s="11"/>
      <c r="AK1411" s="11"/>
      <c r="AL1411" s="11"/>
      <c r="AM1411" s="11"/>
      <c r="AN1411" s="11"/>
      <c r="AO1411" s="11"/>
      <c r="AP1411" s="2" t="s">
        <v>70</v>
      </c>
      <c r="AQ1411" s="11" t="str">
        <f>IF(I1411&lt;&gt;"",DATA!D1410,"")</f>
        <v>8203200000</v>
      </c>
    </row>
    <row r="1412" spans="1:43" ht="15.75" x14ac:dyDescent="0.25">
      <c r="A1412" s="11" t="s">
        <v>57</v>
      </c>
      <c r="B1412" s="11" t="s">
        <v>56</v>
      </c>
      <c r="C1412" s="22">
        <f t="shared" si="90"/>
        <v>25001620</v>
      </c>
      <c r="D1412" s="11" t="str">
        <f t="shared" si="91"/>
        <v>SKIIFM_AT</v>
      </c>
      <c r="E1412" s="11" t="str">
        <f>IF(I1412&lt;&gt;"",VLOOKUP(F1412,OPDRACHTGEVER!$A$2:$B$4,2,FALSE),"")</f>
        <v>SKIIFM_AT</v>
      </c>
      <c r="F1412" s="11" t="s">
        <v>58</v>
      </c>
      <c r="I1412" s="11" t="str">
        <f>IF(DATA!B1411&lt;&gt;"",DATA!B1411,"")</f>
        <v>MSDU5224106</v>
      </c>
      <c r="J1412" s="12">
        <v>0</v>
      </c>
      <c r="K1412" s="11" t="s">
        <v>53</v>
      </c>
      <c r="L1412" s="11" t="str">
        <f t="shared" si="92"/>
        <v>843860</v>
      </c>
      <c r="M1412" s="11" t="str">
        <f>IF(I1412&lt;&gt;"",DATA!E1411,"")</f>
        <v>FRENCH FRIES</v>
      </c>
      <c r="N1412" s="12">
        <v>0</v>
      </c>
      <c r="O1412" s="11">
        <f>IF(I1412&lt;&gt;"",DATA!C1411,"")</f>
        <v>4.68</v>
      </c>
      <c r="P1412" s="2">
        <v>294094</v>
      </c>
      <c r="Q1412" s="2" t="s">
        <v>1304</v>
      </c>
      <c r="R1412" s="2" t="s">
        <v>1332</v>
      </c>
      <c r="S1412" s="2">
        <v>6</v>
      </c>
      <c r="T1412" s="2">
        <v>1</v>
      </c>
      <c r="U1412" s="2" t="s">
        <v>141</v>
      </c>
      <c r="Y1412" s="2">
        <v>1700</v>
      </c>
      <c r="Z1412" s="11" t="s">
        <v>54</v>
      </c>
      <c r="AA1412" s="11" t="str">
        <f t="shared" si="93"/>
        <v>1700 - TBN</v>
      </c>
      <c r="AC1412" s="2" t="s">
        <v>145</v>
      </c>
      <c r="AD1412" s="11" t="str">
        <f>IF($I1412&lt;&gt;"",VLOOKUP($AC1412,GEADRESSEERDE!$A$2:$E$4,2,),"")</f>
        <v>LUITHAGEN HAVEN 2 D</v>
      </c>
      <c r="AE1412" s="11">
        <f>IF($I1412&lt;&gt;"",VLOOKUP($AC1412,GEADRESSEERDE!$A$2:$E$4,3,),"")</f>
        <v>2030</v>
      </c>
      <c r="AF1412" s="11" t="str">
        <f>IF($I1412&lt;&gt;"",VLOOKUP($AC1412,GEADRESSEERDE!$A$2:$E$4,4,),"")</f>
        <v>ANTWERPEN</v>
      </c>
      <c r="AG1412" s="11" t="str">
        <f>IF($I1412&lt;&gt;"",VLOOKUP($AC1412,GEADRESSEERDE!$A$2:$E$4,5,),"")</f>
        <v>BE</v>
      </c>
      <c r="AH1412" s="11" t="str">
        <f>IF(I1412&lt;&gt;"",VLOOKUP(AP1412,KvB!$A$2:$B$3,2,FALSE),"")</f>
        <v>BE101000</v>
      </c>
      <c r="AI1412" s="11" t="s">
        <v>55</v>
      </c>
      <c r="AJ1412" s="11"/>
      <c r="AK1412" s="11"/>
      <c r="AL1412" s="11"/>
      <c r="AM1412" s="11"/>
      <c r="AN1412" s="11"/>
      <c r="AO1412" s="11"/>
      <c r="AP1412" s="2" t="s">
        <v>70</v>
      </c>
      <c r="AQ1412" s="11" t="str">
        <f>IF(I1412&lt;&gt;"",DATA!D1411,"")</f>
        <v>8438600000</v>
      </c>
    </row>
    <row r="1413" spans="1:43" ht="15.75" x14ac:dyDescent="0.25">
      <c r="A1413" s="11" t="s">
        <v>57</v>
      </c>
      <c r="B1413" s="11" t="s">
        <v>56</v>
      </c>
      <c r="C1413" s="22">
        <f t="shared" ref="C1413:C1476" si="94">C1412</f>
        <v>25001620</v>
      </c>
      <c r="D1413" s="11" t="str">
        <f t="shared" si="91"/>
        <v>SKIIFM_AT</v>
      </c>
      <c r="E1413" s="11" t="str">
        <f>IF(I1413&lt;&gt;"",VLOOKUP(F1413,OPDRACHTGEVER!$A$2:$B$4,2,FALSE),"")</f>
        <v>SKIIFM_AT</v>
      </c>
      <c r="F1413" s="11" t="s">
        <v>58</v>
      </c>
      <c r="I1413" s="11" t="str">
        <f>IF(DATA!B1412&lt;&gt;"",DATA!B1412,"")</f>
        <v>MSDU5224106</v>
      </c>
      <c r="J1413" s="12">
        <v>0</v>
      </c>
      <c r="K1413" s="11" t="s">
        <v>53</v>
      </c>
      <c r="L1413" s="11" t="str">
        <f t="shared" si="92"/>
        <v>920600</v>
      </c>
      <c r="M1413" s="11" t="str">
        <f>IF(I1413&lt;&gt;"",DATA!E1412,"")</f>
        <v>GLOCKENSPIEL XYLOPHONE</v>
      </c>
      <c r="N1413" s="12">
        <v>0</v>
      </c>
      <c r="O1413" s="11">
        <f>IF(I1413&lt;&gt;"",DATA!C1412,"")</f>
        <v>35.159999999999997</v>
      </c>
      <c r="P1413" s="2">
        <v>294094</v>
      </c>
      <c r="Q1413" s="2" t="s">
        <v>1304</v>
      </c>
      <c r="R1413" s="2" t="s">
        <v>1332</v>
      </c>
      <c r="S1413" s="2">
        <v>6</v>
      </c>
      <c r="T1413" s="2">
        <v>1</v>
      </c>
      <c r="U1413" s="2" t="s">
        <v>141</v>
      </c>
      <c r="Y1413" s="2">
        <v>1700</v>
      </c>
      <c r="Z1413" s="11" t="s">
        <v>54</v>
      </c>
      <c r="AA1413" s="11" t="str">
        <f t="shared" si="93"/>
        <v>1700 - TBN</v>
      </c>
      <c r="AC1413" s="2" t="s">
        <v>145</v>
      </c>
      <c r="AD1413" s="11" t="str">
        <f>IF($I1413&lt;&gt;"",VLOOKUP($AC1413,GEADRESSEERDE!$A$2:$E$4,2,),"")</f>
        <v>LUITHAGEN HAVEN 2 D</v>
      </c>
      <c r="AE1413" s="11">
        <f>IF($I1413&lt;&gt;"",VLOOKUP($AC1413,GEADRESSEERDE!$A$2:$E$4,3,),"")</f>
        <v>2030</v>
      </c>
      <c r="AF1413" s="11" t="str">
        <f>IF($I1413&lt;&gt;"",VLOOKUP($AC1413,GEADRESSEERDE!$A$2:$E$4,4,),"")</f>
        <v>ANTWERPEN</v>
      </c>
      <c r="AG1413" s="11" t="str">
        <f>IF($I1413&lt;&gt;"",VLOOKUP($AC1413,GEADRESSEERDE!$A$2:$E$4,5,),"")</f>
        <v>BE</v>
      </c>
      <c r="AH1413" s="11" t="str">
        <f>IF(I1413&lt;&gt;"",VLOOKUP(AP1413,KvB!$A$2:$B$3,2,FALSE),"")</f>
        <v>BE101000</v>
      </c>
      <c r="AI1413" s="11" t="s">
        <v>55</v>
      </c>
      <c r="AJ1413" s="11"/>
      <c r="AK1413" s="11"/>
      <c r="AL1413" s="11"/>
      <c r="AM1413" s="11"/>
      <c r="AN1413" s="11"/>
      <c r="AO1413" s="11"/>
      <c r="AP1413" s="2" t="s">
        <v>70</v>
      </c>
      <c r="AQ1413" s="11" t="str">
        <f>IF(I1413&lt;&gt;"",DATA!D1412,"")</f>
        <v>9206000000</v>
      </c>
    </row>
    <row r="1414" spans="1:43" ht="15.75" x14ac:dyDescent="0.25">
      <c r="A1414" s="11" t="s">
        <v>57</v>
      </c>
      <c r="B1414" s="11" t="s">
        <v>56</v>
      </c>
      <c r="C1414" s="22">
        <f t="shared" si="94"/>
        <v>25001620</v>
      </c>
      <c r="D1414" s="11" t="str">
        <f t="shared" si="91"/>
        <v>SKIIFM_AT</v>
      </c>
      <c r="E1414" s="11" t="str">
        <f>IF(I1414&lt;&gt;"",VLOOKUP(F1414,OPDRACHTGEVER!$A$2:$B$4,2,FALSE),"")</f>
        <v>SKIIFM_AT</v>
      </c>
      <c r="F1414" s="11" t="s">
        <v>58</v>
      </c>
      <c r="I1414" s="11" t="str">
        <f>IF(DATA!B1413&lt;&gt;"",DATA!B1413,"")</f>
        <v>MSDU5224106</v>
      </c>
      <c r="J1414" s="12">
        <v>0</v>
      </c>
      <c r="K1414" s="11" t="s">
        <v>53</v>
      </c>
      <c r="L1414" s="11" t="str">
        <f t="shared" si="92"/>
        <v>392690</v>
      </c>
      <c r="M1414" s="11" t="str">
        <f>IF(I1414&lt;&gt;"",DATA!E1413,"")</f>
        <v>GROUND GRID</v>
      </c>
      <c r="N1414" s="12">
        <v>0</v>
      </c>
      <c r="O1414" s="11">
        <f>IF(I1414&lt;&gt;"",DATA!C1413,"")</f>
        <v>73.319999999999993</v>
      </c>
      <c r="P1414" s="2">
        <v>294094</v>
      </c>
      <c r="Q1414" s="2" t="s">
        <v>1304</v>
      </c>
      <c r="R1414" s="2" t="s">
        <v>1332</v>
      </c>
      <c r="S1414" s="2">
        <v>6</v>
      </c>
      <c r="T1414" s="2">
        <v>1</v>
      </c>
      <c r="U1414" s="2" t="s">
        <v>141</v>
      </c>
      <c r="Y1414" s="2">
        <v>1700</v>
      </c>
      <c r="Z1414" s="11" t="s">
        <v>54</v>
      </c>
      <c r="AA1414" s="11" t="str">
        <f t="shared" si="93"/>
        <v>1700 - TBN</v>
      </c>
      <c r="AC1414" s="2" t="s">
        <v>145</v>
      </c>
      <c r="AD1414" s="11" t="str">
        <f>IF($I1414&lt;&gt;"",VLOOKUP($AC1414,GEADRESSEERDE!$A$2:$E$4,2,),"")</f>
        <v>LUITHAGEN HAVEN 2 D</v>
      </c>
      <c r="AE1414" s="11">
        <f>IF($I1414&lt;&gt;"",VLOOKUP($AC1414,GEADRESSEERDE!$A$2:$E$4,3,),"")</f>
        <v>2030</v>
      </c>
      <c r="AF1414" s="11" t="str">
        <f>IF($I1414&lt;&gt;"",VLOOKUP($AC1414,GEADRESSEERDE!$A$2:$E$4,4,),"")</f>
        <v>ANTWERPEN</v>
      </c>
      <c r="AG1414" s="11" t="str">
        <f>IF($I1414&lt;&gt;"",VLOOKUP($AC1414,GEADRESSEERDE!$A$2:$E$4,5,),"")</f>
        <v>BE</v>
      </c>
      <c r="AH1414" s="11" t="str">
        <f>IF(I1414&lt;&gt;"",VLOOKUP(AP1414,KvB!$A$2:$B$3,2,FALSE),"")</f>
        <v>BE101000</v>
      </c>
      <c r="AI1414" s="11" t="s">
        <v>55</v>
      </c>
      <c r="AJ1414" s="11"/>
      <c r="AK1414" s="11"/>
      <c r="AL1414" s="11"/>
      <c r="AM1414" s="11"/>
      <c r="AN1414" s="11"/>
      <c r="AO1414" s="11"/>
      <c r="AP1414" s="2" t="s">
        <v>70</v>
      </c>
      <c r="AQ1414" s="11" t="str">
        <f>IF(I1414&lt;&gt;"",DATA!D1413,"")</f>
        <v>3926909790</v>
      </c>
    </row>
    <row r="1415" spans="1:43" ht="15.75" x14ac:dyDescent="0.25">
      <c r="A1415" s="11" t="s">
        <v>57</v>
      </c>
      <c r="B1415" s="11" t="s">
        <v>56</v>
      </c>
      <c r="C1415" s="22">
        <f t="shared" si="94"/>
        <v>25001620</v>
      </c>
      <c r="D1415" s="11" t="str">
        <f t="shared" si="91"/>
        <v>SKIIFM_AT</v>
      </c>
      <c r="E1415" s="11" t="str">
        <f>IF(I1415&lt;&gt;"",VLOOKUP(F1415,OPDRACHTGEVER!$A$2:$B$4,2,FALSE),"")</f>
        <v>SKIIFM_AT</v>
      </c>
      <c r="F1415" s="11" t="s">
        <v>58</v>
      </c>
      <c r="I1415" s="11" t="str">
        <f>IF(DATA!B1414&lt;&gt;"",DATA!B1414,"")</f>
        <v>MSDU5224106</v>
      </c>
      <c r="J1415" s="12">
        <v>0</v>
      </c>
      <c r="K1415" s="11" t="s">
        <v>53</v>
      </c>
      <c r="L1415" s="11" t="str">
        <f t="shared" si="92"/>
        <v>842890</v>
      </c>
      <c r="M1415" s="11" t="str">
        <f>IF(I1415&lt;&gt;"",DATA!E1414,"")</f>
        <v>GYPSUM BOARD ELEVATOR</v>
      </c>
      <c r="N1415" s="12">
        <v>0</v>
      </c>
      <c r="O1415" s="11">
        <f>IF(I1415&lt;&gt;"",DATA!C1414,"")</f>
        <v>78</v>
      </c>
      <c r="P1415" s="2">
        <v>294094</v>
      </c>
      <c r="Q1415" s="2" t="s">
        <v>1304</v>
      </c>
      <c r="R1415" s="2" t="s">
        <v>1332</v>
      </c>
      <c r="S1415" s="2">
        <v>6</v>
      </c>
      <c r="T1415" s="2">
        <v>1</v>
      </c>
      <c r="U1415" s="2" t="s">
        <v>141</v>
      </c>
      <c r="Y1415" s="2">
        <v>1700</v>
      </c>
      <c r="Z1415" s="11" t="s">
        <v>54</v>
      </c>
      <c r="AA1415" s="11" t="str">
        <f t="shared" si="93"/>
        <v>1700 - TBN</v>
      </c>
      <c r="AC1415" s="2" t="s">
        <v>145</v>
      </c>
      <c r="AD1415" s="11" t="str">
        <f>IF($I1415&lt;&gt;"",VLOOKUP($AC1415,GEADRESSEERDE!$A$2:$E$4,2,),"")</f>
        <v>LUITHAGEN HAVEN 2 D</v>
      </c>
      <c r="AE1415" s="11">
        <f>IF($I1415&lt;&gt;"",VLOOKUP($AC1415,GEADRESSEERDE!$A$2:$E$4,3,),"")</f>
        <v>2030</v>
      </c>
      <c r="AF1415" s="11" t="str">
        <f>IF($I1415&lt;&gt;"",VLOOKUP($AC1415,GEADRESSEERDE!$A$2:$E$4,4,),"")</f>
        <v>ANTWERPEN</v>
      </c>
      <c r="AG1415" s="11" t="str">
        <f>IF($I1415&lt;&gt;"",VLOOKUP($AC1415,GEADRESSEERDE!$A$2:$E$4,5,),"")</f>
        <v>BE</v>
      </c>
      <c r="AH1415" s="11" t="str">
        <f>IF(I1415&lt;&gt;"",VLOOKUP(AP1415,KvB!$A$2:$B$3,2,FALSE),"")</f>
        <v>BE101000</v>
      </c>
      <c r="AI1415" s="11" t="s">
        <v>55</v>
      </c>
      <c r="AJ1415" s="11"/>
      <c r="AK1415" s="11"/>
      <c r="AL1415" s="11"/>
      <c r="AM1415" s="11"/>
      <c r="AN1415" s="11"/>
      <c r="AO1415" s="11"/>
      <c r="AP1415" s="2" t="s">
        <v>70</v>
      </c>
      <c r="AQ1415" s="11" t="str">
        <f>IF(I1415&lt;&gt;"",DATA!D1414,"")</f>
        <v>8428909080</v>
      </c>
    </row>
    <row r="1416" spans="1:43" ht="15.75" x14ac:dyDescent="0.25">
      <c r="A1416" s="11" t="s">
        <v>57</v>
      </c>
      <c r="B1416" s="11" t="s">
        <v>56</v>
      </c>
      <c r="C1416" s="22">
        <f t="shared" si="94"/>
        <v>25001620</v>
      </c>
      <c r="D1416" s="11" t="str">
        <f t="shared" si="91"/>
        <v>SKIIFM_AT</v>
      </c>
      <c r="E1416" s="11" t="str">
        <f>IF(I1416&lt;&gt;"",VLOOKUP(F1416,OPDRACHTGEVER!$A$2:$B$4,2,FALSE),"")</f>
        <v>SKIIFM_AT</v>
      </c>
      <c r="F1416" s="11" t="s">
        <v>58</v>
      </c>
      <c r="I1416" s="11" t="str">
        <f>IF(DATA!B1415&lt;&gt;"",DATA!B1415,"")</f>
        <v>MSDU5224106</v>
      </c>
      <c r="J1416" s="12">
        <v>0</v>
      </c>
      <c r="K1416" s="11" t="s">
        <v>53</v>
      </c>
      <c r="L1416" s="11" t="str">
        <f t="shared" si="92"/>
        <v>841989</v>
      </c>
      <c r="M1416" s="11" t="str">
        <f>IF(I1416&lt;&gt;"",DATA!E1415,"")</f>
        <v>HEATING MANTLE</v>
      </c>
      <c r="N1416" s="12">
        <v>0</v>
      </c>
      <c r="O1416" s="11">
        <f>IF(I1416&lt;&gt;"",DATA!C1415,"")</f>
        <v>209.85</v>
      </c>
      <c r="P1416" s="2">
        <v>294094</v>
      </c>
      <c r="Q1416" s="2" t="s">
        <v>1304</v>
      </c>
      <c r="R1416" s="2" t="s">
        <v>1332</v>
      </c>
      <c r="S1416" s="2">
        <v>6</v>
      </c>
      <c r="T1416" s="2">
        <v>1</v>
      </c>
      <c r="U1416" s="2" t="s">
        <v>141</v>
      </c>
      <c r="Y1416" s="2">
        <v>1700</v>
      </c>
      <c r="Z1416" s="11" t="s">
        <v>54</v>
      </c>
      <c r="AA1416" s="11" t="str">
        <f t="shared" si="93"/>
        <v>1700 - TBN</v>
      </c>
      <c r="AC1416" s="2" t="s">
        <v>145</v>
      </c>
      <c r="AD1416" s="11" t="str">
        <f>IF($I1416&lt;&gt;"",VLOOKUP($AC1416,GEADRESSEERDE!$A$2:$E$4,2,),"")</f>
        <v>LUITHAGEN HAVEN 2 D</v>
      </c>
      <c r="AE1416" s="11">
        <f>IF($I1416&lt;&gt;"",VLOOKUP($AC1416,GEADRESSEERDE!$A$2:$E$4,3,),"")</f>
        <v>2030</v>
      </c>
      <c r="AF1416" s="11" t="str">
        <f>IF($I1416&lt;&gt;"",VLOOKUP($AC1416,GEADRESSEERDE!$A$2:$E$4,4,),"")</f>
        <v>ANTWERPEN</v>
      </c>
      <c r="AG1416" s="11" t="str">
        <f>IF($I1416&lt;&gt;"",VLOOKUP($AC1416,GEADRESSEERDE!$A$2:$E$4,5,),"")</f>
        <v>BE</v>
      </c>
      <c r="AH1416" s="11" t="str">
        <f>IF(I1416&lt;&gt;"",VLOOKUP(AP1416,KvB!$A$2:$B$3,2,FALSE),"")</f>
        <v>BE101000</v>
      </c>
      <c r="AI1416" s="11" t="s">
        <v>55</v>
      </c>
      <c r="AJ1416" s="11"/>
      <c r="AK1416" s="11"/>
      <c r="AL1416" s="11"/>
      <c r="AM1416" s="11"/>
      <c r="AN1416" s="11"/>
      <c r="AO1416" s="11"/>
      <c r="AP1416" s="2" t="s">
        <v>70</v>
      </c>
      <c r="AQ1416" s="11" t="str">
        <f>IF(I1416&lt;&gt;"",DATA!D1415,"")</f>
        <v>8419899890</v>
      </c>
    </row>
    <row r="1417" spans="1:43" ht="15.75" x14ac:dyDescent="0.25">
      <c r="A1417" s="11" t="s">
        <v>57</v>
      </c>
      <c r="B1417" s="11" t="s">
        <v>56</v>
      </c>
      <c r="C1417" s="22">
        <f t="shared" si="94"/>
        <v>25001620</v>
      </c>
      <c r="D1417" s="11" t="str">
        <f t="shared" si="91"/>
        <v>SKIIFM_AT</v>
      </c>
      <c r="E1417" s="11" t="str">
        <f>IF(I1417&lt;&gt;"",VLOOKUP(F1417,OPDRACHTGEVER!$A$2:$B$4,2,FALSE),"")</f>
        <v>SKIIFM_AT</v>
      </c>
      <c r="F1417" s="11" t="s">
        <v>58</v>
      </c>
      <c r="I1417" s="11" t="str">
        <f>IF(DATA!B1416&lt;&gt;"",DATA!B1416,"")</f>
        <v>MSDU5224106</v>
      </c>
      <c r="J1417" s="12">
        <v>0</v>
      </c>
      <c r="K1417" s="11" t="s">
        <v>53</v>
      </c>
      <c r="L1417" s="11" t="str">
        <f t="shared" si="92"/>
        <v>401693</v>
      </c>
      <c r="M1417" s="11" t="str">
        <f>IF(I1417&lt;&gt;"",DATA!E1416,"")</f>
        <v>HEEL</v>
      </c>
      <c r="N1417" s="12">
        <v>0</v>
      </c>
      <c r="O1417" s="11">
        <f>IF(I1417&lt;&gt;"",DATA!C1416,"")</f>
        <v>108.32</v>
      </c>
      <c r="P1417" s="2">
        <v>294094</v>
      </c>
      <c r="Q1417" s="2" t="s">
        <v>1304</v>
      </c>
      <c r="R1417" s="2" t="s">
        <v>1332</v>
      </c>
      <c r="S1417" s="2">
        <v>6</v>
      </c>
      <c r="T1417" s="2">
        <v>1</v>
      </c>
      <c r="U1417" s="2" t="s">
        <v>141</v>
      </c>
      <c r="Y1417" s="2">
        <v>1700</v>
      </c>
      <c r="Z1417" s="11" t="s">
        <v>54</v>
      </c>
      <c r="AA1417" s="11" t="str">
        <f t="shared" si="93"/>
        <v>1700 - TBN</v>
      </c>
      <c r="AC1417" s="2" t="s">
        <v>145</v>
      </c>
      <c r="AD1417" s="11" t="str">
        <f>IF($I1417&lt;&gt;"",VLOOKUP($AC1417,GEADRESSEERDE!$A$2:$E$4,2,),"")</f>
        <v>LUITHAGEN HAVEN 2 D</v>
      </c>
      <c r="AE1417" s="11">
        <f>IF($I1417&lt;&gt;"",VLOOKUP($AC1417,GEADRESSEERDE!$A$2:$E$4,3,),"")</f>
        <v>2030</v>
      </c>
      <c r="AF1417" s="11" t="str">
        <f>IF($I1417&lt;&gt;"",VLOOKUP($AC1417,GEADRESSEERDE!$A$2:$E$4,4,),"")</f>
        <v>ANTWERPEN</v>
      </c>
      <c r="AG1417" s="11" t="str">
        <f>IF($I1417&lt;&gt;"",VLOOKUP($AC1417,GEADRESSEERDE!$A$2:$E$4,5,),"")</f>
        <v>BE</v>
      </c>
      <c r="AH1417" s="11" t="str">
        <f>IF(I1417&lt;&gt;"",VLOOKUP(AP1417,KvB!$A$2:$B$3,2,FALSE),"")</f>
        <v>BE101000</v>
      </c>
      <c r="AI1417" s="11" t="s">
        <v>55</v>
      </c>
      <c r="AJ1417" s="11"/>
      <c r="AK1417" s="11"/>
      <c r="AL1417" s="11"/>
      <c r="AM1417" s="11"/>
      <c r="AN1417" s="11"/>
      <c r="AO1417" s="11"/>
      <c r="AP1417" s="2" t="s">
        <v>70</v>
      </c>
      <c r="AQ1417" s="11" t="str">
        <f>IF(I1417&lt;&gt;"",DATA!D1416,"")</f>
        <v>4016930090</v>
      </c>
    </row>
    <row r="1418" spans="1:43" ht="15.75" x14ac:dyDescent="0.25">
      <c r="A1418" s="11" t="s">
        <v>57</v>
      </c>
      <c r="B1418" s="11" t="s">
        <v>56</v>
      </c>
      <c r="C1418" s="22">
        <f t="shared" si="94"/>
        <v>25001620</v>
      </c>
      <c r="D1418" s="11" t="str">
        <f t="shared" si="91"/>
        <v>SKIIFM_AT</v>
      </c>
      <c r="E1418" s="11" t="str">
        <f>IF(I1418&lt;&gt;"",VLOOKUP(F1418,OPDRACHTGEVER!$A$2:$B$4,2,FALSE),"")</f>
        <v>SKIIFM_AT</v>
      </c>
      <c r="F1418" s="11" t="s">
        <v>58</v>
      </c>
      <c r="I1418" s="11" t="str">
        <f>IF(DATA!B1417&lt;&gt;"",DATA!B1417,"")</f>
        <v>MSDU5224106</v>
      </c>
      <c r="J1418" s="12">
        <v>0</v>
      </c>
      <c r="K1418" s="11" t="s">
        <v>53</v>
      </c>
      <c r="L1418" s="11" t="str">
        <f t="shared" si="92"/>
        <v>842119</v>
      </c>
      <c r="M1418" s="11" t="str">
        <f>IF(I1418&lt;&gt;"",DATA!E1417,"")</f>
        <v>HONEY EXTRACTOR</v>
      </c>
      <c r="N1418" s="12">
        <v>0</v>
      </c>
      <c r="O1418" s="11">
        <f>IF(I1418&lt;&gt;"",DATA!C1417,"")</f>
        <v>3536.95</v>
      </c>
      <c r="P1418" s="2">
        <v>294094</v>
      </c>
      <c r="Q1418" s="2" t="s">
        <v>1304</v>
      </c>
      <c r="R1418" s="2" t="s">
        <v>1332</v>
      </c>
      <c r="S1418" s="2">
        <v>6</v>
      </c>
      <c r="T1418" s="2">
        <v>1</v>
      </c>
      <c r="U1418" s="2" t="s">
        <v>141</v>
      </c>
      <c r="Y1418" s="2">
        <v>1700</v>
      </c>
      <c r="Z1418" s="11" t="s">
        <v>54</v>
      </c>
      <c r="AA1418" s="11" t="str">
        <f t="shared" si="93"/>
        <v>1700 - TBN</v>
      </c>
      <c r="AC1418" s="2" t="s">
        <v>145</v>
      </c>
      <c r="AD1418" s="11" t="str">
        <f>IF($I1418&lt;&gt;"",VLOOKUP($AC1418,GEADRESSEERDE!$A$2:$E$4,2,),"")</f>
        <v>LUITHAGEN HAVEN 2 D</v>
      </c>
      <c r="AE1418" s="11">
        <f>IF($I1418&lt;&gt;"",VLOOKUP($AC1418,GEADRESSEERDE!$A$2:$E$4,3,),"")</f>
        <v>2030</v>
      </c>
      <c r="AF1418" s="11" t="str">
        <f>IF($I1418&lt;&gt;"",VLOOKUP($AC1418,GEADRESSEERDE!$A$2:$E$4,4,),"")</f>
        <v>ANTWERPEN</v>
      </c>
      <c r="AG1418" s="11" t="str">
        <f>IF($I1418&lt;&gt;"",VLOOKUP($AC1418,GEADRESSEERDE!$A$2:$E$4,5,),"")</f>
        <v>BE</v>
      </c>
      <c r="AH1418" s="11" t="str">
        <f>IF(I1418&lt;&gt;"",VLOOKUP(AP1418,KvB!$A$2:$B$3,2,FALSE),"")</f>
        <v>BE101000</v>
      </c>
      <c r="AI1418" s="11" t="s">
        <v>55</v>
      </c>
      <c r="AJ1418" s="11"/>
      <c r="AK1418" s="11"/>
      <c r="AL1418" s="11"/>
      <c r="AM1418" s="11"/>
      <c r="AN1418" s="11"/>
      <c r="AO1418" s="11"/>
      <c r="AP1418" s="2" t="s">
        <v>70</v>
      </c>
      <c r="AQ1418" s="11" t="str">
        <f>IF(I1418&lt;&gt;"",DATA!D1417,"")</f>
        <v>8421197000</v>
      </c>
    </row>
    <row r="1419" spans="1:43" ht="15.75" x14ac:dyDescent="0.25">
      <c r="A1419" s="11" t="s">
        <v>57</v>
      </c>
      <c r="B1419" s="11" t="s">
        <v>56</v>
      </c>
      <c r="C1419" s="22">
        <f t="shared" si="94"/>
        <v>25001620</v>
      </c>
      <c r="D1419" s="11" t="str">
        <f t="shared" si="91"/>
        <v>SKIIFM_AT</v>
      </c>
      <c r="E1419" s="11" t="str">
        <f>IF(I1419&lt;&gt;"",VLOOKUP(F1419,OPDRACHTGEVER!$A$2:$B$4,2,FALSE),"")</f>
        <v>SKIIFM_AT</v>
      </c>
      <c r="F1419" s="11" t="s">
        <v>58</v>
      </c>
      <c r="I1419" s="11" t="str">
        <f>IF(DATA!B1418&lt;&gt;"",DATA!B1418,"")</f>
        <v>MSDU5224106</v>
      </c>
      <c r="J1419" s="12">
        <v>0</v>
      </c>
      <c r="K1419" s="11" t="s">
        <v>53</v>
      </c>
      <c r="L1419" s="11" t="str">
        <f t="shared" si="92"/>
        <v>841229</v>
      </c>
      <c r="M1419" s="11" t="str">
        <f>IF(I1419&lt;&gt;"",DATA!E1418,"")</f>
        <v>HYDRAULIC POWER UNIT</v>
      </c>
      <c r="N1419" s="12">
        <v>0</v>
      </c>
      <c r="O1419" s="11">
        <f>IF(I1419&lt;&gt;"",DATA!C1418,"")</f>
        <v>205</v>
      </c>
      <c r="P1419" s="2">
        <v>294094</v>
      </c>
      <c r="Q1419" s="2" t="s">
        <v>1304</v>
      </c>
      <c r="R1419" s="2" t="s">
        <v>1332</v>
      </c>
      <c r="S1419" s="2">
        <v>6</v>
      </c>
      <c r="T1419" s="2">
        <v>1</v>
      </c>
      <c r="U1419" s="2" t="s">
        <v>141</v>
      </c>
      <c r="Y1419" s="2">
        <v>1700</v>
      </c>
      <c r="Z1419" s="11" t="s">
        <v>54</v>
      </c>
      <c r="AA1419" s="11" t="str">
        <f t="shared" si="93"/>
        <v>1700 - TBN</v>
      </c>
      <c r="AC1419" s="2" t="s">
        <v>145</v>
      </c>
      <c r="AD1419" s="11" t="str">
        <f>IF($I1419&lt;&gt;"",VLOOKUP($AC1419,GEADRESSEERDE!$A$2:$E$4,2,),"")</f>
        <v>LUITHAGEN HAVEN 2 D</v>
      </c>
      <c r="AE1419" s="11">
        <f>IF($I1419&lt;&gt;"",VLOOKUP($AC1419,GEADRESSEERDE!$A$2:$E$4,3,),"")</f>
        <v>2030</v>
      </c>
      <c r="AF1419" s="11" t="str">
        <f>IF($I1419&lt;&gt;"",VLOOKUP($AC1419,GEADRESSEERDE!$A$2:$E$4,4,),"")</f>
        <v>ANTWERPEN</v>
      </c>
      <c r="AG1419" s="11" t="str">
        <f>IF($I1419&lt;&gt;"",VLOOKUP($AC1419,GEADRESSEERDE!$A$2:$E$4,5,),"")</f>
        <v>BE</v>
      </c>
      <c r="AH1419" s="11" t="str">
        <f>IF(I1419&lt;&gt;"",VLOOKUP(AP1419,KvB!$A$2:$B$3,2,FALSE),"")</f>
        <v>BE101000</v>
      </c>
      <c r="AI1419" s="11" t="s">
        <v>55</v>
      </c>
      <c r="AJ1419" s="11"/>
      <c r="AK1419" s="11"/>
      <c r="AL1419" s="11"/>
      <c r="AM1419" s="11"/>
      <c r="AN1419" s="11"/>
      <c r="AO1419" s="11"/>
      <c r="AP1419" s="2" t="s">
        <v>70</v>
      </c>
      <c r="AQ1419" s="11" t="str">
        <f>IF(I1419&lt;&gt;"",DATA!D1418,"")</f>
        <v>8412298990</v>
      </c>
    </row>
    <row r="1420" spans="1:43" ht="15.75" x14ac:dyDescent="0.25">
      <c r="A1420" s="11" t="s">
        <v>57</v>
      </c>
      <c r="B1420" s="11" t="s">
        <v>56</v>
      </c>
      <c r="C1420" s="22">
        <f t="shared" si="94"/>
        <v>25001620</v>
      </c>
      <c r="D1420" s="11" t="str">
        <f t="shared" si="91"/>
        <v>SKIIFM_AT</v>
      </c>
      <c r="E1420" s="11" t="str">
        <f>IF(I1420&lt;&gt;"",VLOOKUP(F1420,OPDRACHTGEVER!$A$2:$B$4,2,FALSE),"")</f>
        <v>SKIIFM_AT</v>
      </c>
      <c r="F1420" s="11" t="s">
        <v>58</v>
      </c>
      <c r="I1420" s="11" t="str">
        <f>IF(DATA!B1419&lt;&gt;"",DATA!B1419,"")</f>
        <v>MSDU5224106</v>
      </c>
      <c r="J1420" s="12">
        <v>0</v>
      </c>
      <c r="K1420" s="11" t="s">
        <v>53</v>
      </c>
      <c r="L1420" s="11" t="str">
        <f t="shared" si="92"/>
        <v>841420</v>
      </c>
      <c r="M1420" s="11" t="str">
        <f>IF(I1420&lt;&gt;"",DATA!E1419,"")</f>
        <v>HYDRAULIC PUMP</v>
      </c>
      <c r="N1420" s="12">
        <v>0</v>
      </c>
      <c r="O1420" s="11">
        <f>IF(I1420&lt;&gt;"",DATA!C1419,"")</f>
        <v>61.38</v>
      </c>
      <c r="P1420" s="2">
        <v>294094</v>
      </c>
      <c r="Q1420" s="2" t="s">
        <v>1304</v>
      </c>
      <c r="R1420" s="2" t="s">
        <v>1332</v>
      </c>
      <c r="S1420" s="2">
        <v>6</v>
      </c>
      <c r="T1420" s="2">
        <v>1</v>
      </c>
      <c r="U1420" s="2" t="s">
        <v>141</v>
      </c>
      <c r="Y1420" s="2">
        <v>1700</v>
      </c>
      <c r="Z1420" s="11" t="s">
        <v>54</v>
      </c>
      <c r="AA1420" s="11" t="str">
        <f t="shared" si="93"/>
        <v>1700 - TBN</v>
      </c>
      <c r="AC1420" s="2" t="s">
        <v>145</v>
      </c>
      <c r="AD1420" s="11" t="str">
        <f>IF($I1420&lt;&gt;"",VLOOKUP($AC1420,GEADRESSEERDE!$A$2:$E$4,2,),"")</f>
        <v>LUITHAGEN HAVEN 2 D</v>
      </c>
      <c r="AE1420" s="11">
        <f>IF($I1420&lt;&gt;"",VLOOKUP($AC1420,GEADRESSEERDE!$A$2:$E$4,3,),"")</f>
        <v>2030</v>
      </c>
      <c r="AF1420" s="11" t="str">
        <f>IF($I1420&lt;&gt;"",VLOOKUP($AC1420,GEADRESSEERDE!$A$2:$E$4,4,),"")</f>
        <v>ANTWERPEN</v>
      </c>
      <c r="AG1420" s="11" t="str">
        <f>IF($I1420&lt;&gt;"",VLOOKUP($AC1420,GEADRESSEERDE!$A$2:$E$4,5,),"")</f>
        <v>BE</v>
      </c>
      <c r="AH1420" s="11" t="str">
        <f>IF(I1420&lt;&gt;"",VLOOKUP(AP1420,KvB!$A$2:$B$3,2,FALSE),"")</f>
        <v>BE101000</v>
      </c>
      <c r="AI1420" s="11" t="s">
        <v>55</v>
      </c>
      <c r="AJ1420" s="11"/>
      <c r="AK1420" s="11"/>
      <c r="AL1420" s="11"/>
      <c r="AM1420" s="11"/>
      <c r="AN1420" s="11"/>
      <c r="AO1420" s="11"/>
      <c r="AP1420" s="2" t="s">
        <v>70</v>
      </c>
      <c r="AQ1420" s="11" t="str">
        <f>IF(I1420&lt;&gt;"",DATA!D1419,"")</f>
        <v>8414208090</v>
      </c>
    </row>
    <row r="1421" spans="1:43" ht="15.75" x14ac:dyDescent="0.25">
      <c r="A1421" s="11" t="s">
        <v>57</v>
      </c>
      <c r="B1421" s="11" t="s">
        <v>56</v>
      </c>
      <c r="C1421" s="22">
        <f t="shared" si="94"/>
        <v>25001620</v>
      </c>
      <c r="D1421" s="11" t="str">
        <f t="shared" si="91"/>
        <v>SKIIFM_AT</v>
      </c>
      <c r="E1421" s="11" t="str">
        <f>IF(I1421&lt;&gt;"",VLOOKUP(F1421,OPDRACHTGEVER!$A$2:$B$4,2,FALSE),"")</f>
        <v>SKIIFM_AT</v>
      </c>
      <c r="F1421" s="11" t="s">
        <v>58</v>
      </c>
      <c r="I1421" s="11" t="str">
        <f>IF(DATA!B1420&lt;&gt;"",DATA!B1420,"")</f>
        <v>MSDU5224106</v>
      </c>
      <c r="J1421" s="12">
        <v>0</v>
      </c>
      <c r="K1421" s="11" t="s">
        <v>53</v>
      </c>
      <c r="L1421" s="11" t="str">
        <f t="shared" si="92"/>
        <v>841821</v>
      </c>
      <c r="M1421" s="11" t="str">
        <f>IF(I1421&lt;&gt;"",DATA!E1420,"")</f>
        <v>INCUBATOR</v>
      </c>
      <c r="N1421" s="12">
        <v>0</v>
      </c>
      <c r="O1421" s="11">
        <f>IF(I1421&lt;&gt;"",DATA!C1420,"")</f>
        <v>2.96</v>
      </c>
      <c r="P1421" s="2">
        <v>294094</v>
      </c>
      <c r="Q1421" s="2" t="s">
        <v>1304</v>
      </c>
      <c r="R1421" s="2" t="s">
        <v>1332</v>
      </c>
      <c r="S1421" s="2">
        <v>6</v>
      </c>
      <c r="T1421" s="2">
        <v>1</v>
      </c>
      <c r="U1421" s="2" t="s">
        <v>141</v>
      </c>
      <c r="Y1421" s="2">
        <v>1700</v>
      </c>
      <c r="Z1421" s="11" t="s">
        <v>54</v>
      </c>
      <c r="AA1421" s="11" t="str">
        <f t="shared" si="93"/>
        <v>1700 - TBN</v>
      </c>
      <c r="AC1421" s="2" t="s">
        <v>145</v>
      </c>
      <c r="AD1421" s="11" t="str">
        <f>IF($I1421&lt;&gt;"",VLOOKUP($AC1421,GEADRESSEERDE!$A$2:$E$4,2,),"")</f>
        <v>LUITHAGEN HAVEN 2 D</v>
      </c>
      <c r="AE1421" s="11">
        <f>IF($I1421&lt;&gt;"",VLOOKUP($AC1421,GEADRESSEERDE!$A$2:$E$4,3,),"")</f>
        <v>2030</v>
      </c>
      <c r="AF1421" s="11" t="str">
        <f>IF($I1421&lt;&gt;"",VLOOKUP($AC1421,GEADRESSEERDE!$A$2:$E$4,4,),"")</f>
        <v>ANTWERPEN</v>
      </c>
      <c r="AG1421" s="11" t="str">
        <f>IF($I1421&lt;&gt;"",VLOOKUP($AC1421,GEADRESSEERDE!$A$2:$E$4,5,),"")</f>
        <v>BE</v>
      </c>
      <c r="AH1421" s="11" t="str">
        <f>IF(I1421&lt;&gt;"",VLOOKUP(AP1421,KvB!$A$2:$B$3,2,FALSE),"")</f>
        <v>BE101000</v>
      </c>
      <c r="AI1421" s="11" t="s">
        <v>55</v>
      </c>
      <c r="AJ1421" s="11"/>
      <c r="AK1421" s="11"/>
      <c r="AL1421" s="11"/>
      <c r="AM1421" s="11"/>
      <c r="AN1421" s="11"/>
      <c r="AO1421" s="11"/>
      <c r="AP1421" s="2" t="s">
        <v>70</v>
      </c>
      <c r="AQ1421" s="11" t="str">
        <f>IF(I1421&lt;&gt;"",DATA!D1420,"")</f>
        <v>8418211090</v>
      </c>
    </row>
    <row r="1422" spans="1:43" ht="15.75" x14ac:dyDescent="0.25">
      <c r="A1422" s="11" t="s">
        <v>57</v>
      </c>
      <c r="B1422" s="11" t="s">
        <v>56</v>
      </c>
      <c r="C1422" s="22">
        <f t="shared" si="94"/>
        <v>25001620</v>
      </c>
      <c r="D1422" s="11" t="str">
        <f t="shared" si="91"/>
        <v>SKIIFM_AT</v>
      </c>
      <c r="E1422" s="11" t="str">
        <f>IF(I1422&lt;&gt;"",VLOOKUP(F1422,OPDRACHTGEVER!$A$2:$B$4,2,FALSE),"")</f>
        <v>SKIIFM_AT</v>
      </c>
      <c r="F1422" s="11" t="s">
        <v>58</v>
      </c>
      <c r="I1422" s="11" t="str">
        <f>IF(DATA!B1421&lt;&gt;"",DATA!B1421,"")</f>
        <v>MSDU5224106</v>
      </c>
      <c r="J1422" s="12">
        <v>0</v>
      </c>
      <c r="K1422" s="11" t="s">
        <v>53</v>
      </c>
      <c r="L1422" s="11" t="str">
        <f t="shared" si="92"/>
        <v>846630</v>
      </c>
      <c r="M1422" s="11" t="str">
        <f>IF(I1422&lt;&gt;"",DATA!E1421,"")</f>
        <v>INDEXING PLATE</v>
      </c>
      <c r="N1422" s="12">
        <v>0</v>
      </c>
      <c r="O1422" s="11">
        <f>IF(I1422&lt;&gt;"",DATA!C1421,"")</f>
        <v>119.8</v>
      </c>
      <c r="P1422" s="2">
        <v>294094</v>
      </c>
      <c r="Q1422" s="2" t="s">
        <v>1304</v>
      </c>
      <c r="R1422" s="2" t="s">
        <v>1332</v>
      </c>
      <c r="S1422" s="2">
        <v>6</v>
      </c>
      <c r="T1422" s="2">
        <v>1</v>
      </c>
      <c r="U1422" s="2" t="s">
        <v>141</v>
      </c>
      <c r="Y1422" s="2">
        <v>1700</v>
      </c>
      <c r="Z1422" s="11" t="s">
        <v>54</v>
      </c>
      <c r="AA1422" s="11" t="str">
        <f t="shared" si="93"/>
        <v>1700 - TBN</v>
      </c>
      <c r="AC1422" s="2" t="s">
        <v>145</v>
      </c>
      <c r="AD1422" s="11" t="str">
        <f>IF($I1422&lt;&gt;"",VLOOKUP($AC1422,GEADRESSEERDE!$A$2:$E$4,2,),"")</f>
        <v>LUITHAGEN HAVEN 2 D</v>
      </c>
      <c r="AE1422" s="11">
        <f>IF($I1422&lt;&gt;"",VLOOKUP($AC1422,GEADRESSEERDE!$A$2:$E$4,3,),"")</f>
        <v>2030</v>
      </c>
      <c r="AF1422" s="11" t="str">
        <f>IF($I1422&lt;&gt;"",VLOOKUP($AC1422,GEADRESSEERDE!$A$2:$E$4,4,),"")</f>
        <v>ANTWERPEN</v>
      </c>
      <c r="AG1422" s="11" t="str">
        <f>IF($I1422&lt;&gt;"",VLOOKUP($AC1422,GEADRESSEERDE!$A$2:$E$4,5,),"")</f>
        <v>BE</v>
      </c>
      <c r="AH1422" s="11" t="str">
        <f>IF(I1422&lt;&gt;"",VLOOKUP(AP1422,KvB!$A$2:$B$3,2,FALSE),"")</f>
        <v>BE101000</v>
      </c>
      <c r="AI1422" s="11" t="s">
        <v>55</v>
      </c>
      <c r="AJ1422" s="11"/>
      <c r="AK1422" s="11"/>
      <c r="AL1422" s="11"/>
      <c r="AM1422" s="11"/>
      <c r="AN1422" s="11"/>
      <c r="AO1422" s="11"/>
      <c r="AP1422" s="2" t="s">
        <v>70</v>
      </c>
      <c r="AQ1422" s="11" t="str">
        <f>IF(I1422&lt;&gt;"",DATA!D1421,"")</f>
        <v>8466300000</v>
      </c>
    </row>
    <row r="1423" spans="1:43" ht="15.75" x14ac:dyDescent="0.25">
      <c r="A1423" s="11" t="s">
        <v>57</v>
      </c>
      <c r="B1423" s="11" t="s">
        <v>56</v>
      </c>
      <c r="C1423" s="22">
        <f t="shared" si="94"/>
        <v>25001620</v>
      </c>
      <c r="D1423" s="11" t="str">
        <f t="shared" si="91"/>
        <v>SKIIFM_AT</v>
      </c>
      <c r="E1423" s="11" t="str">
        <f>IF(I1423&lt;&gt;"",VLOOKUP(F1423,OPDRACHTGEVER!$A$2:$B$4,2,FALSE),"")</f>
        <v>SKIIFM_AT</v>
      </c>
      <c r="F1423" s="11" t="s">
        <v>58</v>
      </c>
      <c r="I1423" s="11" t="str">
        <f>IF(DATA!B1422&lt;&gt;"",DATA!B1422,"")</f>
        <v>MSDU5224106</v>
      </c>
      <c r="J1423" s="12">
        <v>0</v>
      </c>
      <c r="K1423" s="11" t="s">
        <v>53</v>
      </c>
      <c r="L1423" s="11" t="str">
        <f t="shared" si="92"/>
        <v>950691</v>
      </c>
      <c r="M1423" s="11" t="str">
        <f>IF(I1423&lt;&gt;"",DATA!E1422,"")</f>
        <v>INFLATABLE FLOATING DOCK</v>
      </c>
      <c r="N1423" s="12">
        <v>0</v>
      </c>
      <c r="O1423" s="11">
        <f>IF(I1423&lt;&gt;"",DATA!C1422,"")</f>
        <v>71.040000000000006</v>
      </c>
      <c r="P1423" s="2">
        <v>294094</v>
      </c>
      <c r="Q1423" s="2" t="s">
        <v>1304</v>
      </c>
      <c r="R1423" s="2" t="s">
        <v>1332</v>
      </c>
      <c r="S1423" s="2">
        <v>6</v>
      </c>
      <c r="T1423" s="2">
        <v>1</v>
      </c>
      <c r="U1423" s="2" t="s">
        <v>141</v>
      </c>
      <c r="Y1423" s="2">
        <v>1700</v>
      </c>
      <c r="Z1423" s="11" t="s">
        <v>54</v>
      </c>
      <c r="AA1423" s="11" t="str">
        <f t="shared" si="93"/>
        <v>1700 - TBN</v>
      </c>
      <c r="AC1423" s="2" t="s">
        <v>145</v>
      </c>
      <c r="AD1423" s="11" t="str">
        <f>IF($I1423&lt;&gt;"",VLOOKUP($AC1423,GEADRESSEERDE!$A$2:$E$4,2,),"")</f>
        <v>LUITHAGEN HAVEN 2 D</v>
      </c>
      <c r="AE1423" s="11">
        <f>IF($I1423&lt;&gt;"",VLOOKUP($AC1423,GEADRESSEERDE!$A$2:$E$4,3,),"")</f>
        <v>2030</v>
      </c>
      <c r="AF1423" s="11" t="str">
        <f>IF($I1423&lt;&gt;"",VLOOKUP($AC1423,GEADRESSEERDE!$A$2:$E$4,4,),"")</f>
        <v>ANTWERPEN</v>
      </c>
      <c r="AG1423" s="11" t="str">
        <f>IF($I1423&lt;&gt;"",VLOOKUP($AC1423,GEADRESSEERDE!$A$2:$E$4,5,),"")</f>
        <v>BE</v>
      </c>
      <c r="AH1423" s="11" t="str">
        <f>IF(I1423&lt;&gt;"",VLOOKUP(AP1423,KvB!$A$2:$B$3,2,FALSE),"")</f>
        <v>BE101000</v>
      </c>
      <c r="AI1423" s="11" t="s">
        <v>55</v>
      </c>
      <c r="AJ1423" s="11"/>
      <c r="AK1423" s="11"/>
      <c r="AL1423" s="11"/>
      <c r="AM1423" s="11"/>
      <c r="AN1423" s="11"/>
      <c r="AO1423" s="11"/>
      <c r="AP1423" s="2" t="s">
        <v>70</v>
      </c>
      <c r="AQ1423" s="11" t="str">
        <f>IF(I1423&lt;&gt;"",DATA!D1422,"")</f>
        <v>9506919000</v>
      </c>
    </row>
    <row r="1424" spans="1:43" ht="15.75" x14ac:dyDescent="0.25">
      <c r="A1424" s="11" t="s">
        <v>57</v>
      </c>
      <c r="B1424" s="11" t="s">
        <v>56</v>
      </c>
      <c r="C1424" s="22">
        <f t="shared" si="94"/>
        <v>25001620</v>
      </c>
      <c r="D1424" s="11" t="str">
        <f t="shared" si="91"/>
        <v>SKIIFM_AT</v>
      </c>
      <c r="E1424" s="11" t="str">
        <f>IF(I1424&lt;&gt;"",VLOOKUP(F1424,OPDRACHTGEVER!$A$2:$B$4,2,FALSE),"")</f>
        <v>SKIIFM_AT</v>
      </c>
      <c r="F1424" s="11" t="s">
        <v>58</v>
      </c>
      <c r="I1424" s="11" t="str">
        <f>IF(DATA!B1423&lt;&gt;"",DATA!B1423,"")</f>
        <v>MSDU5224106</v>
      </c>
      <c r="J1424" s="12">
        <v>0</v>
      </c>
      <c r="K1424" s="11" t="s">
        <v>53</v>
      </c>
      <c r="L1424" s="11" t="str">
        <f t="shared" si="92"/>
        <v>741920</v>
      </c>
      <c r="M1424" s="11" t="str">
        <f>IF(I1424&lt;&gt;"",DATA!E1423,"")</f>
        <v>INNER CORE CABLE</v>
      </c>
      <c r="N1424" s="12">
        <v>0</v>
      </c>
      <c r="O1424" s="11">
        <f>IF(I1424&lt;&gt;"",DATA!C1423,"")</f>
        <v>280.02999999999997</v>
      </c>
      <c r="P1424" s="2">
        <v>294094</v>
      </c>
      <c r="Q1424" s="2" t="s">
        <v>1304</v>
      </c>
      <c r="R1424" s="2" t="s">
        <v>1332</v>
      </c>
      <c r="S1424" s="2">
        <v>6</v>
      </c>
      <c r="T1424" s="2">
        <v>1</v>
      </c>
      <c r="U1424" s="2" t="s">
        <v>141</v>
      </c>
      <c r="Y1424" s="2">
        <v>1700</v>
      </c>
      <c r="Z1424" s="11" t="s">
        <v>54</v>
      </c>
      <c r="AA1424" s="11" t="str">
        <f t="shared" si="93"/>
        <v>1700 - TBN</v>
      </c>
      <c r="AC1424" s="2" t="s">
        <v>145</v>
      </c>
      <c r="AD1424" s="11" t="str">
        <f>IF($I1424&lt;&gt;"",VLOOKUP($AC1424,GEADRESSEERDE!$A$2:$E$4,2,),"")</f>
        <v>LUITHAGEN HAVEN 2 D</v>
      </c>
      <c r="AE1424" s="11">
        <f>IF($I1424&lt;&gt;"",VLOOKUP($AC1424,GEADRESSEERDE!$A$2:$E$4,3,),"")</f>
        <v>2030</v>
      </c>
      <c r="AF1424" s="11" t="str">
        <f>IF($I1424&lt;&gt;"",VLOOKUP($AC1424,GEADRESSEERDE!$A$2:$E$4,4,),"")</f>
        <v>ANTWERPEN</v>
      </c>
      <c r="AG1424" s="11" t="str">
        <f>IF($I1424&lt;&gt;"",VLOOKUP($AC1424,GEADRESSEERDE!$A$2:$E$4,5,),"")</f>
        <v>BE</v>
      </c>
      <c r="AH1424" s="11" t="str">
        <f>IF(I1424&lt;&gt;"",VLOOKUP(AP1424,KvB!$A$2:$B$3,2,FALSE),"")</f>
        <v>BE101000</v>
      </c>
      <c r="AI1424" s="11" t="s">
        <v>55</v>
      </c>
      <c r="AJ1424" s="11"/>
      <c r="AK1424" s="11"/>
      <c r="AL1424" s="11"/>
      <c r="AM1424" s="11"/>
      <c r="AN1424" s="11"/>
      <c r="AO1424" s="11"/>
      <c r="AP1424" s="2" t="s">
        <v>70</v>
      </c>
      <c r="AQ1424" s="11" t="str">
        <f>IF(I1424&lt;&gt;"",DATA!D1423,"")</f>
        <v>7419200090</v>
      </c>
    </row>
    <row r="1425" spans="1:43" ht="15.75" x14ac:dyDescent="0.25">
      <c r="A1425" s="11" t="s">
        <v>57</v>
      </c>
      <c r="B1425" s="11" t="s">
        <v>56</v>
      </c>
      <c r="C1425" s="22">
        <f t="shared" si="94"/>
        <v>25001620</v>
      </c>
      <c r="D1425" s="11" t="str">
        <f t="shared" si="91"/>
        <v>SKIIFM_AT</v>
      </c>
      <c r="E1425" s="11" t="str">
        <f>IF(I1425&lt;&gt;"",VLOOKUP(F1425,OPDRACHTGEVER!$A$2:$B$4,2,FALSE),"")</f>
        <v>SKIIFM_AT</v>
      </c>
      <c r="F1425" s="11" t="s">
        <v>58</v>
      </c>
      <c r="I1425" s="11" t="str">
        <f>IF(DATA!B1424&lt;&gt;"",DATA!B1424,"")</f>
        <v>MSDU5224106</v>
      </c>
      <c r="J1425" s="12">
        <v>0</v>
      </c>
      <c r="K1425" s="11" t="s">
        <v>53</v>
      </c>
      <c r="L1425" s="11" t="str">
        <f t="shared" si="92"/>
        <v>842549</v>
      </c>
      <c r="M1425" s="11" t="str">
        <f>IF(I1425&lt;&gt;"",DATA!E1424,"")</f>
        <v>JACK</v>
      </c>
      <c r="N1425" s="12">
        <v>0</v>
      </c>
      <c r="O1425" s="11">
        <f>IF(I1425&lt;&gt;"",DATA!C1424,"")</f>
        <v>82.05</v>
      </c>
      <c r="P1425" s="2">
        <v>294094</v>
      </c>
      <c r="Q1425" s="2" t="s">
        <v>1304</v>
      </c>
      <c r="R1425" s="2" t="s">
        <v>1332</v>
      </c>
      <c r="S1425" s="2">
        <v>6</v>
      </c>
      <c r="T1425" s="2">
        <v>1</v>
      </c>
      <c r="U1425" s="2" t="s">
        <v>141</v>
      </c>
      <c r="Y1425" s="2">
        <v>1700</v>
      </c>
      <c r="Z1425" s="11" t="s">
        <v>54</v>
      </c>
      <c r="AA1425" s="11" t="str">
        <f t="shared" si="93"/>
        <v>1700 - TBN</v>
      </c>
      <c r="AC1425" s="2" t="s">
        <v>145</v>
      </c>
      <c r="AD1425" s="11" t="str">
        <f>IF($I1425&lt;&gt;"",VLOOKUP($AC1425,GEADRESSEERDE!$A$2:$E$4,2,),"")</f>
        <v>LUITHAGEN HAVEN 2 D</v>
      </c>
      <c r="AE1425" s="11">
        <f>IF($I1425&lt;&gt;"",VLOOKUP($AC1425,GEADRESSEERDE!$A$2:$E$4,3,),"")</f>
        <v>2030</v>
      </c>
      <c r="AF1425" s="11" t="str">
        <f>IF($I1425&lt;&gt;"",VLOOKUP($AC1425,GEADRESSEERDE!$A$2:$E$4,4,),"")</f>
        <v>ANTWERPEN</v>
      </c>
      <c r="AG1425" s="11" t="str">
        <f>IF($I1425&lt;&gt;"",VLOOKUP($AC1425,GEADRESSEERDE!$A$2:$E$4,5,),"")</f>
        <v>BE</v>
      </c>
      <c r="AH1425" s="11" t="str">
        <f>IF(I1425&lt;&gt;"",VLOOKUP(AP1425,KvB!$A$2:$B$3,2,FALSE),"")</f>
        <v>BE101000</v>
      </c>
      <c r="AI1425" s="11" t="s">
        <v>55</v>
      </c>
      <c r="AJ1425" s="11"/>
      <c r="AK1425" s="11"/>
      <c r="AL1425" s="11"/>
      <c r="AM1425" s="11"/>
      <c r="AN1425" s="11"/>
      <c r="AO1425" s="11"/>
      <c r="AP1425" s="2" t="s">
        <v>70</v>
      </c>
      <c r="AQ1425" s="11" t="str">
        <f>IF(I1425&lt;&gt;"",DATA!D1424,"")</f>
        <v>8425490000</v>
      </c>
    </row>
    <row r="1426" spans="1:43" ht="15.75" x14ac:dyDescent="0.25">
      <c r="A1426" s="11" t="s">
        <v>57</v>
      </c>
      <c r="B1426" s="11" t="s">
        <v>56</v>
      </c>
      <c r="C1426" s="22">
        <f t="shared" si="94"/>
        <v>25001620</v>
      </c>
      <c r="D1426" s="11" t="str">
        <f t="shared" si="91"/>
        <v>SKIIFM_AT</v>
      </c>
      <c r="E1426" s="11" t="str">
        <f>IF(I1426&lt;&gt;"",VLOOKUP(F1426,OPDRACHTGEVER!$A$2:$B$4,2,FALSE),"")</f>
        <v>SKIIFM_AT</v>
      </c>
      <c r="F1426" s="11" t="s">
        <v>58</v>
      </c>
      <c r="I1426" s="11" t="str">
        <f>IF(DATA!B1425&lt;&gt;"",DATA!B1425,"")</f>
        <v>MSDU5224106</v>
      </c>
      <c r="J1426" s="12">
        <v>0</v>
      </c>
      <c r="K1426" s="11" t="s">
        <v>53</v>
      </c>
      <c r="L1426" s="11" t="str">
        <f t="shared" si="92"/>
        <v>741920</v>
      </c>
      <c r="M1426" s="11" t="str">
        <f>IF(I1426&lt;&gt;"",DATA!E1425,"")</f>
        <v>LANDSCAPE ROCK RAKE</v>
      </c>
      <c r="N1426" s="12">
        <v>0</v>
      </c>
      <c r="O1426" s="11">
        <f>IF(I1426&lt;&gt;"",DATA!C1425,"")</f>
        <v>51.48</v>
      </c>
      <c r="P1426" s="2">
        <v>294094</v>
      </c>
      <c r="Q1426" s="2" t="s">
        <v>1304</v>
      </c>
      <c r="R1426" s="2" t="s">
        <v>1332</v>
      </c>
      <c r="S1426" s="2">
        <v>6</v>
      </c>
      <c r="T1426" s="2">
        <v>1</v>
      </c>
      <c r="U1426" s="2" t="s">
        <v>141</v>
      </c>
      <c r="Y1426" s="2">
        <v>1700</v>
      </c>
      <c r="Z1426" s="11" t="s">
        <v>54</v>
      </c>
      <c r="AA1426" s="11" t="str">
        <f t="shared" si="93"/>
        <v>1700 - TBN</v>
      </c>
      <c r="AC1426" s="2" t="s">
        <v>145</v>
      </c>
      <c r="AD1426" s="11" t="str">
        <f>IF($I1426&lt;&gt;"",VLOOKUP($AC1426,GEADRESSEERDE!$A$2:$E$4,2,),"")</f>
        <v>LUITHAGEN HAVEN 2 D</v>
      </c>
      <c r="AE1426" s="11">
        <f>IF($I1426&lt;&gt;"",VLOOKUP($AC1426,GEADRESSEERDE!$A$2:$E$4,3,),"")</f>
        <v>2030</v>
      </c>
      <c r="AF1426" s="11" t="str">
        <f>IF($I1426&lt;&gt;"",VLOOKUP($AC1426,GEADRESSEERDE!$A$2:$E$4,4,),"")</f>
        <v>ANTWERPEN</v>
      </c>
      <c r="AG1426" s="11" t="str">
        <f>IF($I1426&lt;&gt;"",VLOOKUP($AC1426,GEADRESSEERDE!$A$2:$E$4,5,),"")</f>
        <v>BE</v>
      </c>
      <c r="AH1426" s="11" t="str">
        <f>IF(I1426&lt;&gt;"",VLOOKUP(AP1426,KvB!$A$2:$B$3,2,FALSE),"")</f>
        <v>BE101000</v>
      </c>
      <c r="AI1426" s="11" t="s">
        <v>55</v>
      </c>
      <c r="AJ1426" s="11"/>
      <c r="AK1426" s="11"/>
      <c r="AL1426" s="11"/>
      <c r="AM1426" s="11"/>
      <c r="AN1426" s="11"/>
      <c r="AO1426" s="11"/>
      <c r="AP1426" s="2" t="s">
        <v>70</v>
      </c>
      <c r="AQ1426" s="11" t="str">
        <f>IF(I1426&lt;&gt;"",DATA!D1425,"")</f>
        <v>7419200090</v>
      </c>
    </row>
    <row r="1427" spans="1:43" ht="15.75" x14ac:dyDescent="0.25">
      <c r="A1427" s="11" t="s">
        <v>57</v>
      </c>
      <c r="B1427" s="11" t="s">
        <v>56</v>
      </c>
      <c r="C1427" s="22">
        <f t="shared" si="94"/>
        <v>25001620</v>
      </c>
      <c r="D1427" s="11" t="str">
        <f t="shared" si="91"/>
        <v>SKIIFM_AT</v>
      </c>
      <c r="E1427" s="11" t="str">
        <f>IF(I1427&lt;&gt;"",VLOOKUP(F1427,OPDRACHTGEVER!$A$2:$B$4,2,FALSE),"")</f>
        <v>SKIIFM_AT</v>
      </c>
      <c r="F1427" s="11" t="s">
        <v>58</v>
      </c>
      <c r="I1427" s="11" t="str">
        <f>IF(DATA!B1426&lt;&gt;"",DATA!B1426,"")</f>
        <v>MSDU5224106</v>
      </c>
      <c r="J1427" s="12">
        <v>0</v>
      </c>
      <c r="K1427" s="11" t="s">
        <v>53</v>
      </c>
      <c r="L1427" s="11" t="str">
        <f t="shared" si="92"/>
        <v>846620</v>
      </c>
      <c r="M1427" s="11" t="str">
        <f>IF(I1427&lt;&gt;"",DATA!E1426,"")</f>
        <v>LATHE CHUCK</v>
      </c>
      <c r="N1427" s="12">
        <v>0</v>
      </c>
      <c r="O1427" s="11">
        <f>IF(I1427&lt;&gt;"",DATA!C1426,"")</f>
        <v>26.18</v>
      </c>
      <c r="P1427" s="2">
        <v>294094</v>
      </c>
      <c r="Q1427" s="2" t="s">
        <v>1304</v>
      </c>
      <c r="R1427" s="2" t="s">
        <v>1332</v>
      </c>
      <c r="S1427" s="2">
        <v>6</v>
      </c>
      <c r="T1427" s="2">
        <v>1</v>
      </c>
      <c r="U1427" s="2" t="s">
        <v>141</v>
      </c>
      <c r="Y1427" s="2">
        <v>1700</v>
      </c>
      <c r="Z1427" s="11" t="s">
        <v>54</v>
      </c>
      <c r="AA1427" s="11" t="str">
        <f t="shared" si="93"/>
        <v>1700 - TBN</v>
      </c>
      <c r="AC1427" s="2" t="s">
        <v>145</v>
      </c>
      <c r="AD1427" s="11" t="str">
        <f>IF($I1427&lt;&gt;"",VLOOKUP($AC1427,GEADRESSEERDE!$A$2:$E$4,2,),"")</f>
        <v>LUITHAGEN HAVEN 2 D</v>
      </c>
      <c r="AE1427" s="11">
        <f>IF($I1427&lt;&gt;"",VLOOKUP($AC1427,GEADRESSEERDE!$A$2:$E$4,3,),"")</f>
        <v>2030</v>
      </c>
      <c r="AF1427" s="11" t="str">
        <f>IF($I1427&lt;&gt;"",VLOOKUP($AC1427,GEADRESSEERDE!$A$2:$E$4,4,),"")</f>
        <v>ANTWERPEN</v>
      </c>
      <c r="AG1427" s="11" t="str">
        <f>IF($I1427&lt;&gt;"",VLOOKUP($AC1427,GEADRESSEERDE!$A$2:$E$4,5,),"")</f>
        <v>BE</v>
      </c>
      <c r="AH1427" s="11" t="str">
        <f>IF(I1427&lt;&gt;"",VLOOKUP(AP1427,KvB!$A$2:$B$3,2,FALSE),"")</f>
        <v>BE101000</v>
      </c>
      <c r="AI1427" s="11" t="s">
        <v>55</v>
      </c>
      <c r="AJ1427" s="11"/>
      <c r="AK1427" s="11"/>
      <c r="AL1427" s="11"/>
      <c r="AM1427" s="11"/>
      <c r="AN1427" s="11"/>
      <c r="AO1427" s="11"/>
      <c r="AP1427" s="2" t="s">
        <v>70</v>
      </c>
      <c r="AQ1427" s="11" t="str">
        <f>IF(I1427&lt;&gt;"",DATA!D1426,"")</f>
        <v>8466202000</v>
      </c>
    </row>
    <row r="1428" spans="1:43" ht="15.75" x14ac:dyDescent="0.25">
      <c r="A1428" s="11" t="s">
        <v>57</v>
      </c>
      <c r="B1428" s="11" t="s">
        <v>56</v>
      </c>
      <c r="C1428" s="22">
        <f t="shared" si="94"/>
        <v>25001620</v>
      </c>
      <c r="D1428" s="11" t="str">
        <f t="shared" si="91"/>
        <v>SKIIFM_AT</v>
      </c>
      <c r="E1428" s="11" t="str">
        <f>IF(I1428&lt;&gt;"",VLOOKUP(F1428,OPDRACHTGEVER!$A$2:$B$4,2,FALSE),"")</f>
        <v>SKIIFM_AT</v>
      </c>
      <c r="F1428" s="11" t="s">
        <v>58</v>
      </c>
      <c r="I1428" s="11" t="str">
        <f>IF(DATA!B1427&lt;&gt;"",DATA!B1427,"")</f>
        <v>MSDU5224106</v>
      </c>
      <c r="J1428" s="12">
        <v>0</v>
      </c>
      <c r="K1428" s="11" t="s">
        <v>53</v>
      </c>
      <c r="L1428" s="11" t="str">
        <f t="shared" si="92"/>
        <v>842519</v>
      </c>
      <c r="M1428" s="11" t="str">
        <f>IF(I1428&lt;&gt;"",DATA!E1427,"")</f>
        <v>LIFTING BLOCK</v>
      </c>
      <c r="N1428" s="12">
        <v>0</v>
      </c>
      <c r="O1428" s="11">
        <f>IF(I1428&lt;&gt;"",DATA!C1427,"")</f>
        <v>165</v>
      </c>
      <c r="P1428" s="2">
        <v>294094</v>
      </c>
      <c r="Q1428" s="2" t="s">
        <v>1304</v>
      </c>
      <c r="R1428" s="2" t="s">
        <v>1332</v>
      </c>
      <c r="S1428" s="2">
        <v>6</v>
      </c>
      <c r="T1428" s="2">
        <v>1</v>
      </c>
      <c r="U1428" s="2" t="s">
        <v>141</v>
      </c>
      <c r="Y1428" s="2">
        <v>1700</v>
      </c>
      <c r="Z1428" s="11" t="s">
        <v>54</v>
      </c>
      <c r="AA1428" s="11" t="str">
        <f t="shared" si="93"/>
        <v>1700 - TBN</v>
      </c>
      <c r="AC1428" s="2" t="s">
        <v>145</v>
      </c>
      <c r="AD1428" s="11" t="str">
        <f>IF($I1428&lt;&gt;"",VLOOKUP($AC1428,GEADRESSEERDE!$A$2:$E$4,2,),"")</f>
        <v>LUITHAGEN HAVEN 2 D</v>
      </c>
      <c r="AE1428" s="11">
        <f>IF($I1428&lt;&gt;"",VLOOKUP($AC1428,GEADRESSEERDE!$A$2:$E$4,3,),"")</f>
        <v>2030</v>
      </c>
      <c r="AF1428" s="11" t="str">
        <f>IF($I1428&lt;&gt;"",VLOOKUP($AC1428,GEADRESSEERDE!$A$2:$E$4,4,),"")</f>
        <v>ANTWERPEN</v>
      </c>
      <c r="AG1428" s="11" t="str">
        <f>IF($I1428&lt;&gt;"",VLOOKUP($AC1428,GEADRESSEERDE!$A$2:$E$4,5,),"")</f>
        <v>BE</v>
      </c>
      <c r="AH1428" s="11" t="str">
        <f>IF(I1428&lt;&gt;"",VLOOKUP(AP1428,KvB!$A$2:$B$3,2,FALSE),"")</f>
        <v>BE101000</v>
      </c>
      <c r="AI1428" s="11" t="s">
        <v>55</v>
      </c>
      <c r="AJ1428" s="11"/>
      <c r="AK1428" s="11"/>
      <c r="AL1428" s="11"/>
      <c r="AM1428" s="11"/>
      <c r="AN1428" s="11"/>
      <c r="AO1428" s="11"/>
      <c r="AP1428" s="2" t="s">
        <v>70</v>
      </c>
      <c r="AQ1428" s="11" t="str">
        <f>IF(I1428&lt;&gt;"",DATA!D1427,"")</f>
        <v>8425190000</v>
      </c>
    </row>
    <row r="1429" spans="1:43" ht="15.75" x14ac:dyDescent="0.25">
      <c r="A1429" s="11" t="s">
        <v>57</v>
      </c>
      <c r="B1429" s="11" t="s">
        <v>56</v>
      </c>
      <c r="C1429" s="22">
        <f t="shared" si="94"/>
        <v>25001620</v>
      </c>
      <c r="D1429" s="11" t="str">
        <f t="shared" si="91"/>
        <v>SKIIFM_AT</v>
      </c>
      <c r="E1429" s="11" t="str">
        <f>IF(I1429&lt;&gt;"",VLOOKUP(F1429,OPDRACHTGEVER!$A$2:$B$4,2,FALSE),"")</f>
        <v>SKIIFM_AT</v>
      </c>
      <c r="F1429" s="11" t="s">
        <v>58</v>
      </c>
      <c r="I1429" s="11" t="str">
        <f>IF(DATA!B1428&lt;&gt;"",DATA!B1428,"")</f>
        <v>MSDU5224106</v>
      </c>
      <c r="J1429" s="12">
        <v>0</v>
      </c>
      <c r="K1429" s="11" t="s">
        <v>53</v>
      </c>
      <c r="L1429" s="11" t="str">
        <f t="shared" si="92"/>
        <v>761300</v>
      </c>
      <c r="M1429" s="11" t="str">
        <f>IF(I1429&lt;&gt;"",DATA!E1428,"")</f>
        <v>LIQUID NITROGEN TANK</v>
      </c>
      <c r="N1429" s="12">
        <v>0</v>
      </c>
      <c r="O1429" s="11">
        <f>IF(I1429&lt;&gt;"",DATA!C1428,"")</f>
        <v>59.64</v>
      </c>
      <c r="P1429" s="2">
        <v>294094</v>
      </c>
      <c r="Q1429" s="2" t="s">
        <v>1304</v>
      </c>
      <c r="R1429" s="2" t="s">
        <v>1332</v>
      </c>
      <c r="S1429" s="2">
        <v>6</v>
      </c>
      <c r="T1429" s="2">
        <v>1</v>
      </c>
      <c r="U1429" s="2" t="s">
        <v>141</v>
      </c>
      <c r="Y1429" s="2">
        <v>1700</v>
      </c>
      <c r="Z1429" s="11" t="s">
        <v>54</v>
      </c>
      <c r="AA1429" s="11" t="str">
        <f t="shared" si="93"/>
        <v>1700 - TBN</v>
      </c>
      <c r="AC1429" s="2" t="s">
        <v>145</v>
      </c>
      <c r="AD1429" s="11" t="str">
        <f>IF($I1429&lt;&gt;"",VLOOKUP($AC1429,GEADRESSEERDE!$A$2:$E$4,2,),"")</f>
        <v>LUITHAGEN HAVEN 2 D</v>
      </c>
      <c r="AE1429" s="11">
        <f>IF($I1429&lt;&gt;"",VLOOKUP($AC1429,GEADRESSEERDE!$A$2:$E$4,3,),"")</f>
        <v>2030</v>
      </c>
      <c r="AF1429" s="11" t="str">
        <f>IF($I1429&lt;&gt;"",VLOOKUP($AC1429,GEADRESSEERDE!$A$2:$E$4,4,),"")</f>
        <v>ANTWERPEN</v>
      </c>
      <c r="AG1429" s="11" t="str">
        <f>IF($I1429&lt;&gt;"",VLOOKUP($AC1429,GEADRESSEERDE!$A$2:$E$4,5,),"")</f>
        <v>BE</v>
      </c>
      <c r="AH1429" s="11" t="str">
        <f>IF(I1429&lt;&gt;"",VLOOKUP(AP1429,KvB!$A$2:$B$3,2,FALSE),"")</f>
        <v>BE101000</v>
      </c>
      <c r="AI1429" s="11" t="s">
        <v>55</v>
      </c>
      <c r="AJ1429" s="11"/>
      <c r="AK1429" s="11"/>
      <c r="AL1429" s="11"/>
      <c r="AM1429" s="11"/>
      <c r="AN1429" s="11"/>
      <c r="AO1429" s="11"/>
      <c r="AP1429" s="2" t="s">
        <v>70</v>
      </c>
      <c r="AQ1429" s="11" t="str">
        <f>IF(I1429&lt;&gt;"",DATA!D1428,"")</f>
        <v>7613000090</v>
      </c>
    </row>
    <row r="1430" spans="1:43" ht="15.75" x14ac:dyDescent="0.25">
      <c r="A1430" s="11" t="s">
        <v>57</v>
      </c>
      <c r="B1430" s="11" t="s">
        <v>56</v>
      </c>
      <c r="C1430" s="22">
        <f t="shared" si="94"/>
        <v>25001620</v>
      </c>
      <c r="D1430" s="11" t="str">
        <f t="shared" si="91"/>
        <v>SKIIFM_AT</v>
      </c>
      <c r="E1430" s="11" t="str">
        <f>IF(I1430&lt;&gt;"",VLOOKUP(F1430,OPDRACHTGEVER!$A$2:$B$4,2,FALSE),"")</f>
        <v>SKIIFM_AT</v>
      </c>
      <c r="F1430" s="11" t="s">
        <v>58</v>
      </c>
      <c r="I1430" s="11" t="str">
        <f>IF(DATA!B1429&lt;&gt;"",DATA!B1429,"")</f>
        <v>MSDU5224106</v>
      </c>
      <c r="J1430" s="12">
        <v>0</v>
      </c>
      <c r="K1430" s="11" t="s">
        <v>53</v>
      </c>
      <c r="L1430" s="11" t="str">
        <f t="shared" si="92"/>
        <v>741920</v>
      </c>
      <c r="M1430" s="11" t="str">
        <f>IF(I1430&lt;&gt;"",DATA!E1429,"")</f>
        <v>LIVESTOCK FEEDER</v>
      </c>
      <c r="N1430" s="12">
        <v>0</v>
      </c>
      <c r="O1430" s="11">
        <f>IF(I1430&lt;&gt;"",DATA!C1429,"")</f>
        <v>86.56</v>
      </c>
      <c r="P1430" s="2">
        <v>294094</v>
      </c>
      <c r="Q1430" s="2" t="s">
        <v>1304</v>
      </c>
      <c r="R1430" s="2" t="s">
        <v>1332</v>
      </c>
      <c r="S1430" s="2">
        <v>6</v>
      </c>
      <c r="T1430" s="2">
        <v>1</v>
      </c>
      <c r="U1430" s="2" t="s">
        <v>141</v>
      </c>
      <c r="Y1430" s="2">
        <v>1700</v>
      </c>
      <c r="Z1430" s="11" t="s">
        <v>54</v>
      </c>
      <c r="AA1430" s="11" t="str">
        <f t="shared" si="93"/>
        <v>1700 - TBN</v>
      </c>
      <c r="AC1430" s="2" t="s">
        <v>145</v>
      </c>
      <c r="AD1430" s="11" t="str">
        <f>IF($I1430&lt;&gt;"",VLOOKUP($AC1430,GEADRESSEERDE!$A$2:$E$4,2,),"")</f>
        <v>LUITHAGEN HAVEN 2 D</v>
      </c>
      <c r="AE1430" s="11">
        <f>IF($I1430&lt;&gt;"",VLOOKUP($AC1430,GEADRESSEERDE!$A$2:$E$4,3,),"")</f>
        <v>2030</v>
      </c>
      <c r="AF1430" s="11" t="str">
        <f>IF($I1430&lt;&gt;"",VLOOKUP($AC1430,GEADRESSEERDE!$A$2:$E$4,4,),"")</f>
        <v>ANTWERPEN</v>
      </c>
      <c r="AG1430" s="11" t="str">
        <f>IF($I1430&lt;&gt;"",VLOOKUP($AC1430,GEADRESSEERDE!$A$2:$E$4,5,),"")</f>
        <v>BE</v>
      </c>
      <c r="AH1430" s="11" t="str">
        <f>IF(I1430&lt;&gt;"",VLOOKUP(AP1430,KvB!$A$2:$B$3,2,FALSE),"")</f>
        <v>BE101000</v>
      </c>
      <c r="AI1430" s="11" t="s">
        <v>55</v>
      </c>
      <c r="AJ1430" s="11"/>
      <c r="AK1430" s="11"/>
      <c r="AL1430" s="11"/>
      <c r="AM1430" s="11"/>
      <c r="AN1430" s="11"/>
      <c r="AO1430" s="11"/>
      <c r="AP1430" s="2" t="s">
        <v>70</v>
      </c>
      <c r="AQ1430" s="11" t="str">
        <f>IF(I1430&lt;&gt;"",DATA!D1429,"")</f>
        <v>7419200090</v>
      </c>
    </row>
    <row r="1431" spans="1:43" ht="15.75" x14ac:dyDescent="0.25">
      <c r="A1431" s="11" t="s">
        <v>57</v>
      </c>
      <c r="B1431" s="11" t="s">
        <v>56</v>
      </c>
      <c r="C1431" s="22">
        <f t="shared" si="94"/>
        <v>25001620</v>
      </c>
      <c r="D1431" s="11" t="str">
        <f t="shared" si="91"/>
        <v>SKIIFM_AT</v>
      </c>
      <c r="E1431" s="11" t="str">
        <f>IF(I1431&lt;&gt;"",VLOOKUP(F1431,OPDRACHTGEVER!$A$2:$B$4,2,FALSE),"")</f>
        <v>SKIIFM_AT</v>
      </c>
      <c r="F1431" s="11" t="s">
        <v>58</v>
      </c>
      <c r="I1431" s="11" t="str">
        <f>IF(DATA!B1430&lt;&gt;"",DATA!B1430,"")</f>
        <v>MSDU5224106</v>
      </c>
      <c r="J1431" s="12">
        <v>0</v>
      </c>
      <c r="K1431" s="11" t="s">
        <v>53</v>
      </c>
      <c r="L1431" s="11" t="str">
        <f t="shared" si="92"/>
        <v>741920</v>
      </c>
      <c r="M1431" s="11" t="str">
        <f>IF(I1431&lt;&gt;"",DATA!E1430,"")</f>
        <v>LOG TONGS</v>
      </c>
      <c r="N1431" s="12">
        <v>0</v>
      </c>
      <c r="O1431" s="11">
        <f>IF(I1431&lt;&gt;"",DATA!C1430,"")</f>
        <v>7.04</v>
      </c>
      <c r="P1431" s="2">
        <v>294094</v>
      </c>
      <c r="Q1431" s="2" t="s">
        <v>1304</v>
      </c>
      <c r="R1431" s="2" t="s">
        <v>1332</v>
      </c>
      <c r="S1431" s="2">
        <v>6</v>
      </c>
      <c r="T1431" s="2">
        <v>1</v>
      </c>
      <c r="U1431" s="2" t="s">
        <v>141</v>
      </c>
      <c r="Y1431" s="2">
        <v>1700</v>
      </c>
      <c r="Z1431" s="11" t="s">
        <v>54</v>
      </c>
      <c r="AA1431" s="11" t="str">
        <f t="shared" si="93"/>
        <v>1700 - TBN</v>
      </c>
      <c r="AC1431" s="2" t="s">
        <v>145</v>
      </c>
      <c r="AD1431" s="11" t="str">
        <f>IF($I1431&lt;&gt;"",VLOOKUP($AC1431,GEADRESSEERDE!$A$2:$E$4,2,),"")</f>
        <v>LUITHAGEN HAVEN 2 D</v>
      </c>
      <c r="AE1431" s="11">
        <f>IF($I1431&lt;&gt;"",VLOOKUP($AC1431,GEADRESSEERDE!$A$2:$E$4,3,),"")</f>
        <v>2030</v>
      </c>
      <c r="AF1431" s="11" t="str">
        <f>IF($I1431&lt;&gt;"",VLOOKUP($AC1431,GEADRESSEERDE!$A$2:$E$4,4,),"")</f>
        <v>ANTWERPEN</v>
      </c>
      <c r="AG1431" s="11" t="str">
        <f>IF($I1431&lt;&gt;"",VLOOKUP($AC1431,GEADRESSEERDE!$A$2:$E$4,5,),"")</f>
        <v>BE</v>
      </c>
      <c r="AH1431" s="11" t="str">
        <f>IF(I1431&lt;&gt;"",VLOOKUP(AP1431,KvB!$A$2:$B$3,2,FALSE),"")</f>
        <v>BE101000</v>
      </c>
      <c r="AI1431" s="11" t="s">
        <v>55</v>
      </c>
      <c r="AJ1431" s="11"/>
      <c r="AK1431" s="11"/>
      <c r="AL1431" s="11"/>
      <c r="AM1431" s="11"/>
      <c r="AN1431" s="11"/>
      <c r="AO1431" s="11"/>
      <c r="AP1431" s="2" t="s">
        <v>70</v>
      </c>
      <c r="AQ1431" s="11" t="str">
        <f>IF(I1431&lt;&gt;"",DATA!D1430,"")</f>
        <v>7419200090</v>
      </c>
    </row>
    <row r="1432" spans="1:43" ht="15.75" x14ac:dyDescent="0.25">
      <c r="A1432" s="11" t="s">
        <v>57</v>
      </c>
      <c r="B1432" s="11" t="s">
        <v>56</v>
      </c>
      <c r="C1432" s="22">
        <f t="shared" si="94"/>
        <v>25001620</v>
      </c>
      <c r="D1432" s="11" t="str">
        <f t="shared" si="91"/>
        <v>SKIIFM_AT</v>
      </c>
      <c r="E1432" s="11" t="str">
        <f>IF(I1432&lt;&gt;"",VLOOKUP(F1432,OPDRACHTGEVER!$A$2:$B$4,2,FALSE),"")</f>
        <v>SKIIFM_AT</v>
      </c>
      <c r="F1432" s="11" t="s">
        <v>58</v>
      </c>
      <c r="I1432" s="11" t="str">
        <f>IF(DATA!B1431&lt;&gt;"",DATA!B1431,"")</f>
        <v>MSDU5224106</v>
      </c>
      <c r="J1432" s="12">
        <v>0</v>
      </c>
      <c r="K1432" s="11" t="s">
        <v>53</v>
      </c>
      <c r="L1432" s="11" t="str">
        <f t="shared" si="92"/>
        <v>846693</v>
      </c>
      <c r="M1432" s="11" t="str">
        <f>IF(I1432&lt;&gt;"",DATA!E1431,"")</f>
        <v>MACHINE TOOL HOLDER</v>
      </c>
      <c r="N1432" s="12">
        <v>0</v>
      </c>
      <c r="O1432" s="11">
        <f>IF(I1432&lt;&gt;"",DATA!C1431,"")</f>
        <v>21.66</v>
      </c>
      <c r="P1432" s="2">
        <v>294094</v>
      </c>
      <c r="Q1432" s="2" t="s">
        <v>1304</v>
      </c>
      <c r="R1432" s="2" t="s">
        <v>1332</v>
      </c>
      <c r="S1432" s="2">
        <v>6</v>
      </c>
      <c r="T1432" s="2">
        <v>1</v>
      </c>
      <c r="U1432" s="2" t="s">
        <v>141</v>
      </c>
      <c r="Y1432" s="2">
        <v>1700</v>
      </c>
      <c r="Z1432" s="11" t="s">
        <v>54</v>
      </c>
      <c r="AA1432" s="11" t="str">
        <f t="shared" si="93"/>
        <v>1700 - TBN</v>
      </c>
      <c r="AC1432" s="2" t="s">
        <v>145</v>
      </c>
      <c r="AD1432" s="11" t="str">
        <f>IF($I1432&lt;&gt;"",VLOOKUP($AC1432,GEADRESSEERDE!$A$2:$E$4,2,),"")</f>
        <v>LUITHAGEN HAVEN 2 D</v>
      </c>
      <c r="AE1432" s="11">
        <f>IF($I1432&lt;&gt;"",VLOOKUP($AC1432,GEADRESSEERDE!$A$2:$E$4,3,),"")</f>
        <v>2030</v>
      </c>
      <c r="AF1432" s="11" t="str">
        <f>IF($I1432&lt;&gt;"",VLOOKUP($AC1432,GEADRESSEERDE!$A$2:$E$4,4,),"")</f>
        <v>ANTWERPEN</v>
      </c>
      <c r="AG1432" s="11" t="str">
        <f>IF($I1432&lt;&gt;"",VLOOKUP($AC1432,GEADRESSEERDE!$A$2:$E$4,5,),"")</f>
        <v>BE</v>
      </c>
      <c r="AH1432" s="11" t="str">
        <f>IF(I1432&lt;&gt;"",VLOOKUP(AP1432,KvB!$A$2:$B$3,2,FALSE),"")</f>
        <v>BE101000</v>
      </c>
      <c r="AI1432" s="11" t="s">
        <v>55</v>
      </c>
      <c r="AJ1432" s="11"/>
      <c r="AK1432" s="11"/>
      <c r="AL1432" s="11"/>
      <c r="AM1432" s="11"/>
      <c r="AN1432" s="11"/>
      <c r="AO1432" s="11"/>
      <c r="AP1432" s="2" t="s">
        <v>70</v>
      </c>
      <c r="AQ1432" s="11" t="str">
        <f>IF(I1432&lt;&gt;"",DATA!D1431,"")</f>
        <v>8466936000</v>
      </c>
    </row>
    <row r="1433" spans="1:43" ht="15.75" x14ac:dyDescent="0.25">
      <c r="A1433" s="11" t="s">
        <v>57</v>
      </c>
      <c r="B1433" s="11" t="s">
        <v>56</v>
      </c>
      <c r="C1433" s="22">
        <f t="shared" si="94"/>
        <v>25001620</v>
      </c>
      <c r="D1433" s="11" t="str">
        <f t="shared" si="91"/>
        <v>SKIIFM_AT</v>
      </c>
      <c r="E1433" s="11" t="str">
        <f>IF(I1433&lt;&gt;"",VLOOKUP(F1433,OPDRACHTGEVER!$A$2:$B$4,2,FALSE),"")</f>
        <v>SKIIFM_AT</v>
      </c>
      <c r="F1433" s="11" t="s">
        <v>58</v>
      </c>
      <c r="I1433" s="11" t="str">
        <f>IF(DATA!B1432&lt;&gt;"",DATA!B1432,"")</f>
        <v>MSDU5224106</v>
      </c>
      <c r="J1433" s="12">
        <v>0</v>
      </c>
      <c r="K1433" s="11" t="s">
        <v>53</v>
      </c>
      <c r="L1433" s="11" t="str">
        <f t="shared" si="92"/>
        <v>847982</v>
      </c>
      <c r="M1433" s="11" t="str">
        <f>IF(I1433&lt;&gt;"",DATA!E1432,"")</f>
        <v>MAGNETIC STIRRER</v>
      </c>
      <c r="N1433" s="12">
        <v>0</v>
      </c>
      <c r="O1433" s="11">
        <f>IF(I1433&lt;&gt;"",DATA!C1432,"")</f>
        <v>19.260000000000002</v>
      </c>
      <c r="P1433" s="2">
        <v>294094</v>
      </c>
      <c r="Q1433" s="2" t="s">
        <v>1304</v>
      </c>
      <c r="R1433" s="2" t="s">
        <v>1332</v>
      </c>
      <c r="S1433" s="2">
        <v>6</v>
      </c>
      <c r="T1433" s="2">
        <v>1</v>
      </c>
      <c r="U1433" s="2" t="s">
        <v>141</v>
      </c>
      <c r="Y1433" s="2">
        <v>1700</v>
      </c>
      <c r="Z1433" s="11" t="s">
        <v>54</v>
      </c>
      <c r="AA1433" s="11" t="str">
        <f t="shared" si="93"/>
        <v>1700 - TBN</v>
      </c>
      <c r="AC1433" s="2" t="s">
        <v>145</v>
      </c>
      <c r="AD1433" s="11" t="str">
        <f>IF($I1433&lt;&gt;"",VLOOKUP($AC1433,GEADRESSEERDE!$A$2:$E$4,2,),"")</f>
        <v>LUITHAGEN HAVEN 2 D</v>
      </c>
      <c r="AE1433" s="11">
        <f>IF($I1433&lt;&gt;"",VLOOKUP($AC1433,GEADRESSEERDE!$A$2:$E$4,3,),"")</f>
        <v>2030</v>
      </c>
      <c r="AF1433" s="11" t="str">
        <f>IF($I1433&lt;&gt;"",VLOOKUP($AC1433,GEADRESSEERDE!$A$2:$E$4,4,),"")</f>
        <v>ANTWERPEN</v>
      </c>
      <c r="AG1433" s="11" t="str">
        <f>IF($I1433&lt;&gt;"",VLOOKUP($AC1433,GEADRESSEERDE!$A$2:$E$4,5,),"")</f>
        <v>BE</v>
      </c>
      <c r="AH1433" s="11" t="str">
        <f>IF(I1433&lt;&gt;"",VLOOKUP(AP1433,KvB!$A$2:$B$3,2,FALSE),"")</f>
        <v>BE101000</v>
      </c>
      <c r="AI1433" s="11" t="s">
        <v>55</v>
      </c>
      <c r="AJ1433" s="11"/>
      <c r="AK1433" s="11"/>
      <c r="AL1433" s="11"/>
      <c r="AM1433" s="11"/>
      <c r="AN1433" s="11"/>
      <c r="AO1433" s="11"/>
      <c r="AP1433" s="2" t="s">
        <v>70</v>
      </c>
      <c r="AQ1433" s="11" t="str">
        <f>IF(I1433&lt;&gt;"",DATA!D1432,"")</f>
        <v>8479820000</v>
      </c>
    </row>
    <row r="1434" spans="1:43" ht="15.75" x14ac:dyDescent="0.25">
      <c r="A1434" s="11" t="s">
        <v>57</v>
      </c>
      <c r="B1434" s="11" t="s">
        <v>56</v>
      </c>
      <c r="C1434" s="22">
        <f t="shared" si="94"/>
        <v>25001620</v>
      </c>
      <c r="D1434" s="11" t="str">
        <f t="shared" si="91"/>
        <v>SKIIFM_AT</v>
      </c>
      <c r="E1434" s="11" t="str">
        <f>IF(I1434&lt;&gt;"",VLOOKUP(F1434,OPDRACHTGEVER!$A$2:$B$4,2,FALSE),"")</f>
        <v>SKIIFM_AT</v>
      </c>
      <c r="F1434" s="11" t="s">
        <v>58</v>
      </c>
      <c r="I1434" s="11" t="str">
        <f>IF(DATA!B1433&lt;&gt;"",DATA!B1433,"")</f>
        <v>MSDU5224106</v>
      </c>
      <c r="J1434" s="12">
        <v>0</v>
      </c>
      <c r="K1434" s="11" t="s">
        <v>53</v>
      </c>
      <c r="L1434" s="11" t="str">
        <f t="shared" si="92"/>
        <v>821000</v>
      </c>
      <c r="M1434" s="11" t="str">
        <f>IF(I1434&lt;&gt;"",DATA!E1433,"")</f>
        <v>MANUAL  MEAT GRINDER</v>
      </c>
      <c r="N1434" s="12">
        <v>0</v>
      </c>
      <c r="O1434" s="11">
        <f>IF(I1434&lt;&gt;"",DATA!C1433,"")</f>
        <v>26.67</v>
      </c>
      <c r="P1434" s="2">
        <v>294094</v>
      </c>
      <c r="Q1434" s="2" t="s">
        <v>1304</v>
      </c>
      <c r="R1434" s="2" t="s">
        <v>1332</v>
      </c>
      <c r="S1434" s="2">
        <v>6</v>
      </c>
      <c r="T1434" s="2">
        <v>1</v>
      </c>
      <c r="U1434" s="2" t="s">
        <v>141</v>
      </c>
      <c r="Y1434" s="2">
        <v>1700</v>
      </c>
      <c r="Z1434" s="11" t="s">
        <v>54</v>
      </c>
      <c r="AA1434" s="11" t="str">
        <f t="shared" si="93"/>
        <v>1700 - TBN</v>
      </c>
      <c r="AC1434" s="2" t="s">
        <v>145</v>
      </c>
      <c r="AD1434" s="11" t="str">
        <f>IF($I1434&lt;&gt;"",VLOOKUP($AC1434,GEADRESSEERDE!$A$2:$E$4,2,),"")</f>
        <v>LUITHAGEN HAVEN 2 D</v>
      </c>
      <c r="AE1434" s="11">
        <f>IF($I1434&lt;&gt;"",VLOOKUP($AC1434,GEADRESSEERDE!$A$2:$E$4,3,),"")</f>
        <v>2030</v>
      </c>
      <c r="AF1434" s="11" t="str">
        <f>IF($I1434&lt;&gt;"",VLOOKUP($AC1434,GEADRESSEERDE!$A$2:$E$4,4,),"")</f>
        <v>ANTWERPEN</v>
      </c>
      <c r="AG1434" s="11" t="str">
        <f>IF($I1434&lt;&gt;"",VLOOKUP($AC1434,GEADRESSEERDE!$A$2:$E$4,5,),"")</f>
        <v>BE</v>
      </c>
      <c r="AH1434" s="11" t="str">
        <f>IF(I1434&lt;&gt;"",VLOOKUP(AP1434,KvB!$A$2:$B$3,2,FALSE),"")</f>
        <v>BE101000</v>
      </c>
      <c r="AI1434" s="11" t="s">
        <v>55</v>
      </c>
      <c r="AJ1434" s="11"/>
      <c r="AK1434" s="11"/>
      <c r="AL1434" s="11"/>
      <c r="AM1434" s="11"/>
      <c r="AN1434" s="11"/>
      <c r="AO1434" s="11"/>
      <c r="AP1434" s="2" t="s">
        <v>70</v>
      </c>
      <c r="AQ1434" s="11" t="str">
        <f>IF(I1434&lt;&gt;"",DATA!D1433,"")</f>
        <v>8210000000</v>
      </c>
    </row>
    <row r="1435" spans="1:43" ht="15.75" x14ac:dyDescent="0.25">
      <c r="A1435" s="11" t="s">
        <v>57</v>
      </c>
      <c r="B1435" s="11" t="s">
        <v>56</v>
      </c>
      <c r="C1435" s="22">
        <f t="shared" si="94"/>
        <v>25001620</v>
      </c>
      <c r="D1435" s="11" t="str">
        <f t="shared" si="91"/>
        <v>SKIIFM_AT</v>
      </c>
      <c r="E1435" s="11" t="str">
        <f>IF(I1435&lt;&gt;"",VLOOKUP(F1435,OPDRACHTGEVER!$A$2:$B$4,2,FALSE),"")</f>
        <v>SKIIFM_AT</v>
      </c>
      <c r="F1435" s="11" t="s">
        <v>58</v>
      </c>
      <c r="I1435" s="11" t="str">
        <f>IF(DATA!B1434&lt;&gt;"",DATA!B1434,"")</f>
        <v>MSDU5224106</v>
      </c>
      <c r="J1435" s="12">
        <v>0</v>
      </c>
      <c r="K1435" s="11" t="s">
        <v>53</v>
      </c>
      <c r="L1435" s="11" t="str">
        <f t="shared" si="92"/>
        <v>853890</v>
      </c>
      <c r="M1435" s="11" t="str">
        <f>IF(I1435&lt;&gt;"",DATA!E1434,"")</f>
        <v>METAL ELECTRICAL CABINET</v>
      </c>
      <c r="N1435" s="12">
        <v>0</v>
      </c>
      <c r="O1435" s="11">
        <f>IF(I1435&lt;&gt;"",DATA!C1434,"")</f>
        <v>10.44</v>
      </c>
      <c r="P1435" s="2">
        <v>294094</v>
      </c>
      <c r="Q1435" s="2" t="s">
        <v>1304</v>
      </c>
      <c r="R1435" s="2" t="s">
        <v>1332</v>
      </c>
      <c r="S1435" s="2">
        <v>6</v>
      </c>
      <c r="T1435" s="2">
        <v>1</v>
      </c>
      <c r="U1435" s="2" t="s">
        <v>141</v>
      </c>
      <c r="Y1435" s="2">
        <v>1700</v>
      </c>
      <c r="Z1435" s="11" t="s">
        <v>54</v>
      </c>
      <c r="AA1435" s="11" t="str">
        <f t="shared" si="93"/>
        <v>1700 - TBN</v>
      </c>
      <c r="AC1435" s="2" t="s">
        <v>145</v>
      </c>
      <c r="AD1435" s="11" t="str">
        <f>IF($I1435&lt;&gt;"",VLOOKUP($AC1435,GEADRESSEERDE!$A$2:$E$4,2,),"")</f>
        <v>LUITHAGEN HAVEN 2 D</v>
      </c>
      <c r="AE1435" s="11">
        <f>IF($I1435&lt;&gt;"",VLOOKUP($AC1435,GEADRESSEERDE!$A$2:$E$4,3,),"")</f>
        <v>2030</v>
      </c>
      <c r="AF1435" s="11" t="str">
        <f>IF($I1435&lt;&gt;"",VLOOKUP($AC1435,GEADRESSEERDE!$A$2:$E$4,4,),"")</f>
        <v>ANTWERPEN</v>
      </c>
      <c r="AG1435" s="11" t="str">
        <f>IF($I1435&lt;&gt;"",VLOOKUP($AC1435,GEADRESSEERDE!$A$2:$E$4,5,),"")</f>
        <v>BE</v>
      </c>
      <c r="AH1435" s="11" t="str">
        <f>IF(I1435&lt;&gt;"",VLOOKUP(AP1435,KvB!$A$2:$B$3,2,FALSE),"")</f>
        <v>BE101000</v>
      </c>
      <c r="AI1435" s="11" t="s">
        <v>55</v>
      </c>
      <c r="AJ1435" s="11"/>
      <c r="AK1435" s="11"/>
      <c r="AL1435" s="11"/>
      <c r="AM1435" s="11"/>
      <c r="AN1435" s="11"/>
      <c r="AO1435" s="11"/>
      <c r="AP1435" s="2" t="s">
        <v>70</v>
      </c>
      <c r="AQ1435" s="11" t="str">
        <f>IF(I1435&lt;&gt;"",DATA!D1434,"")</f>
        <v>8538909999</v>
      </c>
    </row>
    <row r="1436" spans="1:43" ht="15.75" x14ac:dyDescent="0.25">
      <c r="A1436" s="11" t="s">
        <v>57</v>
      </c>
      <c r="B1436" s="11" t="s">
        <v>56</v>
      </c>
      <c r="C1436" s="22">
        <f t="shared" si="94"/>
        <v>25001620</v>
      </c>
      <c r="D1436" s="11" t="str">
        <f t="shared" si="91"/>
        <v>SKIIFM_AT</v>
      </c>
      <c r="E1436" s="11" t="str">
        <f>IF(I1436&lt;&gt;"",VLOOKUP(F1436,OPDRACHTGEVER!$A$2:$B$4,2,FALSE),"")</f>
        <v>SKIIFM_AT</v>
      </c>
      <c r="F1436" s="11" t="s">
        <v>58</v>
      </c>
      <c r="I1436" s="11" t="str">
        <f>IF(DATA!B1435&lt;&gt;"",DATA!B1435,"")</f>
        <v>MSDU5224106</v>
      </c>
      <c r="J1436" s="12">
        <v>0</v>
      </c>
      <c r="K1436" s="11" t="s">
        <v>53</v>
      </c>
      <c r="L1436" s="11" t="str">
        <f t="shared" si="92"/>
        <v>741920</v>
      </c>
      <c r="M1436" s="11" t="str">
        <f>IF(I1436&lt;&gt;"",DATA!E1435,"")</f>
        <v>METAL FENCE</v>
      </c>
      <c r="N1436" s="12">
        <v>0</v>
      </c>
      <c r="O1436" s="11">
        <f>IF(I1436&lt;&gt;"",DATA!C1435,"")</f>
        <v>39.72</v>
      </c>
      <c r="P1436" s="2">
        <v>294094</v>
      </c>
      <c r="Q1436" s="2" t="s">
        <v>1304</v>
      </c>
      <c r="R1436" s="2" t="s">
        <v>1332</v>
      </c>
      <c r="S1436" s="2">
        <v>6</v>
      </c>
      <c r="T1436" s="2">
        <v>1</v>
      </c>
      <c r="U1436" s="2" t="s">
        <v>141</v>
      </c>
      <c r="Y1436" s="2">
        <v>1700</v>
      </c>
      <c r="Z1436" s="11" t="s">
        <v>54</v>
      </c>
      <c r="AA1436" s="11" t="str">
        <f t="shared" si="93"/>
        <v>1700 - TBN</v>
      </c>
      <c r="AC1436" s="2" t="s">
        <v>145</v>
      </c>
      <c r="AD1436" s="11" t="str">
        <f>IF($I1436&lt;&gt;"",VLOOKUP($AC1436,GEADRESSEERDE!$A$2:$E$4,2,),"")</f>
        <v>LUITHAGEN HAVEN 2 D</v>
      </c>
      <c r="AE1436" s="11">
        <f>IF($I1436&lt;&gt;"",VLOOKUP($AC1436,GEADRESSEERDE!$A$2:$E$4,3,),"")</f>
        <v>2030</v>
      </c>
      <c r="AF1436" s="11" t="str">
        <f>IF($I1436&lt;&gt;"",VLOOKUP($AC1436,GEADRESSEERDE!$A$2:$E$4,4,),"")</f>
        <v>ANTWERPEN</v>
      </c>
      <c r="AG1436" s="11" t="str">
        <f>IF($I1436&lt;&gt;"",VLOOKUP($AC1436,GEADRESSEERDE!$A$2:$E$4,5,),"")</f>
        <v>BE</v>
      </c>
      <c r="AH1436" s="11" t="str">
        <f>IF(I1436&lt;&gt;"",VLOOKUP(AP1436,KvB!$A$2:$B$3,2,FALSE),"")</f>
        <v>BE101000</v>
      </c>
      <c r="AI1436" s="11" t="s">
        <v>55</v>
      </c>
      <c r="AJ1436" s="11"/>
      <c r="AK1436" s="11"/>
      <c r="AL1436" s="11"/>
      <c r="AM1436" s="11"/>
      <c r="AN1436" s="11"/>
      <c r="AO1436" s="11"/>
      <c r="AP1436" s="2" t="s">
        <v>70</v>
      </c>
      <c r="AQ1436" s="11" t="str">
        <f>IF(I1436&lt;&gt;"",DATA!D1435,"")</f>
        <v>7419200090</v>
      </c>
    </row>
    <row r="1437" spans="1:43" ht="15.75" x14ac:dyDescent="0.25">
      <c r="A1437" s="11" t="s">
        <v>57</v>
      </c>
      <c r="B1437" s="11" t="s">
        <v>56</v>
      </c>
      <c r="C1437" s="22">
        <f t="shared" si="94"/>
        <v>25001620</v>
      </c>
      <c r="D1437" s="11" t="str">
        <f t="shared" si="91"/>
        <v>SKIIFM_AT</v>
      </c>
      <c r="E1437" s="11" t="str">
        <f>IF(I1437&lt;&gt;"",VLOOKUP(F1437,OPDRACHTGEVER!$A$2:$B$4,2,FALSE),"")</f>
        <v>SKIIFM_AT</v>
      </c>
      <c r="F1437" s="11" t="s">
        <v>58</v>
      </c>
      <c r="I1437" s="11" t="str">
        <f>IF(DATA!B1436&lt;&gt;"",DATA!B1436,"")</f>
        <v>MSDU5224106</v>
      </c>
      <c r="J1437" s="12">
        <v>0</v>
      </c>
      <c r="K1437" s="11" t="s">
        <v>53</v>
      </c>
      <c r="L1437" s="11" t="str">
        <f t="shared" si="92"/>
        <v>843110</v>
      </c>
      <c r="M1437" s="11" t="str">
        <f>IF(I1437&lt;&gt;"",DATA!E1436,"")</f>
        <v>MONORAIL CAR</v>
      </c>
      <c r="N1437" s="12">
        <v>0</v>
      </c>
      <c r="O1437" s="11">
        <f>IF(I1437&lt;&gt;"",DATA!C1436,"")</f>
        <v>121.42</v>
      </c>
      <c r="P1437" s="2">
        <v>294094</v>
      </c>
      <c r="Q1437" s="2" t="s">
        <v>1304</v>
      </c>
      <c r="R1437" s="2" t="s">
        <v>1332</v>
      </c>
      <c r="S1437" s="2">
        <v>6</v>
      </c>
      <c r="T1437" s="2">
        <v>1</v>
      </c>
      <c r="U1437" s="2" t="s">
        <v>141</v>
      </c>
      <c r="Y1437" s="2">
        <v>1700</v>
      </c>
      <c r="Z1437" s="11" t="s">
        <v>54</v>
      </c>
      <c r="AA1437" s="11" t="str">
        <f t="shared" si="93"/>
        <v>1700 - TBN</v>
      </c>
      <c r="AC1437" s="2" t="s">
        <v>145</v>
      </c>
      <c r="AD1437" s="11" t="str">
        <f>IF($I1437&lt;&gt;"",VLOOKUP($AC1437,GEADRESSEERDE!$A$2:$E$4,2,),"")</f>
        <v>LUITHAGEN HAVEN 2 D</v>
      </c>
      <c r="AE1437" s="11">
        <f>IF($I1437&lt;&gt;"",VLOOKUP($AC1437,GEADRESSEERDE!$A$2:$E$4,3,),"")</f>
        <v>2030</v>
      </c>
      <c r="AF1437" s="11" t="str">
        <f>IF($I1437&lt;&gt;"",VLOOKUP($AC1437,GEADRESSEERDE!$A$2:$E$4,4,),"")</f>
        <v>ANTWERPEN</v>
      </c>
      <c r="AG1437" s="11" t="str">
        <f>IF($I1437&lt;&gt;"",VLOOKUP($AC1437,GEADRESSEERDE!$A$2:$E$4,5,),"")</f>
        <v>BE</v>
      </c>
      <c r="AH1437" s="11" t="str">
        <f>IF(I1437&lt;&gt;"",VLOOKUP(AP1437,KvB!$A$2:$B$3,2,FALSE),"")</f>
        <v>BE101000</v>
      </c>
      <c r="AI1437" s="11" t="s">
        <v>55</v>
      </c>
      <c r="AJ1437" s="11"/>
      <c r="AK1437" s="11"/>
      <c r="AL1437" s="11"/>
      <c r="AM1437" s="11"/>
      <c r="AN1437" s="11"/>
      <c r="AO1437" s="11"/>
      <c r="AP1437" s="2" t="s">
        <v>70</v>
      </c>
      <c r="AQ1437" s="11" t="str">
        <f>IF(I1437&lt;&gt;"",DATA!D1436,"")</f>
        <v>8431100000</v>
      </c>
    </row>
    <row r="1438" spans="1:43" ht="15.75" x14ac:dyDescent="0.25">
      <c r="A1438" s="11" t="s">
        <v>57</v>
      </c>
      <c r="B1438" s="11" t="s">
        <v>56</v>
      </c>
      <c r="C1438" s="22">
        <f t="shared" si="94"/>
        <v>25001620</v>
      </c>
      <c r="D1438" s="11" t="str">
        <f t="shared" si="91"/>
        <v>SKIIFM_AT</v>
      </c>
      <c r="E1438" s="11" t="str">
        <f>IF(I1438&lt;&gt;"",VLOOKUP(F1438,OPDRACHTGEVER!$A$2:$B$4,2,FALSE),"")</f>
        <v>SKIIFM_AT</v>
      </c>
      <c r="F1438" s="11" t="s">
        <v>58</v>
      </c>
      <c r="I1438" s="11" t="str">
        <f>IF(DATA!B1437&lt;&gt;"",DATA!B1437,"")</f>
        <v>MSDU5224106</v>
      </c>
      <c r="J1438" s="12">
        <v>0</v>
      </c>
      <c r="K1438" s="11" t="s">
        <v>53</v>
      </c>
      <c r="L1438" s="11" t="str">
        <f t="shared" si="92"/>
        <v>847330</v>
      </c>
      <c r="M1438" s="11" t="str">
        <f>IF(I1438&lt;&gt;"",DATA!E1437,"")</f>
        <v>NETWORK CABINET</v>
      </c>
      <c r="N1438" s="12">
        <v>0</v>
      </c>
      <c r="O1438" s="11">
        <f>IF(I1438&lt;&gt;"",DATA!C1437,"")</f>
        <v>76.8</v>
      </c>
      <c r="P1438" s="2">
        <v>294094</v>
      </c>
      <c r="Q1438" s="2" t="s">
        <v>1304</v>
      </c>
      <c r="R1438" s="2" t="s">
        <v>1332</v>
      </c>
      <c r="S1438" s="2">
        <v>6</v>
      </c>
      <c r="T1438" s="2">
        <v>1</v>
      </c>
      <c r="U1438" s="2" t="s">
        <v>141</v>
      </c>
      <c r="Y1438" s="2">
        <v>1700</v>
      </c>
      <c r="Z1438" s="11" t="s">
        <v>54</v>
      </c>
      <c r="AA1438" s="11" t="str">
        <f t="shared" si="93"/>
        <v>1700 - TBN</v>
      </c>
      <c r="AC1438" s="2" t="s">
        <v>145</v>
      </c>
      <c r="AD1438" s="11" t="str">
        <f>IF($I1438&lt;&gt;"",VLOOKUP($AC1438,GEADRESSEERDE!$A$2:$E$4,2,),"")</f>
        <v>LUITHAGEN HAVEN 2 D</v>
      </c>
      <c r="AE1438" s="11">
        <f>IF($I1438&lt;&gt;"",VLOOKUP($AC1438,GEADRESSEERDE!$A$2:$E$4,3,),"")</f>
        <v>2030</v>
      </c>
      <c r="AF1438" s="11" t="str">
        <f>IF($I1438&lt;&gt;"",VLOOKUP($AC1438,GEADRESSEERDE!$A$2:$E$4,4,),"")</f>
        <v>ANTWERPEN</v>
      </c>
      <c r="AG1438" s="11" t="str">
        <f>IF($I1438&lt;&gt;"",VLOOKUP($AC1438,GEADRESSEERDE!$A$2:$E$4,5,),"")</f>
        <v>BE</v>
      </c>
      <c r="AH1438" s="11" t="str">
        <f>IF(I1438&lt;&gt;"",VLOOKUP(AP1438,KvB!$A$2:$B$3,2,FALSE),"")</f>
        <v>BE101000</v>
      </c>
      <c r="AI1438" s="11" t="s">
        <v>55</v>
      </c>
      <c r="AJ1438" s="11"/>
      <c r="AK1438" s="11"/>
      <c r="AL1438" s="11"/>
      <c r="AM1438" s="11"/>
      <c r="AN1438" s="11"/>
      <c r="AO1438" s="11"/>
      <c r="AP1438" s="2" t="s">
        <v>70</v>
      </c>
      <c r="AQ1438" s="11" t="str">
        <f>IF(I1438&lt;&gt;"",DATA!D1437,"")</f>
        <v>8473308000</v>
      </c>
    </row>
    <row r="1439" spans="1:43" ht="15.75" x14ac:dyDescent="0.25">
      <c r="A1439" s="11" t="s">
        <v>57</v>
      </c>
      <c r="B1439" s="11" t="s">
        <v>56</v>
      </c>
      <c r="C1439" s="22">
        <f t="shared" si="94"/>
        <v>25001620</v>
      </c>
      <c r="D1439" s="11" t="str">
        <f t="shared" si="91"/>
        <v>SKIIFM_AT</v>
      </c>
      <c r="E1439" s="11" t="str">
        <f>IF(I1439&lt;&gt;"",VLOOKUP(F1439,OPDRACHTGEVER!$A$2:$B$4,2,FALSE),"")</f>
        <v>SKIIFM_AT</v>
      </c>
      <c r="F1439" s="11" t="s">
        <v>58</v>
      </c>
      <c r="I1439" s="11" t="str">
        <f>IF(DATA!B1438&lt;&gt;"",DATA!B1438,"")</f>
        <v>MSDU5224106</v>
      </c>
      <c r="J1439" s="12">
        <v>0</v>
      </c>
      <c r="K1439" s="11" t="s">
        <v>53</v>
      </c>
      <c r="L1439" s="11" t="str">
        <f t="shared" si="92"/>
        <v>741920</v>
      </c>
      <c r="M1439" s="11" t="str">
        <f>IF(I1439&lt;&gt;"",DATA!E1438,"")</f>
        <v>OIL WATER SEPARATOR</v>
      </c>
      <c r="N1439" s="12">
        <v>0</v>
      </c>
      <c r="O1439" s="11">
        <f>IF(I1439&lt;&gt;"",DATA!C1438,"")</f>
        <v>26.95</v>
      </c>
      <c r="P1439" s="2">
        <v>294094</v>
      </c>
      <c r="Q1439" s="2" t="s">
        <v>1304</v>
      </c>
      <c r="R1439" s="2" t="s">
        <v>1332</v>
      </c>
      <c r="S1439" s="2">
        <v>6</v>
      </c>
      <c r="T1439" s="2">
        <v>1</v>
      </c>
      <c r="U1439" s="2" t="s">
        <v>141</v>
      </c>
      <c r="Y1439" s="2">
        <v>1700</v>
      </c>
      <c r="Z1439" s="11" t="s">
        <v>54</v>
      </c>
      <c r="AA1439" s="11" t="str">
        <f t="shared" si="93"/>
        <v>1700 - TBN</v>
      </c>
      <c r="AC1439" s="2" t="s">
        <v>145</v>
      </c>
      <c r="AD1439" s="11" t="str">
        <f>IF($I1439&lt;&gt;"",VLOOKUP($AC1439,GEADRESSEERDE!$A$2:$E$4,2,),"")</f>
        <v>LUITHAGEN HAVEN 2 D</v>
      </c>
      <c r="AE1439" s="11">
        <f>IF($I1439&lt;&gt;"",VLOOKUP($AC1439,GEADRESSEERDE!$A$2:$E$4,3,),"")</f>
        <v>2030</v>
      </c>
      <c r="AF1439" s="11" t="str">
        <f>IF($I1439&lt;&gt;"",VLOOKUP($AC1439,GEADRESSEERDE!$A$2:$E$4,4,),"")</f>
        <v>ANTWERPEN</v>
      </c>
      <c r="AG1439" s="11" t="str">
        <f>IF($I1439&lt;&gt;"",VLOOKUP($AC1439,GEADRESSEERDE!$A$2:$E$4,5,),"")</f>
        <v>BE</v>
      </c>
      <c r="AH1439" s="11" t="str">
        <f>IF(I1439&lt;&gt;"",VLOOKUP(AP1439,KvB!$A$2:$B$3,2,FALSE),"")</f>
        <v>BE101000</v>
      </c>
      <c r="AI1439" s="11" t="s">
        <v>55</v>
      </c>
      <c r="AJ1439" s="11"/>
      <c r="AK1439" s="11"/>
      <c r="AL1439" s="11"/>
      <c r="AM1439" s="11"/>
      <c r="AN1439" s="11"/>
      <c r="AO1439" s="11"/>
      <c r="AP1439" s="2" t="s">
        <v>70</v>
      </c>
      <c r="AQ1439" s="11" t="str">
        <f>IF(I1439&lt;&gt;"",DATA!D1438,"")</f>
        <v>7419200090</v>
      </c>
    </row>
    <row r="1440" spans="1:43" ht="15.75" x14ac:dyDescent="0.25">
      <c r="A1440" s="11" t="s">
        <v>57</v>
      </c>
      <c r="B1440" s="11" t="s">
        <v>56</v>
      </c>
      <c r="C1440" s="22">
        <f t="shared" si="94"/>
        <v>25001620</v>
      </c>
      <c r="D1440" s="11" t="str">
        <f t="shared" si="91"/>
        <v>SKIIFM_AT</v>
      </c>
      <c r="E1440" s="11" t="str">
        <f>IF(I1440&lt;&gt;"",VLOOKUP(F1440,OPDRACHTGEVER!$A$2:$B$4,2,FALSE),"")</f>
        <v>SKIIFM_AT</v>
      </c>
      <c r="F1440" s="11" t="s">
        <v>58</v>
      </c>
      <c r="I1440" s="11" t="str">
        <f>IF(DATA!B1439&lt;&gt;"",DATA!B1439,"")</f>
        <v>MSDU5224106</v>
      </c>
      <c r="J1440" s="12">
        <v>0</v>
      </c>
      <c r="K1440" s="11" t="s">
        <v>53</v>
      </c>
      <c r="L1440" s="11" t="str">
        <f t="shared" si="92"/>
        <v>871690</v>
      </c>
      <c r="M1440" s="11" t="str">
        <f>IF(I1440&lt;&gt;"",DATA!E1439,"")</f>
        <v>PARTS</v>
      </c>
      <c r="N1440" s="12">
        <v>0</v>
      </c>
      <c r="O1440" s="11">
        <f>IF(I1440&lt;&gt;"",DATA!C1439,"")</f>
        <v>60.56</v>
      </c>
      <c r="P1440" s="2">
        <v>294094</v>
      </c>
      <c r="Q1440" s="2" t="s">
        <v>1304</v>
      </c>
      <c r="R1440" s="2" t="s">
        <v>1332</v>
      </c>
      <c r="S1440" s="2">
        <v>6</v>
      </c>
      <c r="T1440" s="2">
        <v>1</v>
      </c>
      <c r="U1440" s="2" t="s">
        <v>141</v>
      </c>
      <c r="Y1440" s="2">
        <v>1700</v>
      </c>
      <c r="Z1440" s="11" t="s">
        <v>54</v>
      </c>
      <c r="AA1440" s="11" t="str">
        <f t="shared" si="93"/>
        <v>1700 - TBN</v>
      </c>
      <c r="AC1440" s="2" t="s">
        <v>145</v>
      </c>
      <c r="AD1440" s="11" t="str">
        <f>IF($I1440&lt;&gt;"",VLOOKUP($AC1440,GEADRESSEERDE!$A$2:$E$4,2,),"")</f>
        <v>LUITHAGEN HAVEN 2 D</v>
      </c>
      <c r="AE1440" s="11">
        <f>IF($I1440&lt;&gt;"",VLOOKUP($AC1440,GEADRESSEERDE!$A$2:$E$4,3,),"")</f>
        <v>2030</v>
      </c>
      <c r="AF1440" s="11" t="str">
        <f>IF($I1440&lt;&gt;"",VLOOKUP($AC1440,GEADRESSEERDE!$A$2:$E$4,4,),"")</f>
        <v>ANTWERPEN</v>
      </c>
      <c r="AG1440" s="11" t="str">
        <f>IF($I1440&lt;&gt;"",VLOOKUP($AC1440,GEADRESSEERDE!$A$2:$E$4,5,),"")</f>
        <v>BE</v>
      </c>
      <c r="AH1440" s="11" t="str">
        <f>IF(I1440&lt;&gt;"",VLOOKUP(AP1440,KvB!$A$2:$B$3,2,FALSE),"")</f>
        <v>BE101000</v>
      </c>
      <c r="AI1440" s="11" t="s">
        <v>55</v>
      </c>
      <c r="AJ1440" s="11"/>
      <c r="AK1440" s="11"/>
      <c r="AL1440" s="11"/>
      <c r="AM1440" s="11"/>
      <c r="AN1440" s="11"/>
      <c r="AO1440" s="11"/>
      <c r="AP1440" s="2" t="s">
        <v>70</v>
      </c>
      <c r="AQ1440" s="11" t="str">
        <f>IF(I1440&lt;&gt;"",DATA!D1439,"")</f>
        <v>8716909098</v>
      </c>
    </row>
    <row r="1441" spans="1:43" ht="15.75" x14ac:dyDescent="0.25">
      <c r="A1441" s="11" t="s">
        <v>57</v>
      </c>
      <c r="B1441" s="11" t="s">
        <v>56</v>
      </c>
      <c r="C1441" s="22">
        <f t="shared" si="94"/>
        <v>25001620</v>
      </c>
      <c r="D1441" s="11" t="str">
        <f t="shared" si="91"/>
        <v>SKIIFM_AT</v>
      </c>
      <c r="E1441" s="11" t="str">
        <f>IF(I1441&lt;&gt;"",VLOOKUP(F1441,OPDRACHTGEVER!$A$2:$B$4,2,FALSE),"")</f>
        <v>SKIIFM_AT</v>
      </c>
      <c r="F1441" s="11" t="s">
        <v>58</v>
      </c>
      <c r="I1441" s="11" t="str">
        <f>IF(DATA!B1440&lt;&gt;"",DATA!B1440,"")</f>
        <v>MSDU5224106</v>
      </c>
      <c r="J1441" s="12">
        <v>0</v>
      </c>
      <c r="K1441" s="11" t="s">
        <v>53</v>
      </c>
      <c r="L1441" s="11" t="str">
        <f t="shared" si="92"/>
        <v>392010</v>
      </c>
      <c r="M1441" s="11" t="str">
        <f>IF(I1441&lt;&gt;"",DATA!E1440,"")</f>
        <v>PE FILM</v>
      </c>
      <c r="N1441" s="12">
        <v>0</v>
      </c>
      <c r="O1441" s="11">
        <f>IF(I1441&lt;&gt;"",DATA!C1440,"")</f>
        <v>138.88</v>
      </c>
      <c r="P1441" s="2">
        <v>294094</v>
      </c>
      <c r="Q1441" s="2" t="s">
        <v>1304</v>
      </c>
      <c r="R1441" s="2" t="s">
        <v>1332</v>
      </c>
      <c r="S1441" s="2">
        <v>6</v>
      </c>
      <c r="T1441" s="2">
        <v>1</v>
      </c>
      <c r="U1441" s="2" t="s">
        <v>141</v>
      </c>
      <c r="Y1441" s="2">
        <v>1700</v>
      </c>
      <c r="Z1441" s="11" t="s">
        <v>54</v>
      </c>
      <c r="AA1441" s="11" t="str">
        <f t="shared" si="93"/>
        <v>1700 - TBN</v>
      </c>
      <c r="AC1441" s="2" t="s">
        <v>145</v>
      </c>
      <c r="AD1441" s="11" t="str">
        <f>IF($I1441&lt;&gt;"",VLOOKUP($AC1441,GEADRESSEERDE!$A$2:$E$4,2,),"")</f>
        <v>LUITHAGEN HAVEN 2 D</v>
      </c>
      <c r="AE1441" s="11">
        <f>IF($I1441&lt;&gt;"",VLOOKUP($AC1441,GEADRESSEERDE!$A$2:$E$4,3,),"")</f>
        <v>2030</v>
      </c>
      <c r="AF1441" s="11" t="str">
        <f>IF($I1441&lt;&gt;"",VLOOKUP($AC1441,GEADRESSEERDE!$A$2:$E$4,4,),"")</f>
        <v>ANTWERPEN</v>
      </c>
      <c r="AG1441" s="11" t="str">
        <f>IF($I1441&lt;&gt;"",VLOOKUP($AC1441,GEADRESSEERDE!$A$2:$E$4,5,),"")</f>
        <v>BE</v>
      </c>
      <c r="AH1441" s="11" t="str">
        <f>IF(I1441&lt;&gt;"",VLOOKUP(AP1441,KvB!$A$2:$B$3,2,FALSE),"")</f>
        <v>BE101000</v>
      </c>
      <c r="AI1441" s="11" t="s">
        <v>55</v>
      </c>
      <c r="AJ1441" s="11"/>
      <c r="AK1441" s="11"/>
      <c r="AL1441" s="11"/>
      <c r="AM1441" s="11"/>
      <c r="AN1441" s="11"/>
      <c r="AO1441" s="11"/>
      <c r="AP1441" s="2" t="s">
        <v>70</v>
      </c>
      <c r="AQ1441" s="11" t="str">
        <f>IF(I1441&lt;&gt;"",DATA!D1440,"")</f>
        <v>3920108990</v>
      </c>
    </row>
    <row r="1442" spans="1:43" ht="15.75" x14ac:dyDescent="0.25">
      <c r="A1442" s="11" t="s">
        <v>57</v>
      </c>
      <c r="B1442" s="11" t="s">
        <v>56</v>
      </c>
      <c r="C1442" s="22">
        <f t="shared" si="94"/>
        <v>25001620</v>
      </c>
      <c r="D1442" s="11" t="str">
        <f t="shared" si="91"/>
        <v>SKIIFM_AT</v>
      </c>
      <c r="E1442" s="11" t="str">
        <f>IF(I1442&lt;&gt;"",VLOOKUP(F1442,OPDRACHTGEVER!$A$2:$B$4,2,FALSE),"")</f>
        <v>SKIIFM_AT</v>
      </c>
      <c r="F1442" s="11" t="s">
        <v>58</v>
      </c>
      <c r="I1442" s="11" t="str">
        <f>IF(DATA!B1441&lt;&gt;"",DATA!B1441,"")</f>
        <v>MSDU5224106</v>
      </c>
      <c r="J1442" s="12">
        <v>0</v>
      </c>
      <c r="K1442" s="11" t="s">
        <v>53</v>
      </c>
      <c r="L1442" s="11" t="str">
        <f t="shared" si="92"/>
        <v>950691</v>
      </c>
      <c r="M1442" s="11" t="str">
        <f>IF(I1442&lt;&gt;"",DATA!E1441,"")</f>
        <v>PILATES REFORMER</v>
      </c>
      <c r="N1442" s="12">
        <v>0</v>
      </c>
      <c r="O1442" s="11">
        <f>IF(I1442&lt;&gt;"",DATA!C1441,"")</f>
        <v>703.5</v>
      </c>
      <c r="P1442" s="2">
        <v>294094</v>
      </c>
      <c r="Q1442" s="2" t="s">
        <v>1304</v>
      </c>
      <c r="R1442" s="2" t="s">
        <v>1332</v>
      </c>
      <c r="S1442" s="2">
        <v>6</v>
      </c>
      <c r="T1442" s="2">
        <v>1</v>
      </c>
      <c r="U1442" s="2" t="s">
        <v>141</v>
      </c>
      <c r="Y1442" s="2">
        <v>1700</v>
      </c>
      <c r="Z1442" s="11" t="s">
        <v>54</v>
      </c>
      <c r="AA1442" s="11" t="str">
        <f t="shared" si="93"/>
        <v>1700 - TBN</v>
      </c>
      <c r="AC1442" s="2" t="s">
        <v>145</v>
      </c>
      <c r="AD1442" s="11" t="str">
        <f>IF($I1442&lt;&gt;"",VLOOKUP($AC1442,GEADRESSEERDE!$A$2:$E$4,2,),"")</f>
        <v>LUITHAGEN HAVEN 2 D</v>
      </c>
      <c r="AE1442" s="11">
        <f>IF($I1442&lt;&gt;"",VLOOKUP($AC1442,GEADRESSEERDE!$A$2:$E$4,3,),"")</f>
        <v>2030</v>
      </c>
      <c r="AF1442" s="11" t="str">
        <f>IF($I1442&lt;&gt;"",VLOOKUP($AC1442,GEADRESSEERDE!$A$2:$E$4,4,),"")</f>
        <v>ANTWERPEN</v>
      </c>
      <c r="AG1442" s="11" t="str">
        <f>IF($I1442&lt;&gt;"",VLOOKUP($AC1442,GEADRESSEERDE!$A$2:$E$4,5,),"")</f>
        <v>BE</v>
      </c>
      <c r="AH1442" s="11" t="str">
        <f>IF(I1442&lt;&gt;"",VLOOKUP(AP1442,KvB!$A$2:$B$3,2,FALSE),"")</f>
        <v>BE101000</v>
      </c>
      <c r="AI1442" s="11" t="s">
        <v>55</v>
      </c>
      <c r="AJ1442" s="11"/>
      <c r="AK1442" s="11"/>
      <c r="AL1442" s="11"/>
      <c r="AM1442" s="11"/>
      <c r="AN1442" s="11"/>
      <c r="AO1442" s="11"/>
      <c r="AP1442" s="2" t="s">
        <v>70</v>
      </c>
      <c r="AQ1442" s="11" t="str">
        <f>IF(I1442&lt;&gt;"",DATA!D1441,"")</f>
        <v>9506911000</v>
      </c>
    </row>
    <row r="1443" spans="1:43" ht="15.75" x14ac:dyDescent="0.25">
      <c r="A1443" s="11" t="s">
        <v>57</v>
      </c>
      <c r="B1443" s="11" t="s">
        <v>56</v>
      </c>
      <c r="C1443" s="22">
        <f t="shared" si="94"/>
        <v>25001620</v>
      </c>
      <c r="D1443" s="11" t="str">
        <f t="shared" si="91"/>
        <v>SKIIFM_AT</v>
      </c>
      <c r="E1443" s="11" t="str">
        <f>IF(I1443&lt;&gt;"",VLOOKUP(F1443,OPDRACHTGEVER!$A$2:$B$4,2,FALSE),"")</f>
        <v>SKIIFM_AT</v>
      </c>
      <c r="F1443" s="11" t="s">
        <v>58</v>
      </c>
      <c r="I1443" s="11" t="str">
        <f>IF(DATA!B1442&lt;&gt;"",DATA!B1442,"")</f>
        <v>MSDU5224106</v>
      </c>
      <c r="J1443" s="12">
        <v>0</v>
      </c>
      <c r="K1443" s="11" t="s">
        <v>53</v>
      </c>
      <c r="L1443" s="11" t="str">
        <f t="shared" si="92"/>
        <v>844339</v>
      </c>
      <c r="M1443" s="11" t="str">
        <f>IF(I1443&lt;&gt;"",DATA!E1442,"")</f>
        <v>POKER MACHINE</v>
      </c>
      <c r="N1443" s="12">
        <v>0</v>
      </c>
      <c r="O1443" s="11">
        <f>IF(I1443&lt;&gt;"",DATA!C1442,"")</f>
        <v>97.28</v>
      </c>
      <c r="P1443" s="2">
        <v>294094</v>
      </c>
      <c r="Q1443" s="2" t="s">
        <v>1304</v>
      </c>
      <c r="R1443" s="2" t="s">
        <v>1332</v>
      </c>
      <c r="S1443" s="2">
        <v>6</v>
      </c>
      <c r="T1443" s="2">
        <v>1</v>
      </c>
      <c r="U1443" s="2" t="s">
        <v>141</v>
      </c>
      <c r="Y1443" s="2">
        <v>1700</v>
      </c>
      <c r="Z1443" s="11" t="s">
        <v>54</v>
      </c>
      <c r="AA1443" s="11" t="str">
        <f t="shared" si="93"/>
        <v>1700 - TBN</v>
      </c>
      <c r="AC1443" s="2" t="s">
        <v>145</v>
      </c>
      <c r="AD1443" s="11" t="str">
        <f>IF($I1443&lt;&gt;"",VLOOKUP($AC1443,GEADRESSEERDE!$A$2:$E$4,2,),"")</f>
        <v>LUITHAGEN HAVEN 2 D</v>
      </c>
      <c r="AE1443" s="11">
        <f>IF($I1443&lt;&gt;"",VLOOKUP($AC1443,GEADRESSEERDE!$A$2:$E$4,3,),"")</f>
        <v>2030</v>
      </c>
      <c r="AF1443" s="11" t="str">
        <f>IF($I1443&lt;&gt;"",VLOOKUP($AC1443,GEADRESSEERDE!$A$2:$E$4,4,),"")</f>
        <v>ANTWERPEN</v>
      </c>
      <c r="AG1443" s="11" t="str">
        <f>IF($I1443&lt;&gt;"",VLOOKUP($AC1443,GEADRESSEERDE!$A$2:$E$4,5,),"")</f>
        <v>BE</v>
      </c>
      <c r="AH1443" s="11" t="str">
        <f>IF(I1443&lt;&gt;"",VLOOKUP(AP1443,KvB!$A$2:$B$3,2,FALSE),"")</f>
        <v>BE101000</v>
      </c>
      <c r="AI1443" s="11" t="s">
        <v>55</v>
      </c>
      <c r="AJ1443" s="11"/>
      <c r="AK1443" s="11"/>
      <c r="AL1443" s="11"/>
      <c r="AM1443" s="11"/>
      <c r="AN1443" s="11"/>
      <c r="AO1443" s="11"/>
      <c r="AP1443" s="2" t="s">
        <v>70</v>
      </c>
      <c r="AQ1443" s="11" t="str">
        <f>IF(I1443&lt;&gt;"",DATA!D1442,"")</f>
        <v>8443390000</v>
      </c>
    </row>
    <row r="1444" spans="1:43" ht="15.75" x14ac:dyDescent="0.25">
      <c r="A1444" s="11" t="s">
        <v>57</v>
      </c>
      <c r="B1444" s="11" t="s">
        <v>56</v>
      </c>
      <c r="C1444" s="22">
        <f t="shared" si="94"/>
        <v>25001620</v>
      </c>
      <c r="D1444" s="11" t="str">
        <f t="shared" si="91"/>
        <v>SKIIFM_AT</v>
      </c>
      <c r="E1444" s="11" t="str">
        <f>IF(I1444&lt;&gt;"",VLOOKUP(F1444,OPDRACHTGEVER!$A$2:$B$4,2,FALSE),"")</f>
        <v>SKIIFM_AT</v>
      </c>
      <c r="F1444" s="11" t="s">
        <v>58</v>
      </c>
      <c r="I1444" s="11" t="str">
        <f>IF(DATA!B1443&lt;&gt;"",DATA!B1443,"")</f>
        <v>MSDU5224106</v>
      </c>
      <c r="J1444" s="12">
        <v>0</v>
      </c>
      <c r="K1444" s="11" t="s">
        <v>53</v>
      </c>
      <c r="L1444" s="11" t="str">
        <f t="shared" si="92"/>
        <v>392010</v>
      </c>
      <c r="M1444" s="11" t="str">
        <f>IF(I1444&lt;&gt;"",DATA!E1443,"")</f>
        <v>POLYETHYLENE PROTECTION FILM</v>
      </c>
      <c r="N1444" s="12">
        <v>0</v>
      </c>
      <c r="O1444" s="11">
        <f>IF(I1444&lt;&gt;"",DATA!C1443,"")</f>
        <v>2.75</v>
      </c>
      <c r="P1444" s="2">
        <v>294094</v>
      </c>
      <c r="Q1444" s="2" t="s">
        <v>1304</v>
      </c>
      <c r="R1444" s="2" t="s">
        <v>1332</v>
      </c>
      <c r="S1444" s="2">
        <v>6</v>
      </c>
      <c r="T1444" s="2">
        <v>1</v>
      </c>
      <c r="U1444" s="2" t="s">
        <v>141</v>
      </c>
      <c r="Y1444" s="2">
        <v>1700</v>
      </c>
      <c r="Z1444" s="11" t="s">
        <v>54</v>
      </c>
      <c r="AA1444" s="11" t="str">
        <f t="shared" si="93"/>
        <v>1700 - TBN</v>
      </c>
      <c r="AC1444" s="2" t="s">
        <v>145</v>
      </c>
      <c r="AD1444" s="11" t="str">
        <f>IF($I1444&lt;&gt;"",VLOOKUP($AC1444,GEADRESSEERDE!$A$2:$E$4,2,),"")</f>
        <v>LUITHAGEN HAVEN 2 D</v>
      </c>
      <c r="AE1444" s="11">
        <f>IF($I1444&lt;&gt;"",VLOOKUP($AC1444,GEADRESSEERDE!$A$2:$E$4,3,),"")</f>
        <v>2030</v>
      </c>
      <c r="AF1444" s="11" t="str">
        <f>IF($I1444&lt;&gt;"",VLOOKUP($AC1444,GEADRESSEERDE!$A$2:$E$4,4,),"")</f>
        <v>ANTWERPEN</v>
      </c>
      <c r="AG1444" s="11" t="str">
        <f>IF($I1444&lt;&gt;"",VLOOKUP($AC1444,GEADRESSEERDE!$A$2:$E$4,5,),"")</f>
        <v>BE</v>
      </c>
      <c r="AH1444" s="11" t="str">
        <f>IF(I1444&lt;&gt;"",VLOOKUP(AP1444,KvB!$A$2:$B$3,2,FALSE),"")</f>
        <v>BE101000</v>
      </c>
      <c r="AI1444" s="11" t="s">
        <v>55</v>
      </c>
      <c r="AJ1444" s="11"/>
      <c r="AK1444" s="11"/>
      <c r="AL1444" s="11"/>
      <c r="AM1444" s="11"/>
      <c r="AN1444" s="11"/>
      <c r="AO1444" s="11"/>
      <c r="AP1444" s="2" t="s">
        <v>70</v>
      </c>
      <c r="AQ1444" s="11" t="str">
        <f>IF(I1444&lt;&gt;"",DATA!D1443,"")</f>
        <v>3920102490</v>
      </c>
    </row>
    <row r="1445" spans="1:43" ht="15.75" x14ac:dyDescent="0.25">
      <c r="A1445" s="11" t="s">
        <v>57</v>
      </c>
      <c r="B1445" s="11" t="s">
        <v>56</v>
      </c>
      <c r="C1445" s="22">
        <f t="shared" si="94"/>
        <v>25001620</v>
      </c>
      <c r="D1445" s="11" t="str">
        <f t="shared" si="91"/>
        <v>SKIIFM_AT</v>
      </c>
      <c r="E1445" s="11" t="str">
        <f>IF(I1445&lt;&gt;"",VLOOKUP(F1445,OPDRACHTGEVER!$A$2:$B$4,2,FALSE),"")</f>
        <v>SKIIFM_AT</v>
      </c>
      <c r="F1445" s="11" t="s">
        <v>58</v>
      </c>
      <c r="I1445" s="11" t="str">
        <f>IF(DATA!B1444&lt;&gt;"",DATA!B1444,"")</f>
        <v>MSDU5224106</v>
      </c>
      <c r="J1445" s="12">
        <v>0</v>
      </c>
      <c r="K1445" s="11" t="s">
        <v>53</v>
      </c>
      <c r="L1445" s="11" t="str">
        <f t="shared" si="92"/>
        <v>401699</v>
      </c>
      <c r="M1445" s="11" t="str">
        <f>IF(I1445&lt;&gt;"",DATA!E1444,"")</f>
        <v>RAIN BUCKET</v>
      </c>
      <c r="N1445" s="12">
        <v>0</v>
      </c>
      <c r="O1445" s="11">
        <f>IF(I1445&lt;&gt;"",DATA!C1444,"")</f>
        <v>124.12</v>
      </c>
      <c r="P1445" s="2">
        <v>294094</v>
      </c>
      <c r="Q1445" s="2" t="s">
        <v>1304</v>
      </c>
      <c r="R1445" s="2" t="s">
        <v>1332</v>
      </c>
      <c r="S1445" s="2">
        <v>6</v>
      </c>
      <c r="T1445" s="2">
        <v>1</v>
      </c>
      <c r="U1445" s="2" t="s">
        <v>141</v>
      </c>
      <c r="Y1445" s="2">
        <v>1700</v>
      </c>
      <c r="Z1445" s="11" t="s">
        <v>54</v>
      </c>
      <c r="AA1445" s="11" t="str">
        <f t="shared" si="93"/>
        <v>1700 - TBN</v>
      </c>
      <c r="AC1445" s="2" t="s">
        <v>145</v>
      </c>
      <c r="AD1445" s="11" t="str">
        <f>IF($I1445&lt;&gt;"",VLOOKUP($AC1445,GEADRESSEERDE!$A$2:$E$4,2,),"")</f>
        <v>LUITHAGEN HAVEN 2 D</v>
      </c>
      <c r="AE1445" s="11">
        <f>IF($I1445&lt;&gt;"",VLOOKUP($AC1445,GEADRESSEERDE!$A$2:$E$4,3,),"")</f>
        <v>2030</v>
      </c>
      <c r="AF1445" s="11" t="str">
        <f>IF($I1445&lt;&gt;"",VLOOKUP($AC1445,GEADRESSEERDE!$A$2:$E$4,4,),"")</f>
        <v>ANTWERPEN</v>
      </c>
      <c r="AG1445" s="11" t="str">
        <f>IF($I1445&lt;&gt;"",VLOOKUP($AC1445,GEADRESSEERDE!$A$2:$E$4,5,),"")</f>
        <v>BE</v>
      </c>
      <c r="AH1445" s="11" t="str">
        <f>IF(I1445&lt;&gt;"",VLOOKUP(AP1445,KvB!$A$2:$B$3,2,FALSE),"")</f>
        <v>BE101000</v>
      </c>
      <c r="AI1445" s="11" t="s">
        <v>55</v>
      </c>
      <c r="AJ1445" s="11"/>
      <c r="AK1445" s="11"/>
      <c r="AL1445" s="11"/>
      <c r="AM1445" s="11"/>
      <c r="AN1445" s="11"/>
      <c r="AO1445" s="11"/>
      <c r="AP1445" s="2" t="s">
        <v>70</v>
      </c>
      <c r="AQ1445" s="11" t="str">
        <f>IF(I1445&lt;&gt;"",DATA!D1444,"")</f>
        <v>4016999790</v>
      </c>
    </row>
    <row r="1446" spans="1:43" ht="15.75" x14ac:dyDescent="0.25">
      <c r="A1446" s="11" t="s">
        <v>57</v>
      </c>
      <c r="B1446" s="11" t="s">
        <v>56</v>
      </c>
      <c r="C1446" s="22">
        <f t="shared" si="94"/>
        <v>25001620</v>
      </c>
      <c r="D1446" s="11" t="str">
        <f t="shared" si="91"/>
        <v>SKIIFM_AT</v>
      </c>
      <c r="E1446" s="11" t="str">
        <f>IF(I1446&lt;&gt;"",VLOOKUP(F1446,OPDRACHTGEVER!$A$2:$B$4,2,FALSE),"")</f>
        <v>SKIIFM_AT</v>
      </c>
      <c r="F1446" s="11" t="s">
        <v>58</v>
      </c>
      <c r="I1446" s="11" t="str">
        <f>IF(DATA!B1445&lt;&gt;"",DATA!B1445,"")</f>
        <v>MSDU5224106</v>
      </c>
      <c r="J1446" s="12">
        <v>0</v>
      </c>
      <c r="K1446" s="11" t="s">
        <v>53</v>
      </c>
      <c r="L1446" s="11" t="str">
        <f t="shared" si="92"/>
        <v>741920</v>
      </c>
      <c r="M1446" s="11" t="str">
        <f>IF(I1446&lt;&gt;"",DATA!E1445,"")</f>
        <v>ROUND FIRE RING</v>
      </c>
      <c r="N1446" s="12">
        <v>0</v>
      </c>
      <c r="O1446" s="11">
        <f>IF(I1446&lt;&gt;"",DATA!C1445,"")</f>
        <v>20.54</v>
      </c>
      <c r="P1446" s="2">
        <v>294094</v>
      </c>
      <c r="Q1446" s="2" t="s">
        <v>1304</v>
      </c>
      <c r="R1446" s="2" t="s">
        <v>1332</v>
      </c>
      <c r="S1446" s="2">
        <v>6</v>
      </c>
      <c r="T1446" s="2">
        <v>1</v>
      </c>
      <c r="U1446" s="2" t="s">
        <v>141</v>
      </c>
      <c r="Y1446" s="2">
        <v>1700</v>
      </c>
      <c r="Z1446" s="11" t="s">
        <v>54</v>
      </c>
      <c r="AA1446" s="11" t="str">
        <f t="shared" si="93"/>
        <v>1700 - TBN</v>
      </c>
      <c r="AC1446" s="2" t="s">
        <v>145</v>
      </c>
      <c r="AD1446" s="11" t="str">
        <f>IF($I1446&lt;&gt;"",VLOOKUP($AC1446,GEADRESSEERDE!$A$2:$E$4,2,),"")</f>
        <v>LUITHAGEN HAVEN 2 D</v>
      </c>
      <c r="AE1446" s="11">
        <f>IF($I1446&lt;&gt;"",VLOOKUP($AC1446,GEADRESSEERDE!$A$2:$E$4,3,),"")</f>
        <v>2030</v>
      </c>
      <c r="AF1446" s="11" t="str">
        <f>IF($I1446&lt;&gt;"",VLOOKUP($AC1446,GEADRESSEERDE!$A$2:$E$4,4,),"")</f>
        <v>ANTWERPEN</v>
      </c>
      <c r="AG1446" s="11" t="str">
        <f>IF($I1446&lt;&gt;"",VLOOKUP($AC1446,GEADRESSEERDE!$A$2:$E$4,5,),"")</f>
        <v>BE</v>
      </c>
      <c r="AH1446" s="11" t="str">
        <f>IF(I1446&lt;&gt;"",VLOOKUP(AP1446,KvB!$A$2:$B$3,2,FALSE),"")</f>
        <v>BE101000</v>
      </c>
      <c r="AI1446" s="11" t="s">
        <v>55</v>
      </c>
      <c r="AJ1446" s="11"/>
      <c r="AK1446" s="11"/>
      <c r="AL1446" s="11"/>
      <c r="AM1446" s="11"/>
      <c r="AN1446" s="11"/>
      <c r="AO1446" s="11"/>
      <c r="AP1446" s="2" t="s">
        <v>70</v>
      </c>
      <c r="AQ1446" s="11" t="str">
        <f>IF(I1446&lt;&gt;"",DATA!D1445,"")</f>
        <v>7419200090</v>
      </c>
    </row>
    <row r="1447" spans="1:43" ht="15.75" x14ac:dyDescent="0.25">
      <c r="A1447" s="11" t="s">
        <v>57</v>
      </c>
      <c r="B1447" s="11" t="s">
        <v>56</v>
      </c>
      <c r="C1447" s="22">
        <f t="shared" si="94"/>
        <v>25001620</v>
      </c>
      <c r="D1447" s="11" t="str">
        <f t="shared" si="91"/>
        <v>SKIIFM_AT</v>
      </c>
      <c r="E1447" s="11" t="str">
        <f>IF(I1447&lt;&gt;"",VLOOKUP(F1447,OPDRACHTGEVER!$A$2:$B$4,2,FALSE),"")</f>
        <v>SKIIFM_AT</v>
      </c>
      <c r="F1447" s="11" t="s">
        <v>58</v>
      </c>
      <c r="I1447" s="11" t="str">
        <f>IF(DATA!B1446&lt;&gt;"",DATA!B1446,"")</f>
        <v>MSDU5224106</v>
      </c>
      <c r="J1447" s="12">
        <v>0</v>
      </c>
      <c r="K1447" s="11" t="s">
        <v>53</v>
      </c>
      <c r="L1447" s="11" t="str">
        <f t="shared" si="92"/>
        <v>400821</v>
      </c>
      <c r="M1447" s="11" t="str">
        <f>IF(I1447&lt;&gt;"",DATA!E1446,"")</f>
        <v>SEALING STRIP</v>
      </c>
      <c r="N1447" s="12">
        <v>0</v>
      </c>
      <c r="O1447" s="11">
        <f>IF(I1447&lt;&gt;"",DATA!C1446,"")</f>
        <v>64.19</v>
      </c>
      <c r="P1447" s="2">
        <v>294094</v>
      </c>
      <c r="Q1447" s="2" t="s">
        <v>1304</v>
      </c>
      <c r="R1447" s="2" t="s">
        <v>1332</v>
      </c>
      <c r="S1447" s="2">
        <v>6</v>
      </c>
      <c r="T1447" s="2">
        <v>1</v>
      </c>
      <c r="U1447" s="2" t="s">
        <v>141</v>
      </c>
      <c r="Y1447" s="2">
        <v>1700</v>
      </c>
      <c r="Z1447" s="11" t="s">
        <v>54</v>
      </c>
      <c r="AA1447" s="11" t="str">
        <f t="shared" si="93"/>
        <v>1700 - TBN</v>
      </c>
      <c r="AC1447" s="2" t="s">
        <v>145</v>
      </c>
      <c r="AD1447" s="11" t="str">
        <f>IF($I1447&lt;&gt;"",VLOOKUP($AC1447,GEADRESSEERDE!$A$2:$E$4,2,),"")</f>
        <v>LUITHAGEN HAVEN 2 D</v>
      </c>
      <c r="AE1447" s="11">
        <f>IF($I1447&lt;&gt;"",VLOOKUP($AC1447,GEADRESSEERDE!$A$2:$E$4,3,),"")</f>
        <v>2030</v>
      </c>
      <c r="AF1447" s="11" t="str">
        <f>IF($I1447&lt;&gt;"",VLOOKUP($AC1447,GEADRESSEERDE!$A$2:$E$4,4,),"")</f>
        <v>ANTWERPEN</v>
      </c>
      <c r="AG1447" s="11" t="str">
        <f>IF($I1447&lt;&gt;"",VLOOKUP($AC1447,GEADRESSEERDE!$A$2:$E$4,5,),"")</f>
        <v>BE</v>
      </c>
      <c r="AH1447" s="11" t="str">
        <f>IF(I1447&lt;&gt;"",VLOOKUP(AP1447,KvB!$A$2:$B$3,2,FALSE),"")</f>
        <v>BE101000</v>
      </c>
      <c r="AI1447" s="11" t="s">
        <v>55</v>
      </c>
      <c r="AJ1447" s="11"/>
      <c r="AK1447" s="11"/>
      <c r="AL1447" s="11"/>
      <c r="AM1447" s="11"/>
      <c r="AN1447" s="11"/>
      <c r="AO1447" s="11"/>
      <c r="AP1447" s="2" t="s">
        <v>70</v>
      </c>
      <c r="AQ1447" s="11" t="str">
        <f>IF(I1447&lt;&gt;"",DATA!D1446,"")</f>
        <v>4008219000</v>
      </c>
    </row>
    <row r="1448" spans="1:43" ht="15.75" x14ac:dyDescent="0.25">
      <c r="A1448" s="11" t="s">
        <v>57</v>
      </c>
      <c r="B1448" s="11" t="s">
        <v>56</v>
      </c>
      <c r="C1448" s="22">
        <f t="shared" si="94"/>
        <v>25001620</v>
      </c>
      <c r="D1448" s="11" t="str">
        <f t="shared" si="91"/>
        <v>SKIIFM_AT</v>
      </c>
      <c r="E1448" s="11" t="str">
        <f>IF(I1448&lt;&gt;"",VLOOKUP(F1448,OPDRACHTGEVER!$A$2:$B$4,2,FALSE),"")</f>
        <v>SKIIFM_AT</v>
      </c>
      <c r="F1448" s="11" t="s">
        <v>58</v>
      </c>
      <c r="I1448" s="11" t="str">
        <f>IF(DATA!B1447&lt;&gt;"",DATA!B1447,"")</f>
        <v>MSDU5224106</v>
      </c>
      <c r="J1448" s="12">
        <v>0</v>
      </c>
      <c r="K1448" s="11" t="s">
        <v>53</v>
      </c>
      <c r="L1448" s="11" t="str">
        <f t="shared" si="92"/>
        <v>670210</v>
      </c>
      <c r="M1448" s="11" t="str">
        <f>IF(I1448&lt;&gt;"",DATA!E1447,"")</f>
        <v>SIMULATED PLANT</v>
      </c>
      <c r="N1448" s="12">
        <v>0</v>
      </c>
      <c r="O1448" s="11">
        <f>IF(I1448&lt;&gt;"",DATA!C1447,"")</f>
        <v>10.44</v>
      </c>
      <c r="P1448" s="2">
        <v>294094</v>
      </c>
      <c r="Q1448" s="2" t="s">
        <v>1304</v>
      </c>
      <c r="R1448" s="2" t="s">
        <v>1332</v>
      </c>
      <c r="S1448" s="2">
        <v>6</v>
      </c>
      <c r="T1448" s="2">
        <v>1</v>
      </c>
      <c r="U1448" s="2" t="s">
        <v>141</v>
      </c>
      <c r="Y1448" s="2">
        <v>1700</v>
      </c>
      <c r="Z1448" s="11" t="s">
        <v>54</v>
      </c>
      <c r="AA1448" s="11" t="str">
        <f t="shared" si="93"/>
        <v>1700 - TBN</v>
      </c>
      <c r="AC1448" s="2" t="s">
        <v>145</v>
      </c>
      <c r="AD1448" s="11" t="str">
        <f>IF($I1448&lt;&gt;"",VLOOKUP($AC1448,GEADRESSEERDE!$A$2:$E$4,2,),"")</f>
        <v>LUITHAGEN HAVEN 2 D</v>
      </c>
      <c r="AE1448" s="11">
        <f>IF($I1448&lt;&gt;"",VLOOKUP($AC1448,GEADRESSEERDE!$A$2:$E$4,3,),"")</f>
        <v>2030</v>
      </c>
      <c r="AF1448" s="11" t="str">
        <f>IF($I1448&lt;&gt;"",VLOOKUP($AC1448,GEADRESSEERDE!$A$2:$E$4,4,),"")</f>
        <v>ANTWERPEN</v>
      </c>
      <c r="AG1448" s="11" t="str">
        <f>IF($I1448&lt;&gt;"",VLOOKUP($AC1448,GEADRESSEERDE!$A$2:$E$4,5,),"")</f>
        <v>BE</v>
      </c>
      <c r="AH1448" s="11" t="str">
        <f>IF(I1448&lt;&gt;"",VLOOKUP(AP1448,KvB!$A$2:$B$3,2,FALSE),"")</f>
        <v>BE101000</v>
      </c>
      <c r="AI1448" s="11" t="s">
        <v>55</v>
      </c>
      <c r="AJ1448" s="11"/>
      <c r="AK1448" s="11"/>
      <c r="AL1448" s="11"/>
      <c r="AM1448" s="11"/>
      <c r="AN1448" s="11"/>
      <c r="AO1448" s="11"/>
      <c r="AP1448" s="2" t="s">
        <v>70</v>
      </c>
      <c r="AQ1448" s="11" t="str">
        <f>IF(I1448&lt;&gt;"",DATA!D1447,"")</f>
        <v>6702100000</v>
      </c>
    </row>
    <row r="1449" spans="1:43" ht="15.75" x14ac:dyDescent="0.25">
      <c r="A1449" s="11" t="s">
        <v>57</v>
      </c>
      <c r="B1449" s="11" t="s">
        <v>56</v>
      </c>
      <c r="C1449" s="22">
        <f t="shared" si="94"/>
        <v>25001620</v>
      </c>
      <c r="D1449" s="11" t="str">
        <f t="shared" si="91"/>
        <v>SKIIFM_AT</v>
      </c>
      <c r="E1449" s="11" t="str">
        <f>IF(I1449&lt;&gt;"",VLOOKUP(F1449,OPDRACHTGEVER!$A$2:$B$4,2,FALSE),"")</f>
        <v>SKIIFM_AT</v>
      </c>
      <c r="F1449" s="11" t="s">
        <v>58</v>
      </c>
      <c r="I1449" s="11" t="str">
        <f>IF(DATA!B1448&lt;&gt;"",DATA!B1448,"")</f>
        <v>MSDU5224106</v>
      </c>
      <c r="J1449" s="12">
        <v>0</v>
      </c>
      <c r="K1449" s="11" t="s">
        <v>53</v>
      </c>
      <c r="L1449" s="11" t="str">
        <f t="shared" si="92"/>
        <v>940320</v>
      </c>
      <c r="M1449" s="11" t="str">
        <f>IF(I1449&lt;&gt;"",DATA!E1448,"")</f>
        <v>STEEL KITCHEN TABLE</v>
      </c>
      <c r="N1449" s="12">
        <v>0</v>
      </c>
      <c r="O1449" s="11">
        <f>IF(I1449&lt;&gt;"",DATA!C1448,"")</f>
        <v>110.41</v>
      </c>
      <c r="P1449" s="2">
        <v>294094</v>
      </c>
      <c r="Q1449" s="2" t="s">
        <v>1304</v>
      </c>
      <c r="R1449" s="2" t="s">
        <v>1332</v>
      </c>
      <c r="S1449" s="2">
        <v>6</v>
      </c>
      <c r="T1449" s="2">
        <v>1</v>
      </c>
      <c r="U1449" s="2" t="s">
        <v>141</v>
      </c>
      <c r="Y1449" s="2">
        <v>1700</v>
      </c>
      <c r="Z1449" s="11" t="s">
        <v>54</v>
      </c>
      <c r="AA1449" s="11" t="str">
        <f t="shared" si="93"/>
        <v>1700 - TBN</v>
      </c>
      <c r="AC1449" s="2" t="s">
        <v>145</v>
      </c>
      <c r="AD1449" s="11" t="str">
        <f>IF($I1449&lt;&gt;"",VLOOKUP($AC1449,GEADRESSEERDE!$A$2:$E$4,2,),"")</f>
        <v>LUITHAGEN HAVEN 2 D</v>
      </c>
      <c r="AE1449" s="11">
        <f>IF($I1449&lt;&gt;"",VLOOKUP($AC1449,GEADRESSEERDE!$A$2:$E$4,3,),"")</f>
        <v>2030</v>
      </c>
      <c r="AF1449" s="11" t="str">
        <f>IF($I1449&lt;&gt;"",VLOOKUP($AC1449,GEADRESSEERDE!$A$2:$E$4,4,),"")</f>
        <v>ANTWERPEN</v>
      </c>
      <c r="AG1449" s="11" t="str">
        <f>IF($I1449&lt;&gt;"",VLOOKUP($AC1449,GEADRESSEERDE!$A$2:$E$4,5,),"")</f>
        <v>BE</v>
      </c>
      <c r="AH1449" s="11" t="str">
        <f>IF(I1449&lt;&gt;"",VLOOKUP(AP1449,KvB!$A$2:$B$3,2,FALSE),"")</f>
        <v>BE101000</v>
      </c>
      <c r="AI1449" s="11" t="s">
        <v>55</v>
      </c>
      <c r="AJ1449" s="11"/>
      <c r="AK1449" s="11"/>
      <c r="AL1449" s="11"/>
      <c r="AM1449" s="11"/>
      <c r="AN1449" s="11"/>
      <c r="AO1449" s="11"/>
      <c r="AP1449" s="2" t="s">
        <v>70</v>
      </c>
      <c r="AQ1449" s="11" t="str">
        <f>IF(I1449&lt;&gt;"",DATA!D1448,"")</f>
        <v>9403208000</v>
      </c>
    </row>
    <row r="1450" spans="1:43" ht="15.75" x14ac:dyDescent="0.25">
      <c r="A1450" s="11" t="s">
        <v>57</v>
      </c>
      <c r="B1450" s="11" t="s">
        <v>56</v>
      </c>
      <c r="C1450" s="22">
        <f t="shared" si="94"/>
        <v>25001620</v>
      </c>
      <c r="D1450" s="11" t="str">
        <f t="shared" si="91"/>
        <v>SKIIFM_AT</v>
      </c>
      <c r="E1450" s="11" t="str">
        <f>IF(I1450&lt;&gt;"",VLOOKUP(F1450,OPDRACHTGEVER!$A$2:$B$4,2,FALSE),"")</f>
        <v>SKIIFM_AT</v>
      </c>
      <c r="F1450" s="11" t="s">
        <v>58</v>
      </c>
      <c r="I1450" s="11" t="str">
        <f>IF(DATA!B1449&lt;&gt;"",DATA!B1449,"")</f>
        <v>MSDU5224106</v>
      </c>
      <c r="J1450" s="12">
        <v>0</v>
      </c>
      <c r="K1450" s="11" t="s">
        <v>53</v>
      </c>
      <c r="L1450" s="11" t="str">
        <f t="shared" si="92"/>
        <v>847989</v>
      </c>
      <c r="M1450" s="11" t="str">
        <f>IF(I1450&lt;&gt;"",DATA!E1449,"")</f>
        <v>STEERING CYLINDER OUTBOARD</v>
      </c>
      <c r="N1450" s="12">
        <v>0</v>
      </c>
      <c r="O1450" s="11">
        <f>IF(I1450&lt;&gt;"",DATA!C1449,"")</f>
        <v>179.27</v>
      </c>
      <c r="P1450" s="2">
        <v>294094</v>
      </c>
      <c r="Q1450" s="2" t="s">
        <v>1304</v>
      </c>
      <c r="R1450" s="2" t="s">
        <v>1332</v>
      </c>
      <c r="S1450" s="2">
        <v>6</v>
      </c>
      <c r="T1450" s="2">
        <v>1</v>
      </c>
      <c r="U1450" s="2" t="s">
        <v>141</v>
      </c>
      <c r="Y1450" s="2">
        <v>1700</v>
      </c>
      <c r="Z1450" s="11" t="s">
        <v>54</v>
      </c>
      <c r="AA1450" s="11" t="str">
        <f t="shared" si="93"/>
        <v>1700 - TBN</v>
      </c>
      <c r="AC1450" s="2" t="s">
        <v>145</v>
      </c>
      <c r="AD1450" s="11" t="str">
        <f>IF($I1450&lt;&gt;"",VLOOKUP($AC1450,GEADRESSEERDE!$A$2:$E$4,2,),"")</f>
        <v>LUITHAGEN HAVEN 2 D</v>
      </c>
      <c r="AE1450" s="11">
        <f>IF($I1450&lt;&gt;"",VLOOKUP($AC1450,GEADRESSEERDE!$A$2:$E$4,3,),"")</f>
        <v>2030</v>
      </c>
      <c r="AF1450" s="11" t="str">
        <f>IF($I1450&lt;&gt;"",VLOOKUP($AC1450,GEADRESSEERDE!$A$2:$E$4,4,),"")</f>
        <v>ANTWERPEN</v>
      </c>
      <c r="AG1450" s="11" t="str">
        <f>IF($I1450&lt;&gt;"",VLOOKUP($AC1450,GEADRESSEERDE!$A$2:$E$4,5,),"")</f>
        <v>BE</v>
      </c>
      <c r="AH1450" s="11" t="str">
        <f>IF(I1450&lt;&gt;"",VLOOKUP(AP1450,KvB!$A$2:$B$3,2,FALSE),"")</f>
        <v>BE101000</v>
      </c>
      <c r="AI1450" s="11" t="s">
        <v>55</v>
      </c>
      <c r="AJ1450" s="11"/>
      <c r="AK1450" s="11"/>
      <c r="AL1450" s="11"/>
      <c r="AM1450" s="11"/>
      <c r="AN1450" s="11"/>
      <c r="AO1450" s="11"/>
      <c r="AP1450" s="2" t="s">
        <v>70</v>
      </c>
      <c r="AQ1450" s="11" t="str">
        <f>IF(I1450&lt;&gt;"",DATA!D1449,"")</f>
        <v>8479899790</v>
      </c>
    </row>
    <row r="1451" spans="1:43" ht="15.75" x14ac:dyDescent="0.25">
      <c r="A1451" s="11" t="s">
        <v>57</v>
      </c>
      <c r="B1451" s="11" t="s">
        <v>56</v>
      </c>
      <c r="C1451" s="22">
        <f t="shared" si="94"/>
        <v>25001620</v>
      </c>
      <c r="D1451" s="11" t="str">
        <f t="shared" si="91"/>
        <v>SKIIFM_AT</v>
      </c>
      <c r="E1451" s="11" t="str">
        <f>IF(I1451&lt;&gt;"",VLOOKUP(F1451,OPDRACHTGEVER!$A$2:$B$4,2,FALSE),"")</f>
        <v>SKIIFM_AT</v>
      </c>
      <c r="F1451" s="11" t="s">
        <v>58</v>
      </c>
      <c r="I1451" s="11" t="str">
        <f>IF(DATA!B1450&lt;&gt;"",DATA!B1450,"")</f>
        <v>MSDU5224106</v>
      </c>
      <c r="J1451" s="12">
        <v>0</v>
      </c>
      <c r="K1451" s="11" t="s">
        <v>53</v>
      </c>
      <c r="L1451" s="11" t="str">
        <f t="shared" si="92"/>
        <v>950691</v>
      </c>
      <c r="M1451" s="11" t="str">
        <f>IF(I1451&lt;&gt;"",DATA!E1450,"")</f>
        <v>TREE CLIMBING GEAR</v>
      </c>
      <c r="N1451" s="12">
        <v>0</v>
      </c>
      <c r="O1451" s="11">
        <f>IF(I1451&lt;&gt;"",DATA!C1450,"")</f>
        <v>21.24</v>
      </c>
      <c r="P1451" s="2">
        <v>294094</v>
      </c>
      <c r="Q1451" s="2" t="s">
        <v>1304</v>
      </c>
      <c r="R1451" s="2" t="s">
        <v>1332</v>
      </c>
      <c r="S1451" s="2">
        <v>6</v>
      </c>
      <c r="T1451" s="2">
        <v>1</v>
      </c>
      <c r="U1451" s="2" t="s">
        <v>141</v>
      </c>
      <c r="Y1451" s="2">
        <v>1700</v>
      </c>
      <c r="Z1451" s="11" t="s">
        <v>54</v>
      </c>
      <c r="AA1451" s="11" t="str">
        <f t="shared" si="93"/>
        <v>1700 - TBN</v>
      </c>
      <c r="AC1451" s="2" t="s">
        <v>145</v>
      </c>
      <c r="AD1451" s="11" t="str">
        <f>IF($I1451&lt;&gt;"",VLOOKUP($AC1451,GEADRESSEERDE!$A$2:$E$4,2,),"")</f>
        <v>LUITHAGEN HAVEN 2 D</v>
      </c>
      <c r="AE1451" s="11">
        <f>IF($I1451&lt;&gt;"",VLOOKUP($AC1451,GEADRESSEERDE!$A$2:$E$4,3,),"")</f>
        <v>2030</v>
      </c>
      <c r="AF1451" s="11" t="str">
        <f>IF($I1451&lt;&gt;"",VLOOKUP($AC1451,GEADRESSEERDE!$A$2:$E$4,4,),"")</f>
        <v>ANTWERPEN</v>
      </c>
      <c r="AG1451" s="11" t="str">
        <f>IF($I1451&lt;&gt;"",VLOOKUP($AC1451,GEADRESSEERDE!$A$2:$E$4,5,),"")</f>
        <v>BE</v>
      </c>
      <c r="AH1451" s="11" t="str">
        <f>IF(I1451&lt;&gt;"",VLOOKUP(AP1451,KvB!$A$2:$B$3,2,FALSE),"")</f>
        <v>BE101000</v>
      </c>
      <c r="AI1451" s="11" t="s">
        <v>55</v>
      </c>
      <c r="AJ1451" s="11"/>
      <c r="AK1451" s="11"/>
      <c r="AL1451" s="11"/>
      <c r="AM1451" s="11"/>
      <c r="AN1451" s="11"/>
      <c r="AO1451" s="11"/>
      <c r="AP1451" s="2" t="s">
        <v>70</v>
      </c>
      <c r="AQ1451" s="11" t="str">
        <f>IF(I1451&lt;&gt;"",DATA!D1450,"")</f>
        <v>9506919000</v>
      </c>
    </row>
    <row r="1452" spans="1:43" ht="15.75" x14ac:dyDescent="0.25">
      <c r="A1452" s="11" t="s">
        <v>57</v>
      </c>
      <c r="B1452" s="11" t="s">
        <v>56</v>
      </c>
      <c r="C1452" s="22">
        <f t="shared" si="94"/>
        <v>25001620</v>
      </c>
      <c r="D1452" s="11" t="str">
        <f t="shared" si="91"/>
        <v>SKIIFM_AT</v>
      </c>
      <c r="E1452" s="11" t="str">
        <f>IF(I1452&lt;&gt;"",VLOOKUP(F1452,OPDRACHTGEVER!$A$2:$B$4,2,FALSE),"")</f>
        <v>SKIIFM_AT</v>
      </c>
      <c r="F1452" s="11" t="s">
        <v>58</v>
      </c>
      <c r="I1452" s="11" t="str">
        <f>IF(DATA!B1451&lt;&gt;"",DATA!B1451,"")</f>
        <v>MSDU5224106</v>
      </c>
      <c r="J1452" s="12">
        <v>0</v>
      </c>
      <c r="K1452" s="11" t="s">
        <v>53</v>
      </c>
      <c r="L1452" s="11" t="str">
        <f t="shared" si="92"/>
        <v>820559</v>
      </c>
      <c r="M1452" s="11" t="str">
        <f>IF(I1452&lt;&gt;"",DATA!E1451,"")</f>
        <v>VENEER REELING MACHINE</v>
      </c>
      <c r="N1452" s="12">
        <v>0</v>
      </c>
      <c r="O1452" s="11">
        <f>IF(I1452&lt;&gt;"",DATA!C1451,"")</f>
        <v>32.82</v>
      </c>
      <c r="P1452" s="2">
        <v>294094</v>
      </c>
      <c r="Q1452" s="2" t="s">
        <v>1304</v>
      </c>
      <c r="R1452" s="2" t="s">
        <v>1332</v>
      </c>
      <c r="S1452" s="2">
        <v>6</v>
      </c>
      <c r="T1452" s="2">
        <v>1</v>
      </c>
      <c r="U1452" s="2" t="s">
        <v>141</v>
      </c>
      <c r="Y1452" s="2">
        <v>1700</v>
      </c>
      <c r="Z1452" s="11" t="s">
        <v>54</v>
      </c>
      <c r="AA1452" s="11" t="str">
        <f t="shared" si="93"/>
        <v>1700 - TBN</v>
      </c>
      <c r="AC1452" s="2" t="s">
        <v>145</v>
      </c>
      <c r="AD1452" s="11" t="str">
        <f>IF($I1452&lt;&gt;"",VLOOKUP($AC1452,GEADRESSEERDE!$A$2:$E$4,2,),"")</f>
        <v>LUITHAGEN HAVEN 2 D</v>
      </c>
      <c r="AE1452" s="11">
        <f>IF($I1452&lt;&gt;"",VLOOKUP($AC1452,GEADRESSEERDE!$A$2:$E$4,3,),"")</f>
        <v>2030</v>
      </c>
      <c r="AF1452" s="11" t="str">
        <f>IF($I1452&lt;&gt;"",VLOOKUP($AC1452,GEADRESSEERDE!$A$2:$E$4,4,),"")</f>
        <v>ANTWERPEN</v>
      </c>
      <c r="AG1452" s="11" t="str">
        <f>IF($I1452&lt;&gt;"",VLOOKUP($AC1452,GEADRESSEERDE!$A$2:$E$4,5,),"")</f>
        <v>BE</v>
      </c>
      <c r="AH1452" s="11" t="str">
        <f>IF(I1452&lt;&gt;"",VLOOKUP(AP1452,KvB!$A$2:$B$3,2,FALSE),"")</f>
        <v>BE101000</v>
      </c>
      <c r="AI1452" s="11" t="s">
        <v>55</v>
      </c>
      <c r="AJ1452" s="11"/>
      <c r="AK1452" s="11"/>
      <c r="AL1452" s="11"/>
      <c r="AM1452" s="11"/>
      <c r="AN1452" s="11"/>
      <c r="AO1452" s="11"/>
      <c r="AP1452" s="2" t="s">
        <v>70</v>
      </c>
      <c r="AQ1452" s="11" t="str">
        <f>IF(I1452&lt;&gt;"",DATA!D1451,"")</f>
        <v>8205598000</v>
      </c>
    </row>
    <row r="1453" spans="1:43" ht="15.75" x14ac:dyDescent="0.25">
      <c r="A1453" s="11" t="s">
        <v>57</v>
      </c>
      <c r="B1453" s="11" t="s">
        <v>56</v>
      </c>
      <c r="C1453" s="22">
        <f t="shared" si="94"/>
        <v>25001620</v>
      </c>
      <c r="D1453" s="11" t="str">
        <f t="shared" si="91"/>
        <v>SKIIFM_AT</v>
      </c>
      <c r="E1453" s="11" t="str">
        <f>IF(I1453&lt;&gt;"",VLOOKUP(F1453,OPDRACHTGEVER!$A$2:$B$4,2,FALSE),"")</f>
        <v>SKIIFM_AT</v>
      </c>
      <c r="F1453" s="11" t="s">
        <v>58</v>
      </c>
      <c r="I1453" s="11" t="str">
        <f>IF(DATA!B1452&lt;&gt;"",DATA!B1452,"")</f>
        <v>MSDU5224106</v>
      </c>
      <c r="J1453" s="12">
        <v>0</v>
      </c>
      <c r="K1453" s="11" t="s">
        <v>53</v>
      </c>
      <c r="L1453" s="11" t="str">
        <f t="shared" si="92"/>
        <v>850432</v>
      </c>
      <c r="M1453" s="11" t="str">
        <f>IF(I1453&lt;&gt;"",DATA!E1452,"")</f>
        <v>VOLTAGE CONVERTER</v>
      </c>
      <c r="N1453" s="12">
        <v>0</v>
      </c>
      <c r="O1453" s="11">
        <f>IF(I1453&lt;&gt;"",DATA!C1452,"")</f>
        <v>137.34</v>
      </c>
      <c r="P1453" s="2">
        <v>294094</v>
      </c>
      <c r="Q1453" s="2" t="s">
        <v>1304</v>
      </c>
      <c r="R1453" s="2" t="s">
        <v>1332</v>
      </c>
      <c r="S1453" s="2">
        <v>6</v>
      </c>
      <c r="T1453" s="2">
        <v>1</v>
      </c>
      <c r="U1453" s="2" t="s">
        <v>141</v>
      </c>
      <c r="Y1453" s="2">
        <v>1700</v>
      </c>
      <c r="Z1453" s="11" t="s">
        <v>54</v>
      </c>
      <c r="AA1453" s="11" t="str">
        <f t="shared" si="93"/>
        <v>1700 - TBN</v>
      </c>
      <c r="AC1453" s="2" t="s">
        <v>145</v>
      </c>
      <c r="AD1453" s="11" t="str">
        <f>IF($I1453&lt;&gt;"",VLOOKUP($AC1453,GEADRESSEERDE!$A$2:$E$4,2,),"")</f>
        <v>LUITHAGEN HAVEN 2 D</v>
      </c>
      <c r="AE1453" s="11">
        <f>IF($I1453&lt;&gt;"",VLOOKUP($AC1453,GEADRESSEERDE!$A$2:$E$4,3,),"")</f>
        <v>2030</v>
      </c>
      <c r="AF1453" s="11" t="str">
        <f>IF($I1453&lt;&gt;"",VLOOKUP($AC1453,GEADRESSEERDE!$A$2:$E$4,4,),"")</f>
        <v>ANTWERPEN</v>
      </c>
      <c r="AG1453" s="11" t="str">
        <f>IF($I1453&lt;&gt;"",VLOOKUP($AC1453,GEADRESSEERDE!$A$2:$E$4,5,),"")</f>
        <v>BE</v>
      </c>
      <c r="AH1453" s="11" t="str">
        <f>IF(I1453&lt;&gt;"",VLOOKUP(AP1453,KvB!$A$2:$B$3,2,FALSE),"")</f>
        <v>BE101000</v>
      </c>
      <c r="AI1453" s="11" t="s">
        <v>55</v>
      </c>
      <c r="AJ1453" s="11"/>
      <c r="AK1453" s="11"/>
      <c r="AL1453" s="11"/>
      <c r="AM1453" s="11"/>
      <c r="AN1453" s="11"/>
      <c r="AO1453" s="11"/>
      <c r="AP1453" s="2" t="s">
        <v>70</v>
      </c>
      <c r="AQ1453" s="11" t="str">
        <f>IF(I1453&lt;&gt;"",DATA!D1452,"")</f>
        <v>8504320090</v>
      </c>
    </row>
    <row r="1454" spans="1:43" ht="15.75" x14ac:dyDescent="0.25">
      <c r="A1454" s="11" t="s">
        <v>57</v>
      </c>
      <c r="B1454" s="11" t="s">
        <v>56</v>
      </c>
      <c r="C1454" s="22">
        <f t="shared" si="94"/>
        <v>25001620</v>
      </c>
      <c r="D1454" s="11" t="str">
        <f t="shared" si="91"/>
        <v>SKIIFM_AT</v>
      </c>
      <c r="E1454" s="11" t="str">
        <f>IF(I1454&lt;&gt;"",VLOOKUP(F1454,OPDRACHTGEVER!$A$2:$B$4,2,FALSE),"")</f>
        <v>SKIIFM_AT</v>
      </c>
      <c r="F1454" s="11" t="s">
        <v>58</v>
      </c>
      <c r="I1454" s="11" t="str">
        <f>IF(DATA!B1453&lt;&gt;"",DATA!B1453,"")</f>
        <v>MSDU5224106</v>
      </c>
      <c r="J1454" s="12">
        <v>0</v>
      </c>
      <c r="K1454" s="11" t="s">
        <v>53</v>
      </c>
      <c r="L1454" s="11" t="str">
        <f t="shared" si="92"/>
        <v>700719</v>
      </c>
      <c r="M1454" s="11" t="str">
        <f>IF(I1454&lt;&gt;"",DATA!E1453,"")</f>
        <v>WINDSHIELD PANEL</v>
      </c>
      <c r="N1454" s="12">
        <v>0</v>
      </c>
      <c r="O1454" s="11">
        <f>IF(I1454&lt;&gt;"",DATA!C1453,"")</f>
        <v>105.78</v>
      </c>
      <c r="P1454" s="2">
        <v>294094</v>
      </c>
      <c r="Q1454" s="2" t="s">
        <v>1304</v>
      </c>
      <c r="R1454" s="2" t="s">
        <v>1332</v>
      </c>
      <c r="S1454" s="2">
        <v>6</v>
      </c>
      <c r="T1454" s="2">
        <v>1</v>
      </c>
      <c r="U1454" s="2" t="s">
        <v>141</v>
      </c>
      <c r="Y1454" s="2">
        <v>1700</v>
      </c>
      <c r="Z1454" s="11" t="s">
        <v>54</v>
      </c>
      <c r="AA1454" s="11" t="str">
        <f t="shared" si="93"/>
        <v>1700 - TBN</v>
      </c>
      <c r="AC1454" s="2" t="s">
        <v>145</v>
      </c>
      <c r="AD1454" s="11" t="str">
        <f>IF($I1454&lt;&gt;"",VLOOKUP($AC1454,GEADRESSEERDE!$A$2:$E$4,2,),"")</f>
        <v>LUITHAGEN HAVEN 2 D</v>
      </c>
      <c r="AE1454" s="11">
        <f>IF($I1454&lt;&gt;"",VLOOKUP($AC1454,GEADRESSEERDE!$A$2:$E$4,3,),"")</f>
        <v>2030</v>
      </c>
      <c r="AF1454" s="11" t="str">
        <f>IF($I1454&lt;&gt;"",VLOOKUP($AC1454,GEADRESSEERDE!$A$2:$E$4,4,),"")</f>
        <v>ANTWERPEN</v>
      </c>
      <c r="AG1454" s="11" t="str">
        <f>IF($I1454&lt;&gt;"",VLOOKUP($AC1454,GEADRESSEERDE!$A$2:$E$4,5,),"")</f>
        <v>BE</v>
      </c>
      <c r="AH1454" s="11" t="str">
        <f>IF(I1454&lt;&gt;"",VLOOKUP(AP1454,KvB!$A$2:$B$3,2,FALSE),"")</f>
        <v>BE101000</v>
      </c>
      <c r="AI1454" s="11" t="s">
        <v>55</v>
      </c>
      <c r="AJ1454" s="11"/>
      <c r="AK1454" s="11"/>
      <c r="AL1454" s="11"/>
      <c r="AM1454" s="11"/>
      <c r="AN1454" s="11"/>
      <c r="AO1454" s="11"/>
      <c r="AP1454" s="2" t="s">
        <v>70</v>
      </c>
      <c r="AQ1454" s="11" t="str">
        <f>IF(I1454&lt;&gt;"",DATA!D1453,"")</f>
        <v>7007198095</v>
      </c>
    </row>
    <row r="1455" spans="1:43" ht="15.75" x14ac:dyDescent="0.25">
      <c r="A1455" s="11" t="s">
        <v>57</v>
      </c>
      <c r="B1455" s="11" t="s">
        <v>56</v>
      </c>
      <c r="C1455" s="22">
        <f t="shared" si="94"/>
        <v>25001620</v>
      </c>
      <c r="D1455" s="11" t="str">
        <f t="shared" si="91"/>
        <v>SKIIFM_AT</v>
      </c>
      <c r="E1455" s="11" t="str">
        <f>IF(I1455&lt;&gt;"",VLOOKUP(F1455,OPDRACHTGEVER!$A$2:$B$4,2,FALSE),"")</f>
        <v>SKIIFM_AT</v>
      </c>
      <c r="F1455" s="11" t="s">
        <v>58</v>
      </c>
      <c r="I1455" s="11" t="str">
        <f>IF(DATA!B1454&lt;&gt;"",DATA!B1454,"")</f>
        <v>MSDU5224106</v>
      </c>
      <c r="J1455" s="12">
        <v>0</v>
      </c>
      <c r="K1455" s="11" t="s">
        <v>53</v>
      </c>
      <c r="L1455" s="11" t="str">
        <f t="shared" si="92"/>
        <v>741920</v>
      </c>
      <c r="M1455" s="11" t="str">
        <f>IF(I1455&lt;&gt;"",DATA!E1454,"")</f>
        <v>WIRE MESH</v>
      </c>
      <c r="N1455" s="12">
        <v>0</v>
      </c>
      <c r="O1455" s="11">
        <f>IF(I1455&lt;&gt;"",DATA!C1454,"")</f>
        <v>142.34</v>
      </c>
      <c r="P1455" s="2">
        <v>294094</v>
      </c>
      <c r="Q1455" s="2" t="s">
        <v>1304</v>
      </c>
      <c r="R1455" s="2" t="s">
        <v>1332</v>
      </c>
      <c r="S1455" s="2">
        <v>6</v>
      </c>
      <c r="T1455" s="2">
        <v>1</v>
      </c>
      <c r="U1455" s="2" t="s">
        <v>141</v>
      </c>
      <c r="Y1455" s="2">
        <v>1700</v>
      </c>
      <c r="Z1455" s="11" t="s">
        <v>54</v>
      </c>
      <c r="AA1455" s="11" t="str">
        <f t="shared" si="93"/>
        <v>1700 - TBN</v>
      </c>
      <c r="AC1455" s="2" t="s">
        <v>145</v>
      </c>
      <c r="AD1455" s="11" t="str">
        <f>IF($I1455&lt;&gt;"",VLOOKUP($AC1455,GEADRESSEERDE!$A$2:$E$4,2,),"")</f>
        <v>LUITHAGEN HAVEN 2 D</v>
      </c>
      <c r="AE1455" s="11">
        <f>IF($I1455&lt;&gt;"",VLOOKUP($AC1455,GEADRESSEERDE!$A$2:$E$4,3,),"")</f>
        <v>2030</v>
      </c>
      <c r="AF1455" s="11" t="str">
        <f>IF($I1455&lt;&gt;"",VLOOKUP($AC1455,GEADRESSEERDE!$A$2:$E$4,4,),"")</f>
        <v>ANTWERPEN</v>
      </c>
      <c r="AG1455" s="11" t="str">
        <f>IF($I1455&lt;&gt;"",VLOOKUP($AC1455,GEADRESSEERDE!$A$2:$E$4,5,),"")</f>
        <v>BE</v>
      </c>
      <c r="AH1455" s="11" t="str">
        <f>IF(I1455&lt;&gt;"",VLOOKUP(AP1455,KvB!$A$2:$B$3,2,FALSE),"")</f>
        <v>BE101000</v>
      </c>
      <c r="AI1455" s="11" t="s">
        <v>55</v>
      </c>
      <c r="AJ1455" s="11"/>
      <c r="AK1455" s="11"/>
      <c r="AL1455" s="11"/>
      <c r="AM1455" s="11"/>
      <c r="AN1455" s="11"/>
      <c r="AO1455" s="11"/>
      <c r="AP1455" s="2" t="s">
        <v>70</v>
      </c>
      <c r="AQ1455" s="11" t="str">
        <f>IF(I1455&lt;&gt;"",DATA!D1454,"")</f>
        <v>7419200090</v>
      </c>
    </row>
    <row r="1456" spans="1:43" ht="15.75" x14ac:dyDescent="0.25">
      <c r="A1456" s="11" t="s">
        <v>57</v>
      </c>
      <c r="B1456" s="11" t="s">
        <v>56</v>
      </c>
      <c r="C1456" s="22">
        <f t="shared" si="94"/>
        <v>25001620</v>
      </c>
      <c r="D1456" s="11" t="str">
        <f t="shared" si="91"/>
        <v>SKIIFM_AT</v>
      </c>
      <c r="E1456" s="11" t="str">
        <f>IF(I1456&lt;&gt;"",VLOOKUP(F1456,OPDRACHTGEVER!$A$2:$B$4,2,FALSE),"")</f>
        <v>SKIIFM_AT</v>
      </c>
      <c r="F1456" s="11" t="s">
        <v>58</v>
      </c>
      <c r="I1456" s="11" t="str">
        <f>IF(DATA!B1455&lt;&gt;"",DATA!B1455,"")</f>
        <v>MSDU5224106</v>
      </c>
      <c r="J1456" s="12">
        <v>0</v>
      </c>
      <c r="K1456" s="11" t="s">
        <v>53</v>
      </c>
      <c r="L1456" s="11" t="str">
        <f t="shared" si="92"/>
        <v>961000</v>
      </c>
      <c r="M1456" s="11" t="str">
        <f>IF(I1456&lt;&gt;"",DATA!E1455,"")</f>
        <v>WORDPAD</v>
      </c>
      <c r="N1456" s="12">
        <v>0</v>
      </c>
      <c r="O1456" s="11">
        <f>IF(I1456&lt;&gt;"",DATA!C1455,"")</f>
        <v>1.7</v>
      </c>
      <c r="P1456" s="2">
        <v>294094</v>
      </c>
      <c r="Q1456" s="2" t="s">
        <v>1304</v>
      </c>
      <c r="R1456" s="2" t="s">
        <v>1332</v>
      </c>
      <c r="S1456" s="2">
        <v>6</v>
      </c>
      <c r="T1456" s="2">
        <v>1</v>
      </c>
      <c r="U1456" s="2" t="s">
        <v>141</v>
      </c>
      <c r="Y1456" s="2">
        <v>1700</v>
      </c>
      <c r="Z1456" s="11" t="s">
        <v>54</v>
      </c>
      <c r="AA1456" s="11" t="str">
        <f t="shared" si="93"/>
        <v>1700 - TBN</v>
      </c>
      <c r="AC1456" s="2" t="s">
        <v>145</v>
      </c>
      <c r="AD1456" s="11" t="str">
        <f>IF($I1456&lt;&gt;"",VLOOKUP($AC1456,GEADRESSEERDE!$A$2:$E$4,2,),"")</f>
        <v>LUITHAGEN HAVEN 2 D</v>
      </c>
      <c r="AE1456" s="11">
        <f>IF($I1456&lt;&gt;"",VLOOKUP($AC1456,GEADRESSEERDE!$A$2:$E$4,3,),"")</f>
        <v>2030</v>
      </c>
      <c r="AF1456" s="11" t="str">
        <f>IF($I1456&lt;&gt;"",VLOOKUP($AC1456,GEADRESSEERDE!$A$2:$E$4,4,),"")</f>
        <v>ANTWERPEN</v>
      </c>
      <c r="AG1456" s="11" t="str">
        <f>IF($I1456&lt;&gt;"",VLOOKUP($AC1456,GEADRESSEERDE!$A$2:$E$4,5,),"")</f>
        <v>BE</v>
      </c>
      <c r="AH1456" s="11" t="str">
        <f>IF(I1456&lt;&gt;"",VLOOKUP(AP1456,KvB!$A$2:$B$3,2,FALSE),"")</f>
        <v>BE101000</v>
      </c>
      <c r="AI1456" s="11" t="s">
        <v>55</v>
      </c>
      <c r="AJ1456" s="11"/>
      <c r="AK1456" s="11"/>
      <c r="AL1456" s="11"/>
      <c r="AM1456" s="11"/>
      <c r="AN1456" s="11"/>
      <c r="AO1456" s="11"/>
      <c r="AP1456" s="2" t="s">
        <v>70</v>
      </c>
      <c r="AQ1456" s="11" t="str">
        <f>IF(I1456&lt;&gt;"",DATA!D1455,"")</f>
        <v>9610000000</v>
      </c>
    </row>
    <row r="1457" spans="1:43" ht="15.75" x14ac:dyDescent="0.25">
      <c r="A1457" s="11" t="s">
        <v>57</v>
      </c>
      <c r="B1457" s="11" t="s">
        <v>56</v>
      </c>
      <c r="C1457" s="22">
        <f t="shared" si="94"/>
        <v>25001620</v>
      </c>
      <c r="D1457" s="11" t="str">
        <f t="shared" si="91"/>
        <v>SKIIFM_AT</v>
      </c>
      <c r="E1457" s="11" t="str">
        <f>IF(I1457&lt;&gt;"",VLOOKUP(F1457,OPDRACHTGEVER!$A$2:$B$4,2,FALSE),"")</f>
        <v>SKIIFM_AT</v>
      </c>
      <c r="F1457" s="11" t="s">
        <v>58</v>
      </c>
      <c r="I1457" s="11" t="str">
        <f>IF(DATA!B1456&lt;&gt;"",DATA!B1456,"")</f>
        <v>MSDU5410409</v>
      </c>
      <c r="J1457" s="12">
        <v>801</v>
      </c>
      <c r="K1457" s="11" t="s">
        <v>53</v>
      </c>
      <c r="L1457" s="11" t="str">
        <f t="shared" si="92"/>
        <v>830220</v>
      </c>
      <c r="M1457" s="11" t="str">
        <f>IF(I1457&lt;&gt;"",DATA!E1456,"")</f>
        <v>CASTERS</v>
      </c>
      <c r="N1457" s="12">
        <v>7496</v>
      </c>
      <c r="O1457" s="11">
        <f>IF(I1457&lt;&gt;"",DATA!C1456,"")</f>
        <v>8.5500000000000007</v>
      </c>
      <c r="P1457" s="2">
        <v>294094</v>
      </c>
      <c r="Q1457" s="2" t="s">
        <v>1304</v>
      </c>
      <c r="R1457" s="2" t="s">
        <v>1333</v>
      </c>
      <c r="S1457" s="2">
        <v>569</v>
      </c>
      <c r="T1457" s="2">
        <v>1</v>
      </c>
      <c r="U1457" s="2" t="s">
        <v>141</v>
      </c>
      <c r="Y1457" s="2">
        <v>1700</v>
      </c>
      <c r="Z1457" s="11" t="s">
        <v>54</v>
      </c>
      <c r="AA1457" s="11" t="str">
        <f t="shared" si="93"/>
        <v>1700 - TBN</v>
      </c>
      <c r="AC1457" s="2" t="s">
        <v>145</v>
      </c>
      <c r="AD1457" s="11" t="str">
        <f>IF($I1457&lt;&gt;"",VLOOKUP($AC1457,GEADRESSEERDE!$A$2:$E$4,2,),"")</f>
        <v>LUITHAGEN HAVEN 2 D</v>
      </c>
      <c r="AE1457" s="11">
        <f>IF($I1457&lt;&gt;"",VLOOKUP($AC1457,GEADRESSEERDE!$A$2:$E$4,3,),"")</f>
        <v>2030</v>
      </c>
      <c r="AF1457" s="11" t="str">
        <f>IF($I1457&lt;&gt;"",VLOOKUP($AC1457,GEADRESSEERDE!$A$2:$E$4,4,),"")</f>
        <v>ANTWERPEN</v>
      </c>
      <c r="AG1457" s="11" t="str">
        <f>IF($I1457&lt;&gt;"",VLOOKUP($AC1457,GEADRESSEERDE!$A$2:$E$4,5,),"")</f>
        <v>BE</v>
      </c>
      <c r="AH1457" s="11" t="str">
        <f>IF(I1457&lt;&gt;"",VLOOKUP(AP1457,KvB!$A$2:$B$3,2,FALSE),"")</f>
        <v>BE101000</v>
      </c>
      <c r="AI1457" s="11" t="s">
        <v>55</v>
      </c>
      <c r="AJ1457" s="11"/>
      <c r="AK1457" s="11"/>
      <c r="AL1457" s="11"/>
      <c r="AM1457" s="11"/>
      <c r="AN1457" s="11"/>
      <c r="AO1457" s="11"/>
      <c r="AP1457" s="2" t="s">
        <v>70</v>
      </c>
      <c r="AQ1457" s="11" t="str">
        <f>IF(I1457&lt;&gt;"",DATA!D1456,"")</f>
        <v>8302200090</v>
      </c>
    </row>
    <row r="1458" spans="1:43" ht="15.75" x14ac:dyDescent="0.25">
      <c r="A1458" s="11" t="s">
        <v>57</v>
      </c>
      <c r="B1458" s="11" t="s">
        <v>56</v>
      </c>
      <c r="C1458" s="22">
        <f t="shared" si="94"/>
        <v>25001620</v>
      </c>
      <c r="D1458" s="11" t="str">
        <f t="shared" si="91"/>
        <v>SKIIFM_AT</v>
      </c>
      <c r="E1458" s="11" t="str">
        <f>IF(I1458&lt;&gt;"",VLOOKUP(F1458,OPDRACHTGEVER!$A$2:$B$4,2,FALSE),"")</f>
        <v>SKIIFM_AT</v>
      </c>
      <c r="F1458" s="11" t="s">
        <v>58</v>
      </c>
      <c r="I1458" s="11" t="str">
        <f>IF(DATA!B1457&lt;&gt;"",DATA!B1457,"")</f>
        <v>MSDU5410409</v>
      </c>
      <c r="J1458" s="12">
        <v>0</v>
      </c>
      <c r="K1458" s="11" t="s">
        <v>53</v>
      </c>
      <c r="L1458" s="11" t="str">
        <f t="shared" si="92"/>
        <v>843880</v>
      </c>
      <c r="M1458" s="11" t="str">
        <f>IF(I1458&lt;&gt;"",DATA!E1457,"")</f>
        <v>COTTON CANDY MACHINE</v>
      </c>
      <c r="N1458" s="12">
        <v>0</v>
      </c>
      <c r="O1458" s="11">
        <f>IF(I1458&lt;&gt;"",DATA!C1457,"")</f>
        <v>39.5</v>
      </c>
      <c r="P1458" s="2">
        <v>294094</v>
      </c>
      <c r="Q1458" s="2" t="s">
        <v>1304</v>
      </c>
      <c r="R1458" s="2" t="s">
        <v>1333</v>
      </c>
      <c r="S1458" s="2">
        <v>569</v>
      </c>
      <c r="T1458" s="2">
        <v>1</v>
      </c>
      <c r="U1458" s="2" t="s">
        <v>141</v>
      </c>
      <c r="Y1458" s="2">
        <v>1700</v>
      </c>
      <c r="Z1458" s="11" t="s">
        <v>54</v>
      </c>
      <c r="AA1458" s="11" t="str">
        <f t="shared" si="93"/>
        <v>1700 - TBN</v>
      </c>
      <c r="AC1458" s="2" t="s">
        <v>145</v>
      </c>
      <c r="AD1458" s="11" t="str">
        <f>IF($I1458&lt;&gt;"",VLOOKUP($AC1458,GEADRESSEERDE!$A$2:$E$4,2,),"")</f>
        <v>LUITHAGEN HAVEN 2 D</v>
      </c>
      <c r="AE1458" s="11">
        <f>IF($I1458&lt;&gt;"",VLOOKUP($AC1458,GEADRESSEERDE!$A$2:$E$4,3,),"")</f>
        <v>2030</v>
      </c>
      <c r="AF1458" s="11" t="str">
        <f>IF($I1458&lt;&gt;"",VLOOKUP($AC1458,GEADRESSEERDE!$A$2:$E$4,4,),"")</f>
        <v>ANTWERPEN</v>
      </c>
      <c r="AG1458" s="11" t="str">
        <f>IF($I1458&lt;&gt;"",VLOOKUP($AC1458,GEADRESSEERDE!$A$2:$E$4,5,),"")</f>
        <v>BE</v>
      </c>
      <c r="AH1458" s="11" t="str">
        <f>IF(I1458&lt;&gt;"",VLOOKUP(AP1458,KvB!$A$2:$B$3,2,FALSE),"")</f>
        <v>BE101000</v>
      </c>
      <c r="AI1458" s="11" t="s">
        <v>55</v>
      </c>
      <c r="AJ1458" s="11"/>
      <c r="AK1458" s="11"/>
      <c r="AL1458" s="11"/>
      <c r="AM1458" s="11"/>
      <c r="AN1458" s="11"/>
      <c r="AO1458" s="11"/>
      <c r="AP1458" s="2" t="s">
        <v>70</v>
      </c>
      <c r="AQ1458" s="11" t="str">
        <f>IF(I1458&lt;&gt;"",DATA!D1457,"")</f>
        <v>8438809900</v>
      </c>
    </row>
    <row r="1459" spans="1:43" ht="15.75" x14ac:dyDescent="0.25">
      <c r="A1459" s="11" t="s">
        <v>57</v>
      </c>
      <c r="B1459" s="11" t="s">
        <v>56</v>
      </c>
      <c r="C1459" s="22">
        <f t="shared" si="94"/>
        <v>25001620</v>
      </c>
      <c r="D1459" s="11" t="str">
        <f t="shared" si="91"/>
        <v>SKIIFM_AT</v>
      </c>
      <c r="E1459" s="11" t="str">
        <f>IF(I1459&lt;&gt;"",VLOOKUP(F1459,OPDRACHTGEVER!$A$2:$B$4,2,FALSE),"")</f>
        <v>SKIIFM_AT</v>
      </c>
      <c r="F1459" s="11" t="s">
        <v>58</v>
      </c>
      <c r="I1459" s="11" t="str">
        <f>IF(DATA!B1458&lt;&gt;"",DATA!B1458,"")</f>
        <v>MSDU5410409</v>
      </c>
      <c r="J1459" s="12">
        <v>0</v>
      </c>
      <c r="K1459" s="11" t="s">
        <v>53</v>
      </c>
      <c r="L1459" s="11" t="str">
        <f t="shared" si="92"/>
        <v>820559</v>
      </c>
      <c r="M1459" s="11" t="str">
        <f>IF(I1459&lt;&gt;"",DATA!E1458,"")</f>
        <v>DENT REPAIR KIT</v>
      </c>
      <c r="N1459" s="12">
        <v>0</v>
      </c>
      <c r="O1459" s="11">
        <f>IF(I1459&lt;&gt;"",DATA!C1458,"")</f>
        <v>321.8</v>
      </c>
      <c r="P1459" s="2">
        <v>294094</v>
      </c>
      <c r="Q1459" s="2" t="s">
        <v>1304</v>
      </c>
      <c r="R1459" s="2" t="s">
        <v>1333</v>
      </c>
      <c r="S1459" s="2">
        <v>569</v>
      </c>
      <c r="T1459" s="2">
        <v>1</v>
      </c>
      <c r="U1459" s="2" t="s">
        <v>141</v>
      </c>
      <c r="Y1459" s="2">
        <v>1700</v>
      </c>
      <c r="Z1459" s="11" t="s">
        <v>54</v>
      </c>
      <c r="AA1459" s="11" t="str">
        <f t="shared" si="93"/>
        <v>1700 - TBN</v>
      </c>
      <c r="AC1459" s="2" t="s">
        <v>145</v>
      </c>
      <c r="AD1459" s="11" t="str">
        <f>IF($I1459&lt;&gt;"",VLOOKUP($AC1459,GEADRESSEERDE!$A$2:$E$4,2,),"")</f>
        <v>LUITHAGEN HAVEN 2 D</v>
      </c>
      <c r="AE1459" s="11">
        <f>IF($I1459&lt;&gt;"",VLOOKUP($AC1459,GEADRESSEERDE!$A$2:$E$4,3,),"")</f>
        <v>2030</v>
      </c>
      <c r="AF1459" s="11" t="str">
        <f>IF($I1459&lt;&gt;"",VLOOKUP($AC1459,GEADRESSEERDE!$A$2:$E$4,4,),"")</f>
        <v>ANTWERPEN</v>
      </c>
      <c r="AG1459" s="11" t="str">
        <f>IF($I1459&lt;&gt;"",VLOOKUP($AC1459,GEADRESSEERDE!$A$2:$E$4,5,),"")</f>
        <v>BE</v>
      </c>
      <c r="AH1459" s="11" t="str">
        <f>IF(I1459&lt;&gt;"",VLOOKUP(AP1459,KvB!$A$2:$B$3,2,FALSE),"")</f>
        <v>BE101000</v>
      </c>
      <c r="AI1459" s="11" t="s">
        <v>55</v>
      </c>
      <c r="AJ1459" s="11"/>
      <c r="AK1459" s="11"/>
      <c r="AL1459" s="11"/>
      <c r="AM1459" s="11"/>
      <c r="AN1459" s="11"/>
      <c r="AO1459" s="11"/>
      <c r="AP1459" s="2" t="s">
        <v>70</v>
      </c>
      <c r="AQ1459" s="11" t="str">
        <f>IF(I1459&lt;&gt;"",DATA!D1458,"")</f>
        <v>8205598000</v>
      </c>
    </row>
    <row r="1460" spans="1:43" ht="15.75" x14ac:dyDescent="0.25">
      <c r="A1460" s="11" t="s">
        <v>57</v>
      </c>
      <c r="B1460" s="11" t="s">
        <v>56</v>
      </c>
      <c r="C1460" s="22">
        <f t="shared" si="94"/>
        <v>25001620</v>
      </c>
      <c r="D1460" s="11" t="str">
        <f t="shared" ref="D1460:D1523" si="95">E1460</f>
        <v>SKIIFM_AT</v>
      </c>
      <c r="E1460" s="11" t="str">
        <f>IF(I1460&lt;&gt;"",VLOOKUP(F1460,OPDRACHTGEVER!$A$2:$B$4,2,FALSE),"")</f>
        <v>SKIIFM_AT</v>
      </c>
      <c r="F1460" s="11" t="s">
        <v>58</v>
      </c>
      <c r="I1460" s="11" t="str">
        <f>IF(DATA!B1459&lt;&gt;"",DATA!B1459,"")</f>
        <v>MSDU5410409</v>
      </c>
      <c r="J1460" s="12">
        <v>0</v>
      </c>
      <c r="K1460" s="11" t="s">
        <v>53</v>
      </c>
      <c r="L1460" s="11" t="str">
        <f t="shared" ref="L1460:L1523" si="96">LEFT(AQ1460,6)</f>
        <v>830140</v>
      </c>
      <c r="M1460" s="11" t="str">
        <f>IF(I1460&lt;&gt;"",DATA!E1459,"")</f>
        <v>DIGITAL DOOR LOCK</v>
      </c>
      <c r="N1460" s="12">
        <v>0</v>
      </c>
      <c r="O1460" s="11">
        <f>IF(I1460&lt;&gt;"",DATA!C1459,"")</f>
        <v>2.8</v>
      </c>
      <c r="P1460" s="2">
        <v>294094</v>
      </c>
      <c r="Q1460" s="2" t="s">
        <v>1304</v>
      </c>
      <c r="R1460" s="2" t="s">
        <v>1333</v>
      </c>
      <c r="S1460" s="2">
        <v>569</v>
      </c>
      <c r="T1460" s="2">
        <v>1</v>
      </c>
      <c r="U1460" s="2" t="s">
        <v>141</v>
      </c>
      <c r="Y1460" s="2">
        <v>1700</v>
      </c>
      <c r="Z1460" s="11" t="s">
        <v>54</v>
      </c>
      <c r="AA1460" s="11" t="str">
        <f t="shared" ref="AA1460:AA1523" si="97">IF(I1460&lt;&gt;"",Y1460&amp;" - "&amp;Z1460,"")</f>
        <v>1700 - TBN</v>
      </c>
      <c r="AC1460" s="2" t="s">
        <v>145</v>
      </c>
      <c r="AD1460" s="11" t="str">
        <f>IF($I1460&lt;&gt;"",VLOOKUP($AC1460,GEADRESSEERDE!$A$2:$E$4,2,),"")</f>
        <v>LUITHAGEN HAVEN 2 D</v>
      </c>
      <c r="AE1460" s="11">
        <f>IF($I1460&lt;&gt;"",VLOOKUP($AC1460,GEADRESSEERDE!$A$2:$E$4,3,),"")</f>
        <v>2030</v>
      </c>
      <c r="AF1460" s="11" t="str">
        <f>IF($I1460&lt;&gt;"",VLOOKUP($AC1460,GEADRESSEERDE!$A$2:$E$4,4,),"")</f>
        <v>ANTWERPEN</v>
      </c>
      <c r="AG1460" s="11" t="str">
        <f>IF($I1460&lt;&gt;"",VLOOKUP($AC1460,GEADRESSEERDE!$A$2:$E$4,5,),"")</f>
        <v>BE</v>
      </c>
      <c r="AH1460" s="11" t="str">
        <f>IF(I1460&lt;&gt;"",VLOOKUP(AP1460,KvB!$A$2:$B$3,2,FALSE),"")</f>
        <v>BE101000</v>
      </c>
      <c r="AI1460" s="11" t="s">
        <v>55</v>
      </c>
      <c r="AJ1460" s="11"/>
      <c r="AK1460" s="11"/>
      <c r="AL1460" s="11"/>
      <c r="AM1460" s="11"/>
      <c r="AN1460" s="11"/>
      <c r="AO1460" s="11"/>
      <c r="AP1460" s="2" t="s">
        <v>70</v>
      </c>
      <c r="AQ1460" s="11" t="str">
        <f>IF(I1460&lt;&gt;"",DATA!D1459,"")</f>
        <v>8301401900</v>
      </c>
    </row>
    <row r="1461" spans="1:43" ht="15.75" x14ac:dyDescent="0.25">
      <c r="A1461" s="11" t="s">
        <v>57</v>
      </c>
      <c r="B1461" s="11" t="s">
        <v>56</v>
      </c>
      <c r="C1461" s="22">
        <f t="shared" si="94"/>
        <v>25001620</v>
      </c>
      <c r="D1461" s="11" t="str">
        <f t="shared" si="95"/>
        <v>SKIIFM_AT</v>
      </c>
      <c r="E1461" s="11" t="str">
        <f>IF(I1461&lt;&gt;"",VLOOKUP(F1461,OPDRACHTGEVER!$A$2:$B$4,2,FALSE),"")</f>
        <v>SKIIFM_AT</v>
      </c>
      <c r="F1461" s="11" t="s">
        <v>58</v>
      </c>
      <c r="I1461" s="11" t="str">
        <f>IF(DATA!B1460&lt;&gt;"",DATA!B1460,"")</f>
        <v>MSDU5410409</v>
      </c>
      <c r="J1461" s="12">
        <v>0</v>
      </c>
      <c r="K1461" s="11" t="s">
        <v>53</v>
      </c>
      <c r="L1461" s="11" t="str">
        <f t="shared" si="96"/>
        <v>903149</v>
      </c>
      <c r="M1461" s="11" t="str">
        <f>IF(I1461&lt;&gt;"",DATA!E1460,"")</f>
        <v>DIGITAL READOUT FOR LATHE</v>
      </c>
      <c r="N1461" s="12">
        <v>0</v>
      </c>
      <c r="O1461" s="11">
        <f>IF(I1461&lt;&gt;"",DATA!C1460,"")</f>
        <v>215.05</v>
      </c>
      <c r="P1461" s="2">
        <v>294094</v>
      </c>
      <c r="Q1461" s="2" t="s">
        <v>1304</v>
      </c>
      <c r="R1461" s="2" t="s">
        <v>1333</v>
      </c>
      <c r="S1461" s="2">
        <v>569</v>
      </c>
      <c r="T1461" s="2">
        <v>1</v>
      </c>
      <c r="U1461" s="2" t="s">
        <v>141</v>
      </c>
      <c r="Y1461" s="2">
        <v>1700</v>
      </c>
      <c r="Z1461" s="11" t="s">
        <v>54</v>
      </c>
      <c r="AA1461" s="11" t="str">
        <f t="shared" si="97"/>
        <v>1700 - TBN</v>
      </c>
      <c r="AC1461" s="2" t="s">
        <v>145</v>
      </c>
      <c r="AD1461" s="11" t="str">
        <f>IF($I1461&lt;&gt;"",VLOOKUP($AC1461,GEADRESSEERDE!$A$2:$E$4,2,),"")</f>
        <v>LUITHAGEN HAVEN 2 D</v>
      </c>
      <c r="AE1461" s="11">
        <f>IF($I1461&lt;&gt;"",VLOOKUP($AC1461,GEADRESSEERDE!$A$2:$E$4,3,),"")</f>
        <v>2030</v>
      </c>
      <c r="AF1461" s="11" t="str">
        <f>IF($I1461&lt;&gt;"",VLOOKUP($AC1461,GEADRESSEERDE!$A$2:$E$4,4,),"")</f>
        <v>ANTWERPEN</v>
      </c>
      <c r="AG1461" s="11" t="str">
        <f>IF($I1461&lt;&gt;"",VLOOKUP($AC1461,GEADRESSEERDE!$A$2:$E$4,5,),"")</f>
        <v>BE</v>
      </c>
      <c r="AH1461" s="11" t="str">
        <f>IF(I1461&lt;&gt;"",VLOOKUP(AP1461,KvB!$A$2:$B$3,2,FALSE),"")</f>
        <v>BE101000</v>
      </c>
      <c r="AI1461" s="11" t="s">
        <v>55</v>
      </c>
      <c r="AJ1461" s="11"/>
      <c r="AK1461" s="11"/>
      <c r="AL1461" s="11"/>
      <c r="AM1461" s="11"/>
      <c r="AN1461" s="11"/>
      <c r="AO1461" s="11"/>
      <c r="AP1461" s="2" t="s">
        <v>70</v>
      </c>
      <c r="AQ1461" s="11" t="str">
        <f>IF(I1461&lt;&gt;"",DATA!D1460,"")</f>
        <v>9031499000</v>
      </c>
    </row>
    <row r="1462" spans="1:43" ht="15.75" x14ac:dyDescent="0.25">
      <c r="A1462" s="11" t="s">
        <v>57</v>
      </c>
      <c r="B1462" s="11" t="s">
        <v>56</v>
      </c>
      <c r="C1462" s="22">
        <f t="shared" si="94"/>
        <v>25001620</v>
      </c>
      <c r="D1462" s="11" t="str">
        <f t="shared" si="95"/>
        <v>SKIIFM_AT</v>
      </c>
      <c r="E1462" s="11" t="str">
        <f>IF(I1462&lt;&gt;"",VLOOKUP(F1462,OPDRACHTGEVER!$A$2:$B$4,2,FALSE),"")</f>
        <v>SKIIFM_AT</v>
      </c>
      <c r="F1462" s="11" t="s">
        <v>58</v>
      </c>
      <c r="I1462" s="11" t="str">
        <f>IF(DATA!B1461&lt;&gt;"",DATA!B1461,"")</f>
        <v>MSDU5410409</v>
      </c>
      <c r="J1462" s="12">
        <v>0</v>
      </c>
      <c r="K1462" s="11" t="s">
        <v>53</v>
      </c>
      <c r="L1462" s="11" t="str">
        <f t="shared" si="96"/>
        <v>830242</v>
      </c>
      <c r="M1462" s="11" t="str">
        <f>IF(I1462&lt;&gt;"",DATA!E1461,"")</f>
        <v>DRAWER SLIDES</v>
      </c>
      <c r="N1462" s="12">
        <v>0</v>
      </c>
      <c r="O1462" s="11">
        <f>IF(I1462&lt;&gt;"",DATA!C1461,"")</f>
        <v>17.04</v>
      </c>
      <c r="P1462" s="2">
        <v>294094</v>
      </c>
      <c r="Q1462" s="2" t="s">
        <v>1304</v>
      </c>
      <c r="R1462" s="2" t="s">
        <v>1333</v>
      </c>
      <c r="S1462" s="2">
        <v>569</v>
      </c>
      <c r="T1462" s="2">
        <v>1</v>
      </c>
      <c r="U1462" s="2" t="s">
        <v>141</v>
      </c>
      <c r="Y1462" s="2">
        <v>1700</v>
      </c>
      <c r="Z1462" s="11" t="s">
        <v>54</v>
      </c>
      <c r="AA1462" s="11" t="str">
        <f t="shared" si="97"/>
        <v>1700 - TBN</v>
      </c>
      <c r="AC1462" s="2" t="s">
        <v>145</v>
      </c>
      <c r="AD1462" s="11" t="str">
        <f>IF($I1462&lt;&gt;"",VLOOKUP($AC1462,GEADRESSEERDE!$A$2:$E$4,2,),"")</f>
        <v>LUITHAGEN HAVEN 2 D</v>
      </c>
      <c r="AE1462" s="11">
        <f>IF($I1462&lt;&gt;"",VLOOKUP($AC1462,GEADRESSEERDE!$A$2:$E$4,3,),"")</f>
        <v>2030</v>
      </c>
      <c r="AF1462" s="11" t="str">
        <f>IF($I1462&lt;&gt;"",VLOOKUP($AC1462,GEADRESSEERDE!$A$2:$E$4,4,),"")</f>
        <v>ANTWERPEN</v>
      </c>
      <c r="AG1462" s="11" t="str">
        <f>IF($I1462&lt;&gt;"",VLOOKUP($AC1462,GEADRESSEERDE!$A$2:$E$4,5,),"")</f>
        <v>BE</v>
      </c>
      <c r="AH1462" s="11" t="str">
        <f>IF(I1462&lt;&gt;"",VLOOKUP(AP1462,KvB!$A$2:$B$3,2,FALSE),"")</f>
        <v>BE101000</v>
      </c>
      <c r="AI1462" s="11" t="s">
        <v>55</v>
      </c>
      <c r="AJ1462" s="11"/>
      <c r="AK1462" s="11"/>
      <c r="AL1462" s="11"/>
      <c r="AM1462" s="11"/>
      <c r="AN1462" s="11"/>
      <c r="AO1462" s="11"/>
      <c r="AP1462" s="2" t="s">
        <v>70</v>
      </c>
      <c r="AQ1462" s="11" t="str">
        <f>IF(I1462&lt;&gt;"",DATA!D1461,"")</f>
        <v>8302420090</v>
      </c>
    </row>
    <row r="1463" spans="1:43" ht="15.75" x14ac:dyDescent="0.25">
      <c r="A1463" s="11" t="s">
        <v>57</v>
      </c>
      <c r="B1463" s="11" t="s">
        <v>56</v>
      </c>
      <c r="C1463" s="22">
        <f t="shared" si="94"/>
        <v>25001620</v>
      </c>
      <c r="D1463" s="11" t="str">
        <f t="shared" si="95"/>
        <v>SKIIFM_AT</v>
      </c>
      <c r="E1463" s="11" t="str">
        <f>IF(I1463&lt;&gt;"",VLOOKUP(F1463,OPDRACHTGEVER!$A$2:$B$4,2,FALSE),"")</f>
        <v>SKIIFM_AT</v>
      </c>
      <c r="F1463" s="11" t="s">
        <v>58</v>
      </c>
      <c r="I1463" s="11" t="str">
        <f>IF(DATA!B1462&lt;&gt;"",DATA!B1462,"")</f>
        <v>MSDU5410409</v>
      </c>
      <c r="J1463" s="12">
        <v>0</v>
      </c>
      <c r="K1463" s="11" t="s">
        <v>53</v>
      </c>
      <c r="L1463" s="11" t="str">
        <f t="shared" si="96"/>
        <v>871680</v>
      </c>
      <c r="M1463" s="11" t="str">
        <f>IF(I1463&lt;&gt;"",DATA!E1462,"")</f>
        <v>GARDEN CART</v>
      </c>
      <c r="N1463" s="12">
        <v>0</v>
      </c>
      <c r="O1463" s="11">
        <f>IF(I1463&lt;&gt;"",DATA!C1462,"")</f>
        <v>67.73</v>
      </c>
      <c r="P1463" s="2">
        <v>294094</v>
      </c>
      <c r="Q1463" s="2" t="s">
        <v>1304</v>
      </c>
      <c r="R1463" s="2" t="s">
        <v>1333</v>
      </c>
      <c r="S1463" s="2">
        <v>569</v>
      </c>
      <c r="T1463" s="2">
        <v>1</v>
      </c>
      <c r="U1463" s="2" t="s">
        <v>141</v>
      </c>
      <c r="Y1463" s="2">
        <v>1700</v>
      </c>
      <c r="Z1463" s="11" t="s">
        <v>54</v>
      </c>
      <c r="AA1463" s="11" t="str">
        <f t="shared" si="97"/>
        <v>1700 - TBN</v>
      </c>
      <c r="AC1463" s="2" t="s">
        <v>145</v>
      </c>
      <c r="AD1463" s="11" t="str">
        <f>IF($I1463&lt;&gt;"",VLOOKUP($AC1463,GEADRESSEERDE!$A$2:$E$4,2,),"")</f>
        <v>LUITHAGEN HAVEN 2 D</v>
      </c>
      <c r="AE1463" s="11">
        <f>IF($I1463&lt;&gt;"",VLOOKUP($AC1463,GEADRESSEERDE!$A$2:$E$4,3,),"")</f>
        <v>2030</v>
      </c>
      <c r="AF1463" s="11" t="str">
        <f>IF($I1463&lt;&gt;"",VLOOKUP($AC1463,GEADRESSEERDE!$A$2:$E$4,4,),"")</f>
        <v>ANTWERPEN</v>
      </c>
      <c r="AG1463" s="11" t="str">
        <f>IF($I1463&lt;&gt;"",VLOOKUP($AC1463,GEADRESSEERDE!$A$2:$E$4,5,),"")</f>
        <v>BE</v>
      </c>
      <c r="AH1463" s="11" t="str">
        <f>IF(I1463&lt;&gt;"",VLOOKUP(AP1463,KvB!$A$2:$B$3,2,FALSE),"")</f>
        <v>BE101000</v>
      </c>
      <c r="AI1463" s="11" t="s">
        <v>55</v>
      </c>
      <c r="AJ1463" s="11"/>
      <c r="AK1463" s="11"/>
      <c r="AL1463" s="11"/>
      <c r="AM1463" s="11"/>
      <c r="AN1463" s="11"/>
      <c r="AO1463" s="11"/>
      <c r="AP1463" s="2" t="s">
        <v>70</v>
      </c>
      <c r="AQ1463" s="11" t="str">
        <f>IF(I1463&lt;&gt;"",DATA!D1462,"")</f>
        <v>8716800000</v>
      </c>
    </row>
    <row r="1464" spans="1:43" ht="15.75" x14ac:dyDescent="0.25">
      <c r="A1464" s="11" t="s">
        <v>57</v>
      </c>
      <c r="B1464" s="11" t="s">
        <v>56</v>
      </c>
      <c r="C1464" s="22">
        <f t="shared" si="94"/>
        <v>25001620</v>
      </c>
      <c r="D1464" s="11" t="str">
        <f t="shared" si="95"/>
        <v>SKIIFM_AT</v>
      </c>
      <c r="E1464" s="11" t="str">
        <f>IF(I1464&lt;&gt;"",VLOOKUP(F1464,OPDRACHTGEVER!$A$2:$B$4,2,FALSE),"")</f>
        <v>SKIIFM_AT</v>
      </c>
      <c r="F1464" s="11" t="s">
        <v>58</v>
      </c>
      <c r="I1464" s="11" t="str">
        <f>IF(DATA!B1463&lt;&gt;"",DATA!B1463,"")</f>
        <v>MSDU5410409</v>
      </c>
      <c r="J1464" s="12">
        <v>0</v>
      </c>
      <c r="K1464" s="11" t="s">
        <v>53</v>
      </c>
      <c r="L1464" s="11" t="str">
        <f t="shared" si="96"/>
        <v>902580</v>
      </c>
      <c r="M1464" s="11" t="str">
        <f>IF(I1464&lt;&gt;"",DATA!E1463,"")</f>
        <v>HANDHELD THERMOMETER</v>
      </c>
      <c r="N1464" s="12">
        <v>0</v>
      </c>
      <c r="O1464" s="11">
        <f>IF(I1464&lt;&gt;"",DATA!C1463,"")</f>
        <v>0.8</v>
      </c>
      <c r="P1464" s="2">
        <v>294094</v>
      </c>
      <c r="Q1464" s="2" t="s">
        <v>1304</v>
      </c>
      <c r="R1464" s="2" t="s">
        <v>1333</v>
      </c>
      <c r="S1464" s="2">
        <v>569</v>
      </c>
      <c r="T1464" s="2">
        <v>1</v>
      </c>
      <c r="U1464" s="2" t="s">
        <v>141</v>
      </c>
      <c r="Y1464" s="2">
        <v>1700</v>
      </c>
      <c r="Z1464" s="11" t="s">
        <v>54</v>
      </c>
      <c r="AA1464" s="11" t="str">
        <f t="shared" si="97"/>
        <v>1700 - TBN</v>
      </c>
      <c r="AC1464" s="2" t="s">
        <v>145</v>
      </c>
      <c r="AD1464" s="11" t="str">
        <f>IF($I1464&lt;&gt;"",VLOOKUP($AC1464,GEADRESSEERDE!$A$2:$E$4,2,),"")</f>
        <v>LUITHAGEN HAVEN 2 D</v>
      </c>
      <c r="AE1464" s="11">
        <f>IF($I1464&lt;&gt;"",VLOOKUP($AC1464,GEADRESSEERDE!$A$2:$E$4,3,),"")</f>
        <v>2030</v>
      </c>
      <c r="AF1464" s="11" t="str">
        <f>IF($I1464&lt;&gt;"",VLOOKUP($AC1464,GEADRESSEERDE!$A$2:$E$4,4,),"")</f>
        <v>ANTWERPEN</v>
      </c>
      <c r="AG1464" s="11" t="str">
        <f>IF($I1464&lt;&gt;"",VLOOKUP($AC1464,GEADRESSEERDE!$A$2:$E$4,5,),"")</f>
        <v>BE</v>
      </c>
      <c r="AH1464" s="11" t="str">
        <f>IF(I1464&lt;&gt;"",VLOOKUP(AP1464,KvB!$A$2:$B$3,2,FALSE),"")</f>
        <v>BE101000</v>
      </c>
      <c r="AI1464" s="11" t="s">
        <v>55</v>
      </c>
      <c r="AJ1464" s="11"/>
      <c r="AK1464" s="11"/>
      <c r="AL1464" s="11"/>
      <c r="AM1464" s="11"/>
      <c r="AN1464" s="11"/>
      <c r="AO1464" s="11"/>
      <c r="AP1464" s="2" t="s">
        <v>70</v>
      </c>
      <c r="AQ1464" s="11" t="str">
        <f>IF(I1464&lt;&gt;"",DATA!D1463,"")</f>
        <v>9025804089</v>
      </c>
    </row>
    <row r="1465" spans="1:43" ht="15.75" x14ac:dyDescent="0.25">
      <c r="A1465" s="11" t="s">
        <v>57</v>
      </c>
      <c r="B1465" s="11" t="s">
        <v>56</v>
      </c>
      <c r="C1465" s="22">
        <f t="shared" si="94"/>
        <v>25001620</v>
      </c>
      <c r="D1465" s="11" t="str">
        <f t="shared" si="95"/>
        <v>SKIIFM_AT</v>
      </c>
      <c r="E1465" s="11" t="str">
        <f>IF(I1465&lt;&gt;"",VLOOKUP(F1465,OPDRACHTGEVER!$A$2:$B$4,2,FALSE),"")</f>
        <v>SKIIFM_AT</v>
      </c>
      <c r="F1465" s="11" t="s">
        <v>58</v>
      </c>
      <c r="I1465" s="11" t="str">
        <f>IF(DATA!B1464&lt;&gt;"",DATA!B1464,"")</f>
        <v>MSDU5410409</v>
      </c>
      <c r="J1465" s="12">
        <v>0</v>
      </c>
      <c r="K1465" s="11" t="s">
        <v>53</v>
      </c>
      <c r="L1465" s="11" t="str">
        <f t="shared" si="96"/>
        <v>841950</v>
      </c>
      <c r="M1465" s="11" t="str">
        <f>IF(I1465&lt;&gt;"",DATA!E1464,"")</f>
        <v>HEAT EXCHANGER</v>
      </c>
      <c r="N1465" s="12">
        <v>0</v>
      </c>
      <c r="O1465" s="11">
        <f>IF(I1465&lt;&gt;"",DATA!C1464,"")</f>
        <v>5.92</v>
      </c>
      <c r="P1465" s="2">
        <v>294094</v>
      </c>
      <c r="Q1465" s="2" t="s">
        <v>1304</v>
      </c>
      <c r="R1465" s="2" t="s">
        <v>1333</v>
      </c>
      <c r="S1465" s="2">
        <v>569</v>
      </c>
      <c r="T1465" s="2">
        <v>1</v>
      </c>
      <c r="U1465" s="2" t="s">
        <v>141</v>
      </c>
      <c r="Y1465" s="2">
        <v>1700</v>
      </c>
      <c r="Z1465" s="11" t="s">
        <v>54</v>
      </c>
      <c r="AA1465" s="11" t="str">
        <f t="shared" si="97"/>
        <v>1700 - TBN</v>
      </c>
      <c r="AC1465" s="2" t="s">
        <v>145</v>
      </c>
      <c r="AD1465" s="11" t="str">
        <f>IF($I1465&lt;&gt;"",VLOOKUP($AC1465,GEADRESSEERDE!$A$2:$E$4,2,),"")</f>
        <v>LUITHAGEN HAVEN 2 D</v>
      </c>
      <c r="AE1465" s="11">
        <f>IF($I1465&lt;&gt;"",VLOOKUP($AC1465,GEADRESSEERDE!$A$2:$E$4,3,),"")</f>
        <v>2030</v>
      </c>
      <c r="AF1465" s="11" t="str">
        <f>IF($I1465&lt;&gt;"",VLOOKUP($AC1465,GEADRESSEERDE!$A$2:$E$4,4,),"")</f>
        <v>ANTWERPEN</v>
      </c>
      <c r="AG1465" s="11" t="str">
        <f>IF($I1465&lt;&gt;"",VLOOKUP($AC1465,GEADRESSEERDE!$A$2:$E$4,5,),"")</f>
        <v>BE</v>
      </c>
      <c r="AH1465" s="11" t="str">
        <f>IF(I1465&lt;&gt;"",VLOOKUP(AP1465,KvB!$A$2:$B$3,2,FALSE),"")</f>
        <v>BE101000</v>
      </c>
      <c r="AI1465" s="11" t="s">
        <v>55</v>
      </c>
      <c r="AJ1465" s="11"/>
      <c r="AK1465" s="11"/>
      <c r="AL1465" s="11"/>
      <c r="AM1465" s="11"/>
      <c r="AN1465" s="11"/>
      <c r="AO1465" s="11"/>
      <c r="AP1465" s="2" t="s">
        <v>70</v>
      </c>
      <c r="AQ1465" s="11" t="str">
        <f>IF(I1465&lt;&gt;"",DATA!D1464,"")</f>
        <v>8419508090</v>
      </c>
    </row>
    <row r="1466" spans="1:43" ht="15.75" x14ac:dyDescent="0.25">
      <c r="A1466" s="11" t="s">
        <v>57</v>
      </c>
      <c r="B1466" s="11" t="s">
        <v>56</v>
      </c>
      <c r="C1466" s="22">
        <f t="shared" si="94"/>
        <v>25001620</v>
      </c>
      <c r="D1466" s="11" t="str">
        <f t="shared" si="95"/>
        <v>SKIIFM_AT</v>
      </c>
      <c r="E1466" s="11" t="str">
        <f>IF(I1466&lt;&gt;"",VLOOKUP(F1466,OPDRACHTGEVER!$A$2:$B$4,2,FALSE),"")</f>
        <v>SKIIFM_AT</v>
      </c>
      <c r="F1466" s="11" t="s">
        <v>58</v>
      </c>
      <c r="I1466" s="11" t="str">
        <f>IF(DATA!B1465&lt;&gt;"",DATA!B1465,"")</f>
        <v>MSDU5410409</v>
      </c>
      <c r="J1466" s="12">
        <v>0</v>
      </c>
      <c r="K1466" s="11" t="s">
        <v>53</v>
      </c>
      <c r="L1466" s="11" t="str">
        <f t="shared" si="96"/>
        <v>902750</v>
      </c>
      <c r="M1466" s="11" t="str">
        <f>IF(I1466&lt;&gt;"",DATA!E1465,"")</f>
        <v>INFRARED THERMAL IMAGER</v>
      </c>
      <c r="N1466" s="12">
        <v>0</v>
      </c>
      <c r="O1466" s="11">
        <f>IF(I1466&lt;&gt;"",DATA!C1465,"")</f>
        <v>0.25</v>
      </c>
      <c r="P1466" s="2">
        <v>294094</v>
      </c>
      <c r="Q1466" s="2" t="s">
        <v>1304</v>
      </c>
      <c r="R1466" s="2" t="s">
        <v>1333</v>
      </c>
      <c r="S1466" s="2">
        <v>569</v>
      </c>
      <c r="T1466" s="2">
        <v>1</v>
      </c>
      <c r="U1466" s="2" t="s">
        <v>141</v>
      </c>
      <c r="Y1466" s="2">
        <v>1700</v>
      </c>
      <c r="Z1466" s="11" t="s">
        <v>54</v>
      </c>
      <c r="AA1466" s="11" t="str">
        <f t="shared" si="97"/>
        <v>1700 - TBN</v>
      </c>
      <c r="AC1466" s="2" t="s">
        <v>145</v>
      </c>
      <c r="AD1466" s="11" t="str">
        <f>IF($I1466&lt;&gt;"",VLOOKUP($AC1466,GEADRESSEERDE!$A$2:$E$4,2,),"")</f>
        <v>LUITHAGEN HAVEN 2 D</v>
      </c>
      <c r="AE1466" s="11">
        <f>IF($I1466&lt;&gt;"",VLOOKUP($AC1466,GEADRESSEERDE!$A$2:$E$4,3,),"")</f>
        <v>2030</v>
      </c>
      <c r="AF1466" s="11" t="str">
        <f>IF($I1466&lt;&gt;"",VLOOKUP($AC1466,GEADRESSEERDE!$A$2:$E$4,4,),"")</f>
        <v>ANTWERPEN</v>
      </c>
      <c r="AG1466" s="11" t="str">
        <f>IF($I1466&lt;&gt;"",VLOOKUP($AC1466,GEADRESSEERDE!$A$2:$E$4,5,),"")</f>
        <v>BE</v>
      </c>
      <c r="AH1466" s="11" t="str">
        <f>IF(I1466&lt;&gt;"",VLOOKUP(AP1466,KvB!$A$2:$B$3,2,FALSE),"")</f>
        <v>BE101000</v>
      </c>
      <c r="AI1466" s="11" t="s">
        <v>55</v>
      </c>
      <c r="AJ1466" s="11"/>
      <c r="AK1466" s="11"/>
      <c r="AL1466" s="11"/>
      <c r="AM1466" s="11"/>
      <c r="AN1466" s="11"/>
      <c r="AO1466" s="11"/>
      <c r="AP1466" s="2" t="s">
        <v>70</v>
      </c>
      <c r="AQ1466" s="11" t="str">
        <f>IF(I1466&lt;&gt;"",DATA!D1465,"")</f>
        <v>9027500000</v>
      </c>
    </row>
    <row r="1467" spans="1:43" ht="15.75" x14ac:dyDescent="0.25">
      <c r="A1467" s="11" t="s">
        <v>57</v>
      </c>
      <c r="B1467" s="11" t="s">
        <v>56</v>
      </c>
      <c r="C1467" s="22">
        <f t="shared" si="94"/>
        <v>25001620</v>
      </c>
      <c r="D1467" s="11" t="str">
        <f t="shared" si="95"/>
        <v>SKIIFM_AT</v>
      </c>
      <c r="E1467" s="11" t="str">
        <f>IF(I1467&lt;&gt;"",VLOOKUP(F1467,OPDRACHTGEVER!$A$2:$B$4,2,FALSE),"")</f>
        <v>SKIIFM_AT</v>
      </c>
      <c r="F1467" s="11" t="s">
        <v>58</v>
      </c>
      <c r="I1467" s="11" t="str">
        <f>IF(DATA!B1466&lt;&gt;"",DATA!B1466,"")</f>
        <v>MSDU5410409</v>
      </c>
      <c r="J1467" s="12">
        <v>0</v>
      </c>
      <c r="K1467" s="11" t="s">
        <v>53</v>
      </c>
      <c r="L1467" s="11" t="str">
        <f t="shared" si="96"/>
        <v>401691</v>
      </c>
      <c r="M1467" s="11" t="str">
        <f>IF(I1467&lt;&gt;"",DATA!E1466,"")</f>
        <v>INSULATING COTTON</v>
      </c>
      <c r="N1467" s="12">
        <v>0</v>
      </c>
      <c r="O1467" s="11">
        <f>IF(I1467&lt;&gt;"",DATA!C1466,"")</f>
        <v>3.2</v>
      </c>
      <c r="P1467" s="2">
        <v>294094</v>
      </c>
      <c r="Q1467" s="2" t="s">
        <v>1304</v>
      </c>
      <c r="R1467" s="2" t="s">
        <v>1333</v>
      </c>
      <c r="S1467" s="2">
        <v>569</v>
      </c>
      <c r="T1467" s="2">
        <v>1</v>
      </c>
      <c r="U1467" s="2" t="s">
        <v>141</v>
      </c>
      <c r="Y1467" s="2">
        <v>1700</v>
      </c>
      <c r="Z1467" s="11" t="s">
        <v>54</v>
      </c>
      <c r="AA1467" s="11" t="str">
        <f t="shared" si="97"/>
        <v>1700 - TBN</v>
      </c>
      <c r="AC1467" s="2" t="s">
        <v>145</v>
      </c>
      <c r="AD1467" s="11" t="str">
        <f>IF($I1467&lt;&gt;"",VLOOKUP($AC1467,GEADRESSEERDE!$A$2:$E$4,2,),"")</f>
        <v>LUITHAGEN HAVEN 2 D</v>
      </c>
      <c r="AE1467" s="11">
        <f>IF($I1467&lt;&gt;"",VLOOKUP($AC1467,GEADRESSEERDE!$A$2:$E$4,3,),"")</f>
        <v>2030</v>
      </c>
      <c r="AF1467" s="11" t="str">
        <f>IF($I1467&lt;&gt;"",VLOOKUP($AC1467,GEADRESSEERDE!$A$2:$E$4,4,),"")</f>
        <v>ANTWERPEN</v>
      </c>
      <c r="AG1467" s="11" t="str">
        <f>IF($I1467&lt;&gt;"",VLOOKUP($AC1467,GEADRESSEERDE!$A$2:$E$4,5,),"")</f>
        <v>BE</v>
      </c>
      <c r="AH1467" s="11" t="str">
        <f>IF(I1467&lt;&gt;"",VLOOKUP(AP1467,KvB!$A$2:$B$3,2,FALSE),"")</f>
        <v>BE101000</v>
      </c>
      <c r="AI1467" s="11" t="s">
        <v>55</v>
      </c>
      <c r="AJ1467" s="11"/>
      <c r="AK1467" s="11"/>
      <c r="AL1467" s="11"/>
      <c r="AM1467" s="11"/>
      <c r="AN1467" s="11"/>
      <c r="AO1467" s="11"/>
      <c r="AP1467" s="2" t="s">
        <v>70</v>
      </c>
      <c r="AQ1467" s="11" t="str">
        <f>IF(I1467&lt;&gt;"",DATA!D1466,"")</f>
        <v>4016910000</v>
      </c>
    </row>
    <row r="1468" spans="1:43" ht="15.75" x14ac:dyDescent="0.25">
      <c r="A1468" s="11" t="s">
        <v>57</v>
      </c>
      <c r="B1468" s="11" t="s">
        <v>56</v>
      </c>
      <c r="C1468" s="22">
        <f t="shared" si="94"/>
        <v>25001620</v>
      </c>
      <c r="D1468" s="11" t="str">
        <f t="shared" si="95"/>
        <v>SKIIFM_AT</v>
      </c>
      <c r="E1468" s="11" t="str">
        <f>IF(I1468&lt;&gt;"",VLOOKUP(F1468,OPDRACHTGEVER!$A$2:$B$4,2,FALSE),"")</f>
        <v>SKIIFM_AT</v>
      </c>
      <c r="F1468" s="11" t="s">
        <v>58</v>
      </c>
      <c r="I1468" s="11" t="str">
        <f>IF(DATA!B1467&lt;&gt;"",DATA!B1467,"")</f>
        <v>MSDU5410409</v>
      </c>
      <c r="J1468" s="12">
        <v>0</v>
      </c>
      <c r="K1468" s="11" t="s">
        <v>53</v>
      </c>
      <c r="L1468" s="11" t="str">
        <f t="shared" si="96"/>
        <v>902300</v>
      </c>
      <c r="M1468" s="11" t="str">
        <f>IF(I1468&lt;&gt;"",DATA!E1467,"")</f>
        <v>INTUBATION MANIKIN STUDY TEACHING MODEL</v>
      </c>
      <c r="N1468" s="12">
        <v>0</v>
      </c>
      <c r="O1468" s="11">
        <f>IF(I1468&lt;&gt;"",DATA!C1467,"")</f>
        <v>0.95</v>
      </c>
      <c r="P1468" s="2">
        <v>294094</v>
      </c>
      <c r="Q1468" s="2" t="s">
        <v>1304</v>
      </c>
      <c r="R1468" s="2" t="s">
        <v>1333</v>
      </c>
      <c r="S1468" s="2">
        <v>569</v>
      </c>
      <c r="T1468" s="2">
        <v>1</v>
      </c>
      <c r="U1468" s="2" t="s">
        <v>141</v>
      </c>
      <c r="Y1468" s="2">
        <v>1700</v>
      </c>
      <c r="Z1468" s="11" t="s">
        <v>54</v>
      </c>
      <c r="AA1468" s="11" t="str">
        <f t="shared" si="97"/>
        <v>1700 - TBN</v>
      </c>
      <c r="AC1468" s="2" t="s">
        <v>145</v>
      </c>
      <c r="AD1468" s="11" t="str">
        <f>IF($I1468&lt;&gt;"",VLOOKUP($AC1468,GEADRESSEERDE!$A$2:$E$4,2,),"")</f>
        <v>LUITHAGEN HAVEN 2 D</v>
      </c>
      <c r="AE1468" s="11">
        <f>IF($I1468&lt;&gt;"",VLOOKUP($AC1468,GEADRESSEERDE!$A$2:$E$4,3,),"")</f>
        <v>2030</v>
      </c>
      <c r="AF1468" s="11" t="str">
        <f>IF($I1468&lt;&gt;"",VLOOKUP($AC1468,GEADRESSEERDE!$A$2:$E$4,4,),"")</f>
        <v>ANTWERPEN</v>
      </c>
      <c r="AG1468" s="11" t="str">
        <f>IF($I1468&lt;&gt;"",VLOOKUP($AC1468,GEADRESSEERDE!$A$2:$E$4,5,),"")</f>
        <v>BE</v>
      </c>
      <c r="AH1468" s="11" t="str">
        <f>IF(I1468&lt;&gt;"",VLOOKUP(AP1468,KvB!$A$2:$B$3,2,FALSE),"")</f>
        <v>BE101000</v>
      </c>
      <c r="AI1468" s="11" t="s">
        <v>55</v>
      </c>
      <c r="AJ1468" s="11"/>
      <c r="AK1468" s="11"/>
      <c r="AL1468" s="11"/>
      <c r="AM1468" s="11"/>
      <c r="AN1468" s="11"/>
      <c r="AO1468" s="11"/>
      <c r="AP1468" s="2" t="s">
        <v>70</v>
      </c>
      <c r="AQ1468" s="11" t="str">
        <f>IF(I1468&lt;&gt;"",DATA!D1467,"")</f>
        <v>9023008000</v>
      </c>
    </row>
    <row r="1469" spans="1:43" ht="15.75" x14ac:dyDescent="0.25">
      <c r="A1469" s="11" t="s">
        <v>57</v>
      </c>
      <c r="B1469" s="11" t="s">
        <v>56</v>
      </c>
      <c r="C1469" s="22">
        <f t="shared" si="94"/>
        <v>25001620</v>
      </c>
      <c r="D1469" s="11" t="str">
        <f t="shared" si="95"/>
        <v>SKIIFM_AT</v>
      </c>
      <c r="E1469" s="11" t="str">
        <f>IF(I1469&lt;&gt;"",VLOOKUP(F1469,OPDRACHTGEVER!$A$2:$B$4,2,FALSE),"")</f>
        <v>SKIIFM_AT</v>
      </c>
      <c r="F1469" s="11" t="s">
        <v>58</v>
      </c>
      <c r="I1469" s="11" t="str">
        <f>IF(DATA!B1468&lt;&gt;"",DATA!B1468,"")</f>
        <v>MSDU5410409</v>
      </c>
      <c r="J1469" s="12">
        <v>0</v>
      </c>
      <c r="K1469" s="11" t="s">
        <v>53</v>
      </c>
      <c r="L1469" s="11" t="str">
        <f t="shared" si="96"/>
        <v>761699</v>
      </c>
      <c r="M1469" s="11" t="str">
        <f>IF(I1469&lt;&gt;"",DATA!E1468,"")</f>
        <v>LINEAR RAIL</v>
      </c>
      <c r="N1469" s="12">
        <v>0</v>
      </c>
      <c r="O1469" s="11">
        <f>IF(I1469&lt;&gt;"",DATA!C1468,"")</f>
        <v>2.8</v>
      </c>
      <c r="P1469" s="2">
        <v>294094</v>
      </c>
      <c r="Q1469" s="2" t="s">
        <v>1304</v>
      </c>
      <c r="R1469" s="2" t="s">
        <v>1333</v>
      </c>
      <c r="S1469" s="2">
        <v>569</v>
      </c>
      <c r="T1469" s="2">
        <v>1</v>
      </c>
      <c r="U1469" s="2" t="s">
        <v>141</v>
      </c>
      <c r="Y1469" s="2">
        <v>1700</v>
      </c>
      <c r="Z1469" s="11" t="s">
        <v>54</v>
      </c>
      <c r="AA1469" s="11" t="str">
        <f t="shared" si="97"/>
        <v>1700 - TBN</v>
      </c>
      <c r="AC1469" s="2" t="s">
        <v>145</v>
      </c>
      <c r="AD1469" s="11" t="str">
        <f>IF($I1469&lt;&gt;"",VLOOKUP($AC1469,GEADRESSEERDE!$A$2:$E$4,2,),"")</f>
        <v>LUITHAGEN HAVEN 2 D</v>
      </c>
      <c r="AE1469" s="11">
        <f>IF($I1469&lt;&gt;"",VLOOKUP($AC1469,GEADRESSEERDE!$A$2:$E$4,3,),"")</f>
        <v>2030</v>
      </c>
      <c r="AF1469" s="11" t="str">
        <f>IF($I1469&lt;&gt;"",VLOOKUP($AC1469,GEADRESSEERDE!$A$2:$E$4,4,),"")</f>
        <v>ANTWERPEN</v>
      </c>
      <c r="AG1469" s="11" t="str">
        <f>IF($I1469&lt;&gt;"",VLOOKUP($AC1469,GEADRESSEERDE!$A$2:$E$4,5,),"")</f>
        <v>BE</v>
      </c>
      <c r="AH1469" s="11" t="str">
        <f>IF(I1469&lt;&gt;"",VLOOKUP(AP1469,KvB!$A$2:$B$3,2,FALSE),"")</f>
        <v>BE101000</v>
      </c>
      <c r="AI1469" s="11" t="s">
        <v>55</v>
      </c>
      <c r="AJ1469" s="11"/>
      <c r="AK1469" s="11"/>
      <c r="AL1469" s="11"/>
      <c r="AM1469" s="11"/>
      <c r="AN1469" s="11"/>
      <c r="AO1469" s="11"/>
      <c r="AP1469" s="2" t="s">
        <v>70</v>
      </c>
      <c r="AQ1469" s="11" t="str">
        <f>IF(I1469&lt;&gt;"",DATA!D1468,"")</f>
        <v>7616999099</v>
      </c>
    </row>
    <row r="1470" spans="1:43" ht="15.75" x14ac:dyDescent="0.25">
      <c r="A1470" s="11" t="s">
        <v>57</v>
      </c>
      <c r="B1470" s="11" t="s">
        <v>56</v>
      </c>
      <c r="C1470" s="22">
        <f t="shared" si="94"/>
        <v>25001620</v>
      </c>
      <c r="D1470" s="11" t="str">
        <f t="shared" si="95"/>
        <v>SKIIFM_AT</v>
      </c>
      <c r="E1470" s="11" t="str">
        <f>IF(I1470&lt;&gt;"",VLOOKUP(F1470,OPDRACHTGEVER!$A$2:$B$4,2,FALSE),"")</f>
        <v>SKIIFM_AT</v>
      </c>
      <c r="F1470" s="11" t="s">
        <v>58</v>
      </c>
      <c r="I1470" s="11" t="str">
        <f>IF(DATA!B1469&lt;&gt;"",DATA!B1469,"")</f>
        <v>MSDU5410409</v>
      </c>
      <c r="J1470" s="12">
        <v>0</v>
      </c>
      <c r="K1470" s="11" t="s">
        <v>53</v>
      </c>
      <c r="L1470" s="11" t="str">
        <f t="shared" si="96"/>
        <v>741920</v>
      </c>
      <c r="M1470" s="11" t="str">
        <f>IF(I1470&lt;&gt;"",DATA!E1469,"")</f>
        <v>PIZZA PLATE</v>
      </c>
      <c r="N1470" s="12">
        <v>0</v>
      </c>
      <c r="O1470" s="11">
        <f>IF(I1470&lt;&gt;"",DATA!C1469,"")</f>
        <v>5.9</v>
      </c>
      <c r="P1470" s="2">
        <v>294094</v>
      </c>
      <c r="Q1470" s="2" t="s">
        <v>1304</v>
      </c>
      <c r="R1470" s="2" t="s">
        <v>1333</v>
      </c>
      <c r="S1470" s="2">
        <v>569</v>
      </c>
      <c r="T1470" s="2">
        <v>1</v>
      </c>
      <c r="U1470" s="2" t="s">
        <v>141</v>
      </c>
      <c r="Y1470" s="2">
        <v>1700</v>
      </c>
      <c r="Z1470" s="11" t="s">
        <v>54</v>
      </c>
      <c r="AA1470" s="11" t="str">
        <f t="shared" si="97"/>
        <v>1700 - TBN</v>
      </c>
      <c r="AC1470" s="2" t="s">
        <v>145</v>
      </c>
      <c r="AD1470" s="11" t="str">
        <f>IF($I1470&lt;&gt;"",VLOOKUP($AC1470,GEADRESSEERDE!$A$2:$E$4,2,),"")</f>
        <v>LUITHAGEN HAVEN 2 D</v>
      </c>
      <c r="AE1470" s="11">
        <f>IF($I1470&lt;&gt;"",VLOOKUP($AC1470,GEADRESSEERDE!$A$2:$E$4,3,),"")</f>
        <v>2030</v>
      </c>
      <c r="AF1470" s="11" t="str">
        <f>IF($I1470&lt;&gt;"",VLOOKUP($AC1470,GEADRESSEERDE!$A$2:$E$4,4,),"")</f>
        <v>ANTWERPEN</v>
      </c>
      <c r="AG1470" s="11" t="str">
        <f>IF($I1470&lt;&gt;"",VLOOKUP($AC1470,GEADRESSEERDE!$A$2:$E$4,5,),"")</f>
        <v>BE</v>
      </c>
      <c r="AH1470" s="11" t="str">
        <f>IF(I1470&lt;&gt;"",VLOOKUP(AP1470,KvB!$A$2:$B$3,2,FALSE),"")</f>
        <v>BE101000</v>
      </c>
      <c r="AI1470" s="11" t="s">
        <v>55</v>
      </c>
      <c r="AJ1470" s="11"/>
      <c r="AK1470" s="11"/>
      <c r="AL1470" s="11"/>
      <c r="AM1470" s="11"/>
      <c r="AN1470" s="11"/>
      <c r="AO1470" s="11"/>
      <c r="AP1470" s="2" t="s">
        <v>70</v>
      </c>
      <c r="AQ1470" s="11" t="str">
        <f>IF(I1470&lt;&gt;"",DATA!D1469,"")</f>
        <v>7419200090</v>
      </c>
    </row>
    <row r="1471" spans="1:43" ht="15.75" x14ac:dyDescent="0.25">
      <c r="A1471" s="11" t="s">
        <v>57</v>
      </c>
      <c r="B1471" s="11" t="s">
        <v>56</v>
      </c>
      <c r="C1471" s="22">
        <f t="shared" si="94"/>
        <v>25001620</v>
      </c>
      <c r="D1471" s="11" t="str">
        <f t="shared" si="95"/>
        <v>SKIIFM_AT</v>
      </c>
      <c r="E1471" s="11" t="str">
        <f>IF(I1471&lt;&gt;"",VLOOKUP(F1471,OPDRACHTGEVER!$A$2:$B$4,2,FALSE),"")</f>
        <v>SKIIFM_AT</v>
      </c>
      <c r="F1471" s="11" t="s">
        <v>58</v>
      </c>
      <c r="I1471" s="11" t="str">
        <f>IF(DATA!B1470&lt;&gt;"",DATA!B1470,"")</f>
        <v>MSDU5410409</v>
      </c>
      <c r="J1471" s="12">
        <v>0</v>
      </c>
      <c r="K1471" s="11" t="s">
        <v>53</v>
      </c>
      <c r="L1471" s="11" t="str">
        <f t="shared" si="96"/>
        <v>841420</v>
      </c>
      <c r="M1471" s="11" t="str">
        <f>IF(I1471&lt;&gt;"",DATA!E1470,"")</f>
        <v>PUMP</v>
      </c>
      <c r="N1471" s="12">
        <v>0</v>
      </c>
      <c r="O1471" s="11">
        <f>IF(I1471&lt;&gt;"",DATA!C1470,"")</f>
        <v>1.8</v>
      </c>
      <c r="P1471" s="2">
        <v>294094</v>
      </c>
      <c r="Q1471" s="2" t="s">
        <v>1304</v>
      </c>
      <c r="R1471" s="2" t="s">
        <v>1333</v>
      </c>
      <c r="S1471" s="2">
        <v>569</v>
      </c>
      <c r="T1471" s="2">
        <v>1</v>
      </c>
      <c r="U1471" s="2" t="s">
        <v>141</v>
      </c>
      <c r="Y1471" s="2">
        <v>1700</v>
      </c>
      <c r="Z1471" s="11" t="s">
        <v>54</v>
      </c>
      <c r="AA1471" s="11" t="str">
        <f t="shared" si="97"/>
        <v>1700 - TBN</v>
      </c>
      <c r="AC1471" s="2" t="s">
        <v>145</v>
      </c>
      <c r="AD1471" s="11" t="str">
        <f>IF($I1471&lt;&gt;"",VLOOKUP($AC1471,GEADRESSEERDE!$A$2:$E$4,2,),"")</f>
        <v>LUITHAGEN HAVEN 2 D</v>
      </c>
      <c r="AE1471" s="11">
        <f>IF($I1471&lt;&gt;"",VLOOKUP($AC1471,GEADRESSEERDE!$A$2:$E$4,3,),"")</f>
        <v>2030</v>
      </c>
      <c r="AF1471" s="11" t="str">
        <f>IF($I1471&lt;&gt;"",VLOOKUP($AC1471,GEADRESSEERDE!$A$2:$E$4,4,),"")</f>
        <v>ANTWERPEN</v>
      </c>
      <c r="AG1471" s="11" t="str">
        <f>IF($I1471&lt;&gt;"",VLOOKUP($AC1471,GEADRESSEERDE!$A$2:$E$4,5,),"")</f>
        <v>BE</v>
      </c>
      <c r="AH1471" s="11" t="str">
        <f>IF(I1471&lt;&gt;"",VLOOKUP(AP1471,KvB!$A$2:$B$3,2,FALSE),"")</f>
        <v>BE101000</v>
      </c>
      <c r="AI1471" s="11" t="s">
        <v>55</v>
      </c>
      <c r="AJ1471" s="11"/>
      <c r="AK1471" s="11"/>
      <c r="AL1471" s="11"/>
      <c r="AM1471" s="11"/>
      <c r="AN1471" s="11"/>
      <c r="AO1471" s="11"/>
      <c r="AP1471" s="2" t="s">
        <v>70</v>
      </c>
      <c r="AQ1471" s="11" t="str">
        <f>IF(I1471&lt;&gt;"",DATA!D1470,"")</f>
        <v>8414208090</v>
      </c>
    </row>
    <row r="1472" spans="1:43" ht="15.75" x14ac:dyDescent="0.25">
      <c r="A1472" s="11" t="s">
        <v>57</v>
      </c>
      <c r="B1472" s="11" t="s">
        <v>56</v>
      </c>
      <c r="C1472" s="22">
        <f t="shared" si="94"/>
        <v>25001620</v>
      </c>
      <c r="D1472" s="11" t="str">
        <f t="shared" si="95"/>
        <v>SKIIFM_AT</v>
      </c>
      <c r="E1472" s="11" t="str">
        <f>IF(I1472&lt;&gt;"",VLOOKUP(F1472,OPDRACHTGEVER!$A$2:$B$4,2,FALSE),"")</f>
        <v>SKIIFM_AT</v>
      </c>
      <c r="F1472" s="11" t="s">
        <v>58</v>
      </c>
      <c r="I1472" s="11" t="str">
        <f>IF(DATA!B1471&lt;&gt;"",DATA!B1471,"")</f>
        <v>MSDU5410409</v>
      </c>
      <c r="J1472" s="12">
        <v>0</v>
      </c>
      <c r="K1472" s="11" t="s">
        <v>53</v>
      </c>
      <c r="L1472" s="11" t="str">
        <f t="shared" si="96"/>
        <v>570190</v>
      </c>
      <c r="M1472" s="11" t="str">
        <f>IF(I1472&lt;&gt;"",DATA!E1471,"")</f>
        <v>SELF ADHESIVE CARPET TILES</v>
      </c>
      <c r="N1472" s="12">
        <v>0</v>
      </c>
      <c r="O1472" s="11">
        <f>IF(I1472&lt;&gt;"",DATA!C1471,"")</f>
        <v>0.8</v>
      </c>
      <c r="P1472" s="2">
        <v>294094</v>
      </c>
      <c r="Q1472" s="2" t="s">
        <v>1304</v>
      </c>
      <c r="R1472" s="2" t="s">
        <v>1333</v>
      </c>
      <c r="S1472" s="2">
        <v>569</v>
      </c>
      <c r="T1472" s="2">
        <v>1</v>
      </c>
      <c r="U1472" s="2" t="s">
        <v>141</v>
      </c>
      <c r="Y1472" s="2">
        <v>1700</v>
      </c>
      <c r="Z1472" s="11" t="s">
        <v>54</v>
      </c>
      <c r="AA1472" s="11" t="str">
        <f t="shared" si="97"/>
        <v>1700 - TBN</v>
      </c>
      <c r="AC1472" s="2" t="s">
        <v>145</v>
      </c>
      <c r="AD1472" s="11" t="str">
        <f>IF($I1472&lt;&gt;"",VLOOKUP($AC1472,GEADRESSEERDE!$A$2:$E$4,2,),"")</f>
        <v>LUITHAGEN HAVEN 2 D</v>
      </c>
      <c r="AE1472" s="11">
        <f>IF($I1472&lt;&gt;"",VLOOKUP($AC1472,GEADRESSEERDE!$A$2:$E$4,3,),"")</f>
        <v>2030</v>
      </c>
      <c r="AF1472" s="11" t="str">
        <f>IF($I1472&lt;&gt;"",VLOOKUP($AC1472,GEADRESSEERDE!$A$2:$E$4,4,),"")</f>
        <v>ANTWERPEN</v>
      </c>
      <c r="AG1472" s="11" t="str">
        <f>IF($I1472&lt;&gt;"",VLOOKUP($AC1472,GEADRESSEERDE!$A$2:$E$4,5,),"")</f>
        <v>BE</v>
      </c>
      <c r="AH1472" s="11" t="str">
        <f>IF(I1472&lt;&gt;"",VLOOKUP(AP1472,KvB!$A$2:$B$3,2,FALSE),"")</f>
        <v>BE101000</v>
      </c>
      <c r="AI1472" s="11" t="s">
        <v>55</v>
      </c>
      <c r="AJ1472" s="11"/>
      <c r="AK1472" s="11"/>
      <c r="AL1472" s="11"/>
      <c r="AM1472" s="11"/>
      <c r="AN1472" s="11"/>
      <c r="AO1472" s="11"/>
      <c r="AP1472" s="2" t="s">
        <v>70</v>
      </c>
      <c r="AQ1472" s="11" t="str">
        <f>IF(I1472&lt;&gt;"",DATA!D1471,"")</f>
        <v>5701909090</v>
      </c>
    </row>
    <row r="1473" spans="1:43" ht="15.75" x14ac:dyDescent="0.25">
      <c r="A1473" s="11" t="s">
        <v>57</v>
      </c>
      <c r="B1473" s="11" t="s">
        <v>56</v>
      </c>
      <c r="C1473" s="22">
        <f t="shared" si="94"/>
        <v>25001620</v>
      </c>
      <c r="D1473" s="11" t="str">
        <f t="shared" si="95"/>
        <v>SKIIFM_AT</v>
      </c>
      <c r="E1473" s="11" t="str">
        <f>IF(I1473&lt;&gt;"",VLOOKUP(F1473,OPDRACHTGEVER!$A$2:$B$4,2,FALSE),"")</f>
        <v>SKIIFM_AT</v>
      </c>
      <c r="F1473" s="11" t="s">
        <v>58</v>
      </c>
      <c r="I1473" s="11" t="str">
        <f>IF(DATA!B1472&lt;&gt;"",DATA!B1472,"")</f>
        <v>MSDU5410409</v>
      </c>
      <c r="J1473" s="12">
        <v>0</v>
      </c>
      <c r="K1473" s="11" t="s">
        <v>53</v>
      </c>
      <c r="L1473" s="11" t="str">
        <f t="shared" si="96"/>
        <v>420292</v>
      </c>
      <c r="M1473" s="11" t="str">
        <f>IF(I1473&lt;&gt;"",DATA!E1472,"")</f>
        <v>SPORTS BACKPACK</v>
      </c>
      <c r="N1473" s="12">
        <v>0</v>
      </c>
      <c r="O1473" s="11">
        <f>IF(I1473&lt;&gt;"",DATA!C1472,"")</f>
        <v>1.6</v>
      </c>
      <c r="P1473" s="2">
        <v>294094</v>
      </c>
      <c r="Q1473" s="2" t="s">
        <v>1304</v>
      </c>
      <c r="R1473" s="2" t="s">
        <v>1333</v>
      </c>
      <c r="S1473" s="2">
        <v>569</v>
      </c>
      <c r="T1473" s="2">
        <v>1</v>
      </c>
      <c r="U1473" s="2" t="s">
        <v>141</v>
      </c>
      <c r="Y1473" s="2">
        <v>1700</v>
      </c>
      <c r="Z1473" s="11" t="s">
        <v>54</v>
      </c>
      <c r="AA1473" s="11" t="str">
        <f t="shared" si="97"/>
        <v>1700 - TBN</v>
      </c>
      <c r="AC1473" s="2" t="s">
        <v>145</v>
      </c>
      <c r="AD1473" s="11" t="str">
        <f>IF($I1473&lt;&gt;"",VLOOKUP($AC1473,GEADRESSEERDE!$A$2:$E$4,2,),"")</f>
        <v>LUITHAGEN HAVEN 2 D</v>
      </c>
      <c r="AE1473" s="11">
        <f>IF($I1473&lt;&gt;"",VLOOKUP($AC1473,GEADRESSEERDE!$A$2:$E$4,3,),"")</f>
        <v>2030</v>
      </c>
      <c r="AF1473" s="11" t="str">
        <f>IF($I1473&lt;&gt;"",VLOOKUP($AC1473,GEADRESSEERDE!$A$2:$E$4,4,),"")</f>
        <v>ANTWERPEN</v>
      </c>
      <c r="AG1473" s="11" t="str">
        <f>IF($I1473&lt;&gt;"",VLOOKUP($AC1473,GEADRESSEERDE!$A$2:$E$4,5,),"")</f>
        <v>BE</v>
      </c>
      <c r="AH1473" s="11" t="str">
        <f>IF(I1473&lt;&gt;"",VLOOKUP(AP1473,KvB!$A$2:$B$3,2,FALSE),"")</f>
        <v>BE101000</v>
      </c>
      <c r="AI1473" s="11" t="s">
        <v>55</v>
      </c>
      <c r="AJ1473" s="11"/>
      <c r="AK1473" s="11"/>
      <c r="AL1473" s="11"/>
      <c r="AM1473" s="11"/>
      <c r="AN1473" s="11"/>
      <c r="AO1473" s="11"/>
      <c r="AP1473" s="2" t="s">
        <v>70</v>
      </c>
      <c r="AQ1473" s="11" t="str">
        <f>IF(I1473&lt;&gt;"",DATA!D1472,"")</f>
        <v>4202929890</v>
      </c>
    </row>
    <row r="1474" spans="1:43" ht="15.75" x14ac:dyDescent="0.25">
      <c r="A1474" s="11" t="s">
        <v>57</v>
      </c>
      <c r="B1474" s="11" t="s">
        <v>56</v>
      </c>
      <c r="C1474" s="22">
        <f t="shared" si="94"/>
        <v>25001620</v>
      </c>
      <c r="D1474" s="11" t="str">
        <f t="shared" si="95"/>
        <v>SKIIFM_AT</v>
      </c>
      <c r="E1474" s="11" t="str">
        <f>IF(I1474&lt;&gt;"",VLOOKUP(F1474,OPDRACHTGEVER!$A$2:$B$4,2,FALSE),"")</f>
        <v>SKIIFM_AT</v>
      </c>
      <c r="F1474" s="11" t="s">
        <v>58</v>
      </c>
      <c r="I1474" s="11" t="str">
        <f>IF(DATA!B1473&lt;&gt;"",DATA!B1473,"")</f>
        <v>MSDU5410409</v>
      </c>
      <c r="J1474" s="12">
        <v>0</v>
      </c>
      <c r="K1474" s="11" t="s">
        <v>53</v>
      </c>
      <c r="L1474" s="11" t="str">
        <f t="shared" si="96"/>
        <v>940180</v>
      </c>
      <c r="M1474" s="11" t="str">
        <f>IF(I1474&lt;&gt;"",DATA!E1473,"")</f>
        <v>STEP STOOL</v>
      </c>
      <c r="N1474" s="12">
        <v>0</v>
      </c>
      <c r="O1474" s="11">
        <f>IF(I1474&lt;&gt;"",DATA!C1473,"")</f>
        <v>2.4</v>
      </c>
      <c r="P1474" s="2">
        <v>294094</v>
      </c>
      <c r="Q1474" s="2" t="s">
        <v>1304</v>
      </c>
      <c r="R1474" s="2" t="s">
        <v>1333</v>
      </c>
      <c r="S1474" s="2">
        <v>569</v>
      </c>
      <c r="T1474" s="2">
        <v>1</v>
      </c>
      <c r="U1474" s="2" t="s">
        <v>141</v>
      </c>
      <c r="Y1474" s="2">
        <v>1700</v>
      </c>
      <c r="Z1474" s="11" t="s">
        <v>54</v>
      </c>
      <c r="AA1474" s="11" t="str">
        <f t="shared" si="97"/>
        <v>1700 - TBN</v>
      </c>
      <c r="AC1474" s="2" t="s">
        <v>145</v>
      </c>
      <c r="AD1474" s="11" t="str">
        <f>IF($I1474&lt;&gt;"",VLOOKUP($AC1474,GEADRESSEERDE!$A$2:$E$4,2,),"")</f>
        <v>LUITHAGEN HAVEN 2 D</v>
      </c>
      <c r="AE1474" s="11">
        <f>IF($I1474&lt;&gt;"",VLOOKUP($AC1474,GEADRESSEERDE!$A$2:$E$4,3,),"")</f>
        <v>2030</v>
      </c>
      <c r="AF1474" s="11" t="str">
        <f>IF($I1474&lt;&gt;"",VLOOKUP($AC1474,GEADRESSEERDE!$A$2:$E$4,4,),"")</f>
        <v>ANTWERPEN</v>
      </c>
      <c r="AG1474" s="11" t="str">
        <f>IF($I1474&lt;&gt;"",VLOOKUP($AC1474,GEADRESSEERDE!$A$2:$E$4,5,),"")</f>
        <v>BE</v>
      </c>
      <c r="AH1474" s="11" t="str">
        <f>IF(I1474&lt;&gt;"",VLOOKUP(AP1474,KvB!$A$2:$B$3,2,FALSE),"")</f>
        <v>BE101000</v>
      </c>
      <c r="AI1474" s="11" t="s">
        <v>55</v>
      </c>
      <c r="AJ1474" s="11"/>
      <c r="AK1474" s="11"/>
      <c r="AL1474" s="11"/>
      <c r="AM1474" s="11"/>
      <c r="AN1474" s="11"/>
      <c r="AO1474" s="11"/>
      <c r="AP1474" s="2" t="s">
        <v>70</v>
      </c>
      <c r="AQ1474" s="11" t="str">
        <f>IF(I1474&lt;&gt;"",DATA!D1473,"")</f>
        <v>9401800000</v>
      </c>
    </row>
    <row r="1475" spans="1:43" ht="15.75" x14ac:dyDescent="0.25">
      <c r="A1475" s="11" t="s">
        <v>57</v>
      </c>
      <c r="B1475" s="11" t="s">
        <v>56</v>
      </c>
      <c r="C1475" s="22">
        <f t="shared" si="94"/>
        <v>25001620</v>
      </c>
      <c r="D1475" s="11" t="str">
        <f t="shared" si="95"/>
        <v>SKIIFM_AT</v>
      </c>
      <c r="E1475" s="11" t="str">
        <f>IF(I1475&lt;&gt;"",VLOOKUP(F1475,OPDRACHTGEVER!$A$2:$B$4,2,FALSE),"")</f>
        <v>SKIIFM_AT</v>
      </c>
      <c r="F1475" s="11" t="s">
        <v>58</v>
      </c>
      <c r="I1475" s="11" t="str">
        <f>IF(DATA!B1474&lt;&gt;"",DATA!B1474,"")</f>
        <v>MSDU5410409</v>
      </c>
      <c r="J1475" s="12">
        <v>0</v>
      </c>
      <c r="K1475" s="11" t="s">
        <v>53</v>
      </c>
      <c r="L1475" s="11" t="str">
        <f t="shared" si="96"/>
        <v>820551</v>
      </c>
      <c r="M1475" s="11" t="str">
        <f>IF(I1475&lt;&gt;"",DATA!E1474,"")</f>
        <v>SUCKER</v>
      </c>
      <c r="N1475" s="12">
        <v>0</v>
      </c>
      <c r="O1475" s="11">
        <f>IF(I1475&lt;&gt;"",DATA!C1474,"")</f>
        <v>2.5</v>
      </c>
      <c r="P1475" s="2">
        <v>294094</v>
      </c>
      <c r="Q1475" s="2" t="s">
        <v>1304</v>
      </c>
      <c r="R1475" s="2" t="s">
        <v>1333</v>
      </c>
      <c r="S1475" s="2">
        <v>569</v>
      </c>
      <c r="T1475" s="2">
        <v>1</v>
      </c>
      <c r="U1475" s="2" t="s">
        <v>141</v>
      </c>
      <c r="Y1475" s="2">
        <v>1700</v>
      </c>
      <c r="Z1475" s="11" t="s">
        <v>54</v>
      </c>
      <c r="AA1475" s="11" t="str">
        <f t="shared" si="97"/>
        <v>1700 - TBN</v>
      </c>
      <c r="AC1475" s="2" t="s">
        <v>145</v>
      </c>
      <c r="AD1475" s="11" t="str">
        <f>IF($I1475&lt;&gt;"",VLOOKUP($AC1475,GEADRESSEERDE!$A$2:$E$4,2,),"")</f>
        <v>LUITHAGEN HAVEN 2 D</v>
      </c>
      <c r="AE1475" s="11">
        <f>IF($I1475&lt;&gt;"",VLOOKUP($AC1475,GEADRESSEERDE!$A$2:$E$4,3,),"")</f>
        <v>2030</v>
      </c>
      <c r="AF1475" s="11" t="str">
        <f>IF($I1475&lt;&gt;"",VLOOKUP($AC1475,GEADRESSEERDE!$A$2:$E$4,4,),"")</f>
        <v>ANTWERPEN</v>
      </c>
      <c r="AG1475" s="11" t="str">
        <f>IF($I1475&lt;&gt;"",VLOOKUP($AC1475,GEADRESSEERDE!$A$2:$E$4,5,),"")</f>
        <v>BE</v>
      </c>
      <c r="AH1475" s="11" t="str">
        <f>IF(I1475&lt;&gt;"",VLOOKUP(AP1475,KvB!$A$2:$B$3,2,FALSE),"")</f>
        <v>BE101000</v>
      </c>
      <c r="AI1475" s="11" t="s">
        <v>55</v>
      </c>
      <c r="AJ1475" s="11"/>
      <c r="AK1475" s="11"/>
      <c r="AL1475" s="11"/>
      <c r="AM1475" s="11"/>
      <c r="AN1475" s="11"/>
      <c r="AO1475" s="11"/>
      <c r="AP1475" s="2" t="s">
        <v>70</v>
      </c>
      <c r="AQ1475" s="11" t="str">
        <f>IF(I1475&lt;&gt;"",DATA!D1474,"")</f>
        <v>8205510000</v>
      </c>
    </row>
    <row r="1476" spans="1:43" ht="15.75" x14ac:dyDescent="0.25">
      <c r="A1476" s="11" t="s">
        <v>57</v>
      </c>
      <c r="B1476" s="11" t="s">
        <v>56</v>
      </c>
      <c r="C1476" s="22">
        <f t="shared" si="94"/>
        <v>25001620</v>
      </c>
      <c r="D1476" s="11" t="str">
        <f t="shared" si="95"/>
        <v>SKIIFM_AT</v>
      </c>
      <c r="E1476" s="11" t="str">
        <f>IF(I1476&lt;&gt;"",VLOOKUP(F1476,OPDRACHTGEVER!$A$2:$B$4,2,FALSE),"")</f>
        <v>SKIIFM_AT</v>
      </c>
      <c r="F1476" s="11" t="s">
        <v>58</v>
      </c>
      <c r="I1476" s="11" t="str">
        <f>IF(DATA!B1475&lt;&gt;"",DATA!B1475,"")</f>
        <v>MSDU5410409</v>
      </c>
      <c r="J1476" s="12">
        <v>0</v>
      </c>
      <c r="K1476" s="11" t="s">
        <v>53</v>
      </c>
      <c r="L1476" s="11" t="str">
        <f t="shared" si="96"/>
        <v>741920</v>
      </c>
      <c r="M1476" s="11" t="str">
        <f>IF(I1476&lt;&gt;"",DATA!E1475,"")</f>
        <v>TOILET ARMREST</v>
      </c>
      <c r="N1476" s="12">
        <v>0</v>
      </c>
      <c r="O1476" s="11">
        <f>IF(I1476&lt;&gt;"",DATA!C1475,"")</f>
        <v>355.9</v>
      </c>
      <c r="P1476" s="2">
        <v>294094</v>
      </c>
      <c r="Q1476" s="2" t="s">
        <v>1304</v>
      </c>
      <c r="R1476" s="2" t="s">
        <v>1333</v>
      </c>
      <c r="S1476" s="2">
        <v>569</v>
      </c>
      <c r="T1476" s="2">
        <v>1</v>
      </c>
      <c r="U1476" s="2" t="s">
        <v>141</v>
      </c>
      <c r="Y1476" s="2">
        <v>1700</v>
      </c>
      <c r="Z1476" s="11" t="s">
        <v>54</v>
      </c>
      <c r="AA1476" s="11" t="str">
        <f t="shared" si="97"/>
        <v>1700 - TBN</v>
      </c>
      <c r="AC1476" s="2" t="s">
        <v>145</v>
      </c>
      <c r="AD1476" s="11" t="str">
        <f>IF($I1476&lt;&gt;"",VLOOKUP($AC1476,GEADRESSEERDE!$A$2:$E$4,2,),"")</f>
        <v>LUITHAGEN HAVEN 2 D</v>
      </c>
      <c r="AE1476" s="11">
        <f>IF($I1476&lt;&gt;"",VLOOKUP($AC1476,GEADRESSEERDE!$A$2:$E$4,3,),"")</f>
        <v>2030</v>
      </c>
      <c r="AF1476" s="11" t="str">
        <f>IF($I1476&lt;&gt;"",VLOOKUP($AC1476,GEADRESSEERDE!$A$2:$E$4,4,),"")</f>
        <v>ANTWERPEN</v>
      </c>
      <c r="AG1476" s="11" t="str">
        <f>IF($I1476&lt;&gt;"",VLOOKUP($AC1476,GEADRESSEERDE!$A$2:$E$4,5,),"")</f>
        <v>BE</v>
      </c>
      <c r="AH1476" s="11" t="str">
        <f>IF(I1476&lt;&gt;"",VLOOKUP(AP1476,KvB!$A$2:$B$3,2,FALSE),"")</f>
        <v>BE101000</v>
      </c>
      <c r="AI1476" s="11" t="s">
        <v>55</v>
      </c>
      <c r="AJ1476" s="11"/>
      <c r="AK1476" s="11"/>
      <c r="AL1476" s="11"/>
      <c r="AM1476" s="11"/>
      <c r="AN1476" s="11"/>
      <c r="AO1476" s="11"/>
      <c r="AP1476" s="2" t="s">
        <v>70</v>
      </c>
      <c r="AQ1476" s="11" t="str">
        <f>IF(I1476&lt;&gt;"",DATA!D1475,"")</f>
        <v>7419200090</v>
      </c>
    </row>
    <row r="1477" spans="1:43" ht="15.75" x14ac:dyDescent="0.25">
      <c r="A1477" s="11" t="s">
        <v>57</v>
      </c>
      <c r="B1477" s="11" t="s">
        <v>56</v>
      </c>
      <c r="C1477" s="22">
        <f t="shared" ref="C1477:C1540" si="98">C1476</f>
        <v>25001620</v>
      </c>
      <c r="D1477" s="11" t="str">
        <f t="shared" si="95"/>
        <v>SKIIFM_AT</v>
      </c>
      <c r="E1477" s="11" t="str">
        <f>IF(I1477&lt;&gt;"",VLOOKUP(F1477,OPDRACHTGEVER!$A$2:$B$4,2,FALSE),"")</f>
        <v>SKIIFM_AT</v>
      </c>
      <c r="F1477" s="11" t="s">
        <v>58</v>
      </c>
      <c r="I1477" s="11" t="str">
        <f>IF(DATA!B1476&lt;&gt;"",DATA!B1476,"")</f>
        <v>MSDU5410409</v>
      </c>
      <c r="J1477" s="12">
        <v>0</v>
      </c>
      <c r="K1477" s="11" t="s">
        <v>53</v>
      </c>
      <c r="L1477" s="11" t="str">
        <f t="shared" si="96"/>
        <v>847989</v>
      </c>
      <c r="M1477" s="11" t="str">
        <f>IF(I1477&lt;&gt;"",DATA!E1476,"")</f>
        <v>ULTRASONIC JEWELRY CLEANER</v>
      </c>
      <c r="N1477" s="12">
        <v>0</v>
      </c>
      <c r="O1477" s="11">
        <f>IF(I1477&lt;&gt;"",DATA!C1476,"")</f>
        <v>65.3</v>
      </c>
      <c r="P1477" s="2">
        <v>294094</v>
      </c>
      <c r="Q1477" s="2" t="s">
        <v>1304</v>
      </c>
      <c r="R1477" s="2" t="s">
        <v>1333</v>
      </c>
      <c r="S1477" s="2">
        <v>569</v>
      </c>
      <c r="T1477" s="2">
        <v>1</v>
      </c>
      <c r="U1477" s="2" t="s">
        <v>141</v>
      </c>
      <c r="Y1477" s="2">
        <v>1700</v>
      </c>
      <c r="Z1477" s="11" t="s">
        <v>54</v>
      </c>
      <c r="AA1477" s="11" t="str">
        <f t="shared" si="97"/>
        <v>1700 - TBN</v>
      </c>
      <c r="AC1477" s="2" t="s">
        <v>145</v>
      </c>
      <c r="AD1477" s="11" t="str">
        <f>IF($I1477&lt;&gt;"",VLOOKUP($AC1477,GEADRESSEERDE!$A$2:$E$4,2,),"")</f>
        <v>LUITHAGEN HAVEN 2 D</v>
      </c>
      <c r="AE1477" s="11">
        <f>IF($I1477&lt;&gt;"",VLOOKUP($AC1477,GEADRESSEERDE!$A$2:$E$4,3,),"")</f>
        <v>2030</v>
      </c>
      <c r="AF1477" s="11" t="str">
        <f>IF($I1477&lt;&gt;"",VLOOKUP($AC1477,GEADRESSEERDE!$A$2:$E$4,4,),"")</f>
        <v>ANTWERPEN</v>
      </c>
      <c r="AG1477" s="11" t="str">
        <f>IF($I1477&lt;&gt;"",VLOOKUP($AC1477,GEADRESSEERDE!$A$2:$E$4,5,),"")</f>
        <v>BE</v>
      </c>
      <c r="AH1477" s="11" t="str">
        <f>IF(I1477&lt;&gt;"",VLOOKUP(AP1477,KvB!$A$2:$B$3,2,FALSE),"")</f>
        <v>BE101000</v>
      </c>
      <c r="AI1477" s="11" t="s">
        <v>55</v>
      </c>
      <c r="AJ1477" s="11"/>
      <c r="AK1477" s="11"/>
      <c r="AL1477" s="11"/>
      <c r="AM1477" s="11"/>
      <c r="AN1477" s="11"/>
      <c r="AO1477" s="11"/>
      <c r="AP1477" s="2" t="s">
        <v>70</v>
      </c>
      <c r="AQ1477" s="11" t="str">
        <f>IF(I1477&lt;&gt;"",DATA!D1476,"")</f>
        <v>8479899790</v>
      </c>
    </row>
    <row r="1478" spans="1:43" ht="15.75" x14ac:dyDescent="0.25">
      <c r="A1478" s="11" t="s">
        <v>57</v>
      </c>
      <c r="B1478" s="11" t="s">
        <v>56</v>
      </c>
      <c r="C1478" s="22">
        <f t="shared" si="98"/>
        <v>25001620</v>
      </c>
      <c r="D1478" s="11" t="str">
        <f t="shared" si="95"/>
        <v>SKIIFM_AT</v>
      </c>
      <c r="E1478" s="11" t="str">
        <f>IF(I1478&lt;&gt;"",VLOOKUP(F1478,OPDRACHTGEVER!$A$2:$B$4,2,FALSE),"")</f>
        <v>SKIIFM_AT</v>
      </c>
      <c r="F1478" s="11" t="s">
        <v>58</v>
      </c>
      <c r="I1478" s="11" t="str">
        <f>IF(DATA!B1477&lt;&gt;"",DATA!B1477,"")</f>
        <v>MSDU5410409</v>
      </c>
      <c r="J1478" s="12">
        <v>0</v>
      </c>
      <c r="K1478" s="11" t="s">
        <v>53</v>
      </c>
      <c r="L1478" s="11" t="str">
        <f t="shared" si="96"/>
        <v>841830</v>
      </c>
      <c r="M1478" s="11" t="str">
        <f>IF(I1478&lt;&gt;"",DATA!E1477,"")</f>
        <v>VEHICLE REFRIGERATOR</v>
      </c>
      <c r="N1478" s="12">
        <v>0</v>
      </c>
      <c r="O1478" s="11">
        <f>IF(I1478&lt;&gt;"",DATA!C1477,"")</f>
        <v>5108.75</v>
      </c>
      <c r="P1478" s="2">
        <v>294094</v>
      </c>
      <c r="Q1478" s="2" t="s">
        <v>1304</v>
      </c>
      <c r="R1478" s="2" t="s">
        <v>1333</v>
      </c>
      <c r="S1478" s="2">
        <v>569</v>
      </c>
      <c r="T1478" s="2">
        <v>1</v>
      </c>
      <c r="U1478" s="2" t="s">
        <v>141</v>
      </c>
      <c r="Y1478" s="2">
        <v>1700</v>
      </c>
      <c r="Z1478" s="11" t="s">
        <v>54</v>
      </c>
      <c r="AA1478" s="11" t="str">
        <f t="shared" si="97"/>
        <v>1700 - TBN</v>
      </c>
      <c r="AC1478" s="2" t="s">
        <v>145</v>
      </c>
      <c r="AD1478" s="11" t="str">
        <f>IF($I1478&lt;&gt;"",VLOOKUP($AC1478,GEADRESSEERDE!$A$2:$E$4,2,),"")</f>
        <v>LUITHAGEN HAVEN 2 D</v>
      </c>
      <c r="AE1478" s="11">
        <f>IF($I1478&lt;&gt;"",VLOOKUP($AC1478,GEADRESSEERDE!$A$2:$E$4,3,),"")</f>
        <v>2030</v>
      </c>
      <c r="AF1478" s="11" t="str">
        <f>IF($I1478&lt;&gt;"",VLOOKUP($AC1478,GEADRESSEERDE!$A$2:$E$4,4,),"")</f>
        <v>ANTWERPEN</v>
      </c>
      <c r="AG1478" s="11" t="str">
        <f>IF($I1478&lt;&gt;"",VLOOKUP($AC1478,GEADRESSEERDE!$A$2:$E$4,5,),"")</f>
        <v>BE</v>
      </c>
      <c r="AH1478" s="11" t="str">
        <f>IF(I1478&lt;&gt;"",VLOOKUP(AP1478,KvB!$A$2:$B$3,2,FALSE),"")</f>
        <v>BE101000</v>
      </c>
      <c r="AI1478" s="11" t="s">
        <v>55</v>
      </c>
      <c r="AJ1478" s="11"/>
      <c r="AK1478" s="11"/>
      <c r="AL1478" s="11"/>
      <c r="AM1478" s="11"/>
      <c r="AN1478" s="11"/>
      <c r="AO1478" s="11"/>
      <c r="AP1478" s="2" t="s">
        <v>70</v>
      </c>
      <c r="AQ1478" s="11" t="str">
        <f>IF(I1478&lt;&gt;"",DATA!D1477,"")</f>
        <v>8418302099</v>
      </c>
    </row>
    <row r="1479" spans="1:43" ht="15.75" x14ac:dyDescent="0.25">
      <c r="A1479" s="11" t="s">
        <v>57</v>
      </c>
      <c r="B1479" s="11" t="s">
        <v>56</v>
      </c>
      <c r="C1479" s="22">
        <f t="shared" si="98"/>
        <v>25001620</v>
      </c>
      <c r="D1479" s="11" t="str">
        <f t="shared" si="95"/>
        <v>SKIIFM_AT</v>
      </c>
      <c r="E1479" s="11" t="str">
        <f>IF(I1479&lt;&gt;"",VLOOKUP(F1479,OPDRACHTGEVER!$A$2:$B$4,2,FALSE),"")</f>
        <v>SKIIFM_AT</v>
      </c>
      <c r="F1479" s="11" t="s">
        <v>58</v>
      </c>
      <c r="I1479" s="11" t="str">
        <f>IF(DATA!B1478&lt;&gt;"",DATA!B1478,"")</f>
        <v>MSDU5410409</v>
      </c>
      <c r="J1479" s="12">
        <v>0</v>
      </c>
      <c r="K1479" s="11" t="s">
        <v>53</v>
      </c>
      <c r="L1479" s="11" t="str">
        <f t="shared" si="96"/>
        <v>841360</v>
      </c>
      <c r="M1479" s="11" t="str">
        <f>IF(I1479&lt;&gt;"",DATA!E1478,"")</f>
        <v>WATER PUMP</v>
      </c>
      <c r="N1479" s="12">
        <v>0</v>
      </c>
      <c r="O1479" s="11">
        <f>IF(I1479&lt;&gt;"",DATA!C1478,"")</f>
        <v>0.66</v>
      </c>
      <c r="P1479" s="2">
        <v>294094</v>
      </c>
      <c r="Q1479" s="2" t="s">
        <v>1304</v>
      </c>
      <c r="R1479" s="2" t="s">
        <v>1333</v>
      </c>
      <c r="S1479" s="2">
        <v>569</v>
      </c>
      <c r="T1479" s="2">
        <v>1</v>
      </c>
      <c r="U1479" s="2" t="s">
        <v>141</v>
      </c>
      <c r="Y1479" s="2">
        <v>1700</v>
      </c>
      <c r="Z1479" s="11" t="s">
        <v>54</v>
      </c>
      <c r="AA1479" s="11" t="str">
        <f t="shared" si="97"/>
        <v>1700 - TBN</v>
      </c>
      <c r="AC1479" s="2" t="s">
        <v>145</v>
      </c>
      <c r="AD1479" s="11" t="str">
        <f>IF($I1479&lt;&gt;"",VLOOKUP($AC1479,GEADRESSEERDE!$A$2:$E$4,2,),"")</f>
        <v>LUITHAGEN HAVEN 2 D</v>
      </c>
      <c r="AE1479" s="11">
        <f>IF($I1479&lt;&gt;"",VLOOKUP($AC1479,GEADRESSEERDE!$A$2:$E$4,3,),"")</f>
        <v>2030</v>
      </c>
      <c r="AF1479" s="11" t="str">
        <f>IF($I1479&lt;&gt;"",VLOOKUP($AC1479,GEADRESSEERDE!$A$2:$E$4,4,),"")</f>
        <v>ANTWERPEN</v>
      </c>
      <c r="AG1479" s="11" t="str">
        <f>IF($I1479&lt;&gt;"",VLOOKUP($AC1479,GEADRESSEERDE!$A$2:$E$4,5,),"")</f>
        <v>BE</v>
      </c>
      <c r="AH1479" s="11" t="str">
        <f>IF(I1479&lt;&gt;"",VLOOKUP(AP1479,KvB!$A$2:$B$3,2,FALSE),"")</f>
        <v>BE101000</v>
      </c>
      <c r="AI1479" s="11" t="s">
        <v>55</v>
      </c>
      <c r="AJ1479" s="11"/>
      <c r="AK1479" s="11"/>
      <c r="AL1479" s="11"/>
      <c r="AM1479" s="11"/>
      <c r="AN1479" s="11"/>
      <c r="AO1479" s="11"/>
      <c r="AP1479" s="2" t="s">
        <v>70</v>
      </c>
      <c r="AQ1479" s="11" t="str">
        <f>IF(I1479&lt;&gt;"",DATA!D1478,"")</f>
        <v>8413608090</v>
      </c>
    </row>
    <row r="1480" spans="1:43" ht="15.75" x14ac:dyDescent="0.25">
      <c r="A1480" s="11" t="s">
        <v>57</v>
      </c>
      <c r="B1480" s="11" t="s">
        <v>56</v>
      </c>
      <c r="C1480" s="22">
        <f t="shared" si="98"/>
        <v>25001620</v>
      </c>
      <c r="D1480" s="11" t="str">
        <f t="shared" si="95"/>
        <v>SKIIFM_AT</v>
      </c>
      <c r="E1480" s="11" t="str">
        <f>IF(I1480&lt;&gt;"",VLOOKUP(F1480,OPDRACHTGEVER!$A$2:$B$4,2,FALSE),"")</f>
        <v>SKIIFM_AT</v>
      </c>
      <c r="F1480" s="11" t="s">
        <v>58</v>
      </c>
      <c r="I1480" s="11" t="str">
        <f>IF(DATA!B1479&lt;&gt;"",DATA!B1479,"")</f>
        <v>MSDU5410409</v>
      </c>
      <c r="J1480" s="12">
        <v>0</v>
      </c>
      <c r="K1480" s="11" t="s">
        <v>53</v>
      </c>
      <c r="L1480" s="11" t="str">
        <f t="shared" si="96"/>
        <v>843840</v>
      </c>
      <c r="M1480" s="11" t="str">
        <f>IF(I1480&lt;&gt;"",DATA!E1479,"")</f>
        <v>WINEMAKER</v>
      </c>
      <c r="N1480" s="12">
        <v>0</v>
      </c>
      <c r="O1480" s="11">
        <f>IF(I1480&lt;&gt;"",DATA!C1479,"")</f>
        <v>1264.2</v>
      </c>
      <c r="P1480" s="2">
        <v>294094</v>
      </c>
      <c r="Q1480" s="2" t="s">
        <v>1304</v>
      </c>
      <c r="R1480" s="2" t="s">
        <v>1333</v>
      </c>
      <c r="S1480" s="2">
        <v>569</v>
      </c>
      <c r="T1480" s="2">
        <v>1</v>
      </c>
      <c r="U1480" s="2" t="s">
        <v>141</v>
      </c>
      <c r="Y1480" s="2">
        <v>1700</v>
      </c>
      <c r="Z1480" s="11" t="s">
        <v>54</v>
      </c>
      <c r="AA1480" s="11" t="str">
        <f t="shared" si="97"/>
        <v>1700 - TBN</v>
      </c>
      <c r="AC1480" s="2" t="s">
        <v>145</v>
      </c>
      <c r="AD1480" s="11" t="str">
        <f>IF($I1480&lt;&gt;"",VLOOKUP($AC1480,GEADRESSEERDE!$A$2:$E$4,2,),"")</f>
        <v>LUITHAGEN HAVEN 2 D</v>
      </c>
      <c r="AE1480" s="11">
        <f>IF($I1480&lt;&gt;"",VLOOKUP($AC1480,GEADRESSEERDE!$A$2:$E$4,3,),"")</f>
        <v>2030</v>
      </c>
      <c r="AF1480" s="11" t="str">
        <f>IF($I1480&lt;&gt;"",VLOOKUP($AC1480,GEADRESSEERDE!$A$2:$E$4,4,),"")</f>
        <v>ANTWERPEN</v>
      </c>
      <c r="AG1480" s="11" t="str">
        <f>IF($I1480&lt;&gt;"",VLOOKUP($AC1480,GEADRESSEERDE!$A$2:$E$4,5,),"")</f>
        <v>BE</v>
      </c>
      <c r="AH1480" s="11" t="str">
        <f>IF(I1480&lt;&gt;"",VLOOKUP(AP1480,KvB!$A$2:$B$3,2,FALSE),"")</f>
        <v>BE101000</v>
      </c>
      <c r="AI1480" s="11" t="s">
        <v>55</v>
      </c>
      <c r="AJ1480" s="11"/>
      <c r="AK1480" s="11"/>
      <c r="AL1480" s="11"/>
      <c r="AM1480" s="11"/>
      <c r="AN1480" s="11"/>
      <c r="AO1480" s="11"/>
      <c r="AP1480" s="2" t="s">
        <v>70</v>
      </c>
      <c r="AQ1480" s="11" t="str">
        <f>IF(I1480&lt;&gt;"",DATA!D1479,"")</f>
        <v>8438400000</v>
      </c>
    </row>
    <row r="1481" spans="1:43" ht="15.75" x14ac:dyDescent="0.25">
      <c r="A1481" s="11" t="s">
        <v>57</v>
      </c>
      <c r="B1481" s="11" t="s">
        <v>56</v>
      </c>
      <c r="C1481" s="22">
        <f t="shared" si="98"/>
        <v>25001620</v>
      </c>
      <c r="D1481" s="11" t="str">
        <f t="shared" si="95"/>
        <v>SKIIFM_AT</v>
      </c>
      <c r="E1481" s="11" t="str">
        <f>IF(I1481&lt;&gt;"",VLOOKUP(F1481,OPDRACHTGEVER!$A$2:$B$4,2,FALSE),"")</f>
        <v>SKIIFM_AT</v>
      </c>
      <c r="F1481" s="11" t="s">
        <v>58</v>
      </c>
      <c r="I1481" s="11" t="str">
        <f>IF(DATA!B1480&lt;&gt;"",DATA!B1480,"")</f>
        <v>MSDU7786801</v>
      </c>
      <c r="J1481" s="12">
        <v>827</v>
      </c>
      <c r="K1481" s="11" t="s">
        <v>53</v>
      </c>
      <c r="L1481" s="11" t="str">
        <f t="shared" si="96"/>
        <v>950490</v>
      </c>
      <c r="M1481" s="11" t="str">
        <f>IF(I1481&lt;&gt;"",DATA!E1480,"")</f>
        <v>AIR HOCKEY TABLE</v>
      </c>
      <c r="N1481" s="12">
        <v>11128</v>
      </c>
      <c r="O1481" s="11">
        <f>IF(I1481&lt;&gt;"",DATA!C1480,"")</f>
        <v>2856.1</v>
      </c>
      <c r="P1481" s="2">
        <v>294094</v>
      </c>
      <c r="Q1481" s="2" t="s">
        <v>1304</v>
      </c>
      <c r="R1481" s="2" t="s">
        <v>1334</v>
      </c>
      <c r="S1481" s="2">
        <v>577</v>
      </c>
      <c r="T1481" s="2">
        <v>1</v>
      </c>
      <c r="U1481" s="2" t="s">
        <v>141</v>
      </c>
      <c r="Y1481" s="2">
        <v>1700</v>
      </c>
      <c r="Z1481" s="11" t="s">
        <v>54</v>
      </c>
      <c r="AA1481" s="11" t="str">
        <f t="shared" si="97"/>
        <v>1700 - TBN</v>
      </c>
      <c r="AC1481" s="2" t="s">
        <v>145</v>
      </c>
      <c r="AD1481" s="11" t="str">
        <f>IF($I1481&lt;&gt;"",VLOOKUP($AC1481,GEADRESSEERDE!$A$2:$E$4,2,),"")</f>
        <v>LUITHAGEN HAVEN 2 D</v>
      </c>
      <c r="AE1481" s="11">
        <f>IF($I1481&lt;&gt;"",VLOOKUP($AC1481,GEADRESSEERDE!$A$2:$E$4,3,),"")</f>
        <v>2030</v>
      </c>
      <c r="AF1481" s="11" t="str">
        <f>IF($I1481&lt;&gt;"",VLOOKUP($AC1481,GEADRESSEERDE!$A$2:$E$4,4,),"")</f>
        <v>ANTWERPEN</v>
      </c>
      <c r="AG1481" s="11" t="str">
        <f>IF($I1481&lt;&gt;"",VLOOKUP($AC1481,GEADRESSEERDE!$A$2:$E$4,5,),"")</f>
        <v>BE</v>
      </c>
      <c r="AH1481" s="11" t="str">
        <f>IF(I1481&lt;&gt;"",VLOOKUP(AP1481,KvB!$A$2:$B$3,2,FALSE),"")</f>
        <v>BE101000</v>
      </c>
      <c r="AI1481" s="11" t="s">
        <v>55</v>
      </c>
      <c r="AJ1481" s="11"/>
      <c r="AK1481" s="11"/>
      <c r="AL1481" s="11"/>
      <c r="AM1481" s="11"/>
      <c r="AN1481" s="11"/>
      <c r="AO1481" s="11"/>
      <c r="AP1481" s="2" t="s">
        <v>70</v>
      </c>
      <c r="AQ1481" s="11" t="str">
        <f>IF(I1481&lt;&gt;"",DATA!D1480,"")</f>
        <v>9504908000</v>
      </c>
    </row>
    <row r="1482" spans="1:43" ht="15.75" x14ac:dyDescent="0.25">
      <c r="A1482" s="11" t="s">
        <v>57</v>
      </c>
      <c r="B1482" s="11" t="s">
        <v>56</v>
      </c>
      <c r="C1482" s="22">
        <f t="shared" si="98"/>
        <v>25001620</v>
      </c>
      <c r="D1482" s="11" t="str">
        <f t="shared" si="95"/>
        <v>SKIIFM_AT</v>
      </c>
      <c r="E1482" s="11" t="str">
        <f>IF(I1482&lt;&gt;"",VLOOKUP(F1482,OPDRACHTGEVER!$A$2:$B$4,2,FALSE),"")</f>
        <v>SKIIFM_AT</v>
      </c>
      <c r="F1482" s="11" t="s">
        <v>58</v>
      </c>
      <c r="I1482" s="11" t="str">
        <f>IF(DATA!B1481&lt;&gt;"",DATA!B1481,"")</f>
        <v>MSDU7786801</v>
      </c>
      <c r="J1482" s="12">
        <v>0</v>
      </c>
      <c r="K1482" s="11" t="s">
        <v>53</v>
      </c>
      <c r="L1482" s="11" t="str">
        <f t="shared" si="96"/>
        <v>842121</v>
      </c>
      <c r="M1482" s="11" t="str">
        <f>IF(I1482&lt;&gt;"",DATA!E1481,"")</f>
        <v>AQUARIUM FILTER</v>
      </c>
      <c r="N1482" s="12">
        <v>0</v>
      </c>
      <c r="O1482" s="11">
        <f>IF(I1482&lt;&gt;"",DATA!C1481,"")</f>
        <v>34</v>
      </c>
      <c r="P1482" s="2">
        <v>294094</v>
      </c>
      <c r="Q1482" s="2" t="s">
        <v>1304</v>
      </c>
      <c r="R1482" s="2" t="s">
        <v>1334</v>
      </c>
      <c r="S1482" s="2">
        <v>577</v>
      </c>
      <c r="T1482" s="2">
        <v>1</v>
      </c>
      <c r="U1482" s="2" t="s">
        <v>141</v>
      </c>
      <c r="Y1482" s="2">
        <v>1700</v>
      </c>
      <c r="Z1482" s="11" t="s">
        <v>54</v>
      </c>
      <c r="AA1482" s="11" t="str">
        <f t="shared" si="97"/>
        <v>1700 - TBN</v>
      </c>
      <c r="AC1482" s="2" t="s">
        <v>145</v>
      </c>
      <c r="AD1482" s="11" t="str">
        <f>IF($I1482&lt;&gt;"",VLOOKUP($AC1482,GEADRESSEERDE!$A$2:$E$4,2,),"")</f>
        <v>LUITHAGEN HAVEN 2 D</v>
      </c>
      <c r="AE1482" s="11">
        <f>IF($I1482&lt;&gt;"",VLOOKUP($AC1482,GEADRESSEERDE!$A$2:$E$4,3,),"")</f>
        <v>2030</v>
      </c>
      <c r="AF1482" s="11" t="str">
        <f>IF($I1482&lt;&gt;"",VLOOKUP($AC1482,GEADRESSEERDE!$A$2:$E$4,4,),"")</f>
        <v>ANTWERPEN</v>
      </c>
      <c r="AG1482" s="11" t="str">
        <f>IF($I1482&lt;&gt;"",VLOOKUP($AC1482,GEADRESSEERDE!$A$2:$E$4,5,),"")</f>
        <v>BE</v>
      </c>
      <c r="AH1482" s="11" t="str">
        <f>IF(I1482&lt;&gt;"",VLOOKUP(AP1482,KvB!$A$2:$B$3,2,FALSE),"")</f>
        <v>BE101000</v>
      </c>
      <c r="AI1482" s="11" t="s">
        <v>55</v>
      </c>
      <c r="AJ1482" s="11"/>
      <c r="AK1482" s="11"/>
      <c r="AL1482" s="11"/>
      <c r="AM1482" s="11"/>
      <c r="AN1482" s="11"/>
      <c r="AO1482" s="11"/>
      <c r="AP1482" s="2" t="s">
        <v>70</v>
      </c>
      <c r="AQ1482" s="11" t="str">
        <f>IF(I1482&lt;&gt;"",DATA!D1481,"")</f>
        <v>8421210090</v>
      </c>
    </row>
    <row r="1483" spans="1:43" ht="15.75" x14ac:dyDescent="0.25">
      <c r="A1483" s="11" t="s">
        <v>57</v>
      </c>
      <c r="B1483" s="11" t="s">
        <v>56</v>
      </c>
      <c r="C1483" s="22">
        <f t="shared" si="98"/>
        <v>25001620</v>
      </c>
      <c r="D1483" s="11" t="str">
        <f t="shared" si="95"/>
        <v>SKIIFM_AT</v>
      </c>
      <c r="E1483" s="11" t="str">
        <f>IF(I1483&lt;&gt;"",VLOOKUP(F1483,OPDRACHTGEVER!$A$2:$B$4,2,FALSE),"")</f>
        <v>SKIIFM_AT</v>
      </c>
      <c r="F1483" s="11" t="s">
        <v>58</v>
      </c>
      <c r="I1483" s="11" t="str">
        <f>IF(DATA!B1482&lt;&gt;"",DATA!B1482,"")</f>
        <v>MSDU7786801</v>
      </c>
      <c r="J1483" s="12">
        <v>0</v>
      </c>
      <c r="K1483" s="11" t="s">
        <v>53</v>
      </c>
      <c r="L1483" s="11" t="str">
        <f t="shared" si="96"/>
        <v>850980</v>
      </c>
      <c r="M1483" s="11" t="str">
        <f>IF(I1483&lt;&gt;"",DATA!E1482,"")</f>
        <v>AROMA DIFFUSER</v>
      </c>
      <c r="N1483" s="12">
        <v>0</v>
      </c>
      <c r="O1483" s="11">
        <f>IF(I1483&lt;&gt;"",DATA!C1482,"")</f>
        <v>32</v>
      </c>
      <c r="P1483" s="2">
        <v>294094</v>
      </c>
      <c r="Q1483" s="2" t="s">
        <v>1304</v>
      </c>
      <c r="R1483" s="2" t="s">
        <v>1334</v>
      </c>
      <c r="S1483" s="2">
        <v>577</v>
      </c>
      <c r="T1483" s="2">
        <v>1</v>
      </c>
      <c r="U1483" s="2" t="s">
        <v>141</v>
      </c>
      <c r="Y1483" s="2">
        <v>1700</v>
      </c>
      <c r="Z1483" s="11" t="s">
        <v>54</v>
      </c>
      <c r="AA1483" s="11" t="str">
        <f t="shared" si="97"/>
        <v>1700 - TBN</v>
      </c>
      <c r="AC1483" s="2" t="s">
        <v>145</v>
      </c>
      <c r="AD1483" s="11" t="str">
        <f>IF($I1483&lt;&gt;"",VLOOKUP($AC1483,GEADRESSEERDE!$A$2:$E$4,2,),"")</f>
        <v>LUITHAGEN HAVEN 2 D</v>
      </c>
      <c r="AE1483" s="11">
        <f>IF($I1483&lt;&gt;"",VLOOKUP($AC1483,GEADRESSEERDE!$A$2:$E$4,3,),"")</f>
        <v>2030</v>
      </c>
      <c r="AF1483" s="11" t="str">
        <f>IF($I1483&lt;&gt;"",VLOOKUP($AC1483,GEADRESSEERDE!$A$2:$E$4,4,),"")</f>
        <v>ANTWERPEN</v>
      </c>
      <c r="AG1483" s="11" t="str">
        <f>IF($I1483&lt;&gt;"",VLOOKUP($AC1483,GEADRESSEERDE!$A$2:$E$4,5,),"")</f>
        <v>BE</v>
      </c>
      <c r="AH1483" s="11" t="str">
        <f>IF(I1483&lt;&gt;"",VLOOKUP(AP1483,KvB!$A$2:$B$3,2,FALSE),"")</f>
        <v>BE101000</v>
      </c>
      <c r="AI1483" s="11" t="s">
        <v>55</v>
      </c>
      <c r="AJ1483" s="11"/>
      <c r="AK1483" s="11"/>
      <c r="AL1483" s="11"/>
      <c r="AM1483" s="11"/>
      <c r="AN1483" s="11"/>
      <c r="AO1483" s="11"/>
      <c r="AP1483" s="2" t="s">
        <v>70</v>
      </c>
      <c r="AQ1483" s="11" t="str">
        <f>IF(I1483&lt;&gt;"",DATA!D1482,"")</f>
        <v>8509800000</v>
      </c>
    </row>
    <row r="1484" spans="1:43" ht="15.75" x14ac:dyDescent="0.25">
      <c r="A1484" s="11" t="s">
        <v>57</v>
      </c>
      <c r="B1484" s="11" t="s">
        <v>56</v>
      </c>
      <c r="C1484" s="22">
        <f t="shared" si="98"/>
        <v>25001620</v>
      </c>
      <c r="D1484" s="11" t="str">
        <f t="shared" si="95"/>
        <v>SKIIFM_AT</v>
      </c>
      <c r="E1484" s="11" t="str">
        <f>IF(I1484&lt;&gt;"",VLOOKUP(F1484,OPDRACHTGEVER!$A$2:$B$4,2,FALSE),"")</f>
        <v>SKIIFM_AT</v>
      </c>
      <c r="F1484" s="11" t="s">
        <v>58</v>
      </c>
      <c r="I1484" s="11" t="str">
        <f>IF(DATA!B1483&lt;&gt;"",DATA!B1483,"")</f>
        <v>MSDU7786801</v>
      </c>
      <c r="J1484" s="12">
        <v>0</v>
      </c>
      <c r="K1484" s="11" t="s">
        <v>53</v>
      </c>
      <c r="L1484" s="11" t="str">
        <f t="shared" si="96"/>
        <v>847989</v>
      </c>
      <c r="M1484" s="11" t="str">
        <f>IF(I1484&lt;&gt;"",DATA!E1483,"")</f>
        <v>AUTOMATIC GEARBOX CLEANING OIL CHANGE</v>
      </c>
      <c r="N1484" s="12">
        <v>0</v>
      </c>
      <c r="O1484" s="11">
        <f>IF(I1484&lt;&gt;"",DATA!C1483,"")</f>
        <v>431.1</v>
      </c>
      <c r="P1484" s="2">
        <v>294094</v>
      </c>
      <c r="Q1484" s="2" t="s">
        <v>1304</v>
      </c>
      <c r="R1484" s="2" t="s">
        <v>1334</v>
      </c>
      <c r="S1484" s="2">
        <v>577</v>
      </c>
      <c r="T1484" s="2">
        <v>1</v>
      </c>
      <c r="U1484" s="2" t="s">
        <v>141</v>
      </c>
      <c r="Y1484" s="2">
        <v>1700</v>
      </c>
      <c r="Z1484" s="11" t="s">
        <v>54</v>
      </c>
      <c r="AA1484" s="11" t="str">
        <f t="shared" si="97"/>
        <v>1700 - TBN</v>
      </c>
      <c r="AC1484" s="2" t="s">
        <v>145</v>
      </c>
      <c r="AD1484" s="11" t="str">
        <f>IF($I1484&lt;&gt;"",VLOOKUP($AC1484,GEADRESSEERDE!$A$2:$E$4,2,),"")</f>
        <v>LUITHAGEN HAVEN 2 D</v>
      </c>
      <c r="AE1484" s="11">
        <f>IF($I1484&lt;&gt;"",VLOOKUP($AC1484,GEADRESSEERDE!$A$2:$E$4,3,),"")</f>
        <v>2030</v>
      </c>
      <c r="AF1484" s="11" t="str">
        <f>IF($I1484&lt;&gt;"",VLOOKUP($AC1484,GEADRESSEERDE!$A$2:$E$4,4,),"")</f>
        <v>ANTWERPEN</v>
      </c>
      <c r="AG1484" s="11" t="str">
        <f>IF($I1484&lt;&gt;"",VLOOKUP($AC1484,GEADRESSEERDE!$A$2:$E$4,5,),"")</f>
        <v>BE</v>
      </c>
      <c r="AH1484" s="11" t="str">
        <f>IF(I1484&lt;&gt;"",VLOOKUP(AP1484,KvB!$A$2:$B$3,2,FALSE),"")</f>
        <v>BE101000</v>
      </c>
      <c r="AI1484" s="11" t="s">
        <v>55</v>
      </c>
      <c r="AJ1484" s="11"/>
      <c r="AK1484" s="11"/>
      <c r="AL1484" s="11"/>
      <c r="AM1484" s="11"/>
      <c r="AN1484" s="11"/>
      <c r="AO1484" s="11"/>
      <c r="AP1484" s="2" t="s">
        <v>70</v>
      </c>
      <c r="AQ1484" s="11" t="str">
        <f>IF(I1484&lt;&gt;"",DATA!D1483,"")</f>
        <v>8479899790</v>
      </c>
    </row>
    <row r="1485" spans="1:43" ht="15.75" x14ac:dyDescent="0.25">
      <c r="A1485" s="11" t="s">
        <v>57</v>
      </c>
      <c r="B1485" s="11" t="s">
        <v>56</v>
      </c>
      <c r="C1485" s="22">
        <f t="shared" si="98"/>
        <v>25001620</v>
      </c>
      <c r="D1485" s="11" t="str">
        <f t="shared" si="95"/>
        <v>SKIIFM_AT</v>
      </c>
      <c r="E1485" s="11" t="str">
        <f>IF(I1485&lt;&gt;"",VLOOKUP(F1485,OPDRACHTGEVER!$A$2:$B$4,2,FALSE),"")</f>
        <v>SKIIFM_AT</v>
      </c>
      <c r="F1485" s="11" t="s">
        <v>58</v>
      </c>
      <c r="I1485" s="11" t="str">
        <f>IF(DATA!B1484&lt;&gt;"",DATA!B1484,"")</f>
        <v>MSDU7786801</v>
      </c>
      <c r="J1485" s="12">
        <v>0</v>
      </c>
      <c r="K1485" s="11" t="s">
        <v>53</v>
      </c>
      <c r="L1485" s="11" t="str">
        <f t="shared" si="96"/>
        <v>903180</v>
      </c>
      <c r="M1485" s="11" t="str">
        <f>IF(I1485&lt;&gt;"",DATA!E1484,"")</f>
        <v>AUTOMOTIVE SMOKE MACHINE LEAK DETECTOR</v>
      </c>
      <c r="N1485" s="12">
        <v>0</v>
      </c>
      <c r="O1485" s="11">
        <f>IF(I1485&lt;&gt;"",DATA!C1484,"")</f>
        <v>9.4</v>
      </c>
      <c r="P1485" s="2">
        <v>294094</v>
      </c>
      <c r="Q1485" s="2" t="s">
        <v>1304</v>
      </c>
      <c r="R1485" s="2" t="s">
        <v>1334</v>
      </c>
      <c r="S1485" s="2">
        <v>577</v>
      </c>
      <c r="T1485" s="2">
        <v>1</v>
      </c>
      <c r="U1485" s="2" t="s">
        <v>141</v>
      </c>
      <c r="Y1485" s="2">
        <v>1700</v>
      </c>
      <c r="Z1485" s="11" t="s">
        <v>54</v>
      </c>
      <c r="AA1485" s="11" t="str">
        <f t="shared" si="97"/>
        <v>1700 - TBN</v>
      </c>
      <c r="AC1485" s="2" t="s">
        <v>145</v>
      </c>
      <c r="AD1485" s="11" t="str">
        <f>IF($I1485&lt;&gt;"",VLOOKUP($AC1485,GEADRESSEERDE!$A$2:$E$4,2,),"")</f>
        <v>LUITHAGEN HAVEN 2 D</v>
      </c>
      <c r="AE1485" s="11">
        <f>IF($I1485&lt;&gt;"",VLOOKUP($AC1485,GEADRESSEERDE!$A$2:$E$4,3,),"")</f>
        <v>2030</v>
      </c>
      <c r="AF1485" s="11" t="str">
        <f>IF($I1485&lt;&gt;"",VLOOKUP($AC1485,GEADRESSEERDE!$A$2:$E$4,4,),"")</f>
        <v>ANTWERPEN</v>
      </c>
      <c r="AG1485" s="11" t="str">
        <f>IF($I1485&lt;&gt;"",VLOOKUP($AC1485,GEADRESSEERDE!$A$2:$E$4,5,),"")</f>
        <v>BE</v>
      </c>
      <c r="AH1485" s="11" t="str">
        <f>IF(I1485&lt;&gt;"",VLOOKUP(AP1485,KvB!$A$2:$B$3,2,FALSE),"")</f>
        <v>BE101000</v>
      </c>
      <c r="AI1485" s="11" t="s">
        <v>55</v>
      </c>
      <c r="AJ1485" s="11"/>
      <c r="AK1485" s="11"/>
      <c r="AL1485" s="11"/>
      <c r="AM1485" s="11"/>
      <c r="AN1485" s="11"/>
      <c r="AO1485" s="11"/>
      <c r="AP1485" s="2" t="s">
        <v>70</v>
      </c>
      <c r="AQ1485" s="11" t="str">
        <f>IF(I1485&lt;&gt;"",DATA!D1484,"")</f>
        <v>9031808000</v>
      </c>
    </row>
    <row r="1486" spans="1:43" ht="15.75" x14ac:dyDescent="0.25">
      <c r="A1486" s="11" t="s">
        <v>57</v>
      </c>
      <c r="B1486" s="11" t="s">
        <v>56</v>
      </c>
      <c r="C1486" s="22">
        <f t="shared" si="98"/>
        <v>25001620</v>
      </c>
      <c r="D1486" s="11" t="str">
        <f t="shared" si="95"/>
        <v>SKIIFM_AT</v>
      </c>
      <c r="E1486" s="11" t="str">
        <f>IF(I1486&lt;&gt;"",VLOOKUP(F1486,OPDRACHTGEVER!$A$2:$B$4,2,FALSE),"")</f>
        <v>SKIIFM_AT</v>
      </c>
      <c r="F1486" s="11" t="s">
        <v>58</v>
      </c>
      <c r="I1486" s="11" t="str">
        <f>IF(DATA!B1485&lt;&gt;"",DATA!B1485,"")</f>
        <v>MSDU7786801</v>
      </c>
      <c r="J1486" s="12">
        <v>0</v>
      </c>
      <c r="K1486" s="11" t="s">
        <v>53</v>
      </c>
      <c r="L1486" s="11" t="str">
        <f t="shared" si="96"/>
        <v>841459</v>
      </c>
      <c r="M1486" s="11" t="str">
        <f>IF(I1486&lt;&gt;"",DATA!E1485,"")</f>
        <v>AXIAL FAN</v>
      </c>
      <c r="N1486" s="12">
        <v>0</v>
      </c>
      <c r="O1486" s="11">
        <f>IF(I1486&lt;&gt;"",DATA!C1485,"")</f>
        <v>92</v>
      </c>
      <c r="P1486" s="2">
        <v>294094</v>
      </c>
      <c r="Q1486" s="2" t="s">
        <v>1304</v>
      </c>
      <c r="R1486" s="2" t="s">
        <v>1334</v>
      </c>
      <c r="S1486" s="2">
        <v>577</v>
      </c>
      <c r="T1486" s="2">
        <v>1</v>
      </c>
      <c r="U1486" s="2" t="s">
        <v>141</v>
      </c>
      <c r="Y1486" s="2">
        <v>1700</v>
      </c>
      <c r="Z1486" s="11" t="s">
        <v>54</v>
      </c>
      <c r="AA1486" s="11" t="str">
        <f t="shared" si="97"/>
        <v>1700 - TBN</v>
      </c>
      <c r="AC1486" s="2" t="s">
        <v>145</v>
      </c>
      <c r="AD1486" s="11" t="str">
        <f>IF($I1486&lt;&gt;"",VLOOKUP($AC1486,GEADRESSEERDE!$A$2:$E$4,2,),"")</f>
        <v>LUITHAGEN HAVEN 2 D</v>
      </c>
      <c r="AE1486" s="11">
        <f>IF($I1486&lt;&gt;"",VLOOKUP($AC1486,GEADRESSEERDE!$A$2:$E$4,3,),"")</f>
        <v>2030</v>
      </c>
      <c r="AF1486" s="11" t="str">
        <f>IF($I1486&lt;&gt;"",VLOOKUP($AC1486,GEADRESSEERDE!$A$2:$E$4,4,),"")</f>
        <v>ANTWERPEN</v>
      </c>
      <c r="AG1486" s="11" t="str">
        <f>IF($I1486&lt;&gt;"",VLOOKUP($AC1486,GEADRESSEERDE!$A$2:$E$4,5,),"")</f>
        <v>BE</v>
      </c>
      <c r="AH1486" s="11" t="str">
        <f>IF(I1486&lt;&gt;"",VLOOKUP(AP1486,KvB!$A$2:$B$3,2,FALSE),"")</f>
        <v>BE101000</v>
      </c>
      <c r="AI1486" s="11" t="s">
        <v>55</v>
      </c>
      <c r="AJ1486" s="11"/>
      <c r="AK1486" s="11"/>
      <c r="AL1486" s="11"/>
      <c r="AM1486" s="11"/>
      <c r="AN1486" s="11"/>
      <c r="AO1486" s="11"/>
      <c r="AP1486" s="2" t="s">
        <v>70</v>
      </c>
      <c r="AQ1486" s="11" t="str">
        <f>IF(I1486&lt;&gt;"",DATA!D1485,"")</f>
        <v>8414599590</v>
      </c>
    </row>
    <row r="1487" spans="1:43" ht="15.75" x14ac:dyDescent="0.25">
      <c r="A1487" s="11" t="s">
        <v>57</v>
      </c>
      <c r="B1487" s="11" t="s">
        <v>56</v>
      </c>
      <c r="C1487" s="22">
        <f t="shared" si="98"/>
        <v>25001620</v>
      </c>
      <c r="D1487" s="11" t="str">
        <f t="shared" si="95"/>
        <v>SKIIFM_AT</v>
      </c>
      <c r="E1487" s="11" t="str">
        <f>IF(I1487&lt;&gt;"",VLOOKUP(F1487,OPDRACHTGEVER!$A$2:$B$4,2,FALSE),"")</f>
        <v>SKIIFM_AT</v>
      </c>
      <c r="F1487" s="11" t="s">
        <v>58</v>
      </c>
      <c r="I1487" s="11" t="str">
        <f>IF(DATA!B1486&lt;&gt;"",DATA!B1486,"")</f>
        <v>MSDU7786801</v>
      </c>
      <c r="J1487" s="12">
        <v>0</v>
      </c>
      <c r="K1487" s="11" t="s">
        <v>53</v>
      </c>
      <c r="L1487" s="11" t="str">
        <f t="shared" si="96"/>
        <v>741920</v>
      </c>
      <c r="M1487" s="11" t="str">
        <f>IF(I1487&lt;&gt;"",DATA!E1486,"")</f>
        <v>BIRDCAGE</v>
      </c>
      <c r="N1487" s="12">
        <v>0</v>
      </c>
      <c r="O1487" s="11">
        <f>IF(I1487&lt;&gt;"",DATA!C1486,"")</f>
        <v>54.7</v>
      </c>
      <c r="P1487" s="2">
        <v>294094</v>
      </c>
      <c r="Q1487" s="2" t="s">
        <v>1304</v>
      </c>
      <c r="R1487" s="2" t="s">
        <v>1334</v>
      </c>
      <c r="S1487" s="2">
        <v>577</v>
      </c>
      <c r="T1487" s="2">
        <v>1</v>
      </c>
      <c r="U1487" s="2" t="s">
        <v>141</v>
      </c>
      <c r="Y1487" s="2">
        <v>1700</v>
      </c>
      <c r="Z1487" s="11" t="s">
        <v>54</v>
      </c>
      <c r="AA1487" s="11" t="str">
        <f t="shared" si="97"/>
        <v>1700 - TBN</v>
      </c>
      <c r="AC1487" s="2" t="s">
        <v>145</v>
      </c>
      <c r="AD1487" s="11" t="str">
        <f>IF($I1487&lt;&gt;"",VLOOKUP($AC1487,GEADRESSEERDE!$A$2:$E$4,2,),"")</f>
        <v>LUITHAGEN HAVEN 2 D</v>
      </c>
      <c r="AE1487" s="11">
        <f>IF($I1487&lt;&gt;"",VLOOKUP($AC1487,GEADRESSEERDE!$A$2:$E$4,3,),"")</f>
        <v>2030</v>
      </c>
      <c r="AF1487" s="11" t="str">
        <f>IF($I1487&lt;&gt;"",VLOOKUP($AC1487,GEADRESSEERDE!$A$2:$E$4,4,),"")</f>
        <v>ANTWERPEN</v>
      </c>
      <c r="AG1487" s="11" t="str">
        <f>IF($I1487&lt;&gt;"",VLOOKUP($AC1487,GEADRESSEERDE!$A$2:$E$4,5,),"")</f>
        <v>BE</v>
      </c>
      <c r="AH1487" s="11" t="str">
        <f>IF(I1487&lt;&gt;"",VLOOKUP(AP1487,KvB!$A$2:$B$3,2,FALSE),"")</f>
        <v>BE101000</v>
      </c>
      <c r="AI1487" s="11" t="s">
        <v>55</v>
      </c>
      <c r="AJ1487" s="11"/>
      <c r="AK1487" s="11"/>
      <c r="AL1487" s="11"/>
      <c r="AM1487" s="11"/>
      <c r="AN1487" s="11"/>
      <c r="AO1487" s="11"/>
      <c r="AP1487" s="2" t="s">
        <v>70</v>
      </c>
      <c r="AQ1487" s="11" t="str">
        <f>IF(I1487&lt;&gt;"",DATA!D1486,"")</f>
        <v>7419200090</v>
      </c>
    </row>
    <row r="1488" spans="1:43" ht="15.75" x14ac:dyDescent="0.25">
      <c r="A1488" s="11" t="s">
        <v>57</v>
      </c>
      <c r="B1488" s="11" t="s">
        <v>56</v>
      </c>
      <c r="C1488" s="22">
        <f t="shared" si="98"/>
        <v>25001620</v>
      </c>
      <c r="D1488" s="11" t="str">
        <f t="shared" si="95"/>
        <v>SKIIFM_AT</v>
      </c>
      <c r="E1488" s="11" t="str">
        <f>IF(I1488&lt;&gt;"",VLOOKUP(F1488,OPDRACHTGEVER!$A$2:$B$4,2,FALSE),"")</f>
        <v>SKIIFM_AT</v>
      </c>
      <c r="F1488" s="11" t="s">
        <v>58</v>
      </c>
      <c r="I1488" s="11" t="str">
        <f>IF(DATA!B1487&lt;&gt;"",DATA!B1487,"")</f>
        <v>MSDU7786801</v>
      </c>
      <c r="J1488" s="12">
        <v>0</v>
      </c>
      <c r="K1488" s="11" t="s">
        <v>53</v>
      </c>
      <c r="L1488" s="11" t="str">
        <f t="shared" si="96"/>
        <v>741920</v>
      </c>
      <c r="M1488" s="11" t="str">
        <f>IF(I1488&lt;&gt;"",DATA!E1487,"")</f>
        <v>BLUEPRINT STORAGE</v>
      </c>
      <c r="N1488" s="12">
        <v>0</v>
      </c>
      <c r="O1488" s="11">
        <f>IF(I1488&lt;&gt;"",DATA!C1487,"")</f>
        <v>95.5</v>
      </c>
      <c r="P1488" s="2">
        <v>294094</v>
      </c>
      <c r="Q1488" s="2" t="s">
        <v>1304</v>
      </c>
      <c r="R1488" s="2" t="s">
        <v>1334</v>
      </c>
      <c r="S1488" s="2">
        <v>577</v>
      </c>
      <c r="T1488" s="2">
        <v>1</v>
      </c>
      <c r="U1488" s="2" t="s">
        <v>141</v>
      </c>
      <c r="Y1488" s="2">
        <v>1700</v>
      </c>
      <c r="Z1488" s="11" t="s">
        <v>54</v>
      </c>
      <c r="AA1488" s="11" t="str">
        <f t="shared" si="97"/>
        <v>1700 - TBN</v>
      </c>
      <c r="AC1488" s="2" t="s">
        <v>145</v>
      </c>
      <c r="AD1488" s="11" t="str">
        <f>IF($I1488&lt;&gt;"",VLOOKUP($AC1488,GEADRESSEERDE!$A$2:$E$4,2,),"")</f>
        <v>LUITHAGEN HAVEN 2 D</v>
      </c>
      <c r="AE1488" s="11">
        <f>IF($I1488&lt;&gt;"",VLOOKUP($AC1488,GEADRESSEERDE!$A$2:$E$4,3,),"")</f>
        <v>2030</v>
      </c>
      <c r="AF1488" s="11" t="str">
        <f>IF($I1488&lt;&gt;"",VLOOKUP($AC1488,GEADRESSEERDE!$A$2:$E$4,4,),"")</f>
        <v>ANTWERPEN</v>
      </c>
      <c r="AG1488" s="11" t="str">
        <f>IF($I1488&lt;&gt;"",VLOOKUP($AC1488,GEADRESSEERDE!$A$2:$E$4,5,),"")</f>
        <v>BE</v>
      </c>
      <c r="AH1488" s="11" t="str">
        <f>IF(I1488&lt;&gt;"",VLOOKUP(AP1488,KvB!$A$2:$B$3,2,FALSE),"")</f>
        <v>BE101000</v>
      </c>
      <c r="AI1488" s="11" t="s">
        <v>55</v>
      </c>
      <c r="AJ1488" s="11"/>
      <c r="AK1488" s="11"/>
      <c r="AL1488" s="11"/>
      <c r="AM1488" s="11"/>
      <c r="AN1488" s="11"/>
      <c r="AO1488" s="11"/>
      <c r="AP1488" s="2" t="s">
        <v>70</v>
      </c>
      <c r="AQ1488" s="11" t="str">
        <f>IF(I1488&lt;&gt;"",DATA!D1487,"")</f>
        <v>7419200090</v>
      </c>
    </row>
    <row r="1489" spans="1:43" ht="15.75" x14ac:dyDescent="0.25">
      <c r="A1489" s="11" t="s">
        <v>57</v>
      </c>
      <c r="B1489" s="11" t="s">
        <v>56</v>
      </c>
      <c r="C1489" s="22">
        <f t="shared" si="98"/>
        <v>25001620</v>
      </c>
      <c r="D1489" s="11" t="str">
        <f t="shared" si="95"/>
        <v>SKIIFM_AT</v>
      </c>
      <c r="E1489" s="11" t="str">
        <f>IF(I1489&lt;&gt;"",VLOOKUP(F1489,OPDRACHTGEVER!$A$2:$B$4,2,FALSE),"")</f>
        <v>SKIIFM_AT</v>
      </c>
      <c r="F1489" s="11" t="s">
        <v>58</v>
      </c>
      <c r="I1489" s="11" t="str">
        <f>IF(DATA!B1488&lt;&gt;"",DATA!B1488,"")</f>
        <v>MSDU7786801</v>
      </c>
      <c r="J1489" s="12">
        <v>0</v>
      </c>
      <c r="K1489" s="11" t="s">
        <v>53</v>
      </c>
      <c r="L1489" s="11" t="str">
        <f t="shared" si="96"/>
        <v>830220</v>
      </c>
      <c r="M1489" s="11" t="str">
        <f>IF(I1489&lt;&gt;"",DATA!E1488,"")</f>
        <v>BOAT SEAT PEDESTAL</v>
      </c>
      <c r="N1489" s="12">
        <v>0</v>
      </c>
      <c r="O1489" s="11">
        <f>IF(I1489&lt;&gt;"",DATA!C1488,"")</f>
        <v>7.2</v>
      </c>
      <c r="P1489" s="2">
        <v>294094</v>
      </c>
      <c r="Q1489" s="2" t="s">
        <v>1304</v>
      </c>
      <c r="R1489" s="2" t="s">
        <v>1334</v>
      </c>
      <c r="S1489" s="2">
        <v>577</v>
      </c>
      <c r="T1489" s="2">
        <v>1</v>
      </c>
      <c r="U1489" s="2" t="s">
        <v>141</v>
      </c>
      <c r="Y1489" s="2">
        <v>1700</v>
      </c>
      <c r="Z1489" s="11" t="s">
        <v>54</v>
      </c>
      <c r="AA1489" s="11" t="str">
        <f t="shared" si="97"/>
        <v>1700 - TBN</v>
      </c>
      <c r="AC1489" s="2" t="s">
        <v>145</v>
      </c>
      <c r="AD1489" s="11" t="str">
        <f>IF($I1489&lt;&gt;"",VLOOKUP($AC1489,GEADRESSEERDE!$A$2:$E$4,2,),"")</f>
        <v>LUITHAGEN HAVEN 2 D</v>
      </c>
      <c r="AE1489" s="11">
        <f>IF($I1489&lt;&gt;"",VLOOKUP($AC1489,GEADRESSEERDE!$A$2:$E$4,3,),"")</f>
        <v>2030</v>
      </c>
      <c r="AF1489" s="11" t="str">
        <f>IF($I1489&lt;&gt;"",VLOOKUP($AC1489,GEADRESSEERDE!$A$2:$E$4,4,),"")</f>
        <v>ANTWERPEN</v>
      </c>
      <c r="AG1489" s="11" t="str">
        <f>IF($I1489&lt;&gt;"",VLOOKUP($AC1489,GEADRESSEERDE!$A$2:$E$4,5,),"")</f>
        <v>BE</v>
      </c>
      <c r="AH1489" s="11" t="str">
        <f>IF(I1489&lt;&gt;"",VLOOKUP(AP1489,KvB!$A$2:$B$3,2,FALSE),"")</f>
        <v>BE101000</v>
      </c>
      <c r="AI1489" s="11" t="s">
        <v>55</v>
      </c>
      <c r="AJ1489" s="11"/>
      <c r="AK1489" s="11"/>
      <c r="AL1489" s="11"/>
      <c r="AM1489" s="11"/>
      <c r="AN1489" s="11"/>
      <c r="AO1489" s="11"/>
      <c r="AP1489" s="2" t="s">
        <v>70</v>
      </c>
      <c r="AQ1489" s="11" t="str">
        <f>IF(I1489&lt;&gt;"",DATA!D1488,"")</f>
        <v>8302200090</v>
      </c>
    </row>
    <row r="1490" spans="1:43" ht="15.75" x14ac:dyDescent="0.25">
      <c r="A1490" s="11" t="s">
        <v>57</v>
      </c>
      <c r="B1490" s="11" t="s">
        <v>56</v>
      </c>
      <c r="C1490" s="22">
        <f t="shared" si="98"/>
        <v>25001620</v>
      </c>
      <c r="D1490" s="11" t="str">
        <f t="shared" si="95"/>
        <v>SKIIFM_AT</v>
      </c>
      <c r="E1490" s="11" t="str">
        <f>IF(I1490&lt;&gt;"",VLOOKUP(F1490,OPDRACHTGEVER!$A$2:$B$4,2,FALSE),"")</f>
        <v>SKIIFM_AT</v>
      </c>
      <c r="F1490" s="11" t="s">
        <v>58</v>
      </c>
      <c r="I1490" s="11" t="str">
        <f>IF(DATA!B1489&lt;&gt;"",DATA!B1489,"")</f>
        <v>MSDU7786801</v>
      </c>
      <c r="J1490" s="12">
        <v>0</v>
      </c>
      <c r="K1490" s="11" t="s">
        <v>53</v>
      </c>
      <c r="L1490" s="11" t="str">
        <f t="shared" si="96"/>
        <v>950699</v>
      </c>
      <c r="M1490" s="11" t="str">
        <f>IF(I1490&lt;&gt;"",DATA!E1489,"")</f>
        <v>BOUNCE HOUSE</v>
      </c>
      <c r="N1490" s="12">
        <v>0</v>
      </c>
      <c r="O1490" s="11">
        <f>IF(I1490&lt;&gt;"",DATA!C1489,"")</f>
        <v>50.4</v>
      </c>
      <c r="P1490" s="2">
        <v>294094</v>
      </c>
      <c r="Q1490" s="2" t="s">
        <v>1304</v>
      </c>
      <c r="R1490" s="2" t="s">
        <v>1334</v>
      </c>
      <c r="S1490" s="2">
        <v>577</v>
      </c>
      <c r="T1490" s="2">
        <v>1</v>
      </c>
      <c r="U1490" s="2" t="s">
        <v>141</v>
      </c>
      <c r="Y1490" s="2">
        <v>1700</v>
      </c>
      <c r="Z1490" s="11" t="s">
        <v>54</v>
      </c>
      <c r="AA1490" s="11" t="str">
        <f t="shared" si="97"/>
        <v>1700 - TBN</v>
      </c>
      <c r="AC1490" s="2" t="s">
        <v>145</v>
      </c>
      <c r="AD1490" s="11" t="str">
        <f>IF($I1490&lt;&gt;"",VLOOKUP($AC1490,GEADRESSEERDE!$A$2:$E$4,2,),"")</f>
        <v>LUITHAGEN HAVEN 2 D</v>
      </c>
      <c r="AE1490" s="11">
        <f>IF($I1490&lt;&gt;"",VLOOKUP($AC1490,GEADRESSEERDE!$A$2:$E$4,3,),"")</f>
        <v>2030</v>
      </c>
      <c r="AF1490" s="11" t="str">
        <f>IF($I1490&lt;&gt;"",VLOOKUP($AC1490,GEADRESSEERDE!$A$2:$E$4,4,),"")</f>
        <v>ANTWERPEN</v>
      </c>
      <c r="AG1490" s="11" t="str">
        <f>IF($I1490&lt;&gt;"",VLOOKUP($AC1490,GEADRESSEERDE!$A$2:$E$4,5,),"")</f>
        <v>BE</v>
      </c>
      <c r="AH1490" s="11" t="str">
        <f>IF(I1490&lt;&gt;"",VLOOKUP(AP1490,KvB!$A$2:$B$3,2,FALSE),"")</f>
        <v>BE101000</v>
      </c>
      <c r="AI1490" s="11" t="s">
        <v>55</v>
      </c>
      <c r="AJ1490" s="11"/>
      <c r="AK1490" s="11"/>
      <c r="AL1490" s="11"/>
      <c r="AM1490" s="11"/>
      <c r="AN1490" s="11"/>
      <c r="AO1490" s="11"/>
      <c r="AP1490" s="2" t="s">
        <v>70</v>
      </c>
      <c r="AQ1490" s="11" t="str">
        <f>IF(I1490&lt;&gt;"",DATA!D1489,"")</f>
        <v>9506999000</v>
      </c>
    </row>
    <row r="1491" spans="1:43" ht="15.75" x14ac:dyDescent="0.25">
      <c r="A1491" s="11" t="s">
        <v>57</v>
      </c>
      <c r="B1491" s="11" t="s">
        <v>56</v>
      </c>
      <c r="C1491" s="22">
        <f t="shared" si="98"/>
        <v>25001620</v>
      </c>
      <c r="D1491" s="11" t="str">
        <f t="shared" si="95"/>
        <v>SKIIFM_AT</v>
      </c>
      <c r="E1491" s="11" t="str">
        <f>IF(I1491&lt;&gt;"",VLOOKUP(F1491,OPDRACHTGEVER!$A$2:$B$4,2,FALSE),"")</f>
        <v>SKIIFM_AT</v>
      </c>
      <c r="F1491" s="11" t="s">
        <v>58</v>
      </c>
      <c r="I1491" s="11" t="str">
        <f>IF(DATA!B1490&lt;&gt;"",DATA!B1490,"")</f>
        <v>MSDU7786801</v>
      </c>
      <c r="J1491" s="12">
        <v>0</v>
      </c>
      <c r="K1491" s="11" t="s">
        <v>53</v>
      </c>
      <c r="L1491" s="11" t="str">
        <f t="shared" si="96"/>
        <v>392690</v>
      </c>
      <c r="M1491" s="11" t="str">
        <f>IF(I1491&lt;&gt;"",DATA!E1490,"")</f>
        <v>BREAD DISPLAY RACK</v>
      </c>
      <c r="N1491" s="12">
        <v>0</v>
      </c>
      <c r="O1491" s="11">
        <f>IF(I1491&lt;&gt;"",DATA!C1490,"")</f>
        <v>46.4</v>
      </c>
      <c r="P1491" s="2">
        <v>294094</v>
      </c>
      <c r="Q1491" s="2" t="s">
        <v>1304</v>
      </c>
      <c r="R1491" s="2" t="s">
        <v>1334</v>
      </c>
      <c r="S1491" s="2">
        <v>577</v>
      </c>
      <c r="T1491" s="2">
        <v>1</v>
      </c>
      <c r="U1491" s="2" t="s">
        <v>141</v>
      </c>
      <c r="Y1491" s="2">
        <v>1700</v>
      </c>
      <c r="Z1491" s="11" t="s">
        <v>54</v>
      </c>
      <c r="AA1491" s="11" t="str">
        <f t="shared" si="97"/>
        <v>1700 - TBN</v>
      </c>
      <c r="AC1491" s="2" t="s">
        <v>145</v>
      </c>
      <c r="AD1491" s="11" t="str">
        <f>IF($I1491&lt;&gt;"",VLOOKUP($AC1491,GEADRESSEERDE!$A$2:$E$4,2,),"")</f>
        <v>LUITHAGEN HAVEN 2 D</v>
      </c>
      <c r="AE1491" s="11">
        <f>IF($I1491&lt;&gt;"",VLOOKUP($AC1491,GEADRESSEERDE!$A$2:$E$4,3,),"")</f>
        <v>2030</v>
      </c>
      <c r="AF1491" s="11" t="str">
        <f>IF($I1491&lt;&gt;"",VLOOKUP($AC1491,GEADRESSEERDE!$A$2:$E$4,4,),"")</f>
        <v>ANTWERPEN</v>
      </c>
      <c r="AG1491" s="11" t="str">
        <f>IF($I1491&lt;&gt;"",VLOOKUP($AC1491,GEADRESSEERDE!$A$2:$E$4,5,),"")</f>
        <v>BE</v>
      </c>
      <c r="AH1491" s="11" t="str">
        <f>IF(I1491&lt;&gt;"",VLOOKUP(AP1491,KvB!$A$2:$B$3,2,FALSE),"")</f>
        <v>BE101000</v>
      </c>
      <c r="AI1491" s="11" t="s">
        <v>55</v>
      </c>
      <c r="AJ1491" s="11"/>
      <c r="AK1491" s="11"/>
      <c r="AL1491" s="11"/>
      <c r="AM1491" s="11"/>
      <c r="AN1491" s="11"/>
      <c r="AO1491" s="11"/>
      <c r="AP1491" s="2" t="s">
        <v>70</v>
      </c>
      <c r="AQ1491" s="11" t="str">
        <f>IF(I1491&lt;&gt;"",DATA!D1490,"")</f>
        <v>3926909790</v>
      </c>
    </row>
    <row r="1492" spans="1:43" ht="15.75" x14ac:dyDescent="0.25">
      <c r="A1492" s="11" t="s">
        <v>57</v>
      </c>
      <c r="B1492" s="11" t="s">
        <v>56</v>
      </c>
      <c r="C1492" s="22">
        <f t="shared" si="98"/>
        <v>25001620</v>
      </c>
      <c r="D1492" s="11" t="str">
        <f t="shared" si="95"/>
        <v>SKIIFM_AT</v>
      </c>
      <c r="E1492" s="11" t="str">
        <f>IF(I1492&lt;&gt;"",VLOOKUP(F1492,OPDRACHTGEVER!$A$2:$B$4,2,FALSE),"")</f>
        <v>SKIIFM_AT</v>
      </c>
      <c r="F1492" s="11" t="s">
        <v>58</v>
      </c>
      <c r="I1492" s="11" t="str">
        <f>IF(DATA!B1491&lt;&gt;"",DATA!B1491,"")</f>
        <v>MSDU7786801</v>
      </c>
      <c r="J1492" s="12">
        <v>0</v>
      </c>
      <c r="K1492" s="11" t="s">
        <v>53</v>
      </c>
      <c r="L1492" s="11" t="str">
        <f t="shared" si="96"/>
        <v>841620</v>
      </c>
      <c r="M1492" s="11" t="str">
        <f>IF(I1492&lt;&gt;"",DATA!E1491,"")</f>
        <v>BURNER</v>
      </c>
      <c r="N1492" s="12">
        <v>0</v>
      </c>
      <c r="O1492" s="11">
        <f>IF(I1492&lt;&gt;"",DATA!C1491,"")</f>
        <v>6.45</v>
      </c>
      <c r="P1492" s="2">
        <v>294094</v>
      </c>
      <c r="Q1492" s="2" t="s">
        <v>1304</v>
      </c>
      <c r="R1492" s="2" t="s">
        <v>1334</v>
      </c>
      <c r="S1492" s="2">
        <v>577</v>
      </c>
      <c r="T1492" s="2">
        <v>1</v>
      </c>
      <c r="U1492" s="2" t="s">
        <v>141</v>
      </c>
      <c r="Y1492" s="2">
        <v>1700</v>
      </c>
      <c r="Z1492" s="11" t="s">
        <v>54</v>
      </c>
      <c r="AA1492" s="11" t="str">
        <f t="shared" si="97"/>
        <v>1700 - TBN</v>
      </c>
      <c r="AC1492" s="2" t="s">
        <v>145</v>
      </c>
      <c r="AD1492" s="11" t="str">
        <f>IF($I1492&lt;&gt;"",VLOOKUP($AC1492,GEADRESSEERDE!$A$2:$E$4,2,),"")</f>
        <v>LUITHAGEN HAVEN 2 D</v>
      </c>
      <c r="AE1492" s="11">
        <f>IF($I1492&lt;&gt;"",VLOOKUP($AC1492,GEADRESSEERDE!$A$2:$E$4,3,),"")</f>
        <v>2030</v>
      </c>
      <c r="AF1492" s="11" t="str">
        <f>IF($I1492&lt;&gt;"",VLOOKUP($AC1492,GEADRESSEERDE!$A$2:$E$4,4,),"")</f>
        <v>ANTWERPEN</v>
      </c>
      <c r="AG1492" s="11" t="str">
        <f>IF($I1492&lt;&gt;"",VLOOKUP($AC1492,GEADRESSEERDE!$A$2:$E$4,5,),"")</f>
        <v>BE</v>
      </c>
      <c r="AH1492" s="11" t="str">
        <f>IF(I1492&lt;&gt;"",VLOOKUP(AP1492,KvB!$A$2:$B$3,2,FALSE),"")</f>
        <v>BE101000</v>
      </c>
      <c r="AI1492" s="11" t="s">
        <v>55</v>
      </c>
      <c r="AJ1492" s="11"/>
      <c r="AK1492" s="11"/>
      <c r="AL1492" s="11"/>
      <c r="AM1492" s="11"/>
      <c r="AN1492" s="11"/>
      <c r="AO1492" s="11"/>
      <c r="AP1492" s="2" t="s">
        <v>70</v>
      </c>
      <c r="AQ1492" s="11" t="str">
        <f>IF(I1492&lt;&gt;"",DATA!D1491,"")</f>
        <v>8416201000</v>
      </c>
    </row>
    <row r="1493" spans="1:43" ht="15.75" x14ac:dyDescent="0.25">
      <c r="A1493" s="11" t="s">
        <v>57</v>
      </c>
      <c r="B1493" s="11" t="s">
        <v>56</v>
      </c>
      <c r="C1493" s="22">
        <f t="shared" si="98"/>
        <v>25001620</v>
      </c>
      <c r="D1493" s="11" t="str">
        <f t="shared" si="95"/>
        <v>SKIIFM_AT</v>
      </c>
      <c r="E1493" s="11" t="str">
        <f>IF(I1493&lt;&gt;"",VLOOKUP(F1493,OPDRACHTGEVER!$A$2:$B$4,2,FALSE),"")</f>
        <v>SKIIFM_AT</v>
      </c>
      <c r="F1493" s="11" t="s">
        <v>58</v>
      </c>
      <c r="I1493" s="11" t="str">
        <f>IF(DATA!B1492&lt;&gt;"",DATA!B1492,"")</f>
        <v>MSDU7786801</v>
      </c>
      <c r="J1493" s="12">
        <v>0</v>
      </c>
      <c r="K1493" s="11" t="s">
        <v>53</v>
      </c>
      <c r="L1493" s="11" t="str">
        <f t="shared" si="96"/>
        <v>843880</v>
      </c>
      <c r="M1493" s="11" t="str">
        <f>IF(I1493&lt;&gt;"",DATA!E1492,"")</f>
        <v>COIL</v>
      </c>
      <c r="N1493" s="12">
        <v>0</v>
      </c>
      <c r="O1493" s="11">
        <f>IF(I1493&lt;&gt;"",DATA!C1492,"")</f>
        <v>2.8</v>
      </c>
      <c r="P1493" s="2">
        <v>294094</v>
      </c>
      <c r="Q1493" s="2" t="s">
        <v>1304</v>
      </c>
      <c r="R1493" s="2" t="s">
        <v>1334</v>
      </c>
      <c r="S1493" s="2">
        <v>577</v>
      </c>
      <c r="T1493" s="2">
        <v>1</v>
      </c>
      <c r="U1493" s="2" t="s">
        <v>141</v>
      </c>
      <c r="Y1493" s="2">
        <v>1700</v>
      </c>
      <c r="Z1493" s="11" t="s">
        <v>54</v>
      </c>
      <c r="AA1493" s="11" t="str">
        <f t="shared" si="97"/>
        <v>1700 - TBN</v>
      </c>
      <c r="AC1493" s="2" t="s">
        <v>145</v>
      </c>
      <c r="AD1493" s="11" t="str">
        <f>IF($I1493&lt;&gt;"",VLOOKUP($AC1493,GEADRESSEERDE!$A$2:$E$4,2,),"")</f>
        <v>LUITHAGEN HAVEN 2 D</v>
      </c>
      <c r="AE1493" s="11">
        <f>IF($I1493&lt;&gt;"",VLOOKUP($AC1493,GEADRESSEERDE!$A$2:$E$4,3,),"")</f>
        <v>2030</v>
      </c>
      <c r="AF1493" s="11" t="str">
        <f>IF($I1493&lt;&gt;"",VLOOKUP($AC1493,GEADRESSEERDE!$A$2:$E$4,4,),"")</f>
        <v>ANTWERPEN</v>
      </c>
      <c r="AG1493" s="11" t="str">
        <f>IF($I1493&lt;&gt;"",VLOOKUP($AC1493,GEADRESSEERDE!$A$2:$E$4,5,),"")</f>
        <v>BE</v>
      </c>
      <c r="AH1493" s="11" t="str">
        <f>IF(I1493&lt;&gt;"",VLOOKUP(AP1493,KvB!$A$2:$B$3,2,FALSE),"")</f>
        <v>BE101000</v>
      </c>
      <c r="AI1493" s="11" t="s">
        <v>55</v>
      </c>
      <c r="AJ1493" s="11"/>
      <c r="AK1493" s="11"/>
      <c r="AL1493" s="11"/>
      <c r="AM1493" s="11"/>
      <c r="AN1493" s="11"/>
      <c r="AO1493" s="11"/>
      <c r="AP1493" s="2" t="s">
        <v>70</v>
      </c>
      <c r="AQ1493" s="11" t="str">
        <f>IF(I1493&lt;&gt;"",DATA!D1492,"")</f>
        <v>8438809900</v>
      </c>
    </row>
    <row r="1494" spans="1:43" ht="15.75" x14ac:dyDescent="0.25">
      <c r="A1494" s="11" t="s">
        <v>57</v>
      </c>
      <c r="B1494" s="11" t="s">
        <v>56</v>
      </c>
      <c r="C1494" s="22">
        <f t="shared" si="98"/>
        <v>25001620</v>
      </c>
      <c r="D1494" s="11" t="str">
        <f t="shared" si="95"/>
        <v>SKIIFM_AT</v>
      </c>
      <c r="E1494" s="11" t="str">
        <f>IF(I1494&lt;&gt;"",VLOOKUP(F1494,OPDRACHTGEVER!$A$2:$B$4,2,FALSE),"")</f>
        <v>SKIIFM_AT</v>
      </c>
      <c r="F1494" s="11" t="s">
        <v>58</v>
      </c>
      <c r="I1494" s="11" t="str">
        <f>IF(DATA!B1493&lt;&gt;"",DATA!B1493,"")</f>
        <v>MSDU7786801</v>
      </c>
      <c r="J1494" s="12">
        <v>0</v>
      </c>
      <c r="K1494" s="11" t="s">
        <v>53</v>
      </c>
      <c r="L1494" s="11" t="str">
        <f t="shared" si="96"/>
        <v>903210</v>
      </c>
      <c r="M1494" s="11" t="str">
        <f>IF(I1494&lt;&gt;"",DATA!E1493,"")</f>
        <v>CONTROLLER</v>
      </c>
      <c r="N1494" s="12">
        <v>0</v>
      </c>
      <c r="O1494" s="11">
        <f>IF(I1494&lt;&gt;"",DATA!C1493,"")</f>
        <v>12.6</v>
      </c>
      <c r="P1494" s="2">
        <v>294094</v>
      </c>
      <c r="Q1494" s="2" t="s">
        <v>1304</v>
      </c>
      <c r="R1494" s="2" t="s">
        <v>1334</v>
      </c>
      <c r="S1494" s="2">
        <v>577</v>
      </c>
      <c r="T1494" s="2">
        <v>1</v>
      </c>
      <c r="U1494" s="2" t="s">
        <v>141</v>
      </c>
      <c r="Y1494" s="2">
        <v>1700</v>
      </c>
      <c r="Z1494" s="11" t="s">
        <v>54</v>
      </c>
      <c r="AA1494" s="11" t="str">
        <f t="shared" si="97"/>
        <v>1700 - TBN</v>
      </c>
      <c r="AC1494" s="2" t="s">
        <v>145</v>
      </c>
      <c r="AD1494" s="11" t="str">
        <f>IF($I1494&lt;&gt;"",VLOOKUP($AC1494,GEADRESSEERDE!$A$2:$E$4,2,),"")</f>
        <v>LUITHAGEN HAVEN 2 D</v>
      </c>
      <c r="AE1494" s="11">
        <f>IF($I1494&lt;&gt;"",VLOOKUP($AC1494,GEADRESSEERDE!$A$2:$E$4,3,),"")</f>
        <v>2030</v>
      </c>
      <c r="AF1494" s="11" t="str">
        <f>IF($I1494&lt;&gt;"",VLOOKUP($AC1494,GEADRESSEERDE!$A$2:$E$4,4,),"")</f>
        <v>ANTWERPEN</v>
      </c>
      <c r="AG1494" s="11" t="str">
        <f>IF($I1494&lt;&gt;"",VLOOKUP($AC1494,GEADRESSEERDE!$A$2:$E$4,5,),"")</f>
        <v>BE</v>
      </c>
      <c r="AH1494" s="11" t="str">
        <f>IF(I1494&lt;&gt;"",VLOOKUP(AP1494,KvB!$A$2:$B$3,2,FALSE),"")</f>
        <v>BE101000</v>
      </c>
      <c r="AI1494" s="11" t="s">
        <v>55</v>
      </c>
      <c r="AJ1494" s="11"/>
      <c r="AK1494" s="11"/>
      <c r="AL1494" s="11"/>
      <c r="AM1494" s="11"/>
      <c r="AN1494" s="11"/>
      <c r="AO1494" s="11"/>
      <c r="AP1494" s="2" t="s">
        <v>70</v>
      </c>
      <c r="AQ1494" s="11" t="str">
        <f>IF(I1494&lt;&gt;"",DATA!D1493,"")</f>
        <v>9032102090</v>
      </c>
    </row>
    <row r="1495" spans="1:43" ht="15.75" x14ac:dyDescent="0.25">
      <c r="A1495" s="11" t="s">
        <v>57</v>
      </c>
      <c r="B1495" s="11" t="s">
        <v>56</v>
      </c>
      <c r="C1495" s="22">
        <f t="shared" si="98"/>
        <v>25001620</v>
      </c>
      <c r="D1495" s="11" t="str">
        <f t="shared" si="95"/>
        <v>SKIIFM_AT</v>
      </c>
      <c r="E1495" s="11" t="str">
        <f>IF(I1495&lt;&gt;"",VLOOKUP(F1495,OPDRACHTGEVER!$A$2:$B$4,2,FALSE),"")</f>
        <v>SKIIFM_AT</v>
      </c>
      <c r="F1495" s="11" t="s">
        <v>58</v>
      </c>
      <c r="I1495" s="11" t="str">
        <f>IF(DATA!B1494&lt;&gt;"",DATA!B1494,"")</f>
        <v>MSDU7786801</v>
      </c>
      <c r="J1495" s="12">
        <v>0</v>
      </c>
      <c r="K1495" s="11" t="s">
        <v>53</v>
      </c>
      <c r="L1495" s="11" t="str">
        <f t="shared" si="96"/>
        <v>843880</v>
      </c>
      <c r="M1495" s="11" t="str">
        <f>IF(I1495&lt;&gt;"",DATA!E1494,"")</f>
        <v>COTTON CANDY MACHINE</v>
      </c>
      <c r="N1495" s="12">
        <v>0</v>
      </c>
      <c r="O1495" s="11">
        <f>IF(I1495&lt;&gt;"",DATA!C1494,"")</f>
        <v>59.25</v>
      </c>
      <c r="P1495" s="2">
        <v>294094</v>
      </c>
      <c r="Q1495" s="2" t="s">
        <v>1304</v>
      </c>
      <c r="R1495" s="2" t="s">
        <v>1334</v>
      </c>
      <c r="S1495" s="2">
        <v>577</v>
      </c>
      <c r="T1495" s="2">
        <v>1</v>
      </c>
      <c r="U1495" s="2" t="s">
        <v>141</v>
      </c>
      <c r="Y1495" s="2">
        <v>1700</v>
      </c>
      <c r="Z1495" s="11" t="s">
        <v>54</v>
      </c>
      <c r="AA1495" s="11" t="str">
        <f t="shared" si="97"/>
        <v>1700 - TBN</v>
      </c>
      <c r="AC1495" s="2" t="s">
        <v>145</v>
      </c>
      <c r="AD1495" s="11" t="str">
        <f>IF($I1495&lt;&gt;"",VLOOKUP($AC1495,GEADRESSEERDE!$A$2:$E$4,2,),"")</f>
        <v>LUITHAGEN HAVEN 2 D</v>
      </c>
      <c r="AE1495" s="11">
        <f>IF($I1495&lt;&gt;"",VLOOKUP($AC1495,GEADRESSEERDE!$A$2:$E$4,3,),"")</f>
        <v>2030</v>
      </c>
      <c r="AF1495" s="11" t="str">
        <f>IF($I1495&lt;&gt;"",VLOOKUP($AC1495,GEADRESSEERDE!$A$2:$E$4,4,),"")</f>
        <v>ANTWERPEN</v>
      </c>
      <c r="AG1495" s="11" t="str">
        <f>IF($I1495&lt;&gt;"",VLOOKUP($AC1495,GEADRESSEERDE!$A$2:$E$4,5,),"")</f>
        <v>BE</v>
      </c>
      <c r="AH1495" s="11" t="str">
        <f>IF(I1495&lt;&gt;"",VLOOKUP(AP1495,KvB!$A$2:$B$3,2,FALSE),"")</f>
        <v>BE101000</v>
      </c>
      <c r="AI1495" s="11" t="s">
        <v>55</v>
      </c>
      <c r="AJ1495" s="11"/>
      <c r="AK1495" s="11"/>
      <c r="AL1495" s="11"/>
      <c r="AM1495" s="11"/>
      <c r="AN1495" s="11"/>
      <c r="AO1495" s="11"/>
      <c r="AP1495" s="2" t="s">
        <v>70</v>
      </c>
      <c r="AQ1495" s="11" t="str">
        <f>IF(I1495&lt;&gt;"",DATA!D1494,"")</f>
        <v>8438809900</v>
      </c>
    </row>
    <row r="1496" spans="1:43" ht="15.75" x14ac:dyDescent="0.25">
      <c r="A1496" s="11" t="s">
        <v>57</v>
      </c>
      <c r="B1496" s="11" t="s">
        <v>56</v>
      </c>
      <c r="C1496" s="22">
        <f t="shared" si="98"/>
        <v>25001620</v>
      </c>
      <c r="D1496" s="11" t="str">
        <f t="shared" si="95"/>
        <v>SKIIFM_AT</v>
      </c>
      <c r="E1496" s="11" t="str">
        <f>IF(I1496&lt;&gt;"",VLOOKUP(F1496,OPDRACHTGEVER!$A$2:$B$4,2,FALSE),"")</f>
        <v>SKIIFM_AT</v>
      </c>
      <c r="F1496" s="11" t="s">
        <v>58</v>
      </c>
      <c r="I1496" s="11" t="str">
        <f>IF(DATA!B1495&lt;&gt;"",DATA!B1495,"")</f>
        <v>MSDU7786801</v>
      </c>
      <c r="J1496" s="12">
        <v>0</v>
      </c>
      <c r="K1496" s="11" t="s">
        <v>53</v>
      </c>
      <c r="L1496" s="11" t="str">
        <f t="shared" si="96"/>
        <v>848190</v>
      </c>
      <c r="M1496" s="11" t="str">
        <f>IF(I1496&lt;&gt;"",DATA!E1495,"")</f>
        <v>DECK MOUNTED PRE-RINSE FAUCET</v>
      </c>
      <c r="N1496" s="12">
        <v>0</v>
      </c>
      <c r="O1496" s="11">
        <f>IF(I1496&lt;&gt;"",DATA!C1495,"")</f>
        <v>5.0999999999999996</v>
      </c>
      <c r="P1496" s="2">
        <v>294094</v>
      </c>
      <c r="Q1496" s="2" t="s">
        <v>1304</v>
      </c>
      <c r="R1496" s="2" t="s">
        <v>1334</v>
      </c>
      <c r="S1496" s="2">
        <v>577</v>
      </c>
      <c r="T1496" s="2">
        <v>1</v>
      </c>
      <c r="U1496" s="2" t="s">
        <v>141</v>
      </c>
      <c r="Y1496" s="2">
        <v>1700</v>
      </c>
      <c r="Z1496" s="11" t="s">
        <v>54</v>
      </c>
      <c r="AA1496" s="11" t="str">
        <f t="shared" si="97"/>
        <v>1700 - TBN</v>
      </c>
      <c r="AC1496" s="2" t="s">
        <v>145</v>
      </c>
      <c r="AD1496" s="11" t="str">
        <f>IF($I1496&lt;&gt;"",VLOOKUP($AC1496,GEADRESSEERDE!$A$2:$E$4,2,),"")</f>
        <v>LUITHAGEN HAVEN 2 D</v>
      </c>
      <c r="AE1496" s="11">
        <f>IF($I1496&lt;&gt;"",VLOOKUP($AC1496,GEADRESSEERDE!$A$2:$E$4,3,),"")</f>
        <v>2030</v>
      </c>
      <c r="AF1496" s="11" t="str">
        <f>IF($I1496&lt;&gt;"",VLOOKUP($AC1496,GEADRESSEERDE!$A$2:$E$4,4,),"")</f>
        <v>ANTWERPEN</v>
      </c>
      <c r="AG1496" s="11" t="str">
        <f>IF($I1496&lt;&gt;"",VLOOKUP($AC1496,GEADRESSEERDE!$A$2:$E$4,5,),"")</f>
        <v>BE</v>
      </c>
      <c r="AH1496" s="11" t="str">
        <f>IF(I1496&lt;&gt;"",VLOOKUP(AP1496,KvB!$A$2:$B$3,2,FALSE),"")</f>
        <v>BE101000</v>
      </c>
      <c r="AI1496" s="11" t="s">
        <v>55</v>
      </c>
      <c r="AJ1496" s="11"/>
      <c r="AK1496" s="11"/>
      <c r="AL1496" s="11"/>
      <c r="AM1496" s="11"/>
      <c r="AN1496" s="11"/>
      <c r="AO1496" s="11"/>
      <c r="AP1496" s="2" t="s">
        <v>70</v>
      </c>
      <c r="AQ1496" s="11" t="str">
        <f>IF(I1496&lt;&gt;"",DATA!D1495,"")</f>
        <v>8481900090</v>
      </c>
    </row>
    <row r="1497" spans="1:43" ht="15.75" x14ac:dyDescent="0.25">
      <c r="A1497" s="11" t="s">
        <v>57</v>
      </c>
      <c r="B1497" s="11" t="s">
        <v>56</v>
      </c>
      <c r="C1497" s="22">
        <f t="shared" si="98"/>
        <v>25001620</v>
      </c>
      <c r="D1497" s="11" t="str">
        <f t="shared" si="95"/>
        <v>SKIIFM_AT</v>
      </c>
      <c r="E1497" s="11" t="str">
        <f>IF(I1497&lt;&gt;"",VLOOKUP(F1497,OPDRACHTGEVER!$A$2:$B$4,2,FALSE),"")</f>
        <v>SKIIFM_AT</v>
      </c>
      <c r="F1497" s="11" t="s">
        <v>58</v>
      </c>
      <c r="I1497" s="11" t="str">
        <f>IF(DATA!B1496&lt;&gt;"",DATA!B1496,"")</f>
        <v>MSDU7786801</v>
      </c>
      <c r="J1497" s="12">
        <v>0</v>
      </c>
      <c r="K1497" s="11" t="s">
        <v>53</v>
      </c>
      <c r="L1497" s="11" t="str">
        <f t="shared" si="96"/>
        <v>903149</v>
      </c>
      <c r="M1497" s="11" t="str">
        <f>IF(I1497&lt;&gt;"",DATA!E1496,"")</f>
        <v>DIGITAL READOUT FOR LATHE</v>
      </c>
      <c r="N1497" s="12">
        <v>0</v>
      </c>
      <c r="O1497" s="11">
        <f>IF(I1497&lt;&gt;"",DATA!C1496,"")</f>
        <v>52.55</v>
      </c>
      <c r="P1497" s="2">
        <v>294094</v>
      </c>
      <c r="Q1497" s="2" t="s">
        <v>1304</v>
      </c>
      <c r="R1497" s="2" t="s">
        <v>1334</v>
      </c>
      <c r="S1497" s="2">
        <v>577</v>
      </c>
      <c r="T1497" s="2">
        <v>1</v>
      </c>
      <c r="U1497" s="2" t="s">
        <v>141</v>
      </c>
      <c r="Y1497" s="2">
        <v>1700</v>
      </c>
      <c r="Z1497" s="11" t="s">
        <v>54</v>
      </c>
      <c r="AA1497" s="11" t="str">
        <f t="shared" si="97"/>
        <v>1700 - TBN</v>
      </c>
      <c r="AC1497" s="2" t="s">
        <v>145</v>
      </c>
      <c r="AD1497" s="11" t="str">
        <f>IF($I1497&lt;&gt;"",VLOOKUP($AC1497,GEADRESSEERDE!$A$2:$E$4,2,),"")</f>
        <v>LUITHAGEN HAVEN 2 D</v>
      </c>
      <c r="AE1497" s="11">
        <f>IF($I1497&lt;&gt;"",VLOOKUP($AC1497,GEADRESSEERDE!$A$2:$E$4,3,),"")</f>
        <v>2030</v>
      </c>
      <c r="AF1497" s="11" t="str">
        <f>IF($I1497&lt;&gt;"",VLOOKUP($AC1497,GEADRESSEERDE!$A$2:$E$4,4,),"")</f>
        <v>ANTWERPEN</v>
      </c>
      <c r="AG1497" s="11" t="str">
        <f>IF($I1497&lt;&gt;"",VLOOKUP($AC1497,GEADRESSEERDE!$A$2:$E$4,5,),"")</f>
        <v>BE</v>
      </c>
      <c r="AH1497" s="11" t="str">
        <f>IF(I1497&lt;&gt;"",VLOOKUP(AP1497,KvB!$A$2:$B$3,2,FALSE),"")</f>
        <v>BE101000</v>
      </c>
      <c r="AI1497" s="11" t="s">
        <v>55</v>
      </c>
      <c r="AJ1497" s="11"/>
      <c r="AK1497" s="11"/>
      <c r="AL1497" s="11"/>
      <c r="AM1497" s="11"/>
      <c r="AN1497" s="11"/>
      <c r="AO1497" s="11"/>
      <c r="AP1497" s="2" t="s">
        <v>70</v>
      </c>
      <c r="AQ1497" s="11" t="str">
        <f>IF(I1497&lt;&gt;"",DATA!D1496,"")</f>
        <v>9031499000</v>
      </c>
    </row>
    <row r="1498" spans="1:43" ht="15.75" x14ac:dyDescent="0.25">
      <c r="A1498" s="11" t="s">
        <v>57</v>
      </c>
      <c r="B1498" s="11" t="s">
        <v>56</v>
      </c>
      <c r="C1498" s="22">
        <f t="shared" si="98"/>
        <v>25001620</v>
      </c>
      <c r="D1498" s="11" t="str">
        <f t="shared" si="95"/>
        <v>SKIIFM_AT</v>
      </c>
      <c r="E1498" s="11" t="str">
        <f>IF(I1498&lt;&gt;"",VLOOKUP(F1498,OPDRACHTGEVER!$A$2:$B$4,2,FALSE),"")</f>
        <v>SKIIFM_AT</v>
      </c>
      <c r="F1498" s="11" t="s">
        <v>58</v>
      </c>
      <c r="I1498" s="11" t="str">
        <f>IF(DATA!B1497&lt;&gt;"",DATA!B1497,"")</f>
        <v>MSDU7786801</v>
      </c>
      <c r="J1498" s="12">
        <v>0</v>
      </c>
      <c r="K1498" s="11" t="s">
        <v>53</v>
      </c>
      <c r="L1498" s="11" t="str">
        <f t="shared" si="96"/>
        <v>741920</v>
      </c>
      <c r="M1498" s="11" t="str">
        <f>IF(I1498&lt;&gt;"",DATA!E1497,"")</f>
        <v>DINING STOVE</v>
      </c>
      <c r="N1498" s="12">
        <v>0</v>
      </c>
      <c r="O1498" s="11">
        <f>IF(I1498&lt;&gt;"",DATA!C1497,"")</f>
        <v>25.93</v>
      </c>
      <c r="P1498" s="2">
        <v>294094</v>
      </c>
      <c r="Q1498" s="2" t="s">
        <v>1304</v>
      </c>
      <c r="R1498" s="2" t="s">
        <v>1334</v>
      </c>
      <c r="S1498" s="2">
        <v>577</v>
      </c>
      <c r="T1498" s="2">
        <v>1</v>
      </c>
      <c r="U1498" s="2" t="s">
        <v>141</v>
      </c>
      <c r="Y1498" s="2">
        <v>1700</v>
      </c>
      <c r="Z1498" s="11" t="s">
        <v>54</v>
      </c>
      <c r="AA1498" s="11" t="str">
        <f t="shared" si="97"/>
        <v>1700 - TBN</v>
      </c>
      <c r="AC1498" s="2" t="s">
        <v>145</v>
      </c>
      <c r="AD1498" s="11" t="str">
        <f>IF($I1498&lt;&gt;"",VLOOKUP($AC1498,GEADRESSEERDE!$A$2:$E$4,2,),"")</f>
        <v>LUITHAGEN HAVEN 2 D</v>
      </c>
      <c r="AE1498" s="11">
        <f>IF($I1498&lt;&gt;"",VLOOKUP($AC1498,GEADRESSEERDE!$A$2:$E$4,3,),"")</f>
        <v>2030</v>
      </c>
      <c r="AF1498" s="11" t="str">
        <f>IF($I1498&lt;&gt;"",VLOOKUP($AC1498,GEADRESSEERDE!$A$2:$E$4,4,),"")</f>
        <v>ANTWERPEN</v>
      </c>
      <c r="AG1498" s="11" t="str">
        <f>IF($I1498&lt;&gt;"",VLOOKUP($AC1498,GEADRESSEERDE!$A$2:$E$4,5,),"")</f>
        <v>BE</v>
      </c>
      <c r="AH1498" s="11" t="str">
        <f>IF(I1498&lt;&gt;"",VLOOKUP(AP1498,KvB!$A$2:$B$3,2,FALSE),"")</f>
        <v>BE101000</v>
      </c>
      <c r="AI1498" s="11" t="s">
        <v>55</v>
      </c>
      <c r="AJ1498" s="11"/>
      <c r="AK1498" s="11"/>
      <c r="AL1498" s="11"/>
      <c r="AM1498" s="11"/>
      <c r="AN1498" s="11"/>
      <c r="AO1498" s="11"/>
      <c r="AP1498" s="2" t="s">
        <v>70</v>
      </c>
      <c r="AQ1498" s="11" t="str">
        <f>IF(I1498&lt;&gt;"",DATA!D1497,"")</f>
        <v>7419200090</v>
      </c>
    </row>
    <row r="1499" spans="1:43" ht="15.75" x14ac:dyDescent="0.25">
      <c r="A1499" s="11" t="s">
        <v>57</v>
      </c>
      <c r="B1499" s="11" t="s">
        <v>56</v>
      </c>
      <c r="C1499" s="22">
        <f t="shared" si="98"/>
        <v>25001620</v>
      </c>
      <c r="D1499" s="11" t="str">
        <f t="shared" si="95"/>
        <v>SKIIFM_AT</v>
      </c>
      <c r="E1499" s="11" t="str">
        <f>IF(I1499&lt;&gt;"",VLOOKUP(F1499,OPDRACHTGEVER!$A$2:$B$4,2,FALSE),"")</f>
        <v>SKIIFM_AT</v>
      </c>
      <c r="F1499" s="11" t="s">
        <v>58</v>
      </c>
      <c r="I1499" s="11" t="str">
        <f>IF(DATA!B1498&lt;&gt;"",DATA!B1498,"")</f>
        <v>MSDU7786801</v>
      </c>
      <c r="J1499" s="12">
        <v>0</v>
      </c>
      <c r="K1499" s="11" t="s">
        <v>53</v>
      </c>
      <c r="L1499" s="11" t="str">
        <f t="shared" si="96"/>
        <v>950629</v>
      </c>
      <c r="M1499" s="11" t="str">
        <f>IF(I1499&lt;&gt;"",DATA!E1498,"")</f>
        <v>DIVING RESPIRATOR</v>
      </c>
      <c r="N1499" s="12">
        <v>0</v>
      </c>
      <c r="O1499" s="11">
        <f>IF(I1499&lt;&gt;"",DATA!C1498,"")</f>
        <v>10.29</v>
      </c>
      <c r="P1499" s="2">
        <v>294094</v>
      </c>
      <c r="Q1499" s="2" t="s">
        <v>1304</v>
      </c>
      <c r="R1499" s="2" t="s">
        <v>1334</v>
      </c>
      <c r="S1499" s="2">
        <v>577</v>
      </c>
      <c r="T1499" s="2">
        <v>1</v>
      </c>
      <c r="U1499" s="2" t="s">
        <v>141</v>
      </c>
      <c r="Y1499" s="2">
        <v>1700</v>
      </c>
      <c r="Z1499" s="11" t="s">
        <v>54</v>
      </c>
      <c r="AA1499" s="11" t="str">
        <f t="shared" si="97"/>
        <v>1700 - TBN</v>
      </c>
      <c r="AC1499" s="2" t="s">
        <v>145</v>
      </c>
      <c r="AD1499" s="11" t="str">
        <f>IF($I1499&lt;&gt;"",VLOOKUP($AC1499,GEADRESSEERDE!$A$2:$E$4,2,),"")</f>
        <v>LUITHAGEN HAVEN 2 D</v>
      </c>
      <c r="AE1499" s="11">
        <f>IF($I1499&lt;&gt;"",VLOOKUP($AC1499,GEADRESSEERDE!$A$2:$E$4,3,),"")</f>
        <v>2030</v>
      </c>
      <c r="AF1499" s="11" t="str">
        <f>IF($I1499&lt;&gt;"",VLOOKUP($AC1499,GEADRESSEERDE!$A$2:$E$4,4,),"")</f>
        <v>ANTWERPEN</v>
      </c>
      <c r="AG1499" s="11" t="str">
        <f>IF($I1499&lt;&gt;"",VLOOKUP($AC1499,GEADRESSEERDE!$A$2:$E$4,5,),"")</f>
        <v>BE</v>
      </c>
      <c r="AH1499" s="11" t="str">
        <f>IF(I1499&lt;&gt;"",VLOOKUP(AP1499,KvB!$A$2:$B$3,2,FALSE),"")</f>
        <v>BE101000</v>
      </c>
      <c r="AI1499" s="11" t="s">
        <v>55</v>
      </c>
      <c r="AJ1499" s="11"/>
      <c r="AK1499" s="11"/>
      <c r="AL1499" s="11"/>
      <c r="AM1499" s="11"/>
      <c r="AN1499" s="11"/>
      <c r="AO1499" s="11"/>
      <c r="AP1499" s="2" t="s">
        <v>70</v>
      </c>
      <c r="AQ1499" s="11" t="str">
        <f>IF(I1499&lt;&gt;"",DATA!D1498,"")</f>
        <v>9506290000</v>
      </c>
    </row>
    <row r="1500" spans="1:43" ht="15.75" x14ac:dyDescent="0.25">
      <c r="A1500" s="11" t="s">
        <v>57</v>
      </c>
      <c r="B1500" s="11" t="s">
        <v>56</v>
      </c>
      <c r="C1500" s="22">
        <f t="shared" si="98"/>
        <v>25001620</v>
      </c>
      <c r="D1500" s="11" t="str">
        <f t="shared" si="95"/>
        <v>SKIIFM_AT</v>
      </c>
      <c r="E1500" s="11" t="str">
        <f>IF(I1500&lt;&gt;"",VLOOKUP(F1500,OPDRACHTGEVER!$A$2:$B$4,2,FALSE),"")</f>
        <v>SKIIFM_AT</v>
      </c>
      <c r="F1500" s="11" t="s">
        <v>58</v>
      </c>
      <c r="I1500" s="11" t="str">
        <f>IF(DATA!B1499&lt;&gt;"",DATA!B1499,"")</f>
        <v>MSDU7786801</v>
      </c>
      <c r="J1500" s="12">
        <v>0</v>
      </c>
      <c r="K1500" s="11" t="s">
        <v>53</v>
      </c>
      <c r="L1500" s="11" t="str">
        <f t="shared" si="96"/>
        <v>841940</v>
      </c>
      <c r="M1500" s="11" t="str">
        <f>IF(I1500&lt;&gt;"",DATA!E1499,"")</f>
        <v>DOUBLE CONDENSER WATER ALCOHOL DISTILLER</v>
      </c>
      <c r="N1500" s="12">
        <v>0</v>
      </c>
      <c r="O1500" s="11">
        <f>IF(I1500&lt;&gt;"",DATA!C1499,"")</f>
        <v>26.1</v>
      </c>
      <c r="P1500" s="2">
        <v>294094</v>
      </c>
      <c r="Q1500" s="2" t="s">
        <v>1304</v>
      </c>
      <c r="R1500" s="2" t="s">
        <v>1334</v>
      </c>
      <c r="S1500" s="2">
        <v>577</v>
      </c>
      <c r="T1500" s="2">
        <v>1</v>
      </c>
      <c r="U1500" s="2" t="s">
        <v>141</v>
      </c>
      <c r="Y1500" s="2">
        <v>1700</v>
      </c>
      <c r="Z1500" s="11" t="s">
        <v>54</v>
      </c>
      <c r="AA1500" s="11" t="str">
        <f t="shared" si="97"/>
        <v>1700 - TBN</v>
      </c>
      <c r="AC1500" s="2" t="s">
        <v>145</v>
      </c>
      <c r="AD1500" s="11" t="str">
        <f>IF($I1500&lt;&gt;"",VLOOKUP($AC1500,GEADRESSEERDE!$A$2:$E$4,2,),"")</f>
        <v>LUITHAGEN HAVEN 2 D</v>
      </c>
      <c r="AE1500" s="11">
        <f>IF($I1500&lt;&gt;"",VLOOKUP($AC1500,GEADRESSEERDE!$A$2:$E$4,3,),"")</f>
        <v>2030</v>
      </c>
      <c r="AF1500" s="11" t="str">
        <f>IF($I1500&lt;&gt;"",VLOOKUP($AC1500,GEADRESSEERDE!$A$2:$E$4,4,),"")</f>
        <v>ANTWERPEN</v>
      </c>
      <c r="AG1500" s="11" t="str">
        <f>IF($I1500&lt;&gt;"",VLOOKUP($AC1500,GEADRESSEERDE!$A$2:$E$4,5,),"")</f>
        <v>BE</v>
      </c>
      <c r="AH1500" s="11" t="str">
        <f>IF(I1500&lt;&gt;"",VLOOKUP(AP1500,KvB!$A$2:$B$3,2,FALSE),"")</f>
        <v>BE101000</v>
      </c>
      <c r="AI1500" s="11" t="s">
        <v>55</v>
      </c>
      <c r="AJ1500" s="11"/>
      <c r="AK1500" s="11"/>
      <c r="AL1500" s="11"/>
      <c r="AM1500" s="11"/>
      <c r="AN1500" s="11"/>
      <c r="AO1500" s="11"/>
      <c r="AP1500" s="2" t="s">
        <v>70</v>
      </c>
      <c r="AQ1500" s="11" t="str">
        <f>IF(I1500&lt;&gt;"",DATA!D1499,"")</f>
        <v>8419400090</v>
      </c>
    </row>
    <row r="1501" spans="1:43" ht="15.75" x14ac:dyDescent="0.25">
      <c r="A1501" s="11" t="s">
        <v>57</v>
      </c>
      <c r="B1501" s="11" t="s">
        <v>56</v>
      </c>
      <c r="C1501" s="22">
        <f t="shared" si="98"/>
        <v>25001620</v>
      </c>
      <c r="D1501" s="11" t="str">
        <f t="shared" si="95"/>
        <v>SKIIFM_AT</v>
      </c>
      <c r="E1501" s="11" t="str">
        <f>IF(I1501&lt;&gt;"",VLOOKUP(F1501,OPDRACHTGEVER!$A$2:$B$4,2,FALSE),"")</f>
        <v>SKIIFM_AT</v>
      </c>
      <c r="F1501" s="11" t="s">
        <v>58</v>
      </c>
      <c r="I1501" s="11" t="str">
        <f>IF(DATA!B1500&lt;&gt;"",DATA!B1500,"")</f>
        <v>MSDU7786801</v>
      </c>
      <c r="J1501" s="12">
        <v>0</v>
      </c>
      <c r="K1501" s="11" t="s">
        <v>53</v>
      </c>
      <c r="L1501" s="11" t="str">
        <f t="shared" si="96"/>
        <v>830241</v>
      </c>
      <c r="M1501" s="11" t="str">
        <f>IF(I1501&lt;&gt;"",DATA!E1500,"")</f>
        <v>DRAWER SLIDE</v>
      </c>
      <c r="N1501" s="12">
        <v>0</v>
      </c>
      <c r="O1501" s="11">
        <f>IF(I1501&lt;&gt;"",DATA!C1500,"")</f>
        <v>33.6</v>
      </c>
      <c r="P1501" s="2">
        <v>294094</v>
      </c>
      <c r="Q1501" s="2" t="s">
        <v>1304</v>
      </c>
      <c r="R1501" s="2" t="s">
        <v>1334</v>
      </c>
      <c r="S1501" s="2">
        <v>577</v>
      </c>
      <c r="T1501" s="2">
        <v>1</v>
      </c>
      <c r="U1501" s="2" t="s">
        <v>141</v>
      </c>
      <c r="Y1501" s="2">
        <v>1700</v>
      </c>
      <c r="Z1501" s="11" t="s">
        <v>54</v>
      </c>
      <c r="AA1501" s="11" t="str">
        <f t="shared" si="97"/>
        <v>1700 - TBN</v>
      </c>
      <c r="AC1501" s="2" t="s">
        <v>145</v>
      </c>
      <c r="AD1501" s="11" t="str">
        <f>IF($I1501&lt;&gt;"",VLOOKUP($AC1501,GEADRESSEERDE!$A$2:$E$4,2,),"")</f>
        <v>LUITHAGEN HAVEN 2 D</v>
      </c>
      <c r="AE1501" s="11">
        <f>IF($I1501&lt;&gt;"",VLOOKUP($AC1501,GEADRESSEERDE!$A$2:$E$4,3,),"")</f>
        <v>2030</v>
      </c>
      <c r="AF1501" s="11" t="str">
        <f>IF($I1501&lt;&gt;"",VLOOKUP($AC1501,GEADRESSEERDE!$A$2:$E$4,4,),"")</f>
        <v>ANTWERPEN</v>
      </c>
      <c r="AG1501" s="11" t="str">
        <f>IF($I1501&lt;&gt;"",VLOOKUP($AC1501,GEADRESSEERDE!$A$2:$E$4,5,),"")</f>
        <v>BE</v>
      </c>
      <c r="AH1501" s="11" t="str">
        <f>IF(I1501&lt;&gt;"",VLOOKUP(AP1501,KvB!$A$2:$B$3,2,FALSE),"")</f>
        <v>BE101000</v>
      </c>
      <c r="AI1501" s="11" t="s">
        <v>55</v>
      </c>
      <c r="AJ1501" s="11"/>
      <c r="AK1501" s="11"/>
      <c r="AL1501" s="11"/>
      <c r="AM1501" s="11"/>
      <c r="AN1501" s="11"/>
      <c r="AO1501" s="11"/>
      <c r="AP1501" s="2" t="s">
        <v>70</v>
      </c>
      <c r="AQ1501" s="11" t="str">
        <f>IF(I1501&lt;&gt;"",DATA!D1500,"")</f>
        <v>8302419000</v>
      </c>
    </row>
    <row r="1502" spans="1:43" ht="15.75" x14ac:dyDescent="0.25">
      <c r="A1502" s="11" t="s">
        <v>57</v>
      </c>
      <c r="B1502" s="11" t="s">
        <v>56</v>
      </c>
      <c r="C1502" s="22">
        <f t="shared" si="98"/>
        <v>25001620</v>
      </c>
      <c r="D1502" s="11" t="str">
        <f t="shared" si="95"/>
        <v>SKIIFM_AT</v>
      </c>
      <c r="E1502" s="11" t="str">
        <f>IF(I1502&lt;&gt;"",VLOOKUP(F1502,OPDRACHTGEVER!$A$2:$B$4,2,FALSE),"")</f>
        <v>SKIIFM_AT</v>
      </c>
      <c r="F1502" s="11" t="s">
        <v>58</v>
      </c>
      <c r="I1502" s="11" t="str">
        <f>IF(DATA!B1501&lt;&gt;"",DATA!B1501,"")</f>
        <v>MSDU7786801</v>
      </c>
      <c r="J1502" s="12">
        <v>0</v>
      </c>
      <c r="K1502" s="11" t="s">
        <v>53</v>
      </c>
      <c r="L1502" s="11" t="str">
        <f t="shared" si="96"/>
        <v>830242</v>
      </c>
      <c r="M1502" s="11" t="str">
        <f>IF(I1502&lt;&gt;"",DATA!E1501,"")</f>
        <v>DRAWER SLIDES</v>
      </c>
      <c r="N1502" s="12">
        <v>0</v>
      </c>
      <c r="O1502" s="11">
        <f>IF(I1502&lt;&gt;"",DATA!C1501,"")</f>
        <v>129.76</v>
      </c>
      <c r="P1502" s="2">
        <v>294094</v>
      </c>
      <c r="Q1502" s="2" t="s">
        <v>1304</v>
      </c>
      <c r="R1502" s="2" t="s">
        <v>1334</v>
      </c>
      <c r="S1502" s="2">
        <v>577</v>
      </c>
      <c r="T1502" s="2">
        <v>1</v>
      </c>
      <c r="U1502" s="2" t="s">
        <v>141</v>
      </c>
      <c r="Y1502" s="2">
        <v>1700</v>
      </c>
      <c r="Z1502" s="11" t="s">
        <v>54</v>
      </c>
      <c r="AA1502" s="11" t="str">
        <f t="shared" si="97"/>
        <v>1700 - TBN</v>
      </c>
      <c r="AC1502" s="2" t="s">
        <v>145</v>
      </c>
      <c r="AD1502" s="11" t="str">
        <f>IF($I1502&lt;&gt;"",VLOOKUP($AC1502,GEADRESSEERDE!$A$2:$E$4,2,),"")</f>
        <v>LUITHAGEN HAVEN 2 D</v>
      </c>
      <c r="AE1502" s="11">
        <f>IF($I1502&lt;&gt;"",VLOOKUP($AC1502,GEADRESSEERDE!$A$2:$E$4,3,),"")</f>
        <v>2030</v>
      </c>
      <c r="AF1502" s="11" t="str">
        <f>IF($I1502&lt;&gt;"",VLOOKUP($AC1502,GEADRESSEERDE!$A$2:$E$4,4,),"")</f>
        <v>ANTWERPEN</v>
      </c>
      <c r="AG1502" s="11" t="str">
        <f>IF($I1502&lt;&gt;"",VLOOKUP($AC1502,GEADRESSEERDE!$A$2:$E$4,5,),"")</f>
        <v>BE</v>
      </c>
      <c r="AH1502" s="11" t="str">
        <f>IF(I1502&lt;&gt;"",VLOOKUP(AP1502,KvB!$A$2:$B$3,2,FALSE),"")</f>
        <v>BE101000</v>
      </c>
      <c r="AI1502" s="11" t="s">
        <v>55</v>
      </c>
      <c r="AJ1502" s="11"/>
      <c r="AK1502" s="11"/>
      <c r="AL1502" s="11"/>
      <c r="AM1502" s="11"/>
      <c r="AN1502" s="11"/>
      <c r="AO1502" s="11"/>
      <c r="AP1502" s="2" t="s">
        <v>70</v>
      </c>
      <c r="AQ1502" s="11" t="str">
        <f>IF(I1502&lt;&gt;"",DATA!D1501,"")</f>
        <v>8302420090</v>
      </c>
    </row>
    <row r="1503" spans="1:43" ht="15.75" x14ac:dyDescent="0.25">
      <c r="A1503" s="11" t="s">
        <v>57</v>
      </c>
      <c r="B1503" s="11" t="s">
        <v>56</v>
      </c>
      <c r="C1503" s="22">
        <f t="shared" si="98"/>
        <v>25001620</v>
      </c>
      <c r="D1503" s="11" t="str">
        <f t="shared" si="95"/>
        <v>SKIIFM_AT</v>
      </c>
      <c r="E1503" s="11" t="str">
        <f>IF(I1503&lt;&gt;"",VLOOKUP(F1503,OPDRACHTGEVER!$A$2:$B$4,2,FALSE),"")</f>
        <v>SKIIFM_AT</v>
      </c>
      <c r="F1503" s="11" t="s">
        <v>58</v>
      </c>
      <c r="I1503" s="11" t="str">
        <f>IF(DATA!B1502&lt;&gt;"",DATA!B1502,"")</f>
        <v>MSDU7786801</v>
      </c>
      <c r="J1503" s="12">
        <v>0</v>
      </c>
      <c r="K1503" s="11" t="s">
        <v>53</v>
      </c>
      <c r="L1503" s="11" t="str">
        <f t="shared" si="96"/>
        <v>843810</v>
      </c>
      <c r="M1503" s="11" t="str">
        <f>IF(I1503&lt;&gt;"",DATA!E1502,"")</f>
        <v>ELECTRIC CORN TORTILLA MAKER MACHINE</v>
      </c>
      <c r="N1503" s="12">
        <v>0</v>
      </c>
      <c r="O1503" s="11">
        <f>IF(I1503&lt;&gt;"",DATA!C1502,"")</f>
        <v>273</v>
      </c>
      <c r="P1503" s="2">
        <v>294094</v>
      </c>
      <c r="Q1503" s="2" t="s">
        <v>1304</v>
      </c>
      <c r="R1503" s="2" t="s">
        <v>1334</v>
      </c>
      <c r="S1503" s="2">
        <v>577</v>
      </c>
      <c r="T1503" s="2">
        <v>1</v>
      </c>
      <c r="U1503" s="2" t="s">
        <v>141</v>
      </c>
      <c r="Y1503" s="2">
        <v>1700</v>
      </c>
      <c r="Z1503" s="11" t="s">
        <v>54</v>
      </c>
      <c r="AA1503" s="11" t="str">
        <f t="shared" si="97"/>
        <v>1700 - TBN</v>
      </c>
      <c r="AC1503" s="2" t="s">
        <v>145</v>
      </c>
      <c r="AD1503" s="11" t="str">
        <f>IF($I1503&lt;&gt;"",VLOOKUP($AC1503,GEADRESSEERDE!$A$2:$E$4,2,),"")</f>
        <v>LUITHAGEN HAVEN 2 D</v>
      </c>
      <c r="AE1503" s="11">
        <f>IF($I1503&lt;&gt;"",VLOOKUP($AC1503,GEADRESSEERDE!$A$2:$E$4,3,),"")</f>
        <v>2030</v>
      </c>
      <c r="AF1503" s="11" t="str">
        <f>IF($I1503&lt;&gt;"",VLOOKUP($AC1503,GEADRESSEERDE!$A$2:$E$4,4,),"")</f>
        <v>ANTWERPEN</v>
      </c>
      <c r="AG1503" s="11" t="str">
        <f>IF($I1503&lt;&gt;"",VLOOKUP($AC1503,GEADRESSEERDE!$A$2:$E$4,5,),"")</f>
        <v>BE</v>
      </c>
      <c r="AH1503" s="11" t="str">
        <f>IF(I1503&lt;&gt;"",VLOOKUP(AP1503,KvB!$A$2:$B$3,2,FALSE),"")</f>
        <v>BE101000</v>
      </c>
      <c r="AI1503" s="11" t="s">
        <v>55</v>
      </c>
      <c r="AJ1503" s="11"/>
      <c r="AK1503" s="11"/>
      <c r="AL1503" s="11"/>
      <c r="AM1503" s="11"/>
      <c r="AN1503" s="11"/>
      <c r="AO1503" s="11"/>
      <c r="AP1503" s="2" t="s">
        <v>70</v>
      </c>
      <c r="AQ1503" s="11" t="str">
        <f>IF(I1503&lt;&gt;"",DATA!D1502,"")</f>
        <v>8438101000</v>
      </c>
    </row>
    <row r="1504" spans="1:43" ht="15.75" x14ac:dyDescent="0.25">
      <c r="A1504" s="11" t="s">
        <v>57</v>
      </c>
      <c r="B1504" s="11" t="s">
        <v>56</v>
      </c>
      <c r="C1504" s="22">
        <f t="shared" si="98"/>
        <v>25001620</v>
      </c>
      <c r="D1504" s="11" t="str">
        <f t="shared" si="95"/>
        <v>SKIIFM_AT</v>
      </c>
      <c r="E1504" s="11" t="str">
        <f>IF(I1504&lt;&gt;"",VLOOKUP(F1504,OPDRACHTGEVER!$A$2:$B$4,2,FALSE),"")</f>
        <v>SKIIFM_AT</v>
      </c>
      <c r="F1504" s="11" t="s">
        <v>58</v>
      </c>
      <c r="I1504" s="11" t="str">
        <f>IF(DATA!B1503&lt;&gt;"",DATA!B1503,"")</f>
        <v>MSDU7786801</v>
      </c>
      <c r="J1504" s="12">
        <v>0</v>
      </c>
      <c r="K1504" s="11" t="s">
        <v>53</v>
      </c>
      <c r="L1504" s="11" t="str">
        <f t="shared" si="96"/>
        <v>841981</v>
      </c>
      <c r="M1504" s="11" t="str">
        <f>IF(I1504&lt;&gt;"",DATA!E1503,"")</f>
        <v>ELECTRIC FOOD WARMER</v>
      </c>
      <c r="N1504" s="12">
        <v>0</v>
      </c>
      <c r="O1504" s="11">
        <f>IF(I1504&lt;&gt;"",DATA!C1503,"")</f>
        <v>124.1</v>
      </c>
      <c r="P1504" s="2">
        <v>294094</v>
      </c>
      <c r="Q1504" s="2" t="s">
        <v>1304</v>
      </c>
      <c r="R1504" s="2" t="s">
        <v>1334</v>
      </c>
      <c r="S1504" s="2">
        <v>577</v>
      </c>
      <c r="T1504" s="2">
        <v>1</v>
      </c>
      <c r="U1504" s="2" t="s">
        <v>141</v>
      </c>
      <c r="Y1504" s="2">
        <v>1700</v>
      </c>
      <c r="Z1504" s="11" t="s">
        <v>54</v>
      </c>
      <c r="AA1504" s="11" t="str">
        <f t="shared" si="97"/>
        <v>1700 - TBN</v>
      </c>
      <c r="AC1504" s="2" t="s">
        <v>145</v>
      </c>
      <c r="AD1504" s="11" t="str">
        <f>IF($I1504&lt;&gt;"",VLOOKUP($AC1504,GEADRESSEERDE!$A$2:$E$4,2,),"")</f>
        <v>LUITHAGEN HAVEN 2 D</v>
      </c>
      <c r="AE1504" s="11">
        <f>IF($I1504&lt;&gt;"",VLOOKUP($AC1504,GEADRESSEERDE!$A$2:$E$4,3,),"")</f>
        <v>2030</v>
      </c>
      <c r="AF1504" s="11" t="str">
        <f>IF($I1504&lt;&gt;"",VLOOKUP($AC1504,GEADRESSEERDE!$A$2:$E$4,4,),"")</f>
        <v>ANTWERPEN</v>
      </c>
      <c r="AG1504" s="11" t="str">
        <f>IF($I1504&lt;&gt;"",VLOOKUP($AC1504,GEADRESSEERDE!$A$2:$E$4,5,),"")</f>
        <v>BE</v>
      </c>
      <c r="AH1504" s="11" t="str">
        <f>IF(I1504&lt;&gt;"",VLOOKUP(AP1504,KvB!$A$2:$B$3,2,FALSE),"")</f>
        <v>BE101000</v>
      </c>
      <c r="AI1504" s="11" t="s">
        <v>55</v>
      </c>
      <c r="AJ1504" s="11"/>
      <c r="AK1504" s="11"/>
      <c r="AL1504" s="11"/>
      <c r="AM1504" s="11"/>
      <c r="AN1504" s="11"/>
      <c r="AO1504" s="11"/>
      <c r="AP1504" s="2" t="s">
        <v>70</v>
      </c>
      <c r="AQ1504" s="11" t="str">
        <f>IF(I1504&lt;&gt;"",DATA!D1503,"")</f>
        <v>8419818090</v>
      </c>
    </row>
    <row r="1505" spans="1:43" ht="15.75" x14ac:dyDescent="0.25">
      <c r="A1505" s="11" t="s">
        <v>57</v>
      </c>
      <c r="B1505" s="11" t="s">
        <v>56</v>
      </c>
      <c r="C1505" s="22">
        <f t="shared" si="98"/>
        <v>25001620</v>
      </c>
      <c r="D1505" s="11" t="str">
        <f t="shared" si="95"/>
        <v>SKIIFM_AT</v>
      </c>
      <c r="E1505" s="11" t="str">
        <f>IF(I1505&lt;&gt;"",VLOOKUP(F1505,OPDRACHTGEVER!$A$2:$B$4,2,FALSE),"")</f>
        <v>SKIIFM_AT</v>
      </c>
      <c r="F1505" s="11" t="s">
        <v>58</v>
      </c>
      <c r="I1505" s="11" t="str">
        <f>IF(DATA!B1504&lt;&gt;"",DATA!B1504,"")</f>
        <v>MSDU7786801</v>
      </c>
      <c r="J1505" s="12">
        <v>0</v>
      </c>
      <c r="K1505" s="11" t="s">
        <v>53</v>
      </c>
      <c r="L1505" s="11" t="str">
        <f t="shared" si="96"/>
        <v>741920</v>
      </c>
      <c r="M1505" s="11" t="str">
        <f>IF(I1505&lt;&gt;"",DATA!E1504,"")</f>
        <v>FIREWOOD RACK</v>
      </c>
      <c r="N1505" s="12">
        <v>0</v>
      </c>
      <c r="O1505" s="11">
        <f>IF(I1505&lt;&gt;"",DATA!C1504,"")</f>
        <v>13.6</v>
      </c>
      <c r="P1505" s="2">
        <v>294094</v>
      </c>
      <c r="Q1505" s="2" t="s">
        <v>1304</v>
      </c>
      <c r="R1505" s="2" t="s">
        <v>1334</v>
      </c>
      <c r="S1505" s="2">
        <v>577</v>
      </c>
      <c r="T1505" s="2">
        <v>1</v>
      </c>
      <c r="U1505" s="2" t="s">
        <v>141</v>
      </c>
      <c r="Y1505" s="2">
        <v>1700</v>
      </c>
      <c r="Z1505" s="11" t="s">
        <v>54</v>
      </c>
      <c r="AA1505" s="11" t="str">
        <f t="shared" si="97"/>
        <v>1700 - TBN</v>
      </c>
      <c r="AC1505" s="2" t="s">
        <v>145</v>
      </c>
      <c r="AD1505" s="11" t="str">
        <f>IF($I1505&lt;&gt;"",VLOOKUP($AC1505,GEADRESSEERDE!$A$2:$E$4,2,),"")</f>
        <v>LUITHAGEN HAVEN 2 D</v>
      </c>
      <c r="AE1505" s="11">
        <f>IF($I1505&lt;&gt;"",VLOOKUP($AC1505,GEADRESSEERDE!$A$2:$E$4,3,),"")</f>
        <v>2030</v>
      </c>
      <c r="AF1505" s="11" t="str">
        <f>IF($I1505&lt;&gt;"",VLOOKUP($AC1505,GEADRESSEERDE!$A$2:$E$4,4,),"")</f>
        <v>ANTWERPEN</v>
      </c>
      <c r="AG1505" s="11" t="str">
        <f>IF($I1505&lt;&gt;"",VLOOKUP($AC1505,GEADRESSEERDE!$A$2:$E$4,5,),"")</f>
        <v>BE</v>
      </c>
      <c r="AH1505" s="11" t="str">
        <f>IF(I1505&lt;&gt;"",VLOOKUP(AP1505,KvB!$A$2:$B$3,2,FALSE),"")</f>
        <v>BE101000</v>
      </c>
      <c r="AI1505" s="11" t="s">
        <v>55</v>
      </c>
      <c r="AJ1505" s="11"/>
      <c r="AK1505" s="11"/>
      <c r="AL1505" s="11"/>
      <c r="AM1505" s="11"/>
      <c r="AN1505" s="11"/>
      <c r="AO1505" s="11"/>
      <c r="AP1505" s="2" t="s">
        <v>70</v>
      </c>
      <c r="AQ1505" s="11" t="str">
        <f>IF(I1505&lt;&gt;"",DATA!D1504,"")</f>
        <v>7419200090</v>
      </c>
    </row>
    <row r="1506" spans="1:43" ht="15.75" x14ac:dyDescent="0.25">
      <c r="A1506" s="11" t="s">
        <v>57</v>
      </c>
      <c r="B1506" s="11" t="s">
        <v>56</v>
      </c>
      <c r="C1506" s="22">
        <f t="shared" si="98"/>
        <v>25001620</v>
      </c>
      <c r="D1506" s="11" t="str">
        <f t="shared" si="95"/>
        <v>SKIIFM_AT</v>
      </c>
      <c r="E1506" s="11" t="str">
        <f>IF(I1506&lt;&gt;"",VLOOKUP(F1506,OPDRACHTGEVER!$A$2:$B$4,2,FALSE),"")</f>
        <v>SKIIFM_AT</v>
      </c>
      <c r="F1506" s="11" t="s">
        <v>58</v>
      </c>
      <c r="I1506" s="11" t="str">
        <f>IF(DATA!B1505&lt;&gt;"",DATA!B1505,"")</f>
        <v>MSDU7786801</v>
      </c>
      <c r="J1506" s="12">
        <v>0</v>
      </c>
      <c r="K1506" s="11" t="s">
        <v>53</v>
      </c>
      <c r="L1506" s="11" t="str">
        <f t="shared" si="96"/>
        <v>940179</v>
      </c>
      <c r="M1506" s="11" t="str">
        <f>IF(I1506&lt;&gt;"",DATA!E1505,"")</f>
        <v>FIXED TUB TRANSFER BENCH</v>
      </c>
      <c r="N1506" s="12">
        <v>0</v>
      </c>
      <c r="O1506" s="11">
        <f>IF(I1506&lt;&gt;"",DATA!C1505,"")</f>
        <v>76.8</v>
      </c>
      <c r="P1506" s="2">
        <v>294094</v>
      </c>
      <c r="Q1506" s="2" t="s">
        <v>1304</v>
      </c>
      <c r="R1506" s="2" t="s">
        <v>1334</v>
      </c>
      <c r="S1506" s="2">
        <v>577</v>
      </c>
      <c r="T1506" s="2">
        <v>1</v>
      </c>
      <c r="U1506" s="2" t="s">
        <v>141</v>
      </c>
      <c r="Y1506" s="2">
        <v>1700</v>
      </c>
      <c r="Z1506" s="11" t="s">
        <v>54</v>
      </c>
      <c r="AA1506" s="11" t="str">
        <f t="shared" si="97"/>
        <v>1700 - TBN</v>
      </c>
      <c r="AC1506" s="2" t="s">
        <v>145</v>
      </c>
      <c r="AD1506" s="11" t="str">
        <f>IF($I1506&lt;&gt;"",VLOOKUP($AC1506,GEADRESSEERDE!$A$2:$E$4,2,),"")</f>
        <v>LUITHAGEN HAVEN 2 D</v>
      </c>
      <c r="AE1506" s="11">
        <f>IF($I1506&lt;&gt;"",VLOOKUP($AC1506,GEADRESSEERDE!$A$2:$E$4,3,),"")</f>
        <v>2030</v>
      </c>
      <c r="AF1506" s="11" t="str">
        <f>IF($I1506&lt;&gt;"",VLOOKUP($AC1506,GEADRESSEERDE!$A$2:$E$4,4,),"")</f>
        <v>ANTWERPEN</v>
      </c>
      <c r="AG1506" s="11" t="str">
        <f>IF($I1506&lt;&gt;"",VLOOKUP($AC1506,GEADRESSEERDE!$A$2:$E$4,5,),"")</f>
        <v>BE</v>
      </c>
      <c r="AH1506" s="11" t="str">
        <f>IF(I1506&lt;&gt;"",VLOOKUP(AP1506,KvB!$A$2:$B$3,2,FALSE),"")</f>
        <v>BE101000</v>
      </c>
      <c r="AI1506" s="11" t="s">
        <v>55</v>
      </c>
      <c r="AJ1506" s="11"/>
      <c r="AK1506" s="11"/>
      <c r="AL1506" s="11"/>
      <c r="AM1506" s="11"/>
      <c r="AN1506" s="11"/>
      <c r="AO1506" s="11"/>
      <c r="AP1506" s="2" t="s">
        <v>70</v>
      </c>
      <c r="AQ1506" s="11" t="str">
        <f>IF(I1506&lt;&gt;"",DATA!D1505,"")</f>
        <v>9401790000</v>
      </c>
    </row>
    <row r="1507" spans="1:43" ht="15.75" x14ac:dyDescent="0.25">
      <c r="A1507" s="11" t="s">
        <v>57</v>
      </c>
      <c r="B1507" s="11" t="s">
        <v>56</v>
      </c>
      <c r="C1507" s="22">
        <f t="shared" si="98"/>
        <v>25001620</v>
      </c>
      <c r="D1507" s="11" t="str">
        <f t="shared" si="95"/>
        <v>SKIIFM_AT</v>
      </c>
      <c r="E1507" s="11" t="str">
        <f>IF(I1507&lt;&gt;"",VLOOKUP(F1507,OPDRACHTGEVER!$A$2:$B$4,2,FALSE),"")</f>
        <v>SKIIFM_AT</v>
      </c>
      <c r="F1507" s="11" t="s">
        <v>58</v>
      </c>
      <c r="I1507" s="11" t="str">
        <f>IF(DATA!B1506&lt;&gt;"",DATA!B1506,"")</f>
        <v>MSDU7786801</v>
      </c>
      <c r="J1507" s="12">
        <v>0</v>
      </c>
      <c r="K1507" s="11" t="s">
        <v>53</v>
      </c>
      <c r="L1507" s="11" t="str">
        <f t="shared" si="96"/>
        <v>761699</v>
      </c>
      <c r="M1507" s="11" t="str">
        <f>IF(I1507&lt;&gt;"",DATA!E1506,"")</f>
        <v>FOLDABLE TILT LEGS</v>
      </c>
      <c r="N1507" s="12">
        <v>0</v>
      </c>
      <c r="O1507" s="11">
        <f>IF(I1507&lt;&gt;"",DATA!C1506,"")</f>
        <v>52.8</v>
      </c>
      <c r="P1507" s="2">
        <v>294094</v>
      </c>
      <c r="Q1507" s="2" t="s">
        <v>1304</v>
      </c>
      <c r="R1507" s="2" t="s">
        <v>1334</v>
      </c>
      <c r="S1507" s="2">
        <v>577</v>
      </c>
      <c r="T1507" s="2">
        <v>1</v>
      </c>
      <c r="U1507" s="2" t="s">
        <v>141</v>
      </c>
      <c r="Y1507" s="2">
        <v>1700</v>
      </c>
      <c r="Z1507" s="11" t="s">
        <v>54</v>
      </c>
      <c r="AA1507" s="11" t="str">
        <f t="shared" si="97"/>
        <v>1700 - TBN</v>
      </c>
      <c r="AC1507" s="2" t="s">
        <v>145</v>
      </c>
      <c r="AD1507" s="11" t="str">
        <f>IF($I1507&lt;&gt;"",VLOOKUP($AC1507,GEADRESSEERDE!$A$2:$E$4,2,),"")</f>
        <v>LUITHAGEN HAVEN 2 D</v>
      </c>
      <c r="AE1507" s="11">
        <f>IF($I1507&lt;&gt;"",VLOOKUP($AC1507,GEADRESSEERDE!$A$2:$E$4,3,),"")</f>
        <v>2030</v>
      </c>
      <c r="AF1507" s="11" t="str">
        <f>IF($I1507&lt;&gt;"",VLOOKUP($AC1507,GEADRESSEERDE!$A$2:$E$4,4,),"")</f>
        <v>ANTWERPEN</v>
      </c>
      <c r="AG1507" s="11" t="str">
        <f>IF($I1507&lt;&gt;"",VLOOKUP($AC1507,GEADRESSEERDE!$A$2:$E$4,5,),"")</f>
        <v>BE</v>
      </c>
      <c r="AH1507" s="11" t="str">
        <f>IF(I1507&lt;&gt;"",VLOOKUP(AP1507,KvB!$A$2:$B$3,2,FALSE),"")</f>
        <v>BE101000</v>
      </c>
      <c r="AI1507" s="11" t="s">
        <v>55</v>
      </c>
      <c r="AJ1507" s="11"/>
      <c r="AK1507" s="11"/>
      <c r="AL1507" s="11"/>
      <c r="AM1507" s="11"/>
      <c r="AN1507" s="11"/>
      <c r="AO1507" s="11"/>
      <c r="AP1507" s="2" t="s">
        <v>70</v>
      </c>
      <c r="AQ1507" s="11" t="str">
        <f>IF(I1507&lt;&gt;"",DATA!D1506,"")</f>
        <v>7616999099</v>
      </c>
    </row>
    <row r="1508" spans="1:43" ht="15.75" x14ac:dyDescent="0.25">
      <c r="A1508" s="11" t="s">
        <v>57</v>
      </c>
      <c r="B1508" s="11" t="s">
        <v>56</v>
      </c>
      <c r="C1508" s="22">
        <f t="shared" si="98"/>
        <v>25001620</v>
      </c>
      <c r="D1508" s="11" t="str">
        <f t="shared" si="95"/>
        <v>SKIIFM_AT</v>
      </c>
      <c r="E1508" s="11" t="str">
        <f>IF(I1508&lt;&gt;"",VLOOKUP(F1508,OPDRACHTGEVER!$A$2:$B$4,2,FALSE),"")</f>
        <v>SKIIFM_AT</v>
      </c>
      <c r="F1508" s="11" t="s">
        <v>58</v>
      </c>
      <c r="I1508" s="11" t="str">
        <f>IF(DATA!B1507&lt;&gt;"",DATA!B1507,"")</f>
        <v>MSDU7786801</v>
      </c>
      <c r="J1508" s="12">
        <v>0</v>
      </c>
      <c r="K1508" s="11" t="s">
        <v>53</v>
      </c>
      <c r="L1508" s="11" t="str">
        <f t="shared" si="96"/>
        <v>741920</v>
      </c>
      <c r="M1508" s="11" t="str">
        <f>IF(I1508&lt;&gt;"",DATA!E1507,"")</f>
        <v>FOOD DISPLAY RACK</v>
      </c>
      <c r="N1508" s="12">
        <v>0</v>
      </c>
      <c r="O1508" s="11">
        <f>IF(I1508&lt;&gt;"",DATA!C1507,"")</f>
        <v>37.15</v>
      </c>
      <c r="P1508" s="2">
        <v>294094</v>
      </c>
      <c r="Q1508" s="2" t="s">
        <v>1304</v>
      </c>
      <c r="R1508" s="2" t="s">
        <v>1334</v>
      </c>
      <c r="S1508" s="2">
        <v>577</v>
      </c>
      <c r="T1508" s="2">
        <v>1</v>
      </c>
      <c r="U1508" s="2" t="s">
        <v>141</v>
      </c>
      <c r="Y1508" s="2">
        <v>1700</v>
      </c>
      <c r="Z1508" s="11" t="s">
        <v>54</v>
      </c>
      <c r="AA1508" s="11" t="str">
        <f t="shared" si="97"/>
        <v>1700 - TBN</v>
      </c>
      <c r="AC1508" s="2" t="s">
        <v>145</v>
      </c>
      <c r="AD1508" s="11" t="str">
        <f>IF($I1508&lt;&gt;"",VLOOKUP($AC1508,GEADRESSEERDE!$A$2:$E$4,2,),"")</f>
        <v>LUITHAGEN HAVEN 2 D</v>
      </c>
      <c r="AE1508" s="11">
        <f>IF($I1508&lt;&gt;"",VLOOKUP($AC1508,GEADRESSEERDE!$A$2:$E$4,3,),"")</f>
        <v>2030</v>
      </c>
      <c r="AF1508" s="11" t="str">
        <f>IF($I1508&lt;&gt;"",VLOOKUP($AC1508,GEADRESSEERDE!$A$2:$E$4,4,),"")</f>
        <v>ANTWERPEN</v>
      </c>
      <c r="AG1508" s="11" t="str">
        <f>IF($I1508&lt;&gt;"",VLOOKUP($AC1508,GEADRESSEERDE!$A$2:$E$4,5,),"")</f>
        <v>BE</v>
      </c>
      <c r="AH1508" s="11" t="str">
        <f>IF(I1508&lt;&gt;"",VLOOKUP(AP1508,KvB!$A$2:$B$3,2,FALSE),"")</f>
        <v>BE101000</v>
      </c>
      <c r="AI1508" s="11" t="s">
        <v>55</v>
      </c>
      <c r="AJ1508" s="11"/>
      <c r="AK1508" s="11"/>
      <c r="AL1508" s="11"/>
      <c r="AM1508" s="11"/>
      <c r="AN1508" s="11"/>
      <c r="AO1508" s="11"/>
      <c r="AP1508" s="2" t="s">
        <v>70</v>
      </c>
      <c r="AQ1508" s="11" t="str">
        <f>IF(I1508&lt;&gt;"",DATA!D1507,"")</f>
        <v>7419200090</v>
      </c>
    </row>
    <row r="1509" spans="1:43" ht="15.75" x14ac:dyDescent="0.25">
      <c r="A1509" s="11" t="s">
        <v>57</v>
      </c>
      <c r="B1509" s="11" t="s">
        <v>56</v>
      </c>
      <c r="C1509" s="22">
        <f t="shared" si="98"/>
        <v>25001620</v>
      </c>
      <c r="D1509" s="11" t="str">
        <f t="shared" si="95"/>
        <v>SKIIFM_AT</v>
      </c>
      <c r="E1509" s="11" t="str">
        <f>IF(I1509&lt;&gt;"",VLOOKUP(F1509,OPDRACHTGEVER!$A$2:$B$4,2,FALSE),"")</f>
        <v>SKIIFM_AT</v>
      </c>
      <c r="F1509" s="11" t="s">
        <v>58</v>
      </c>
      <c r="I1509" s="11" t="str">
        <f>IF(DATA!B1508&lt;&gt;"",DATA!B1508,"")</f>
        <v>MSDU7786801</v>
      </c>
      <c r="J1509" s="12">
        <v>0</v>
      </c>
      <c r="K1509" s="11" t="s">
        <v>53</v>
      </c>
      <c r="L1509" s="11" t="str">
        <f t="shared" si="96"/>
        <v>950691</v>
      </c>
      <c r="M1509" s="11" t="str">
        <f>IF(I1509&lt;&gt;"",DATA!E1508,"")</f>
        <v>FOOTBALL REBOUND DEVICE</v>
      </c>
      <c r="N1509" s="12">
        <v>0</v>
      </c>
      <c r="O1509" s="11">
        <f>IF(I1509&lt;&gt;"",DATA!C1508,"")</f>
        <v>94.95</v>
      </c>
      <c r="P1509" s="2">
        <v>294094</v>
      </c>
      <c r="Q1509" s="2" t="s">
        <v>1304</v>
      </c>
      <c r="R1509" s="2" t="s">
        <v>1334</v>
      </c>
      <c r="S1509" s="2">
        <v>577</v>
      </c>
      <c r="T1509" s="2">
        <v>1</v>
      </c>
      <c r="U1509" s="2" t="s">
        <v>141</v>
      </c>
      <c r="Y1509" s="2">
        <v>1700</v>
      </c>
      <c r="Z1509" s="11" t="s">
        <v>54</v>
      </c>
      <c r="AA1509" s="11" t="str">
        <f t="shared" si="97"/>
        <v>1700 - TBN</v>
      </c>
      <c r="AC1509" s="2" t="s">
        <v>145</v>
      </c>
      <c r="AD1509" s="11" t="str">
        <f>IF($I1509&lt;&gt;"",VLOOKUP($AC1509,GEADRESSEERDE!$A$2:$E$4,2,),"")</f>
        <v>LUITHAGEN HAVEN 2 D</v>
      </c>
      <c r="AE1509" s="11">
        <f>IF($I1509&lt;&gt;"",VLOOKUP($AC1509,GEADRESSEERDE!$A$2:$E$4,3,),"")</f>
        <v>2030</v>
      </c>
      <c r="AF1509" s="11" t="str">
        <f>IF($I1509&lt;&gt;"",VLOOKUP($AC1509,GEADRESSEERDE!$A$2:$E$4,4,),"")</f>
        <v>ANTWERPEN</v>
      </c>
      <c r="AG1509" s="11" t="str">
        <f>IF($I1509&lt;&gt;"",VLOOKUP($AC1509,GEADRESSEERDE!$A$2:$E$4,5,),"")</f>
        <v>BE</v>
      </c>
      <c r="AH1509" s="11" t="str">
        <f>IF(I1509&lt;&gt;"",VLOOKUP(AP1509,KvB!$A$2:$B$3,2,FALSE),"")</f>
        <v>BE101000</v>
      </c>
      <c r="AI1509" s="11" t="s">
        <v>55</v>
      </c>
      <c r="AJ1509" s="11"/>
      <c r="AK1509" s="11"/>
      <c r="AL1509" s="11"/>
      <c r="AM1509" s="11"/>
      <c r="AN1509" s="11"/>
      <c r="AO1509" s="11"/>
      <c r="AP1509" s="2" t="s">
        <v>70</v>
      </c>
      <c r="AQ1509" s="11" t="str">
        <f>IF(I1509&lt;&gt;"",DATA!D1508,"")</f>
        <v>9506919000</v>
      </c>
    </row>
    <row r="1510" spans="1:43" ht="15.75" x14ac:dyDescent="0.25">
      <c r="A1510" s="11" t="s">
        <v>57</v>
      </c>
      <c r="B1510" s="11" t="s">
        <v>56</v>
      </c>
      <c r="C1510" s="22">
        <f t="shared" si="98"/>
        <v>25001620</v>
      </c>
      <c r="D1510" s="11" t="str">
        <f t="shared" si="95"/>
        <v>SKIIFM_AT</v>
      </c>
      <c r="E1510" s="11" t="str">
        <f>IF(I1510&lt;&gt;"",VLOOKUP(F1510,OPDRACHTGEVER!$A$2:$B$4,2,FALSE),"")</f>
        <v>SKIIFM_AT</v>
      </c>
      <c r="F1510" s="11" t="s">
        <v>58</v>
      </c>
      <c r="I1510" s="11" t="str">
        <f>IF(DATA!B1509&lt;&gt;"",DATA!B1509,"")</f>
        <v>MSDU7786801</v>
      </c>
      <c r="J1510" s="12">
        <v>0</v>
      </c>
      <c r="K1510" s="11" t="s">
        <v>53</v>
      </c>
      <c r="L1510" s="11" t="str">
        <f t="shared" si="96"/>
        <v>850440</v>
      </c>
      <c r="M1510" s="11" t="str">
        <f>IF(I1510&lt;&gt;"",DATA!E1509,"")</f>
        <v>FREQUENCY CONVERTER</v>
      </c>
      <c r="N1510" s="12">
        <v>0</v>
      </c>
      <c r="O1510" s="11">
        <f>IF(I1510&lt;&gt;"",DATA!C1509,"")</f>
        <v>4.95</v>
      </c>
      <c r="P1510" s="2">
        <v>294094</v>
      </c>
      <c r="Q1510" s="2" t="s">
        <v>1304</v>
      </c>
      <c r="R1510" s="2" t="s">
        <v>1334</v>
      </c>
      <c r="S1510" s="2">
        <v>577</v>
      </c>
      <c r="T1510" s="2">
        <v>1</v>
      </c>
      <c r="U1510" s="2" t="s">
        <v>141</v>
      </c>
      <c r="Y1510" s="2">
        <v>1700</v>
      </c>
      <c r="Z1510" s="11" t="s">
        <v>54</v>
      </c>
      <c r="AA1510" s="11" t="str">
        <f t="shared" si="97"/>
        <v>1700 - TBN</v>
      </c>
      <c r="AC1510" s="2" t="s">
        <v>145</v>
      </c>
      <c r="AD1510" s="11" t="str">
        <f>IF($I1510&lt;&gt;"",VLOOKUP($AC1510,GEADRESSEERDE!$A$2:$E$4,2,),"")</f>
        <v>LUITHAGEN HAVEN 2 D</v>
      </c>
      <c r="AE1510" s="11">
        <f>IF($I1510&lt;&gt;"",VLOOKUP($AC1510,GEADRESSEERDE!$A$2:$E$4,3,),"")</f>
        <v>2030</v>
      </c>
      <c r="AF1510" s="11" t="str">
        <f>IF($I1510&lt;&gt;"",VLOOKUP($AC1510,GEADRESSEERDE!$A$2:$E$4,4,),"")</f>
        <v>ANTWERPEN</v>
      </c>
      <c r="AG1510" s="11" t="str">
        <f>IF($I1510&lt;&gt;"",VLOOKUP($AC1510,GEADRESSEERDE!$A$2:$E$4,5,),"")</f>
        <v>BE</v>
      </c>
      <c r="AH1510" s="11" t="str">
        <f>IF(I1510&lt;&gt;"",VLOOKUP(AP1510,KvB!$A$2:$B$3,2,FALSE),"")</f>
        <v>BE101000</v>
      </c>
      <c r="AI1510" s="11" t="s">
        <v>55</v>
      </c>
      <c r="AJ1510" s="11"/>
      <c r="AK1510" s="11"/>
      <c r="AL1510" s="11"/>
      <c r="AM1510" s="11"/>
      <c r="AN1510" s="11"/>
      <c r="AO1510" s="11"/>
      <c r="AP1510" s="2" t="s">
        <v>70</v>
      </c>
      <c r="AQ1510" s="11" t="str">
        <f>IF(I1510&lt;&gt;"",DATA!D1509,"")</f>
        <v>8504406090</v>
      </c>
    </row>
    <row r="1511" spans="1:43" ht="15.75" x14ac:dyDescent="0.25">
      <c r="A1511" s="11" t="s">
        <v>57</v>
      </c>
      <c r="B1511" s="11" t="s">
        <v>56</v>
      </c>
      <c r="C1511" s="22">
        <f t="shared" si="98"/>
        <v>25001620</v>
      </c>
      <c r="D1511" s="11" t="str">
        <f t="shared" si="95"/>
        <v>SKIIFM_AT</v>
      </c>
      <c r="E1511" s="11" t="str">
        <f>IF(I1511&lt;&gt;"",VLOOKUP(F1511,OPDRACHTGEVER!$A$2:$B$4,2,FALSE),"")</f>
        <v>SKIIFM_AT</v>
      </c>
      <c r="F1511" s="11" t="s">
        <v>58</v>
      </c>
      <c r="I1511" s="11" t="str">
        <f>IF(DATA!B1510&lt;&gt;"",DATA!B1510,"")</f>
        <v>MSDU7786801</v>
      </c>
      <c r="J1511" s="12">
        <v>0</v>
      </c>
      <c r="K1511" s="11" t="s">
        <v>53</v>
      </c>
      <c r="L1511" s="11" t="str">
        <f t="shared" si="96"/>
        <v>741920</v>
      </c>
      <c r="M1511" s="11" t="str">
        <f>IF(I1511&lt;&gt;"",DATA!E1510,"")</f>
        <v>GARMENT HANGER</v>
      </c>
      <c r="N1511" s="12">
        <v>0</v>
      </c>
      <c r="O1511" s="11">
        <f>IF(I1511&lt;&gt;"",DATA!C1510,"")</f>
        <v>18.600000000000001</v>
      </c>
      <c r="P1511" s="2">
        <v>294094</v>
      </c>
      <c r="Q1511" s="2" t="s">
        <v>1304</v>
      </c>
      <c r="R1511" s="2" t="s">
        <v>1334</v>
      </c>
      <c r="S1511" s="2">
        <v>577</v>
      </c>
      <c r="T1511" s="2">
        <v>1</v>
      </c>
      <c r="U1511" s="2" t="s">
        <v>141</v>
      </c>
      <c r="Y1511" s="2">
        <v>1700</v>
      </c>
      <c r="Z1511" s="11" t="s">
        <v>54</v>
      </c>
      <c r="AA1511" s="11" t="str">
        <f t="shared" si="97"/>
        <v>1700 - TBN</v>
      </c>
      <c r="AC1511" s="2" t="s">
        <v>145</v>
      </c>
      <c r="AD1511" s="11" t="str">
        <f>IF($I1511&lt;&gt;"",VLOOKUP($AC1511,GEADRESSEERDE!$A$2:$E$4,2,),"")</f>
        <v>LUITHAGEN HAVEN 2 D</v>
      </c>
      <c r="AE1511" s="11">
        <f>IF($I1511&lt;&gt;"",VLOOKUP($AC1511,GEADRESSEERDE!$A$2:$E$4,3,),"")</f>
        <v>2030</v>
      </c>
      <c r="AF1511" s="11" t="str">
        <f>IF($I1511&lt;&gt;"",VLOOKUP($AC1511,GEADRESSEERDE!$A$2:$E$4,4,),"")</f>
        <v>ANTWERPEN</v>
      </c>
      <c r="AG1511" s="11" t="str">
        <f>IF($I1511&lt;&gt;"",VLOOKUP($AC1511,GEADRESSEERDE!$A$2:$E$4,5,),"")</f>
        <v>BE</v>
      </c>
      <c r="AH1511" s="11" t="str">
        <f>IF(I1511&lt;&gt;"",VLOOKUP(AP1511,KvB!$A$2:$B$3,2,FALSE),"")</f>
        <v>BE101000</v>
      </c>
      <c r="AI1511" s="11" t="s">
        <v>55</v>
      </c>
      <c r="AJ1511" s="11"/>
      <c r="AK1511" s="11"/>
      <c r="AL1511" s="11"/>
      <c r="AM1511" s="11"/>
      <c r="AN1511" s="11"/>
      <c r="AO1511" s="11"/>
      <c r="AP1511" s="2" t="s">
        <v>70</v>
      </c>
      <c r="AQ1511" s="11" t="str">
        <f>IF(I1511&lt;&gt;"",DATA!D1510,"")</f>
        <v>7419200090</v>
      </c>
    </row>
    <row r="1512" spans="1:43" ht="15.75" x14ac:dyDescent="0.25">
      <c r="A1512" s="11" t="s">
        <v>57</v>
      </c>
      <c r="B1512" s="11" t="s">
        <v>56</v>
      </c>
      <c r="C1512" s="22">
        <f t="shared" si="98"/>
        <v>25001620</v>
      </c>
      <c r="D1512" s="11" t="str">
        <f t="shared" si="95"/>
        <v>SKIIFM_AT</v>
      </c>
      <c r="E1512" s="11" t="str">
        <f>IF(I1512&lt;&gt;"",VLOOKUP(F1512,OPDRACHTGEVER!$A$2:$B$4,2,FALSE),"")</f>
        <v>SKIIFM_AT</v>
      </c>
      <c r="F1512" s="11" t="s">
        <v>58</v>
      </c>
      <c r="I1512" s="11" t="str">
        <f>IF(DATA!B1511&lt;&gt;"",DATA!B1511,"")</f>
        <v>MSDU7786801</v>
      </c>
      <c r="J1512" s="12">
        <v>0</v>
      </c>
      <c r="K1512" s="11" t="s">
        <v>53</v>
      </c>
      <c r="L1512" s="11" t="str">
        <f t="shared" si="96"/>
        <v>741920</v>
      </c>
      <c r="M1512" s="11" t="str">
        <f>IF(I1512&lt;&gt;"",DATA!E1511,"")</f>
        <v>GAS FORGING FURNACE</v>
      </c>
      <c r="N1512" s="12">
        <v>0</v>
      </c>
      <c r="O1512" s="11">
        <f>IF(I1512&lt;&gt;"",DATA!C1511,"")</f>
        <v>12.7</v>
      </c>
      <c r="P1512" s="2">
        <v>294094</v>
      </c>
      <c r="Q1512" s="2" t="s">
        <v>1304</v>
      </c>
      <c r="R1512" s="2" t="s">
        <v>1334</v>
      </c>
      <c r="S1512" s="2">
        <v>577</v>
      </c>
      <c r="T1512" s="2">
        <v>1</v>
      </c>
      <c r="U1512" s="2" t="s">
        <v>141</v>
      </c>
      <c r="Y1512" s="2">
        <v>1700</v>
      </c>
      <c r="Z1512" s="11" t="s">
        <v>54</v>
      </c>
      <c r="AA1512" s="11" t="str">
        <f t="shared" si="97"/>
        <v>1700 - TBN</v>
      </c>
      <c r="AC1512" s="2" t="s">
        <v>145</v>
      </c>
      <c r="AD1512" s="11" t="str">
        <f>IF($I1512&lt;&gt;"",VLOOKUP($AC1512,GEADRESSEERDE!$A$2:$E$4,2,),"")</f>
        <v>LUITHAGEN HAVEN 2 D</v>
      </c>
      <c r="AE1512" s="11">
        <f>IF($I1512&lt;&gt;"",VLOOKUP($AC1512,GEADRESSEERDE!$A$2:$E$4,3,),"")</f>
        <v>2030</v>
      </c>
      <c r="AF1512" s="11" t="str">
        <f>IF($I1512&lt;&gt;"",VLOOKUP($AC1512,GEADRESSEERDE!$A$2:$E$4,4,),"")</f>
        <v>ANTWERPEN</v>
      </c>
      <c r="AG1512" s="11" t="str">
        <f>IF($I1512&lt;&gt;"",VLOOKUP($AC1512,GEADRESSEERDE!$A$2:$E$4,5,),"")</f>
        <v>BE</v>
      </c>
      <c r="AH1512" s="11" t="str">
        <f>IF(I1512&lt;&gt;"",VLOOKUP(AP1512,KvB!$A$2:$B$3,2,FALSE),"")</f>
        <v>BE101000</v>
      </c>
      <c r="AI1512" s="11" t="s">
        <v>55</v>
      </c>
      <c r="AJ1512" s="11"/>
      <c r="AK1512" s="11"/>
      <c r="AL1512" s="11"/>
      <c r="AM1512" s="11"/>
      <c r="AN1512" s="11"/>
      <c r="AO1512" s="11"/>
      <c r="AP1512" s="2" t="s">
        <v>70</v>
      </c>
      <c r="AQ1512" s="11" t="str">
        <f>IF(I1512&lt;&gt;"",DATA!D1511,"")</f>
        <v>7419200090</v>
      </c>
    </row>
    <row r="1513" spans="1:43" ht="15.75" x14ac:dyDescent="0.25">
      <c r="A1513" s="11" t="s">
        <v>57</v>
      </c>
      <c r="B1513" s="11" t="s">
        <v>56</v>
      </c>
      <c r="C1513" s="22">
        <f t="shared" si="98"/>
        <v>25001620</v>
      </c>
      <c r="D1513" s="11" t="str">
        <f t="shared" si="95"/>
        <v>SKIIFM_AT</v>
      </c>
      <c r="E1513" s="11" t="str">
        <f>IF(I1513&lt;&gt;"",VLOOKUP(F1513,OPDRACHTGEVER!$A$2:$B$4,2,FALSE),"")</f>
        <v>SKIIFM_AT</v>
      </c>
      <c r="F1513" s="11" t="s">
        <v>58</v>
      </c>
      <c r="I1513" s="11" t="str">
        <f>IF(DATA!B1512&lt;&gt;"",DATA!B1512,"")</f>
        <v>MSDU7786801</v>
      </c>
      <c r="J1513" s="12">
        <v>0</v>
      </c>
      <c r="K1513" s="11" t="s">
        <v>53</v>
      </c>
      <c r="L1513" s="11" t="str">
        <f t="shared" si="96"/>
        <v>701399</v>
      </c>
      <c r="M1513" s="11" t="str">
        <f>IF(I1513&lt;&gt;"",DATA!E1512,"")</f>
        <v>GLASS BALL</v>
      </c>
      <c r="N1513" s="12">
        <v>0</v>
      </c>
      <c r="O1513" s="11">
        <f>IF(I1513&lt;&gt;"",DATA!C1512,"")</f>
        <v>25.3</v>
      </c>
      <c r="P1513" s="2">
        <v>294094</v>
      </c>
      <c r="Q1513" s="2" t="s">
        <v>1304</v>
      </c>
      <c r="R1513" s="2" t="s">
        <v>1334</v>
      </c>
      <c r="S1513" s="2">
        <v>577</v>
      </c>
      <c r="T1513" s="2">
        <v>1</v>
      </c>
      <c r="U1513" s="2" t="s">
        <v>141</v>
      </c>
      <c r="Y1513" s="2">
        <v>1700</v>
      </c>
      <c r="Z1513" s="11" t="s">
        <v>54</v>
      </c>
      <c r="AA1513" s="11" t="str">
        <f t="shared" si="97"/>
        <v>1700 - TBN</v>
      </c>
      <c r="AC1513" s="2" t="s">
        <v>145</v>
      </c>
      <c r="AD1513" s="11" t="str">
        <f>IF($I1513&lt;&gt;"",VLOOKUP($AC1513,GEADRESSEERDE!$A$2:$E$4,2,),"")</f>
        <v>LUITHAGEN HAVEN 2 D</v>
      </c>
      <c r="AE1513" s="11">
        <f>IF($I1513&lt;&gt;"",VLOOKUP($AC1513,GEADRESSEERDE!$A$2:$E$4,3,),"")</f>
        <v>2030</v>
      </c>
      <c r="AF1513" s="11" t="str">
        <f>IF($I1513&lt;&gt;"",VLOOKUP($AC1513,GEADRESSEERDE!$A$2:$E$4,4,),"")</f>
        <v>ANTWERPEN</v>
      </c>
      <c r="AG1513" s="11" t="str">
        <f>IF($I1513&lt;&gt;"",VLOOKUP($AC1513,GEADRESSEERDE!$A$2:$E$4,5,),"")</f>
        <v>BE</v>
      </c>
      <c r="AH1513" s="11" t="str">
        <f>IF(I1513&lt;&gt;"",VLOOKUP(AP1513,KvB!$A$2:$B$3,2,FALSE),"")</f>
        <v>BE101000</v>
      </c>
      <c r="AI1513" s="11" t="s">
        <v>55</v>
      </c>
      <c r="AJ1513" s="11"/>
      <c r="AK1513" s="11"/>
      <c r="AL1513" s="11"/>
      <c r="AM1513" s="11"/>
      <c r="AN1513" s="11"/>
      <c r="AO1513" s="11"/>
      <c r="AP1513" s="2" t="s">
        <v>70</v>
      </c>
      <c r="AQ1513" s="11" t="str">
        <f>IF(I1513&lt;&gt;"",DATA!D1512,"")</f>
        <v>7013990090</v>
      </c>
    </row>
    <row r="1514" spans="1:43" ht="15.75" x14ac:dyDescent="0.25">
      <c r="A1514" s="11" t="s">
        <v>57</v>
      </c>
      <c r="B1514" s="11" t="s">
        <v>56</v>
      </c>
      <c r="C1514" s="22">
        <f t="shared" si="98"/>
        <v>25001620</v>
      </c>
      <c r="D1514" s="11" t="str">
        <f t="shared" si="95"/>
        <v>SKIIFM_AT</v>
      </c>
      <c r="E1514" s="11" t="str">
        <f>IF(I1514&lt;&gt;"",VLOOKUP(F1514,OPDRACHTGEVER!$A$2:$B$4,2,FALSE),"")</f>
        <v>SKIIFM_AT</v>
      </c>
      <c r="F1514" s="11" t="s">
        <v>58</v>
      </c>
      <c r="I1514" s="11" t="str">
        <f>IF(DATA!B1513&lt;&gt;"",DATA!B1513,"")</f>
        <v>MSDU7786801</v>
      </c>
      <c r="J1514" s="12">
        <v>0</v>
      </c>
      <c r="K1514" s="11" t="s">
        <v>53</v>
      </c>
      <c r="L1514" s="11" t="str">
        <f t="shared" si="96"/>
        <v>940370</v>
      </c>
      <c r="M1514" s="11" t="str">
        <f>IF(I1514&lt;&gt;"",DATA!E1513,"")</f>
        <v>GUARD BAND</v>
      </c>
      <c r="N1514" s="12">
        <v>0</v>
      </c>
      <c r="O1514" s="11">
        <f>IF(I1514&lt;&gt;"",DATA!C1513,"")</f>
        <v>154.68</v>
      </c>
      <c r="P1514" s="2">
        <v>294094</v>
      </c>
      <c r="Q1514" s="2" t="s">
        <v>1304</v>
      </c>
      <c r="R1514" s="2" t="s">
        <v>1334</v>
      </c>
      <c r="S1514" s="2">
        <v>577</v>
      </c>
      <c r="T1514" s="2">
        <v>1</v>
      </c>
      <c r="U1514" s="2" t="s">
        <v>141</v>
      </c>
      <c r="Y1514" s="2">
        <v>1700</v>
      </c>
      <c r="Z1514" s="11" t="s">
        <v>54</v>
      </c>
      <c r="AA1514" s="11" t="str">
        <f t="shared" si="97"/>
        <v>1700 - TBN</v>
      </c>
      <c r="AC1514" s="2" t="s">
        <v>145</v>
      </c>
      <c r="AD1514" s="11" t="str">
        <f>IF($I1514&lt;&gt;"",VLOOKUP($AC1514,GEADRESSEERDE!$A$2:$E$4,2,),"")</f>
        <v>LUITHAGEN HAVEN 2 D</v>
      </c>
      <c r="AE1514" s="11">
        <f>IF($I1514&lt;&gt;"",VLOOKUP($AC1514,GEADRESSEERDE!$A$2:$E$4,3,),"")</f>
        <v>2030</v>
      </c>
      <c r="AF1514" s="11" t="str">
        <f>IF($I1514&lt;&gt;"",VLOOKUP($AC1514,GEADRESSEERDE!$A$2:$E$4,4,),"")</f>
        <v>ANTWERPEN</v>
      </c>
      <c r="AG1514" s="11" t="str">
        <f>IF($I1514&lt;&gt;"",VLOOKUP($AC1514,GEADRESSEERDE!$A$2:$E$4,5,),"")</f>
        <v>BE</v>
      </c>
      <c r="AH1514" s="11" t="str">
        <f>IF(I1514&lt;&gt;"",VLOOKUP(AP1514,KvB!$A$2:$B$3,2,FALSE),"")</f>
        <v>BE101000</v>
      </c>
      <c r="AI1514" s="11" t="s">
        <v>55</v>
      </c>
      <c r="AJ1514" s="11"/>
      <c r="AK1514" s="11"/>
      <c r="AL1514" s="11"/>
      <c r="AM1514" s="11"/>
      <c r="AN1514" s="11"/>
      <c r="AO1514" s="11"/>
      <c r="AP1514" s="2" t="s">
        <v>70</v>
      </c>
      <c r="AQ1514" s="11" t="str">
        <f>IF(I1514&lt;&gt;"",DATA!D1513,"")</f>
        <v>9403700000</v>
      </c>
    </row>
    <row r="1515" spans="1:43" ht="15.75" x14ac:dyDescent="0.25">
      <c r="A1515" s="11" t="s">
        <v>57</v>
      </c>
      <c r="B1515" s="11" t="s">
        <v>56</v>
      </c>
      <c r="C1515" s="22">
        <f t="shared" si="98"/>
        <v>25001620</v>
      </c>
      <c r="D1515" s="11" t="str">
        <f t="shared" si="95"/>
        <v>SKIIFM_AT</v>
      </c>
      <c r="E1515" s="11" t="str">
        <f>IF(I1515&lt;&gt;"",VLOOKUP(F1515,OPDRACHTGEVER!$A$2:$B$4,2,FALSE),"")</f>
        <v>SKIIFM_AT</v>
      </c>
      <c r="F1515" s="11" t="s">
        <v>58</v>
      </c>
      <c r="I1515" s="11" t="str">
        <f>IF(DATA!B1514&lt;&gt;"",DATA!B1514,"")</f>
        <v>MSDU7786801</v>
      </c>
      <c r="J1515" s="12">
        <v>0</v>
      </c>
      <c r="K1515" s="11" t="s">
        <v>53</v>
      </c>
      <c r="L1515" s="11" t="str">
        <f t="shared" si="96"/>
        <v>820559</v>
      </c>
      <c r="M1515" s="11" t="str">
        <f>IF(I1515&lt;&gt;"",DATA!E1514,"")</f>
        <v>HAND OPERATED TABLET PRESS</v>
      </c>
      <c r="N1515" s="12">
        <v>0</v>
      </c>
      <c r="O1515" s="11">
        <f>IF(I1515&lt;&gt;"",DATA!C1514,"")</f>
        <v>123.2</v>
      </c>
      <c r="P1515" s="2">
        <v>294094</v>
      </c>
      <c r="Q1515" s="2" t="s">
        <v>1304</v>
      </c>
      <c r="R1515" s="2" t="s">
        <v>1334</v>
      </c>
      <c r="S1515" s="2">
        <v>577</v>
      </c>
      <c r="T1515" s="2">
        <v>1</v>
      </c>
      <c r="U1515" s="2" t="s">
        <v>141</v>
      </c>
      <c r="Y1515" s="2">
        <v>1700</v>
      </c>
      <c r="Z1515" s="11" t="s">
        <v>54</v>
      </c>
      <c r="AA1515" s="11" t="str">
        <f t="shared" si="97"/>
        <v>1700 - TBN</v>
      </c>
      <c r="AC1515" s="2" t="s">
        <v>145</v>
      </c>
      <c r="AD1515" s="11" t="str">
        <f>IF($I1515&lt;&gt;"",VLOOKUP($AC1515,GEADRESSEERDE!$A$2:$E$4,2,),"")</f>
        <v>LUITHAGEN HAVEN 2 D</v>
      </c>
      <c r="AE1515" s="11">
        <f>IF($I1515&lt;&gt;"",VLOOKUP($AC1515,GEADRESSEERDE!$A$2:$E$4,3,),"")</f>
        <v>2030</v>
      </c>
      <c r="AF1515" s="11" t="str">
        <f>IF($I1515&lt;&gt;"",VLOOKUP($AC1515,GEADRESSEERDE!$A$2:$E$4,4,),"")</f>
        <v>ANTWERPEN</v>
      </c>
      <c r="AG1515" s="11" t="str">
        <f>IF($I1515&lt;&gt;"",VLOOKUP($AC1515,GEADRESSEERDE!$A$2:$E$4,5,),"")</f>
        <v>BE</v>
      </c>
      <c r="AH1515" s="11" t="str">
        <f>IF(I1515&lt;&gt;"",VLOOKUP(AP1515,KvB!$A$2:$B$3,2,FALSE),"")</f>
        <v>BE101000</v>
      </c>
      <c r="AI1515" s="11" t="s">
        <v>55</v>
      </c>
      <c r="AJ1515" s="11"/>
      <c r="AK1515" s="11"/>
      <c r="AL1515" s="11"/>
      <c r="AM1515" s="11"/>
      <c r="AN1515" s="11"/>
      <c r="AO1515" s="11"/>
      <c r="AP1515" s="2" t="s">
        <v>70</v>
      </c>
      <c r="AQ1515" s="11" t="str">
        <f>IF(I1515&lt;&gt;"",DATA!D1514,"")</f>
        <v>8205598000</v>
      </c>
    </row>
    <row r="1516" spans="1:43" ht="15.75" x14ac:dyDescent="0.25">
      <c r="A1516" s="11" t="s">
        <v>57</v>
      </c>
      <c r="B1516" s="11" t="s">
        <v>56</v>
      </c>
      <c r="C1516" s="22">
        <f t="shared" si="98"/>
        <v>25001620</v>
      </c>
      <c r="D1516" s="11" t="str">
        <f t="shared" si="95"/>
        <v>SKIIFM_AT</v>
      </c>
      <c r="E1516" s="11" t="str">
        <f>IF(I1516&lt;&gt;"",VLOOKUP(F1516,OPDRACHTGEVER!$A$2:$B$4,2,FALSE),"")</f>
        <v>SKIIFM_AT</v>
      </c>
      <c r="F1516" s="11" t="s">
        <v>58</v>
      </c>
      <c r="I1516" s="11" t="str">
        <f>IF(DATA!B1515&lt;&gt;"",DATA!B1515,"")</f>
        <v>MSDU7786801</v>
      </c>
      <c r="J1516" s="12">
        <v>0</v>
      </c>
      <c r="K1516" s="11" t="s">
        <v>53</v>
      </c>
      <c r="L1516" s="11" t="str">
        <f t="shared" si="96"/>
        <v>741920</v>
      </c>
      <c r="M1516" s="11" t="str">
        <f>IF(I1516&lt;&gt;"",DATA!E1515,"")</f>
        <v>HANDRAIL</v>
      </c>
      <c r="N1516" s="12">
        <v>0</v>
      </c>
      <c r="O1516" s="11">
        <f>IF(I1516&lt;&gt;"",DATA!C1515,"")</f>
        <v>101.3</v>
      </c>
      <c r="P1516" s="2">
        <v>294094</v>
      </c>
      <c r="Q1516" s="2" t="s">
        <v>1304</v>
      </c>
      <c r="R1516" s="2" t="s">
        <v>1334</v>
      </c>
      <c r="S1516" s="2">
        <v>577</v>
      </c>
      <c r="T1516" s="2">
        <v>1</v>
      </c>
      <c r="U1516" s="2" t="s">
        <v>141</v>
      </c>
      <c r="Y1516" s="2">
        <v>1700</v>
      </c>
      <c r="Z1516" s="11" t="s">
        <v>54</v>
      </c>
      <c r="AA1516" s="11" t="str">
        <f t="shared" si="97"/>
        <v>1700 - TBN</v>
      </c>
      <c r="AC1516" s="2" t="s">
        <v>145</v>
      </c>
      <c r="AD1516" s="11" t="str">
        <f>IF($I1516&lt;&gt;"",VLOOKUP($AC1516,GEADRESSEERDE!$A$2:$E$4,2,),"")</f>
        <v>LUITHAGEN HAVEN 2 D</v>
      </c>
      <c r="AE1516" s="11">
        <f>IF($I1516&lt;&gt;"",VLOOKUP($AC1516,GEADRESSEERDE!$A$2:$E$4,3,),"")</f>
        <v>2030</v>
      </c>
      <c r="AF1516" s="11" t="str">
        <f>IF($I1516&lt;&gt;"",VLOOKUP($AC1516,GEADRESSEERDE!$A$2:$E$4,4,),"")</f>
        <v>ANTWERPEN</v>
      </c>
      <c r="AG1516" s="11" t="str">
        <f>IF($I1516&lt;&gt;"",VLOOKUP($AC1516,GEADRESSEERDE!$A$2:$E$4,5,),"")</f>
        <v>BE</v>
      </c>
      <c r="AH1516" s="11" t="str">
        <f>IF(I1516&lt;&gt;"",VLOOKUP(AP1516,KvB!$A$2:$B$3,2,FALSE),"")</f>
        <v>BE101000</v>
      </c>
      <c r="AI1516" s="11" t="s">
        <v>55</v>
      </c>
      <c r="AJ1516" s="11"/>
      <c r="AK1516" s="11"/>
      <c r="AL1516" s="11"/>
      <c r="AM1516" s="11"/>
      <c r="AN1516" s="11"/>
      <c r="AO1516" s="11"/>
      <c r="AP1516" s="2" t="s">
        <v>70</v>
      </c>
      <c r="AQ1516" s="11" t="str">
        <f>IF(I1516&lt;&gt;"",DATA!D1515,"")</f>
        <v>7419200090</v>
      </c>
    </row>
    <row r="1517" spans="1:43" ht="15.75" x14ac:dyDescent="0.25">
      <c r="A1517" s="11" t="s">
        <v>57</v>
      </c>
      <c r="B1517" s="11" t="s">
        <v>56</v>
      </c>
      <c r="C1517" s="22">
        <f t="shared" si="98"/>
        <v>25001620</v>
      </c>
      <c r="D1517" s="11" t="str">
        <f t="shared" si="95"/>
        <v>SKIIFM_AT</v>
      </c>
      <c r="E1517" s="11" t="str">
        <f>IF(I1517&lt;&gt;"",VLOOKUP(F1517,OPDRACHTGEVER!$A$2:$B$4,2,FALSE),"")</f>
        <v>SKIIFM_AT</v>
      </c>
      <c r="F1517" s="11" t="s">
        <v>58</v>
      </c>
      <c r="I1517" s="11" t="str">
        <f>IF(DATA!B1516&lt;&gt;"",DATA!B1516,"")</f>
        <v>MSDU7786801</v>
      </c>
      <c r="J1517" s="12">
        <v>0</v>
      </c>
      <c r="K1517" s="11" t="s">
        <v>53</v>
      </c>
      <c r="L1517" s="11" t="str">
        <f t="shared" si="96"/>
        <v>841950</v>
      </c>
      <c r="M1517" s="11" t="str">
        <f>IF(I1517&lt;&gt;"",DATA!E1516,"")</f>
        <v>HEAT EXCHANGER</v>
      </c>
      <c r="N1517" s="12">
        <v>0</v>
      </c>
      <c r="O1517" s="11">
        <f>IF(I1517&lt;&gt;"",DATA!C1516,"")</f>
        <v>68.5</v>
      </c>
      <c r="P1517" s="2">
        <v>294094</v>
      </c>
      <c r="Q1517" s="2" t="s">
        <v>1304</v>
      </c>
      <c r="R1517" s="2" t="s">
        <v>1334</v>
      </c>
      <c r="S1517" s="2">
        <v>577</v>
      </c>
      <c r="T1517" s="2">
        <v>1</v>
      </c>
      <c r="U1517" s="2" t="s">
        <v>141</v>
      </c>
      <c r="Y1517" s="2">
        <v>1700</v>
      </c>
      <c r="Z1517" s="11" t="s">
        <v>54</v>
      </c>
      <c r="AA1517" s="11" t="str">
        <f t="shared" si="97"/>
        <v>1700 - TBN</v>
      </c>
      <c r="AC1517" s="2" t="s">
        <v>145</v>
      </c>
      <c r="AD1517" s="11" t="str">
        <f>IF($I1517&lt;&gt;"",VLOOKUP($AC1517,GEADRESSEERDE!$A$2:$E$4,2,),"")</f>
        <v>LUITHAGEN HAVEN 2 D</v>
      </c>
      <c r="AE1517" s="11">
        <f>IF($I1517&lt;&gt;"",VLOOKUP($AC1517,GEADRESSEERDE!$A$2:$E$4,3,),"")</f>
        <v>2030</v>
      </c>
      <c r="AF1517" s="11" t="str">
        <f>IF($I1517&lt;&gt;"",VLOOKUP($AC1517,GEADRESSEERDE!$A$2:$E$4,4,),"")</f>
        <v>ANTWERPEN</v>
      </c>
      <c r="AG1517" s="11" t="str">
        <f>IF($I1517&lt;&gt;"",VLOOKUP($AC1517,GEADRESSEERDE!$A$2:$E$4,5,),"")</f>
        <v>BE</v>
      </c>
      <c r="AH1517" s="11" t="str">
        <f>IF(I1517&lt;&gt;"",VLOOKUP(AP1517,KvB!$A$2:$B$3,2,FALSE),"")</f>
        <v>BE101000</v>
      </c>
      <c r="AI1517" s="11" t="s">
        <v>55</v>
      </c>
      <c r="AJ1517" s="11"/>
      <c r="AK1517" s="11"/>
      <c r="AL1517" s="11"/>
      <c r="AM1517" s="11"/>
      <c r="AN1517" s="11"/>
      <c r="AO1517" s="11"/>
      <c r="AP1517" s="2" t="s">
        <v>70</v>
      </c>
      <c r="AQ1517" s="11" t="str">
        <f>IF(I1517&lt;&gt;"",DATA!D1516,"")</f>
        <v>8419508090</v>
      </c>
    </row>
    <row r="1518" spans="1:43" ht="15.75" x14ac:dyDescent="0.25">
      <c r="A1518" s="11" t="s">
        <v>57</v>
      </c>
      <c r="B1518" s="11" t="s">
        <v>56</v>
      </c>
      <c r="C1518" s="22">
        <f t="shared" si="98"/>
        <v>25001620</v>
      </c>
      <c r="D1518" s="11" t="str">
        <f t="shared" si="95"/>
        <v>SKIIFM_AT</v>
      </c>
      <c r="E1518" s="11" t="str">
        <f>IF(I1518&lt;&gt;"",VLOOKUP(F1518,OPDRACHTGEVER!$A$2:$B$4,2,FALSE),"")</f>
        <v>SKIIFM_AT</v>
      </c>
      <c r="F1518" s="11" t="s">
        <v>58</v>
      </c>
      <c r="I1518" s="11" t="str">
        <f>IF(DATA!B1517&lt;&gt;"",DATA!B1517,"")</f>
        <v>MSDU7786801</v>
      </c>
      <c r="J1518" s="12">
        <v>0</v>
      </c>
      <c r="K1518" s="11" t="s">
        <v>53</v>
      </c>
      <c r="L1518" s="11" t="str">
        <f t="shared" si="96"/>
        <v>842489</v>
      </c>
      <c r="M1518" s="11" t="str">
        <f>IF(I1518&lt;&gt;"",DATA!E1517,"")</f>
        <v>HEATING TOWEL BUCKET</v>
      </c>
      <c r="N1518" s="12">
        <v>0</v>
      </c>
      <c r="O1518" s="11">
        <f>IF(I1518&lt;&gt;"",DATA!C1517,"")</f>
        <v>85.1</v>
      </c>
      <c r="P1518" s="2">
        <v>294094</v>
      </c>
      <c r="Q1518" s="2" t="s">
        <v>1304</v>
      </c>
      <c r="R1518" s="2" t="s">
        <v>1334</v>
      </c>
      <c r="S1518" s="2">
        <v>577</v>
      </c>
      <c r="T1518" s="2">
        <v>1</v>
      </c>
      <c r="U1518" s="2" t="s">
        <v>141</v>
      </c>
      <c r="Y1518" s="2">
        <v>1700</v>
      </c>
      <c r="Z1518" s="11" t="s">
        <v>54</v>
      </c>
      <c r="AA1518" s="11" t="str">
        <f t="shared" si="97"/>
        <v>1700 - TBN</v>
      </c>
      <c r="AC1518" s="2" t="s">
        <v>145</v>
      </c>
      <c r="AD1518" s="11" t="str">
        <f>IF($I1518&lt;&gt;"",VLOOKUP($AC1518,GEADRESSEERDE!$A$2:$E$4,2,),"")</f>
        <v>LUITHAGEN HAVEN 2 D</v>
      </c>
      <c r="AE1518" s="11">
        <f>IF($I1518&lt;&gt;"",VLOOKUP($AC1518,GEADRESSEERDE!$A$2:$E$4,3,),"")</f>
        <v>2030</v>
      </c>
      <c r="AF1518" s="11" t="str">
        <f>IF($I1518&lt;&gt;"",VLOOKUP($AC1518,GEADRESSEERDE!$A$2:$E$4,4,),"")</f>
        <v>ANTWERPEN</v>
      </c>
      <c r="AG1518" s="11" t="str">
        <f>IF($I1518&lt;&gt;"",VLOOKUP($AC1518,GEADRESSEERDE!$A$2:$E$4,5,),"")</f>
        <v>BE</v>
      </c>
      <c r="AH1518" s="11" t="str">
        <f>IF(I1518&lt;&gt;"",VLOOKUP(AP1518,KvB!$A$2:$B$3,2,FALSE),"")</f>
        <v>BE101000</v>
      </c>
      <c r="AI1518" s="11" t="s">
        <v>55</v>
      </c>
      <c r="AJ1518" s="11"/>
      <c r="AK1518" s="11"/>
      <c r="AL1518" s="11"/>
      <c r="AM1518" s="11"/>
      <c r="AN1518" s="11"/>
      <c r="AO1518" s="11"/>
      <c r="AP1518" s="2" t="s">
        <v>70</v>
      </c>
      <c r="AQ1518" s="11" t="str">
        <f>IF(I1518&lt;&gt;"",DATA!D1517,"")</f>
        <v>8424897000</v>
      </c>
    </row>
    <row r="1519" spans="1:43" ht="15.75" x14ac:dyDescent="0.25">
      <c r="A1519" s="11" t="s">
        <v>57</v>
      </c>
      <c r="B1519" s="11" t="s">
        <v>56</v>
      </c>
      <c r="C1519" s="22">
        <f t="shared" si="98"/>
        <v>25001620</v>
      </c>
      <c r="D1519" s="11" t="str">
        <f t="shared" si="95"/>
        <v>SKIIFM_AT</v>
      </c>
      <c r="E1519" s="11" t="str">
        <f>IF(I1519&lt;&gt;"",VLOOKUP(F1519,OPDRACHTGEVER!$A$2:$B$4,2,FALSE),"")</f>
        <v>SKIIFM_AT</v>
      </c>
      <c r="F1519" s="11" t="s">
        <v>58</v>
      </c>
      <c r="I1519" s="11" t="str">
        <f>IF(DATA!B1518&lt;&gt;"",DATA!B1518,"")</f>
        <v>MSDU7786801</v>
      </c>
      <c r="J1519" s="12">
        <v>0</v>
      </c>
      <c r="K1519" s="11" t="s">
        <v>53</v>
      </c>
      <c r="L1519" s="11" t="str">
        <f t="shared" si="96"/>
        <v>841480</v>
      </c>
      <c r="M1519" s="11" t="str">
        <f>IF(I1519&lt;&gt;"",DATA!E1518,"")</f>
        <v>HORN COMPRESSOR</v>
      </c>
      <c r="N1519" s="12">
        <v>0</v>
      </c>
      <c r="O1519" s="11">
        <f>IF(I1519&lt;&gt;"",DATA!C1518,"")</f>
        <v>11</v>
      </c>
      <c r="P1519" s="2">
        <v>294094</v>
      </c>
      <c r="Q1519" s="2" t="s">
        <v>1304</v>
      </c>
      <c r="R1519" s="2" t="s">
        <v>1334</v>
      </c>
      <c r="S1519" s="2">
        <v>577</v>
      </c>
      <c r="T1519" s="2">
        <v>1</v>
      </c>
      <c r="U1519" s="2" t="s">
        <v>141</v>
      </c>
      <c r="Y1519" s="2">
        <v>1700</v>
      </c>
      <c r="Z1519" s="11" t="s">
        <v>54</v>
      </c>
      <c r="AA1519" s="11" t="str">
        <f t="shared" si="97"/>
        <v>1700 - TBN</v>
      </c>
      <c r="AC1519" s="2" t="s">
        <v>145</v>
      </c>
      <c r="AD1519" s="11" t="str">
        <f>IF($I1519&lt;&gt;"",VLOOKUP($AC1519,GEADRESSEERDE!$A$2:$E$4,2,),"")</f>
        <v>LUITHAGEN HAVEN 2 D</v>
      </c>
      <c r="AE1519" s="11">
        <f>IF($I1519&lt;&gt;"",VLOOKUP($AC1519,GEADRESSEERDE!$A$2:$E$4,3,),"")</f>
        <v>2030</v>
      </c>
      <c r="AF1519" s="11" t="str">
        <f>IF($I1519&lt;&gt;"",VLOOKUP($AC1519,GEADRESSEERDE!$A$2:$E$4,4,),"")</f>
        <v>ANTWERPEN</v>
      </c>
      <c r="AG1519" s="11" t="str">
        <f>IF($I1519&lt;&gt;"",VLOOKUP($AC1519,GEADRESSEERDE!$A$2:$E$4,5,),"")</f>
        <v>BE</v>
      </c>
      <c r="AH1519" s="11" t="str">
        <f>IF(I1519&lt;&gt;"",VLOOKUP(AP1519,KvB!$A$2:$B$3,2,FALSE),"")</f>
        <v>BE101000</v>
      </c>
      <c r="AI1519" s="11" t="s">
        <v>55</v>
      </c>
      <c r="AJ1519" s="11"/>
      <c r="AK1519" s="11"/>
      <c r="AL1519" s="11"/>
      <c r="AM1519" s="11"/>
      <c r="AN1519" s="11"/>
      <c r="AO1519" s="11"/>
      <c r="AP1519" s="2" t="s">
        <v>70</v>
      </c>
      <c r="AQ1519" s="11" t="str">
        <f>IF(I1519&lt;&gt;"",DATA!D1518,"")</f>
        <v>8414808090</v>
      </c>
    </row>
    <row r="1520" spans="1:43" ht="15.75" x14ac:dyDescent="0.25">
      <c r="A1520" s="11" t="s">
        <v>57</v>
      </c>
      <c r="B1520" s="11" t="s">
        <v>56</v>
      </c>
      <c r="C1520" s="22">
        <f t="shared" si="98"/>
        <v>25001620</v>
      </c>
      <c r="D1520" s="11" t="str">
        <f t="shared" si="95"/>
        <v>SKIIFM_AT</v>
      </c>
      <c r="E1520" s="11" t="str">
        <f>IF(I1520&lt;&gt;"",VLOOKUP(F1520,OPDRACHTGEVER!$A$2:$B$4,2,FALSE),"")</f>
        <v>SKIIFM_AT</v>
      </c>
      <c r="F1520" s="11" t="s">
        <v>58</v>
      </c>
      <c r="I1520" s="11" t="str">
        <f>IF(DATA!B1519&lt;&gt;"",DATA!B1519,"")</f>
        <v>MSDU7786801</v>
      </c>
      <c r="J1520" s="12">
        <v>0</v>
      </c>
      <c r="K1520" s="11" t="s">
        <v>53</v>
      </c>
      <c r="L1520" s="11" t="str">
        <f t="shared" si="96"/>
        <v>841869</v>
      </c>
      <c r="M1520" s="11" t="str">
        <f>IF(I1520&lt;&gt;"",DATA!E1519,"")</f>
        <v>ICE MACHINE</v>
      </c>
      <c r="N1520" s="12">
        <v>0</v>
      </c>
      <c r="O1520" s="11">
        <f>IF(I1520&lt;&gt;"",DATA!C1519,"")</f>
        <v>595.4</v>
      </c>
      <c r="P1520" s="2">
        <v>294094</v>
      </c>
      <c r="Q1520" s="2" t="s">
        <v>1304</v>
      </c>
      <c r="R1520" s="2" t="s">
        <v>1334</v>
      </c>
      <c r="S1520" s="2">
        <v>577</v>
      </c>
      <c r="T1520" s="2">
        <v>1</v>
      </c>
      <c r="U1520" s="2" t="s">
        <v>141</v>
      </c>
      <c r="Y1520" s="2">
        <v>1700</v>
      </c>
      <c r="Z1520" s="11" t="s">
        <v>54</v>
      </c>
      <c r="AA1520" s="11" t="str">
        <f t="shared" si="97"/>
        <v>1700 - TBN</v>
      </c>
      <c r="AC1520" s="2" t="s">
        <v>145</v>
      </c>
      <c r="AD1520" s="11" t="str">
        <f>IF($I1520&lt;&gt;"",VLOOKUP($AC1520,GEADRESSEERDE!$A$2:$E$4,2,),"")</f>
        <v>LUITHAGEN HAVEN 2 D</v>
      </c>
      <c r="AE1520" s="11">
        <f>IF($I1520&lt;&gt;"",VLOOKUP($AC1520,GEADRESSEERDE!$A$2:$E$4,3,),"")</f>
        <v>2030</v>
      </c>
      <c r="AF1520" s="11" t="str">
        <f>IF($I1520&lt;&gt;"",VLOOKUP($AC1520,GEADRESSEERDE!$A$2:$E$4,4,),"")</f>
        <v>ANTWERPEN</v>
      </c>
      <c r="AG1520" s="11" t="str">
        <f>IF($I1520&lt;&gt;"",VLOOKUP($AC1520,GEADRESSEERDE!$A$2:$E$4,5,),"")</f>
        <v>BE</v>
      </c>
      <c r="AH1520" s="11" t="str">
        <f>IF(I1520&lt;&gt;"",VLOOKUP(AP1520,KvB!$A$2:$B$3,2,FALSE),"")</f>
        <v>BE101000</v>
      </c>
      <c r="AI1520" s="11" t="s">
        <v>55</v>
      </c>
      <c r="AJ1520" s="11"/>
      <c r="AK1520" s="11"/>
      <c r="AL1520" s="11"/>
      <c r="AM1520" s="11"/>
      <c r="AN1520" s="11"/>
      <c r="AO1520" s="11"/>
      <c r="AP1520" s="2" t="s">
        <v>70</v>
      </c>
      <c r="AQ1520" s="11" t="str">
        <f>IF(I1520&lt;&gt;"",DATA!D1519,"")</f>
        <v>8418690099</v>
      </c>
    </row>
    <row r="1521" spans="1:43" ht="15.75" x14ac:dyDescent="0.25">
      <c r="A1521" s="11" t="s">
        <v>57</v>
      </c>
      <c r="B1521" s="11" t="s">
        <v>56</v>
      </c>
      <c r="C1521" s="22">
        <f t="shared" si="98"/>
        <v>25001620</v>
      </c>
      <c r="D1521" s="11" t="str">
        <f t="shared" si="95"/>
        <v>SKIIFM_AT</v>
      </c>
      <c r="E1521" s="11" t="str">
        <f>IF(I1521&lt;&gt;"",VLOOKUP(F1521,OPDRACHTGEVER!$A$2:$B$4,2,FALSE),"")</f>
        <v>SKIIFM_AT</v>
      </c>
      <c r="F1521" s="11" t="s">
        <v>58</v>
      </c>
      <c r="I1521" s="11" t="str">
        <f>IF(DATA!B1520&lt;&gt;"",DATA!B1520,"")</f>
        <v>MSDU7786801</v>
      </c>
      <c r="J1521" s="12">
        <v>0</v>
      </c>
      <c r="K1521" s="11" t="s">
        <v>53</v>
      </c>
      <c r="L1521" s="11" t="str">
        <f t="shared" si="96"/>
        <v>950662</v>
      </c>
      <c r="M1521" s="11" t="str">
        <f>IF(I1521&lt;&gt;"",DATA!E1520,"")</f>
        <v>INFLATABLE BUMPER BALL</v>
      </c>
      <c r="N1521" s="12">
        <v>0</v>
      </c>
      <c r="O1521" s="11">
        <f>IF(I1521&lt;&gt;"",DATA!C1520,"")</f>
        <v>62.5</v>
      </c>
      <c r="P1521" s="2">
        <v>294094</v>
      </c>
      <c r="Q1521" s="2" t="s">
        <v>1304</v>
      </c>
      <c r="R1521" s="2" t="s">
        <v>1334</v>
      </c>
      <c r="S1521" s="2">
        <v>577</v>
      </c>
      <c r="T1521" s="2">
        <v>1</v>
      </c>
      <c r="U1521" s="2" t="s">
        <v>141</v>
      </c>
      <c r="Y1521" s="2">
        <v>1700</v>
      </c>
      <c r="Z1521" s="11" t="s">
        <v>54</v>
      </c>
      <c r="AA1521" s="11" t="str">
        <f t="shared" si="97"/>
        <v>1700 - TBN</v>
      </c>
      <c r="AC1521" s="2" t="s">
        <v>145</v>
      </c>
      <c r="AD1521" s="11" t="str">
        <f>IF($I1521&lt;&gt;"",VLOOKUP($AC1521,GEADRESSEERDE!$A$2:$E$4,2,),"")</f>
        <v>LUITHAGEN HAVEN 2 D</v>
      </c>
      <c r="AE1521" s="11">
        <f>IF($I1521&lt;&gt;"",VLOOKUP($AC1521,GEADRESSEERDE!$A$2:$E$4,3,),"")</f>
        <v>2030</v>
      </c>
      <c r="AF1521" s="11" t="str">
        <f>IF($I1521&lt;&gt;"",VLOOKUP($AC1521,GEADRESSEERDE!$A$2:$E$4,4,),"")</f>
        <v>ANTWERPEN</v>
      </c>
      <c r="AG1521" s="11" t="str">
        <f>IF($I1521&lt;&gt;"",VLOOKUP($AC1521,GEADRESSEERDE!$A$2:$E$4,5,),"")</f>
        <v>BE</v>
      </c>
      <c r="AH1521" s="11" t="str">
        <f>IF(I1521&lt;&gt;"",VLOOKUP(AP1521,KvB!$A$2:$B$3,2,FALSE),"")</f>
        <v>BE101000</v>
      </c>
      <c r="AI1521" s="11" t="s">
        <v>55</v>
      </c>
      <c r="AJ1521" s="11"/>
      <c r="AK1521" s="11"/>
      <c r="AL1521" s="11"/>
      <c r="AM1521" s="11"/>
      <c r="AN1521" s="11"/>
      <c r="AO1521" s="11"/>
      <c r="AP1521" s="2" t="s">
        <v>70</v>
      </c>
      <c r="AQ1521" s="11" t="str">
        <f>IF(I1521&lt;&gt;"",DATA!D1520,"")</f>
        <v>9506620000</v>
      </c>
    </row>
    <row r="1522" spans="1:43" ht="15.75" x14ac:dyDescent="0.25">
      <c r="A1522" s="11" t="s">
        <v>57</v>
      </c>
      <c r="B1522" s="11" t="s">
        <v>56</v>
      </c>
      <c r="C1522" s="22">
        <f t="shared" si="98"/>
        <v>25001620</v>
      </c>
      <c r="D1522" s="11" t="str">
        <f t="shared" si="95"/>
        <v>SKIIFM_AT</v>
      </c>
      <c r="E1522" s="11" t="str">
        <f>IF(I1522&lt;&gt;"",VLOOKUP(F1522,OPDRACHTGEVER!$A$2:$B$4,2,FALSE),"")</f>
        <v>SKIIFM_AT</v>
      </c>
      <c r="F1522" s="11" t="s">
        <v>58</v>
      </c>
      <c r="I1522" s="11" t="str">
        <f>IF(DATA!B1521&lt;&gt;"",DATA!B1521,"")</f>
        <v>MSDU7786801</v>
      </c>
      <c r="J1522" s="12">
        <v>0</v>
      </c>
      <c r="K1522" s="11" t="s">
        <v>53</v>
      </c>
      <c r="L1522" s="11" t="str">
        <f t="shared" si="96"/>
        <v>902300</v>
      </c>
      <c r="M1522" s="11" t="str">
        <f>IF(I1522&lt;&gt;"",DATA!E1521,"")</f>
        <v>INTUBATION MANIKIN STUDY TEACHING MODEL</v>
      </c>
      <c r="N1522" s="12">
        <v>0</v>
      </c>
      <c r="O1522" s="11">
        <f>IF(I1522&lt;&gt;"",DATA!C1521,"")</f>
        <v>26.1</v>
      </c>
      <c r="P1522" s="2">
        <v>294094</v>
      </c>
      <c r="Q1522" s="2" t="s">
        <v>1304</v>
      </c>
      <c r="R1522" s="2" t="s">
        <v>1334</v>
      </c>
      <c r="S1522" s="2">
        <v>577</v>
      </c>
      <c r="T1522" s="2">
        <v>1</v>
      </c>
      <c r="U1522" s="2" t="s">
        <v>141</v>
      </c>
      <c r="Y1522" s="2">
        <v>1700</v>
      </c>
      <c r="Z1522" s="11" t="s">
        <v>54</v>
      </c>
      <c r="AA1522" s="11" t="str">
        <f t="shared" si="97"/>
        <v>1700 - TBN</v>
      </c>
      <c r="AC1522" s="2" t="s">
        <v>145</v>
      </c>
      <c r="AD1522" s="11" t="str">
        <f>IF($I1522&lt;&gt;"",VLOOKUP($AC1522,GEADRESSEERDE!$A$2:$E$4,2,),"")</f>
        <v>LUITHAGEN HAVEN 2 D</v>
      </c>
      <c r="AE1522" s="11">
        <f>IF($I1522&lt;&gt;"",VLOOKUP($AC1522,GEADRESSEERDE!$A$2:$E$4,3,),"")</f>
        <v>2030</v>
      </c>
      <c r="AF1522" s="11" t="str">
        <f>IF($I1522&lt;&gt;"",VLOOKUP($AC1522,GEADRESSEERDE!$A$2:$E$4,4,),"")</f>
        <v>ANTWERPEN</v>
      </c>
      <c r="AG1522" s="11" t="str">
        <f>IF($I1522&lt;&gt;"",VLOOKUP($AC1522,GEADRESSEERDE!$A$2:$E$4,5,),"")</f>
        <v>BE</v>
      </c>
      <c r="AH1522" s="11" t="str">
        <f>IF(I1522&lt;&gt;"",VLOOKUP(AP1522,KvB!$A$2:$B$3,2,FALSE),"")</f>
        <v>BE101000</v>
      </c>
      <c r="AI1522" s="11" t="s">
        <v>55</v>
      </c>
      <c r="AJ1522" s="11"/>
      <c r="AK1522" s="11"/>
      <c r="AL1522" s="11"/>
      <c r="AM1522" s="11"/>
      <c r="AN1522" s="11"/>
      <c r="AO1522" s="11"/>
      <c r="AP1522" s="2" t="s">
        <v>70</v>
      </c>
      <c r="AQ1522" s="11" t="str">
        <f>IF(I1522&lt;&gt;"",DATA!D1521,"")</f>
        <v>9023008000</v>
      </c>
    </row>
    <row r="1523" spans="1:43" ht="15.75" x14ac:dyDescent="0.25">
      <c r="A1523" s="11" t="s">
        <v>57</v>
      </c>
      <c r="B1523" s="11" t="s">
        <v>56</v>
      </c>
      <c r="C1523" s="22">
        <f t="shared" si="98"/>
        <v>25001620</v>
      </c>
      <c r="D1523" s="11" t="str">
        <f t="shared" si="95"/>
        <v>SKIIFM_AT</v>
      </c>
      <c r="E1523" s="11" t="str">
        <f>IF(I1523&lt;&gt;"",VLOOKUP(F1523,OPDRACHTGEVER!$A$2:$B$4,2,FALSE),"")</f>
        <v>SKIIFM_AT</v>
      </c>
      <c r="F1523" s="11" t="s">
        <v>58</v>
      </c>
      <c r="I1523" s="11" t="str">
        <f>IF(DATA!B1522&lt;&gt;"",DATA!B1522,"")</f>
        <v>MSDU7786801</v>
      </c>
      <c r="J1523" s="12">
        <v>0</v>
      </c>
      <c r="K1523" s="11" t="s">
        <v>53</v>
      </c>
      <c r="L1523" s="11" t="str">
        <f t="shared" si="96"/>
        <v>741920</v>
      </c>
      <c r="M1523" s="11" t="str">
        <f>IF(I1523&lt;&gt;"",DATA!E1522,"")</f>
        <v>IRON BASE</v>
      </c>
      <c r="N1523" s="12">
        <v>0</v>
      </c>
      <c r="O1523" s="11">
        <f>IF(I1523&lt;&gt;"",DATA!C1522,"")</f>
        <v>232.5</v>
      </c>
      <c r="P1523" s="2">
        <v>294094</v>
      </c>
      <c r="Q1523" s="2" t="s">
        <v>1304</v>
      </c>
      <c r="R1523" s="2" t="s">
        <v>1334</v>
      </c>
      <c r="S1523" s="2">
        <v>577</v>
      </c>
      <c r="T1523" s="2">
        <v>1</v>
      </c>
      <c r="U1523" s="2" t="s">
        <v>141</v>
      </c>
      <c r="Y1523" s="2">
        <v>1700</v>
      </c>
      <c r="Z1523" s="11" t="s">
        <v>54</v>
      </c>
      <c r="AA1523" s="11" t="str">
        <f t="shared" si="97"/>
        <v>1700 - TBN</v>
      </c>
      <c r="AC1523" s="2" t="s">
        <v>145</v>
      </c>
      <c r="AD1523" s="11" t="str">
        <f>IF($I1523&lt;&gt;"",VLOOKUP($AC1523,GEADRESSEERDE!$A$2:$E$4,2,),"")</f>
        <v>LUITHAGEN HAVEN 2 D</v>
      </c>
      <c r="AE1523" s="11">
        <f>IF($I1523&lt;&gt;"",VLOOKUP($AC1523,GEADRESSEERDE!$A$2:$E$4,3,),"")</f>
        <v>2030</v>
      </c>
      <c r="AF1523" s="11" t="str">
        <f>IF($I1523&lt;&gt;"",VLOOKUP($AC1523,GEADRESSEERDE!$A$2:$E$4,4,),"")</f>
        <v>ANTWERPEN</v>
      </c>
      <c r="AG1523" s="11" t="str">
        <f>IF($I1523&lt;&gt;"",VLOOKUP($AC1523,GEADRESSEERDE!$A$2:$E$4,5,),"")</f>
        <v>BE</v>
      </c>
      <c r="AH1523" s="11" t="str">
        <f>IF(I1523&lt;&gt;"",VLOOKUP(AP1523,KvB!$A$2:$B$3,2,FALSE),"")</f>
        <v>BE101000</v>
      </c>
      <c r="AI1523" s="11" t="s">
        <v>55</v>
      </c>
      <c r="AJ1523" s="11"/>
      <c r="AK1523" s="11"/>
      <c r="AL1523" s="11"/>
      <c r="AM1523" s="11"/>
      <c r="AN1523" s="11"/>
      <c r="AO1523" s="11"/>
      <c r="AP1523" s="2" t="s">
        <v>70</v>
      </c>
      <c r="AQ1523" s="11" t="str">
        <f>IF(I1523&lt;&gt;"",DATA!D1522,"")</f>
        <v>7419200090</v>
      </c>
    </row>
    <row r="1524" spans="1:43" ht="15.75" x14ac:dyDescent="0.25">
      <c r="A1524" s="11" t="s">
        <v>57</v>
      </c>
      <c r="B1524" s="11" t="s">
        <v>56</v>
      </c>
      <c r="C1524" s="22">
        <f t="shared" si="98"/>
        <v>25001620</v>
      </c>
      <c r="D1524" s="11" t="str">
        <f t="shared" ref="D1524:D1587" si="99">E1524</f>
        <v>SKIIFM_AT</v>
      </c>
      <c r="E1524" s="11" t="str">
        <f>IF(I1524&lt;&gt;"",VLOOKUP(F1524,OPDRACHTGEVER!$A$2:$B$4,2,FALSE),"")</f>
        <v>SKIIFM_AT</v>
      </c>
      <c r="F1524" s="11" t="s">
        <v>58</v>
      </c>
      <c r="I1524" s="11" t="str">
        <f>IF(DATA!B1523&lt;&gt;"",DATA!B1523,"")</f>
        <v>MSDU7786801</v>
      </c>
      <c r="J1524" s="12">
        <v>0</v>
      </c>
      <c r="K1524" s="11" t="s">
        <v>53</v>
      </c>
      <c r="L1524" s="11" t="str">
        <f t="shared" ref="L1524:L1587" si="100">LEFT(AQ1524,6)</f>
        <v>846420</v>
      </c>
      <c r="M1524" s="11" t="str">
        <f>IF(I1524&lt;&gt;"",DATA!E1523,"")</f>
        <v>JEWELRY POLISHER</v>
      </c>
      <c r="N1524" s="12">
        <v>0</v>
      </c>
      <c r="O1524" s="11">
        <f>IF(I1524&lt;&gt;"",DATA!C1523,"")</f>
        <v>42</v>
      </c>
      <c r="P1524" s="2">
        <v>294094</v>
      </c>
      <c r="Q1524" s="2" t="s">
        <v>1304</v>
      </c>
      <c r="R1524" s="2" t="s">
        <v>1334</v>
      </c>
      <c r="S1524" s="2">
        <v>577</v>
      </c>
      <c r="T1524" s="2">
        <v>1</v>
      </c>
      <c r="U1524" s="2" t="s">
        <v>141</v>
      </c>
      <c r="Y1524" s="2">
        <v>1700</v>
      </c>
      <c r="Z1524" s="11" t="s">
        <v>54</v>
      </c>
      <c r="AA1524" s="11" t="str">
        <f t="shared" ref="AA1524:AA1587" si="101">IF(I1524&lt;&gt;"",Y1524&amp;" - "&amp;Z1524,"")</f>
        <v>1700 - TBN</v>
      </c>
      <c r="AC1524" s="2" t="s">
        <v>145</v>
      </c>
      <c r="AD1524" s="11" t="str">
        <f>IF($I1524&lt;&gt;"",VLOOKUP($AC1524,GEADRESSEERDE!$A$2:$E$4,2,),"")</f>
        <v>LUITHAGEN HAVEN 2 D</v>
      </c>
      <c r="AE1524" s="11">
        <f>IF($I1524&lt;&gt;"",VLOOKUP($AC1524,GEADRESSEERDE!$A$2:$E$4,3,),"")</f>
        <v>2030</v>
      </c>
      <c r="AF1524" s="11" t="str">
        <f>IF($I1524&lt;&gt;"",VLOOKUP($AC1524,GEADRESSEERDE!$A$2:$E$4,4,),"")</f>
        <v>ANTWERPEN</v>
      </c>
      <c r="AG1524" s="11" t="str">
        <f>IF($I1524&lt;&gt;"",VLOOKUP($AC1524,GEADRESSEERDE!$A$2:$E$4,5,),"")</f>
        <v>BE</v>
      </c>
      <c r="AH1524" s="11" t="str">
        <f>IF(I1524&lt;&gt;"",VLOOKUP(AP1524,KvB!$A$2:$B$3,2,FALSE),"")</f>
        <v>BE101000</v>
      </c>
      <c r="AI1524" s="11" t="s">
        <v>55</v>
      </c>
      <c r="AJ1524" s="11"/>
      <c r="AK1524" s="11"/>
      <c r="AL1524" s="11"/>
      <c r="AM1524" s="11"/>
      <c r="AN1524" s="11"/>
      <c r="AO1524" s="11"/>
      <c r="AP1524" s="2" t="s">
        <v>70</v>
      </c>
      <c r="AQ1524" s="11" t="str">
        <f>IF(I1524&lt;&gt;"",DATA!D1523,"")</f>
        <v>8464208000</v>
      </c>
    </row>
    <row r="1525" spans="1:43" ht="15.75" x14ac:dyDescent="0.25">
      <c r="A1525" s="11" t="s">
        <v>57</v>
      </c>
      <c r="B1525" s="11" t="s">
        <v>56</v>
      </c>
      <c r="C1525" s="22">
        <f t="shared" si="98"/>
        <v>25001620</v>
      </c>
      <c r="D1525" s="11" t="str">
        <f t="shared" si="99"/>
        <v>SKIIFM_AT</v>
      </c>
      <c r="E1525" s="11" t="str">
        <f>IF(I1525&lt;&gt;"",VLOOKUP(F1525,OPDRACHTGEVER!$A$2:$B$4,2,FALSE),"")</f>
        <v>SKIIFM_AT</v>
      </c>
      <c r="F1525" s="11" t="s">
        <v>58</v>
      </c>
      <c r="I1525" s="11" t="str">
        <f>IF(DATA!B1524&lt;&gt;"",DATA!B1524,"")</f>
        <v>MSDU7786801</v>
      </c>
      <c r="J1525" s="12">
        <v>0</v>
      </c>
      <c r="K1525" s="11" t="s">
        <v>53</v>
      </c>
      <c r="L1525" s="11" t="str">
        <f t="shared" si="100"/>
        <v>950300</v>
      </c>
      <c r="M1525" s="11" t="str">
        <f>IF(I1525&lt;&gt;"",DATA!E1524,"")</f>
        <v>KIDS RIDE ON PUSH CAR</v>
      </c>
      <c r="N1525" s="12">
        <v>0</v>
      </c>
      <c r="O1525" s="11">
        <f>IF(I1525&lt;&gt;"",DATA!C1524,"")</f>
        <v>4.8</v>
      </c>
      <c r="P1525" s="2">
        <v>294094</v>
      </c>
      <c r="Q1525" s="2" t="s">
        <v>1304</v>
      </c>
      <c r="R1525" s="2" t="s">
        <v>1334</v>
      </c>
      <c r="S1525" s="2">
        <v>577</v>
      </c>
      <c r="T1525" s="2">
        <v>1</v>
      </c>
      <c r="U1525" s="2" t="s">
        <v>141</v>
      </c>
      <c r="Y1525" s="2">
        <v>1700</v>
      </c>
      <c r="Z1525" s="11" t="s">
        <v>54</v>
      </c>
      <c r="AA1525" s="11" t="str">
        <f t="shared" si="101"/>
        <v>1700 - TBN</v>
      </c>
      <c r="AC1525" s="2" t="s">
        <v>145</v>
      </c>
      <c r="AD1525" s="11" t="str">
        <f>IF($I1525&lt;&gt;"",VLOOKUP($AC1525,GEADRESSEERDE!$A$2:$E$4,2,),"")</f>
        <v>LUITHAGEN HAVEN 2 D</v>
      </c>
      <c r="AE1525" s="11">
        <f>IF($I1525&lt;&gt;"",VLOOKUP($AC1525,GEADRESSEERDE!$A$2:$E$4,3,),"")</f>
        <v>2030</v>
      </c>
      <c r="AF1525" s="11" t="str">
        <f>IF($I1525&lt;&gt;"",VLOOKUP($AC1525,GEADRESSEERDE!$A$2:$E$4,4,),"")</f>
        <v>ANTWERPEN</v>
      </c>
      <c r="AG1525" s="11" t="str">
        <f>IF($I1525&lt;&gt;"",VLOOKUP($AC1525,GEADRESSEERDE!$A$2:$E$4,5,),"")</f>
        <v>BE</v>
      </c>
      <c r="AH1525" s="11" t="str">
        <f>IF(I1525&lt;&gt;"",VLOOKUP(AP1525,KvB!$A$2:$B$3,2,FALSE),"")</f>
        <v>BE101000</v>
      </c>
      <c r="AI1525" s="11" t="s">
        <v>55</v>
      </c>
      <c r="AJ1525" s="11"/>
      <c r="AK1525" s="11"/>
      <c r="AL1525" s="11"/>
      <c r="AM1525" s="11"/>
      <c r="AN1525" s="11"/>
      <c r="AO1525" s="11"/>
      <c r="AP1525" s="2" t="s">
        <v>70</v>
      </c>
      <c r="AQ1525" s="11" t="str">
        <f>IF(I1525&lt;&gt;"",DATA!D1524,"")</f>
        <v>9503001000</v>
      </c>
    </row>
    <row r="1526" spans="1:43" ht="15.75" x14ac:dyDescent="0.25">
      <c r="A1526" s="11" t="s">
        <v>57</v>
      </c>
      <c r="B1526" s="11" t="s">
        <v>56</v>
      </c>
      <c r="C1526" s="22">
        <f t="shared" si="98"/>
        <v>25001620</v>
      </c>
      <c r="D1526" s="11" t="str">
        <f t="shared" si="99"/>
        <v>SKIIFM_AT</v>
      </c>
      <c r="E1526" s="11" t="str">
        <f>IF(I1526&lt;&gt;"",VLOOKUP(F1526,OPDRACHTGEVER!$A$2:$B$4,2,FALSE),"")</f>
        <v>SKIIFM_AT</v>
      </c>
      <c r="F1526" s="11" t="s">
        <v>58</v>
      </c>
      <c r="I1526" s="11" t="str">
        <f>IF(DATA!B1525&lt;&gt;"",DATA!B1525,"")</f>
        <v>MSDU7786801</v>
      </c>
      <c r="J1526" s="12">
        <v>0</v>
      </c>
      <c r="K1526" s="11" t="s">
        <v>53</v>
      </c>
      <c r="L1526" s="11" t="str">
        <f t="shared" si="100"/>
        <v>741920</v>
      </c>
      <c r="M1526" s="11" t="str">
        <f>IF(I1526&lt;&gt;"",DATA!E1525,"")</f>
        <v>KITCHEN SPICE RACK</v>
      </c>
      <c r="N1526" s="12">
        <v>0</v>
      </c>
      <c r="O1526" s="11">
        <f>IF(I1526&lt;&gt;"",DATA!C1525,"")</f>
        <v>164.35</v>
      </c>
      <c r="P1526" s="2">
        <v>294094</v>
      </c>
      <c r="Q1526" s="2" t="s">
        <v>1304</v>
      </c>
      <c r="R1526" s="2" t="s">
        <v>1334</v>
      </c>
      <c r="S1526" s="2">
        <v>577</v>
      </c>
      <c r="T1526" s="2">
        <v>1</v>
      </c>
      <c r="U1526" s="2" t="s">
        <v>141</v>
      </c>
      <c r="Y1526" s="2">
        <v>1700</v>
      </c>
      <c r="Z1526" s="11" t="s">
        <v>54</v>
      </c>
      <c r="AA1526" s="11" t="str">
        <f t="shared" si="101"/>
        <v>1700 - TBN</v>
      </c>
      <c r="AC1526" s="2" t="s">
        <v>145</v>
      </c>
      <c r="AD1526" s="11" t="str">
        <f>IF($I1526&lt;&gt;"",VLOOKUP($AC1526,GEADRESSEERDE!$A$2:$E$4,2,),"")</f>
        <v>LUITHAGEN HAVEN 2 D</v>
      </c>
      <c r="AE1526" s="11">
        <f>IF($I1526&lt;&gt;"",VLOOKUP($AC1526,GEADRESSEERDE!$A$2:$E$4,3,),"")</f>
        <v>2030</v>
      </c>
      <c r="AF1526" s="11" t="str">
        <f>IF($I1526&lt;&gt;"",VLOOKUP($AC1526,GEADRESSEERDE!$A$2:$E$4,4,),"")</f>
        <v>ANTWERPEN</v>
      </c>
      <c r="AG1526" s="11" t="str">
        <f>IF($I1526&lt;&gt;"",VLOOKUP($AC1526,GEADRESSEERDE!$A$2:$E$4,5,),"")</f>
        <v>BE</v>
      </c>
      <c r="AH1526" s="11" t="str">
        <f>IF(I1526&lt;&gt;"",VLOOKUP(AP1526,KvB!$A$2:$B$3,2,FALSE),"")</f>
        <v>BE101000</v>
      </c>
      <c r="AI1526" s="11" t="s">
        <v>55</v>
      </c>
      <c r="AJ1526" s="11"/>
      <c r="AK1526" s="11"/>
      <c r="AL1526" s="11"/>
      <c r="AM1526" s="11"/>
      <c r="AN1526" s="11"/>
      <c r="AO1526" s="11"/>
      <c r="AP1526" s="2" t="s">
        <v>70</v>
      </c>
      <c r="AQ1526" s="11" t="str">
        <f>IF(I1526&lt;&gt;"",DATA!D1525,"")</f>
        <v>7419200090</v>
      </c>
    </row>
    <row r="1527" spans="1:43" ht="15.75" x14ac:dyDescent="0.25">
      <c r="A1527" s="11" t="s">
        <v>57</v>
      </c>
      <c r="B1527" s="11" t="s">
        <v>56</v>
      </c>
      <c r="C1527" s="22">
        <f t="shared" si="98"/>
        <v>25001620</v>
      </c>
      <c r="D1527" s="11" t="str">
        <f t="shared" si="99"/>
        <v>SKIIFM_AT</v>
      </c>
      <c r="E1527" s="11" t="str">
        <f>IF(I1527&lt;&gt;"",VLOOKUP(F1527,OPDRACHTGEVER!$A$2:$B$4,2,FALSE),"")</f>
        <v>SKIIFM_AT</v>
      </c>
      <c r="F1527" s="11" t="s">
        <v>58</v>
      </c>
      <c r="I1527" s="11" t="str">
        <f>IF(DATA!B1526&lt;&gt;"",DATA!B1526,"")</f>
        <v>MSDU7786801</v>
      </c>
      <c r="J1527" s="12">
        <v>0</v>
      </c>
      <c r="K1527" s="11" t="s">
        <v>53</v>
      </c>
      <c r="L1527" s="11" t="str">
        <f t="shared" si="100"/>
        <v>871680</v>
      </c>
      <c r="M1527" s="11" t="str">
        <f>IF(I1527&lt;&gt;"",DATA!E1526,"")</f>
        <v>LAB CART SDP</v>
      </c>
      <c r="N1527" s="12">
        <v>0</v>
      </c>
      <c r="O1527" s="11">
        <f>IF(I1527&lt;&gt;"",DATA!C1526,"")</f>
        <v>869.4</v>
      </c>
      <c r="P1527" s="2">
        <v>294094</v>
      </c>
      <c r="Q1527" s="2" t="s">
        <v>1304</v>
      </c>
      <c r="R1527" s="2" t="s">
        <v>1334</v>
      </c>
      <c r="S1527" s="2">
        <v>577</v>
      </c>
      <c r="T1527" s="2">
        <v>1</v>
      </c>
      <c r="U1527" s="2" t="s">
        <v>141</v>
      </c>
      <c r="Y1527" s="2">
        <v>1700</v>
      </c>
      <c r="Z1527" s="11" t="s">
        <v>54</v>
      </c>
      <c r="AA1527" s="11" t="str">
        <f t="shared" si="101"/>
        <v>1700 - TBN</v>
      </c>
      <c r="AC1527" s="2" t="s">
        <v>145</v>
      </c>
      <c r="AD1527" s="11" t="str">
        <f>IF($I1527&lt;&gt;"",VLOOKUP($AC1527,GEADRESSEERDE!$A$2:$E$4,2,),"")</f>
        <v>LUITHAGEN HAVEN 2 D</v>
      </c>
      <c r="AE1527" s="11">
        <f>IF($I1527&lt;&gt;"",VLOOKUP($AC1527,GEADRESSEERDE!$A$2:$E$4,3,),"")</f>
        <v>2030</v>
      </c>
      <c r="AF1527" s="11" t="str">
        <f>IF($I1527&lt;&gt;"",VLOOKUP($AC1527,GEADRESSEERDE!$A$2:$E$4,4,),"")</f>
        <v>ANTWERPEN</v>
      </c>
      <c r="AG1527" s="11" t="str">
        <f>IF($I1527&lt;&gt;"",VLOOKUP($AC1527,GEADRESSEERDE!$A$2:$E$4,5,),"")</f>
        <v>BE</v>
      </c>
      <c r="AH1527" s="11" t="str">
        <f>IF(I1527&lt;&gt;"",VLOOKUP(AP1527,KvB!$A$2:$B$3,2,FALSE),"")</f>
        <v>BE101000</v>
      </c>
      <c r="AI1527" s="11" t="s">
        <v>55</v>
      </c>
      <c r="AJ1527" s="11"/>
      <c r="AK1527" s="11"/>
      <c r="AL1527" s="11"/>
      <c r="AM1527" s="11"/>
      <c r="AN1527" s="11"/>
      <c r="AO1527" s="11"/>
      <c r="AP1527" s="2" t="s">
        <v>70</v>
      </c>
      <c r="AQ1527" s="11" t="str">
        <f>IF(I1527&lt;&gt;"",DATA!D1526,"")</f>
        <v>8716800000</v>
      </c>
    </row>
    <row r="1528" spans="1:43" ht="15.75" x14ac:dyDescent="0.25">
      <c r="A1528" s="11" t="s">
        <v>57</v>
      </c>
      <c r="B1528" s="11" t="s">
        <v>56</v>
      </c>
      <c r="C1528" s="22">
        <f t="shared" si="98"/>
        <v>25001620</v>
      </c>
      <c r="D1528" s="11" t="str">
        <f t="shared" si="99"/>
        <v>SKIIFM_AT</v>
      </c>
      <c r="E1528" s="11" t="str">
        <f>IF(I1528&lt;&gt;"",VLOOKUP(F1528,OPDRACHTGEVER!$A$2:$B$4,2,FALSE),"")</f>
        <v>SKIIFM_AT</v>
      </c>
      <c r="F1528" s="11" t="s">
        <v>58</v>
      </c>
      <c r="I1528" s="11" t="str">
        <f>IF(DATA!B1527&lt;&gt;"",DATA!B1527,"")</f>
        <v>MSDU7786801</v>
      </c>
      <c r="J1528" s="12">
        <v>0</v>
      </c>
      <c r="K1528" s="11" t="s">
        <v>53</v>
      </c>
      <c r="L1528" s="11" t="str">
        <f t="shared" si="100"/>
        <v>853650</v>
      </c>
      <c r="M1528" s="11" t="str">
        <f>IF(I1528&lt;&gt;"",DATA!E1527,"")</f>
        <v>LAUNCHER</v>
      </c>
      <c r="N1528" s="12">
        <v>0</v>
      </c>
      <c r="O1528" s="11">
        <f>IF(I1528&lt;&gt;"",DATA!C1527,"")</f>
        <v>24.05</v>
      </c>
      <c r="P1528" s="2">
        <v>294094</v>
      </c>
      <c r="Q1528" s="2" t="s">
        <v>1304</v>
      </c>
      <c r="R1528" s="2" t="s">
        <v>1334</v>
      </c>
      <c r="S1528" s="2">
        <v>577</v>
      </c>
      <c r="T1528" s="2">
        <v>1</v>
      </c>
      <c r="U1528" s="2" t="s">
        <v>141</v>
      </c>
      <c r="Y1528" s="2">
        <v>1700</v>
      </c>
      <c r="Z1528" s="11" t="s">
        <v>54</v>
      </c>
      <c r="AA1528" s="11" t="str">
        <f t="shared" si="101"/>
        <v>1700 - TBN</v>
      </c>
      <c r="AC1528" s="2" t="s">
        <v>145</v>
      </c>
      <c r="AD1528" s="11" t="str">
        <f>IF($I1528&lt;&gt;"",VLOOKUP($AC1528,GEADRESSEERDE!$A$2:$E$4,2,),"")</f>
        <v>LUITHAGEN HAVEN 2 D</v>
      </c>
      <c r="AE1528" s="11">
        <f>IF($I1528&lt;&gt;"",VLOOKUP($AC1528,GEADRESSEERDE!$A$2:$E$4,3,),"")</f>
        <v>2030</v>
      </c>
      <c r="AF1528" s="11" t="str">
        <f>IF($I1528&lt;&gt;"",VLOOKUP($AC1528,GEADRESSEERDE!$A$2:$E$4,4,),"")</f>
        <v>ANTWERPEN</v>
      </c>
      <c r="AG1528" s="11" t="str">
        <f>IF($I1528&lt;&gt;"",VLOOKUP($AC1528,GEADRESSEERDE!$A$2:$E$4,5,),"")</f>
        <v>BE</v>
      </c>
      <c r="AH1528" s="11" t="str">
        <f>IF(I1528&lt;&gt;"",VLOOKUP(AP1528,KvB!$A$2:$B$3,2,FALSE),"")</f>
        <v>BE101000</v>
      </c>
      <c r="AI1528" s="11" t="s">
        <v>55</v>
      </c>
      <c r="AJ1528" s="11"/>
      <c r="AK1528" s="11"/>
      <c r="AL1528" s="11"/>
      <c r="AM1528" s="11"/>
      <c r="AN1528" s="11"/>
      <c r="AO1528" s="11"/>
      <c r="AP1528" s="2" t="s">
        <v>70</v>
      </c>
      <c r="AQ1528" s="11" t="str">
        <f>IF(I1528&lt;&gt;"",DATA!D1527,"")</f>
        <v>8536500500</v>
      </c>
    </row>
    <row r="1529" spans="1:43" ht="15.75" x14ac:dyDescent="0.25">
      <c r="A1529" s="11" t="s">
        <v>57</v>
      </c>
      <c r="B1529" s="11" t="s">
        <v>56</v>
      </c>
      <c r="C1529" s="22">
        <f t="shared" si="98"/>
        <v>25001620</v>
      </c>
      <c r="D1529" s="11" t="str">
        <f t="shared" si="99"/>
        <v>SKIIFM_AT</v>
      </c>
      <c r="E1529" s="11" t="str">
        <f>IF(I1529&lt;&gt;"",VLOOKUP(F1529,OPDRACHTGEVER!$A$2:$B$4,2,FALSE),"")</f>
        <v>SKIIFM_AT</v>
      </c>
      <c r="F1529" s="11" t="s">
        <v>58</v>
      </c>
      <c r="I1529" s="11" t="str">
        <f>IF(DATA!B1528&lt;&gt;"",DATA!B1528,"")</f>
        <v>MSDU7786801</v>
      </c>
      <c r="J1529" s="12">
        <v>0</v>
      </c>
      <c r="K1529" s="11" t="s">
        <v>53</v>
      </c>
      <c r="L1529" s="11" t="str">
        <f t="shared" si="100"/>
        <v>902720</v>
      </c>
      <c r="M1529" s="11" t="str">
        <f>IF(I1529&lt;&gt;"",DATA!E1528,"")</f>
        <v>METEOROGRAPH</v>
      </c>
      <c r="N1529" s="12">
        <v>0</v>
      </c>
      <c r="O1529" s="11">
        <f>IF(I1529&lt;&gt;"",DATA!C1528,"")</f>
        <v>249.6</v>
      </c>
      <c r="P1529" s="2">
        <v>294094</v>
      </c>
      <c r="Q1529" s="2" t="s">
        <v>1304</v>
      </c>
      <c r="R1529" s="2" t="s">
        <v>1334</v>
      </c>
      <c r="S1529" s="2">
        <v>577</v>
      </c>
      <c r="T1529" s="2">
        <v>1</v>
      </c>
      <c r="U1529" s="2" t="s">
        <v>141</v>
      </c>
      <c r="Y1529" s="2">
        <v>1700</v>
      </c>
      <c r="Z1529" s="11" t="s">
        <v>54</v>
      </c>
      <c r="AA1529" s="11" t="str">
        <f t="shared" si="101"/>
        <v>1700 - TBN</v>
      </c>
      <c r="AC1529" s="2" t="s">
        <v>145</v>
      </c>
      <c r="AD1529" s="11" t="str">
        <f>IF($I1529&lt;&gt;"",VLOOKUP($AC1529,GEADRESSEERDE!$A$2:$E$4,2,),"")</f>
        <v>LUITHAGEN HAVEN 2 D</v>
      </c>
      <c r="AE1529" s="11">
        <f>IF($I1529&lt;&gt;"",VLOOKUP($AC1529,GEADRESSEERDE!$A$2:$E$4,3,),"")</f>
        <v>2030</v>
      </c>
      <c r="AF1529" s="11" t="str">
        <f>IF($I1529&lt;&gt;"",VLOOKUP($AC1529,GEADRESSEERDE!$A$2:$E$4,4,),"")</f>
        <v>ANTWERPEN</v>
      </c>
      <c r="AG1529" s="11" t="str">
        <f>IF($I1529&lt;&gt;"",VLOOKUP($AC1529,GEADRESSEERDE!$A$2:$E$4,5,),"")</f>
        <v>BE</v>
      </c>
      <c r="AH1529" s="11" t="str">
        <f>IF(I1529&lt;&gt;"",VLOOKUP(AP1529,KvB!$A$2:$B$3,2,FALSE),"")</f>
        <v>BE101000</v>
      </c>
      <c r="AI1529" s="11" t="s">
        <v>55</v>
      </c>
      <c r="AJ1529" s="11"/>
      <c r="AK1529" s="11"/>
      <c r="AL1529" s="11"/>
      <c r="AM1529" s="11"/>
      <c r="AN1529" s="11"/>
      <c r="AO1529" s="11"/>
      <c r="AP1529" s="2" t="s">
        <v>70</v>
      </c>
      <c r="AQ1529" s="11" t="str">
        <f>IF(I1529&lt;&gt;"",DATA!D1528,"")</f>
        <v>9027200000</v>
      </c>
    </row>
    <row r="1530" spans="1:43" ht="15.75" x14ac:dyDescent="0.25">
      <c r="A1530" s="11" t="s">
        <v>57</v>
      </c>
      <c r="B1530" s="11" t="s">
        <v>56</v>
      </c>
      <c r="C1530" s="22">
        <f t="shared" si="98"/>
        <v>25001620</v>
      </c>
      <c r="D1530" s="11" t="str">
        <f t="shared" si="99"/>
        <v>SKIIFM_AT</v>
      </c>
      <c r="E1530" s="11" t="str">
        <f>IF(I1530&lt;&gt;"",VLOOKUP(F1530,OPDRACHTGEVER!$A$2:$B$4,2,FALSE),"")</f>
        <v>SKIIFM_AT</v>
      </c>
      <c r="F1530" s="11" t="s">
        <v>58</v>
      </c>
      <c r="I1530" s="11" t="str">
        <f>IF(DATA!B1529&lt;&gt;"",DATA!B1529,"")</f>
        <v>MSDU7786801</v>
      </c>
      <c r="J1530" s="12">
        <v>0</v>
      </c>
      <c r="K1530" s="11" t="s">
        <v>53</v>
      </c>
      <c r="L1530" s="11" t="str">
        <f t="shared" si="100"/>
        <v>830790</v>
      </c>
      <c r="M1530" s="11" t="str">
        <f>IF(I1530&lt;&gt;"",DATA!E1529,"")</f>
        <v>MINI SPLIT LINE SET</v>
      </c>
      <c r="N1530" s="12">
        <v>0</v>
      </c>
      <c r="O1530" s="11">
        <f>IF(I1530&lt;&gt;"",DATA!C1529,"")</f>
        <v>54.5</v>
      </c>
      <c r="P1530" s="2">
        <v>294094</v>
      </c>
      <c r="Q1530" s="2" t="s">
        <v>1304</v>
      </c>
      <c r="R1530" s="2" t="s">
        <v>1334</v>
      </c>
      <c r="S1530" s="2">
        <v>577</v>
      </c>
      <c r="T1530" s="2">
        <v>1</v>
      </c>
      <c r="U1530" s="2" t="s">
        <v>141</v>
      </c>
      <c r="Y1530" s="2">
        <v>1700</v>
      </c>
      <c r="Z1530" s="11" t="s">
        <v>54</v>
      </c>
      <c r="AA1530" s="11" t="str">
        <f t="shared" si="101"/>
        <v>1700 - TBN</v>
      </c>
      <c r="AC1530" s="2" t="s">
        <v>145</v>
      </c>
      <c r="AD1530" s="11" t="str">
        <f>IF($I1530&lt;&gt;"",VLOOKUP($AC1530,GEADRESSEERDE!$A$2:$E$4,2,),"")</f>
        <v>LUITHAGEN HAVEN 2 D</v>
      </c>
      <c r="AE1530" s="11">
        <f>IF($I1530&lt;&gt;"",VLOOKUP($AC1530,GEADRESSEERDE!$A$2:$E$4,3,),"")</f>
        <v>2030</v>
      </c>
      <c r="AF1530" s="11" t="str">
        <f>IF($I1530&lt;&gt;"",VLOOKUP($AC1530,GEADRESSEERDE!$A$2:$E$4,4,),"")</f>
        <v>ANTWERPEN</v>
      </c>
      <c r="AG1530" s="11" t="str">
        <f>IF($I1530&lt;&gt;"",VLOOKUP($AC1530,GEADRESSEERDE!$A$2:$E$4,5,),"")</f>
        <v>BE</v>
      </c>
      <c r="AH1530" s="11" t="str">
        <f>IF(I1530&lt;&gt;"",VLOOKUP(AP1530,KvB!$A$2:$B$3,2,FALSE),"")</f>
        <v>BE101000</v>
      </c>
      <c r="AI1530" s="11" t="s">
        <v>55</v>
      </c>
      <c r="AJ1530" s="11"/>
      <c r="AK1530" s="11"/>
      <c r="AL1530" s="11"/>
      <c r="AM1530" s="11"/>
      <c r="AN1530" s="11"/>
      <c r="AO1530" s="11"/>
      <c r="AP1530" s="2" t="s">
        <v>70</v>
      </c>
      <c r="AQ1530" s="11" t="str">
        <f>IF(I1530&lt;&gt;"",DATA!D1529,"")</f>
        <v>8307900090</v>
      </c>
    </row>
    <row r="1531" spans="1:43" ht="15.75" x14ac:dyDescent="0.25">
      <c r="A1531" s="11" t="s">
        <v>57</v>
      </c>
      <c r="B1531" s="11" t="s">
        <v>56</v>
      </c>
      <c r="C1531" s="22">
        <f t="shared" si="98"/>
        <v>25001620</v>
      </c>
      <c r="D1531" s="11" t="str">
        <f t="shared" si="99"/>
        <v>SKIIFM_AT</v>
      </c>
      <c r="E1531" s="11" t="str">
        <f>IF(I1531&lt;&gt;"",VLOOKUP(F1531,OPDRACHTGEVER!$A$2:$B$4,2,FALSE),"")</f>
        <v>SKIIFM_AT</v>
      </c>
      <c r="F1531" s="11" t="s">
        <v>58</v>
      </c>
      <c r="I1531" s="11" t="str">
        <f>IF(DATA!B1530&lt;&gt;"",DATA!B1530,"")</f>
        <v>MSDU7786801</v>
      </c>
      <c r="J1531" s="12">
        <v>0</v>
      </c>
      <c r="K1531" s="11" t="s">
        <v>53</v>
      </c>
      <c r="L1531" s="11" t="str">
        <f t="shared" si="100"/>
        <v>901180</v>
      </c>
      <c r="M1531" s="11" t="str">
        <f>IF(I1531&lt;&gt;"",DATA!E1530,"")</f>
        <v>MULTI-DIRECTIONAL MICROSCOPE KIT</v>
      </c>
      <c r="N1531" s="12">
        <v>0</v>
      </c>
      <c r="O1531" s="11">
        <f>IF(I1531&lt;&gt;"",DATA!C1530,"")</f>
        <v>17</v>
      </c>
      <c r="P1531" s="2">
        <v>294094</v>
      </c>
      <c r="Q1531" s="2" t="s">
        <v>1304</v>
      </c>
      <c r="R1531" s="2" t="s">
        <v>1334</v>
      </c>
      <c r="S1531" s="2">
        <v>577</v>
      </c>
      <c r="T1531" s="2">
        <v>1</v>
      </c>
      <c r="U1531" s="2" t="s">
        <v>141</v>
      </c>
      <c r="Y1531" s="2">
        <v>1700</v>
      </c>
      <c r="Z1531" s="11" t="s">
        <v>54</v>
      </c>
      <c r="AA1531" s="11" t="str">
        <f t="shared" si="101"/>
        <v>1700 - TBN</v>
      </c>
      <c r="AC1531" s="2" t="s">
        <v>145</v>
      </c>
      <c r="AD1531" s="11" t="str">
        <f>IF($I1531&lt;&gt;"",VLOOKUP($AC1531,GEADRESSEERDE!$A$2:$E$4,2,),"")</f>
        <v>LUITHAGEN HAVEN 2 D</v>
      </c>
      <c r="AE1531" s="11">
        <f>IF($I1531&lt;&gt;"",VLOOKUP($AC1531,GEADRESSEERDE!$A$2:$E$4,3,),"")</f>
        <v>2030</v>
      </c>
      <c r="AF1531" s="11" t="str">
        <f>IF($I1531&lt;&gt;"",VLOOKUP($AC1531,GEADRESSEERDE!$A$2:$E$4,4,),"")</f>
        <v>ANTWERPEN</v>
      </c>
      <c r="AG1531" s="11" t="str">
        <f>IF($I1531&lt;&gt;"",VLOOKUP($AC1531,GEADRESSEERDE!$A$2:$E$4,5,),"")</f>
        <v>BE</v>
      </c>
      <c r="AH1531" s="11" t="str">
        <f>IF(I1531&lt;&gt;"",VLOOKUP(AP1531,KvB!$A$2:$B$3,2,FALSE),"")</f>
        <v>BE101000</v>
      </c>
      <c r="AI1531" s="11" t="s">
        <v>55</v>
      </c>
      <c r="AJ1531" s="11"/>
      <c r="AK1531" s="11"/>
      <c r="AL1531" s="11"/>
      <c r="AM1531" s="11"/>
      <c r="AN1531" s="11"/>
      <c r="AO1531" s="11"/>
      <c r="AP1531" s="2" t="s">
        <v>70</v>
      </c>
      <c r="AQ1531" s="11" t="str">
        <f>IF(I1531&lt;&gt;"",DATA!D1530,"")</f>
        <v>9011800000</v>
      </c>
    </row>
    <row r="1532" spans="1:43" ht="15.75" x14ac:dyDescent="0.25">
      <c r="A1532" s="11" t="s">
        <v>57</v>
      </c>
      <c r="B1532" s="11" t="s">
        <v>56</v>
      </c>
      <c r="C1532" s="22">
        <f t="shared" si="98"/>
        <v>25001620</v>
      </c>
      <c r="D1532" s="11" t="str">
        <f t="shared" si="99"/>
        <v>SKIIFM_AT</v>
      </c>
      <c r="E1532" s="11" t="str">
        <f>IF(I1532&lt;&gt;"",VLOOKUP(F1532,OPDRACHTGEVER!$A$2:$B$4,2,FALSE),"")</f>
        <v>SKIIFM_AT</v>
      </c>
      <c r="F1532" s="11" t="s">
        <v>58</v>
      </c>
      <c r="I1532" s="11" t="str">
        <f>IF(DATA!B1531&lt;&gt;"",DATA!B1531,"")</f>
        <v>MSDU7786801</v>
      </c>
      <c r="J1532" s="12">
        <v>0</v>
      </c>
      <c r="K1532" s="11" t="s">
        <v>53</v>
      </c>
      <c r="L1532" s="11" t="str">
        <f t="shared" si="100"/>
        <v>741920</v>
      </c>
      <c r="M1532" s="11" t="str">
        <f>IF(I1532&lt;&gt;"",DATA!E1531,"")</f>
        <v>PET BEAUTY BATH</v>
      </c>
      <c r="N1532" s="12">
        <v>0</v>
      </c>
      <c r="O1532" s="11">
        <f>IF(I1532&lt;&gt;"",DATA!C1531,"")</f>
        <v>527.20000000000005</v>
      </c>
      <c r="P1532" s="2">
        <v>294094</v>
      </c>
      <c r="Q1532" s="2" t="s">
        <v>1304</v>
      </c>
      <c r="R1532" s="2" t="s">
        <v>1334</v>
      </c>
      <c r="S1532" s="2">
        <v>577</v>
      </c>
      <c r="T1532" s="2">
        <v>1</v>
      </c>
      <c r="U1532" s="2" t="s">
        <v>141</v>
      </c>
      <c r="Y1532" s="2">
        <v>1700</v>
      </c>
      <c r="Z1532" s="11" t="s">
        <v>54</v>
      </c>
      <c r="AA1532" s="11" t="str">
        <f t="shared" si="101"/>
        <v>1700 - TBN</v>
      </c>
      <c r="AC1532" s="2" t="s">
        <v>145</v>
      </c>
      <c r="AD1532" s="11" t="str">
        <f>IF($I1532&lt;&gt;"",VLOOKUP($AC1532,GEADRESSEERDE!$A$2:$E$4,2,),"")</f>
        <v>LUITHAGEN HAVEN 2 D</v>
      </c>
      <c r="AE1532" s="11">
        <f>IF($I1532&lt;&gt;"",VLOOKUP($AC1532,GEADRESSEERDE!$A$2:$E$4,3,),"")</f>
        <v>2030</v>
      </c>
      <c r="AF1532" s="11" t="str">
        <f>IF($I1532&lt;&gt;"",VLOOKUP($AC1532,GEADRESSEERDE!$A$2:$E$4,4,),"")</f>
        <v>ANTWERPEN</v>
      </c>
      <c r="AG1532" s="11" t="str">
        <f>IF($I1532&lt;&gt;"",VLOOKUP($AC1532,GEADRESSEERDE!$A$2:$E$4,5,),"")</f>
        <v>BE</v>
      </c>
      <c r="AH1532" s="11" t="str">
        <f>IF(I1532&lt;&gt;"",VLOOKUP(AP1532,KvB!$A$2:$B$3,2,FALSE),"")</f>
        <v>BE101000</v>
      </c>
      <c r="AI1532" s="11" t="s">
        <v>55</v>
      </c>
      <c r="AJ1532" s="11"/>
      <c r="AK1532" s="11"/>
      <c r="AL1532" s="11"/>
      <c r="AM1532" s="11"/>
      <c r="AN1532" s="11"/>
      <c r="AO1532" s="11"/>
      <c r="AP1532" s="2" t="s">
        <v>70</v>
      </c>
      <c r="AQ1532" s="11" t="str">
        <f>IF(I1532&lt;&gt;"",DATA!D1531,"")</f>
        <v>7419200090</v>
      </c>
    </row>
    <row r="1533" spans="1:43" ht="15.75" x14ac:dyDescent="0.25">
      <c r="A1533" s="11" t="s">
        <v>57</v>
      </c>
      <c r="B1533" s="11" t="s">
        <v>56</v>
      </c>
      <c r="C1533" s="22">
        <f t="shared" si="98"/>
        <v>25001620</v>
      </c>
      <c r="D1533" s="11" t="str">
        <f t="shared" si="99"/>
        <v>SKIIFM_AT</v>
      </c>
      <c r="E1533" s="11" t="str">
        <f>IF(I1533&lt;&gt;"",VLOOKUP(F1533,OPDRACHTGEVER!$A$2:$B$4,2,FALSE),"")</f>
        <v>SKIIFM_AT</v>
      </c>
      <c r="F1533" s="11" t="s">
        <v>58</v>
      </c>
      <c r="I1533" s="11" t="str">
        <f>IF(DATA!B1532&lt;&gt;"",DATA!B1532,"")</f>
        <v>MSDU7786801</v>
      </c>
      <c r="J1533" s="12">
        <v>0</v>
      </c>
      <c r="K1533" s="11" t="s">
        <v>53</v>
      </c>
      <c r="L1533" s="11" t="str">
        <f t="shared" si="100"/>
        <v>852550</v>
      </c>
      <c r="M1533" s="11" t="str">
        <f>IF(I1533&lt;&gt;"",DATA!E1532,"")</f>
        <v>PIPE INSPECTION CAMERA</v>
      </c>
      <c r="N1533" s="12">
        <v>0</v>
      </c>
      <c r="O1533" s="11">
        <f>IF(I1533&lt;&gt;"",DATA!C1532,"")</f>
        <v>0.2</v>
      </c>
      <c r="P1533" s="2">
        <v>294094</v>
      </c>
      <c r="Q1533" s="2" t="s">
        <v>1304</v>
      </c>
      <c r="R1533" s="2" t="s">
        <v>1334</v>
      </c>
      <c r="S1533" s="2">
        <v>577</v>
      </c>
      <c r="T1533" s="2">
        <v>1</v>
      </c>
      <c r="U1533" s="2" t="s">
        <v>141</v>
      </c>
      <c r="Y1533" s="2">
        <v>1700</v>
      </c>
      <c r="Z1533" s="11" t="s">
        <v>54</v>
      </c>
      <c r="AA1533" s="11" t="str">
        <f t="shared" si="101"/>
        <v>1700 - TBN</v>
      </c>
      <c r="AC1533" s="2" t="s">
        <v>145</v>
      </c>
      <c r="AD1533" s="11" t="str">
        <f>IF($I1533&lt;&gt;"",VLOOKUP($AC1533,GEADRESSEERDE!$A$2:$E$4,2,),"")</f>
        <v>LUITHAGEN HAVEN 2 D</v>
      </c>
      <c r="AE1533" s="11">
        <f>IF($I1533&lt;&gt;"",VLOOKUP($AC1533,GEADRESSEERDE!$A$2:$E$4,3,),"")</f>
        <v>2030</v>
      </c>
      <c r="AF1533" s="11" t="str">
        <f>IF($I1533&lt;&gt;"",VLOOKUP($AC1533,GEADRESSEERDE!$A$2:$E$4,4,),"")</f>
        <v>ANTWERPEN</v>
      </c>
      <c r="AG1533" s="11" t="str">
        <f>IF($I1533&lt;&gt;"",VLOOKUP($AC1533,GEADRESSEERDE!$A$2:$E$4,5,),"")</f>
        <v>BE</v>
      </c>
      <c r="AH1533" s="11" t="str">
        <f>IF(I1533&lt;&gt;"",VLOOKUP(AP1533,KvB!$A$2:$B$3,2,FALSE),"")</f>
        <v>BE101000</v>
      </c>
      <c r="AI1533" s="11" t="s">
        <v>55</v>
      </c>
      <c r="AJ1533" s="11"/>
      <c r="AK1533" s="11"/>
      <c r="AL1533" s="11"/>
      <c r="AM1533" s="11"/>
      <c r="AN1533" s="11"/>
      <c r="AO1533" s="11"/>
      <c r="AP1533" s="2" t="s">
        <v>70</v>
      </c>
      <c r="AQ1533" s="11" t="str">
        <f>IF(I1533&lt;&gt;"",DATA!D1532,"")</f>
        <v>8525500000</v>
      </c>
    </row>
    <row r="1534" spans="1:43" ht="15.75" x14ac:dyDescent="0.25">
      <c r="A1534" s="11" t="s">
        <v>57</v>
      </c>
      <c r="B1534" s="11" t="s">
        <v>56</v>
      </c>
      <c r="C1534" s="22">
        <f t="shared" si="98"/>
        <v>25001620</v>
      </c>
      <c r="D1534" s="11" t="str">
        <f t="shared" si="99"/>
        <v>SKIIFM_AT</v>
      </c>
      <c r="E1534" s="11" t="str">
        <f>IF(I1534&lt;&gt;"",VLOOKUP(F1534,OPDRACHTGEVER!$A$2:$B$4,2,FALSE),"")</f>
        <v>SKIIFM_AT</v>
      </c>
      <c r="F1534" s="11" t="s">
        <v>58</v>
      </c>
      <c r="I1534" s="11" t="str">
        <f>IF(DATA!B1533&lt;&gt;"",DATA!B1533,"")</f>
        <v>MSDU7786801</v>
      </c>
      <c r="J1534" s="12">
        <v>0</v>
      </c>
      <c r="K1534" s="11" t="s">
        <v>53</v>
      </c>
      <c r="L1534" s="11" t="str">
        <f t="shared" si="100"/>
        <v>851660</v>
      </c>
      <c r="M1534" s="11" t="str">
        <f>IF(I1534&lt;&gt;"",DATA!E1533,"")</f>
        <v>PIZZA OVEN</v>
      </c>
      <c r="N1534" s="12">
        <v>0</v>
      </c>
      <c r="O1534" s="11">
        <f>IF(I1534&lt;&gt;"",DATA!C1533,"")</f>
        <v>186.3</v>
      </c>
      <c r="P1534" s="2">
        <v>294094</v>
      </c>
      <c r="Q1534" s="2" t="s">
        <v>1304</v>
      </c>
      <c r="R1534" s="2" t="s">
        <v>1334</v>
      </c>
      <c r="S1534" s="2">
        <v>577</v>
      </c>
      <c r="T1534" s="2">
        <v>1</v>
      </c>
      <c r="U1534" s="2" t="s">
        <v>141</v>
      </c>
      <c r="Y1534" s="2">
        <v>1700</v>
      </c>
      <c r="Z1534" s="11" t="s">
        <v>54</v>
      </c>
      <c r="AA1534" s="11" t="str">
        <f t="shared" si="101"/>
        <v>1700 - TBN</v>
      </c>
      <c r="AC1534" s="2" t="s">
        <v>145</v>
      </c>
      <c r="AD1534" s="11" t="str">
        <f>IF($I1534&lt;&gt;"",VLOOKUP($AC1534,GEADRESSEERDE!$A$2:$E$4,2,),"")</f>
        <v>LUITHAGEN HAVEN 2 D</v>
      </c>
      <c r="AE1534" s="11">
        <f>IF($I1534&lt;&gt;"",VLOOKUP($AC1534,GEADRESSEERDE!$A$2:$E$4,3,),"")</f>
        <v>2030</v>
      </c>
      <c r="AF1534" s="11" t="str">
        <f>IF($I1534&lt;&gt;"",VLOOKUP($AC1534,GEADRESSEERDE!$A$2:$E$4,4,),"")</f>
        <v>ANTWERPEN</v>
      </c>
      <c r="AG1534" s="11" t="str">
        <f>IF($I1534&lt;&gt;"",VLOOKUP($AC1534,GEADRESSEERDE!$A$2:$E$4,5,),"")</f>
        <v>BE</v>
      </c>
      <c r="AH1534" s="11" t="str">
        <f>IF(I1534&lt;&gt;"",VLOOKUP(AP1534,KvB!$A$2:$B$3,2,FALSE),"")</f>
        <v>BE101000</v>
      </c>
      <c r="AI1534" s="11" t="s">
        <v>55</v>
      </c>
      <c r="AJ1534" s="11"/>
      <c r="AK1534" s="11"/>
      <c r="AL1534" s="11"/>
      <c r="AM1534" s="11"/>
      <c r="AN1534" s="11"/>
      <c r="AO1534" s="11"/>
      <c r="AP1534" s="2" t="s">
        <v>70</v>
      </c>
      <c r="AQ1534" s="11" t="str">
        <f>IF(I1534&lt;&gt;"",DATA!D1533,"")</f>
        <v>8516605000</v>
      </c>
    </row>
    <row r="1535" spans="1:43" ht="15.75" x14ac:dyDescent="0.25">
      <c r="A1535" s="11" t="s">
        <v>57</v>
      </c>
      <c r="B1535" s="11" t="s">
        <v>56</v>
      </c>
      <c r="C1535" s="22">
        <f t="shared" si="98"/>
        <v>25001620</v>
      </c>
      <c r="D1535" s="11" t="str">
        <f t="shared" si="99"/>
        <v>SKIIFM_AT</v>
      </c>
      <c r="E1535" s="11" t="str">
        <f>IF(I1535&lt;&gt;"",VLOOKUP(F1535,OPDRACHTGEVER!$A$2:$B$4,2,FALSE),"")</f>
        <v>SKIIFM_AT</v>
      </c>
      <c r="F1535" s="11" t="s">
        <v>58</v>
      </c>
      <c r="I1535" s="11" t="str">
        <f>IF(DATA!B1534&lt;&gt;"",DATA!B1534,"")</f>
        <v>MSDU7786801</v>
      </c>
      <c r="J1535" s="12">
        <v>0</v>
      </c>
      <c r="K1535" s="11" t="s">
        <v>53</v>
      </c>
      <c r="L1535" s="11" t="str">
        <f t="shared" si="100"/>
        <v>392590</v>
      </c>
      <c r="M1535" s="11" t="str">
        <f>IF(I1535&lt;&gt;"",DATA!E1534,"")</f>
        <v>PLASTIC WALLBOARD</v>
      </c>
      <c r="N1535" s="12">
        <v>0</v>
      </c>
      <c r="O1535" s="11">
        <f>IF(I1535&lt;&gt;"",DATA!C1534,"")</f>
        <v>18.2</v>
      </c>
      <c r="P1535" s="2">
        <v>294094</v>
      </c>
      <c r="Q1535" s="2" t="s">
        <v>1304</v>
      </c>
      <c r="R1535" s="2" t="s">
        <v>1334</v>
      </c>
      <c r="S1535" s="2">
        <v>577</v>
      </c>
      <c r="T1535" s="2">
        <v>1</v>
      </c>
      <c r="U1535" s="2" t="s">
        <v>141</v>
      </c>
      <c r="Y1535" s="2">
        <v>1700</v>
      </c>
      <c r="Z1535" s="11" t="s">
        <v>54</v>
      </c>
      <c r="AA1535" s="11" t="str">
        <f t="shared" si="101"/>
        <v>1700 - TBN</v>
      </c>
      <c r="AC1535" s="2" t="s">
        <v>145</v>
      </c>
      <c r="AD1535" s="11" t="str">
        <f>IF($I1535&lt;&gt;"",VLOOKUP($AC1535,GEADRESSEERDE!$A$2:$E$4,2,),"")</f>
        <v>LUITHAGEN HAVEN 2 D</v>
      </c>
      <c r="AE1535" s="11">
        <f>IF($I1535&lt;&gt;"",VLOOKUP($AC1535,GEADRESSEERDE!$A$2:$E$4,3,),"")</f>
        <v>2030</v>
      </c>
      <c r="AF1535" s="11" t="str">
        <f>IF($I1535&lt;&gt;"",VLOOKUP($AC1535,GEADRESSEERDE!$A$2:$E$4,4,),"")</f>
        <v>ANTWERPEN</v>
      </c>
      <c r="AG1535" s="11" t="str">
        <f>IF($I1535&lt;&gt;"",VLOOKUP($AC1535,GEADRESSEERDE!$A$2:$E$4,5,),"")</f>
        <v>BE</v>
      </c>
      <c r="AH1535" s="11" t="str">
        <f>IF(I1535&lt;&gt;"",VLOOKUP(AP1535,KvB!$A$2:$B$3,2,FALSE),"")</f>
        <v>BE101000</v>
      </c>
      <c r="AI1535" s="11" t="s">
        <v>55</v>
      </c>
      <c r="AJ1535" s="11"/>
      <c r="AK1535" s="11"/>
      <c r="AL1535" s="11"/>
      <c r="AM1535" s="11"/>
      <c r="AN1535" s="11"/>
      <c r="AO1535" s="11"/>
      <c r="AP1535" s="2" t="s">
        <v>70</v>
      </c>
      <c r="AQ1535" s="11" t="str">
        <f>IF(I1535&lt;&gt;"",DATA!D1534,"")</f>
        <v>3925908000</v>
      </c>
    </row>
    <row r="1536" spans="1:43" ht="15.75" x14ac:dyDescent="0.25">
      <c r="A1536" s="11" t="s">
        <v>57</v>
      </c>
      <c r="B1536" s="11" t="s">
        <v>56</v>
      </c>
      <c r="C1536" s="22">
        <f t="shared" si="98"/>
        <v>25001620</v>
      </c>
      <c r="D1536" s="11" t="str">
        <f t="shared" si="99"/>
        <v>SKIIFM_AT</v>
      </c>
      <c r="E1536" s="11" t="str">
        <f>IF(I1536&lt;&gt;"",VLOOKUP(F1536,OPDRACHTGEVER!$A$2:$B$4,2,FALSE),"")</f>
        <v>SKIIFM_AT</v>
      </c>
      <c r="F1536" s="11" t="s">
        <v>58</v>
      </c>
      <c r="I1536" s="11" t="str">
        <f>IF(DATA!B1535&lt;&gt;"",DATA!B1535,"")</f>
        <v>MSDU7786801</v>
      </c>
      <c r="J1536" s="12">
        <v>0</v>
      </c>
      <c r="K1536" s="11" t="s">
        <v>53</v>
      </c>
      <c r="L1536" s="11" t="str">
        <f t="shared" si="100"/>
        <v>850440</v>
      </c>
      <c r="M1536" s="11" t="str">
        <f>IF(I1536&lt;&gt;"",DATA!E1535,"")</f>
        <v>PORTABLE CHARGING</v>
      </c>
      <c r="N1536" s="12">
        <v>0</v>
      </c>
      <c r="O1536" s="11">
        <f>IF(I1536&lt;&gt;"",DATA!C1535,"")</f>
        <v>5.6</v>
      </c>
      <c r="P1536" s="2">
        <v>294094</v>
      </c>
      <c r="Q1536" s="2" t="s">
        <v>1304</v>
      </c>
      <c r="R1536" s="2" t="s">
        <v>1334</v>
      </c>
      <c r="S1536" s="2">
        <v>577</v>
      </c>
      <c r="T1536" s="2">
        <v>1</v>
      </c>
      <c r="U1536" s="2" t="s">
        <v>141</v>
      </c>
      <c r="Y1536" s="2">
        <v>1700</v>
      </c>
      <c r="Z1536" s="11" t="s">
        <v>54</v>
      </c>
      <c r="AA1536" s="11" t="str">
        <f t="shared" si="101"/>
        <v>1700 - TBN</v>
      </c>
      <c r="AC1536" s="2" t="s">
        <v>145</v>
      </c>
      <c r="AD1536" s="11" t="str">
        <f>IF($I1536&lt;&gt;"",VLOOKUP($AC1536,GEADRESSEERDE!$A$2:$E$4,2,),"")</f>
        <v>LUITHAGEN HAVEN 2 D</v>
      </c>
      <c r="AE1536" s="11">
        <f>IF($I1536&lt;&gt;"",VLOOKUP($AC1536,GEADRESSEERDE!$A$2:$E$4,3,),"")</f>
        <v>2030</v>
      </c>
      <c r="AF1536" s="11" t="str">
        <f>IF($I1536&lt;&gt;"",VLOOKUP($AC1536,GEADRESSEERDE!$A$2:$E$4,4,),"")</f>
        <v>ANTWERPEN</v>
      </c>
      <c r="AG1536" s="11" t="str">
        <f>IF($I1536&lt;&gt;"",VLOOKUP($AC1536,GEADRESSEERDE!$A$2:$E$4,5,),"")</f>
        <v>BE</v>
      </c>
      <c r="AH1536" s="11" t="str">
        <f>IF(I1536&lt;&gt;"",VLOOKUP(AP1536,KvB!$A$2:$B$3,2,FALSE),"")</f>
        <v>BE101000</v>
      </c>
      <c r="AI1536" s="11" t="s">
        <v>55</v>
      </c>
      <c r="AJ1536" s="11"/>
      <c r="AK1536" s="11"/>
      <c r="AL1536" s="11"/>
      <c r="AM1536" s="11"/>
      <c r="AN1536" s="11"/>
      <c r="AO1536" s="11"/>
      <c r="AP1536" s="2" t="s">
        <v>70</v>
      </c>
      <c r="AQ1536" s="11" t="str">
        <f>IF(I1536&lt;&gt;"",DATA!D1535,"")</f>
        <v>8504409590</v>
      </c>
    </row>
    <row r="1537" spans="1:43" ht="15.75" x14ac:dyDescent="0.25">
      <c r="A1537" s="11" t="s">
        <v>57</v>
      </c>
      <c r="B1537" s="11" t="s">
        <v>56</v>
      </c>
      <c r="C1537" s="22">
        <f t="shared" si="98"/>
        <v>25001620</v>
      </c>
      <c r="D1537" s="11" t="str">
        <f t="shared" si="99"/>
        <v>SKIIFM_AT</v>
      </c>
      <c r="E1537" s="11" t="str">
        <f>IF(I1537&lt;&gt;"",VLOOKUP(F1537,OPDRACHTGEVER!$A$2:$B$4,2,FALSE),"")</f>
        <v>SKIIFM_AT</v>
      </c>
      <c r="F1537" s="11" t="s">
        <v>58</v>
      </c>
      <c r="I1537" s="11" t="str">
        <f>IF(DATA!B1536&lt;&gt;"",DATA!B1536,"")</f>
        <v>MSDU7786801</v>
      </c>
      <c r="J1537" s="12">
        <v>0</v>
      </c>
      <c r="K1537" s="11" t="s">
        <v>53</v>
      </c>
      <c r="L1537" s="11" t="str">
        <f t="shared" si="100"/>
        <v>901060</v>
      </c>
      <c r="M1537" s="11" t="str">
        <f>IF(I1537&lt;&gt;"",DATA!E1536,"")</f>
        <v>PROJECTOR SCREEN</v>
      </c>
      <c r="N1537" s="12">
        <v>0</v>
      </c>
      <c r="O1537" s="11">
        <f>IF(I1537&lt;&gt;"",DATA!C1536,"")</f>
        <v>30.3</v>
      </c>
      <c r="P1537" s="2">
        <v>294094</v>
      </c>
      <c r="Q1537" s="2" t="s">
        <v>1304</v>
      </c>
      <c r="R1537" s="2" t="s">
        <v>1334</v>
      </c>
      <c r="S1537" s="2">
        <v>577</v>
      </c>
      <c r="T1537" s="2">
        <v>1</v>
      </c>
      <c r="U1537" s="2" t="s">
        <v>141</v>
      </c>
      <c r="Y1537" s="2">
        <v>1700</v>
      </c>
      <c r="Z1537" s="11" t="s">
        <v>54</v>
      </c>
      <c r="AA1537" s="11" t="str">
        <f t="shared" si="101"/>
        <v>1700 - TBN</v>
      </c>
      <c r="AC1537" s="2" t="s">
        <v>145</v>
      </c>
      <c r="AD1537" s="11" t="str">
        <f>IF($I1537&lt;&gt;"",VLOOKUP($AC1537,GEADRESSEERDE!$A$2:$E$4,2,),"")</f>
        <v>LUITHAGEN HAVEN 2 D</v>
      </c>
      <c r="AE1537" s="11">
        <f>IF($I1537&lt;&gt;"",VLOOKUP($AC1537,GEADRESSEERDE!$A$2:$E$4,3,),"")</f>
        <v>2030</v>
      </c>
      <c r="AF1537" s="11" t="str">
        <f>IF($I1537&lt;&gt;"",VLOOKUP($AC1537,GEADRESSEERDE!$A$2:$E$4,4,),"")</f>
        <v>ANTWERPEN</v>
      </c>
      <c r="AG1537" s="11" t="str">
        <f>IF($I1537&lt;&gt;"",VLOOKUP($AC1537,GEADRESSEERDE!$A$2:$E$4,5,),"")</f>
        <v>BE</v>
      </c>
      <c r="AH1537" s="11" t="str">
        <f>IF(I1537&lt;&gt;"",VLOOKUP(AP1537,KvB!$A$2:$B$3,2,FALSE),"")</f>
        <v>BE101000</v>
      </c>
      <c r="AI1537" s="11" t="s">
        <v>55</v>
      </c>
      <c r="AJ1537" s="11"/>
      <c r="AK1537" s="11"/>
      <c r="AL1537" s="11"/>
      <c r="AM1537" s="11"/>
      <c r="AN1537" s="11"/>
      <c r="AO1537" s="11"/>
      <c r="AP1537" s="2" t="s">
        <v>70</v>
      </c>
      <c r="AQ1537" s="11" t="str">
        <f>IF(I1537&lt;&gt;"",DATA!D1536,"")</f>
        <v>9010600000</v>
      </c>
    </row>
    <row r="1538" spans="1:43" ht="15.75" x14ac:dyDescent="0.25">
      <c r="A1538" s="11" t="s">
        <v>57</v>
      </c>
      <c r="B1538" s="11" t="s">
        <v>56</v>
      </c>
      <c r="C1538" s="22">
        <f t="shared" si="98"/>
        <v>25001620</v>
      </c>
      <c r="D1538" s="11" t="str">
        <f t="shared" si="99"/>
        <v>SKIIFM_AT</v>
      </c>
      <c r="E1538" s="11" t="str">
        <f>IF(I1538&lt;&gt;"",VLOOKUP(F1538,OPDRACHTGEVER!$A$2:$B$4,2,FALSE),"")</f>
        <v>SKIIFM_AT</v>
      </c>
      <c r="F1538" s="11" t="s">
        <v>58</v>
      </c>
      <c r="I1538" s="11" t="str">
        <f>IF(DATA!B1537&lt;&gt;"",DATA!B1537,"")</f>
        <v>MSDU7786801</v>
      </c>
      <c r="J1538" s="12">
        <v>0</v>
      </c>
      <c r="K1538" s="11" t="s">
        <v>53</v>
      </c>
      <c r="L1538" s="11" t="str">
        <f t="shared" si="100"/>
        <v>391810</v>
      </c>
      <c r="M1538" s="11" t="str">
        <f>IF(I1538&lt;&gt;"",DATA!E1537,"")</f>
        <v>PVC WALL PANEL</v>
      </c>
      <c r="N1538" s="12">
        <v>0</v>
      </c>
      <c r="O1538" s="11">
        <f>IF(I1538&lt;&gt;"",DATA!C1537,"")</f>
        <v>24.78</v>
      </c>
      <c r="P1538" s="2">
        <v>294094</v>
      </c>
      <c r="Q1538" s="2" t="s">
        <v>1304</v>
      </c>
      <c r="R1538" s="2" t="s">
        <v>1334</v>
      </c>
      <c r="S1538" s="2">
        <v>577</v>
      </c>
      <c r="T1538" s="2">
        <v>1</v>
      </c>
      <c r="U1538" s="2" t="s">
        <v>141</v>
      </c>
      <c r="Y1538" s="2">
        <v>1700</v>
      </c>
      <c r="Z1538" s="11" t="s">
        <v>54</v>
      </c>
      <c r="AA1538" s="11" t="str">
        <f t="shared" si="101"/>
        <v>1700 - TBN</v>
      </c>
      <c r="AC1538" s="2" t="s">
        <v>145</v>
      </c>
      <c r="AD1538" s="11" t="str">
        <f>IF($I1538&lt;&gt;"",VLOOKUP($AC1538,GEADRESSEERDE!$A$2:$E$4,2,),"")</f>
        <v>LUITHAGEN HAVEN 2 D</v>
      </c>
      <c r="AE1538" s="11">
        <f>IF($I1538&lt;&gt;"",VLOOKUP($AC1538,GEADRESSEERDE!$A$2:$E$4,3,),"")</f>
        <v>2030</v>
      </c>
      <c r="AF1538" s="11" t="str">
        <f>IF($I1538&lt;&gt;"",VLOOKUP($AC1538,GEADRESSEERDE!$A$2:$E$4,4,),"")</f>
        <v>ANTWERPEN</v>
      </c>
      <c r="AG1538" s="11" t="str">
        <f>IF($I1538&lt;&gt;"",VLOOKUP($AC1538,GEADRESSEERDE!$A$2:$E$4,5,),"")</f>
        <v>BE</v>
      </c>
      <c r="AH1538" s="11" t="str">
        <f>IF(I1538&lt;&gt;"",VLOOKUP(AP1538,KvB!$A$2:$B$3,2,FALSE),"")</f>
        <v>BE101000</v>
      </c>
      <c r="AI1538" s="11" t="s">
        <v>55</v>
      </c>
      <c r="AJ1538" s="11"/>
      <c r="AK1538" s="11"/>
      <c r="AL1538" s="11"/>
      <c r="AM1538" s="11"/>
      <c r="AN1538" s="11"/>
      <c r="AO1538" s="11"/>
      <c r="AP1538" s="2" t="s">
        <v>70</v>
      </c>
      <c r="AQ1538" s="11" t="str">
        <f>IF(I1538&lt;&gt;"",DATA!D1537,"")</f>
        <v>3918101090</v>
      </c>
    </row>
    <row r="1539" spans="1:43" ht="15.75" x14ac:dyDescent="0.25">
      <c r="A1539" s="11" t="s">
        <v>57</v>
      </c>
      <c r="B1539" s="11" t="s">
        <v>56</v>
      </c>
      <c r="C1539" s="22">
        <f t="shared" si="98"/>
        <v>25001620</v>
      </c>
      <c r="D1539" s="11" t="str">
        <f t="shared" si="99"/>
        <v>SKIIFM_AT</v>
      </c>
      <c r="E1539" s="11" t="str">
        <f>IF(I1539&lt;&gt;"",VLOOKUP(F1539,OPDRACHTGEVER!$A$2:$B$4,2,FALSE),"")</f>
        <v>SKIIFM_AT</v>
      </c>
      <c r="F1539" s="11" t="s">
        <v>58</v>
      </c>
      <c r="I1539" s="11" t="str">
        <f>IF(DATA!B1538&lt;&gt;"",DATA!B1538,"")</f>
        <v>MSDU7786801</v>
      </c>
      <c r="J1539" s="12">
        <v>0</v>
      </c>
      <c r="K1539" s="11" t="s">
        <v>53</v>
      </c>
      <c r="L1539" s="11" t="str">
        <f t="shared" si="100"/>
        <v>830300</v>
      </c>
      <c r="M1539" s="11" t="str">
        <f>IF(I1539&lt;&gt;"",DATA!E1538,"")</f>
        <v>SAFE CASE</v>
      </c>
      <c r="N1539" s="12">
        <v>0</v>
      </c>
      <c r="O1539" s="11">
        <f>IF(I1539&lt;&gt;"",DATA!C1538,"")</f>
        <v>13.4</v>
      </c>
      <c r="P1539" s="2">
        <v>294094</v>
      </c>
      <c r="Q1539" s="2" t="s">
        <v>1304</v>
      </c>
      <c r="R1539" s="2" t="s">
        <v>1334</v>
      </c>
      <c r="S1539" s="2">
        <v>577</v>
      </c>
      <c r="T1539" s="2">
        <v>1</v>
      </c>
      <c r="U1539" s="2" t="s">
        <v>141</v>
      </c>
      <c r="Y1539" s="2">
        <v>1700</v>
      </c>
      <c r="Z1539" s="11" t="s">
        <v>54</v>
      </c>
      <c r="AA1539" s="11" t="str">
        <f t="shared" si="101"/>
        <v>1700 - TBN</v>
      </c>
      <c r="AC1539" s="2" t="s">
        <v>145</v>
      </c>
      <c r="AD1539" s="11" t="str">
        <f>IF($I1539&lt;&gt;"",VLOOKUP($AC1539,GEADRESSEERDE!$A$2:$E$4,2,),"")</f>
        <v>LUITHAGEN HAVEN 2 D</v>
      </c>
      <c r="AE1539" s="11">
        <f>IF($I1539&lt;&gt;"",VLOOKUP($AC1539,GEADRESSEERDE!$A$2:$E$4,3,),"")</f>
        <v>2030</v>
      </c>
      <c r="AF1539" s="11" t="str">
        <f>IF($I1539&lt;&gt;"",VLOOKUP($AC1539,GEADRESSEERDE!$A$2:$E$4,4,),"")</f>
        <v>ANTWERPEN</v>
      </c>
      <c r="AG1539" s="11" t="str">
        <f>IF($I1539&lt;&gt;"",VLOOKUP($AC1539,GEADRESSEERDE!$A$2:$E$4,5,),"")</f>
        <v>BE</v>
      </c>
      <c r="AH1539" s="11" t="str">
        <f>IF(I1539&lt;&gt;"",VLOOKUP(AP1539,KvB!$A$2:$B$3,2,FALSE),"")</f>
        <v>BE101000</v>
      </c>
      <c r="AI1539" s="11" t="s">
        <v>55</v>
      </c>
      <c r="AJ1539" s="11"/>
      <c r="AK1539" s="11"/>
      <c r="AL1539" s="11"/>
      <c r="AM1539" s="11"/>
      <c r="AN1539" s="11"/>
      <c r="AO1539" s="11"/>
      <c r="AP1539" s="2" t="s">
        <v>70</v>
      </c>
      <c r="AQ1539" s="11" t="str">
        <f>IF(I1539&lt;&gt;"",DATA!D1538,"")</f>
        <v>8303009000</v>
      </c>
    </row>
    <row r="1540" spans="1:43" ht="15.75" x14ac:dyDescent="0.25">
      <c r="A1540" s="11" t="s">
        <v>57</v>
      </c>
      <c r="B1540" s="11" t="s">
        <v>56</v>
      </c>
      <c r="C1540" s="22">
        <f t="shared" si="98"/>
        <v>25001620</v>
      </c>
      <c r="D1540" s="11" t="str">
        <f t="shared" si="99"/>
        <v>SKIIFM_AT</v>
      </c>
      <c r="E1540" s="11" t="str">
        <f>IF(I1540&lt;&gt;"",VLOOKUP(F1540,OPDRACHTGEVER!$A$2:$B$4,2,FALSE),"")</f>
        <v>SKIIFM_AT</v>
      </c>
      <c r="F1540" s="11" t="s">
        <v>58</v>
      </c>
      <c r="I1540" s="11" t="str">
        <f>IF(DATA!B1539&lt;&gt;"",DATA!B1539,"")</f>
        <v>MSDU7786801</v>
      </c>
      <c r="J1540" s="12">
        <v>0</v>
      </c>
      <c r="K1540" s="11" t="s">
        <v>53</v>
      </c>
      <c r="L1540" s="11" t="str">
        <f t="shared" si="100"/>
        <v>851679</v>
      </c>
      <c r="M1540" s="11" t="str">
        <f>IF(I1540&lt;&gt;"",DATA!E1539,"")</f>
        <v>SAUNA STOVE</v>
      </c>
      <c r="N1540" s="12">
        <v>0</v>
      </c>
      <c r="O1540" s="11">
        <f>IF(I1540&lt;&gt;"",DATA!C1539,"")</f>
        <v>44.27</v>
      </c>
      <c r="P1540" s="2">
        <v>294094</v>
      </c>
      <c r="Q1540" s="2" t="s">
        <v>1304</v>
      </c>
      <c r="R1540" s="2" t="s">
        <v>1334</v>
      </c>
      <c r="S1540" s="2">
        <v>577</v>
      </c>
      <c r="T1540" s="2">
        <v>1</v>
      </c>
      <c r="U1540" s="2" t="s">
        <v>141</v>
      </c>
      <c r="Y1540" s="2">
        <v>1700</v>
      </c>
      <c r="Z1540" s="11" t="s">
        <v>54</v>
      </c>
      <c r="AA1540" s="11" t="str">
        <f t="shared" si="101"/>
        <v>1700 - TBN</v>
      </c>
      <c r="AC1540" s="2" t="s">
        <v>145</v>
      </c>
      <c r="AD1540" s="11" t="str">
        <f>IF($I1540&lt;&gt;"",VLOOKUP($AC1540,GEADRESSEERDE!$A$2:$E$4,2,),"")</f>
        <v>LUITHAGEN HAVEN 2 D</v>
      </c>
      <c r="AE1540" s="11">
        <f>IF($I1540&lt;&gt;"",VLOOKUP($AC1540,GEADRESSEERDE!$A$2:$E$4,3,),"")</f>
        <v>2030</v>
      </c>
      <c r="AF1540" s="11" t="str">
        <f>IF($I1540&lt;&gt;"",VLOOKUP($AC1540,GEADRESSEERDE!$A$2:$E$4,4,),"")</f>
        <v>ANTWERPEN</v>
      </c>
      <c r="AG1540" s="11" t="str">
        <f>IF($I1540&lt;&gt;"",VLOOKUP($AC1540,GEADRESSEERDE!$A$2:$E$4,5,),"")</f>
        <v>BE</v>
      </c>
      <c r="AH1540" s="11" t="str">
        <f>IF(I1540&lt;&gt;"",VLOOKUP(AP1540,KvB!$A$2:$B$3,2,FALSE),"")</f>
        <v>BE101000</v>
      </c>
      <c r="AI1540" s="11" t="s">
        <v>55</v>
      </c>
      <c r="AJ1540" s="11"/>
      <c r="AK1540" s="11"/>
      <c r="AL1540" s="11"/>
      <c r="AM1540" s="11"/>
      <c r="AN1540" s="11"/>
      <c r="AO1540" s="11"/>
      <c r="AP1540" s="2" t="s">
        <v>70</v>
      </c>
      <c r="AQ1540" s="11" t="str">
        <f>IF(I1540&lt;&gt;"",DATA!D1539,"")</f>
        <v>8516797090</v>
      </c>
    </row>
    <row r="1541" spans="1:43" ht="15.75" x14ac:dyDescent="0.25">
      <c r="A1541" s="11" t="s">
        <v>57</v>
      </c>
      <c r="B1541" s="11" t="s">
        <v>56</v>
      </c>
      <c r="C1541" s="22">
        <f t="shared" ref="C1541:C1604" si="102">C1540</f>
        <v>25001620</v>
      </c>
      <c r="D1541" s="11" t="str">
        <f t="shared" si="99"/>
        <v>SKIIFM_AT</v>
      </c>
      <c r="E1541" s="11" t="str">
        <f>IF(I1541&lt;&gt;"",VLOOKUP(F1541,OPDRACHTGEVER!$A$2:$B$4,2,FALSE),"")</f>
        <v>SKIIFM_AT</v>
      </c>
      <c r="F1541" s="11" t="s">
        <v>58</v>
      </c>
      <c r="I1541" s="11" t="str">
        <f>IF(DATA!B1540&lt;&gt;"",DATA!B1540,"")</f>
        <v>MSDU7786801</v>
      </c>
      <c r="J1541" s="12">
        <v>0</v>
      </c>
      <c r="K1541" s="11" t="s">
        <v>53</v>
      </c>
      <c r="L1541" s="11" t="str">
        <f t="shared" si="100"/>
        <v>392113</v>
      </c>
      <c r="M1541" s="11" t="str">
        <f>IF(I1541&lt;&gt;"",DATA!E1540,"")</f>
        <v>SELF-ADHESIVE ACOUSTIC FOAM PANELS</v>
      </c>
      <c r="N1541" s="12">
        <v>0</v>
      </c>
      <c r="O1541" s="11">
        <f>IF(I1541&lt;&gt;"",DATA!C1540,"")</f>
        <v>12.8</v>
      </c>
      <c r="P1541" s="2">
        <v>294094</v>
      </c>
      <c r="Q1541" s="2" t="s">
        <v>1304</v>
      </c>
      <c r="R1541" s="2" t="s">
        <v>1334</v>
      </c>
      <c r="S1541" s="2">
        <v>577</v>
      </c>
      <c r="T1541" s="2">
        <v>1</v>
      </c>
      <c r="U1541" s="2" t="s">
        <v>141</v>
      </c>
      <c r="Y1541" s="2">
        <v>1700</v>
      </c>
      <c r="Z1541" s="11" t="s">
        <v>54</v>
      </c>
      <c r="AA1541" s="11" t="str">
        <f t="shared" si="101"/>
        <v>1700 - TBN</v>
      </c>
      <c r="AC1541" s="2" t="s">
        <v>145</v>
      </c>
      <c r="AD1541" s="11" t="str">
        <f>IF($I1541&lt;&gt;"",VLOOKUP($AC1541,GEADRESSEERDE!$A$2:$E$4,2,),"")</f>
        <v>LUITHAGEN HAVEN 2 D</v>
      </c>
      <c r="AE1541" s="11">
        <f>IF($I1541&lt;&gt;"",VLOOKUP($AC1541,GEADRESSEERDE!$A$2:$E$4,3,),"")</f>
        <v>2030</v>
      </c>
      <c r="AF1541" s="11" t="str">
        <f>IF($I1541&lt;&gt;"",VLOOKUP($AC1541,GEADRESSEERDE!$A$2:$E$4,4,),"")</f>
        <v>ANTWERPEN</v>
      </c>
      <c r="AG1541" s="11" t="str">
        <f>IF($I1541&lt;&gt;"",VLOOKUP($AC1541,GEADRESSEERDE!$A$2:$E$4,5,),"")</f>
        <v>BE</v>
      </c>
      <c r="AH1541" s="11" t="str">
        <f>IF(I1541&lt;&gt;"",VLOOKUP(AP1541,KvB!$A$2:$B$3,2,FALSE),"")</f>
        <v>BE101000</v>
      </c>
      <c r="AI1541" s="11" t="s">
        <v>55</v>
      </c>
      <c r="AJ1541" s="11"/>
      <c r="AK1541" s="11"/>
      <c r="AL1541" s="11"/>
      <c r="AM1541" s="11"/>
      <c r="AN1541" s="11"/>
      <c r="AO1541" s="11"/>
      <c r="AP1541" s="2" t="s">
        <v>70</v>
      </c>
      <c r="AQ1541" s="11" t="str">
        <f>IF(I1541&lt;&gt;"",DATA!D1540,"")</f>
        <v>3921139000</v>
      </c>
    </row>
    <row r="1542" spans="1:43" ht="15.75" x14ac:dyDescent="0.25">
      <c r="A1542" s="11" t="s">
        <v>57</v>
      </c>
      <c r="B1542" s="11" t="s">
        <v>56</v>
      </c>
      <c r="C1542" s="22">
        <f t="shared" si="102"/>
        <v>25001620</v>
      </c>
      <c r="D1542" s="11" t="str">
        <f t="shared" si="99"/>
        <v>SKIIFM_AT</v>
      </c>
      <c r="E1542" s="11" t="str">
        <f>IF(I1542&lt;&gt;"",VLOOKUP(F1542,OPDRACHTGEVER!$A$2:$B$4,2,FALSE),"")</f>
        <v>SKIIFM_AT</v>
      </c>
      <c r="F1542" s="11" t="s">
        <v>58</v>
      </c>
      <c r="I1542" s="11" t="str">
        <f>IF(DATA!B1541&lt;&gt;"",DATA!B1541,"")</f>
        <v>MSDU7786801</v>
      </c>
      <c r="J1542" s="12">
        <v>0</v>
      </c>
      <c r="K1542" s="11" t="s">
        <v>53</v>
      </c>
      <c r="L1542" s="11" t="str">
        <f t="shared" si="100"/>
        <v>847989</v>
      </c>
      <c r="M1542" s="11" t="str">
        <f>IF(I1542&lt;&gt;"",DATA!E1541,"")</f>
        <v>SIDE MOUNTED BOAT THROTTLE CONTROLLER</v>
      </c>
      <c r="N1542" s="12">
        <v>0</v>
      </c>
      <c r="O1542" s="11">
        <f>IF(I1542&lt;&gt;"",DATA!C1541,"")</f>
        <v>26.65</v>
      </c>
      <c r="P1542" s="2">
        <v>294094</v>
      </c>
      <c r="Q1542" s="2" t="s">
        <v>1304</v>
      </c>
      <c r="R1542" s="2" t="s">
        <v>1334</v>
      </c>
      <c r="S1542" s="2">
        <v>577</v>
      </c>
      <c r="T1542" s="2">
        <v>1</v>
      </c>
      <c r="U1542" s="2" t="s">
        <v>141</v>
      </c>
      <c r="Y1542" s="2">
        <v>1700</v>
      </c>
      <c r="Z1542" s="11" t="s">
        <v>54</v>
      </c>
      <c r="AA1542" s="11" t="str">
        <f t="shared" si="101"/>
        <v>1700 - TBN</v>
      </c>
      <c r="AC1542" s="2" t="s">
        <v>145</v>
      </c>
      <c r="AD1542" s="11" t="str">
        <f>IF($I1542&lt;&gt;"",VLOOKUP($AC1542,GEADRESSEERDE!$A$2:$E$4,2,),"")</f>
        <v>LUITHAGEN HAVEN 2 D</v>
      </c>
      <c r="AE1542" s="11">
        <f>IF($I1542&lt;&gt;"",VLOOKUP($AC1542,GEADRESSEERDE!$A$2:$E$4,3,),"")</f>
        <v>2030</v>
      </c>
      <c r="AF1542" s="11" t="str">
        <f>IF($I1542&lt;&gt;"",VLOOKUP($AC1542,GEADRESSEERDE!$A$2:$E$4,4,),"")</f>
        <v>ANTWERPEN</v>
      </c>
      <c r="AG1542" s="11" t="str">
        <f>IF($I1542&lt;&gt;"",VLOOKUP($AC1542,GEADRESSEERDE!$A$2:$E$4,5,),"")</f>
        <v>BE</v>
      </c>
      <c r="AH1542" s="11" t="str">
        <f>IF(I1542&lt;&gt;"",VLOOKUP(AP1542,KvB!$A$2:$B$3,2,FALSE),"")</f>
        <v>BE101000</v>
      </c>
      <c r="AI1542" s="11" t="s">
        <v>55</v>
      </c>
      <c r="AJ1542" s="11"/>
      <c r="AK1542" s="11"/>
      <c r="AL1542" s="11"/>
      <c r="AM1542" s="11"/>
      <c r="AN1542" s="11"/>
      <c r="AO1542" s="11"/>
      <c r="AP1542" s="2" t="s">
        <v>70</v>
      </c>
      <c r="AQ1542" s="11" t="str">
        <f>IF(I1542&lt;&gt;"",DATA!D1541,"")</f>
        <v>8479899790</v>
      </c>
    </row>
    <row r="1543" spans="1:43" ht="15.75" x14ac:dyDescent="0.25">
      <c r="A1543" s="11" t="s">
        <v>57</v>
      </c>
      <c r="B1543" s="11" t="s">
        <v>56</v>
      </c>
      <c r="C1543" s="22">
        <f t="shared" si="102"/>
        <v>25001620</v>
      </c>
      <c r="D1543" s="11" t="str">
        <f t="shared" si="99"/>
        <v>SKIIFM_AT</v>
      </c>
      <c r="E1543" s="11" t="str">
        <f>IF(I1543&lt;&gt;"",VLOOKUP(F1543,OPDRACHTGEVER!$A$2:$B$4,2,FALSE),"")</f>
        <v>SKIIFM_AT</v>
      </c>
      <c r="F1543" s="11" t="s">
        <v>58</v>
      </c>
      <c r="I1543" s="11" t="str">
        <f>IF(DATA!B1542&lt;&gt;"",DATA!B1542,"")</f>
        <v>MSDU7786801</v>
      </c>
      <c r="J1543" s="12">
        <v>0</v>
      </c>
      <c r="K1543" s="11" t="s">
        <v>53</v>
      </c>
      <c r="L1543" s="11" t="str">
        <f t="shared" si="100"/>
        <v>670210</v>
      </c>
      <c r="M1543" s="11" t="str">
        <f>IF(I1543&lt;&gt;"",DATA!E1542,"")</f>
        <v>SIMULATION TREE</v>
      </c>
      <c r="N1543" s="12">
        <v>0</v>
      </c>
      <c r="O1543" s="11">
        <f>IF(I1543&lt;&gt;"",DATA!C1542,"")</f>
        <v>34.9</v>
      </c>
      <c r="P1543" s="2">
        <v>294094</v>
      </c>
      <c r="Q1543" s="2" t="s">
        <v>1304</v>
      </c>
      <c r="R1543" s="2" t="s">
        <v>1334</v>
      </c>
      <c r="S1543" s="2">
        <v>577</v>
      </c>
      <c r="T1543" s="2">
        <v>1</v>
      </c>
      <c r="U1543" s="2" t="s">
        <v>141</v>
      </c>
      <c r="Y1543" s="2">
        <v>1700</v>
      </c>
      <c r="Z1543" s="11" t="s">
        <v>54</v>
      </c>
      <c r="AA1543" s="11" t="str">
        <f t="shared" si="101"/>
        <v>1700 - TBN</v>
      </c>
      <c r="AC1543" s="2" t="s">
        <v>145</v>
      </c>
      <c r="AD1543" s="11" t="str">
        <f>IF($I1543&lt;&gt;"",VLOOKUP($AC1543,GEADRESSEERDE!$A$2:$E$4,2,),"")</f>
        <v>LUITHAGEN HAVEN 2 D</v>
      </c>
      <c r="AE1543" s="11">
        <f>IF($I1543&lt;&gt;"",VLOOKUP($AC1543,GEADRESSEERDE!$A$2:$E$4,3,),"")</f>
        <v>2030</v>
      </c>
      <c r="AF1543" s="11" t="str">
        <f>IF($I1543&lt;&gt;"",VLOOKUP($AC1543,GEADRESSEERDE!$A$2:$E$4,4,),"")</f>
        <v>ANTWERPEN</v>
      </c>
      <c r="AG1543" s="11" t="str">
        <f>IF($I1543&lt;&gt;"",VLOOKUP($AC1543,GEADRESSEERDE!$A$2:$E$4,5,),"")</f>
        <v>BE</v>
      </c>
      <c r="AH1543" s="11" t="str">
        <f>IF(I1543&lt;&gt;"",VLOOKUP(AP1543,KvB!$A$2:$B$3,2,FALSE),"")</f>
        <v>BE101000</v>
      </c>
      <c r="AI1543" s="11" t="s">
        <v>55</v>
      </c>
      <c r="AJ1543" s="11"/>
      <c r="AK1543" s="11"/>
      <c r="AL1543" s="11"/>
      <c r="AM1543" s="11"/>
      <c r="AN1543" s="11"/>
      <c r="AO1543" s="11"/>
      <c r="AP1543" s="2" t="s">
        <v>70</v>
      </c>
      <c r="AQ1543" s="11" t="str">
        <f>IF(I1543&lt;&gt;"",DATA!D1542,"")</f>
        <v>6702100000</v>
      </c>
    </row>
    <row r="1544" spans="1:43" ht="15.75" x14ac:dyDescent="0.25">
      <c r="A1544" s="11" t="s">
        <v>57</v>
      </c>
      <c r="B1544" s="11" t="s">
        <v>56</v>
      </c>
      <c r="C1544" s="22">
        <f t="shared" si="102"/>
        <v>25001620</v>
      </c>
      <c r="D1544" s="11" t="str">
        <f t="shared" si="99"/>
        <v>SKIIFM_AT</v>
      </c>
      <c r="E1544" s="11" t="str">
        <f>IF(I1544&lt;&gt;"",VLOOKUP(F1544,OPDRACHTGEVER!$A$2:$B$4,2,FALSE),"")</f>
        <v>SKIIFM_AT</v>
      </c>
      <c r="F1544" s="11" t="s">
        <v>58</v>
      </c>
      <c r="I1544" s="11" t="str">
        <f>IF(DATA!B1543&lt;&gt;"",DATA!B1543,"")</f>
        <v>MSDU7786801</v>
      </c>
      <c r="J1544" s="12">
        <v>0</v>
      </c>
      <c r="K1544" s="11" t="s">
        <v>53</v>
      </c>
      <c r="L1544" s="11" t="str">
        <f t="shared" si="100"/>
        <v>392010</v>
      </c>
      <c r="M1544" s="11" t="str">
        <f>IF(I1544&lt;&gt;"",DATA!E1543,"")</f>
        <v>SOLAR HEATED SWIMMING POOL COVER</v>
      </c>
      <c r="N1544" s="12">
        <v>0</v>
      </c>
      <c r="O1544" s="11">
        <f>IF(I1544&lt;&gt;"",DATA!C1543,"")</f>
        <v>479.95</v>
      </c>
      <c r="P1544" s="2">
        <v>294094</v>
      </c>
      <c r="Q1544" s="2" t="s">
        <v>1304</v>
      </c>
      <c r="R1544" s="2" t="s">
        <v>1334</v>
      </c>
      <c r="S1544" s="2">
        <v>577</v>
      </c>
      <c r="T1544" s="2">
        <v>1</v>
      </c>
      <c r="U1544" s="2" t="s">
        <v>141</v>
      </c>
      <c r="Y1544" s="2">
        <v>1700</v>
      </c>
      <c r="Z1544" s="11" t="s">
        <v>54</v>
      </c>
      <c r="AA1544" s="11" t="str">
        <f t="shared" si="101"/>
        <v>1700 - TBN</v>
      </c>
      <c r="AC1544" s="2" t="s">
        <v>145</v>
      </c>
      <c r="AD1544" s="11" t="str">
        <f>IF($I1544&lt;&gt;"",VLOOKUP($AC1544,GEADRESSEERDE!$A$2:$E$4,2,),"")</f>
        <v>LUITHAGEN HAVEN 2 D</v>
      </c>
      <c r="AE1544" s="11">
        <f>IF($I1544&lt;&gt;"",VLOOKUP($AC1544,GEADRESSEERDE!$A$2:$E$4,3,),"")</f>
        <v>2030</v>
      </c>
      <c r="AF1544" s="11" t="str">
        <f>IF($I1544&lt;&gt;"",VLOOKUP($AC1544,GEADRESSEERDE!$A$2:$E$4,4,),"")</f>
        <v>ANTWERPEN</v>
      </c>
      <c r="AG1544" s="11" t="str">
        <f>IF($I1544&lt;&gt;"",VLOOKUP($AC1544,GEADRESSEERDE!$A$2:$E$4,5,),"")</f>
        <v>BE</v>
      </c>
      <c r="AH1544" s="11" t="str">
        <f>IF(I1544&lt;&gt;"",VLOOKUP(AP1544,KvB!$A$2:$B$3,2,FALSE),"")</f>
        <v>BE101000</v>
      </c>
      <c r="AI1544" s="11" t="s">
        <v>55</v>
      </c>
      <c r="AJ1544" s="11"/>
      <c r="AK1544" s="11"/>
      <c r="AL1544" s="11"/>
      <c r="AM1544" s="11"/>
      <c r="AN1544" s="11"/>
      <c r="AO1544" s="11"/>
      <c r="AP1544" s="2" t="s">
        <v>70</v>
      </c>
      <c r="AQ1544" s="11" t="str">
        <f>IF(I1544&lt;&gt;"",DATA!D1543,"")</f>
        <v>3920102490</v>
      </c>
    </row>
    <row r="1545" spans="1:43" ht="15.75" x14ac:dyDescent="0.25">
      <c r="A1545" s="11" t="s">
        <v>57</v>
      </c>
      <c r="B1545" s="11" t="s">
        <v>56</v>
      </c>
      <c r="C1545" s="22">
        <f t="shared" si="102"/>
        <v>25001620</v>
      </c>
      <c r="D1545" s="11" t="str">
        <f t="shared" si="99"/>
        <v>SKIIFM_AT</v>
      </c>
      <c r="E1545" s="11" t="str">
        <f>IF(I1545&lt;&gt;"",VLOOKUP(F1545,OPDRACHTGEVER!$A$2:$B$4,2,FALSE),"")</f>
        <v>SKIIFM_AT</v>
      </c>
      <c r="F1545" s="11" t="s">
        <v>58</v>
      </c>
      <c r="I1545" s="11" t="str">
        <f>IF(DATA!B1544&lt;&gt;"",DATA!B1544,"")</f>
        <v>MSDU7786801</v>
      </c>
      <c r="J1545" s="12">
        <v>0</v>
      </c>
      <c r="K1545" s="11" t="s">
        <v>53</v>
      </c>
      <c r="L1545" s="11" t="str">
        <f t="shared" si="100"/>
        <v>940549</v>
      </c>
      <c r="M1545" s="11" t="str">
        <f>IF(I1545&lt;&gt;"",DATA!E1544,"")</f>
        <v>SPLICED GARAGE LIGHTS</v>
      </c>
      <c r="N1545" s="12">
        <v>0</v>
      </c>
      <c r="O1545" s="11">
        <f>IF(I1545&lt;&gt;"",DATA!C1544,"")</f>
        <v>12.4</v>
      </c>
      <c r="P1545" s="2">
        <v>294094</v>
      </c>
      <c r="Q1545" s="2" t="s">
        <v>1304</v>
      </c>
      <c r="R1545" s="2" t="s">
        <v>1334</v>
      </c>
      <c r="S1545" s="2">
        <v>577</v>
      </c>
      <c r="T1545" s="2">
        <v>1</v>
      </c>
      <c r="U1545" s="2" t="s">
        <v>141</v>
      </c>
      <c r="Y1545" s="2">
        <v>1700</v>
      </c>
      <c r="Z1545" s="11" t="s">
        <v>54</v>
      </c>
      <c r="AA1545" s="11" t="str">
        <f t="shared" si="101"/>
        <v>1700 - TBN</v>
      </c>
      <c r="AC1545" s="2" t="s">
        <v>145</v>
      </c>
      <c r="AD1545" s="11" t="str">
        <f>IF($I1545&lt;&gt;"",VLOOKUP($AC1545,GEADRESSEERDE!$A$2:$E$4,2,),"")</f>
        <v>LUITHAGEN HAVEN 2 D</v>
      </c>
      <c r="AE1545" s="11">
        <f>IF($I1545&lt;&gt;"",VLOOKUP($AC1545,GEADRESSEERDE!$A$2:$E$4,3,),"")</f>
        <v>2030</v>
      </c>
      <c r="AF1545" s="11" t="str">
        <f>IF($I1545&lt;&gt;"",VLOOKUP($AC1545,GEADRESSEERDE!$A$2:$E$4,4,),"")</f>
        <v>ANTWERPEN</v>
      </c>
      <c r="AG1545" s="11" t="str">
        <f>IF($I1545&lt;&gt;"",VLOOKUP($AC1545,GEADRESSEERDE!$A$2:$E$4,5,),"")</f>
        <v>BE</v>
      </c>
      <c r="AH1545" s="11" t="str">
        <f>IF(I1545&lt;&gt;"",VLOOKUP(AP1545,KvB!$A$2:$B$3,2,FALSE),"")</f>
        <v>BE101000</v>
      </c>
      <c r="AI1545" s="11" t="s">
        <v>55</v>
      </c>
      <c r="AJ1545" s="11"/>
      <c r="AK1545" s="11"/>
      <c r="AL1545" s="11"/>
      <c r="AM1545" s="11"/>
      <c r="AN1545" s="11"/>
      <c r="AO1545" s="11"/>
      <c r="AP1545" s="2" t="s">
        <v>70</v>
      </c>
      <c r="AQ1545" s="11" t="str">
        <f>IF(I1545&lt;&gt;"",DATA!D1544,"")</f>
        <v>9405499090</v>
      </c>
    </row>
    <row r="1546" spans="1:43" ht="15.75" x14ac:dyDescent="0.25">
      <c r="A1546" s="11" t="s">
        <v>57</v>
      </c>
      <c r="B1546" s="11" t="s">
        <v>56</v>
      </c>
      <c r="C1546" s="22">
        <f t="shared" si="102"/>
        <v>25001620</v>
      </c>
      <c r="D1546" s="11" t="str">
        <f t="shared" si="99"/>
        <v>SKIIFM_AT</v>
      </c>
      <c r="E1546" s="11" t="str">
        <f>IF(I1546&lt;&gt;"",VLOOKUP(F1546,OPDRACHTGEVER!$A$2:$B$4,2,FALSE),"")</f>
        <v>SKIIFM_AT</v>
      </c>
      <c r="F1546" s="11" t="s">
        <v>58</v>
      </c>
      <c r="I1546" s="11" t="str">
        <f>IF(DATA!B1545&lt;&gt;"",DATA!B1545,"")</f>
        <v>MSDU7786801</v>
      </c>
      <c r="J1546" s="12">
        <v>0</v>
      </c>
      <c r="K1546" s="11" t="s">
        <v>53</v>
      </c>
      <c r="L1546" s="11" t="str">
        <f t="shared" si="100"/>
        <v>741920</v>
      </c>
      <c r="M1546" s="11" t="str">
        <f>IF(I1546&lt;&gt;"",DATA!E1545,"")</f>
        <v>CHAFING DISH</v>
      </c>
      <c r="N1546" s="12">
        <v>0</v>
      </c>
      <c r="O1546" s="11">
        <f>IF(I1546&lt;&gt;"",DATA!C1545,"")</f>
        <v>96.93</v>
      </c>
      <c r="P1546" s="2">
        <v>294094</v>
      </c>
      <c r="Q1546" s="2" t="s">
        <v>1304</v>
      </c>
      <c r="R1546" s="2" t="s">
        <v>1334</v>
      </c>
      <c r="S1546" s="2">
        <v>577</v>
      </c>
      <c r="T1546" s="2">
        <v>1</v>
      </c>
      <c r="U1546" s="2" t="s">
        <v>141</v>
      </c>
      <c r="Y1546" s="2">
        <v>1700</v>
      </c>
      <c r="Z1546" s="11" t="s">
        <v>54</v>
      </c>
      <c r="AA1546" s="11" t="str">
        <f t="shared" si="101"/>
        <v>1700 - TBN</v>
      </c>
      <c r="AC1546" s="2" t="s">
        <v>145</v>
      </c>
      <c r="AD1546" s="11" t="str">
        <f>IF($I1546&lt;&gt;"",VLOOKUP($AC1546,GEADRESSEERDE!$A$2:$E$4,2,),"")</f>
        <v>LUITHAGEN HAVEN 2 D</v>
      </c>
      <c r="AE1546" s="11">
        <f>IF($I1546&lt;&gt;"",VLOOKUP($AC1546,GEADRESSEERDE!$A$2:$E$4,3,),"")</f>
        <v>2030</v>
      </c>
      <c r="AF1546" s="11" t="str">
        <f>IF($I1546&lt;&gt;"",VLOOKUP($AC1546,GEADRESSEERDE!$A$2:$E$4,4,),"")</f>
        <v>ANTWERPEN</v>
      </c>
      <c r="AG1546" s="11" t="str">
        <f>IF($I1546&lt;&gt;"",VLOOKUP($AC1546,GEADRESSEERDE!$A$2:$E$4,5,),"")</f>
        <v>BE</v>
      </c>
      <c r="AH1546" s="11" t="str">
        <f>IF(I1546&lt;&gt;"",VLOOKUP(AP1546,KvB!$A$2:$B$3,2,FALSE),"")</f>
        <v>BE101000</v>
      </c>
      <c r="AI1546" s="11" t="s">
        <v>55</v>
      </c>
      <c r="AJ1546" s="11"/>
      <c r="AK1546" s="11"/>
      <c r="AL1546" s="11"/>
      <c r="AM1546" s="11"/>
      <c r="AN1546" s="11"/>
      <c r="AO1546" s="11"/>
      <c r="AP1546" s="2" t="s">
        <v>70</v>
      </c>
      <c r="AQ1546" s="11" t="str">
        <f>IF(I1546&lt;&gt;"",DATA!D1545,"")</f>
        <v>7419200090</v>
      </c>
    </row>
    <row r="1547" spans="1:43" ht="15.75" x14ac:dyDescent="0.25">
      <c r="A1547" s="11" t="s">
        <v>57</v>
      </c>
      <c r="B1547" s="11" t="s">
        <v>56</v>
      </c>
      <c r="C1547" s="22">
        <f t="shared" si="102"/>
        <v>25001620</v>
      </c>
      <c r="D1547" s="11" t="str">
        <f t="shared" si="99"/>
        <v>SKIIFM_AT</v>
      </c>
      <c r="E1547" s="11" t="str">
        <f>IF(I1547&lt;&gt;"",VLOOKUP(F1547,OPDRACHTGEVER!$A$2:$B$4,2,FALSE),"")</f>
        <v>SKIIFM_AT</v>
      </c>
      <c r="F1547" s="11" t="s">
        <v>58</v>
      </c>
      <c r="I1547" s="11" t="str">
        <f>IF(DATA!B1546&lt;&gt;"",DATA!B1546,"")</f>
        <v>MSDU7786801</v>
      </c>
      <c r="J1547" s="12">
        <v>0</v>
      </c>
      <c r="K1547" s="11" t="s">
        <v>53</v>
      </c>
      <c r="L1547" s="11" t="str">
        <f t="shared" si="100"/>
        <v>940399</v>
      </c>
      <c r="M1547" s="11" t="str">
        <f>IF(I1547&lt;&gt;"",DATA!E1546,"")</f>
        <v>DOOR</v>
      </c>
      <c r="N1547" s="12">
        <v>0</v>
      </c>
      <c r="O1547" s="11">
        <f>IF(I1547&lt;&gt;"",DATA!C1546,"")</f>
        <v>164.7</v>
      </c>
      <c r="P1547" s="2">
        <v>294094</v>
      </c>
      <c r="Q1547" s="2" t="s">
        <v>1304</v>
      </c>
      <c r="R1547" s="2" t="s">
        <v>1334</v>
      </c>
      <c r="S1547" s="2">
        <v>577</v>
      </c>
      <c r="T1547" s="2">
        <v>1</v>
      </c>
      <c r="U1547" s="2" t="s">
        <v>141</v>
      </c>
      <c r="Y1547" s="2">
        <v>1700</v>
      </c>
      <c r="Z1547" s="11" t="s">
        <v>54</v>
      </c>
      <c r="AA1547" s="11" t="str">
        <f t="shared" si="101"/>
        <v>1700 - TBN</v>
      </c>
      <c r="AC1547" s="2" t="s">
        <v>145</v>
      </c>
      <c r="AD1547" s="11" t="str">
        <f>IF($I1547&lt;&gt;"",VLOOKUP($AC1547,GEADRESSEERDE!$A$2:$E$4,2,),"")</f>
        <v>LUITHAGEN HAVEN 2 D</v>
      </c>
      <c r="AE1547" s="11">
        <f>IF($I1547&lt;&gt;"",VLOOKUP($AC1547,GEADRESSEERDE!$A$2:$E$4,3,),"")</f>
        <v>2030</v>
      </c>
      <c r="AF1547" s="11" t="str">
        <f>IF($I1547&lt;&gt;"",VLOOKUP($AC1547,GEADRESSEERDE!$A$2:$E$4,4,),"")</f>
        <v>ANTWERPEN</v>
      </c>
      <c r="AG1547" s="11" t="str">
        <f>IF($I1547&lt;&gt;"",VLOOKUP($AC1547,GEADRESSEERDE!$A$2:$E$4,5,),"")</f>
        <v>BE</v>
      </c>
      <c r="AH1547" s="11" t="str">
        <f>IF(I1547&lt;&gt;"",VLOOKUP(AP1547,KvB!$A$2:$B$3,2,FALSE),"")</f>
        <v>BE101000</v>
      </c>
      <c r="AI1547" s="11" t="s">
        <v>55</v>
      </c>
      <c r="AJ1547" s="11"/>
      <c r="AK1547" s="11"/>
      <c r="AL1547" s="11"/>
      <c r="AM1547" s="11"/>
      <c r="AN1547" s="11"/>
      <c r="AO1547" s="11"/>
      <c r="AP1547" s="2" t="s">
        <v>70</v>
      </c>
      <c r="AQ1547" s="11" t="str">
        <f>IF(I1547&lt;&gt;"",DATA!D1546,"")</f>
        <v>9403999090</v>
      </c>
    </row>
    <row r="1548" spans="1:43" ht="15.75" x14ac:dyDescent="0.25">
      <c r="A1548" s="11" t="s">
        <v>57</v>
      </c>
      <c r="B1548" s="11" t="s">
        <v>56</v>
      </c>
      <c r="C1548" s="22">
        <f t="shared" si="102"/>
        <v>25001620</v>
      </c>
      <c r="D1548" s="11" t="str">
        <f t="shared" si="99"/>
        <v>SKIIFM_AT</v>
      </c>
      <c r="E1548" s="11" t="str">
        <f>IF(I1548&lt;&gt;"",VLOOKUP(F1548,OPDRACHTGEVER!$A$2:$B$4,2,FALSE),"")</f>
        <v>SKIIFM_AT</v>
      </c>
      <c r="F1548" s="11" t="s">
        <v>58</v>
      </c>
      <c r="I1548" s="11" t="str">
        <f>IF(DATA!B1547&lt;&gt;"",DATA!B1547,"")</f>
        <v>MSDU7786801</v>
      </c>
      <c r="J1548" s="12">
        <v>0</v>
      </c>
      <c r="K1548" s="11" t="s">
        <v>53</v>
      </c>
      <c r="L1548" s="11" t="str">
        <f t="shared" si="100"/>
        <v>741920</v>
      </c>
      <c r="M1548" s="11" t="str">
        <f>IF(I1548&lt;&gt;"",DATA!E1547,"")</f>
        <v>SINK</v>
      </c>
      <c r="N1548" s="12">
        <v>0</v>
      </c>
      <c r="O1548" s="11">
        <f>IF(I1548&lt;&gt;"",DATA!C1547,"")</f>
        <v>19.8</v>
      </c>
      <c r="P1548" s="2">
        <v>294094</v>
      </c>
      <c r="Q1548" s="2" t="s">
        <v>1304</v>
      </c>
      <c r="R1548" s="2" t="s">
        <v>1334</v>
      </c>
      <c r="S1548" s="2">
        <v>577</v>
      </c>
      <c r="T1548" s="2">
        <v>1</v>
      </c>
      <c r="U1548" s="2" t="s">
        <v>141</v>
      </c>
      <c r="Y1548" s="2">
        <v>1700</v>
      </c>
      <c r="Z1548" s="11" t="s">
        <v>54</v>
      </c>
      <c r="AA1548" s="11" t="str">
        <f t="shared" si="101"/>
        <v>1700 - TBN</v>
      </c>
      <c r="AC1548" s="2" t="s">
        <v>145</v>
      </c>
      <c r="AD1548" s="11" t="str">
        <f>IF($I1548&lt;&gt;"",VLOOKUP($AC1548,GEADRESSEERDE!$A$2:$E$4,2,),"")</f>
        <v>LUITHAGEN HAVEN 2 D</v>
      </c>
      <c r="AE1548" s="11">
        <f>IF($I1548&lt;&gt;"",VLOOKUP($AC1548,GEADRESSEERDE!$A$2:$E$4,3,),"")</f>
        <v>2030</v>
      </c>
      <c r="AF1548" s="11" t="str">
        <f>IF($I1548&lt;&gt;"",VLOOKUP($AC1548,GEADRESSEERDE!$A$2:$E$4,4,),"")</f>
        <v>ANTWERPEN</v>
      </c>
      <c r="AG1548" s="11" t="str">
        <f>IF($I1548&lt;&gt;"",VLOOKUP($AC1548,GEADRESSEERDE!$A$2:$E$4,5,),"")</f>
        <v>BE</v>
      </c>
      <c r="AH1548" s="11" t="str">
        <f>IF(I1548&lt;&gt;"",VLOOKUP(AP1548,KvB!$A$2:$B$3,2,FALSE),"")</f>
        <v>BE101000</v>
      </c>
      <c r="AI1548" s="11" t="s">
        <v>55</v>
      </c>
      <c r="AJ1548" s="11"/>
      <c r="AK1548" s="11"/>
      <c r="AL1548" s="11"/>
      <c r="AM1548" s="11"/>
      <c r="AN1548" s="11"/>
      <c r="AO1548" s="11"/>
      <c r="AP1548" s="2" t="s">
        <v>70</v>
      </c>
      <c r="AQ1548" s="11" t="str">
        <f>IF(I1548&lt;&gt;"",DATA!D1547,"")</f>
        <v>7419200090</v>
      </c>
    </row>
    <row r="1549" spans="1:43" ht="15.75" x14ac:dyDescent="0.25">
      <c r="A1549" s="11" t="s">
        <v>57</v>
      </c>
      <c r="B1549" s="11" t="s">
        <v>56</v>
      </c>
      <c r="C1549" s="22">
        <f t="shared" si="102"/>
        <v>25001620</v>
      </c>
      <c r="D1549" s="11" t="str">
        <f t="shared" si="99"/>
        <v>SKIIFM_AT</v>
      </c>
      <c r="E1549" s="11" t="str">
        <f>IF(I1549&lt;&gt;"",VLOOKUP(F1549,OPDRACHTGEVER!$A$2:$B$4,2,FALSE),"")</f>
        <v>SKIIFM_AT</v>
      </c>
      <c r="F1549" s="11" t="s">
        <v>58</v>
      </c>
      <c r="I1549" s="11" t="str">
        <f>IF(DATA!B1548&lt;&gt;"",DATA!B1548,"")</f>
        <v>MSDU7786801</v>
      </c>
      <c r="J1549" s="12">
        <v>0</v>
      </c>
      <c r="K1549" s="11" t="s">
        <v>53</v>
      </c>
      <c r="L1549" s="11" t="str">
        <f t="shared" si="100"/>
        <v>741920</v>
      </c>
      <c r="M1549" s="11" t="str">
        <f>IF(I1549&lt;&gt;"",DATA!E1548,"")</f>
        <v>STANCHION POST</v>
      </c>
      <c r="N1549" s="12">
        <v>0</v>
      </c>
      <c r="O1549" s="11">
        <f>IF(I1549&lt;&gt;"",DATA!C1548,"")</f>
        <v>66.97</v>
      </c>
      <c r="P1549" s="2">
        <v>294094</v>
      </c>
      <c r="Q1549" s="2" t="s">
        <v>1304</v>
      </c>
      <c r="R1549" s="2" t="s">
        <v>1334</v>
      </c>
      <c r="S1549" s="2">
        <v>577</v>
      </c>
      <c r="T1549" s="2">
        <v>1</v>
      </c>
      <c r="U1549" s="2" t="s">
        <v>141</v>
      </c>
      <c r="Y1549" s="2">
        <v>1700</v>
      </c>
      <c r="Z1549" s="11" t="s">
        <v>54</v>
      </c>
      <c r="AA1549" s="11" t="str">
        <f t="shared" si="101"/>
        <v>1700 - TBN</v>
      </c>
      <c r="AC1549" s="2" t="s">
        <v>145</v>
      </c>
      <c r="AD1549" s="11" t="str">
        <f>IF($I1549&lt;&gt;"",VLOOKUP($AC1549,GEADRESSEERDE!$A$2:$E$4,2,),"")</f>
        <v>LUITHAGEN HAVEN 2 D</v>
      </c>
      <c r="AE1549" s="11">
        <f>IF($I1549&lt;&gt;"",VLOOKUP($AC1549,GEADRESSEERDE!$A$2:$E$4,3,),"")</f>
        <v>2030</v>
      </c>
      <c r="AF1549" s="11" t="str">
        <f>IF($I1549&lt;&gt;"",VLOOKUP($AC1549,GEADRESSEERDE!$A$2:$E$4,4,),"")</f>
        <v>ANTWERPEN</v>
      </c>
      <c r="AG1549" s="11" t="str">
        <f>IF($I1549&lt;&gt;"",VLOOKUP($AC1549,GEADRESSEERDE!$A$2:$E$4,5,),"")</f>
        <v>BE</v>
      </c>
      <c r="AH1549" s="11" t="str">
        <f>IF(I1549&lt;&gt;"",VLOOKUP(AP1549,KvB!$A$2:$B$3,2,FALSE),"")</f>
        <v>BE101000</v>
      </c>
      <c r="AI1549" s="11" t="s">
        <v>55</v>
      </c>
      <c r="AJ1549" s="11"/>
      <c r="AK1549" s="11"/>
      <c r="AL1549" s="11"/>
      <c r="AM1549" s="11"/>
      <c r="AN1549" s="11"/>
      <c r="AO1549" s="11"/>
      <c r="AP1549" s="2" t="s">
        <v>70</v>
      </c>
      <c r="AQ1549" s="11" t="str">
        <f>IF(I1549&lt;&gt;"",DATA!D1548,"")</f>
        <v>7419200090</v>
      </c>
    </row>
    <row r="1550" spans="1:43" ht="15.75" x14ac:dyDescent="0.25">
      <c r="A1550" s="11" t="s">
        <v>57</v>
      </c>
      <c r="B1550" s="11" t="s">
        <v>56</v>
      </c>
      <c r="C1550" s="22">
        <f t="shared" si="102"/>
        <v>25001620</v>
      </c>
      <c r="D1550" s="11" t="str">
        <f t="shared" si="99"/>
        <v>SKIIFM_AT</v>
      </c>
      <c r="E1550" s="11" t="str">
        <f>IF(I1550&lt;&gt;"",VLOOKUP(F1550,OPDRACHTGEVER!$A$2:$B$4,2,FALSE),"")</f>
        <v>SKIIFM_AT</v>
      </c>
      <c r="F1550" s="11" t="s">
        <v>58</v>
      </c>
      <c r="I1550" s="11" t="str">
        <f>IF(DATA!B1549&lt;&gt;"",DATA!B1549,"")</f>
        <v>MSDU7786801</v>
      </c>
      <c r="J1550" s="12">
        <v>0</v>
      </c>
      <c r="K1550" s="11" t="s">
        <v>53</v>
      </c>
      <c r="L1550" s="11" t="str">
        <f t="shared" si="100"/>
        <v>741920</v>
      </c>
      <c r="M1550" s="11" t="str">
        <f>IF(I1550&lt;&gt;"",DATA!E1549,"")</f>
        <v>STEEL TANK</v>
      </c>
      <c r="N1550" s="12">
        <v>0</v>
      </c>
      <c r="O1550" s="11">
        <f>IF(I1550&lt;&gt;"",DATA!C1549,"")</f>
        <v>5.4</v>
      </c>
      <c r="P1550" s="2">
        <v>294094</v>
      </c>
      <c r="Q1550" s="2" t="s">
        <v>1304</v>
      </c>
      <c r="R1550" s="2" t="s">
        <v>1334</v>
      </c>
      <c r="S1550" s="2">
        <v>577</v>
      </c>
      <c r="T1550" s="2">
        <v>1</v>
      </c>
      <c r="U1550" s="2" t="s">
        <v>141</v>
      </c>
      <c r="Y1550" s="2">
        <v>1700</v>
      </c>
      <c r="Z1550" s="11" t="s">
        <v>54</v>
      </c>
      <c r="AA1550" s="11" t="str">
        <f t="shared" si="101"/>
        <v>1700 - TBN</v>
      </c>
      <c r="AC1550" s="2" t="s">
        <v>145</v>
      </c>
      <c r="AD1550" s="11" t="str">
        <f>IF($I1550&lt;&gt;"",VLOOKUP($AC1550,GEADRESSEERDE!$A$2:$E$4,2,),"")</f>
        <v>LUITHAGEN HAVEN 2 D</v>
      </c>
      <c r="AE1550" s="11">
        <f>IF($I1550&lt;&gt;"",VLOOKUP($AC1550,GEADRESSEERDE!$A$2:$E$4,3,),"")</f>
        <v>2030</v>
      </c>
      <c r="AF1550" s="11" t="str">
        <f>IF($I1550&lt;&gt;"",VLOOKUP($AC1550,GEADRESSEERDE!$A$2:$E$4,4,),"")</f>
        <v>ANTWERPEN</v>
      </c>
      <c r="AG1550" s="11" t="str">
        <f>IF($I1550&lt;&gt;"",VLOOKUP($AC1550,GEADRESSEERDE!$A$2:$E$4,5,),"")</f>
        <v>BE</v>
      </c>
      <c r="AH1550" s="11" t="str">
        <f>IF(I1550&lt;&gt;"",VLOOKUP(AP1550,KvB!$A$2:$B$3,2,FALSE),"")</f>
        <v>BE101000</v>
      </c>
      <c r="AI1550" s="11" t="s">
        <v>55</v>
      </c>
      <c r="AJ1550" s="11"/>
      <c r="AK1550" s="11"/>
      <c r="AL1550" s="11"/>
      <c r="AM1550" s="11"/>
      <c r="AN1550" s="11"/>
      <c r="AO1550" s="11"/>
      <c r="AP1550" s="2" t="s">
        <v>70</v>
      </c>
      <c r="AQ1550" s="11" t="str">
        <f>IF(I1550&lt;&gt;"",DATA!D1549,"")</f>
        <v>7419200090</v>
      </c>
    </row>
    <row r="1551" spans="1:43" ht="15.75" x14ac:dyDescent="0.25">
      <c r="A1551" s="11" t="s">
        <v>57</v>
      </c>
      <c r="B1551" s="11" t="s">
        <v>56</v>
      </c>
      <c r="C1551" s="22">
        <f t="shared" si="102"/>
        <v>25001620</v>
      </c>
      <c r="D1551" s="11" t="str">
        <f t="shared" si="99"/>
        <v>SKIIFM_AT</v>
      </c>
      <c r="E1551" s="11" t="str">
        <f>IF(I1551&lt;&gt;"",VLOOKUP(F1551,OPDRACHTGEVER!$A$2:$B$4,2,FALSE),"")</f>
        <v>SKIIFM_AT</v>
      </c>
      <c r="F1551" s="11" t="s">
        <v>58</v>
      </c>
      <c r="I1551" s="11" t="str">
        <f>IF(DATA!B1550&lt;&gt;"",DATA!B1550,"")</f>
        <v>MSDU7786801</v>
      </c>
      <c r="J1551" s="12">
        <v>0</v>
      </c>
      <c r="K1551" s="11" t="s">
        <v>53</v>
      </c>
      <c r="L1551" s="11" t="str">
        <f t="shared" si="100"/>
        <v>420212</v>
      </c>
      <c r="M1551" s="11" t="str">
        <f>IF(I1551&lt;&gt;"",DATA!E1550,"")</f>
        <v>STORAGE BAG</v>
      </c>
      <c r="N1551" s="12">
        <v>0</v>
      </c>
      <c r="O1551" s="11">
        <f>IF(I1551&lt;&gt;"",DATA!C1550,"")</f>
        <v>22.4</v>
      </c>
      <c r="P1551" s="2">
        <v>294094</v>
      </c>
      <c r="Q1551" s="2" t="s">
        <v>1304</v>
      </c>
      <c r="R1551" s="2" t="s">
        <v>1334</v>
      </c>
      <c r="S1551" s="2">
        <v>577</v>
      </c>
      <c r="T1551" s="2">
        <v>1</v>
      </c>
      <c r="U1551" s="2" t="s">
        <v>141</v>
      </c>
      <c r="Y1551" s="2">
        <v>1700</v>
      </c>
      <c r="Z1551" s="11" t="s">
        <v>54</v>
      </c>
      <c r="AA1551" s="11" t="str">
        <f t="shared" si="101"/>
        <v>1700 - TBN</v>
      </c>
      <c r="AC1551" s="2" t="s">
        <v>145</v>
      </c>
      <c r="AD1551" s="11" t="str">
        <f>IF($I1551&lt;&gt;"",VLOOKUP($AC1551,GEADRESSEERDE!$A$2:$E$4,2,),"")</f>
        <v>LUITHAGEN HAVEN 2 D</v>
      </c>
      <c r="AE1551" s="11">
        <f>IF($I1551&lt;&gt;"",VLOOKUP($AC1551,GEADRESSEERDE!$A$2:$E$4,3,),"")</f>
        <v>2030</v>
      </c>
      <c r="AF1551" s="11" t="str">
        <f>IF($I1551&lt;&gt;"",VLOOKUP($AC1551,GEADRESSEERDE!$A$2:$E$4,4,),"")</f>
        <v>ANTWERPEN</v>
      </c>
      <c r="AG1551" s="11" t="str">
        <f>IF($I1551&lt;&gt;"",VLOOKUP($AC1551,GEADRESSEERDE!$A$2:$E$4,5,),"")</f>
        <v>BE</v>
      </c>
      <c r="AH1551" s="11" t="str">
        <f>IF(I1551&lt;&gt;"",VLOOKUP(AP1551,KvB!$A$2:$B$3,2,FALSE),"")</f>
        <v>BE101000</v>
      </c>
      <c r="AI1551" s="11" t="s">
        <v>55</v>
      </c>
      <c r="AJ1551" s="11"/>
      <c r="AK1551" s="11"/>
      <c r="AL1551" s="11"/>
      <c r="AM1551" s="11"/>
      <c r="AN1551" s="11"/>
      <c r="AO1551" s="11"/>
      <c r="AP1551" s="2" t="s">
        <v>70</v>
      </c>
      <c r="AQ1551" s="11" t="str">
        <f>IF(I1551&lt;&gt;"",DATA!D1550,"")</f>
        <v>4202129990</v>
      </c>
    </row>
    <row r="1552" spans="1:43" ht="15.75" x14ac:dyDescent="0.25">
      <c r="A1552" s="11" t="s">
        <v>57</v>
      </c>
      <c r="B1552" s="11" t="s">
        <v>56</v>
      </c>
      <c r="C1552" s="22">
        <f t="shared" si="102"/>
        <v>25001620</v>
      </c>
      <c r="D1552" s="11" t="str">
        <f t="shared" si="99"/>
        <v>SKIIFM_AT</v>
      </c>
      <c r="E1552" s="11" t="str">
        <f>IF(I1552&lt;&gt;"",VLOOKUP(F1552,OPDRACHTGEVER!$A$2:$B$4,2,FALSE),"")</f>
        <v>SKIIFM_AT</v>
      </c>
      <c r="F1552" s="11" t="s">
        <v>58</v>
      </c>
      <c r="I1552" s="11" t="str">
        <f>IF(DATA!B1551&lt;&gt;"",DATA!B1551,"")</f>
        <v>MSDU7786801</v>
      </c>
      <c r="J1552" s="12">
        <v>0</v>
      </c>
      <c r="K1552" s="11" t="s">
        <v>53</v>
      </c>
      <c r="L1552" s="11" t="str">
        <f t="shared" si="100"/>
        <v>940320</v>
      </c>
      <c r="M1552" s="11" t="str">
        <f>IF(I1552&lt;&gt;"",DATA!E1551,"")</f>
        <v>STORAGE SHELF</v>
      </c>
      <c r="N1552" s="12">
        <v>0</v>
      </c>
      <c r="O1552" s="11">
        <f>IF(I1552&lt;&gt;"",DATA!C1551,"")</f>
        <v>388.04</v>
      </c>
      <c r="P1552" s="2">
        <v>294094</v>
      </c>
      <c r="Q1552" s="2" t="s">
        <v>1304</v>
      </c>
      <c r="R1552" s="2" t="s">
        <v>1334</v>
      </c>
      <c r="S1552" s="2">
        <v>577</v>
      </c>
      <c r="T1552" s="2">
        <v>1</v>
      </c>
      <c r="U1552" s="2" t="s">
        <v>141</v>
      </c>
      <c r="Y1552" s="2">
        <v>1700</v>
      </c>
      <c r="Z1552" s="11" t="s">
        <v>54</v>
      </c>
      <c r="AA1552" s="11" t="str">
        <f t="shared" si="101"/>
        <v>1700 - TBN</v>
      </c>
      <c r="AC1552" s="2" t="s">
        <v>145</v>
      </c>
      <c r="AD1552" s="11" t="str">
        <f>IF($I1552&lt;&gt;"",VLOOKUP($AC1552,GEADRESSEERDE!$A$2:$E$4,2,),"")</f>
        <v>LUITHAGEN HAVEN 2 D</v>
      </c>
      <c r="AE1552" s="11">
        <f>IF($I1552&lt;&gt;"",VLOOKUP($AC1552,GEADRESSEERDE!$A$2:$E$4,3,),"")</f>
        <v>2030</v>
      </c>
      <c r="AF1552" s="11" t="str">
        <f>IF($I1552&lt;&gt;"",VLOOKUP($AC1552,GEADRESSEERDE!$A$2:$E$4,4,),"")</f>
        <v>ANTWERPEN</v>
      </c>
      <c r="AG1552" s="11" t="str">
        <f>IF($I1552&lt;&gt;"",VLOOKUP($AC1552,GEADRESSEERDE!$A$2:$E$4,5,),"")</f>
        <v>BE</v>
      </c>
      <c r="AH1552" s="11" t="str">
        <f>IF(I1552&lt;&gt;"",VLOOKUP(AP1552,KvB!$A$2:$B$3,2,FALSE),"")</f>
        <v>BE101000</v>
      </c>
      <c r="AI1552" s="11" t="s">
        <v>55</v>
      </c>
      <c r="AJ1552" s="11"/>
      <c r="AK1552" s="11"/>
      <c r="AL1552" s="11"/>
      <c r="AM1552" s="11"/>
      <c r="AN1552" s="11"/>
      <c r="AO1552" s="11"/>
      <c r="AP1552" s="2" t="s">
        <v>70</v>
      </c>
      <c r="AQ1552" s="11" t="str">
        <f>IF(I1552&lt;&gt;"",DATA!D1551,"")</f>
        <v>9403208000</v>
      </c>
    </row>
    <row r="1553" spans="1:43" ht="15.75" x14ac:dyDescent="0.25">
      <c r="A1553" s="11" t="s">
        <v>57</v>
      </c>
      <c r="B1553" s="11" t="s">
        <v>56</v>
      </c>
      <c r="C1553" s="22">
        <f t="shared" si="102"/>
        <v>25001620</v>
      </c>
      <c r="D1553" s="11" t="str">
        <f t="shared" si="99"/>
        <v>SKIIFM_AT</v>
      </c>
      <c r="E1553" s="11" t="str">
        <f>IF(I1553&lt;&gt;"",VLOOKUP(F1553,OPDRACHTGEVER!$A$2:$B$4,2,FALSE),"")</f>
        <v>SKIIFM_AT</v>
      </c>
      <c r="F1553" s="11" t="s">
        <v>58</v>
      </c>
      <c r="I1553" s="11" t="str">
        <f>IF(DATA!B1552&lt;&gt;"",DATA!B1552,"")</f>
        <v>MSDU7786801</v>
      </c>
      <c r="J1553" s="12">
        <v>0</v>
      </c>
      <c r="K1553" s="11" t="s">
        <v>53</v>
      </c>
      <c r="L1553" s="11" t="str">
        <f t="shared" si="100"/>
        <v>392490</v>
      </c>
      <c r="M1553" s="11" t="str">
        <f>IF(I1553&lt;&gt;"",DATA!E1552,"")</f>
        <v>TABLE MAT</v>
      </c>
      <c r="N1553" s="12">
        <v>0</v>
      </c>
      <c r="O1553" s="11">
        <f>IF(I1553&lt;&gt;"",DATA!C1552,"")</f>
        <v>17.45</v>
      </c>
      <c r="P1553" s="2">
        <v>294094</v>
      </c>
      <c r="Q1553" s="2" t="s">
        <v>1304</v>
      </c>
      <c r="R1553" s="2" t="s">
        <v>1334</v>
      </c>
      <c r="S1553" s="2">
        <v>577</v>
      </c>
      <c r="T1553" s="2">
        <v>1</v>
      </c>
      <c r="U1553" s="2" t="s">
        <v>141</v>
      </c>
      <c r="Y1553" s="2">
        <v>1700</v>
      </c>
      <c r="Z1553" s="11" t="s">
        <v>54</v>
      </c>
      <c r="AA1553" s="11" t="str">
        <f t="shared" si="101"/>
        <v>1700 - TBN</v>
      </c>
      <c r="AC1553" s="2" t="s">
        <v>145</v>
      </c>
      <c r="AD1553" s="11" t="str">
        <f>IF($I1553&lt;&gt;"",VLOOKUP($AC1553,GEADRESSEERDE!$A$2:$E$4,2,),"")</f>
        <v>LUITHAGEN HAVEN 2 D</v>
      </c>
      <c r="AE1553" s="11">
        <f>IF($I1553&lt;&gt;"",VLOOKUP($AC1553,GEADRESSEERDE!$A$2:$E$4,3,),"")</f>
        <v>2030</v>
      </c>
      <c r="AF1553" s="11" t="str">
        <f>IF($I1553&lt;&gt;"",VLOOKUP($AC1553,GEADRESSEERDE!$A$2:$E$4,4,),"")</f>
        <v>ANTWERPEN</v>
      </c>
      <c r="AG1553" s="11" t="str">
        <f>IF($I1553&lt;&gt;"",VLOOKUP($AC1553,GEADRESSEERDE!$A$2:$E$4,5,),"")</f>
        <v>BE</v>
      </c>
      <c r="AH1553" s="11" t="str">
        <f>IF(I1553&lt;&gt;"",VLOOKUP(AP1553,KvB!$A$2:$B$3,2,FALSE),"")</f>
        <v>BE101000</v>
      </c>
      <c r="AI1553" s="11" t="s">
        <v>55</v>
      </c>
      <c r="AJ1553" s="11"/>
      <c r="AK1553" s="11"/>
      <c r="AL1553" s="11"/>
      <c r="AM1553" s="11"/>
      <c r="AN1553" s="11"/>
      <c r="AO1553" s="11"/>
      <c r="AP1553" s="2" t="s">
        <v>70</v>
      </c>
      <c r="AQ1553" s="11" t="str">
        <f>IF(I1553&lt;&gt;"",DATA!D1552,"")</f>
        <v>3924900090</v>
      </c>
    </row>
    <row r="1554" spans="1:43" ht="15.75" x14ac:dyDescent="0.25">
      <c r="A1554" s="11" t="s">
        <v>57</v>
      </c>
      <c r="B1554" s="11" t="s">
        <v>56</v>
      </c>
      <c r="C1554" s="22">
        <f t="shared" si="102"/>
        <v>25001620</v>
      </c>
      <c r="D1554" s="11" t="str">
        <f t="shared" si="99"/>
        <v>SKIIFM_AT</v>
      </c>
      <c r="E1554" s="11" t="str">
        <f>IF(I1554&lt;&gt;"",VLOOKUP(F1554,OPDRACHTGEVER!$A$2:$B$4,2,FALSE),"")</f>
        <v>SKIIFM_AT</v>
      </c>
      <c r="F1554" s="11" t="s">
        <v>58</v>
      </c>
      <c r="I1554" s="11" t="str">
        <f>IF(DATA!B1553&lt;&gt;"",DATA!B1553,"")</f>
        <v>MSDU7786801</v>
      </c>
      <c r="J1554" s="12">
        <v>0</v>
      </c>
      <c r="K1554" s="11" t="s">
        <v>53</v>
      </c>
      <c r="L1554" s="11" t="str">
        <f t="shared" si="100"/>
        <v>760720</v>
      </c>
      <c r="M1554" s="11" t="str">
        <f>IF(I1554&lt;&gt;"",DATA!E1553,"")</f>
        <v>THERMAL INSULATION FILM</v>
      </c>
      <c r="N1554" s="12">
        <v>0</v>
      </c>
      <c r="O1554" s="11">
        <f>IF(I1554&lt;&gt;"",DATA!C1553,"")</f>
        <v>39.200000000000003</v>
      </c>
      <c r="P1554" s="2">
        <v>294094</v>
      </c>
      <c r="Q1554" s="2" t="s">
        <v>1304</v>
      </c>
      <c r="R1554" s="2" t="s">
        <v>1334</v>
      </c>
      <c r="S1554" s="2">
        <v>577</v>
      </c>
      <c r="T1554" s="2">
        <v>1</v>
      </c>
      <c r="U1554" s="2" t="s">
        <v>141</v>
      </c>
      <c r="Y1554" s="2">
        <v>1700</v>
      </c>
      <c r="Z1554" s="11" t="s">
        <v>54</v>
      </c>
      <c r="AA1554" s="11" t="str">
        <f t="shared" si="101"/>
        <v>1700 - TBN</v>
      </c>
      <c r="AC1554" s="2" t="s">
        <v>145</v>
      </c>
      <c r="AD1554" s="11" t="str">
        <f>IF($I1554&lt;&gt;"",VLOOKUP($AC1554,GEADRESSEERDE!$A$2:$E$4,2,),"")</f>
        <v>LUITHAGEN HAVEN 2 D</v>
      </c>
      <c r="AE1554" s="11">
        <f>IF($I1554&lt;&gt;"",VLOOKUP($AC1554,GEADRESSEERDE!$A$2:$E$4,3,),"")</f>
        <v>2030</v>
      </c>
      <c r="AF1554" s="11" t="str">
        <f>IF($I1554&lt;&gt;"",VLOOKUP($AC1554,GEADRESSEERDE!$A$2:$E$4,4,),"")</f>
        <v>ANTWERPEN</v>
      </c>
      <c r="AG1554" s="11" t="str">
        <f>IF($I1554&lt;&gt;"",VLOOKUP($AC1554,GEADRESSEERDE!$A$2:$E$4,5,),"")</f>
        <v>BE</v>
      </c>
      <c r="AH1554" s="11" t="str">
        <f>IF(I1554&lt;&gt;"",VLOOKUP(AP1554,KvB!$A$2:$B$3,2,FALSE),"")</f>
        <v>BE101000</v>
      </c>
      <c r="AI1554" s="11" t="s">
        <v>55</v>
      </c>
      <c r="AJ1554" s="11"/>
      <c r="AK1554" s="11"/>
      <c r="AL1554" s="11"/>
      <c r="AM1554" s="11"/>
      <c r="AN1554" s="11"/>
      <c r="AO1554" s="11"/>
      <c r="AP1554" s="2" t="s">
        <v>70</v>
      </c>
      <c r="AQ1554" s="11" t="str">
        <f>IF(I1554&lt;&gt;"",DATA!D1553,"")</f>
        <v>7607209900</v>
      </c>
    </row>
    <row r="1555" spans="1:43" ht="15.75" x14ac:dyDescent="0.25">
      <c r="A1555" s="11" t="s">
        <v>57</v>
      </c>
      <c r="B1555" s="11" t="s">
        <v>56</v>
      </c>
      <c r="C1555" s="22">
        <f t="shared" si="102"/>
        <v>25001620</v>
      </c>
      <c r="D1555" s="11" t="str">
        <f t="shared" si="99"/>
        <v>SKIIFM_AT</v>
      </c>
      <c r="E1555" s="11" t="str">
        <f>IF(I1555&lt;&gt;"",VLOOKUP(F1555,OPDRACHTGEVER!$A$2:$B$4,2,FALSE),"")</f>
        <v>SKIIFM_AT</v>
      </c>
      <c r="F1555" s="11" t="s">
        <v>58</v>
      </c>
      <c r="I1555" s="11" t="str">
        <f>IF(DATA!B1554&lt;&gt;"",DATA!B1554,"")</f>
        <v>MSDU7786801</v>
      </c>
      <c r="J1555" s="12">
        <v>0</v>
      </c>
      <c r="K1555" s="11" t="s">
        <v>53</v>
      </c>
      <c r="L1555" s="11" t="str">
        <f t="shared" si="100"/>
        <v>950691</v>
      </c>
      <c r="M1555" s="11" t="str">
        <f>IF(I1555&lt;&gt;"",DATA!E1554,"")</f>
        <v>TUMBLING MAT</v>
      </c>
      <c r="N1555" s="12">
        <v>0</v>
      </c>
      <c r="O1555" s="11">
        <f>IF(I1555&lt;&gt;"",DATA!C1554,"")</f>
        <v>184.7</v>
      </c>
      <c r="P1555" s="2">
        <v>294094</v>
      </c>
      <c r="Q1555" s="2" t="s">
        <v>1304</v>
      </c>
      <c r="R1555" s="2" t="s">
        <v>1334</v>
      </c>
      <c r="S1555" s="2">
        <v>577</v>
      </c>
      <c r="T1555" s="2">
        <v>1</v>
      </c>
      <c r="U1555" s="2" t="s">
        <v>141</v>
      </c>
      <c r="Y1555" s="2">
        <v>1700</v>
      </c>
      <c r="Z1555" s="11" t="s">
        <v>54</v>
      </c>
      <c r="AA1555" s="11" t="str">
        <f t="shared" si="101"/>
        <v>1700 - TBN</v>
      </c>
      <c r="AC1555" s="2" t="s">
        <v>145</v>
      </c>
      <c r="AD1555" s="11" t="str">
        <f>IF($I1555&lt;&gt;"",VLOOKUP($AC1555,GEADRESSEERDE!$A$2:$E$4,2,),"")</f>
        <v>LUITHAGEN HAVEN 2 D</v>
      </c>
      <c r="AE1555" s="11">
        <f>IF($I1555&lt;&gt;"",VLOOKUP($AC1555,GEADRESSEERDE!$A$2:$E$4,3,),"")</f>
        <v>2030</v>
      </c>
      <c r="AF1555" s="11" t="str">
        <f>IF($I1555&lt;&gt;"",VLOOKUP($AC1555,GEADRESSEERDE!$A$2:$E$4,4,),"")</f>
        <v>ANTWERPEN</v>
      </c>
      <c r="AG1555" s="11" t="str">
        <f>IF($I1555&lt;&gt;"",VLOOKUP($AC1555,GEADRESSEERDE!$A$2:$E$4,5,),"")</f>
        <v>BE</v>
      </c>
      <c r="AH1555" s="11" t="str">
        <f>IF(I1555&lt;&gt;"",VLOOKUP(AP1555,KvB!$A$2:$B$3,2,FALSE),"")</f>
        <v>BE101000</v>
      </c>
      <c r="AI1555" s="11" t="s">
        <v>55</v>
      </c>
      <c r="AJ1555" s="11"/>
      <c r="AK1555" s="11"/>
      <c r="AL1555" s="11"/>
      <c r="AM1555" s="11"/>
      <c r="AN1555" s="11"/>
      <c r="AO1555" s="11"/>
      <c r="AP1555" s="2" t="s">
        <v>70</v>
      </c>
      <c r="AQ1555" s="11" t="str">
        <f>IF(I1555&lt;&gt;"",DATA!D1554,"")</f>
        <v>9506919000</v>
      </c>
    </row>
    <row r="1556" spans="1:43" ht="15.75" x14ac:dyDescent="0.25">
      <c r="A1556" s="11" t="s">
        <v>57</v>
      </c>
      <c r="B1556" s="11" t="s">
        <v>56</v>
      </c>
      <c r="C1556" s="22">
        <f t="shared" si="102"/>
        <v>25001620</v>
      </c>
      <c r="D1556" s="11" t="str">
        <f t="shared" si="99"/>
        <v>SKIIFM_AT</v>
      </c>
      <c r="E1556" s="11" t="str">
        <f>IF(I1556&lt;&gt;"",VLOOKUP(F1556,OPDRACHTGEVER!$A$2:$B$4,2,FALSE),"")</f>
        <v>SKIIFM_AT</v>
      </c>
      <c r="F1556" s="11" t="s">
        <v>58</v>
      </c>
      <c r="I1556" s="11" t="str">
        <f>IF(DATA!B1555&lt;&gt;"",DATA!B1555,"")</f>
        <v>MSDU7786801</v>
      </c>
      <c r="J1556" s="12">
        <v>0</v>
      </c>
      <c r="K1556" s="11" t="s">
        <v>53</v>
      </c>
      <c r="L1556" s="11" t="str">
        <f t="shared" si="100"/>
        <v>400690</v>
      </c>
      <c r="M1556" s="11" t="str">
        <f>IF(I1556&lt;&gt;"",DATA!E1555,"")</f>
        <v>VACUUM SUCTION CUP</v>
      </c>
      <c r="N1556" s="12">
        <v>0</v>
      </c>
      <c r="O1556" s="11">
        <f>IF(I1556&lt;&gt;"",DATA!C1555,"")</f>
        <v>13.1</v>
      </c>
      <c r="P1556" s="2">
        <v>294094</v>
      </c>
      <c r="Q1556" s="2" t="s">
        <v>1304</v>
      </c>
      <c r="R1556" s="2" t="s">
        <v>1334</v>
      </c>
      <c r="S1556" s="2">
        <v>577</v>
      </c>
      <c r="T1556" s="2">
        <v>1</v>
      </c>
      <c r="U1556" s="2" t="s">
        <v>141</v>
      </c>
      <c r="Y1556" s="2">
        <v>1700</v>
      </c>
      <c r="Z1556" s="11" t="s">
        <v>54</v>
      </c>
      <c r="AA1556" s="11" t="str">
        <f t="shared" si="101"/>
        <v>1700 - TBN</v>
      </c>
      <c r="AC1556" s="2" t="s">
        <v>145</v>
      </c>
      <c r="AD1556" s="11" t="str">
        <f>IF($I1556&lt;&gt;"",VLOOKUP($AC1556,GEADRESSEERDE!$A$2:$E$4,2,),"")</f>
        <v>LUITHAGEN HAVEN 2 D</v>
      </c>
      <c r="AE1556" s="11">
        <f>IF($I1556&lt;&gt;"",VLOOKUP($AC1556,GEADRESSEERDE!$A$2:$E$4,3,),"")</f>
        <v>2030</v>
      </c>
      <c r="AF1556" s="11" t="str">
        <f>IF($I1556&lt;&gt;"",VLOOKUP($AC1556,GEADRESSEERDE!$A$2:$E$4,4,),"")</f>
        <v>ANTWERPEN</v>
      </c>
      <c r="AG1556" s="11" t="str">
        <f>IF($I1556&lt;&gt;"",VLOOKUP($AC1556,GEADRESSEERDE!$A$2:$E$4,5,),"")</f>
        <v>BE</v>
      </c>
      <c r="AH1556" s="11" t="str">
        <f>IF(I1556&lt;&gt;"",VLOOKUP(AP1556,KvB!$A$2:$B$3,2,FALSE),"")</f>
        <v>BE101000</v>
      </c>
      <c r="AI1556" s="11" t="s">
        <v>55</v>
      </c>
      <c r="AJ1556" s="11"/>
      <c r="AK1556" s="11"/>
      <c r="AL1556" s="11"/>
      <c r="AM1556" s="11"/>
      <c r="AN1556" s="11"/>
      <c r="AO1556" s="11"/>
      <c r="AP1556" s="2" t="s">
        <v>70</v>
      </c>
      <c r="AQ1556" s="11" t="str">
        <f>IF(I1556&lt;&gt;"",DATA!D1555,"")</f>
        <v>4006900000</v>
      </c>
    </row>
    <row r="1557" spans="1:43" ht="15.75" x14ac:dyDescent="0.25">
      <c r="A1557" s="11" t="s">
        <v>57</v>
      </c>
      <c r="B1557" s="11" t="s">
        <v>56</v>
      </c>
      <c r="C1557" s="22">
        <f t="shared" si="102"/>
        <v>25001620</v>
      </c>
      <c r="D1557" s="11" t="str">
        <f t="shared" si="99"/>
        <v>SKIIFM_AT</v>
      </c>
      <c r="E1557" s="11" t="str">
        <f>IF(I1557&lt;&gt;"",VLOOKUP(F1557,OPDRACHTGEVER!$A$2:$B$4,2,FALSE),"")</f>
        <v>SKIIFM_AT</v>
      </c>
      <c r="F1557" s="11" t="s">
        <v>58</v>
      </c>
      <c r="I1557" s="11" t="str">
        <f>IF(DATA!B1556&lt;&gt;"",DATA!B1556,"")</f>
        <v>MSDU7786801</v>
      </c>
      <c r="J1557" s="12">
        <v>0</v>
      </c>
      <c r="K1557" s="11" t="s">
        <v>53</v>
      </c>
      <c r="L1557" s="11" t="str">
        <f t="shared" si="100"/>
        <v>841830</v>
      </c>
      <c r="M1557" s="11" t="str">
        <f>IF(I1557&lt;&gt;"",DATA!E1556,"")</f>
        <v>VEHICLE REFRIGERATOR</v>
      </c>
      <c r="N1557" s="12">
        <v>0</v>
      </c>
      <c r="O1557" s="11">
        <f>IF(I1557&lt;&gt;"",DATA!C1556,"")</f>
        <v>370.2</v>
      </c>
      <c r="P1557" s="2">
        <v>294094</v>
      </c>
      <c r="Q1557" s="2" t="s">
        <v>1304</v>
      </c>
      <c r="R1557" s="2" t="s">
        <v>1334</v>
      </c>
      <c r="S1557" s="2">
        <v>577</v>
      </c>
      <c r="T1557" s="2">
        <v>1</v>
      </c>
      <c r="U1557" s="2" t="s">
        <v>141</v>
      </c>
      <c r="Y1557" s="2">
        <v>1700</v>
      </c>
      <c r="Z1557" s="11" t="s">
        <v>54</v>
      </c>
      <c r="AA1557" s="11" t="str">
        <f t="shared" si="101"/>
        <v>1700 - TBN</v>
      </c>
      <c r="AC1557" s="2" t="s">
        <v>145</v>
      </c>
      <c r="AD1557" s="11" t="str">
        <f>IF($I1557&lt;&gt;"",VLOOKUP($AC1557,GEADRESSEERDE!$A$2:$E$4,2,),"")</f>
        <v>LUITHAGEN HAVEN 2 D</v>
      </c>
      <c r="AE1557" s="11">
        <f>IF($I1557&lt;&gt;"",VLOOKUP($AC1557,GEADRESSEERDE!$A$2:$E$4,3,),"")</f>
        <v>2030</v>
      </c>
      <c r="AF1557" s="11" t="str">
        <f>IF($I1557&lt;&gt;"",VLOOKUP($AC1557,GEADRESSEERDE!$A$2:$E$4,4,),"")</f>
        <v>ANTWERPEN</v>
      </c>
      <c r="AG1557" s="11" t="str">
        <f>IF($I1557&lt;&gt;"",VLOOKUP($AC1557,GEADRESSEERDE!$A$2:$E$4,5,),"")</f>
        <v>BE</v>
      </c>
      <c r="AH1557" s="11" t="str">
        <f>IF(I1557&lt;&gt;"",VLOOKUP(AP1557,KvB!$A$2:$B$3,2,FALSE),"")</f>
        <v>BE101000</v>
      </c>
      <c r="AI1557" s="11" t="s">
        <v>55</v>
      </c>
      <c r="AJ1557" s="11"/>
      <c r="AK1557" s="11"/>
      <c r="AL1557" s="11"/>
      <c r="AM1557" s="11"/>
      <c r="AN1557" s="11"/>
      <c r="AO1557" s="11"/>
      <c r="AP1557" s="2" t="s">
        <v>70</v>
      </c>
      <c r="AQ1557" s="11" t="str">
        <f>IF(I1557&lt;&gt;"",DATA!D1556,"")</f>
        <v>8418302099</v>
      </c>
    </row>
    <row r="1558" spans="1:43" ht="15.75" x14ac:dyDescent="0.25">
      <c r="A1558" s="11" t="s">
        <v>57</v>
      </c>
      <c r="B1558" s="11" t="s">
        <v>56</v>
      </c>
      <c r="C1558" s="22">
        <f t="shared" si="102"/>
        <v>25001620</v>
      </c>
      <c r="D1558" s="11" t="str">
        <f t="shared" si="99"/>
        <v>SKIIFM_AT</v>
      </c>
      <c r="E1558" s="11" t="str">
        <f>IF(I1558&lt;&gt;"",VLOOKUP(F1558,OPDRACHTGEVER!$A$2:$B$4,2,FALSE),"")</f>
        <v>SKIIFM_AT</v>
      </c>
      <c r="F1558" s="11" t="s">
        <v>58</v>
      </c>
      <c r="I1558" s="11" t="str">
        <f>IF(DATA!B1557&lt;&gt;"",DATA!B1557,"")</f>
        <v>MSDU7786801</v>
      </c>
      <c r="J1558" s="12">
        <v>0</v>
      </c>
      <c r="K1558" s="11" t="s">
        <v>53</v>
      </c>
      <c r="L1558" s="11" t="str">
        <f t="shared" si="100"/>
        <v>691010</v>
      </c>
      <c r="M1558" s="11" t="str">
        <f>IF(I1558&lt;&gt;"",DATA!E1557,"")</f>
        <v>VESSEL SINK</v>
      </c>
      <c r="N1558" s="12">
        <v>0</v>
      </c>
      <c r="O1558" s="11">
        <f>IF(I1558&lt;&gt;"",DATA!C1557,"")</f>
        <v>10.3</v>
      </c>
      <c r="P1558" s="2">
        <v>294094</v>
      </c>
      <c r="Q1558" s="2" t="s">
        <v>1304</v>
      </c>
      <c r="R1558" s="2" t="s">
        <v>1334</v>
      </c>
      <c r="S1558" s="2">
        <v>577</v>
      </c>
      <c r="T1558" s="2">
        <v>1</v>
      </c>
      <c r="U1558" s="2" t="s">
        <v>141</v>
      </c>
      <c r="Y1558" s="2">
        <v>1700</v>
      </c>
      <c r="Z1558" s="11" t="s">
        <v>54</v>
      </c>
      <c r="AA1558" s="11" t="str">
        <f t="shared" si="101"/>
        <v>1700 - TBN</v>
      </c>
      <c r="AC1558" s="2" t="s">
        <v>145</v>
      </c>
      <c r="AD1558" s="11" t="str">
        <f>IF($I1558&lt;&gt;"",VLOOKUP($AC1558,GEADRESSEERDE!$A$2:$E$4,2,),"")</f>
        <v>LUITHAGEN HAVEN 2 D</v>
      </c>
      <c r="AE1558" s="11">
        <f>IF($I1558&lt;&gt;"",VLOOKUP($AC1558,GEADRESSEERDE!$A$2:$E$4,3,),"")</f>
        <v>2030</v>
      </c>
      <c r="AF1558" s="11" t="str">
        <f>IF($I1558&lt;&gt;"",VLOOKUP($AC1558,GEADRESSEERDE!$A$2:$E$4,4,),"")</f>
        <v>ANTWERPEN</v>
      </c>
      <c r="AG1558" s="11" t="str">
        <f>IF($I1558&lt;&gt;"",VLOOKUP($AC1558,GEADRESSEERDE!$A$2:$E$4,5,),"")</f>
        <v>BE</v>
      </c>
      <c r="AH1558" s="11" t="str">
        <f>IF(I1558&lt;&gt;"",VLOOKUP(AP1558,KvB!$A$2:$B$3,2,FALSE),"")</f>
        <v>BE101000</v>
      </c>
      <c r="AI1558" s="11" t="s">
        <v>55</v>
      </c>
      <c r="AJ1558" s="11"/>
      <c r="AK1558" s="11"/>
      <c r="AL1558" s="11"/>
      <c r="AM1558" s="11"/>
      <c r="AN1558" s="11"/>
      <c r="AO1558" s="11"/>
      <c r="AP1558" s="2" t="s">
        <v>70</v>
      </c>
      <c r="AQ1558" s="11" t="str">
        <f>IF(I1558&lt;&gt;"",DATA!D1557,"")</f>
        <v>6910100000</v>
      </c>
    </row>
    <row r="1559" spans="1:43" ht="15.75" x14ac:dyDescent="0.25">
      <c r="A1559" s="11" t="s">
        <v>57</v>
      </c>
      <c r="B1559" s="11" t="s">
        <v>56</v>
      </c>
      <c r="C1559" s="22">
        <f t="shared" si="102"/>
        <v>25001620</v>
      </c>
      <c r="D1559" s="11" t="str">
        <f t="shared" si="99"/>
        <v>SKIIFM_AT</v>
      </c>
      <c r="E1559" s="11" t="str">
        <f>IF(I1559&lt;&gt;"",VLOOKUP(F1559,OPDRACHTGEVER!$A$2:$B$4,2,FALSE),"")</f>
        <v>SKIIFM_AT</v>
      </c>
      <c r="F1559" s="11" t="s">
        <v>58</v>
      </c>
      <c r="I1559" s="11" t="str">
        <f>IF(DATA!B1558&lt;&gt;"",DATA!B1558,"")</f>
        <v>MSDU7786801</v>
      </c>
      <c r="J1559" s="12">
        <v>0</v>
      </c>
      <c r="K1559" s="11" t="s">
        <v>53</v>
      </c>
      <c r="L1559" s="11" t="str">
        <f t="shared" si="100"/>
        <v>851660</v>
      </c>
      <c r="M1559" s="11" t="str">
        <f>IF(I1559&lt;&gt;"",DATA!E1558,"")</f>
        <v>WAFFLE CAKE MACHINE</v>
      </c>
      <c r="N1559" s="12">
        <v>0</v>
      </c>
      <c r="O1559" s="11">
        <f>IF(I1559&lt;&gt;"",DATA!C1558,"")</f>
        <v>145.75</v>
      </c>
      <c r="P1559" s="2">
        <v>294094</v>
      </c>
      <c r="Q1559" s="2" t="s">
        <v>1304</v>
      </c>
      <c r="R1559" s="2" t="s">
        <v>1334</v>
      </c>
      <c r="S1559" s="2">
        <v>577</v>
      </c>
      <c r="T1559" s="2">
        <v>1</v>
      </c>
      <c r="U1559" s="2" t="s">
        <v>141</v>
      </c>
      <c r="Y1559" s="2">
        <v>1700</v>
      </c>
      <c r="Z1559" s="11" t="s">
        <v>54</v>
      </c>
      <c r="AA1559" s="11" t="str">
        <f t="shared" si="101"/>
        <v>1700 - TBN</v>
      </c>
      <c r="AC1559" s="2" t="s">
        <v>145</v>
      </c>
      <c r="AD1559" s="11" t="str">
        <f>IF($I1559&lt;&gt;"",VLOOKUP($AC1559,GEADRESSEERDE!$A$2:$E$4,2,),"")</f>
        <v>LUITHAGEN HAVEN 2 D</v>
      </c>
      <c r="AE1559" s="11">
        <f>IF($I1559&lt;&gt;"",VLOOKUP($AC1559,GEADRESSEERDE!$A$2:$E$4,3,),"")</f>
        <v>2030</v>
      </c>
      <c r="AF1559" s="11" t="str">
        <f>IF($I1559&lt;&gt;"",VLOOKUP($AC1559,GEADRESSEERDE!$A$2:$E$4,4,),"")</f>
        <v>ANTWERPEN</v>
      </c>
      <c r="AG1559" s="11" t="str">
        <f>IF($I1559&lt;&gt;"",VLOOKUP($AC1559,GEADRESSEERDE!$A$2:$E$4,5,),"")</f>
        <v>BE</v>
      </c>
      <c r="AH1559" s="11" t="str">
        <f>IF(I1559&lt;&gt;"",VLOOKUP(AP1559,KvB!$A$2:$B$3,2,FALSE),"")</f>
        <v>BE101000</v>
      </c>
      <c r="AI1559" s="11" t="s">
        <v>55</v>
      </c>
      <c r="AJ1559" s="11"/>
      <c r="AK1559" s="11"/>
      <c r="AL1559" s="11"/>
      <c r="AM1559" s="11"/>
      <c r="AN1559" s="11"/>
      <c r="AO1559" s="11"/>
      <c r="AP1559" s="2" t="s">
        <v>70</v>
      </c>
      <c r="AQ1559" s="11" t="str">
        <f>IF(I1559&lt;&gt;"",DATA!D1558,"")</f>
        <v>8516609000</v>
      </c>
    </row>
    <row r="1560" spans="1:43" ht="15.75" x14ac:dyDescent="0.25">
      <c r="A1560" s="11" t="s">
        <v>57</v>
      </c>
      <c r="B1560" s="11" t="s">
        <v>56</v>
      </c>
      <c r="C1560" s="22">
        <f t="shared" si="102"/>
        <v>25001620</v>
      </c>
      <c r="D1560" s="11" t="str">
        <f t="shared" si="99"/>
        <v>SKIIFM_AT</v>
      </c>
      <c r="E1560" s="11" t="str">
        <f>IF(I1560&lt;&gt;"",VLOOKUP(F1560,OPDRACHTGEVER!$A$2:$B$4,2,FALSE),"")</f>
        <v>SKIIFM_AT</v>
      </c>
      <c r="F1560" s="11" t="s">
        <v>58</v>
      </c>
      <c r="I1560" s="11" t="str">
        <f>IF(DATA!B1559&lt;&gt;"",DATA!B1559,"")</f>
        <v>MSDU7786801</v>
      </c>
      <c r="J1560" s="12">
        <v>0</v>
      </c>
      <c r="K1560" s="11" t="s">
        <v>53</v>
      </c>
      <c r="L1560" s="11" t="str">
        <f t="shared" si="100"/>
        <v>851672</v>
      </c>
      <c r="M1560" s="11" t="str">
        <f>IF(I1560&lt;&gt;"",DATA!E1559,"")</f>
        <v>WAFFLE MACHINE</v>
      </c>
      <c r="N1560" s="12">
        <v>0</v>
      </c>
      <c r="O1560" s="11">
        <f>IF(I1560&lt;&gt;"",DATA!C1559,"")</f>
        <v>19.16</v>
      </c>
      <c r="P1560" s="2">
        <v>294094</v>
      </c>
      <c r="Q1560" s="2" t="s">
        <v>1304</v>
      </c>
      <c r="R1560" s="2" t="s">
        <v>1334</v>
      </c>
      <c r="S1560" s="2">
        <v>577</v>
      </c>
      <c r="T1560" s="2">
        <v>1</v>
      </c>
      <c r="U1560" s="2" t="s">
        <v>141</v>
      </c>
      <c r="Y1560" s="2">
        <v>1700</v>
      </c>
      <c r="Z1560" s="11" t="s">
        <v>54</v>
      </c>
      <c r="AA1560" s="11" t="str">
        <f t="shared" si="101"/>
        <v>1700 - TBN</v>
      </c>
      <c r="AC1560" s="2" t="s">
        <v>145</v>
      </c>
      <c r="AD1560" s="11" t="str">
        <f>IF($I1560&lt;&gt;"",VLOOKUP($AC1560,GEADRESSEERDE!$A$2:$E$4,2,),"")</f>
        <v>LUITHAGEN HAVEN 2 D</v>
      </c>
      <c r="AE1560" s="11">
        <f>IF($I1560&lt;&gt;"",VLOOKUP($AC1560,GEADRESSEERDE!$A$2:$E$4,3,),"")</f>
        <v>2030</v>
      </c>
      <c r="AF1560" s="11" t="str">
        <f>IF($I1560&lt;&gt;"",VLOOKUP($AC1560,GEADRESSEERDE!$A$2:$E$4,4,),"")</f>
        <v>ANTWERPEN</v>
      </c>
      <c r="AG1560" s="11" t="str">
        <f>IF($I1560&lt;&gt;"",VLOOKUP($AC1560,GEADRESSEERDE!$A$2:$E$4,5,),"")</f>
        <v>BE</v>
      </c>
      <c r="AH1560" s="11" t="str">
        <f>IF(I1560&lt;&gt;"",VLOOKUP(AP1560,KvB!$A$2:$B$3,2,FALSE),"")</f>
        <v>BE101000</v>
      </c>
      <c r="AI1560" s="11" t="s">
        <v>55</v>
      </c>
      <c r="AJ1560" s="11"/>
      <c r="AK1560" s="11"/>
      <c r="AL1560" s="11"/>
      <c r="AM1560" s="11"/>
      <c r="AN1560" s="11"/>
      <c r="AO1560" s="11"/>
      <c r="AP1560" s="2" t="s">
        <v>70</v>
      </c>
      <c r="AQ1560" s="11" t="str">
        <f>IF(I1560&lt;&gt;"",DATA!D1559,"")</f>
        <v>8516720000</v>
      </c>
    </row>
    <row r="1561" spans="1:43" ht="15.75" x14ac:dyDescent="0.25">
      <c r="A1561" s="11" t="s">
        <v>57</v>
      </c>
      <c r="B1561" s="11" t="s">
        <v>56</v>
      </c>
      <c r="C1561" s="22">
        <f t="shared" si="102"/>
        <v>25001620</v>
      </c>
      <c r="D1561" s="11" t="str">
        <f t="shared" si="99"/>
        <v>SKIIFM_AT</v>
      </c>
      <c r="E1561" s="11" t="str">
        <f>IF(I1561&lt;&gt;"",VLOOKUP(F1561,OPDRACHTGEVER!$A$2:$B$4,2,FALSE),"")</f>
        <v>SKIIFM_AT</v>
      </c>
      <c r="F1561" s="11" t="s">
        <v>58</v>
      </c>
      <c r="I1561" s="11" t="str">
        <f>IF(DATA!B1560&lt;&gt;"",DATA!B1560,"")</f>
        <v>MSDU7786801</v>
      </c>
      <c r="J1561" s="12">
        <v>0</v>
      </c>
      <c r="K1561" s="11" t="s">
        <v>53</v>
      </c>
      <c r="L1561" s="11" t="str">
        <f t="shared" si="100"/>
        <v>940320</v>
      </c>
      <c r="M1561" s="11" t="str">
        <f>IF(I1561&lt;&gt;"",DATA!E1560,"")</f>
        <v>WALL MOUNTED TOOL CABINET</v>
      </c>
      <c r="N1561" s="12">
        <v>0</v>
      </c>
      <c r="O1561" s="11">
        <f>IF(I1561&lt;&gt;"",DATA!C1560,"")</f>
        <v>204.1</v>
      </c>
      <c r="P1561" s="2">
        <v>294094</v>
      </c>
      <c r="Q1561" s="2" t="s">
        <v>1304</v>
      </c>
      <c r="R1561" s="2" t="s">
        <v>1334</v>
      </c>
      <c r="S1561" s="2">
        <v>577</v>
      </c>
      <c r="T1561" s="2">
        <v>1</v>
      </c>
      <c r="U1561" s="2" t="s">
        <v>141</v>
      </c>
      <c r="Y1561" s="2">
        <v>1700</v>
      </c>
      <c r="Z1561" s="11" t="s">
        <v>54</v>
      </c>
      <c r="AA1561" s="11" t="str">
        <f t="shared" si="101"/>
        <v>1700 - TBN</v>
      </c>
      <c r="AC1561" s="2" t="s">
        <v>145</v>
      </c>
      <c r="AD1561" s="11" t="str">
        <f>IF($I1561&lt;&gt;"",VLOOKUP($AC1561,GEADRESSEERDE!$A$2:$E$4,2,),"")</f>
        <v>LUITHAGEN HAVEN 2 D</v>
      </c>
      <c r="AE1561" s="11">
        <f>IF($I1561&lt;&gt;"",VLOOKUP($AC1561,GEADRESSEERDE!$A$2:$E$4,3,),"")</f>
        <v>2030</v>
      </c>
      <c r="AF1561" s="11" t="str">
        <f>IF($I1561&lt;&gt;"",VLOOKUP($AC1561,GEADRESSEERDE!$A$2:$E$4,4,),"")</f>
        <v>ANTWERPEN</v>
      </c>
      <c r="AG1561" s="11" t="str">
        <f>IF($I1561&lt;&gt;"",VLOOKUP($AC1561,GEADRESSEERDE!$A$2:$E$4,5,),"")</f>
        <v>BE</v>
      </c>
      <c r="AH1561" s="11" t="str">
        <f>IF(I1561&lt;&gt;"",VLOOKUP(AP1561,KvB!$A$2:$B$3,2,FALSE),"")</f>
        <v>BE101000</v>
      </c>
      <c r="AI1561" s="11" t="s">
        <v>55</v>
      </c>
      <c r="AJ1561" s="11"/>
      <c r="AK1561" s="11"/>
      <c r="AL1561" s="11"/>
      <c r="AM1561" s="11"/>
      <c r="AN1561" s="11"/>
      <c r="AO1561" s="11"/>
      <c r="AP1561" s="2" t="s">
        <v>70</v>
      </c>
      <c r="AQ1561" s="11" t="str">
        <f>IF(I1561&lt;&gt;"",DATA!D1560,"")</f>
        <v>9403208000</v>
      </c>
    </row>
    <row r="1562" spans="1:43" ht="15.75" x14ac:dyDescent="0.25">
      <c r="A1562" s="11" t="s">
        <v>57</v>
      </c>
      <c r="B1562" s="11" t="s">
        <v>56</v>
      </c>
      <c r="C1562" s="22">
        <f t="shared" si="102"/>
        <v>25001620</v>
      </c>
      <c r="D1562" s="11" t="str">
        <f t="shared" si="99"/>
        <v>SKIIFM_AT</v>
      </c>
      <c r="E1562" s="11" t="str">
        <f>IF(I1562&lt;&gt;"",VLOOKUP(F1562,OPDRACHTGEVER!$A$2:$B$4,2,FALSE),"")</f>
        <v>SKIIFM_AT</v>
      </c>
      <c r="F1562" s="11" t="s">
        <v>58</v>
      </c>
      <c r="I1562" s="11" t="str">
        <f>IF(DATA!B1561&lt;&gt;"",DATA!B1561,"")</f>
        <v>MSDU7786801</v>
      </c>
      <c r="J1562" s="12">
        <v>0</v>
      </c>
      <c r="K1562" s="11" t="s">
        <v>53</v>
      </c>
      <c r="L1562" s="11" t="str">
        <f t="shared" si="100"/>
        <v>841360</v>
      </c>
      <c r="M1562" s="11" t="str">
        <f>IF(I1562&lt;&gt;"",DATA!E1561,"")</f>
        <v>WATER PUMP</v>
      </c>
      <c r="N1562" s="12">
        <v>0</v>
      </c>
      <c r="O1562" s="11">
        <f>IF(I1562&lt;&gt;"",DATA!C1561,"")</f>
        <v>5.2</v>
      </c>
      <c r="P1562" s="2">
        <v>294094</v>
      </c>
      <c r="Q1562" s="2" t="s">
        <v>1304</v>
      </c>
      <c r="R1562" s="2" t="s">
        <v>1334</v>
      </c>
      <c r="S1562" s="2">
        <v>577</v>
      </c>
      <c r="T1562" s="2">
        <v>1</v>
      </c>
      <c r="U1562" s="2" t="s">
        <v>141</v>
      </c>
      <c r="Y1562" s="2">
        <v>1700</v>
      </c>
      <c r="Z1562" s="11" t="s">
        <v>54</v>
      </c>
      <c r="AA1562" s="11" t="str">
        <f t="shared" si="101"/>
        <v>1700 - TBN</v>
      </c>
      <c r="AC1562" s="2" t="s">
        <v>145</v>
      </c>
      <c r="AD1562" s="11" t="str">
        <f>IF($I1562&lt;&gt;"",VLOOKUP($AC1562,GEADRESSEERDE!$A$2:$E$4,2,),"")</f>
        <v>LUITHAGEN HAVEN 2 D</v>
      </c>
      <c r="AE1562" s="11">
        <f>IF($I1562&lt;&gt;"",VLOOKUP($AC1562,GEADRESSEERDE!$A$2:$E$4,3,),"")</f>
        <v>2030</v>
      </c>
      <c r="AF1562" s="11" t="str">
        <f>IF($I1562&lt;&gt;"",VLOOKUP($AC1562,GEADRESSEERDE!$A$2:$E$4,4,),"")</f>
        <v>ANTWERPEN</v>
      </c>
      <c r="AG1562" s="11" t="str">
        <f>IF($I1562&lt;&gt;"",VLOOKUP($AC1562,GEADRESSEERDE!$A$2:$E$4,5,),"")</f>
        <v>BE</v>
      </c>
      <c r="AH1562" s="11" t="str">
        <f>IF(I1562&lt;&gt;"",VLOOKUP(AP1562,KvB!$A$2:$B$3,2,FALSE),"")</f>
        <v>BE101000</v>
      </c>
      <c r="AI1562" s="11" t="s">
        <v>55</v>
      </c>
      <c r="AJ1562" s="11"/>
      <c r="AK1562" s="11"/>
      <c r="AL1562" s="11"/>
      <c r="AM1562" s="11"/>
      <c r="AN1562" s="11"/>
      <c r="AO1562" s="11"/>
      <c r="AP1562" s="2" t="s">
        <v>70</v>
      </c>
      <c r="AQ1562" s="11" t="str">
        <f>IF(I1562&lt;&gt;"",DATA!D1561,"")</f>
        <v>8413608090</v>
      </c>
    </row>
    <row r="1563" spans="1:43" ht="15.75" x14ac:dyDescent="0.25">
      <c r="A1563" s="11" t="s">
        <v>57</v>
      </c>
      <c r="B1563" s="11" t="s">
        <v>56</v>
      </c>
      <c r="C1563" s="22">
        <f t="shared" si="102"/>
        <v>25001620</v>
      </c>
      <c r="D1563" s="11" t="str">
        <f t="shared" si="99"/>
        <v>SKIIFM_AT</v>
      </c>
      <c r="E1563" s="11" t="str">
        <f>IF(I1563&lt;&gt;"",VLOOKUP(F1563,OPDRACHTGEVER!$A$2:$B$4,2,FALSE),"")</f>
        <v>SKIIFM_AT</v>
      </c>
      <c r="F1563" s="11" t="s">
        <v>58</v>
      </c>
      <c r="I1563" s="11" t="str">
        <f>IF(DATA!B1562&lt;&gt;"",DATA!B1562,"")</f>
        <v>MSDU7786801</v>
      </c>
      <c r="J1563" s="12">
        <v>0</v>
      </c>
      <c r="K1563" s="11" t="s">
        <v>53</v>
      </c>
      <c r="L1563" s="11" t="str">
        <f t="shared" si="100"/>
        <v>670290</v>
      </c>
      <c r="M1563" s="11" t="str">
        <f>IF(I1563&lt;&gt;"",DATA!E1562,"")</f>
        <v>WEDDING ARCH FLOWERS</v>
      </c>
      <c r="N1563" s="12">
        <v>0</v>
      </c>
      <c r="O1563" s="11">
        <f>IF(I1563&lt;&gt;"",DATA!C1562,"")</f>
        <v>2.75</v>
      </c>
      <c r="P1563" s="2">
        <v>294094</v>
      </c>
      <c r="Q1563" s="2" t="s">
        <v>1304</v>
      </c>
      <c r="R1563" s="2" t="s">
        <v>1334</v>
      </c>
      <c r="S1563" s="2">
        <v>577</v>
      </c>
      <c r="T1563" s="2">
        <v>1</v>
      </c>
      <c r="U1563" s="2" t="s">
        <v>141</v>
      </c>
      <c r="Y1563" s="2">
        <v>1700</v>
      </c>
      <c r="Z1563" s="11" t="s">
        <v>54</v>
      </c>
      <c r="AA1563" s="11" t="str">
        <f t="shared" si="101"/>
        <v>1700 - TBN</v>
      </c>
      <c r="AC1563" s="2" t="s">
        <v>145</v>
      </c>
      <c r="AD1563" s="11" t="str">
        <f>IF($I1563&lt;&gt;"",VLOOKUP($AC1563,GEADRESSEERDE!$A$2:$E$4,2,),"")</f>
        <v>LUITHAGEN HAVEN 2 D</v>
      </c>
      <c r="AE1563" s="11">
        <f>IF($I1563&lt;&gt;"",VLOOKUP($AC1563,GEADRESSEERDE!$A$2:$E$4,3,),"")</f>
        <v>2030</v>
      </c>
      <c r="AF1563" s="11" t="str">
        <f>IF($I1563&lt;&gt;"",VLOOKUP($AC1563,GEADRESSEERDE!$A$2:$E$4,4,),"")</f>
        <v>ANTWERPEN</v>
      </c>
      <c r="AG1563" s="11" t="str">
        <f>IF($I1563&lt;&gt;"",VLOOKUP($AC1563,GEADRESSEERDE!$A$2:$E$4,5,),"")</f>
        <v>BE</v>
      </c>
      <c r="AH1563" s="11" t="str">
        <f>IF(I1563&lt;&gt;"",VLOOKUP(AP1563,KvB!$A$2:$B$3,2,FALSE),"")</f>
        <v>BE101000</v>
      </c>
      <c r="AI1563" s="11" t="s">
        <v>55</v>
      </c>
      <c r="AJ1563" s="11"/>
      <c r="AK1563" s="11"/>
      <c r="AL1563" s="11"/>
      <c r="AM1563" s="11"/>
      <c r="AN1563" s="11"/>
      <c r="AO1563" s="11"/>
      <c r="AP1563" s="2" t="s">
        <v>70</v>
      </c>
      <c r="AQ1563" s="11" t="str">
        <f>IF(I1563&lt;&gt;"",DATA!D1562,"")</f>
        <v>6702900000</v>
      </c>
    </row>
    <row r="1564" spans="1:43" ht="15.75" x14ac:dyDescent="0.25">
      <c r="A1564" s="11" t="s">
        <v>57</v>
      </c>
      <c r="B1564" s="11" t="s">
        <v>56</v>
      </c>
      <c r="C1564" s="22">
        <f t="shared" si="102"/>
        <v>25001620</v>
      </c>
      <c r="D1564" s="11" t="str">
        <f t="shared" si="99"/>
        <v>SKIIFM_AT</v>
      </c>
      <c r="E1564" s="11" t="str">
        <f>IF(I1564&lt;&gt;"",VLOOKUP(F1564,OPDRACHTGEVER!$A$2:$B$4,2,FALSE),"")</f>
        <v>SKIIFM_AT</v>
      </c>
      <c r="F1564" s="11" t="s">
        <v>58</v>
      </c>
      <c r="I1564" s="11" t="str">
        <f>IF(DATA!B1563&lt;&gt;"",DATA!B1563,"")</f>
        <v>MSDU7786801</v>
      </c>
      <c r="J1564" s="12">
        <v>0</v>
      </c>
      <c r="K1564" s="11" t="s">
        <v>53</v>
      </c>
      <c r="L1564" s="11" t="str">
        <f t="shared" si="100"/>
        <v>741920</v>
      </c>
      <c r="M1564" s="11" t="str">
        <f>IF(I1564&lt;&gt;"",DATA!E1563,"")</f>
        <v>WIND CHIME</v>
      </c>
      <c r="N1564" s="12">
        <v>0</v>
      </c>
      <c r="O1564" s="11">
        <f>IF(I1564&lt;&gt;"",DATA!C1563,"")</f>
        <v>142.4</v>
      </c>
      <c r="P1564" s="2">
        <v>294094</v>
      </c>
      <c r="Q1564" s="2" t="s">
        <v>1304</v>
      </c>
      <c r="R1564" s="2" t="s">
        <v>1334</v>
      </c>
      <c r="S1564" s="2">
        <v>577</v>
      </c>
      <c r="T1564" s="2">
        <v>1</v>
      </c>
      <c r="U1564" s="2" t="s">
        <v>141</v>
      </c>
      <c r="Y1564" s="2">
        <v>1700</v>
      </c>
      <c r="Z1564" s="11" t="s">
        <v>54</v>
      </c>
      <c r="AA1564" s="11" t="str">
        <f t="shared" si="101"/>
        <v>1700 - TBN</v>
      </c>
      <c r="AC1564" s="2" t="s">
        <v>145</v>
      </c>
      <c r="AD1564" s="11" t="str">
        <f>IF($I1564&lt;&gt;"",VLOOKUP($AC1564,GEADRESSEERDE!$A$2:$E$4,2,),"")</f>
        <v>LUITHAGEN HAVEN 2 D</v>
      </c>
      <c r="AE1564" s="11">
        <f>IF($I1564&lt;&gt;"",VLOOKUP($AC1564,GEADRESSEERDE!$A$2:$E$4,3,),"")</f>
        <v>2030</v>
      </c>
      <c r="AF1564" s="11" t="str">
        <f>IF($I1564&lt;&gt;"",VLOOKUP($AC1564,GEADRESSEERDE!$A$2:$E$4,4,),"")</f>
        <v>ANTWERPEN</v>
      </c>
      <c r="AG1564" s="11" t="str">
        <f>IF($I1564&lt;&gt;"",VLOOKUP($AC1564,GEADRESSEERDE!$A$2:$E$4,5,),"")</f>
        <v>BE</v>
      </c>
      <c r="AH1564" s="11" t="str">
        <f>IF(I1564&lt;&gt;"",VLOOKUP(AP1564,KvB!$A$2:$B$3,2,FALSE),"")</f>
        <v>BE101000</v>
      </c>
      <c r="AI1564" s="11" t="s">
        <v>55</v>
      </c>
      <c r="AJ1564" s="11"/>
      <c r="AK1564" s="11"/>
      <c r="AL1564" s="11"/>
      <c r="AM1564" s="11"/>
      <c r="AN1564" s="11"/>
      <c r="AO1564" s="11"/>
      <c r="AP1564" s="2" t="s">
        <v>70</v>
      </c>
      <c r="AQ1564" s="11" t="str">
        <f>IF(I1564&lt;&gt;"",DATA!D1563,"")</f>
        <v>7419200090</v>
      </c>
    </row>
    <row r="1565" spans="1:43" ht="15.75" x14ac:dyDescent="0.25">
      <c r="A1565" s="11" t="s">
        <v>57</v>
      </c>
      <c r="B1565" s="11" t="s">
        <v>56</v>
      </c>
      <c r="C1565" s="22">
        <f t="shared" si="102"/>
        <v>25001620</v>
      </c>
      <c r="D1565" s="11" t="str">
        <f t="shared" si="99"/>
        <v>SKIIFM_AT</v>
      </c>
      <c r="E1565" s="11" t="str">
        <f>IF(I1565&lt;&gt;"",VLOOKUP(F1565,OPDRACHTGEVER!$A$2:$B$4,2,FALSE),"")</f>
        <v>SKIIFM_AT</v>
      </c>
      <c r="F1565" s="11" t="s">
        <v>58</v>
      </c>
      <c r="I1565" s="11" t="str">
        <f>IF(DATA!B1564&lt;&gt;"",DATA!B1564,"")</f>
        <v>MSDU7786801</v>
      </c>
      <c r="J1565" s="12">
        <v>0</v>
      </c>
      <c r="K1565" s="11" t="s">
        <v>53</v>
      </c>
      <c r="L1565" s="11" t="str">
        <f t="shared" si="100"/>
        <v>392690</v>
      </c>
      <c r="M1565" s="11" t="str">
        <f>IF(I1565&lt;&gt;"",DATA!E1564,"")</f>
        <v>WITH INFLATABLE RING</v>
      </c>
      <c r="N1565" s="12">
        <v>0</v>
      </c>
      <c r="O1565" s="11">
        <f>IF(I1565&lt;&gt;"",DATA!C1564,"")</f>
        <v>99.2</v>
      </c>
      <c r="P1565" s="2">
        <v>294094</v>
      </c>
      <c r="Q1565" s="2" t="s">
        <v>1304</v>
      </c>
      <c r="R1565" s="2" t="s">
        <v>1334</v>
      </c>
      <c r="S1565" s="2">
        <v>577</v>
      </c>
      <c r="T1565" s="2">
        <v>1</v>
      </c>
      <c r="U1565" s="2" t="s">
        <v>141</v>
      </c>
      <c r="Y1565" s="2">
        <v>1700</v>
      </c>
      <c r="Z1565" s="11" t="s">
        <v>54</v>
      </c>
      <c r="AA1565" s="11" t="str">
        <f t="shared" si="101"/>
        <v>1700 - TBN</v>
      </c>
      <c r="AC1565" s="2" t="s">
        <v>145</v>
      </c>
      <c r="AD1565" s="11" t="str">
        <f>IF($I1565&lt;&gt;"",VLOOKUP($AC1565,GEADRESSEERDE!$A$2:$E$4,2,),"")</f>
        <v>LUITHAGEN HAVEN 2 D</v>
      </c>
      <c r="AE1565" s="11">
        <f>IF($I1565&lt;&gt;"",VLOOKUP($AC1565,GEADRESSEERDE!$A$2:$E$4,3,),"")</f>
        <v>2030</v>
      </c>
      <c r="AF1565" s="11" t="str">
        <f>IF($I1565&lt;&gt;"",VLOOKUP($AC1565,GEADRESSEERDE!$A$2:$E$4,4,),"")</f>
        <v>ANTWERPEN</v>
      </c>
      <c r="AG1565" s="11" t="str">
        <f>IF($I1565&lt;&gt;"",VLOOKUP($AC1565,GEADRESSEERDE!$A$2:$E$4,5,),"")</f>
        <v>BE</v>
      </c>
      <c r="AH1565" s="11" t="str">
        <f>IF(I1565&lt;&gt;"",VLOOKUP(AP1565,KvB!$A$2:$B$3,2,FALSE),"")</f>
        <v>BE101000</v>
      </c>
      <c r="AI1565" s="11" t="s">
        <v>55</v>
      </c>
      <c r="AJ1565" s="11"/>
      <c r="AK1565" s="11"/>
      <c r="AL1565" s="11"/>
      <c r="AM1565" s="11"/>
      <c r="AN1565" s="11"/>
      <c r="AO1565" s="11"/>
      <c r="AP1565" s="2" t="s">
        <v>70</v>
      </c>
      <c r="AQ1565" s="11" t="str">
        <f>IF(I1565&lt;&gt;"",DATA!D1564,"")</f>
        <v>3926909790</v>
      </c>
    </row>
    <row r="1566" spans="1:43" ht="15.75" x14ac:dyDescent="0.25">
      <c r="A1566" s="11" t="s">
        <v>57</v>
      </c>
      <c r="B1566" s="11" t="s">
        <v>56</v>
      </c>
      <c r="C1566" s="22">
        <f t="shared" si="102"/>
        <v>25001620</v>
      </c>
      <c r="D1566" s="11" t="str">
        <f t="shared" si="99"/>
        <v>SKIIFM_AT</v>
      </c>
      <c r="E1566" s="11" t="str">
        <f>IF(I1566&lt;&gt;"",VLOOKUP(F1566,OPDRACHTGEVER!$A$2:$B$4,2,FALSE),"")</f>
        <v>SKIIFM_AT</v>
      </c>
      <c r="F1566" s="11" t="s">
        <v>58</v>
      </c>
      <c r="I1566" s="11" t="str">
        <f>IF(DATA!B1565&lt;&gt;"",DATA!B1565,"")</f>
        <v>MSDU8567372</v>
      </c>
      <c r="J1566" s="12">
        <v>1235</v>
      </c>
      <c r="K1566" s="11" t="s">
        <v>53</v>
      </c>
      <c r="L1566" s="11" t="str">
        <f t="shared" si="100"/>
        <v>950490</v>
      </c>
      <c r="M1566" s="11" t="str">
        <f>IF(I1566&lt;&gt;"",DATA!E1565,"")</f>
        <v>AIR HOCKEY TABLE</v>
      </c>
      <c r="N1566" s="12">
        <v>11237</v>
      </c>
      <c r="O1566" s="11">
        <f>IF(I1566&lt;&gt;"",DATA!C1565,"")</f>
        <v>1301.5</v>
      </c>
      <c r="P1566" s="2">
        <v>294094</v>
      </c>
      <c r="Q1566" s="2" t="s">
        <v>1304</v>
      </c>
      <c r="R1566" s="2" t="s">
        <v>1335</v>
      </c>
      <c r="S1566" s="2">
        <v>573</v>
      </c>
      <c r="T1566" s="2">
        <v>1</v>
      </c>
      <c r="U1566" s="2" t="s">
        <v>141</v>
      </c>
      <c r="Y1566" s="2">
        <v>1700</v>
      </c>
      <c r="Z1566" s="11" t="s">
        <v>54</v>
      </c>
      <c r="AA1566" s="11" t="str">
        <f t="shared" si="101"/>
        <v>1700 - TBN</v>
      </c>
      <c r="AC1566" s="2" t="s">
        <v>145</v>
      </c>
      <c r="AD1566" s="11" t="str">
        <f>IF($I1566&lt;&gt;"",VLOOKUP($AC1566,GEADRESSEERDE!$A$2:$E$4,2,),"")</f>
        <v>LUITHAGEN HAVEN 2 D</v>
      </c>
      <c r="AE1566" s="11">
        <f>IF($I1566&lt;&gt;"",VLOOKUP($AC1566,GEADRESSEERDE!$A$2:$E$4,3,),"")</f>
        <v>2030</v>
      </c>
      <c r="AF1566" s="11" t="str">
        <f>IF($I1566&lt;&gt;"",VLOOKUP($AC1566,GEADRESSEERDE!$A$2:$E$4,4,),"")</f>
        <v>ANTWERPEN</v>
      </c>
      <c r="AG1566" s="11" t="str">
        <f>IF($I1566&lt;&gt;"",VLOOKUP($AC1566,GEADRESSEERDE!$A$2:$E$4,5,),"")</f>
        <v>BE</v>
      </c>
      <c r="AH1566" s="11" t="str">
        <f>IF(I1566&lt;&gt;"",VLOOKUP(AP1566,KvB!$A$2:$B$3,2,FALSE),"")</f>
        <v>BE101000</v>
      </c>
      <c r="AI1566" s="11" t="s">
        <v>55</v>
      </c>
      <c r="AJ1566" s="11"/>
      <c r="AK1566" s="11"/>
      <c r="AL1566" s="11"/>
      <c r="AM1566" s="11"/>
      <c r="AN1566" s="11"/>
      <c r="AO1566" s="11"/>
      <c r="AP1566" s="2" t="s">
        <v>70</v>
      </c>
      <c r="AQ1566" s="11" t="str">
        <f>IF(I1566&lt;&gt;"",DATA!D1565,"")</f>
        <v>9504908000</v>
      </c>
    </row>
    <row r="1567" spans="1:43" ht="15.75" x14ac:dyDescent="0.25">
      <c r="A1567" s="11" t="s">
        <v>57</v>
      </c>
      <c r="B1567" s="11" t="s">
        <v>56</v>
      </c>
      <c r="C1567" s="22">
        <f t="shared" si="102"/>
        <v>25001620</v>
      </c>
      <c r="D1567" s="11" t="str">
        <f t="shared" si="99"/>
        <v>SKIIFM_AT</v>
      </c>
      <c r="E1567" s="11" t="str">
        <f>IF(I1567&lt;&gt;"",VLOOKUP(F1567,OPDRACHTGEVER!$A$2:$B$4,2,FALSE),"")</f>
        <v>SKIIFM_AT</v>
      </c>
      <c r="F1567" s="11" t="s">
        <v>58</v>
      </c>
      <c r="I1567" s="11" t="str">
        <f>IF(DATA!B1566&lt;&gt;"",DATA!B1566,"")</f>
        <v>MSDU8567372</v>
      </c>
      <c r="J1567" s="12">
        <v>0</v>
      </c>
      <c r="K1567" s="11" t="s">
        <v>53</v>
      </c>
      <c r="L1567" s="11" t="str">
        <f t="shared" si="100"/>
        <v>420212</v>
      </c>
      <c r="M1567" s="11" t="str">
        <f>IF(I1567&lt;&gt;"",DATA!E1566,"")</f>
        <v>COSMETIC BAG</v>
      </c>
      <c r="N1567" s="12">
        <v>0</v>
      </c>
      <c r="O1567" s="11">
        <f>IF(I1567&lt;&gt;"",DATA!C1566,"")</f>
        <v>90</v>
      </c>
      <c r="P1567" s="2">
        <v>294094</v>
      </c>
      <c r="Q1567" s="2" t="s">
        <v>1304</v>
      </c>
      <c r="R1567" s="2" t="s">
        <v>1335</v>
      </c>
      <c r="S1567" s="2">
        <v>573</v>
      </c>
      <c r="T1567" s="2">
        <v>1</v>
      </c>
      <c r="U1567" s="2" t="s">
        <v>141</v>
      </c>
      <c r="Y1567" s="2">
        <v>1700</v>
      </c>
      <c r="Z1567" s="11" t="s">
        <v>54</v>
      </c>
      <c r="AA1567" s="11" t="str">
        <f t="shared" si="101"/>
        <v>1700 - TBN</v>
      </c>
      <c r="AC1567" s="2" t="s">
        <v>145</v>
      </c>
      <c r="AD1567" s="11" t="str">
        <f>IF($I1567&lt;&gt;"",VLOOKUP($AC1567,GEADRESSEERDE!$A$2:$E$4,2,),"")</f>
        <v>LUITHAGEN HAVEN 2 D</v>
      </c>
      <c r="AE1567" s="11">
        <f>IF($I1567&lt;&gt;"",VLOOKUP($AC1567,GEADRESSEERDE!$A$2:$E$4,3,),"")</f>
        <v>2030</v>
      </c>
      <c r="AF1567" s="11" t="str">
        <f>IF($I1567&lt;&gt;"",VLOOKUP($AC1567,GEADRESSEERDE!$A$2:$E$4,4,),"")</f>
        <v>ANTWERPEN</v>
      </c>
      <c r="AG1567" s="11" t="str">
        <f>IF($I1567&lt;&gt;"",VLOOKUP($AC1567,GEADRESSEERDE!$A$2:$E$4,5,),"")</f>
        <v>BE</v>
      </c>
      <c r="AH1567" s="11" t="str">
        <f>IF(I1567&lt;&gt;"",VLOOKUP(AP1567,KvB!$A$2:$B$3,2,FALSE),"")</f>
        <v>BE101000</v>
      </c>
      <c r="AI1567" s="11" t="s">
        <v>55</v>
      </c>
      <c r="AJ1567" s="11"/>
      <c r="AK1567" s="11"/>
      <c r="AL1567" s="11"/>
      <c r="AM1567" s="11"/>
      <c r="AN1567" s="11"/>
      <c r="AO1567" s="11"/>
      <c r="AP1567" s="2" t="s">
        <v>70</v>
      </c>
      <c r="AQ1567" s="11" t="str">
        <f>IF(I1567&lt;&gt;"",DATA!D1566,"")</f>
        <v>4202129990</v>
      </c>
    </row>
    <row r="1568" spans="1:43" ht="15.75" x14ac:dyDescent="0.25">
      <c r="A1568" s="11" t="s">
        <v>57</v>
      </c>
      <c r="B1568" s="11" t="s">
        <v>56</v>
      </c>
      <c r="C1568" s="22">
        <f t="shared" si="102"/>
        <v>25001620</v>
      </c>
      <c r="D1568" s="11" t="str">
        <f t="shared" si="99"/>
        <v>SKIIFM_AT</v>
      </c>
      <c r="E1568" s="11" t="str">
        <f>IF(I1568&lt;&gt;"",VLOOKUP(F1568,OPDRACHTGEVER!$A$2:$B$4,2,FALSE),"")</f>
        <v>SKIIFM_AT</v>
      </c>
      <c r="F1568" s="11" t="s">
        <v>58</v>
      </c>
      <c r="I1568" s="11" t="str">
        <f>IF(DATA!B1567&lt;&gt;"",DATA!B1567,"")</f>
        <v>MSDU8567372</v>
      </c>
      <c r="J1568" s="12">
        <v>0</v>
      </c>
      <c r="K1568" s="11" t="s">
        <v>53</v>
      </c>
      <c r="L1568" s="11" t="str">
        <f t="shared" si="100"/>
        <v>843880</v>
      </c>
      <c r="M1568" s="11" t="str">
        <f>IF(I1568&lt;&gt;"",DATA!E1567,"")</f>
        <v>COTTON CANDY MACHINE</v>
      </c>
      <c r="N1568" s="12">
        <v>0</v>
      </c>
      <c r="O1568" s="11">
        <f>IF(I1568&lt;&gt;"",DATA!C1567,"")</f>
        <v>19.600000000000001</v>
      </c>
      <c r="P1568" s="2">
        <v>294094</v>
      </c>
      <c r="Q1568" s="2" t="s">
        <v>1304</v>
      </c>
      <c r="R1568" s="2" t="s">
        <v>1335</v>
      </c>
      <c r="S1568" s="2">
        <v>573</v>
      </c>
      <c r="T1568" s="2">
        <v>1</v>
      </c>
      <c r="U1568" s="2" t="s">
        <v>141</v>
      </c>
      <c r="Y1568" s="2">
        <v>1700</v>
      </c>
      <c r="Z1568" s="11" t="s">
        <v>54</v>
      </c>
      <c r="AA1568" s="11" t="str">
        <f t="shared" si="101"/>
        <v>1700 - TBN</v>
      </c>
      <c r="AC1568" s="2" t="s">
        <v>145</v>
      </c>
      <c r="AD1568" s="11" t="str">
        <f>IF($I1568&lt;&gt;"",VLOOKUP($AC1568,GEADRESSEERDE!$A$2:$E$4,2,),"")</f>
        <v>LUITHAGEN HAVEN 2 D</v>
      </c>
      <c r="AE1568" s="11">
        <f>IF($I1568&lt;&gt;"",VLOOKUP($AC1568,GEADRESSEERDE!$A$2:$E$4,3,),"")</f>
        <v>2030</v>
      </c>
      <c r="AF1568" s="11" t="str">
        <f>IF($I1568&lt;&gt;"",VLOOKUP($AC1568,GEADRESSEERDE!$A$2:$E$4,4,),"")</f>
        <v>ANTWERPEN</v>
      </c>
      <c r="AG1568" s="11" t="str">
        <f>IF($I1568&lt;&gt;"",VLOOKUP($AC1568,GEADRESSEERDE!$A$2:$E$4,5,),"")</f>
        <v>BE</v>
      </c>
      <c r="AH1568" s="11" t="str">
        <f>IF(I1568&lt;&gt;"",VLOOKUP(AP1568,KvB!$A$2:$B$3,2,FALSE),"")</f>
        <v>BE101000</v>
      </c>
      <c r="AI1568" s="11" t="s">
        <v>55</v>
      </c>
      <c r="AJ1568" s="11"/>
      <c r="AK1568" s="11"/>
      <c r="AL1568" s="11"/>
      <c r="AM1568" s="11"/>
      <c r="AN1568" s="11"/>
      <c r="AO1568" s="11"/>
      <c r="AP1568" s="2" t="s">
        <v>70</v>
      </c>
      <c r="AQ1568" s="11" t="str">
        <f>IF(I1568&lt;&gt;"",DATA!D1567,"")</f>
        <v>8438809900</v>
      </c>
    </row>
    <row r="1569" spans="1:43" ht="15.75" x14ac:dyDescent="0.25">
      <c r="A1569" s="11" t="s">
        <v>57</v>
      </c>
      <c r="B1569" s="11" t="s">
        <v>56</v>
      </c>
      <c r="C1569" s="22">
        <f t="shared" si="102"/>
        <v>25001620</v>
      </c>
      <c r="D1569" s="11" t="str">
        <f t="shared" si="99"/>
        <v>SKIIFM_AT</v>
      </c>
      <c r="E1569" s="11" t="str">
        <f>IF(I1569&lt;&gt;"",VLOOKUP(F1569,OPDRACHTGEVER!$A$2:$B$4,2,FALSE),"")</f>
        <v>SKIIFM_AT</v>
      </c>
      <c r="F1569" s="11" t="s">
        <v>58</v>
      </c>
      <c r="I1569" s="11" t="str">
        <f>IF(DATA!B1568&lt;&gt;"",DATA!B1568,"")</f>
        <v>MSDU8567372</v>
      </c>
      <c r="J1569" s="12">
        <v>0</v>
      </c>
      <c r="K1569" s="11" t="s">
        <v>53</v>
      </c>
      <c r="L1569" s="11" t="str">
        <f t="shared" si="100"/>
        <v>820590</v>
      </c>
      <c r="M1569" s="11" t="str">
        <f>IF(I1569&lt;&gt;"",DATA!E1568,"")</f>
        <v>DENT REPAIR KIT</v>
      </c>
      <c r="N1569" s="12">
        <v>0</v>
      </c>
      <c r="O1569" s="11">
        <f>IF(I1569&lt;&gt;"",DATA!C1568,"")</f>
        <v>118.8</v>
      </c>
      <c r="P1569" s="2">
        <v>294094</v>
      </c>
      <c r="Q1569" s="2" t="s">
        <v>1304</v>
      </c>
      <c r="R1569" s="2" t="s">
        <v>1335</v>
      </c>
      <c r="S1569" s="2">
        <v>573</v>
      </c>
      <c r="T1569" s="2">
        <v>1</v>
      </c>
      <c r="U1569" s="2" t="s">
        <v>141</v>
      </c>
      <c r="Y1569" s="2">
        <v>1700</v>
      </c>
      <c r="Z1569" s="11" t="s">
        <v>54</v>
      </c>
      <c r="AA1569" s="11" t="str">
        <f t="shared" si="101"/>
        <v>1700 - TBN</v>
      </c>
      <c r="AC1569" s="2" t="s">
        <v>145</v>
      </c>
      <c r="AD1569" s="11" t="str">
        <f>IF($I1569&lt;&gt;"",VLOOKUP($AC1569,GEADRESSEERDE!$A$2:$E$4,2,),"")</f>
        <v>LUITHAGEN HAVEN 2 D</v>
      </c>
      <c r="AE1569" s="11">
        <f>IF($I1569&lt;&gt;"",VLOOKUP($AC1569,GEADRESSEERDE!$A$2:$E$4,3,),"")</f>
        <v>2030</v>
      </c>
      <c r="AF1569" s="11" t="str">
        <f>IF($I1569&lt;&gt;"",VLOOKUP($AC1569,GEADRESSEERDE!$A$2:$E$4,4,),"")</f>
        <v>ANTWERPEN</v>
      </c>
      <c r="AG1569" s="11" t="str">
        <f>IF($I1569&lt;&gt;"",VLOOKUP($AC1569,GEADRESSEERDE!$A$2:$E$4,5,),"")</f>
        <v>BE</v>
      </c>
      <c r="AH1569" s="11" t="str">
        <f>IF(I1569&lt;&gt;"",VLOOKUP(AP1569,KvB!$A$2:$B$3,2,FALSE),"")</f>
        <v>BE101000</v>
      </c>
      <c r="AI1569" s="11" t="s">
        <v>55</v>
      </c>
      <c r="AJ1569" s="11"/>
      <c r="AK1569" s="11"/>
      <c r="AL1569" s="11"/>
      <c r="AM1569" s="11"/>
      <c r="AN1569" s="11"/>
      <c r="AO1569" s="11"/>
      <c r="AP1569" s="2" t="s">
        <v>70</v>
      </c>
      <c r="AQ1569" s="11" t="str">
        <f>IF(I1569&lt;&gt;"",DATA!D1568,"")</f>
        <v>8205901000</v>
      </c>
    </row>
    <row r="1570" spans="1:43" ht="15.75" x14ac:dyDescent="0.25">
      <c r="A1570" s="11" t="s">
        <v>57</v>
      </c>
      <c r="B1570" s="11" t="s">
        <v>56</v>
      </c>
      <c r="C1570" s="22">
        <f t="shared" si="102"/>
        <v>25001620</v>
      </c>
      <c r="D1570" s="11" t="str">
        <f t="shared" si="99"/>
        <v>SKIIFM_AT</v>
      </c>
      <c r="E1570" s="11" t="str">
        <f>IF(I1570&lt;&gt;"",VLOOKUP(F1570,OPDRACHTGEVER!$A$2:$B$4,2,FALSE),"")</f>
        <v>SKIIFM_AT</v>
      </c>
      <c r="F1570" s="11" t="s">
        <v>58</v>
      </c>
      <c r="I1570" s="11" t="str">
        <f>IF(DATA!B1569&lt;&gt;"",DATA!B1569,"")</f>
        <v>MSDU8567372</v>
      </c>
      <c r="J1570" s="12">
        <v>0</v>
      </c>
      <c r="K1570" s="11" t="s">
        <v>53</v>
      </c>
      <c r="L1570" s="11" t="str">
        <f t="shared" si="100"/>
        <v>741920</v>
      </c>
      <c r="M1570" s="11" t="str">
        <f>IF(I1570&lt;&gt;"",DATA!E1569,"")</f>
        <v>DINING STOVE</v>
      </c>
      <c r="N1570" s="12">
        <v>0</v>
      </c>
      <c r="O1570" s="11">
        <f>IF(I1570&lt;&gt;"",DATA!C1569,"")</f>
        <v>213.18</v>
      </c>
      <c r="P1570" s="2">
        <v>294094</v>
      </c>
      <c r="Q1570" s="2" t="s">
        <v>1304</v>
      </c>
      <c r="R1570" s="2" t="s">
        <v>1335</v>
      </c>
      <c r="S1570" s="2">
        <v>573</v>
      </c>
      <c r="T1570" s="2">
        <v>1</v>
      </c>
      <c r="U1570" s="2" t="s">
        <v>141</v>
      </c>
      <c r="Y1570" s="2">
        <v>1700</v>
      </c>
      <c r="Z1570" s="11" t="s">
        <v>54</v>
      </c>
      <c r="AA1570" s="11" t="str">
        <f t="shared" si="101"/>
        <v>1700 - TBN</v>
      </c>
      <c r="AC1570" s="2" t="s">
        <v>145</v>
      </c>
      <c r="AD1570" s="11" t="str">
        <f>IF($I1570&lt;&gt;"",VLOOKUP($AC1570,GEADRESSEERDE!$A$2:$E$4,2,),"")</f>
        <v>LUITHAGEN HAVEN 2 D</v>
      </c>
      <c r="AE1570" s="11">
        <f>IF($I1570&lt;&gt;"",VLOOKUP($AC1570,GEADRESSEERDE!$A$2:$E$4,3,),"")</f>
        <v>2030</v>
      </c>
      <c r="AF1570" s="11" t="str">
        <f>IF($I1570&lt;&gt;"",VLOOKUP($AC1570,GEADRESSEERDE!$A$2:$E$4,4,),"")</f>
        <v>ANTWERPEN</v>
      </c>
      <c r="AG1570" s="11" t="str">
        <f>IF($I1570&lt;&gt;"",VLOOKUP($AC1570,GEADRESSEERDE!$A$2:$E$4,5,),"")</f>
        <v>BE</v>
      </c>
      <c r="AH1570" s="11" t="str">
        <f>IF(I1570&lt;&gt;"",VLOOKUP(AP1570,KvB!$A$2:$B$3,2,FALSE),"")</f>
        <v>BE101000</v>
      </c>
      <c r="AI1570" s="11" t="s">
        <v>55</v>
      </c>
      <c r="AJ1570" s="11"/>
      <c r="AK1570" s="11"/>
      <c r="AL1570" s="11"/>
      <c r="AM1570" s="11"/>
      <c r="AN1570" s="11"/>
      <c r="AO1570" s="11"/>
      <c r="AP1570" s="2" t="s">
        <v>70</v>
      </c>
      <c r="AQ1570" s="11" t="str">
        <f>IF(I1570&lt;&gt;"",DATA!D1569,"")</f>
        <v>7419200090</v>
      </c>
    </row>
    <row r="1571" spans="1:43" ht="15.75" x14ac:dyDescent="0.25">
      <c r="A1571" s="11" t="s">
        <v>57</v>
      </c>
      <c r="B1571" s="11" t="s">
        <v>56</v>
      </c>
      <c r="C1571" s="22">
        <f t="shared" si="102"/>
        <v>25001620</v>
      </c>
      <c r="D1571" s="11" t="str">
        <f t="shared" si="99"/>
        <v>SKIIFM_AT</v>
      </c>
      <c r="E1571" s="11" t="str">
        <f>IF(I1571&lt;&gt;"",VLOOKUP(F1571,OPDRACHTGEVER!$A$2:$B$4,2,FALSE),"")</f>
        <v>SKIIFM_AT</v>
      </c>
      <c r="F1571" s="11" t="s">
        <v>58</v>
      </c>
      <c r="I1571" s="11" t="str">
        <f>IF(DATA!B1570&lt;&gt;"",DATA!B1570,"")</f>
        <v>MSDU8567372</v>
      </c>
      <c r="J1571" s="12">
        <v>0</v>
      </c>
      <c r="K1571" s="11" t="s">
        <v>53</v>
      </c>
      <c r="L1571" s="11" t="str">
        <f t="shared" si="100"/>
        <v>741920</v>
      </c>
      <c r="M1571" s="11" t="str">
        <f>IF(I1571&lt;&gt;"",DATA!E1570,"")</f>
        <v>DINNER PLATE</v>
      </c>
      <c r="N1571" s="12">
        <v>0</v>
      </c>
      <c r="O1571" s="11">
        <f>IF(I1571&lt;&gt;"",DATA!C1570,"")</f>
        <v>159.05000000000001</v>
      </c>
      <c r="P1571" s="2">
        <v>294094</v>
      </c>
      <c r="Q1571" s="2" t="s">
        <v>1304</v>
      </c>
      <c r="R1571" s="2" t="s">
        <v>1335</v>
      </c>
      <c r="S1571" s="2">
        <v>573</v>
      </c>
      <c r="T1571" s="2">
        <v>1</v>
      </c>
      <c r="U1571" s="2" t="s">
        <v>141</v>
      </c>
      <c r="Y1571" s="2">
        <v>1700</v>
      </c>
      <c r="Z1571" s="11" t="s">
        <v>54</v>
      </c>
      <c r="AA1571" s="11" t="str">
        <f t="shared" si="101"/>
        <v>1700 - TBN</v>
      </c>
      <c r="AC1571" s="2" t="s">
        <v>145</v>
      </c>
      <c r="AD1571" s="11" t="str">
        <f>IF($I1571&lt;&gt;"",VLOOKUP($AC1571,GEADRESSEERDE!$A$2:$E$4,2,),"")</f>
        <v>LUITHAGEN HAVEN 2 D</v>
      </c>
      <c r="AE1571" s="11">
        <f>IF($I1571&lt;&gt;"",VLOOKUP($AC1571,GEADRESSEERDE!$A$2:$E$4,3,),"")</f>
        <v>2030</v>
      </c>
      <c r="AF1571" s="11" t="str">
        <f>IF($I1571&lt;&gt;"",VLOOKUP($AC1571,GEADRESSEERDE!$A$2:$E$4,4,),"")</f>
        <v>ANTWERPEN</v>
      </c>
      <c r="AG1571" s="11" t="str">
        <f>IF($I1571&lt;&gt;"",VLOOKUP($AC1571,GEADRESSEERDE!$A$2:$E$4,5,),"")</f>
        <v>BE</v>
      </c>
      <c r="AH1571" s="11" t="str">
        <f>IF(I1571&lt;&gt;"",VLOOKUP(AP1571,KvB!$A$2:$B$3,2,FALSE),"")</f>
        <v>BE101000</v>
      </c>
      <c r="AI1571" s="11" t="s">
        <v>55</v>
      </c>
      <c r="AJ1571" s="11"/>
      <c r="AK1571" s="11"/>
      <c r="AL1571" s="11"/>
      <c r="AM1571" s="11"/>
      <c r="AN1571" s="11"/>
      <c r="AO1571" s="11"/>
      <c r="AP1571" s="2" t="s">
        <v>70</v>
      </c>
      <c r="AQ1571" s="11" t="str">
        <f>IF(I1571&lt;&gt;"",DATA!D1570,"")</f>
        <v>7419200090</v>
      </c>
    </row>
    <row r="1572" spans="1:43" ht="15.75" x14ac:dyDescent="0.25">
      <c r="A1572" s="11" t="s">
        <v>57</v>
      </c>
      <c r="B1572" s="11" t="s">
        <v>56</v>
      </c>
      <c r="C1572" s="22">
        <f t="shared" si="102"/>
        <v>25001620</v>
      </c>
      <c r="D1572" s="11" t="str">
        <f t="shared" si="99"/>
        <v>SKIIFM_AT</v>
      </c>
      <c r="E1572" s="11" t="str">
        <f>IF(I1572&lt;&gt;"",VLOOKUP(F1572,OPDRACHTGEVER!$A$2:$B$4,2,FALSE),"")</f>
        <v>SKIIFM_AT</v>
      </c>
      <c r="F1572" s="11" t="s">
        <v>58</v>
      </c>
      <c r="I1572" s="11" t="str">
        <f>IF(DATA!B1571&lt;&gt;"",DATA!B1571,"")</f>
        <v>MSDU8567372</v>
      </c>
      <c r="J1572" s="12">
        <v>0</v>
      </c>
      <c r="K1572" s="11" t="s">
        <v>53</v>
      </c>
      <c r="L1572" s="11" t="str">
        <f t="shared" si="100"/>
        <v>847989</v>
      </c>
      <c r="M1572" s="11" t="str">
        <f>IF(I1572&lt;&gt;"",DATA!E1571,"")</f>
        <v>DOOR OPENER</v>
      </c>
      <c r="N1572" s="12">
        <v>0</v>
      </c>
      <c r="O1572" s="11">
        <f>IF(I1572&lt;&gt;"",DATA!C1571,"")</f>
        <v>235.2</v>
      </c>
      <c r="P1572" s="2">
        <v>294094</v>
      </c>
      <c r="Q1572" s="2" t="s">
        <v>1304</v>
      </c>
      <c r="R1572" s="2" t="s">
        <v>1335</v>
      </c>
      <c r="S1572" s="2">
        <v>573</v>
      </c>
      <c r="T1572" s="2">
        <v>1</v>
      </c>
      <c r="U1572" s="2" t="s">
        <v>141</v>
      </c>
      <c r="Y1572" s="2">
        <v>1700</v>
      </c>
      <c r="Z1572" s="11" t="s">
        <v>54</v>
      </c>
      <c r="AA1572" s="11" t="str">
        <f t="shared" si="101"/>
        <v>1700 - TBN</v>
      </c>
      <c r="AC1572" s="2" t="s">
        <v>145</v>
      </c>
      <c r="AD1572" s="11" t="str">
        <f>IF($I1572&lt;&gt;"",VLOOKUP($AC1572,GEADRESSEERDE!$A$2:$E$4,2,),"")</f>
        <v>LUITHAGEN HAVEN 2 D</v>
      </c>
      <c r="AE1572" s="11">
        <f>IF($I1572&lt;&gt;"",VLOOKUP($AC1572,GEADRESSEERDE!$A$2:$E$4,3,),"")</f>
        <v>2030</v>
      </c>
      <c r="AF1572" s="11" t="str">
        <f>IF($I1572&lt;&gt;"",VLOOKUP($AC1572,GEADRESSEERDE!$A$2:$E$4,4,),"")</f>
        <v>ANTWERPEN</v>
      </c>
      <c r="AG1572" s="11" t="str">
        <f>IF($I1572&lt;&gt;"",VLOOKUP($AC1572,GEADRESSEERDE!$A$2:$E$4,5,),"")</f>
        <v>BE</v>
      </c>
      <c r="AH1572" s="11" t="str">
        <f>IF(I1572&lt;&gt;"",VLOOKUP(AP1572,KvB!$A$2:$B$3,2,FALSE),"")</f>
        <v>BE101000</v>
      </c>
      <c r="AI1572" s="11" t="s">
        <v>55</v>
      </c>
      <c r="AJ1572" s="11"/>
      <c r="AK1572" s="11"/>
      <c r="AL1572" s="11"/>
      <c r="AM1572" s="11"/>
      <c r="AN1572" s="11"/>
      <c r="AO1572" s="11"/>
      <c r="AP1572" s="2" t="s">
        <v>70</v>
      </c>
      <c r="AQ1572" s="11" t="str">
        <f>IF(I1572&lt;&gt;"",DATA!D1571,"")</f>
        <v>8479899790</v>
      </c>
    </row>
    <row r="1573" spans="1:43" ht="15.75" x14ac:dyDescent="0.25">
      <c r="A1573" s="11" t="s">
        <v>57</v>
      </c>
      <c r="B1573" s="11" t="s">
        <v>56</v>
      </c>
      <c r="C1573" s="22">
        <f t="shared" si="102"/>
        <v>25001620</v>
      </c>
      <c r="D1573" s="11" t="str">
        <f t="shared" si="99"/>
        <v>SKIIFM_AT</v>
      </c>
      <c r="E1573" s="11" t="str">
        <f>IF(I1573&lt;&gt;"",VLOOKUP(F1573,OPDRACHTGEVER!$A$2:$B$4,2,FALSE),"")</f>
        <v>SKIIFM_AT</v>
      </c>
      <c r="F1573" s="11" t="s">
        <v>58</v>
      </c>
      <c r="I1573" s="11" t="str">
        <f>IF(DATA!B1572&lt;&gt;"",DATA!B1572,"")</f>
        <v>MSDU8567372</v>
      </c>
      <c r="J1573" s="12">
        <v>0</v>
      </c>
      <c r="K1573" s="11" t="s">
        <v>53</v>
      </c>
      <c r="L1573" s="11" t="str">
        <f t="shared" si="100"/>
        <v>851660</v>
      </c>
      <c r="M1573" s="11" t="str">
        <f>IF(I1573&lt;&gt;"",DATA!E1572,"")</f>
        <v>ELECTRIC GRIDDLE STOVE</v>
      </c>
      <c r="N1573" s="12">
        <v>0</v>
      </c>
      <c r="O1573" s="11">
        <f>IF(I1573&lt;&gt;"",DATA!C1572,"")</f>
        <v>632.29999999999995</v>
      </c>
      <c r="P1573" s="2">
        <v>294094</v>
      </c>
      <c r="Q1573" s="2" t="s">
        <v>1304</v>
      </c>
      <c r="R1573" s="2" t="s">
        <v>1335</v>
      </c>
      <c r="S1573" s="2">
        <v>573</v>
      </c>
      <c r="T1573" s="2">
        <v>1</v>
      </c>
      <c r="U1573" s="2" t="s">
        <v>141</v>
      </c>
      <c r="Y1573" s="2">
        <v>1700</v>
      </c>
      <c r="Z1573" s="11" t="s">
        <v>54</v>
      </c>
      <c r="AA1573" s="11" t="str">
        <f t="shared" si="101"/>
        <v>1700 - TBN</v>
      </c>
      <c r="AC1573" s="2" t="s">
        <v>145</v>
      </c>
      <c r="AD1573" s="11" t="str">
        <f>IF($I1573&lt;&gt;"",VLOOKUP($AC1573,GEADRESSEERDE!$A$2:$E$4,2,),"")</f>
        <v>LUITHAGEN HAVEN 2 D</v>
      </c>
      <c r="AE1573" s="11">
        <f>IF($I1573&lt;&gt;"",VLOOKUP($AC1573,GEADRESSEERDE!$A$2:$E$4,3,),"")</f>
        <v>2030</v>
      </c>
      <c r="AF1573" s="11" t="str">
        <f>IF($I1573&lt;&gt;"",VLOOKUP($AC1573,GEADRESSEERDE!$A$2:$E$4,4,),"")</f>
        <v>ANTWERPEN</v>
      </c>
      <c r="AG1573" s="11" t="str">
        <f>IF($I1573&lt;&gt;"",VLOOKUP($AC1573,GEADRESSEERDE!$A$2:$E$4,5,),"")</f>
        <v>BE</v>
      </c>
      <c r="AH1573" s="11" t="str">
        <f>IF(I1573&lt;&gt;"",VLOOKUP(AP1573,KvB!$A$2:$B$3,2,FALSE),"")</f>
        <v>BE101000</v>
      </c>
      <c r="AI1573" s="11" t="s">
        <v>55</v>
      </c>
      <c r="AJ1573" s="11"/>
      <c r="AK1573" s="11"/>
      <c r="AL1573" s="11"/>
      <c r="AM1573" s="11"/>
      <c r="AN1573" s="11"/>
      <c r="AO1573" s="11"/>
      <c r="AP1573" s="2" t="s">
        <v>70</v>
      </c>
      <c r="AQ1573" s="11" t="str">
        <f>IF(I1573&lt;&gt;"",DATA!D1572,"")</f>
        <v>8516609000</v>
      </c>
    </row>
    <row r="1574" spans="1:43" ht="15.75" x14ac:dyDescent="0.25">
      <c r="A1574" s="11" t="s">
        <v>57</v>
      </c>
      <c r="B1574" s="11" t="s">
        <v>56</v>
      </c>
      <c r="C1574" s="22">
        <f t="shared" si="102"/>
        <v>25001620</v>
      </c>
      <c r="D1574" s="11" t="str">
        <f t="shared" si="99"/>
        <v>SKIIFM_AT</v>
      </c>
      <c r="E1574" s="11" t="str">
        <f>IF(I1574&lt;&gt;"",VLOOKUP(F1574,OPDRACHTGEVER!$A$2:$B$4,2,FALSE),"")</f>
        <v>SKIIFM_AT</v>
      </c>
      <c r="F1574" s="11" t="s">
        <v>58</v>
      </c>
      <c r="I1574" s="11" t="str">
        <f>IF(DATA!B1573&lt;&gt;"",DATA!B1573,"")</f>
        <v>MSDU8567372</v>
      </c>
      <c r="J1574" s="12">
        <v>0</v>
      </c>
      <c r="K1574" s="11" t="s">
        <v>53</v>
      </c>
      <c r="L1574" s="11" t="str">
        <f t="shared" si="100"/>
        <v>842489</v>
      </c>
      <c r="M1574" s="11" t="str">
        <f>IF(I1574&lt;&gt;"",DATA!E1573,"")</f>
        <v>ELECTRIC TOWEL RACK</v>
      </c>
      <c r="N1574" s="12">
        <v>0</v>
      </c>
      <c r="O1574" s="11">
        <f>IF(I1574&lt;&gt;"",DATA!C1573,"")</f>
        <v>202.1</v>
      </c>
      <c r="P1574" s="2">
        <v>294094</v>
      </c>
      <c r="Q1574" s="2" t="s">
        <v>1304</v>
      </c>
      <c r="R1574" s="2" t="s">
        <v>1335</v>
      </c>
      <c r="S1574" s="2">
        <v>573</v>
      </c>
      <c r="T1574" s="2">
        <v>1</v>
      </c>
      <c r="U1574" s="2" t="s">
        <v>141</v>
      </c>
      <c r="Y1574" s="2">
        <v>1700</v>
      </c>
      <c r="Z1574" s="11" t="s">
        <v>54</v>
      </c>
      <c r="AA1574" s="11" t="str">
        <f t="shared" si="101"/>
        <v>1700 - TBN</v>
      </c>
      <c r="AC1574" s="2" t="s">
        <v>145</v>
      </c>
      <c r="AD1574" s="11" t="str">
        <f>IF($I1574&lt;&gt;"",VLOOKUP($AC1574,GEADRESSEERDE!$A$2:$E$4,2,),"")</f>
        <v>LUITHAGEN HAVEN 2 D</v>
      </c>
      <c r="AE1574" s="11">
        <f>IF($I1574&lt;&gt;"",VLOOKUP($AC1574,GEADRESSEERDE!$A$2:$E$4,3,),"")</f>
        <v>2030</v>
      </c>
      <c r="AF1574" s="11" t="str">
        <f>IF($I1574&lt;&gt;"",VLOOKUP($AC1574,GEADRESSEERDE!$A$2:$E$4,4,),"")</f>
        <v>ANTWERPEN</v>
      </c>
      <c r="AG1574" s="11" t="str">
        <f>IF($I1574&lt;&gt;"",VLOOKUP($AC1574,GEADRESSEERDE!$A$2:$E$4,5,),"")</f>
        <v>BE</v>
      </c>
      <c r="AH1574" s="11" t="str">
        <f>IF(I1574&lt;&gt;"",VLOOKUP(AP1574,KvB!$A$2:$B$3,2,FALSE),"")</f>
        <v>BE101000</v>
      </c>
      <c r="AI1574" s="11" t="s">
        <v>55</v>
      </c>
      <c r="AJ1574" s="11"/>
      <c r="AK1574" s="11"/>
      <c r="AL1574" s="11"/>
      <c r="AM1574" s="11"/>
      <c r="AN1574" s="11"/>
      <c r="AO1574" s="11"/>
      <c r="AP1574" s="2" t="s">
        <v>70</v>
      </c>
      <c r="AQ1574" s="11" t="str">
        <f>IF(I1574&lt;&gt;"",DATA!D1573,"")</f>
        <v>8424897000</v>
      </c>
    </row>
    <row r="1575" spans="1:43" ht="15.75" x14ac:dyDescent="0.25">
      <c r="A1575" s="11" t="s">
        <v>57</v>
      </c>
      <c r="B1575" s="11" t="s">
        <v>56</v>
      </c>
      <c r="C1575" s="22">
        <f t="shared" si="102"/>
        <v>25001620</v>
      </c>
      <c r="D1575" s="11" t="str">
        <f t="shared" si="99"/>
        <v>SKIIFM_AT</v>
      </c>
      <c r="E1575" s="11" t="str">
        <f>IF(I1575&lt;&gt;"",VLOOKUP(F1575,OPDRACHTGEVER!$A$2:$B$4,2,FALSE),"")</f>
        <v>SKIIFM_AT</v>
      </c>
      <c r="F1575" s="11" t="s">
        <v>58</v>
      </c>
      <c r="I1575" s="11" t="str">
        <f>IF(DATA!B1574&lt;&gt;"",DATA!B1574,"")</f>
        <v>MSDU8567372</v>
      </c>
      <c r="J1575" s="12">
        <v>0</v>
      </c>
      <c r="K1575" s="11" t="s">
        <v>53</v>
      </c>
      <c r="L1575" s="11" t="str">
        <f t="shared" si="100"/>
        <v>920600</v>
      </c>
      <c r="M1575" s="11" t="str">
        <f>IF(I1575&lt;&gt;"",DATA!E1574,"")</f>
        <v>ELECTRONIC DRUM</v>
      </c>
      <c r="N1575" s="12">
        <v>0</v>
      </c>
      <c r="O1575" s="11">
        <f>IF(I1575&lt;&gt;"",DATA!C1574,"")</f>
        <v>47.2</v>
      </c>
      <c r="P1575" s="2">
        <v>294094</v>
      </c>
      <c r="Q1575" s="2" t="s">
        <v>1304</v>
      </c>
      <c r="R1575" s="2" t="s">
        <v>1335</v>
      </c>
      <c r="S1575" s="2">
        <v>573</v>
      </c>
      <c r="T1575" s="2">
        <v>1</v>
      </c>
      <c r="U1575" s="2" t="s">
        <v>141</v>
      </c>
      <c r="Y1575" s="2">
        <v>1700</v>
      </c>
      <c r="Z1575" s="11" t="s">
        <v>54</v>
      </c>
      <c r="AA1575" s="11" t="str">
        <f t="shared" si="101"/>
        <v>1700 - TBN</v>
      </c>
      <c r="AC1575" s="2" t="s">
        <v>145</v>
      </c>
      <c r="AD1575" s="11" t="str">
        <f>IF($I1575&lt;&gt;"",VLOOKUP($AC1575,GEADRESSEERDE!$A$2:$E$4,2,),"")</f>
        <v>LUITHAGEN HAVEN 2 D</v>
      </c>
      <c r="AE1575" s="11">
        <f>IF($I1575&lt;&gt;"",VLOOKUP($AC1575,GEADRESSEERDE!$A$2:$E$4,3,),"")</f>
        <v>2030</v>
      </c>
      <c r="AF1575" s="11" t="str">
        <f>IF($I1575&lt;&gt;"",VLOOKUP($AC1575,GEADRESSEERDE!$A$2:$E$4,4,),"")</f>
        <v>ANTWERPEN</v>
      </c>
      <c r="AG1575" s="11" t="str">
        <f>IF($I1575&lt;&gt;"",VLOOKUP($AC1575,GEADRESSEERDE!$A$2:$E$4,5,),"")</f>
        <v>BE</v>
      </c>
      <c r="AH1575" s="11" t="str">
        <f>IF(I1575&lt;&gt;"",VLOOKUP(AP1575,KvB!$A$2:$B$3,2,FALSE),"")</f>
        <v>BE101000</v>
      </c>
      <c r="AI1575" s="11" t="s">
        <v>55</v>
      </c>
      <c r="AJ1575" s="11"/>
      <c r="AK1575" s="11"/>
      <c r="AL1575" s="11"/>
      <c r="AM1575" s="11"/>
      <c r="AN1575" s="11"/>
      <c r="AO1575" s="11"/>
      <c r="AP1575" s="2" t="s">
        <v>70</v>
      </c>
      <c r="AQ1575" s="11" t="str">
        <f>IF(I1575&lt;&gt;"",DATA!D1574,"")</f>
        <v>9206000000</v>
      </c>
    </row>
    <row r="1576" spans="1:43" ht="15.75" x14ac:dyDescent="0.25">
      <c r="A1576" s="11" t="s">
        <v>57</v>
      </c>
      <c r="B1576" s="11" t="s">
        <v>56</v>
      </c>
      <c r="C1576" s="22">
        <f t="shared" si="102"/>
        <v>25001620</v>
      </c>
      <c r="D1576" s="11" t="str">
        <f t="shared" si="99"/>
        <v>SKIIFM_AT</v>
      </c>
      <c r="E1576" s="11" t="str">
        <f>IF(I1576&lt;&gt;"",VLOOKUP(F1576,OPDRACHTGEVER!$A$2:$B$4,2,FALSE),"")</f>
        <v>SKIIFM_AT</v>
      </c>
      <c r="F1576" s="11" t="s">
        <v>58</v>
      </c>
      <c r="I1576" s="11" t="str">
        <f>IF(DATA!B1575&lt;&gt;"",DATA!B1575,"")</f>
        <v>MSDU8567372</v>
      </c>
      <c r="J1576" s="12">
        <v>0</v>
      </c>
      <c r="K1576" s="11" t="s">
        <v>53</v>
      </c>
      <c r="L1576" s="11" t="str">
        <f t="shared" si="100"/>
        <v>850131</v>
      </c>
      <c r="M1576" s="11" t="str">
        <f>IF(I1576&lt;&gt;"",DATA!E1575,"")</f>
        <v>GARAGE DOOR MOTOR</v>
      </c>
      <c r="N1576" s="12">
        <v>0</v>
      </c>
      <c r="O1576" s="11">
        <f>IF(I1576&lt;&gt;"",DATA!C1575,"")</f>
        <v>78</v>
      </c>
      <c r="P1576" s="2">
        <v>294094</v>
      </c>
      <c r="Q1576" s="2" t="s">
        <v>1304</v>
      </c>
      <c r="R1576" s="2" t="s">
        <v>1335</v>
      </c>
      <c r="S1576" s="2">
        <v>573</v>
      </c>
      <c r="T1576" s="2">
        <v>1</v>
      </c>
      <c r="U1576" s="2" t="s">
        <v>141</v>
      </c>
      <c r="Y1576" s="2">
        <v>1700</v>
      </c>
      <c r="Z1576" s="11" t="s">
        <v>54</v>
      </c>
      <c r="AA1576" s="11" t="str">
        <f t="shared" si="101"/>
        <v>1700 - TBN</v>
      </c>
      <c r="AC1576" s="2" t="s">
        <v>145</v>
      </c>
      <c r="AD1576" s="11" t="str">
        <f>IF($I1576&lt;&gt;"",VLOOKUP($AC1576,GEADRESSEERDE!$A$2:$E$4,2,),"")</f>
        <v>LUITHAGEN HAVEN 2 D</v>
      </c>
      <c r="AE1576" s="11">
        <f>IF($I1576&lt;&gt;"",VLOOKUP($AC1576,GEADRESSEERDE!$A$2:$E$4,3,),"")</f>
        <v>2030</v>
      </c>
      <c r="AF1576" s="11" t="str">
        <f>IF($I1576&lt;&gt;"",VLOOKUP($AC1576,GEADRESSEERDE!$A$2:$E$4,4,),"")</f>
        <v>ANTWERPEN</v>
      </c>
      <c r="AG1576" s="11" t="str">
        <f>IF($I1576&lt;&gt;"",VLOOKUP($AC1576,GEADRESSEERDE!$A$2:$E$4,5,),"")</f>
        <v>BE</v>
      </c>
      <c r="AH1576" s="11" t="str">
        <f>IF(I1576&lt;&gt;"",VLOOKUP(AP1576,KvB!$A$2:$B$3,2,FALSE),"")</f>
        <v>BE101000</v>
      </c>
      <c r="AI1576" s="11" t="s">
        <v>55</v>
      </c>
      <c r="AJ1576" s="11"/>
      <c r="AK1576" s="11"/>
      <c r="AL1576" s="11"/>
      <c r="AM1576" s="11"/>
      <c r="AN1576" s="11"/>
      <c r="AO1576" s="11"/>
      <c r="AP1576" s="2" t="s">
        <v>70</v>
      </c>
      <c r="AQ1576" s="11" t="str">
        <f>IF(I1576&lt;&gt;"",DATA!D1575,"")</f>
        <v>8501310099</v>
      </c>
    </row>
    <row r="1577" spans="1:43" ht="15.75" x14ac:dyDescent="0.25">
      <c r="A1577" s="11" t="s">
        <v>57</v>
      </c>
      <c r="B1577" s="11" t="s">
        <v>56</v>
      </c>
      <c r="C1577" s="22">
        <f t="shared" si="102"/>
        <v>25001620</v>
      </c>
      <c r="D1577" s="11" t="str">
        <f t="shared" si="99"/>
        <v>SKIIFM_AT</v>
      </c>
      <c r="E1577" s="11" t="str">
        <f>IF(I1577&lt;&gt;"",VLOOKUP(F1577,OPDRACHTGEVER!$A$2:$B$4,2,FALSE),"")</f>
        <v>SKIIFM_AT</v>
      </c>
      <c r="F1577" s="11" t="s">
        <v>58</v>
      </c>
      <c r="I1577" s="11" t="str">
        <f>IF(DATA!B1576&lt;&gt;"",DATA!B1576,"")</f>
        <v>MSDU8567372</v>
      </c>
      <c r="J1577" s="12">
        <v>0</v>
      </c>
      <c r="K1577" s="11" t="s">
        <v>53</v>
      </c>
      <c r="L1577" s="11" t="str">
        <f t="shared" si="100"/>
        <v>741920</v>
      </c>
      <c r="M1577" s="11" t="str">
        <f>IF(I1577&lt;&gt;"",DATA!E1576,"")</f>
        <v>GARAGE SHELF</v>
      </c>
      <c r="N1577" s="12">
        <v>0</v>
      </c>
      <c r="O1577" s="11">
        <f>IF(I1577&lt;&gt;"",DATA!C1576,"")</f>
        <v>238.8</v>
      </c>
      <c r="P1577" s="2">
        <v>294094</v>
      </c>
      <c r="Q1577" s="2" t="s">
        <v>1304</v>
      </c>
      <c r="R1577" s="2" t="s">
        <v>1335</v>
      </c>
      <c r="S1577" s="2">
        <v>573</v>
      </c>
      <c r="T1577" s="2">
        <v>1</v>
      </c>
      <c r="U1577" s="2" t="s">
        <v>141</v>
      </c>
      <c r="Y1577" s="2">
        <v>1700</v>
      </c>
      <c r="Z1577" s="11" t="s">
        <v>54</v>
      </c>
      <c r="AA1577" s="11" t="str">
        <f t="shared" si="101"/>
        <v>1700 - TBN</v>
      </c>
      <c r="AC1577" s="2" t="s">
        <v>145</v>
      </c>
      <c r="AD1577" s="11" t="str">
        <f>IF($I1577&lt;&gt;"",VLOOKUP($AC1577,GEADRESSEERDE!$A$2:$E$4,2,),"")</f>
        <v>LUITHAGEN HAVEN 2 D</v>
      </c>
      <c r="AE1577" s="11">
        <f>IF($I1577&lt;&gt;"",VLOOKUP($AC1577,GEADRESSEERDE!$A$2:$E$4,3,),"")</f>
        <v>2030</v>
      </c>
      <c r="AF1577" s="11" t="str">
        <f>IF($I1577&lt;&gt;"",VLOOKUP($AC1577,GEADRESSEERDE!$A$2:$E$4,4,),"")</f>
        <v>ANTWERPEN</v>
      </c>
      <c r="AG1577" s="11" t="str">
        <f>IF($I1577&lt;&gt;"",VLOOKUP($AC1577,GEADRESSEERDE!$A$2:$E$4,5,),"")</f>
        <v>BE</v>
      </c>
      <c r="AH1577" s="11" t="str">
        <f>IF(I1577&lt;&gt;"",VLOOKUP(AP1577,KvB!$A$2:$B$3,2,FALSE),"")</f>
        <v>BE101000</v>
      </c>
      <c r="AI1577" s="11" t="s">
        <v>55</v>
      </c>
      <c r="AJ1577" s="11"/>
      <c r="AK1577" s="11"/>
      <c r="AL1577" s="11"/>
      <c r="AM1577" s="11"/>
      <c r="AN1577" s="11"/>
      <c r="AO1577" s="11"/>
      <c r="AP1577" s="2" t="s">
        <v>70</v>
      </c>
      <c r="AQ1577" s="11" t="str">
        <f>IF(I1577&lt;&gt;"",DATA!D1576,"")</f>
        <v>7419200090</v>
      </c>
    </row>
    <row r="1578" spans="1:43" ht="15.75" x14ac:dyDescent="0.25">
      <c r="A1578" s="11" t="s">
        <v>57</v>
      </c>
      <c r="B1578" s="11" t="s">
        <v>56</v>
      </c>
      <c r="C1578" s="22">
        <f t="shared" si="102"/>
        <v>25001620</v>
      </c>
      <c r="D1578" s="11" t="str">
        <f t="shared" si="99"/>
        <v>SKIIFM_AT</v>
      </c>
      <c r="E1578" s="11" t="str">
        <f>IF(I1578&lt;&gt;"",VLOOKUP(F1578,OPDRACHTGEVER!$A$2:$B$4,2,FALSE),"")</f>
        <v>SKIIFM_AT</v>
      </c>
      <c r="F1578" s="11" t="s">
        <v>58</v>
      </c>
      <c r="I1578" s="11" t="str">
        <f>IF(DATA!B1577&lt;&gt;"",DATA!B1577,"")</f>
        <v>MSDU8567372</v>
      </c>
      <c r="J1578" s="12">
        <v>0</v>
      </c>
      <c r="K1578" s="11" t="s">
        <v>53</v>
      </c>
      <c r="L1578" s="11" t="str">
        <f t="shared" si="100"/>
        <v>940320</v>
      </c>
      <c r="M1578" s="11" t="str">
        <f>IF(I1578&lt;&gt;"",DATA!E1577,"")</f>
        <v>GARAGE TOOL CABINET</v>
      </c>
      <c r="N1578" s="12">
        <v>0</v>
      </c>
      <c r="O1578" s="11">
        <f>IF(I1578&lt;&gt;"",DATA!C1577,"")</f>
        <v>540.9</v>
      </c>
      <c r="P1578" s="2">
        <v>294094</v>
      </c>
      <c r="Q1578" s="2" t="s">
        <v>1304</v>
      </c>
      <c r="R1578" s="2" t="s">
        <v>1335</v>
      </c>
      <c r="S1578" s="2">
        <v>573</v>
      </c>
      <c r="T1578" s="2">
        <v>1</v>
      </c>
      <c r="U1578" s="2" t="s">
        <v>141</v>
      </c>
      <c r="Y1578" s="2">
        <v>1700</v>
      </c>
      <c r="Z1578" s="11" t="s">
        <v>54</v>
      </c>
      <c r="AA1578" s="11" t="str">
        <f t="shared" si="101"/>
        <v>1700 - TBN</v>
      </c>
      <c r="AC1578" s="2" t="s">
        <v>145</v>
      </c>
      <c r="AD1578" s="11" t="str">
        <f>IF($I1578&lt;&gt;"",VLOOKUP($AC1578,GEADRESSEERDE!$A$2:$E$4,2,),"")</f>
        <v>LUITHAGEN HAVEN 2 D</v>
      </c>
      <c r="AE1578" s="11">
        <f>IF($I1578&lt;&gt;"",VLOOKUP($AC1578,GEADRESSEERDE!$A$2:$E$4,3,),"")</f>
        <v>2030</v>
      </c>
      <c r="AF1578" s="11" t="str">
        <f>IF($I1578&lt;&gt;"",VLOOKUP($AC1578,GEADRESSEERDE!$A$2:$E$4,4,),"")</f>
        <v>ANTWERPEN</v>
      </c>
      <c r="AG1578" s="11" t="str">
        <f>IF($I1578&lt;&gt;"",VLOOKUP($AC1578,GEADRESSEERDE!$A$2:$E$4,5,),"")</f>
        <v>BE</v>
      </c>
      <c r="AH1578" s="11" t="str">
        <f>IF(I1578&lt;&gt;"",VLOOKUP(AP1578,KvB!$A$2:$B$3,2,FALSE),"")</f>
        <v>BE101000</v>
      </c>
      <c r="AI1578" s="11" t="s">
        <v>55</v>
      </c>
      <c r="AJ1578" s="11"/>
      <c r="AK1578" s="11"/>
      <c r="AL1578" s="11"/>
      <c r="AM1578" s="11"/>
      <c r="AN1578" s="11"/>
      <c r="AO1578" s="11"/>
      <c r="AP1578" s="2" t="s">
        <v>70</v>
      </c>
      <c r="AQ1578" s="11" t="str">
        <f>IF(I1578&lt;&gt;"",DATA!D1577,"")</f>
        <v>9403208000</v>
      </c>
    </row>
    <row r="1579" spans="1:43" ht="15.75" x14ac:dyDescent="0.25">
      <c r="A1579" s="11" t="s">
        <v>57</v>
      </c>
      <c r="B1579" s="11" t="s">
        <v>56</v>
      </c>
      <c r="C1579" s="22">
        <f t="shared" si="102"/>
        <v>25001620</v>
      </c>
      <c r="D1579" s="11" t="str">
        <f t="shared" si="99"/>
        <v>SKIIFM_AT</v>
      </c>
      <c r="E1579" s="11" t="str">
        <f>IF(I1579&lt;&gt;"",VLOOKUP(F1579,OPDRACHTGEVER!$A$2:$B$4,2,FALSE),"")</f>
        <v>SKIIFM_AT</v>
      </c>
      <c r="F1579" s="11" t="s">
        <v>58</v>
      </c>
      <c r="I1579" s="11" t="str">
        <f>IF(DATA!B1578&lt;&gt;"",DATA!B1578,"")</f>
        <v>MSDU8567372</v>
      </c>
      <c r="J1579" s="12">
        <v>0</v>
      </c>
      <c r="K1579" s="11" t="s">
        <v>53</v>
      </c>
      <c r="L1579" s="11" t="str">
        <f t="shared" si="100"/>
        <v>420292</v>
      </c>
      <c r="M1579" s="11" t="str">
        <f>IF(I1579&lt;&gt;"",DATA!E1578,"")</f>
        <v>GRADED CARD STORAGE BOX</v>
      </c>
      <c r="N1579" s="12">
        <v>0</v>
      </c>
      <c r="O1579" s="11">
        <f>IF(I1579&lt;&gt;"",DATA!C1578,"")</f>
        <v>75.7</v>
      </c>
      <c r="P1579" s="2">
        <v>294094</v>
      </c>
      <c r="Q1579" s="2" t="s">
        <v>1304</v>
      </c>
      <c r="R1579" s="2" t="s">
        <v>1335</v>
      </c>
      <c r="S1579" s="2">
        <v>573</v>
      </c>
      <c r="T1579" s="2">
        <v>1</v>
      </c>
      <c r="U1579" s="2" t="s">
        <v>141</v>
      </c>
      <c r="Y1579" s="2">
        <v>1700</v>
      </c>
      <c r="Z1579" s="11" t="s">
        <v>54</v>
      </c>
      <c r="AA1579" s="11" t="str">
        <f t="shared" si="101"/>
        <v>1700 - TBN</v>
      </c>
      <c r="AC1579" s="2" t="s">
        <v>145</v>
      </c>
      <c r="AD1579" s="11" t="str">
        <f>IF($I1579&lt;&gt;"",VLOOKUP($AC1579,GEADRESSEERDE!$A$2:$E$4,2,),"")</f>
        <v>LUITHAGEN HAVEN 2 D</v>
      </c>
      <c r="AE1579" s="11">
        <f>IF($I1579&lt;&gt;"",VLOOKUP($AC1579,GEADRESSEERDE!$A$2:$E$4,3,),"")</f>
        <v>2030</v>
      </c>
      <c r="AF1579" s="11" t="str">
        <f>IF($I1579&lt;&gt;"",VLOOKUP($AC1579,GEADRESSEERDE!$A$2:$E$4,4,),"")</f>
        <v>ANTWERPEN</v>
      </c>
      <c r="AG1579" s="11" t="str">
        <f>IF($I1579&lt;&gt;"",VLOOKUP($AC1579,GEADRESSEERDE!$A$2:$E$4,5,),"")</f>
        <v>BE</v>
      </c>
      <c r="AH1579" s="11" t="str">
        <f>IF(I1579&lt;&gt;"",VLOOKUP(AP1579,KvB!$A$2:$B$3,2,FALSE),"")</f>
        <v>BE101000</v>
      </c>
      <c r="AI1579" s="11" t="s">
        <v>55</v>
      </c>
      <c r="AJ1579" s="11"/>
      <c r="AK1579" s="11"/>
      <c r="AL1579" s="11"/>
      <c r="AM1579" s="11"/>
      <c r="AN1579" s="11"/>
      <c r="AO1579" s="11"/>
      <c r="AP1579" s="2" t="s">
        <v>70</v>
      </c>
      <c r="AQ1579" s="11" t="str">
        <f>IF(I1579&lt;&gt;"",DATA!D1578,"")</f>
        <v>4202929890</v>
      </c>
    </row>
    <row r="1580" spans="1:43" ht="15.75" x14ac:dyDescent="0.25">
      <c r="A1580" s="11" t="s">
        <v>57</v>
      </c>
      <c r="B1580" s="11" t="s">
        <v>56</v>
      </c>
      <c r="C1580" s="22">
        <f t="shared" si="102"/>
        <v>25001620</v>
      </c>
      <c r="D1580" s="11" t="str">
        <f t="shared" si="99"/>
        <v>SKIIFM_AT</v>
      </c>
      <c r="E1580" s="11" t="str">
        <f>IF(I1580&lt;&gt;"",VLOOKUP(F1580,OPDRACHTGEVER!$A$2:$B$4,2,FALSE),"")</f>
        <v>SKIIFM_AT</v>
      </c>
      <c r="F1580" s="11" t="s">
        <v>58</v>
      </c>
      <c r="I1580" s="11" t="str">
        <f>IF(DATA!B1579&lt;&gt;"",DATA!B1579,"")</f>
        <v>MSDU8567372</v>
      </c>
      <c r="J1580" s="12">
        <v>0</v>
      </c>
      <c r="K1580" s="11" t="s">
        <v>53</v>
      </c>
      <c r="L1580" s="11" t="str">
        <f t="shared" si="100"/>
        <v>851989</v>
      </c>
      <c r="M1580" s="11" t="str">
        <f>IF(I1580&lt;&gt;"",DATA!E1579,"")</f>
        <v>GRAMOPHONE</v>
      </c>
      <c r="N1580" s="12">
        <v>0</v>
      </c>
      <c r="O1580" s="11">
        <f>IF(I1580&lt;&gt;"",DATA!C1579,"")</f>
        <v>25</v>
      </c>
      <c r="P1580" s="2">
        <v>294094</v>
      </c>
      <c r="Q1580" s="2" t="s">
        <v>1304</v>
      </c>
      <c r="R1580" s="2" t="s">
        <v>1335</v>
      </c>
      <c r="S1580" s="2">
        <v>573</v>
      </c>
      <c r="T1580" s="2">
        <v>1</v>
      </c>
      <c r="U1580" s="2" t="s">
        <v>141</v>
      </c>
      <c r="Y1580" s="2">
        <v>1700</v>
      </c>
      <c r="Z1580" s="11" t="s">
        <v>54</v>
      </c>
      <c r="AA1580" s="11" t="str">
        <f t="shared" si="101"/>
        <v>1700 - TBN</v>
      </c>
      <c r="AC1580" s="2" t="s">
        <v>145</v>
      </c>
      <c r="AD1580" s="11" t="str">
        <f>IF($I1580&lt;&gt;"",VLOOKUP($AC1580,GEADRESSEERDE!$A$2:$E$4,2,),"")</f>
        <v>LUITHAGEN HAVEN 2 D</v>
      </c>
      <c r="AE1580" s="11">
        <f>IF($I1580&lt;&gt;"",VLOOKUP($AC1580,GEADRESSEERDE!$A$2:$E$4,3,),"")</f>
        <v>2030</v>
      </c>
      <c r="AF1580" s="11" t="str">
        <f>IF($I1580&lt;&gt;"",VLOOKUP($AC1580,GEADRESSEERDE!$A$2:$E$4,4,),"")</f>
        <v>ANTWERPEN</v>
      </c>
      <c r="AG1580" s="11" t="str">
        <f>IF($I1580&lt;&gt;"",VLOOKUP($AC1580,GEADRESSEERDE!$A$2:$E$4,5,),"")</f>
        <v>BE</v>
      </c>
      <c r="AH1580" s="11" t="str">
        <f>IF(I1580&lt;&gt;"",VLOOKUP(AP1580,KvB!$A$2:$B$3,2,FALSE),"")</f>
        <v>BE101000</v>
      </c>
      <c r="AI1580" s="11" t="s">
        <v>55</v>
      </c>
      <c r="AJ1580" s="11"/>
      <c r="AK1580" s="11"/>
      <c r="AL1580" s="11"/>
      <c r="AM1580" s="11"/>
      <c r="AN1580" s="11"/>
      <c r="AO1580" s="11"/>
      <c r="AP1580" s="2" t="s">
        <v>70</v>
      </c>
      <c r="AQ1580" s="11" t="str">
        <f>IF(I1580&lt;&gt;"",DATA!D1579,"")</f>
        <v>8519890000</v>
      </c>
    </row>
    <row r="1581" spans="1:43" ht="15.75" x14ac:dyDescent="0.25">
      <c r="A1581" s="11" t="s">
        <v>57</v>
      </c>
      <c r="B1581" s="11" t="s">
        <v>56</v>
      </c>
      <c r="C1581" s="22">
        <f t="shared" si="102"/>
        <v>25001620</v>
      </c>
      <c r="D1581" s="11" t="str">
        <f t="shared" si="99"/>
        <v>SKIIFM_AT</v>
      </c>
      <c r="E1581" s="11" t="str">
        <f>IF(I1581&lt;&gt;"",VLOOKUP(F1581,OPDRACHTGEVER!$A$2:$B$4,2,FALSE),"")</f>
        <v>SKIIFM_AT</v>
      </c>
      <c r="F1581" s="11" t="s">
        <v>58</v>
      </c>
      <c r="I1581" s="11" t="str">
        <f>IF(DATA!B1580&lt;&gt;"",DATA!B1580,"")</f>
        <v>MSDU8567372</v>
      </c>
      <c r="J1581" s="12">
        <v>0</v>
      </c>
      <c r="K1581" s="11" t="s">
        <v>53</v>
      </c>
      <c r="L1581" s="11" t="str">
        <f t="shared" si="100"/>
        <v>392690</v>
      </c>
      <c r="M1581" s="11" t="str">
        <f>IF(I1581&lt;&gt;"",DATA!E1580,"")</f>
        <v>HOUSE STYLE FABRIC CAT SHELTER</v>
      </c>
      <c r="N1581" s="12">
        <v>0</v>
      </c>
      <c r="O1581" s="11">
        <f>IF(I1581&lt;&gt;"",DATA!C1580,"")</f>
        <v>120.5</v>
      </c>
      <c r="P1581" s="2">
        <v>294094</v>
      </c>
      <c r="Q1581" s="2" t="s">
        <v>1304</v>
      </c>
      <c r="R1581" s="2" t="s">
        <v>1335</v>
      </c>
      <c r="S1581" s="2">
        <v>573</v>
      </c>
      <c r="T1581" s="2">
        <v>1</v>
      </c>
      <c r="U1581" s="2" t="s">
        <v>141</v>
      </c>
      <c r="Y1581" s="2">
        <v>1700</v>
      </c>
      <c r="Z1581" s="11" t="s">
        <v>54</v>
      </c>
      <c r="AA1581" s="11" t="str">
        <f t="shared" si="101"/>
        <v>1700 - TBN</v>
      </c>
      <c r="AC1581" s="2" t="s">
        <v>145</v>
      </c>
      <c r="AD1581" s="11" t="str">
        <f>IF($I1581&lt;&gt;"",VLOOKUP($AC1581,GEADRESSEERDE!$A$2:$E$4,2,),"")</f>
        <v>LUITHAGEN HAVEN 2 D</v>
      </c>
      <c r="AE1581" s="11">
        <f>IF($I1581&lt;&gt;"",VLOOKUP($AC1581,GEADRESSEERDE!$A$2:$E$4,3,),"")</f>
        <v>2030</v>
      </c>
      <c r="AF1581" s="11" t="str">
        <f>IF($I1581&lt;&gt;"",VLOOKUP($AC1581,GEADRESSEERDE!$A$2:$E$4,4,),"")</f>
        <v>ANTWERPEN</v>
      </c>
      <c r="AG1581" s="11" t="str">
        <f>IF($I1581&lt;&gt;"",VLOOKUP($AC1581,GEADRESSEERDE!$A$2:$E$4,5,),"")</f>
        <v>BE</v>
      </c>
      <c r="AH1581" s="11" t="str">
        <f>IF(I1581&lt;&gt;"",VLOOKUP(AP1581,KvB!$A$2:$B$3,2,FALSE),"")</f>
        <v>BE101000</v>
      </c>
      <c r="AI1581" s="11" t="s">
        <v>55</v>
      </c>
      <c r="AJ1581" s="11"/>
      <c r="AK1581" s="11"/>
      <c r="AL1581" s="11"/>
      <c r="AM1581" s="11"/>
      <c r="AN1581" s="11"/>
      <c r="AO1581" s="11"/>
      <c r="AP1581" s="2" t="s">
        <v>70</v>
      </c>
      <c r="AQ1581" s="11" t="str">
        <f>IF(I1581&lt;&gt;"",DATA!D1580,"")</f>
        <v>3926909790</v>
      </c>
    </row>
    <row r="1582" spans="1:43" ht="15.75" x14ac:dyDescent="0.25">
      <c r="A1582" s="11" t="s">
        <v>57</v>
      </c>
      <c r="B1582" s="11" t="s">
        <v>56</v>
      </c>
      <c r="C1582" s="22">
        <f t="shared" si="102"/>
        <v>25001620</v>
      </c>
      <c r="D1582" s="11" t="str">
        <f t="shared" si="99"/>
        <v>SKIIFM_AT</v>
      </c>
      <c r="E1582" s="11" t="str">
        <f>IF(I1582&lt;&gt;"",VLOOKUP(F1582,OPDRACHTGEVER!$A$2:$B$4,2,FALSE),"")</f>
        <v>SKIIFM_AT</v>
      </c>
      <c r="F1582" s="11" t="s">
        <v>58</v>
      </c>
      <c r="I1582" s="11" t="str">
        <f>IF(DATA!B1581&lt;&gt;"",DATA!B1581,"")</f>
        <v>MSDU8567372</v>
      </c>
      <c r="J1582" s="12">
        <v>0</v>
      </c>
      <c r="K1582" s="11" t="s">
        <v>53</v>
      </c>
      <c r="L1582" s="11" t="str">
        <f t="shared" si="100"/>
        <v>392690</v>
      </c>
      <c r="M1582" s="11" t="str">
        <f>IF(I1582&lt;&gt;"",DATA!E1581,"")</f>
        <v>INFLATABLE PAINT BOOTH WITH CENTRE DOOR</v>
      </c>
      <c r="N1582" s="12">
        <v>0</v>
      </c>
      <c r="O1582" s="11">
        <f>IF(I1582&lt;&gt;"",DATA!C1581,"")</f>
        <v>424.8</v>
      </c>
      <c r="P1582" s="2">
        <v>294094</v>
      </c>
      <c r="Q1582" s="2" t="s">
        <v>1304</v>
      </c>
      <c r="R1582" s="2" t="s">
        <v>1335</v>
      </c>
      <c r="S1582" s="2">
        <v>573</v>
      </c>
      <c r="T1582" s="2">
        <v>1</v>
      </c>
      <c r="U1582" s="2" t="s">
        <v>141</v>
      </c>
      <c r="Y1582" s="2">
        <v>1700</v>
      </c>
      <c r="Z1582" s="11" t="s">
        <v>54</v>
      </c>
      <c r="AA1582" s="11" t="str">
        <f t="shared" si="101"/>
        <v>1700 - TBN</v>
      </c>
      <c r="AC1582" s="2" t="s">
        <v>145</v>
      </c>
      <c r="AD1582" s="11" t="str">
        <f>IF($I1582&lt;&gt;"",VLOOKUP($AC1582,GEADRESSEERDE!$A$2:$E$4,2,),"")</f>
        <v>LUITHAGEN HAVEN 2 D</v>
      </c>
      <c r="AE1582" s="11">
        <f>IF($I1582&lt;&gt;"",VLOOKUP($AC1582,GEADRESSEERDE!$A$2:$E$4,3,),"")</f>
        <v>2030</v>
      </c>
      <c r="AF1582" s="11" t="str">
        <f>IF($I1582&lt;&gt;"",VLOOKUP($AC1582,GEADRESSEERDE!$A$2:$E$4,4,),"")</f>
        <v>ANTWERPEN</v>
      </c>
      <c r="AG1582" s="11" t="str">
        <f>IF($I1582&lt;&gt;"",VLOOKUP($AC1582,GEADRESSEERDE!$A$2:$E$4,5,),"")</f>
        <v>BE</v>
      </c>
      <c r="AH1582" s="11" t="str">
        <f>IF(I1582&lt;&gt;"",VLOOKUP(AP1582,KvB!$A$2:$B$3,2,FALSE),"")</f>
        <v>BE101000</v>
      </c>
      <c r="AI1582" s="11" t="s">
        <v>55</v>
      </c>
      <c r="AJ1582" s="11"/>
      <c r="AK1582" s="11"/>
      <c r="AL1582" s="11"/>
      <c r="AM1582" s="11"/>
      <c r="AN1582" s="11"/>
      <c r="AO1582" s="11"/>
      <c r="AP1582" s="2" t="s">
        <v>70</v>
      </c>
      <c r="AQ1582" s="11" t="str">
        <f>IF(I1582&lt;&gt;"",DATA!D1581,"")</f>
        <v>3926909790</v>
      </c>
    </row>
    <row r="1583" spans="1:43" ht="15.75" x14ac:dyDescent="0.25">
      <c r="A1583" s="11" t="s">
        <v>57</v>
      </c>
      <c r="B1583" s="11" t="s">
        <v>56</v>
      </c>
      <c r="C1583" s="22">
        <f t="shared" si="102"/>
        <v>25001620</v>
      </c>
      <c r="D1583" s="11" t="str">
        <f t="shared" si="99"/>
        <v>SKIIFM_AT</v>
      </c>
      <c r="E1583" s="11" t="str">
        <f>IF(I1583&lt;&gt;"",VLOOKUP(F1583,OPDRACHTGEVER!$A$2:$B$4,2,FALSE),"")</f>
        <v>SKIIFM_AT</v>
      </c>
      <c r="F1583" s="11" t="s">
        <v>58</v>
      </c>
      <c r="I1583" s="11" t="str">
        <f>IF(DATA!B1582&lt;&gt;"",DATA!B1582,"")</f>
        <v>MSDU8567372</v>
      </c>
      <c r="J1583" s="12">
        <v>0</v>
      </c>
      <c r="K1583" s="11" t="s">
        <v>53</v>
      </c>
      <c r="L1583" s="11" t="str">
        <f t="shared" si="100"/>
        <v>841981</v>
      </c>
      <c r="M1583" s="11" t="str">
        <f>IF(I1583&lt;&gt;"",DATA!E1582,"")</f>
        <v>INSULATION WORKBENCH</v>
      </c>
      <c r="N1583" s="12">
        <v>0</v>
      </c>
      <c r="O1583" s="11">
        <f>IF(I1583&lt;&gt;"",DATA!C1582,"")</f>
        <v>56</v>
      </c>
      <c r="P1583" s="2">
        <v>294094</v>
      </c>
      <c r="Q1583" s="2" t="s">
        <v>1304</v>
      </c>
      <c r="R1583" s="2" t="s">
        <v>1335</v>
      </c>
      <c r="S1583" s="2">
        <v>573</v>
      </c>
      <c r="T1583" s="2">
        <v>1</v>
      </c>
      <c r="U1583" s="2" t="s">
        <v>141</v>
      </c>
      <c r="Y1583" s="2">
        <v>1700</v>
      </c>
      <c r="Z1583" s="11" t="s">
        <v>54</v>
      </c>
      <c r="AA1583" s="11" t="str">
        <f t="shared" si="101"/>
        <v>1700 - TBN</v>
      </c>
      <c r="AC1583" s="2" t="s">
        <v>145</v>
      </c>
      <c r="AD1583" s="11" t="str">
        <f>IF($I1583&lt;&gt;"",VLOOKUP($AC1583,GEADRESSEERDE!$A$2:$E$4,2,),"")</f>
        <v>LUITHAGEN HAVEN 2 D</v>
      </c>
      <c r="AE1583" s="11">
        <f>IF($I1583&lt;&gt;"",VLOOKUP($AC1583,GEADRESSEERDE!$A$2:$E$4,3,),"")</f>
        <v>2030</v>
      </c>
      <c r="AF1583" s="11" t="str">
        <f>IF($I1583&lt;&gt;"",VLOOKUP($AC1583,GEADRESSEERDE!$A$2:$E$4,4,),"")</f>
        <v>ANTWERPEN</v>
      </c>
      <c r="AG1583" s="11" t="str">
        <f>IF($I1583&lt;&gt;"",VLOOKUP($AC1583,GEADRESSEERDE!$A$2:$E$4,5,),"")</f>
        <v>BE</v>
      </c>
      <c r="AH1583" s="11" t="str">
        <f>IF(I1583&lt;&gt;"",VLOOKUP(AP1583,KvB!$A$2:$B$3,2,FALSE),"")</f>
        <v>BE101000</v>
      </c>
      <c r="AI1583" s="11" t="s">
        <v>55</v>
      </c>
      <c r="AJ1583" s="11"/>
      <c r="AK1583" s="11"/>
      <c r="AL1583" s="11"/>
      <c r="AM1583" s="11"/>
      <c r="AN1583" s="11"/>
      <c r="AO1583" s="11"/>
      <c r="AP1583" s="2" t="s">
        <v>70</v>
      </c>
      <c r="AQ1583" s="11" t="str">
        <f>IF(I1583&lt;&gt;"",DATA!D1582,"")</f>
        <v>8419818090</v>
      </c>
    </row>
    <row r="1584" spans="1:43" ht="15.75" x14ac:dyDescent="0.25">
      <c r="A1584" s="11" t="s">
        <v>57</v>
      </c>
      <c r="B1584" s="11" t="s">
        <v>56</v>
      </c>
      <c r="C1584" s="22">
        <f t="shared" si="102"/>
        <v>25001620</v>
      </c>
      <c r="D1584" s="11" t="str">
        <f t="shared" si="99"/>
        <v>SKIIFM_AT</v>
      </c>
      <c r="E1584" s="11" t="str">
        <f>IF(I1584&lt;&gt;"",VLOOKUP(F1584,OPDRACHTGEVER!$A$2:$B$4,2,FALSE),"")</f>
        <v>SKIIFM_AT</v>
      </c>
      <c r="F1584" s="11" t="s">
        <v>58</v>
      </c>
      <c r="I1584" s="11" t="str">
        <f>IF(DATA!B1583&lt;&gt;"",DATA!B1583,"")</f>
        <v>MSDU8567372</v>
      </c>
      <c r="J1584" s="12">
        <v>0</v>
      </c>
      <c r="K1584" s="11" t="s">
        <v>53</v>
      </c>
      <c r="L1584" s="11" t="str">
        <f t="shared" si="100"/>
        <v>950691</v>
      </c>
      <c r="M1584" s="11" t="str">
        <f>IF(I1584&lt;&gt;"",DATA!E1583,"")</f>
        <v>IRON FRAME NON-FOLDING BASKETBALL ARCADE GAME</v>
      </c>
      <c r="N1584" s="12">
        <v>0</v>
      </c>
      <c r="O1584" s="11">
        <f>IF(I1584&lt;&gt;"",DATA!C1583,"")</f>
        <v>113.4</v>
      </c>
      <c r="P1584" s="2">
        <v>294094</v>
      </c>
      <c r="Q1584" s="2" t="s">
        <v>1304</v>
      </c>
      <c r="R1584" s="2" t="s">
        <v>1335</v>
      </c>
      <c r="S1584" s="2">
        <v>573</v>
      </c>
      <c r="T1584" s="2">
        <v>1</v>
      </c>
      <c r="U1584" s="2" t="s">
        <v>141</v>
      </c>
      <c r="Y1584" s="2">
        <v>1700</v>
      </c>
      <c r="Z1584" s="11" t="s">
        <v>54</v>
      </c>
      <c r="AA1584" s="11" t="str">
        <f t="shared" si="101"/>
        <v>1700 - TBN</v>
      </c>
      <c r="AC1584" s="2" t="s">
        <v>145</v>
      </c>
      <c r="AD1584" s="11" t="str">
        <f>IF($I1584&lt;&gt;"",VLOOKUP($AC1584,GEADRESSEERDE!$A$2:$E$4,2,),"")</f>
        <v>LUITHAGEN HAVEN 2 D</v>
      </c>
      <c r="AE1584" s="11">
        <f>IF($I1584&lt;&gt;"",VLOOKUP($AC1584,GEADRESSEERDE!$A$2:$E$4,3,),"")</f>
        <v>2030</v>
      </c>
      <c r="AF1584" s="11" t="str">
        <f>IF($I1584&lt;&gt;"",VLOOKUP($AC1584,GEADRESSEERDE!$A$2:$E$4,4,),"")</f>
        <v>ANTWERPEN</v>
      </c>
      <c r="AG1584" s="11" t="str">
        <f>IF($I1584&lt;&gt;"",VLOOKUP($AC1584,GEADRESSEERDE!$A$2:$E$4,5,),"")</f>
        <v>BE</v>
      </c>
      <c r="AH1584" s="11" t="str">
        <f>IF(I1584&lt;&gt;"",VLOOKUP(AP1584,KvB!$A$2:$B$3,2,FALSE),"")</f>
        <v>BE101000</v>
      </c>
      <c r="AI1584" s="11" t="s">
        <v>55</v>
      </c>
      <c r="AJ1584" s="11"/>
      <c r="AK1584" s="11"/>
      <c r="AL1584" s="11"/>
      <c r="AM1584" s="11"/>
      <c r="AN1584" s="11"/>
      <c r="AO1584" s="11"/>
      <c r="AP1584" s="2" t="s">
        <v>70</v>
      </c>
      <c r="AQ1584" s="11" t="str">
        <f>IF(I1584&lt;&gt;"",DATA!D1583,"")</f>
        <v>9506919000</v>
      </c>
    </row>
    <row r="1585" spans="1:43" ht="15.75" x14ac:dyDescent="0.25">
      <c r="A1585" s="11" t="s">
        <v>57</v>
      </c>
      <c r="B1585" s="11" t="s">
        <v>56</v>
      </c>
      <c r="C1585" s="22">
        <f t="shared" si="102"/>
        <v>25001620</v>
      </c>
      <c r="D1585" s="11" t="str">
        <f t="shared" si="99"/>
        <v>SKIIFM_AT</v>
      </c>
      <c r="E1585" s="11" t="str">
        <f>IF(I1585&lt;&gt;"",VLOOKUP(F1585,OPDRACHTGEVER!$A$2:$B$4,2,FALSE),"")</f>
        <v>SKIIFM_AT</v>
      </c>
      <c r="F1585" s="11" t="s">
        <v>58</v>
      </c>
      <c r="I1585" s="11" t="str">
        <f>IF(DATA!B1584&lt;&gt;"",DATA!B1584,"")</f>
        <v>MSDU8567372</v>
      </c>
      <c r="J1585" s="12">
        <v>0</v>
      </c>
      <c r="K1585" s="11" t="s">
        <v>53</v>
      </c>
      <c r="L1585" s="11" t="str">
        <f t="shared" si="100"/>
        <v>741920</v>
      </c>
      <c r="M1585" s="11" t="str">
        <f>IF(I1585&lt;&gt;"",DATA!E1584,"")</f>
        <v>KITCHEN SPICE RACK</v>
      </c>
      <c r="N1585" s="12">
        <v>0</v>
      </c>
      <c r="O1585" s="11">
        <f>IF(I1585&lt;&gt;"",DATA!C1584,"")</f>
        <v>80.849999999999994</v>
      </c>
      <c r="P1585" s="2">
        <v>294094</v>
      </c>
      <c r="Q1585" s="2" t="s">
        <v>1304</v>
      </c>
      <c r="R1585" s="2" t="s">
        <v>1335</v>
      </c>
      <c r="S1585" s="2">
        <v>573</v>
      </c>
      <c r="T1585" s="2">
        <v>1</v>
      </c>
      <c r="U1585" s="2" t="s">
        <v>141</v>
      </c>
      <c r="Y1585" s="2">
        <v>1700</v>
      </c>
      <c r="Z1585" s="11" t="s">
        <v>54</v>
      </c>
      <c r="AA1585" s="11" t="str">
        <f t="shared" si="101"/>
        <v>1700 - TBN</v>
      </c>
      <c r="AC1585" s="2" t="s">
        <v>145</v>
      </c>
      <c r="AD1585" s="11" t="str">
        <f>IF($I1585&lt;&gt;"",VLOOKUP($AC1585,GEADRESSEERDE!$A$2:$E$4,2,),"")</f>
        <v>LUITHAGEN HAVEN 2 D</v>
      </c>
      <c r="AE1585" s="11">
        <f>IF($I1585&lt;&gt;"",VLOOKUP($AC1585,GEADRESSEERDE!$A$2:$E$4,3,),"")</f>
        <v>2030</v>
      </c>
      <c r="AF1585" s="11" t="str">
        <f>IF($I1585&lt;&gt;"",VLOOKUP($AC1585,GEADRESSEERDE!$A$2:$E$4,4,),"")</f>
        <v>ANTWERPEN</v>
      </c>
      <c r="AG1585" s="11" t="str">
        <f>IF($I1585&lt;&gt;"",VLOOKUP($AC1585,GEADRESSEERDE!$A$2:$E$4,5,),"")</f>
        <v>BE</v>
      </c>
      <c r="AH1585" s="11" t="str">
        <f>IF(I1585&lt;&gt;"",VLOOKUP(AP1585,KvB!$A$2:$B$3,2,FALSE),"")</f>
        <v>BE101000</v>
      </c>
      <c r="AI1585" s="11" t="s">
        <v>55</v>
      </c>
      <c r="AJ1585" s="11"/>
      <c r="AK1585" s="11"/>
      <c r="AL1585" s="11"/>
      <c r="AM1585" s="11"/>
      <c r="AN1585" s="11"/>
      <c r="AO1585" s="11"/>
      <c r="AP1585" s="2" t="s">
        <v>70</v>
      </c>
      <c r="AQ1585" s="11" t="str">
        <f>IF(I1585&lt;&gt;"",DATA!D1584,"")</f>
        <v>7419200090</v>
      </c>
    </row>
    <row r="1586" spans="1:43" ht="15.75" x14ac:dyDescent="0.25">
      <c r="A1586" s="11" t="s">
        <v>57</v>
      </c>
      <c r="B1586" s="11" t="s">
        <v>56</v>
      </c>
      <c r="C1586" s="22">
        <f t="shared" si="102"/>
        <v>25001620</v>
      </c>
      <c r="D1586" s="11" t="str">
        <f t="shared" si="99"/>
        <v>SKIIFM_AT</v>
      </c>
      <c r="E1586" s="11" t="str">
        <f>IF(I1586&lt;&gt;"",VLOOKUP(F1586,OPDRACHTGEVER!$A$2:$B$4,2,FALSE),"")</f>
        <v>SKIIFM_AT</v>
      </c>
      <c r="F1586" s="11" t="s">
        <v>58</v>
      </c>
      <c r="I1586" s="11" t="str">
        <f>IF(DATA!B1585&lt;&gt;"",DATA!B1585,"")</f>
        <v>MSDU8567372</v>
      </c>
      <c r="J1586" s="12">
        <v>0</v>
      </c>
      <c r="K1586" s="11" t="s">
        <v>53</v>
      </c>
      <c r="L1586" s="11" t="str">
        <f t="shared" si="100"/>
        <v>940561</v>
      </c>
      <c r="M1586" s="11" t="str">
        <f>IF(I1586&lt;&gt;"",DATA!E1585,"")</f>
        <v>LED DISPLAY STAND</v>
      </c>
      <c r="N1586" s="12">
        <v>0</v>
      </c>
      <c r="O1586" s="11">
        <f>IF(I1586&lt;&gt;"",DATA!C1585,"")</f>
        <v>242.8</v>
      </c>
      <c r="P1586" s="2">
        <v>294094</v>
      </c>
      <c r="Q1586" s="2" t="s">
        <v>1304</v>
      </c>
      <c r="R1586" s="2" t="s">
        <v>1335</v>
      </c>
      <c r="S1586" s="2">
        <v>573</v>
      </c>
      <c r="T1586" s="2">
        <v>1</v>
      </c>
      <c r="U1586" s="2" t="s">
        <v>141</v>
      </c>
      <c r="Y1586" s="2">
        <v>1700</v>
      </c>
      <c r="Z1586" s="11" t="s">
        <v>54</v>
      </c>
      <c r="AA1586" s="11" t="str">
        <f t="shared" si="101"/>
        <v>1700 - TBN</v>
      </c>
      <c r="AC1586" s="2" t="s">
        <v>145</v>
      </c>
      <c r="AD1586" s="11" t="str">
        <f>IF($I1586&lt;&gt;"",VLOOKUP($AC1586,GEADRESSEERDE!$A$2:$E$4,2,),"")</f>
        <v>LUITHAGEN HAVEN 2 D</v>
      </c>
      <c r="AE1586" s="11">
        <f>IF($I1586&lt;&gt;"",VLOOKUP($AC1586,GEADRESSEERDE!$A$2:$E$4,3,),"")</f>
        <v>2030</v>
      </c>
      <c r="AF1586" s="11" t="str">
        <f>IF($I1586&lt;&gt;"",VLOOKUP($AC1586,GEADRESSEERDE!$A$2:$E$4,4,),"")</f>
        <v>ANTWERPEN</v>
      </c>
      <c r="AG1586" s="11" t="str">
        <f>IF($I1586&lt;&gt;"",VLOOKUP($AC1586,GEADRESSEERDE!$A$2:$E$4,5,),"")</f>
        <v>BE</v>
      </c>
      <c r="AH1586" s="11" t="str">
        <f>IF(I1586&lt;&gt;"",VLOOKUP(AP1586,KvB!$A$2:$B$3,2,FALSE),"")</f>
        <v>BE101000</v>
      </c>
      <c r="AI1586" s="11" t="s">
        <v>55</v>
      </c>
      <c r="AJ1586" s="11"/>
      <c r="AK1586" s="11"/>
      <c r="AL1586" s="11"/>
      <c r="AM1586" s="11"/>
      <c r="AN1586" s="11"/>
      <c r="AO1586" s="11"/>
      <c r="AP1586" s="2" t="s">
        <v>70</v>
      </c>
      <c r="AQ1586" s="11" t="str">
        <f>IF(I1586&lt;&gt;"",DATA!D1585,"")</f>
        <v>9405618090</v>
      </c>
    </row>
    <row r="1587" spans="1:43" ht="15.75" x14ac:dyDescent="0.25">
      <c r="A1587" s="11" t="s">
        <v>57</v>
      </c>
      <c r="B1587" s="11" t="s">
        <v>56</v>
      </c>
      <c r="C1587" s="22">
        <f t="shared" si="102"/>
        <v>25001620</v>
      </c>
      <c r="D1587" s="11" t="str">
        <f t="shared" si="99"/>
        <v>SKIIFM_AT</v>
      </c>
      <c r="E1587" s="11" t="str">
        <f>IF(I1587&lt;&gt;"",VLOOKUP(F1587,OPDRACHTGEVER!$A$2:$B$4,2,FALSE),"")</f>
        <v>SKIIFM_AT</v>
      </c>
      <c r="F1587" s="11" t="s">
        <v>58</v>
      </c>
      <c r="I1587" s="11" t="str">
        <f>IF(DATA!B1586&lt;&gt;"",DATA!B1586,"")</f>
        <v>MSDU8567372</v>
      </c>
      <c r="J1587" s="12">
        <v>0</v>
      </c>
      <c r="K1587" s="11" t="s">
        <v>53</v>
      </c>
      <c r="L1587" s="11" t="str">
        <f t="shared" si="100"/>
        <v>850760</v>
      </c>
      <c r="M1587" s="11" t="str">
        <f>IF(I1587&lt;&gt;"",DATA!E1586,"")</f>
        <v>LITHIUM ION BATTERIES FOR ELECTRIC TOOLS</v>
      </c>
      <c r="N1587" s="12">
        <v>0</v>
      </c>
      <c r="O1587" s="11">
        <f>IF(I1587&lt;&gt;"",DATA!C1586,"")</f>
        <v>41.6</v>
      </c>
      <c r="P1587" s="2">
        <v>294094</v>
      </c>
      <c r="Q1587" s="2" t="s">
        <v>1304</v>
      </c>
      <c r="R1587" s="2" t="s">
        <v>1335</v>
      </c>
      <c r="S1587" s="2">
        <v>573</v>
      </c>
      <c r="T1587" s="2">
        <v>1</v>
      </c>
      <c r="U1587" s="2" t="s">
        <v>141</v>
      </c>
      <c r="Y1587" s="2">
        <v>1700</v>
      </c>
      <c r="Z1587" s="11" t="s">
        <v>54</v>
      </c>
      <c r="AA1587" s="11" t="str">
        <f t="shared" si="101"/>
        <v>1700 - TBN</v>
      </c>
      <c r="AC1587" s="2" t="s">
        <v>145</v>
      </c>
      <c r="AD1587" s="11" t="str">
        <f>IF($I1587&lt;&gt;"",VLOOKUP($AC1587,GEADRESSEERDE!$A$2:$E$4,2,),"")</f>
        <v>LUITHAGEN HAVEN 2 D</v>
      </c>
      <c r="AE1587" s="11">
        <f>IF($I1587&lt;&gt;"",VLOOKUP($AC1587,GEADRESSEERDE!$A$2:$E$4,3,),"")</f>
        <v>2030</v>
      </c>
      <c r="AF1587" s="11" t="str">
        <f>IF($I1587&lt;&gt;"",VLOOKUP($AC1587,GEADRESSEERDE!$A$2:$E$4,4,),"")</f>
        <v>ANTWERPEN</v>
      </c>
      <c r="AG1587" s="11" t="str">
        <f>IF($I1587&lt;&gt;"",VLOOKUP($AC1587,GEADRESSEERDE!$A$2:$E$4,5,),"")</f>
        <v>BE</v>
      </c>
      <c r="AH1587" s="11" t="str">
        <f>IF(I1587&lt;&gt;"",VLOOKUP(AP1587,KvB!$A$2:$B$3,2,FALSE),"")</f>
        <v>BE101000</v>
      </c>
      <c r="AI1587" s="11" t="s">
        <v>55</v>
      </c>
      <c r="AJ1587" s="11"/>
      <c r="AK1587" s="11"/>
      <c r="AL1587" s="11"/>
      <c r="AM1587" s="11"/>
      <c r="AN1587" s="11"/>
      <c r="AO1587" s="11"/>
      <c r="AP1587" s="2" t="s">
        <v>70</v>
      </c>
      <c r="AQ1587" s="11" t="str">
        <f>IF(I1587&lt;&gt;"",DATA!D1586,"")</f>
        <v>8507600090</v>
      </c>
    </row>
    <row r="1588" spans="1:43" ht="15.75" x14ac:dyDescent="0.25">
      <c r="A1588" s="11" t="s">
        <v>57</v>
      </c>
      <c r="B1588" s="11" t="s">
        <v>56</v>
      </c>
      <c r="C1588" s="22">
        <f t="shared" si="102"/>
        <v>25001620</v>
      </c>
      <c r="D1588" s="11" t="str">
        <f t="shared" ref="D1588:D1651" si="103">E1588</f>
        <v>SKIIFM_AT</v>
      </c>
      <c r="E1588" s="11" t="str">
        <f>IF(I1588&lt;&gt;"",VLOOKUP(F1588,OPDRACHTGEVER!$A$2:$B$4,2,FALSE),"")</f>
        <v>SKIIFM_AT</v>
      </c>
      <c r="F1588" s="11" t="s">
        <v>58</v>
      </c>
      <c r="I1588" s="11" t="str">
        <f>IF(DATA!B1587&lt;&gt;"",DATA!B1587,"")</f>
        <v>MSDU8567372</v>
      </c>
      <c r="J1588" s="12">
        <v>0</v>
      </c>
      <c r="K1588" s="11" t="s">
        <v>53</v>
      </c>
      <c r="L1588" s="11" t="str">
        <f t="shared" ref="L1588:L1651" si="104">LEFT(AQ1588,6)</f>
        <v>850760</v>
      </c>
      <c r="M1588" s="11" t="str">
        <f>IF(I1588&lt;&gt;"",DATA!E1587,"")</f>
        <v>LITHIUM ION BATTERIES FOR ELECTRIC TOOLSLITHIUM ION BATTERIES FOR ELECTRIC TOOLS</v>
      </c>
      <c r="N1588" s="12">
        <v>0</v>
      </c>
      <c r="O1588" s="11">
        <f>IF(I1588&lt;&gt;"",DATA!C1587,"")</f>
        <v>4.9800000000000004</v>
      </c>
      <c r="P1588" s="2">
        <v>294094</v>
      </c>
      <c r="Q1588" s="2" t="s">
        <v>1304</v>
      </c>
      <c r="R1588" s="2" t="s">
        <v>1335</v>
      </c>
      <c r="S1588" s="2">
        <v>573</v>
      </c>
      <c r="T1588" s="2">
        <v>1</v>
      </c>
      <c r="U1588" s="2" t="s">
        <v>141</v>
      </c>
      <c r="Y1588" s="2">
        <v>1700</v>
      </c>
      <c r="Z1588" s="11" t="s">
        <v>54</v>
      </c>
      <c r="AA1588" s="11" t="str">
        <f t="shared" ref="AA1588:AA1651" si="105">IF(I1588&lt;&gt;"",Y1588&amp;" - "&amp;Z1588,"")</f>
        <v>1700 - TBN</v>
      </c>
      <c r="AC1588" s="2" t="s">
        <v>145</v>
      </c>
      <c r="AD1588" s="11" t="str">
        <f>IF($I1588&lt;&gt;"",VLOOKUP($AC1588,GEADRESSEERDE!$A$2:$E$4,2,),"")</f>
        <v>LUITHAGEN HAVEN 2 D</v>
      </c>
      <c r="AE1588" s="11">
        <f>IF($I1588&lt;&gt;"",VLOOKUP($AC1588,GEADRESSEERDE!$A$2:$E$4,3,),"")</f>
        <v>2030</v>
      </c>
      <c r="AF1588" s="11" t="str">
        <f>IF($I1588&lt;&gt;"",VLOOKUP($AC1588,GEADRESSEERDE!$A$2:$E$4,4,),"")</f>
        <v>ANTWERPEN</v>
      </c>
      <c r="AG1588" s="11" t="str">
        <f>IF($I1588&lt;&gt;"",VLOOKUP($AC1588,GEADRESSEERDE!$A$2:$E$4,5,),"")</f>
        <v>BE</v>
      </c>
      <c r="AH1588" s="11" t="str">
        <f>IF(I1588&lt;&gt;"",VLOOKUP(AP1588,KvB!$A$2:$B$3,2,FALSE),"")</f>
        <v>BE101000</v>
      </c>
      <c r="AI1588" s="11" t="s">
        <v>55</v>
      </c>
      <c r="AJ1588" s="11"/>
      <c r="AK1588" s="11"/>
      <c r="AL1588" s="11"/>
      <c r="AM1588" s="11"/>
      <c r="AN1588" s="11"/>
      <c r="AO1588" s="11"/>
      <c r="AP1588" s="2" t="s">
        <v>70</v>
      </c>
      <c r="AQ1588" s="11" t="str">
        <f>IF(I1588&lt;&gt;"",DATA!D1587,"")</f>
        <v>8507600090</v>
      </c>
    </row>
    <row r="1589" spans="1:43" ht="15.75" x14ac:dyDescent="0.25">
      <c r="A1589" s="11" t="s">
        <v>57</v>
      </c>
      <c r="B1589" s="11" t="s">
        <v>56</v>
      </c>
      <c r="C1589" s="22">
        <f t="shared" si="102"/>
        <v>25001620</v>
      </c>
      <c r="D1589" s="11" t="str">
        <f t="shared" si="103"/>
        <v>SKIIFM_AT</v>
      </c>
      <c r="E1589" s="11" t="str">
        <f>IF(I1589&lt;&gt;"",VLOOKUP(F1589,OPDRACHTGEVER!$A$2:$B$4,2,FALSE),"")</f>
        <v>SKIIFM_AT</v>
      </c>
      <c r="F1589" s="11" t="s">
        <v>58</v>
      </c>
      <c r="I1589" s="11" t="str">
        <f>IF(DATA!B1588&lt;&gt;"",DATA!B1588,"")</f>
        <v>MSDU8567372</v>
      </c>
      <c r="J1589" s="12">
        <v>0</v>
      </c>
      <c r="K1589" s="11" t="s">
        <v>53</v>
      </c>
      <c r="L1589" s="11" t="str">
        <f t="shared" si="104"/>
        <v>392690</v>
      </c>
      <c r="M1589" s="11" t="str">
        <f>IF(I1589&lt;&gt;"",DATA!E1588,"")</f>
        <v>LOCKING ON BOTH SIDES RAISED TOILET SEAT</v>
      </c>
      <c r="N1589" s="12">
        <v>0</v>
      </c>
      <c r="O1589" s="11">
        <f>IF(I1589&lt;&gt;"",DATA!C1588,"")</f>
        <v>44.9</v>
      </c>
      <c r="P1589" s="2">
        <v>294094</v>
      </c>
      <c r="Q1589" s="2" t="s">
        <v>1304</v>
      </c>
      <c r="R1589" s="2" t="s">
        <v>1335</v>
      </c>
      <c r="S1589" s="2">
        <v>573</v>
      </c>
      <c r="T1589" s="2">
        <v>1</v>
      </c>
      <c r="U1589" s="2" t="s">
        <v>141</v>
      </c>
      <c r="Y1589" s="2">
        <v>1700</v>
      </c>
      <c r="Z1589" s="11" t="s">
        <v>54</v>
      </c>
      <c r="AA1589" s="11" t="str">
        <f t="shared" si="105"/>
        <v>1700 - TBN</v>
      </c>
      <c r="AC1589" s="2" t="s">
        <v>145</v>
      </c>
      <c r="AD1589" s="11" t="str">
        <f>IF($I1589&lt;&gt;"",VLOOKUP($AC1589,GEADRESSEERDE!$A$2:$E$4,2,),"")</f>
        <v>LUITHAGEN HAVEN 2 D</v>
      </c>
      <c r="AE1589" s="11">
        <f>IF($I1589&lt;&gt;"",VLOOKUP($AC1589,GEADRESSEERDE!$A$2:$E$4,3,),"")</f>
        <v>2030</v>
      </c>
      <c r="AF1589" s="11" t="str">
        <f>IF($I1589&lt;&gt;"",VLOOKUP($AC1589,GEADRESSEERDE!$A$2:$E$4,4,),"")</f>
        <v>ANTWERPEN</v>
      </c>
      <c r="AG1589" s="11" t="str">
        <f>IF($I1589&lt;&gt;"",VLOOKUP($AC1589,GEADRESSEERDE!$A$2:$E$4,5,),"")</f>
        <v>BE</v>
      </c>
      <c r="AH1589" s="11" t="str">
        <f>IF(I1589&lt;&gt;"",VLOOKUP(AP1589,KvB!$A$2:$B$3,2,FALSE),"")</f>
        <v>BE101000</v>
      </c>
      <c r="AI1589" s="11" t="s">
        <v>55</v>
      </c>
      <c r="AJ1589" s="11"/>
      <c r="AK1589" s="11"/>
      <c r="AL1589" s="11"/>
      <c r="AM1589" s="11"/>
      <c r="AN1589" s="11"/>
      <c r="AO1589" s="11"/>
      <c r="AP1589" s="2" t="s">
        <v>70</v>
      </c>
      <c r="AQ1589" s="11" t="str">
        <f>IF(I1589&lt;&gt;"",DATA!D1588,"")</f>
        <v>3926909790</v>
      </c>
    </row>
    <row r="1590" spans="1:43" ht="15.75" x14ac:dyDescent="0.25">
      <c r="A1590" s="11" t="s">
        <v>57</v>
      </c>
      <c r="B1590" s="11" t="s">
        <v>56</v>
      </c>
      <c r="C1590" s="22">
        <f t="shared" si="102"/>
        <v>25001620</v>
      </c>
      <c r="D1590" s="11" t="str">
        <f t="shared" si="103"/>
        <v>SKIIFM_AT</v>
      </c>
      <c r="E1590" s="11" t="str">
        <f>IF(I1590&lt;&gt;"",VLOOKUP(F1590,OPDRACHTGEVER!$A$2:$B$4,2,FALSE),"")</f>
        <v>SKIIFM_AT</v>
      </c>
      <c r="F1590" s="11" t="s">
        <v>58</v>
      </c>
      <c r="I1590" s="11" t="str">
        <f>IF(DATA!B1589&lt;&gt;"",DATA!B1589,"")</f>
        <v>MSDU8567372</v>
      </c>
      <c r="J1590" s="12">
        <v>0</v>
      </c>
      <c r="K1590" s="11" t="s">
        <v>53</v>
      </c>
      <c r="L1590" s="11" t="str">
        <f t="shared" si="104"/>
        <v>741920</v>
      </c>
      <c r="M1590" s="11" t="str">
        <f>IF(I1590&lt;&gt;"",DATA!E1589,"")</f>
        <v>PET BEAUTY BATH</v>
      </c>
      <c r="N1590" s="12">
        <v>0</v>
      </c>
      <c r="O1590" s="11">
        <f>IF(I1590&lt;&gt;"",DATA!C1589,"")</f>
        <v>192.8</v>
      </c>
      <c r="P1590" s="2">
        <v>294094</v>
      </c>
      <c r="Q1590" s="2" t="s">
        <v>1304</v>
      </c>
      <c r="R1590" s="2" t="s">
        <v>1335</v>
      </c>
      <c r="S1590" s="2">
        <v>573</v>
      </c>
      <c r="T1590" s="2">
        <v>1</v>
      </c>
      <c r="U1590" s="2" t="s">
        <v>141</v>
      </c>
      <c r="Y1590" s="2">
        <v>1700</v>
      </c>
      <c r="Z1590" s="11" t="s">
        <v>54</v>
      </c>
      <c r="AA1590" s="11" t="str">
        <f t="shared" si="105"/>
        <v>1700 - TBN</v>
      </c>
      <c r="AC1590" s="2" t="s">
        <v>145</v>
      </c>
      <c r="AD1590" s="11" t="str">
        <f>IF($I1590&lt;&gt;"",VLOOKUP($AC1590,GEADRESSEERDE!$A$2:$E$4,2,),"")</f>
        <v>LUITHAGEN HAVEN 2 D</v>
      </c>
      <c r="AE1590" s="11">
        <f>IF($I1590&lt;&gt;"",VLOOKUP($AC1590,GEADRESSEERDE!$A$2:$E$4,3,),"")</f>
        <v>2030</v>
      </c>
      <c r="AF1590" s="11" t="str">
        <f>IF($I1590&lt;&gt;"",VLOOKUP($AC1590,GEADRESSEERDE!$A$2:$E$4,4,),"")</f>
        <v>ANTWERPEN</v>
      </c>
      <c r="AG1590" s="11" t="str">
        <f>IF($I1590&lt;&gt;"",VLOOKUP($AC1590,GEADRESSEERDE!$A$2:$E$4,5,),"")</f>
        <v>BE</v>
      </c>
      <c r="AH1590" s="11" t="str">
        <f>IF(I1590&lt;&gt;"",VLOOKUP(AP1590,KvB!$A$2:$B$3,2,FALSE),"")</f>
        <v>BE101000</v>
      </c>
      <c r="AI1590" s="11" t="s">
        <v>55</v>
      </c>
      <c r="AJ1590" s="11"/>
      <c r="AK1590" s="11"/>
      <c r="AL1590" s="11"/>
      <c r="AM1590" s="11"/>
      <c r="AN1590" s="11"/>
      <c r="AO1590" s="11"/>
      <c r="AP1590" s="2" t="s">
        <v>70</v>
      </c>
      <c r="AQ1590" s="11" t="str">
        <f>IF(I1590&lt;&gt;"",DATA!D1589,"")</f>
        <v>7419200090</v>
      </c>
    </row>
    <row r="1591" spans="1:43" ht="15.75" x14ac:dyDescent="0.25">
      <c r="A1591" s="11" t="s">
        <v>57</v>
      </c>
      <c r="B1591" s="11" t="s">
        <v>56</v>
      </c>
      <c r="C1591" s="22">
        <f t="shared" si="102"/>
        <v>25001620</v>
      </c>
      <c r="D1591" s="11" t="str">
        <f t="shared" si="103"/>
        <v>SKIIFM_AT</v>
      </c>
      <c r="E1591" s="11" t="str">
        <f>IF(I1591&lt;&gt;"",VLOOKUP(F1591,OPDRACHTGEVER!$A$2:$B$4,2,FALSE),"")</f>
        <v>SKIIFM_AT</v>
      </c>
      <c r="F1591" s="11" t="s">
        <v>58</v>
      </c>
      <c r="I1591" s="11" t="str">
        <f>IF(DATA!B1590&lt;&gt;"",DATA!B1590,"")</f>
        <v>MSDU8567372</v>
      </c>
      <c r="J1591" s="12">
        <v>0</v>
      </c>
      <c r="K1591" s="11" t="s">
        <v>53</v>
      </c>
      <c r="L1591" s="11" t="str">
        <f t="shared" si="104"/>
        <v>851660</v>
      </c>
      <c r="M1591" s="11" t="str">
        <f>IF(I1591&lt;&gt;"",DATA!E1590,"")</f>
        <v>PIZZA OVEN</v>
      </c>
      <c r="N1591" s="12">
        <v>0</v>
      </c>
      <c r="O1591" s="11">
        <f>IF(I1591&lt;&gt;"",DATA!C1590,"")</f>
        <v>101</v>
      </c>
      <c r="P1591" s="2">
        <v>294094</v>
      </c>
      <c r="Q1591" s="2" t="s">
        <v>1304</v>
      </c>
      <c r="R1591" s="2" t="s">
        <v>1335</v>
      </c>
      <c r="S1591" s="2">
        <v>573</v>
      </c>
      <c r="T1591" s="2">
        <v>1</v>
      </c>
      <c r="U1591" s="2" t="s">
        <v>141</v>
      </c>
      <c r="Y1591" s="2">
        <v>1700</v>
      </c>
      <c r="Z1591" s="11" t="s">
        <v>54</v>
      </c>
      <c r="AA1591" s="11" t="str">
        <f t="shared" si="105"/>
        <v>1700 - TBN</v>
      </c>
      <c r="AC1591" s="2" t="s">
        <v>145</v>
      </c>
      <c r="AD1591" s="11" t="str">
        <f>IF($I1591&lt;&gt;"",VLOOKUP($AC1591,GEADRESSEERDE!$A$2:$E$4,2,),"")</f>
        <v>LUITHAGEN HAVEN 2 D</v>
      </c>
      <c r="AE1591" s="11">
        <f>IF($I1591&lt;&gt;"",VLOOKUP($AC1591,GEADRESSEERDE!$A$2:$E$4,3,),"")</f>
        <v>2030</v>
      </c>
      <c r="AF1591" s="11" t="str">
        <f>IF($I1591&lt;&gt;"",VLOOKUP($AC1591,GEADRESSEERDE!$A$2:$E$4,4,),"")</f>
        <v>ANTWERPEN</v>
      </c>
      <c r="AG1591" s="11" t="str">
        <f>IF($I1591&lt;&gt;"",VLOOKUP($AC1591,GEADRESSEERDE!$A$2:$E$4,5,),"")</f>
        <v>BE</v>
      </c>
      <c r="AH1591" s="11" t="str">
        <f>IF(I1591&lt;&gt;"",VLOOKUP(AP1591,KvB!$A$2:$B$3,2,FALSE),"")</f>
        <v>BE101000</v>
      </c>
      <c r="AI1591" s="11" t="s">
        <v>55</v>
      </c>
      <c r="AJ1591" s="11"/>
      <c r="AK1591" s="11"/>
      <c r="AL1591" s="11"/>
      <c r="AM1591" s="11"/>
      <c r="AN1591" s="11"/>
      <c r="AO1591" s="11"/>
      <c r="AP1591" s="2" t="s">
        <v>70</v>
      </c>
      <c r="AQ1591" s="11" t="str">
        <f>IF(I1591&lt;&gt;"",DATA!D1590,"")</f>
        <v>8516605000</v>
      </c>
    </row>
    <row r="1592" spans="1:43" ht="15.75" x14ac:dyDescent="0.25">
      <c r="A1592" s="11" t="s">
        <v>57</v>
      </c>
      <c r="B1592" s="11" t="s">
        <v>56</v>
      </c>
      <c r="C1592" s="22">
        <f t="shared" si="102"/>
        <v>25001620</v>
      </c>
      <c r="D1592" s="11" t="str">
        <f t="shared" si="103"/>
        <v>SKIIFM_AT</v>
      </c>
      <c r="E1592" s="11" t="str">
        <f>IF(I1592&lt;&gt;"",VLOOKUP(F1592,OPDRACHTGEVER!$A$2:$B$4,2,FALSE),"")</f>
        <v>SKIIFM_AT</v>
      </c>
      <c r="F1592" s="11" t="s">
        <v>58</v>
      </c>
      <c r="I1592" s="11" t="str">
        <f>IF(DATA!B1591&lt;&gt;"",DATA!B1591,"")</f>
        <v>MSDU8567372</v>
      </c>
      <c r="J1592" s="12">
        <v>0</v>
      </c>
      <c r="K1592" s="11" t="s">
        <v>53</v>
      </c>
      <c r="L1592" s="11" t="str">
        <f t="shared" si="104"/>
        <v>843810</v>
      </c>
      <c r="M1592" s="11" t="str">
        <f>IF(I1592&lt;&gt;"",DATA!E1591,"")</f>
        <v>POPCORN MACHINE</v>
      </c>
      <c r="N1592" s="12">
        <v>0</v>
      </c>
      <c r="O1592" s="11">
        <f>IF(I1592&lt;&gt;"",DATA!C1591,"")</f>
        <v>233.2</v>
      </c>
      <c r="P1592" s="2">
        <v>294094</v>
      </c>
      <c r="Q1592" s="2" t="s">
        <v>1304</v>
      </c>
      <c r="R1592" s="2" t="s">
        <v>1335</v>
      </c>
      <c r="S1592" s="2">
        <v>573</v>
      </c>
      <c r="T1592" s="2">
        <v>1</v>
      </c>
      <c r="U1592" s="2" t="s">
        <v>141</v>
      </c>
      <c r="Y1592" s="2">
        <v>1700</v>
      </c>
      <c r="Z1592" s="11" t="s">
        <v>54</v>
      </c>
      <c r="AA1592" s="11" t="str">
        <f t="shared" si="105"/>
        <v>1700 - TBN</v>
      </c>
      <c r="AC1592" s="2" t="s">
        <v>145</v>
      </c>
      <c r="AD1592" s="11" t="str">
        <f>IF($I1592&lt;&gt;"",VLOOKUP($AC1592,GEADRESSEERDE!$A$2:$E$4,2,),"")</f>
        <v>LUITHAGEN HAVEN 2 D</v>
      </c>
      <c r="AE1592" s="11">
        <f>IF($I1592&lt;&gt;"",VLOOKUP($AC1592,GEADRESSEERDE!$A$2:$E$4,3,),"")</f>
        <v>2030</v>
      </c>
      <c r="AF1592" s="11" t="str">
        <f>IF($I1592&lt;&gt;"",VLOOKUP($AC1592,GEADRESSEERDE!$A$2:$E$4,4,),"")</f>
        <v>ANTWERPEN</v>
      </c>
      <c r="AG1592" s="11" t="str">
        <f>IF($I1592&lt;&gt;"",VLOOKUP($AC1592,GEADRESSEERDE!$A$2:$E$4,5,),"")</f>
        <v>BE</v>
      </c>
      <c r="AH1592" s="11" t="str">
        <f>IF(I1592&lt;&gt;"",VLOOKUP(AP1592,KvB!$A$2:$B$3,2,FALSE),"")</f>
        <v>BE101000</v>
      </c>
      <c r="AI1592" s="11" t="s">
        <v>55</v>
      </c>
      <c r="AJ1592" s="11"/>
      <c r="AK1592" s="11"/>
      <c r="AL1592" s="11"/>
      <c r="AM1592" s="11"/>
      <c r="AN1592" s="11"/>
      <c r="AO1592" s="11"/>
      <c r="AP1592" s="2" t="s">
        <v>70</v>
      </c>
      <c r="AQ1592" s="11" t="str">
        <f>IF(I1592&lt;&gt;"",DATA!D1591,"")</f>
        <v>8438101000</v>
      </c>
    </row>
    <row r="1593" spans="1:43" ht="15.75" x14ac:dyDescent="0.25">
      <c r="A1593" s="11" t="s">
        <v>57</v>
      </c>
      <c r="B1593" s="11" t="s">
        <v>56</v>
      </c>
      <c r="C1593" s="22">
        <f t="shared" si="102"/>
        <v>25001620</v>
      </c>
      <c r="D1593" s="11" t="str">
        <f t="shared" si="103"/>
        <v>SKIIFM_AT</v>
      </c>
      <c r="E1593" s="11" t="str">
        <f>IF(I1593&lt;&gt;"",VLOOKUP(F1593,OPDRACHTGEVER!$A$2:$B$4,2,FALSE),"")</f>
        <v>SKIIFM_AT</v>
      </c>
      <c r="F1593" s="11" t="s">
        <v>58</v>
      </c>
      <c r="I1593" s="11" t="str">
        <f>IF(DATA!B1592&lt;&gt;"",DATA!B1592,"")</f>
        <v>MSDU8567372</v>
      </c>
      <c r="J1593" s="12">
        <v>0</v>
      </c>
      <c r="K1593" s="11" t="s">
        <v>53</v>
      </c>
      <c r="L1593" s="11" t="str">
        <f t="shared" si="104"/>
        <v>741920</v>
      </c>
      <c r="M1593" s="11" t="str">
        <f>IF(I1593&lt;&gt;"",DATA!E1592,"")</f>
        <v>QUEUE LINE PROTECT</v>
      </c>
      <c r="N1593" s="12">
        <v>0</v>
      </c>
      <c r="O1593" s="11">
        <f>IF(I1593&lt;&gt;"",DATA!C1592,"")</f>
        <v>2089.2199999999998</v>
      </c>
      <c r="P1593" s="2">
        <v>294094</v>
      </c>
      <c r="Q1593" s="2" t="s">
        <v>1304</v>
      </c>
      <c r="R1593" s="2" t="s">
        <v>1335</v>
      </c>
      <c r="S1593" s="2">
        <v>573</v>
      </c>
      <c r="T1593" s="2">
        <v>1</v>
      </c>
      <c r="U1593" s="2" t="s">
        <v>141</v>
      </c>
      <c r="Y1593" s="2">
        <v>1700</v>
      </c>
      <c r="Z1593" s="11" t="s">
        <v>54</v>
      </c>
      <c r="AA1593" s="11" t="str">
        <f t="shared" si="105"/>
        <v>1700 - TBN</v>
      </c>
      <c r="AC1593" s="2" t="s">
        <v>145</v>
      </c>
      <c r="AD1593" s="11" t="str">
        <f>IF($I1593&lt;&gt;"",VLOOKUP($AC1593,GEADRESSEERDE!$A$2:$E$4,2,),"")</f>
        <v>LUITHAGEN HAVEN 2 D</v>
      </c>
      <c r="AE1593" s="11">
        <f>IF($I1593&lt;&gt;"",VLOOKUP($AC1593,GEADRESSEERDE!$A$2:$E$4,3,),"")</f>
        <v>2030</v>
      </c>
      <c r="AF1593" s="11" t="str">
        <f>IF($I1593&lt;&gt;"",VLOOKUP($AC1593,GEADRESSEERDE!$A$2:$E$4,4,),"")</f>
        <v>ANTWERPEN</v>
      </c>
      <c r="AG1593" s="11" t="str">
        <f>IF($I1593&lt;&gt;"",VLOOKUP($AC1593,GEADRESSEERDE!$A$2:$E$4,5,),"")</f>
        <v>BE</v>
      </c>
      <c r="AH1593" s="11" t="str">
        <f>IF(I1593&lt;&gt;"",VLOOKUP(AP1593,KvB!$A$2:$B$3,2,FALSE),"")</f>
        <v>BE101000</v>
      </c>
      <c r="AI1593" s="11" t="s">
        <v>55</v>
      </c>
      <c r="AJ1593" s="11"/>
      <c r="AK1593" s="11"/>
      <c r="AL1593" s="11"/>
      <c r="AM1593" s="11"/>
      <c r="AN1593" s="11"/>
      <c r="AO1593" s="11"/>
      <c r="AP1593" s="2" t="s">
        <v>70</v>
      </c>
      <c r="AQ1593" s="11" t="str">
        <f>IF(I1593&lt;&gt;"",DATA!D1592,"")</f>
        <v>7419200090</v>
      </c>
    </row>
    <row r="1594" spans="1:43" ht="15.75" x14ac:dyDescent="0.25">
      <c r="A1594" s="11" t="s">
        <v>57</v>
      </c>
      <c r="B1594" s="11" t="s">
        <v>56</v>
      </c>
      <c r="C1594" s="22">
        <f t="shared" si="102"/>
        <v>25001620</v>
      </c>
      <c r="D1594" s="11" t="str">
        <f t="shared" si="103"/>
        <v>SKIIFM_AT</v>
      </c>
      <c r="E1594" s="11" t="str">
        <f>IF(I1594&lt;&gt;"",VLOOKUP(F1594,OPDRACHTGEVER!$A$2:$B$4,2,FALSE),"")</f>
        <v>SKIIFM_AT</v>
      </c>
      <c r="F1594" s="11" t="s">
        <v>58</v>
      </c>
      <c r="I1594" s="11" t="str">
        <f>IF(DATA!B1593&lt;&gt;"",DATA!B1593,"")</f>
        <v>MSDU8567372</v>
      </c>
      <c r="J1594" s="12">
        <v>0</v>
      </c>
      <c r="K1594" s="11" t="s">
        <v>53</v>
      </c>
      <c r="L1594" s="11" t="str">
        <f t="shared" si="104"/>
        <v>871680</v>
      </c>
      <c r="M1594" s="11" t="str">
        <f>IF(I1594&lt;&gt;"",DATA!E1593,"")</f>
        <v>SHEET MATERIAL TROLLEY</v>
      </c>
      <c r="N1594" s="12">
        <v>0</v>
      </c>
      <c r="O1594" s="11">
        <f>IF(I1594&lt;&gt;"",DATA!C1593,"")</f>
        <v>555.79999999999995</v>
      </c>
      <c r="P1594" s="2">
        <v>294094</v>
      </c>
      <c r="Q1594" s="2" t="s">
        <v>1304</v>
      </c>
      <c r="R1594" s="2" t="s">
        <v>1335</v>
      </c>
      <c r="S1594" s="2">
        <v>573</v>
      </c>
      <c r="T1594" s="2">
        <v>1</v>
      </c>
      <c r="U1594" s="2" t="s">
        <v>141</v>
      </c>
      <c r="Y1594" s="2">
        <v>1700</v>
      </c>
      <c r="Z1594" s="11" t="s">
        <v>54</v>
      </c>
      <c r="AA1594" s="11" t="str">
        <f t="shared" si="105"/>
        <v>1700 - TBN</v>
      </c>
      <c r="AC1594" s="2" t="s">
        <v>145</v>
      </c>
      <c r="AD1594" s="11" t="str">
        <f>IF($I1594&lt;&gt;"",VLOOKUP($AC1594,GEADRESSEERDE!$A$2:$E$4,2,),"")</f>
        <v>LUITHAGEN HAVEN 2 D</v>
      </c>
      <c r="AE1594" s="11">
        <f>IF($I1594&lt;&gt;"",VLOOKUP($AC1594,GEADRESSEERDE!$A$2:$E$4,3,),"")</f>
        <v>2030</v>
      </c>
      <c r="AF1594" s="11" t="str">
        <f>IF($I1594&lt;&gt;"",VLOOKUP($AC1594,GEADRESSEERDE!$A$2:$E$4,4,),"")</f>
        <v>ANTWERPEN</v>
      </c>
      <c r="AG1594" s="11" t="str">
        <f>IF($I1594&lt;&gt;"",VLOOKUP($AC1594,GEADRESSEERDE!$A$2:$E$4,5,),"")</f>
        <v>BE</v>
      </c>
      <c r="AH1594" s="11" t="str">
        <f>IF(I1594&lt;&gt;"",VLOOKUP(AP1594,KvB!$A$2:$B$3,2,FALSE),"")</f>
        <v>BE101000</v>
      </c>
      <c r="AI1594" s="11" t="s">
        <v>55</v>
      </c>
      <c r="AJ1594" s="11"/>
      <c r="AK1594" s="11"/>
      <c r="AL1594" s="11"/>
      <c r="AM1594" s="11"/>
      <c r="AN1594" s="11"/>
      <c r="AO1594" s="11"/>
      <c r="AP1594" s="2" t="s">
        <v>70</v>
      </c>
      <c r="AQ1594" s="11" t="str">
        <f>IF(I1594&lt;&gt;"",DATA!D1593,"")</f>
        <v>8716800000</v>
      </c>
    </row>
    <row r="1595" spans="1:43" ht="15.75" x14ac:dyDescent="0.25">
      <c r="A1595" s="11" t="s">
        <v>57</v>
      </c>
      <c r="B1595" s="11" t="s">
        <v>56</v>
      </c>
      <c r="C1595" s="22">
        <f t="shared" si="102"/>
        <v>25001620</v>
      </c>
      <c r="D1595" s="11" t="str">
        <f t="shared" si="103"/>
        <v>SKIIFM_AT</v>
      </c>
      <c r="E1595" s="11" t="str">
        <f>IF(I1595&lt;&gt;"",VLOOKUP(F1595,OPDRACHTGEVER!$A$2:$B$4,2,FALSE),"")</f>
        <v>SKIIFM_AT</v>
      </c>
      <c r="F1595" s="11" t="s">
        <v>58</v>
      </c>
      <c r="I1595" s="11" t="str">
        <f>IF(DATA!B1594&lt;&gt;"",DATA!B1594,"")</f>
        <v>MSDU8567372</v>
      </c>
      <c r="J1595" s="12">
        <v>0</v>
      </c>
      <c r="K1595" s="11" t="s">
        <v>53</v>
      </c>
      <c r="L1595" s="11" t="str">
        <f t="shared" si="104"/>
        <v>670210</v>
      </c>
      <c r="M1595" s="11" t="str">
        <f>IF(I1595&lt;&gt;"",DATA!E1594,"")</f>
        <v>SIMULATED BALL SEED POT</v>
      </c>
      <c r="N1595" s="12">
        <v>0</v>
      </c>
      <c r="O1595" s="11">
        <f>IF(I1595&lt;&gt;"",DATA!C1594,"")</f>
        <v>23</v>
      </c>
      <c r="P1595" s="2">
        <v>294094</v>
      </c>
      <c r="Q1595" s="2" t="s">
        <v>1304</v>
      </c>
      <c r="R1595" s="2" t="s">
        <v>1335</v>
      </c>
      <c r="S1595" s="2">
        <v>573</v>
      </c>
      <c r="T1595" s="2">
        <v>1</v>
      </c>
      <c r="U1595" s="2" t="s">
        <v>141</v>
      </c>
      <c r="Y1595" s="2">
        <v>1700</v>
      </c>
      <c r="Z1595" s="11" t="s">
        <v>54</v>
      </c>
      <c r="AA1595" s="11" t="str">
        <f t="shared" si="105"/>
        <v>1700 - TBN</v>
      </c>
      <c r="AC1595" s="2" t="s">
        <v>145</v>
      </c>
      <c r="AD1595" s="11" t="str">
        <f>IF($I1595&lt;&gt;"",VLOOKUP($AC1595,GEADRESSEERDE!$A$2:$E$4,2,),"")</f>
        <v>LUITHAGEN HAVEN 2 D</v>
      </c>
      <c r="AE1595" s="11">
        <f>IF($I1595&lt;&gt;"",VLOOKUP($AC1595,GEADRESSEERDE!$A$2:$E$4,3,),"")</f>
        <v>2030</v>
      </c>
      <c r="AF1595" s="11" t="str">
        <f>IF($I1595&lt;&gt;"",VLOOKUP($AC1595,GEADRESSEERDE!$A$2:$E$4,4,),"")</f>
        <v>ANTWERPEN</v>
      </c>
      <c r="AG1595" s="11" t="str">
        <f>IF($I1595&lt;&gt;"",VLOOKUP($AC1595,GEADRESSEERDE!$A$2:$E$4,5,),"")</f>
        <v>BE</v>
      </c>
      <c r="AH1595" s="11" t="str">
        <f>IF(I1595&lt;&gt;"",VLOOKUP(AP1595,KvB!$A$2:$B$3,2,FALSE),"")</f>
        <v>BE101000</v>
      </c>
      <c r="AI1595" s="11" t="s">
        <v>55</v>
      </c>
      <c r="AJ1595" s="11"/>
      <c r="AK1595" s="11"/>
      <c r="AL1595" s="11"/>
      <c r="AM1595" s="11"/>
      <c r="AN1595" s="11"/>
      <c r="AO1595" s="11"/>
      <c r="AP1595" s="2" t="s">
        <v>70</v>
      </c>
      <c r="AQ1595" s="11" t="str">
        <f>IF(I1595&lt;&gt;"",DATA!D1594,"")</f>
        <v>6702100000</v>
      </c>
    </row>
    <row r="1596" spans="1:43" ht="15.75" x14ac:dyDescent="0.25">
      <c r="A1596" s="11" t="s">
        <v>57</v>
      </c>
      <c r="B1596" s="11" t="s">
        <v>56</v>
      </c>
      <c r="C1596" s="22">
        <f t="shared" si="102"/>
        <v>25001620</v>
      </c>
      <c r="D1596" s="11" t="str">
        <f t="shared" si="103"/>
        <v>SKIIFM_AT</v>
      </c>
      <c r="E1596" s="11" t="str">
        <f>IF(I1596&lt;&gt;"",VLOOKUP(F1596,OPDRACHTGEVER!$A$2:$B$4,2,FALSE),"")</f>
        <v>SKIIFM_AT</v>
      </c>
      <c r="F1596" s="11" t="s">
        <v>58</v>
      </c>
      <c r="I1596" s="11" t="str">
        <f>IF(DATA!B1595&lt;&gt;"",DATA!B1595,"")</f>
        <v>MSDU8567372</v>
      </c>
      <c r="J1596" s="12">
        <v>0</v>
      </c>
      <c r="K1596" s="11" t="s">
        <v>53</v>
      </c>
      <c r="L1596" s="11" t="str">
        <f t="shared" si="104"/>
        <v>820551</v>
      </c>
      <c r="M1596" s="11" t="str">
        <f>IF(I1596&lt;&gt;"",DATA!E1595,"")</f>
        <v>SUCKER</v>
      </c>
      <c r="N1596" s="12">
        <v>0</v>
      </c>
      <c r="O1596" s="11">
        <f>IF(I1596&lt;&gt;"",DATA!C1595,"")</f>
        <v>35</v>
      </c>
      <c r="P1596" s="2">
        <v>294094</v>
      </c>
      <c r="Q1596" s="2" t="s">
        <v>1304</v>
      </c>
      <c r="R1596" s="2" t="s">
        <v>1335</v>
      </c>
      <c r="S1596" s="2">
        <v>573</v>
      </c>
      <c r="T1596" s="2">
        <v>1</v>
      </c>
      <c r="U1596" s="2" t="s">
        <v>141</v>
      </c>
      <c r="Y1596" s="2">
        <v>1700</v>
      </c>
      <c r="Z1596" s="11" t="s">
        <v>54</v>
      </c>
      <c r="AA1596" s="11" t="str">
        <f t="shared" si="105"/>
        <v>1700 - TBN</v>
      </c>
      <c r="AC1596" s="2" t="s">
        <v>145</v>
      </c>
      <c r="AD1596" s="11" t="str">
        <f>IF($I1596&lt;&gt;"",VLOOKUP($AC1596,GEADRESSEERDE!$A$2:$E$4,2,),"")</f>
        <v>LUITHAGEN HAVEN 2 D</v>
      </c>
      <c r="AE1596" s="11">
        <f>IF($I1596&lt;&gt;"",VLOOKUP($AC1596,GEADRESSEERDE!$A$2:$E$4,3,),"")</f>
        <v>2030</v>
      </c>
      <c r="AF1596" s="11" t="str">
        <f>IF($I1596&lt;&gt;"",VLOOKUP($AC1596,GEADRESSEERDE!$A$2:$E$4,4,),"")</f>
        <v>ANTWERPEN</v>
      </c>
      <c r="AG1596" s="11" t="str">
        <f>IF($I1596&lt;&gt;"",VLOOKUP($AC1596,GEADRESSEERDE!$A$2:$E$4,5,),"")</f>
        <v>BE</v>
      </c>
      <c r="AH1596" s="11" t="str">
        <f>IF(I1596&lt;&gt;"",VLOOKUP(AP1596,KvB!$A$2:$B$3,2,FALSE),"")</f>
        <v>BE101000</v>
      </c>
      <c r="AI1596" s="11" t="s">
        <v>55</v>
      </c>
      <c r="AJ1596" s="11"/>
      <c r="AK1596" s="11"/>
      <c r="AL1596" s="11"/>
      <c r="AM1596" s="11"/>
      <c r="AN1596" s="11"/>
      <c r="AO1596" s="11"/>
      <c r="AP1596" s="2" t="s">
        <v>70</v>
      </c>
      <c r="AQ1596" s="11" t="str">
        <f>IF(I1596&lt;&gt;"",DATA!D1595,"")</f>
        <v>8205510000</v>
      </c>
    </row>
    <row r="1597" spans="1:43" ht="15.75" x14ac:dyDescent="0.25">
      <c r="A1597" s="11" t="s">
        <v>57</v>
      </c>
      <c r="B1597" s="11" t="s">
        <v>56</v>
      </c>
      <c r="C1597" s="22">
        <f t="shared" si="102"/>
        <v>25001620</v>
      </c>
      <c r="D1597" s="11" t="str">
        <f t="shared" si="103"/>
        <v>SKIIFM_AT</v>
      </c>
      <c r="E1597" s="11" t="str">
        <f>IF(I1597&lt;&gt;"",VLOOKUP(F1597,OPDRACHTGEVER!$A$2:$B$4,2,FALSE),"")</f>
        <v>SKIIFM_AT</v>
      </c>
      <c r="F1597" s="11" t="s">
        <v>58</v>
      </c>
      <c r="I1597" s="11" t="str">
        <f>IF(DATA!B1596&lt;&gt;"",DATA!B1596,"")</f>
        <v>MSDU8567372</v>
      </c>
      <c r="J1597" s="12">
        <v>0</v>
      </c>
      <c r="K1597" s="11" t="s">
        <v>53</v>
      </c>
      <c r="L1597" s="11" t="str">
        <f t="shared" si="104"/>
        <v>761520</v>
      </c>
      <c r="M1597" s="11" t="str">
        <f>IF(I1597&lt;&gt;"",DATA!E1596,"")</f>
        <v>TOILET ARMREST</v>
      </c>
      <c r="N1597" s="12">
        <v>0</v>
      </c>
      <c r="O1597" s="11">
        <f>IF(I1597&lt;&gt;"",DATA!C1596,"")</f>
        <v>154.69999999999999</v>
      </c>
      <c r="P1597" s="2">
        <v>294094</v>
      </c>
      <c r="Q1597" s="2" t="s">
        <v>1304</v>
      </c>
      <c r="R1597" s="2" t="s">
        <v>1335</v>
      </c>
      <c r="S1597" s="2">
        <v>573</v>
      </c>
      <c r="T1597" s="2">
        <v>1</v>
      </c>
      <c r="U1597" s="2" t="s">
        <v>141</v>
      </c>
      <c r="Y1597" s="2">
        <v>1700</v>
      </c>
      <c r="Z1597" s="11" t="s">
        <v>54</v>
      </c>
      <c r="AA1597" s="11" t="str">
        <f t="shared" si="105"/>
        <v>1700 - TBN</v>
      </c>
      <c r="AC1597" s="2" t="s">
        <v>145</v>
      </c>
      <c r="AD1597" s="11" t="str">
        <f>IF($I1597&lt;&gt;"",VLOOKUP($AC1597,GEADRESSEERDE!$A$2:$E$4,2,),"")</f>
        <v>LUITHAGEN HAVEN 2 D</v>
      </c>
      <c r="AE1597" s="11">
        <f>IF($I1597&lt;&gt;"",VLOOKUP($AC1597,GEADRESSEERDE!$A$2:$E$4,3,),"")</f>
        <v>2030</v>
      </c>
      <c r="AF1597" s="11" t="str">
        <f>IF($I1597&lt;&gt;"",VLOOKUP($AC1597,GEADRESSEERDE!$A$2:$E$4,4,),"")</f>
        <v>ANTWERPEN</v>
      </c>
      <c r="AG1597" s="11" t="str">
        <f>IF($I1597&lt;&gt;"",VLOOKUP($AC1597,GEADRESSEERDE!$A$2:$E$4,5,),"")</f>
        <v>BE</v>
      </c>
      <c r="AH1597" s="11" t="str">
        <f>IF(I1597&lt;&gt;"",VLOOKUP(AP1597,KvB!$A$2:$B$3,2,FALSE),"")</f>
        <v>BE101000</v>
      </c>
      <c r="AI1597" s="11" t="s">
        <v>55</v>
      </c>
      <c r="AJ1597" s="11"/>
      <c r="AK1597" s="11"/>
      <c r="AL1597" s="11"/>
      <c r="AM1597" s="11"/>
      <c r="AN1597" s="11"/>
      <c r="AO1597" s="11"/>
      <c r="AP1597" s="2" t="s">
        <v>70</v>
      </c>
      <c r="AQ1597" s="11" t="str">
        <f>IF(I1597&lt;&gt;"",DATA!D1596,"")</f>
        <v>7615200000</v>
      </c>
    </row>
    <row r="1598" spans="1:43" ht="15.75" x14ac:dyDescent="0.25">
      <c r="A1598" s="11" t="s">
        <v>57</v>
      </c>
      <c r="B1598" s="11" t="s">
        <v>56</v>
      </c>
      <c r="C1598" s="22">
        <f t="shared" si="102"/>
        <v>25001620</v>
      </c>
      <c r="D1598" s="11" t="str">
        <f t="shared" si="103"/>
        <v>SKIIFM_AT</v>
      </c>
      <c r="E1598" s="11" t="str">
        <f>IF(I1598&lt;&gt;"",VLOOKUP(F1598,OPDRACHTGEVER!$A$2:$B$4,2,FALSE),"")</f>
        <v>SKIIFM_AT</v>
      </c>
      <c r="F1598" s="11" t="s">
        <v>58</v>
      </c>
      <c r="I1598" s="11" t="str">
        <f>IF(DATA!B1597&lt;&gt;"",DATA!B1597,"")</f>
        <v>MSDU8567372</v>
      </c>
      <c r="J1598" s="12">
        <v>0</v>
      </c>
      <c r="K1598" s="11" t="s">
        <v>53</v>
      </c>
      <c r="L1598" s="11" t="str">
        <f t="shared" si="104"/>
        <v>660200</v>
      </c>
      <c r="M1598" s="11" t="str">
        <f>IF(I1598&lt;&gt;"",DATA!E1597,"")</f>
        <v>UNDERARM CRUTCHES</v>
      </c>
      <c r="N1598" s="12">
        <v>0</v>
      </c>
      <c r="O1598" s="11">
        <f>IF(I1598&lt;&gt;"",DATA!C1597,"")</f>
        <v>160.6</v>
      </c>
      <c r="P1598" s="2">
        <v>294094</v>
      </c>
      <c r="Q1598" s="2" t="s">
        <v>1304</v>
      </c>
      <c r="R1598" s="2" t="s">
        <v>1335</v>
      </c>
      <c r="S1598" s="2">
        <v>573</v>
      </c>
      <c r="T1598" s="2">
        <v>1</v>
      </c>
      <c r="U1598" s="2" t="s">
        <v>141</v>
      </c>
      <c r="Y1598" s="2">
        <v>1700</v>
      </c>
      <c r="Z1598" s="11" t="s">
        <v>54</v>
      </c>
      <c r="AA1598" s="11" t="str">
        <f t="shared" si="105"/>
        <v>1700 - TBN</v>
      </c>
      <c r="AC1598" s="2" t="s">
        <v>145</v>
      </c>
      <c r="AD1598" s="11" t="str">
        <f>IF($I1598&lt;&gt;"",VLOOKUP($AC1598,GEADRESSEERDE!$A$2:$E$4,2,),"")</f>
        <v>LUITHAGEN HAVEN 2 D</v>
      </c>
      <c r="AE1598" s="11">
        <f>IF($I1598&lt;&gt;"",VLOOKUP($AC1598,GEADRESSEERDE!$A$2:$E$4,3,),"")</f>
        <v>2030</v>
      </c>
      <c r="AF1598" s="11" t="str">
        <f>IF($I1598&lt;&gt;"",VLOOKUP($AC1598,GEADRESSEERDE!$A$2:$E$4,4,),"")</f>
        <v>ANTWERPEN</v>
      </c>
      <c r="AG1598" s="11" t="str">
        <f>IF($I1598&lt;&gt;"",VLOOKUP($AC1598,GEADRESSEERDE!$A$2:$E$4,5,),"")</f>
        <v>BE</v>
      </c>
      <c r="AH1598" s="11" t="str">
        <f>IF(I1598&lt;&gt;"",VLOOKUP(AP1598,KvB!$A$2:$B$3,2,FALSE),"")</f>
        <v>BE101000</v>
      </c>
      <c r="AI1598" s="11" t="s">
        <v>55</v>
      </c>
      <c r="AJ1598" s="11"/>
      <c r="AK1598" s="11"/>
      <c r="AL1598" s="11"/>
      <c r="AM1598" s="11"/>
      <c r="AN1598" s="11"/>
      <c r="AO1598" s="11"/>
      <c r="AP1598" s="2" t="s">
        <v>70</v>
      </c>
      <c r="AQ1598" s="11" t="str">
        <f>IF(I1598&lt;&gt;"",DATA!D1597,"")</f>
        <v>6602000090</v>
      </c>
    </row>
    <row r="1599" spans="1:43" ht="15.75" x14ac:dyDescent="0.25">
      <c r="A1599" s="11" t="s">
        <v>57</v>
      </c>
      <c r="B1599" s="11" t="s">
        <v>56</v>
      </c>
      <c r="C1599" s="22">
        <f t="shared" si="102"/>
        <v>25001620</v>
      </c>
      <c r="D1599" s="11" t="str">
        <f t="shared" si="103"/>
        <v>SKIIFM_AT</v>
      </c>
      <c r="E1599" s="11" t="str">
        <f>IF(I1599&lt;&gt;"",VLOOKUP(F1599,OPDRACHTGEVER!$A$2:$B$4,2,FALSE),"")</f>
        <v>SKIIFM_AT</v>
      </c>
      <c r="F1599" s="11" t="s">
        <v>58</v>
      </c>
      <c r="I1599" s="11" t="str">
        <f>IF(DATA!B1598&lt;&gt;"",DATA!B1598,"")</f>
        <v>MSDU8567372</v>
      </c>
      <c r="J1599" s="12">
        <v>0</v>
      </c>
      <c r="K1599" s="11" t="s">
        <v>53</v>
      </c>
      <c r="L1599" s="11" t="str">
        <f t="shared" si="104"/>
        <v>841830</v>
      </c>
      <c r="M1599" s="11" t="str">
        <f>IF(I1599&lt;&gt;"",DATA!E1598,"")</f>
        <v>VEHICLE REFRIGERATOR</v>
      </c>
      <c r="N1599" s="12">
        <v>0</v>
      </c>
      <c r="O1599" s="11">
        <f>IF(I1599&lt;&gt;"",DATA!C1598,"")</f>
        <v>1567.45</v>
      </c>
      <c r="P1599" s="2">
        <v>294094</v>
      </c>
      <c r="Q1599" s="2" t="s">
        <v>1304</v>
      </c>
      <c r="R1599" s="2" t="s">
        <v>1335</v>
      </c>
      <c r="S1599" s="2">
        <v>573</v>
      </c>
      <c r="T1599" s="2">
        <v>1</v>
      </c>
      <c r="U1599" s="2" t="s">
        <v>141</v>
      </c>
      <c r="Y1599" s="2">
        <v>1700</v>
      </c>
      <c r="Z1599" s="11" t="s">
        <v>54</v>
      </c>
      <c r="AA1599" s="11" t="str">
        <f t="shared" si="105"/>
        <v>1700 - TBN</v>
      </c>
      <c r="AC1599" s="2" t="s">
        <v>145</v>
      </c>
      <c r="AD1599" s="11" t="str">
        <f>IF($I1599&lt;&gt;"",VLOOKUP($AC1599,GEADRESSEERDE!$A$2:$E$4,2,),"")</f>
        <v>LUITHAGEN HAVEN 2 D</v>
      </c>
      <c r="AE1599" s="11">
        <f>IF($I1599&lt;&gt;"",VLOOKUP($AC1599,GEADRESSEERDE!$A$2:$E$4,3,),"")</f>
        <v>2030</v>
      </c>
      <c r="AF1599" s="11" t="str">
        <f>IF($I1599&lt;&gt;"",VLOOKUP($AC1599,GEADRESSEERDE!$A$2:$E$4,4,),"")</f>
        <v>ANTWERPEN</v>
      </c>
      <c r="AG1599" s="11" t="str">
        <f>IF($I1599&lt;&gt;"",VLOOKUP($AC1599,GEADRESSEERDE!$A$2:$E$4,5,),"")</f>
        <v>BE</v>
      </c>
      <c r="AH1599" s="11" t="str">
        <f>IF(I1599&lt;&gt;"",VLOOKUP(AP1599,KvB!$A$2:$B$3,2,FALSE),"")</f>
        <v>BE101000</v>
      </c>
      <c r="AI1599" s="11" t="s">
        <v>55</v>
      </c>
      <c r="AJ1599" s="11"/>
      <c r="AK1599" s="11"/>
      <c r="AL1599" s="11"/>
      <c r="AM1599" s="11"/>
      <c r="AN1599" s="11"/>
      <c r="AO1599" s="11"/>
      <c r="AP1599" s="2" t="s">
        <v>70</v>
      </c>
      <c r="AQ1599" s="11" t="str">
        <f>IF(I1599&lt;&gt;"",DATA!D1598,"")</f>
        <v>8418302099</v>
      </c>
    </row>
    <row r="1600" spans="1:43" ht="15.75" x14ac:dyDescent="0.25">
      <c r="A1600" s="11" t="s">
        <v>57</v>
      </c>
      <c r="B1600" s="11" t="s">
        <v>56</v>
      </c>
      <c r="C1600" s="22">
        <f t="shared" si="102"/>
        <v>25001620</v>
      </c>
      <c r="D1600" s="11" t="str">
        <f t="shared" si="103"/>
        <v>SKIIFM_AT</v>
      </c>
      <c r="E1600" s="11" t="str">
        <f>IF(I1600&lt;&gt;"",VLOOKUP(F1600,OPDRACHTGEVER!$A$2:$B$4,2,FALSE),"")</f>
        <v>SKIIFM_AT</v>
      </c>
      <c r="F1600" s="11" t="s">
        <v>58</v>
      </c>
      <c r="I1600" s="11" t="str">
        <f>IF(DATA!B1599&lt;&gt;"",DATA!B1599,"")</f>
        <v>MSDU8567372</v>
      </c>
      <c r="J1600" s="12">
        <v>0</v>
      </c>
      <c r="K1600" s="11" t="s">
        <v>53</v>
      </c>
      <c r="L1600" s="11" t="str">
        <f t="shared" si="104"/>
        <v>420212</v>
      </c>
      <c r="M1600" s="11" t="str">
        <f>IF(I1600&lt;&gt;"",DATA!E1599,"")</f>
        <v>WEATHERPROOF TROLLEY BOX</v>
      </c>
      <c r="N1600" s="12">
        <v>0</v>
      </c>
      <c r="O1600" s="11">
        <f>IF(I1600&lt;&gt;"",DATA!C1599,"")</f>
        <v>90</v>
      </c>
      <c r="P1600" s="2">
        <v>294094</v>
      </c>
      <c r="Q1600" s="2" t="s">
        <v>1304</v>
      </c>
      <c r="R1600" s="2" t="s">
        <v>1335</v>
      </c>
      <c r="S1600" s="2">
        <v>573</v>
      </c>
      <c r="T1600" s="2">
        <v>1</v>
      </c>
      <c r="U1600" s="2" t="s">
        <v>141</v>
      </c>
      <c r="Y1600" s="2">
        <v>1700</v>
      </c>
      <c r="Z1600" s="11" t="s">
        <v>54</v>
      </c>
      <c r="AA1600" s="11" t="str">
        <f t="shared" si="105"/>
        <v>1700 - TBN</v>
      </c>
      <c r="AC1600" s="2" t="s">
        <v>145</v>
      </c>
      <c r="AD1600" s="11" t="str">
        <f>IF($I1600&lt;&gt;"",VLOOKUP($AC1600,GEADRESSEERDE!$A$2:$E$4,2,),"")</f>
        <v>LUITHAGEN HAVEN 2 D</v>
      </c>
      <c r="AE1600" s="11">
        <f>IF($I1600&lt;&gt;"",VLOOKUP($AC1600,GEADRESSEERDE!$A$2:$E$4,3,),"")</f>
        <v>2030</v>
      </c>
      <c r="AF1600" s="11" t="str">
        <f>IF($I1600&lt;&gt;"",VLOOKUP($AC1600,GEADRESSEERDE!$A$2:$E$4,4,),"")</f>
        <v>ANTWERPEN</v>
      </c>
      <c r="AG1600" s="11" t="str">
        <f>IF($I1600&lt;&gt;"",VLOOKUP($AC1600,GEADRESSEERDE!$A$2:$E$4,5,),"")</f>
        <v>BE</v>
      </c>
      <c r="AH1600" s="11" t="str">
        <f>IF(I1600&lt;&gt;"",VLOOKUP(AP1600,KvB!$A$2:$B$3,2,FALSE),"")</f>
        <v>BE101000</v>
      </c>
      <c r="AI1600" s="11" t="s">
        <v>55</v>
      </c>
      <c r="AJ1600" s="11"/>
      <c r="AK1600" s="11"/>
      <c r="AL1600" s="11"/>
      <c r="AM1600" s="11"/>
      <c r="AN1600" s="11"/>
      <c r="AO1600" s="11"/>
      <c r="AP1600" s="2" t="s">
        <v>70</v>
      </c>
      <c r="AQ1600" s="11" t="str">
        <f>IF(I1600&lt;&gt;"",DATA!D1599,"")</f>
        <v>4202125000</v>
      </c>
    </row>
    <row r="1601" spans="1:43" ht="15.75" x14ac:dyDescent="0.25">
      <c r="A1601" s="11" t="s">
        <v>57</v>
      </c>
      <c r="B1601" s="11" t="s">
        <v>56</v>
      </c>
      <c r="C1601" s="22">
        <f t="shared" si="102"/>
        <v>25001620</v>
      </c>
      <c r="D1601" s="11" t="str">
        <f t="shared" si="103"/>
        <v>SKIIFM_AT</v>
      </c>
      <c r="E1601" s="11" t="str">
        <f>IF(I1601&lt;&gt;"",VLOOKUP(F1601,OPDRACHTGEVER!$A$2:$B$4,2,FALSE),"")</f>
        <v>SKIIFM_AT</v>
      </c>
      <c r="F1601" s="11" t="s">
        <v>58</v>
      </c>
      <c r="I1601" s="11" t="str">
        <f>IF(DATA!B1600&lt;&gt;"",DATA!B1600,"")</f>
        <v>MSDU8567372</v>
      </c>
      <c r="J1601" s="12">
        <v>0</v>
      </c>
      <c r="K1601" s="11" t="s">
        <v>53</v>
      </c>
      <c r="L1601" s="11" t="str">
        <f t="shared" si="104"/>
        <v>851521</v>
      </c>
      <c r="M1601" s="11" t="str">
        <f>IF(I1601&lt;&gt;"",DATA!E1600,"")</f>
        <v>WELDING MACHINE</v>
      </c>
      <c r="N1601" s="12">
        <v>0</v>
      </c>
      <c r="O1601" s="11">
        <f>IF(I1601&lt;&gt;"",DATA!C1600,"")</f>
        <v>227.85</v>
      </c>
      <c r="P1601" s="2">
        <v>294094</v>
      </c>
      <c r="Q1601" s="2" t="s">
        <v>1304</v>
      </c>
      <c r="R1601" s="2" t="s">
        <v>1335</v>
      </c>
      <c r="S1601" s="2">
        <v>573</v>
      </c>
      <c r="T1601" s="2">
        <v>1</v>
      </c>
      <c r="U1601" s="2" t="s">
        <v>141</v>
      </c>
      <c r="Y1601" s="2">
        <v>1700</v>
      </c>
      <c r="Z1601" s="11" t="s">
        <v>54</v>
      </c>
      <c r="AA1601" s="11" t="str">
        <f t="shared" si="105"/>
        <v>1700 - TBN</v>
      </c>
      <c r="AC1601" s="2" t="s">
        <v>145</v>
      </c>
      <c r="AD1601" s="11" t="str">
        <f>IF($I1601&lt;&gt;"",VLOOKUP($AC1601,GEADRESSEERDE!$A$2:$E$4,2,),"")</f>
        <v>LUITHAGEN HAVEN 2 D</v>
      </c>
      <c r="AE1601" s="11">
        <f>IF($I1601&lt;&gt;"",VLOOKUP($AC1601,GEADRESSEERDE!$A$2:$E$4,3,),"")</f>
        <v>2030</v>
      </c>
      <c r="AF1601" s="11" t="str">
        <f>IF($I1601&lt;&gt;"",VLOOKUP($AC1601,GEADRESSEERDE!$A$2:$E$4,4,),"")</f>
        <v>ANTWERPEN</v>
      </c>
      <c r="AG1601" s="11" t="str">
        <f>IF($I1601&lt;&gt;"",VLOOKUP($AC1601,GEADRESSEERDE!$A$2:$E$4,5,),"")</f>
        <v>BE</v>
      </c>
      <c r="AH1601" s="11" t="str">
        <f>IF(I1601&lt;&gt;"",VLOOKUP(AP1601,KvB!$A$2:$B$3,2,FALSE),"")</f>
        <v>BE101000</v>
      </c>
      <c r="AI1601" s="11" t="s">
        <v>55</v>
      </c>
      <c r="AJ1601" s="11"/>
      <c r="AK1601" s="11"/>
      <c r="AL1601" s="11"/>
      <c r="AM1601" s="11"/>
      <c r="AN1601" s="11"/>
      <c r="AO1601" s="11"/>
      <c r="AP1601" s="2" t="s">
        <v>70</v>
      </c>
      <c r="AQ1601" s="11" t="str">
        <f>IF(I1601&lt;&gt;"",DATA!D1600,"")</f>
        <v>8515210000</v>
      </c>
    </row>
    <row r="1602" spans="1:43" ht="15.75" x14ac:dyDescent="0.25">
      <c r="A1602" s="11" t="s">
        <v>57</v>
      </c>
      <c r="B1602" s="11" t="s">
        <v>56</v>
      </c>
      <c r="C1602" s="22">
        <f t="shared" si="102"/>
        <v>25001620</v>
      </c>
      <c r="D1602" s="11" t="str">
        <f t="shared" si="103"/>
        <v>SKIIFM_AT</v>
      </c>
      <c r="E1602" s="11" t="str">
        <f>IF(I1602&lt;&gt;"",VLOOKUP(F1602,OPDRACHTGEVER!$A$2:$B$4,2,FALSE),"")</f>
        <v>SKIIFM_AT</v>
      </c>
      <c r="F1602" s="11" t="s">
        <v>58</v>
      </c>
      <c r="I1602" s="11" t="str">
        <f>IF(DATA!B1601&lt;&gt;"",DATA!B1601,"")</f>
        <v>MSDU8567372</v>
      </c>
      <c r="J1602" s="12">
        <v>0</v>
      </c>
      <c r="K1602" s="11" t="s">
        <v>53</v>
      </c>
      <c r="L1602" s="11" t="str">
        <f t="shared" si="104"/>
        <v>871310</v>
      </c>
      <c r="M1602" s="11" t="str">
        <f>IF(I1602&lt;&gt;"",DATA!E1601,"")</f>
        <v>WHEELCHAIR</v>
      </c>
      <c r="N1602" s="12">
        <v>0</v>
      </c>
      <c r="O1602" s="11">
        <f>IF(I1602&lt;&gt;"",DATA!C1601,"")</f>
        <v>478.7</v>
      </c>
      <c r="P1602" s="2">
        <v>294094</v>
      </c>
      <c r="Q1602" s="2" t="s">
        <v>1304</v>
      </c>
      <c r="R1602" s="2" t="s">
        <v>1335</v>
      </c>
      <c r="S1602" s="2">
        <v>573</v>
      </c>
      <c r="T1602" s="2">
        <v>1</v>
      </c>
      <c r="U1602" s="2" t="s">
        <v>141</v>
      </c>
      <c r="Y1602" s="2">
        <v>1700</v>
      </c>
      <c r="Z1602" s="11" t="s">
        <v>54</v>
      </c>
      <c r="AA1602" s="11" t="str">
        <f t="shared" si="105"/>
        <v>1700 - TBN</v>
      </c>
      <c r="AC1602" s="2" t="s">
        <v>145</v>
      </c>
      <c r="AD1602" s="11" t="str">
        <f>IF($I1602&lt;&gt;"",VLOOKUP($AC1602,GEADRESSEERDE!$A$2:$E$4,2,),"")</f>
        <v>LUITHAGEN HAVEN 2 D</v>
      </c>
      <c r="AE1602" s="11">
        <f>IF($I1602&lt;&gt;"",VLOOKUP($AC1602,GEADRESSEERDE!$A$2:$E$4,3,),"")</f>
        <v>2030</v>
      </c>
      <c r="AF1602" s="11" t="str">
        <f>IF($I1602&lt;&gt;"",VLOOKUP($AC1602,GEADRESSEERDE!$A$2:$E$4,4,),"")</f>
        <v>ANTWERPEN</v>
      </c>
      <c r="AG1602" s="11" t="str">
        <f>IF($I1602&lt;&gt;"",VLOOKUP($AC1602,GEADRESSEERDE!$A$2:$E$4,5,),"")</f>
        <v>BE</v>
      </c>
      <c r="AH1602" s="11" t="str">
        <f>IF(I1602&lt;&gt;"",VLOOKUP(AP1602,KvB!$A$2:$B$3,2,FALSE),"")</f>
        <v>BE101000</v>
      </c>
      <c r="AI1602" s="11" t="s">
        <v>55</v>
      </c>
      <c r="AJ1602" s="11"/>
      <c r="AK1602" s="11"/>
      <c r="AL1602" s="11"/>
      <c r="AM1602" s="11"/>
      <c r="AN1602" s="11"/>
      <c r="AO1602" s="11"/>
      <c r="AP1602" s="2" t="s">
        <v>70</v>
      </c>
      <c r="AQ1602" s="11" t="str">
        <f>IF(I1602&lt;&gt;"",DATA!D1601,"")</f>
        <v>8713100000</v>
      </c>
    </row>
    <row r="1603" spans="1:43" ht="15.75" x14ac:dyDescent="0.25">
      <c r="A1603" s="11" t="s">
        <v>57</v>
      </c>
      <c r="B1603" s="11" t="s">
        <v>56</v>
      </c>
      <c r="C1603" s="22">
        <f t="shared" si="102"/>
        <v>25001620</v>
      </c>
      <c r="D1603" s="11" t="str">
        <f t="shared" si="103"/>
        <v>SKIIFM_AT</v>
      </c>
      <c r="E1603" s="11" t="str">
        <f>IF(I1603&lt;&gt;"",VLOOKUP(F1603,OPDRACHTGEVER!$A$2:$B$4,2,FALSE),"")</f>
        <v>SKIIFM_AT</v>
      </c>
      <c r="F1603" s="11" t="s">
        <v>58</v>
      </c>
      <c r="I1603" s="11" t="str">
        <f>IF(DATA!B1602&lt;&gt;"",DATA!B1602,"")</f>
        <v>MSDU8567372</v>
      </c>
      <c r="J1603" s="12">
        <v>0</v>
      </c>
      <c r="K1603" s="11" t="s">
        <v>53</v>
      </c>
      <c r="L1603" s="11" t="str">
        <f t="shared" si="104"/>
        <v>843840</v>
      </c>
      <c r="M1603" s="11" t="str">
        <f>IF(I1603&lt;&gt;"",DATA!E1602,"")</f>
        <v>WINEMAKER</v>
      </c>
      <c r="N1603" s="12">
        <v>0</v>
      </c>
      <c r="O1603" s="11">
        <f>IF(I1603&lt;&gt;"",DATA!C1602,"")</f>
        <v>220.5</v>
      </c>
      <c r="P1603" s="2">
        <v>294094</v>
      </c>
      <c r="Q1603" s="2" t="s">
        <v>1304</v>
      </c>
      <c r="R1603" s="2" t="s">
        <v>1335</v>
      </c>
      <c r="S1603" s="2">
        <v>573</v>
      </c>
      <c r="T1603" s="2">
        <v>1</v>
      </c>
      <c r="U1603" s="2" t="s">
        <v>141</v>
      </c>
      <c r="Y1603" s="2">
        <v>1700</v>
      </c>
      <c r="Z1603" s="11" t="s">
        <v>54</v>
      </c>
      <c r="AA1603" s="11" t="str">
        <f t="shared" si="105"/>
        <v>1700 - TBN</v>
      </c>
      <c r="AC1603" s="2" t="s">
        <v>145</v>
      </c>
      <c r="AD1603" s="11" t="str">
        <f>IF($I1603&lt;&gt;"",VLOOKUP($AC1603,GEADRESSEERDE!$A$2:$E$4,2,),"")</f>
        <v>LUITHAGEN HAVEN 2 D</v>
      </c>
      <c r="AE1603" s="11">
        <f>IF($I1603&lt;&gt;"",VLOOKUP($AC1603,GEADRESSEERDE!$A$2:$E$4,3,),"")</f>
        <v>2030</v>
      </c>
      <c r="AF1603" s="11" t="str">
        <f>IF($I1603&lt;&gt;"",VLOOKUP($AC1603,GEADRESSEERDE!$A$2:$E$4,4,),"")</f>
        <v>ANTWERPEN</v>
      </c>
      <c r="AG1603" s="11" t="str">
        <f>IF($I1603&lt;&gt;"",VLOOKUP($AC1603,GEADRESSEERDE!$A$2:$E$4,5,),"")</f>
        <v>BE</v>
      </c>
      <c r="AH1603" s="11" t="str">
        <f>IF(I1603&lt;&gt;"",VLOOKUP(AP1603,KvB!$A$2:$B$3,2,FALSE),"")</f>
        <v>BE101000</v>
      </c>
      <c r="AI1603" s="11" t="s">
        <v>55</v>
      </c>
      <c r="AJ1603" s="11"/>
      <c r="AK1603" s="11"/>
      <c r="AL1603" s="11"/>
      <c r="AM1603" s="11"/>
      <c r="AN1603" s="11"/>
      <c r="AO1603" s="11"/>
      <c r="AP1603" s="2" t="s">
        <v>70</v>
      </c>
      <c r="AQ1603" s="11" t="str">
        <f>IF(I1603&lt;&gt;"",DATA!D1602,"")</f>
        <v>8438400000</v>
      </c>
    </row>
    <row r="1604" spans="1:43" ht="15.75" x14ac:dyDescent="0.25">
      <c r="A1604" s="11" t="s">
        <v>57</v>
      </c>
      <c r="B1604" s="11" t="s">
        <v>56</v>
      </c>
      <c r="C1604" s="22">
        <f t="shared" si="102"/>
        <v>25001620</v>
      </c>
      <c r="D1604" s="11" t="str">
        <f t="shared" si="103"/>
        <v>SKIIFM_AT</v>
      </c>
      <c r="E1604" s="11" t="str">
        <f>IF(I1604&lt;&gt;"",VLOOKUP(F1604,OPDRACHTGEVER!$A$2:$B$4,2,FALSE),"")</f>
        <v>SKIIFM_AT</v>
      </c>
      <c r="F1604" s="11" t="s">
        <v>58</v>
      </c>
      <c r="I1604" s="11" t="str">
        <f>IF(DATA!B1603&lt;&gt;"",DATA!B1603,"")</f>
        <v>MSDU8580712</v>
      </c>
      <c r="J1604" s="12">
        <v>1031</v>
      </c>
      <c r="K1604" s="11" t="s">
        <v>53</v>
      </c>
      <c r="L1604" s="11" t="str">
        <f t="shared" si="104"/>
        <v>392210</v>
      </c>
      <c r="M1604" s="11" t="str">
        <f>IF(I1604&lt;&gt;"",DATA!E1603,"")</f>
        <v>ABS PLASTIC SALON AND SPA HAIR SINK</v>
      </c>
      <c r="N1604" s="12">
        <v>13162</v>
      </c>
      <c r="O1604" s="11">
        <f>IF(I1604&lt;&gt;"",DATA!C1603,"")</f>
        <v>25</v>
      </c>
      <c r="P1604" s="2">
        <v>294094</v>
      </c>
      <c r="Q1604" s="2" t="s">
        <v>1304</v>
      </c>
      <c r="R1604" s="2" t="s">
        <v>1336</v>
      </c>
      <c r="S1604" s="2">
        <v>206</v>
      </c>
      <c r="T1604" s="2">
        <v>1</v>
      </c>
      <c r="U1604" s="2" t="s">
        <v>141</v>
      </c>
      <c r="Y1604" s="2">
        <v>1700</v>
      </c>
      <c r="Z1604" s="11" t="s">
        <v>54</v>
      </c>
      <c r="AA1604" s="11" t="str">
        <f t="shared" si="105"/>
        <v>1700 - TBN</v>
      </c>
      <c r="AC1604" s="2" t="s">
        <v>145</v>
      </c>
      <c r="AD1604" s="11" t="str">
        <f>IF($I1604&lt;&gt;"",VLOOKUP($AC1604,GEADRESSEERDE!$A$2:$E$4,2,),"")</f>
        <v>LUITHAGEN HAVEN 2 D</v>
      </c>
      <c r="AE1604" s="11">
        <f>IF($I1604&lt;&gt;"",VLOOKUP($AC1604,GEADRESSEERDE!$A$2:$E$4,3,),"")</f>
        <v>2030</v>
      </c>
      <c r="AF1604" s="11" t="str">
        <f>IF($I1604&lt;&gt;"",VLOOKUP($AC1604,GEADRESSEERDE!$A$2:$E$4,4,),"")</f>
        <v>ANTWERPEN</v>
      </c>
      <c r="AG1604" s="11" t="str">
        <f>IF($I1604&lt;&gt;"",VLOOKUP($AC1604,GEADRESSEERDE!$A$2:$E$4,5,),"")</f>
        <v>BE</v>
      </c>
      <c r="AH1604" s="11" t="str">
        <f>IF(I1604&lt;&gt;"",VLOOKUP(AP1604,KvB!$A$2:$B$3,2,FALSE),"")</f>
        <v>BE101000</v>
      </c>
      <c r="AI1604" s="11" t="s">
        <v>55</v>
      </c>
      <c r="AJ1604" s="11"/>
      <c r="AK1604" s="11"/>
      <c r="AL1604" s="11"/>
      <c r="AM1604" s="11"/>
      <c r="AN1604" s="11"/>
      <c r="AO1604" s="11"/>
      <c r="AP1604" s="2" t="s">
        <v>70</v>
      </c>
      <c r="AQ1604" s="11" t="str">
        <f>IF(I1604&lt;&gt;"",DATA!D1603,"")</f>
        <v>3922100000</v>
      </c>
    </row>
    <row r="1605" spans="1:43" ht="15.75" x14ac:dyDescent="0.25">
      <c r="A1605" s="11" t="s">
        <v>57</v>
      </c>
      <c r="B1605" s="11" t="s">
        <v>56</v>
      </c>
      <c r="C1605" s="22">
        <f t="shared" ref="C1605:C1668" si="106">C1604</f>
        <v>25001620</v>
      </c>
      <c r="D1605" s="11" t="str">
        <f t="shared" si="103"/>
        <v>SKIIFM_AT</v>
      </c>
      <c r="E1605" s="11" t="str">
        <f>IF(I1605&lt;&gt;"",VLOOKUP(F1605,OPDRACHTGEVER!$A$2:$B$4,2,FALSE),"")</f>
        <v>SKIIFM_AT</v>
      </c>
      <c r="F1605" s="11" t="s">
        <v>58</v>
      </c>
      <c r="I1605" s="11" t="str">
        <f>IF(DATA!B1604&lt;&gt;"",DATA!B1604,"")</f>
        <v>MSDU8580712</v>
      </c>
      <c r="J1605" s="12">
        <v>0</v>
      </c>
      <c r="K1605" s="11" t="s">
        <v>53</v>
      </c>
      <c r="L1605" s="11" t="str">
        <f t="shared" si="104"/>
        <v>846711</v>
      </c>
      <c r="M1605" s="11" t="str">
        <f>IF(I1605&lt;&gt;"",DATA!E1604,"")</f>
        <v>AIR IMPACT WRENCH</v>
      </c>
      <c r="N1605" s="12">
        <v>0</v>
      </c>
      <c r="O1605" s="11">
        <f>IF(I1605&lt;&gt;"",DATA!C1604,"")</f>
        <v>3.15</v>
      </c>
      <c r="P1605" s="2">
        <v>294094</v>
      </c>
      <c r="Q1605" s="2" t="s">
        <v>1304</v>
      </c>
      <c r="R1605" s="2" t="s">
        <v>1336</v>
      </c>
      <c r="S1605" s="2">
        <v>206</v>
      </c>
      <c r="T1605" s="2">
        <v>1</v>
      </c>
      <c r="U1605" s="2" t="s">
        <v>141</v>
      </c>
      <c r="Y1605" s="2">
        <v>1700</v>
      </c>
      <c r="Z1605" s="11" t="s">
        <v>54</v>
      </c>
      <c r="AA1605" s="11" t="str">
        <f t="shared" si="105"/>
        <v>1700 - TBN</v>
      </c>
      <c r="AC1605" s="2" t="s">
        <v>145</v>
      </c>
      <c r="AD1605" s="11" t="str">
        <f>IF($I1605&lt;&gt;"",VLOOKUP($AC1605,GEADRESSEERDE!$A$2:$E$4,2,),"")</f>
        <v>LUITHAGEN HAVEN 2 D</v>
      </c>
      <c r="AE1605" s="11">
        <f>IF($I1605&lt;&gt;"",VLOOKUP($AC1605,GEADRESSEERDE!$A$2:$E$4,3,),"")</f>
        <v>2030</v>
      </c>
      <c r="AF1605" s="11" t="str">
        <f>IF($I1605&lt;&gt;"",VLOOKUP($AC1605,GEADRESSEERDE!$A$2:$E$4,4,),"")</f>
        <v>ANTWERPEN</v>
      </c>
      <c r="AG1605" s="11" t="str">
        <f>IF($I1605&lt;&gt;"",VLOOKUP($AC1605,GEADRESSEERDE!$A$2:$E$4,5,),"")</f>
        <v>BE</v>
      </c>
      <c r="AH1605" s="11" t="str">
        <f>IF(I1605&lt;&gt;"",VLOOKUP(AP1605,KvB!$A$2:$B$3,2,FALSE),"")</f>
        <v>BE101000</v>
      </c>
      <c r="AI1605" s="11" t="s">
        <v>55</v>
      </c>
      <c r="AJ1605" s="11"/>
      <c r="AK1605" s="11"/>
      <c r="AL1605" s="11"/>
      <c r="AM1605" s="11"/>
      <c r="AN1605" s="11"/>
      <c r="AO1605" s="11"/>
      <c r="AP1605" s="2" t="s">
        <v>70</v>
      </c>
      <c r="AQ1605" s="11" t="str">
        <f>IF(I1605&lt;&gt;"",DATA!D1604,"")</f>
        <v>8467119000</v>
      </c>
    </row>
    <row r="1606" spans="1:43" ht="15.75" x14ac:dyDescent="0.25">
      <c r="A1606" s="11" t="s">
        <v>57</v>
      </c>
      <c r="B1606" s="11" t="s">
        <v>56</v>
      </c>
      <c r="C1606" s="22">
        <f t="shared" si="106"/>
        <v>25001620</v>
      </c>
      <c r="D1606" s="11" t="str">
        <f t="shared" si="103"/>
        <v>SKIIFM_AT</v>
      </c>
      <c r="E1606" s="11" t="str">
        <f>IF(I1606&lt;&gt;"",VLOOKUP(F1606,OPDRACHTGEVER!$A$2:$B$4,2,FALSE),"")</f>
        <v>SKIIFM_AT</v>
      </c>
      <c r="F1606" s="11" t="s">
        <v>58</v>
      </c>
      <c r="I1606" s="11" t="str">
        <f>IF(DATA!B1605&lt;&gt;"",DATA!B1605,"")</f>
        <v>MSDU8580712</v>
      </c>
      <c r="J1606" s="12">
        <v>0</v>
      </c>
      <c r="K1606" s="11" t="s">
        <v>53</v>
      </c>
      <c r="L1606" s="11" t="str">
        <f t="shared" si="104"/>
        <v>741920</v>
      </c>
      <c r="M1606" s="11" t="str">
        <f>IF(I1606&lt;&gt;"",DATA!E1605,"")</f>
        <v>ALUMINUM LADDER</v>
      </c>
      <c r="N1606" s="12">
        <v>0</v>
      </c>
      <c r="O1606" s="11">
        <f>IF(I1606&lt;&gt;"",DATA!C1605,"")</f>
        <v>493.85</v>
      </c>
      <c r="P1606" s="2">
        <v>294094</v>
      </c>
      <c r="Q1606" s="2" t="s">
        <v>1304</v>
      </c>
      <c r="R1606" s="2" t="s">
        <v>1336</v>
      </c>
      <c r="S1606" s="2">
        <v>206</v>
      </c>
      <c r="T1606" s="2">
        <v>1</v>
      </c>
      <c r="U1606" s="2" t="s">
        <v>141</v>
      </c>
      <c r="Y1606" s="2">
        <v>1700</v>
      </c>
      <c r="Z1606" s="11" t="s">
        <v>54</v>
      </c>
      <c r="AA1606" s="11" t="str">
        <f t="shared" si="105"/>
        <v>1700 - TBN</v>
      </c>
      <c r="AC1606" s="2" t="s">
        <v>145</v>
      </c>
      <c r="AD1606" s="11" t="str">
        <f>IF($I1606&lt;&gt;"",VLOOKUP($AC1606,GEADRESSEERDE!$A$2:$E$4,2,),"")</f>
        <v>LUITHAGEN HAVEN 2 D</v>
      </c>
      <c r="AE1606" s="11">
        <f>IF($I1606&lt;&gt;"",VLOOKUP($AC1606,GEADRESSEERDE!$A$2:$E$4,3,),"")</f>
        <v>2030</v>
      </c>
      <c r="AF1606" s="11" t="str">
        <f>IF($I1606&lt;&gt;"",VLOOKUP($AC1606,GEADRESSEERDE!$A$2:$E$4,4,),"")</f>
        <v>ANTWERPEN</v>
      </c>
      <c r="AG1606" s="11" t="str">
        <f>IF($I1606&lt;&gt;"",VLOOKUP($AC1606,GEADRESSEERDE!$A$2:$E$4,5,),"")</f>
        <v>BE</v>
      </c>
      <c r="AH1606" s="11" t="str">
        <f>IF(I1606&lt;&gt;"",VLOOKUP(AP1606,KvB!$A$2:$B$3,2,FALSE),"")</f>
        <v>BE101000</v>
      </c>
      <c r="AI1606" s="11" t="s">
        <v>55</v>
      </c>
      <c r="AJ1606" s="11"/>
      <c r="AK1606" s="11"/>
      <c r="AL1606" s="11"/>
      <c r="AM1606" s="11"/>
      <c r="AN1606" s="11"/>
      <c r="AO1606" s="11"/>
      <c r="AP1606" s="2" t="s">
        <v>70</v>
      </c>
      <c r="AQ1606" s="11" t="str">
        <f>IF(I1606&lt;&gt;"",DATA!D1605,"")</f>
        <v>7419200090</v>
      </c>
    </row>
    <row r="1607" spans="1:43" ht="15.75" x14ac:dyDescent="0.25">
      <c r="A1607" s="11" t="s">
        <v>57</v>
      </c>
      <c r="B1607" s="11" t="s">
        <v>56</v>
      </c>
      <c r="C1607" s="22">
        <f t="shared" si="106"/>
        <v>25001620</v>
      </c>
      <c r="D1607" s="11" t="str">
        <f t="shared" si="103"/>
        <v>SKIIFM_AT</v>
      </c>
      <c r="E1607" s="11" t="str">
        <f>IF(I1607&lt;&gt;"",VLOOKUP(F1607,OPDRACHTGEVER!$A$2:$B$4,2,FALSE),"")</f>
        <v>SKIIFM_AT</v>
      </c>
      <c r="F1607" s="11" t="s">
        <v>58</v>
      </c>
      <c r="I1607" s="11" t="str">
        <f>IF(DATA!B1606&lt;&gt;"",DATA!B1606,"")</f>
        <v>MSDU8580712</v>
      </c>
      <c r="J1607" s="12">
        <v>0</v>
      </c>
      <c r="K1607" s="11" t="s">
        <v>53</v>
      </c>
      <c r="L1607" s="11" t="str">
        <f t="shared" si="104"/>
        <v>761510</v>
      </c>
      <c r="M1607" s="11" t="str">
        <f>IF(I1607&lt;&gt;"",DATA!E1606,"")</f>
        <v>ALUMINUM POT SET</v>
      </c>
      <c r="N1607" s="12">
        <v>0</v>
      </c>
      <c r="O1607" s="11">
        <f>IF(I1607&lt;&gt;"",DATA!C1606,"")</f>
        <v>107.95</v>
      </c>
      <c r="P1607" s="2">
        <v>294094</v>
      </c>
      <c r="Q1607" s="2" t="s">
        <v>1304</v>
      </c>
      <c r="R1607" s="2" t="s">
        <v>1336</v>
      </c>
      <c r="S1607" s="2">
        <v>206</v>
      </c>
      <c r="T1607" s="2">
        <v>1</v>
      </c>
      <c r="U1607" s="2" t="s">
        <v>141</v>
      </c>
      <c r="Y1607" s="2">
        <v>1700</v>
      </c>
      <c r="Z1607" s="11" t="s">
        <v>54</v>
      </c>
      <c r="AA1607" s="11" t="str">
        <f t="shared" si="105"/>
        <v>1700 - TBN</v>
      </c>
      <c r="AC1607" s="2" t="s">
        <v>145</v>
      </c>
      <c r="AD1607" s="11" t="str">
        <f>IF($I1607&lt;&gt;"",VLOOKUP($AC1607,GEADRESSEERDE!$A$2:$E$4,2,),"")</f>
        <v>LUITHAGEN HAVEN 2 D</v>
      </c>
      <c r="AE1607" s="11">
        <f>IF($I1607&lt;&gt;"",VLOOKUP($AC1607,GEADRESSEERDE!$A$2:$E$4,3,),"")</f>
        <v>2030</v>
      </c>
      <c r="AF1607" s="11" t="str">
        <f>IF($I1607&lt;&gt;"",VLOOKUP($AC1607,GEADRESSEERDE!$A$2:$E$4,4,),"")</f>
        <v>ANTWERPEN</v>
      </c>
      <c r="AG1607" s="11" t="str">
        <f>IF($I1607&lt;&gt;"",VLOOKUP($AC1607,GEADRESSEERDE!$A$2:$E$4,5,),"")</f>
        <v>BE</v>
      </c>
      <c r="AH1607" s="11" t="str">
        <f>IF(I1607&lt;&gt;"",VLOOKUP(AP1607,KvB!$A$2:$B$3,2,FALSE),"")</f>
        <v>BE101000</v>
      </c>
      <c r="AI1607" s="11" t="s">
        <v>55</v>
      </c>
      <c r="AJ1607" s="11"/>
      <c r="AK1607" s="11"/>
      <c r="AL1607" s="11"/>
      <c r="AM1607" s="11"/>
      <c r="AN1607" s="11"/>
      <c r="AO1607" s="11"/>
      <c r="AP1607" s="2" t="s">
        <v>70</v>
      </c>
      <c r="AQ1607" s="11" t="str">
        <f>IF(I1607&lt;&gt;"",DATA!D1606,"")</f>
        <v>7615101090</v>
      </c>
    </row>
    <row r="1608" spans="1:43" ht="15.75" x14ac:dyDescent="0.25">
      <c r="A1608" s="11" t="s">
        <v>57</v>
      </c>
      <c r="B1608" s="11" t="s">
        <v>56</v>
      </c>
      <c r="C1608" s="22">
        <f t="shared" si="106"/>
        <v>25001620</v>
      </c>
      <c r="D1608" s="11" t="str">
        <f t="shared" si="103"/>
        <v>SKIIFM_AT</v>
      </c>
      <c r="E1608" s="11" t="str">
        <f>IF(I1608&lt;&gt;"",VLOOKUP(F1608,OPDRACHTGEVER!$A$2:$B$4,2,FALSE),"")</f>
        <v>SKIIFM_AT</v>
      </c>
      <c r="F1608" s="11" t="s">
        <v>58</v>
      </c>
      <c r="I1608" s="11" t="str">
        <f>IF(DATA!B1607&lt;&gt;"",DATA!B1607,"")</f>
        <v>MSDU8580712</v>
      </c>
      <c r="J1608" s="12">
        <v>0</v>
      </c>
      <c r="K1608" s="11" t="s">
        <v>53</v>
      </c>
      <c r="L1608" s="11" t="str">
        <f t="shared" si="104"/>
        <v>761699</v>
      </c>
      <c r="M1608" s="11" t="str">
        <f>IF(I1608&lt;&gt;"",DATA!E1607,"")</f>
        <v>ALUMINUM RAMP</v>
      </c>
      <c r="N1608" s="12">
        <v>0</v>
      </c>
      <c r="O1608" s="11">
        <f>IF(I1608&lt;&gt;"",DATA!C1607,"")</f>
        <v>159.44999999999999</v>
      </c>
      <c r="P1608" s="2">
        <v>294094</v>
      </c>
      <c r="Q1608" s="2" t="s">
        <v>1304</v>
      </c>
      <c r="R1608" s="2" t="s">
        <v>1336</v>
      </c>
      <c r="S1608" s="2">
        <v>206</v>
      </c>
      <c r="T1608" s="2">
        <v>1</v>
      </c>
      <c r="U1608" s="2" t="s">
        <v>141</v>
      </c>
      <c r="Y1608" s="2">
        <v>1700</v>
      </c>
      <c r="Z1608" s="11" t="s">
        <v>54</v>
      </c>
      <c r="AA1608" s="11" t="str">
        <f t="shared" si="105"/>
        <v>1700 - TBN</v>
      </c>
      <c r="AC1608" s="2" t="s">
        <v>145</v>
      </c>
      <c r="AD1608" s="11" t="str">
        <f>IF($I1608&lt;&gt;"",VLOOKUP($AC1608,GEADRESSEERDE!$A$2:$E$4,2,),"")</f>
        <v>LUITHAGEN HAVEN 2 D</v>
      </c>
      <c r="AE1608" s="11">
        <f>IF($I1608&lt;&gt;"",VLOOKUP($AC1608,GEADRESSEERDE!$A$2:$E$4,3,),"")</f>
        <v>2030</v>
      </c>
      <c r="AF1608" s="11" t="str">
        <f>IF($I1608&lt;&gt;"",VLOOKUP($AC1608,GEADRESSEERDE!$A$2:$E$4,4,),"")</f>
        <v>ANTWERPEN</v>
      </c>
      <c r="AG1608" s="11" t="str">
        <f>IF($I1608&lt;&gt;"",VLOOKUP($AC1608,GEADRESSEERDE!$A$2:$E$4,5,),"")</f>
        <v>BE</v>
      </c>
      <c r="AH1608" s="11" t="str">
        <f>IF(I1608&lt;&gt;"",VLOOKUP(AP1608,KvB!$A$2:$B$3,2,FALSE),"")</f>
        <v>BE101000</v>
      </c>
      <c r="AI1608" s="11" t="s">
        <v>55</v>
      </c>
      <c r="AJ1608" s="11"/>
      <c r="AK1608" s="11"/>
      <c r="AL1608" s="11"/>
      <c r="AM1608" s="11"/>
      <c r="AN1608" s="11"/>
      <c r="AO1608" s="11"/>
      <c r="AP1608" s="2" t="s">
        <v>70</v>
      </c>
      <c r="AQ1608" s="11" t="str">
        <f>IF(I1608&lt;&gt;"",DATA!D1607,"")</f>
        <v>7616999009</v>
      </c>
    </row>
    <row r="1609" spans="1:43" ht="15.75" x14ac:dyDescent="0.25">
      <c r="A1609" s="11" t="s">
        <v>57</v>
      </c>
      <c r="B1609" s="11" t="s">
        <v>56</v>
      </c>
      <c r="C1609" s="22">
        <f t="shared" si="106"/>
        <v>25001620</v>
      </c>
      <c r="D1609" s="11" t="str">
        <f t="shared" si="103"/>
        <v>SKIIFM_AT</v>
      </c>
      <c r="E1609" s="11" t="str">
        <f>IF(I1609&lt;&gt;"",VLOOKUP(F1609,OPDRACHTGEVER!$A$2:$B$4,2,FALSE),"")</f>
        <v>SKIIFM_AT</v>
      </c>
      <c r="F1609" s="11" t="s">
        <v>58</v>
      </c>
      <c r="I1609" s="11" t="str">
        <f>IF(DATA!B1608&lt;&gt;"",DATA!B1608,"")</f>
        <v>MSDU8580712</v>
      </c>
      <c r="J1609" s="12">
        <v>0</v>
      </c>
      <c r="K1609" s="11" t="s">
        <v>53</v>
      </c>
      <c r="L1609" s="11" t="str">
        <f t="shared" si="104"/>
        <v>901600</v>
      </c>
      <c r="M1609" s="11" t="str">
        <f>IF(I1609&lt;&gt;"",DATA!E1608,"")</f>
        <v>ANALYTICAL BALANCE</v>
      </c>
      <c r="N1609" s="12">
        <v>0</v>
      </c>
      <c r="O1609" s="11">
        <f>IF(I1609&lt;&gt;"",DATA!C1608,"")</f>
        <v>2.0499999999999998</v>
      </c>
      <c r="P1609" s="2">
        <v>294094</v>
      </c>
      <c r="Q1609" s="2" t="s">
        <v>1304</v>
      </c>
      <c r="R1609" s="2" t="s">
        <v>1336</v>
      </c>
      <c r="S1609" s="2">
        <v>206</v>
      </c>
      <c r="T1609" s="2">
        <v>1</v>
      </c>
      <c r="U1609" s="2" t="s">
        <v>141</v>
      </c>
      <c r="Y1609" s="2">
        <v>1700</v>
      </c>
      <c r="Z1609" s="11" t="s">
        <v>54</v>
      </c>
      <c r="AA1609" s="11" t="str">
        <f t="shared" si="105"/>
        <v>1700 - TBN</v>
      </c>
      <c r="AC1609" s="2" t="s">
        <v>145</v>
      </c>
      <c r="AD1609" s="11" t="str">
        <f>IF($I1609&lt;&gt;"",VLOOKUP($AC1609,GEADRESSEERDE!$A$2:$E$4,2,),"")</f>
        <v>LUITHAGEN HAVEN 2 D</v>
      </c>
      <c r="AE1609" s="11">
        <f>IF($I1609&lt;&gt;"",VLOOKUP($AC1609,GEADRESSEERDE!$A$2:$E$4,3,),"")</f>
        <v>2030</v>
      </c>
      <c r="AF1609" s="11" t="str">
        <f>IF($I1609&lt;&gt;"",VLOOKUP($AC1609,GEADRESSEERDE!$A$2:$E$4,4,),"")</f>
        <v>ANTWERPEN</v>
      </c>
      <c r="AG1609" s="11" t="str">
        <f>IF($I1609&lt;&gt;"",VLOOKUP($AC1609,GEADRESSEERDE!$A$2:$E$4,5,),"")</f>
        <v>BE</v>
      </c>
      <c r="AH1609" s="11" t="str">
        <f>IF(I1609&lt;&gt;"",VLOOKUP(AP1609,KvB!$A$2:$B$3,2,FALSE),"")</f>
        <v>BE101000</v>
      </c>
      <c r="AI1609" s="11" t="s">
        <v>55</v>
      </c>
      <c r="AJ1609" s="11"/>
      <c r="AK1609" s="11"/>
      <c r="AL1609" s="11"/>
      <c r="AM1609" s="11"/>
      <c r="AN1609" s="11"/>
      <c r="AO1609" s="11"/>
      <c r="AP1609" s="2" t="s">
        <v>70</v>
      </c>
      <c r="AQ1609" s="11" t="str">
        <f>IF(I1609&lt;&gt;"",DATA!D1608,"")</f>
        <v>9016009000</v>
      </c>
    </row>
    <row r="1610" spans="1:43" ht="15.75" x14ac:dyDescent="0.25">
      <c r="A1610" s="11" t="s">
        <v>57</v>
      </c>
      <c r="B1610" s="11" t="s">
        <v>56</v>
      </c>
      <c r="C1610" s="22">
        <f t="shared" si="106"/>
        <v>25001620</v>
      </c>
      <c r="D1610" s="11" t="str">
        <f t="shared" si="103"/>
        <v>SKIIFM_AT</v>
      </c>
      <c r="E1610" s="11" t="str">
        <f>IF(I1610&lt;&gt;"",VLOOKUP(F1610,OPDRACHTGEVER!$A$2:$B$4,2,FALSE),"")</f>
        <v>SKIIFM_AT</v>
      </c>
      <c r="F1610" s="11" t="s">
        <v>58</v>
      </c>
      <c r="I1610" s="11" t="str">
        <f>IF(DATA!B1609&lt;&gt;"",DATA!B1609,"")</f>
        <v>MSDU8580712</v>
      </c>
      <c r="J1610" s="12">
        <v>0</v>
      </c>
      <c r="K1610" s="11" t="s">
        <v>53</v>
      </c>
      <c r="L1610" s="11" t="str">
        <f t="shared" si="104"/>
        <v>841459</v>
      </c>
      <c r="M1610" s="11" t="str">
        <f>IF(I1610&lt;&gt;"",DATA!E1609,"")</f>
        <v>AXIAL FAN</v>
      </c>
      <c r="N1610" s="12">
        <v>0</v>
      </c>
      <c r="O1610" s="11">
        <f>IF(I1610&lt;&gt;"",DATA!C1609,"")</f>
        <v>18.5</v>
      </c>
      <c r="P1610" s="2">
        <v>294094</v>
      </c>
      <c r="Q1610" s="2" t="s">
        <v>1304</v>
      </c>
      <c r="R1610" s="2" t="s">
        <v>1336</v>
      </c>
      <c r="S1610" s="2">
        <v>206</v>
      </c>
      <c r="T1610" s="2">
        <v>1</v>
      </c>
      <c r="U1610" s="2" t="s">
        <v>141</v>
      </c>
      <c r="Y1610" s="2">
        <v>1700</v>
      </c>
      <c r="Z1610" s="11" t="s">
        <v>54</v>
      </c>
      <c r="AA1610" s="11" t="str">
        <f t="shared" si="105"/>
        <v>1700 - TBN</v>
      </c>
      <c r="AC1610" s="2" t="s">
        <v>145</v>
      </c>
      <c r="AD1610" s="11" t="str">
        <f>IF($I1610&lt;&gt;"",VLOOKUP($AC1610,GEADRESSEERDE!$A$2:$E$4,2,),"")</f>
        <v>LUITHAGEN HAVEN 2 D</v>
      </c>
      <c r="AE1610" s="11">
        <f>IF($I1610&lt;&gt;"",VLOOKUP($AC1610,GEADRESSEERDE!$A$2:$E$4,3,),"")</f>
        <v>2030</v>
      </c>
      <c r="AF1610" s="11" t="str">
        <f>IF($I1610&lt;&gt;"",VLOOKUP($AC1610,GEADRESSEERDE!$A$2:$E$4,4,),"")</f>
        <v>ANTWERPEN</v>
      </c>
      <c r="AG1610" s="11" t="str">
        <f>IF($I1610&lt;&gt;"",VLOOKUP($AC1610,GEADRESSEERDE!$A$2:$E$4,5,),"")</f>
        <v>BE</v>
      </c>
      <c r="AH1610" s="11" t="str">
        <f>IF(I1610&lt;&gt;"",VLOOKUP(AP1610,KvB!$A$2:$B$3,2,FALSE),"")</f>
        <v>BE101000</v>
      </c>
      <c r="AI1610" s="11" t="s">
        <v>55</v>
      </c>
      <c r="AJ1610" s="11"/>
      <c r="AK1610" s="11"/>
      <c r="AL1610" s="11"/>
      <c r="AM1610" s="11"/>
      <c r="AN1610" s="11"/>
      <c r="AO1610" s="11"/>
      <c r="AP1610" s="2" t="s">
        <v>70</v>
      </c>
      <c r="AQ1610" s="11" t="str">
        <f>IF(I1610&lt;&gt;"",DATA!D1609,"")</f>
        <v>8414599590</v>
      </c>
    </row>
    <row r="1611" spans="1:43" ht="15.75" x14ac:dyDescent="0.25">
      <c r="A1611" s="11" t="s">
        <v>57</v>
      </c>
      <c r="B1611" s="11" t="s">
        <v>56</v>
      </c>
      <c r="C1611" s="22">
        <f t="shared" si="106"/>
        <v>25001620</v>
      </c>
      <c r="D1611" s="11" t="str">
        <f t="shared" si="103"/>
        <v>SKIIFM_AT</v>
      </c>
      <c r="E1611" s="11" t="str">
        <f>IF(I1611&lt;&gt;"",VLOOKUP(F1611,OPDRACHTGEVER!$A$2:$B$4,2,FALSE),"")</f>
        <v>SKIIFM_AT</v>
      </c>
      <c r="F1611" s="11" t="s">
        <v>58</v>
      </c>
      <c r="I1611" s="11" t="str">
        <f>IF(DATA!B1610&lt;&gt;"",DATA!B1610,"")</f>
        <v>MSDU8580712</v>
      </c>
      <c r="J1611" s="12">
        <v>0</v>
      </c>
      <c r="K1611" s="11" t="s">
        <v>53</v>
      </c>
      <c r="L1611" s="11" t="str">
        <f t="shared" si="104"/>
        <v>741920</v>
      </c>
      <c r="M1611" s="11" t="str">
        <f>IF(I1611&lt;&gt;"",DATA!E1610,"")</f>
        <v>BADGE MACHINE ACCESSORIES</v>
      </c>
      <c r="N1611" s="12">
        <v>0</v>
      </c>
      <c r="O1611" s="11">
        <f>IF(I1611&lt;&gt;"",DATA!C1610,"")</f>
        <v>9.1999999999999993</v>
      </c>
      <c r="P1611" s="2">
        <v>294094</v>
      </c>
      <c r="Q1611" s="2" t="s">
        <v>1304</v>
      </c>
      <c r="R1611" s="2" t="s">
        <v>1336</v>
      </c>
      <c r="S1611" s="2">
        <v>206</v>
      </c>
      <c r="T1611" s="2">
        <v>1</v>
      </c>
      <c r="U1611" s="2" t="s">
        <v>141</v>
      </c>
      <c r="Y1611" s="2">
        <v>1700</v>
      </c>
      <c r="Z1611" s="11" t="s">
        <v>54</v>
      </c>
      <c r="AA1611" s="11" t="str">
        <f t="shared" si="105"/>
        <v>1700 - TBN</v>
      </c>
      <c r="AC1611" s="2" t="s">
        <v>145</v>
      </c>
      <c r="AD1611" s="11" t="str">
        <f>IF($I1611&lt;&gt;"",VLOOKUP($AC1611,GEADRESSEERDE!$A$2:$E$4,2,),"")</f>
        <v>LUITHAGEN HAVEN 2 D</v>
      </c>
      <c r="AE1611" s="11">
        <f>IF($I1611&lt;&gt;"",VLOOKUP($AC1611,GEADRESSEERDE!$A$2:$E$4,3,),"")</f>
        <v>2030</v>
      </c>
      <c r="AF1611" s="11" t="str">
        <f>IF($I1611&lt;&gt;"",VLOOKUP($AC1611,GEADRESSEERDE!$A$2:$E$4,4,),"")</f>
        <v>ANTWERPEN</v>
      </c>
      <c r="AG1611" s="11" t="str">
        <f>IF($I1611&lt;&gt;"",VLOOKUP($AC1611,GEADRESSEERDE!$A$2:$E$4,5,),"")</f>
        <v>BE</v>
      </c>
      <c r="AH1611" s="11" t="str">
        <f>IF(I1611&lt;&gt;"",VLOOKUP(AP1611,KvB!$A$2:$B$3,2,FALSE),"")</f>
        <v>BE101000</v>
      </c>
      <c r="AI1611" s="11" t="s">
        <v>55</v>
      </c>
      <c r="AJ1611" s="11"/>
      <c r="AK1611" s="11"/>
      <c r="AL1611" s="11"/>
      <c r="AM1611" s="11"/>
      <c r="AN1611" s="11"/>
      <c r="AO1611" s="11"/>
      <c r="AP1611" s="2" t="s">
        <v>70</v>
      </c>
      <c r="AQ1611" s="11" t="str">
        <f>IF(I1611&lt;&gt;"",DATA!D1610,"")</f>
        <v>7419200090</v>
      </c>
    </row>
    <row r="1612" spans="1:43" ht="15.75" x14ac:dyDescent="0.25">
      <c r="A1612" s="11" t="s">
        <v>57</v>
      </c>
      <c r="B1612" s="11" t="s">
        <v>56</v>
      </c>
      <c r="C1612" s="22">
        <f t="shared" si="106"/>
        <v>25001620</v>
      </c>
      <c r="D1612" s="11" t="str">
        <f t="shared" si="103"/>
        <v>SKIIFM_AT</v>
      </c>
      <c r="E1612" s="11" t="str">
        <f>IF(I1612&lt;&gt;"",VLOOKUP(F1612,OPDRACHTGEVER!$A$2:$B$4,2,FALSE),"")</f>
        <v>SKIIFM_AT</v>
      </c>
      <c r="F1612" s="11" t="s">
        <v>58</v>
      </c>
      <c r="I1612" s="11" t="str">
        <f>IF(DATA!B1611&lt;&gt;"",DATA!B1611,"")</f>
        <v>MSDU8580712</v>
      </c>
      <c r="J1612" s="12">
        <v>0</v>
      </c>
      <c r="K1612" s="11" t="s">
        <v>53</v>
      </c>
      <c r="L1612" s="11" t="str">
        <f t="shared" si="104"/>
        <v>820890</v>
      </c>
      <c r="M1612" s="11" t="str">
        <f>IF(I1612&lt;&gt;"",DATA!E1611,"")</f>
        <v>BLADE</v>
      </c>
      <c r="N1612" s="12">
        <v>0</v>
      </c>
      <c r="O1612" s="11">
        <f>IF(I1612&lt;&gt;"",DATA!C1611,"")</f>
        <v>0.8</v>
      </c>
      <c r="P1612" s="2">
        <v>294094</v>
      </c>
      <c r="Q1612" s="2" t="s">
        <v>1304</v>
      </c>
      <c r="R1612" s="2" t="s">
        <v>1336</v>
      </c>
      <c r="S1612" s="2">
        <v>206</v>
      </c>
      <c r="T1612" s="2">
        <v>1</v>
      </c>
      <c r="U1612" s="2" t="s">
        <v>141</v>
      </c>
      <c r="Y1612" s="2">
        <v>1700</v>
      </c>
      <c r="Z1612" s="11" t="s">
        <v>54</v>
      </c>
      <c r="AA1612" s="11" t="str">
        <f t="shared" si="105"/>
        <v>1700 - TBN</v>
      </c>
      <c r="AC1612" s="2" t="s">
        <v>145</v>
      </c>
      <c r="AD1612" s="11" t="str">
        <f>IF($I1612&lt;&gt;"",VLOOKUP($AC1612,GEADRESSEERDE!$A$2:$E$4,2,),"")</f>
        <v>LUITHAGEN HAVEN 2 D</v>
      </c>
      <c r="AE1612" s="11">
        <f>IF($I1612&lt;&gt;"",VLOOKUP($AC1612,GEADRESSEERDE!$A$2:$E$4,3,),"")</f>
        <v>2030</v>
      </c>
      <c r="AF1612" s="11" t="str">
        <f>IF($I1612&lt;&gt;"",VLOOKUP($AC1612,GEADRESSEERDE!$A$2:$E$4,4,),"")</f>
        <v>ANTWERPEN</v>
      </c>
      <c r="AG1612" s="11" t="str">
        <f>IF($I1612&lt;&gt;"",VLOOKUP($AC1612,GEADRESSEERDE!$A$2:$E$4,5,),"")</f>
        <v>BE</v>
      </c>
      <c r="AH1612" s="11" t="str">
        <f>IF(I1612&lt;&gt;"",VLOOKUP(AP1612,KvB!$A$2:$B$3,2,FALSE),"")</f>
        <v>BE101000</v>
      </c>
      <c r="AI1612" s="11" t="s">
        <v>55</v>
      </c>
      <c r="AJ1612" s="11"/>
      <c r="AK1612" s="11"/>
      <c r="AL1612" s="11"/>
      <c r="AM1612" s="11"/>
      <c r="AN1612" s="11"/>
      <c r="AO1612" s="11"/>
      <c r="AP1612" s="2" t="s">
        <v>70</v>
      </c>
      <c r="AQ1612" s="11" t="str">
        <f>IF(I1612&lt;&gt;"",DATA!D1611,"")</f>
        <v>8208900000</v>
      </c>
    </row>
    <row r="1613" spans="1:43" ht="15.75" x14ac:dyDescent="0.25">
      <c r="A1613" s="11" t="s">
        <v>57</v>
      </c>
      <c r="B1613" s="11" t="s">
        <v>56</v>
      </c>
      <c r="C1613" s="22">
        <f t="shared" si="106"/>
        <v>25001620</v>
      </c>
      <c r="D1613" s="11" t="str">
        <f t="shared" si="103"/>
        <v>SKIIFM_AT</v>
      </c>
      <c r="E1613" s="11" t="str">
        <f>IF(I1613&lt;&gt;"",VLOOKUP(F1613,OPDRACHTGEVER!$A$2:$B$4,2,FALSE),"")</f>
        <v>SKIIFM_AT</v>
      </c>
      <c r="F1613" s="11" t="s">
        <v>58</v>
      </c>
      <c r="I1613" s="11" t="str">
        <f>IF(DATA!B1612&lt;&gt;"",DATA!B1612,"")</f>
        <v>MSDU8580712</v>
      </c>
      <c r="J1613" s="12">
        <v>0</v>
      </c>
      <c r="K1613" s="11" t="s">
        <v>53</v>
      </c>
      <c r="L1613" s="11" t="str">
        <f t="shared" si="104"/>
        <v>850132</v>
      </c>
      <c r="M1613" s="11" t="str">
        <f>IF(I1613&lt;&gt;"",DATA!E1612,"")</f>
        <v>BRUSHED DC MOTOR</v>
      </c>
      <c r="N1613" s="12">
        <v>0</v>
      </c>
      <c r="O1613" s="11">
        <f>IF(I1613&lt;&gt;"",DATA!C1612,"")</f>
        <v>4.38</v>
      </c>
      <c r="P1613" s="2">
        <v>294094</v>
      </c>
      <c r="Q1613" s="2" t="s">
        <v>1304</v>
      </c>
      <c r="R1613" s="2" t="s">
        <v>1336</v>
      </c>
      <c r="S1613" s="2">
        <v>206</v>
      </c>
      <c r="T1613" s="2">
        <v>1</v>
      </c>
      <c r="U1613" s="2" t="s">
        <v>141</v>
      </c>
      <c r="Y1613" s="2">
        <v>1700</v>
      </c>
      <c r="Z1613" s="11" t="s">
        <v>54</v>
      </c>
      <c r="AA1613" s="11" t="str">
        <f t="shared" si="105"/>
        <v>1700 - TBN</v>
      </c>
      <c r="AC1613" s="2" t="s">
        <v>145</v>
      </c>
      <c r="AD1613" s="11" t="str">
        <f>IF($I1613&lt;&gt;"",VLOOKUP($AC1613,GEADRESSEERDE!$A$2:$E$4,2,),"")</f>
        <v>LUITHAGEN HAVEN 2 D</v>
      </c>
      <c r="AE1613" s="11">
        <f>IF($I1613&lt;&gt;"",VLOOKUP($AC1613,GEADRESSEERDE!$A$2:$E$4,3,),"")</f>
        <v>2030</v>
      </c>
      <c r="AF1613" s="11" t="str">
        <f>IF($I1613&lt;&gt;"",VLOOKUP($AC1613,GEADRESSEERDE!$A$2:$E$4,4,),"")</f>
        <v>ANTWERPEN</v>
      </c>
      <c r="AG1613" s="11" t="str">
        <f>IF($I1613&lt;&gt;"",VLOOKUP($AC1613,GEADRESSEERDE!$A$2:$E$4,5,),"")</f>
        <v>BE</v>
      </c>
      <c r="AH1613" s="11" t="str">
        <f>IF(I1613&lt;&gt;"",VLOOKUP(AP1613,KvB!$A$2:$B$3,2,FALSE),"")</f>
        <v>BE101000</v>
      </c>
      <c r="AI1613" s="11" t="s">
        <v>55</v>
      </c>
      <c r="AJ1613" s="11"/>
      <c r="AK1613" s="11"/>
      <c r="AL1613" s="11"/>
      <c r="AM1613" s="11"/>
      <c r="AN1613" s="11"/>
      <c r="AO1613" s="11"/>
      <c r="AP1613" s="2" t="s">
        <v>70</v>
      </c>
      <c r="AQ1613" s="11" t="str">
        <f>IF(I1613&lt;&gt;"",DATA!D1612,"")</f>
        <v>8501320099</v>
      </c>
    </row>
    <row r="1614" spans="1:43" ht="15.75" x14ac:dyDescent="0.25">
      <c r="A1614" s="11" t="s">
        <v>57</v>
      </c>
      <c r="B1614" s="11" t="s">
        <v>56</v>
      </c>
      <c r="C1614" s="22">
        <f t="shared" si="106"/>
        <v>25001620</v>
      </c>
      <c r="D1614" s="11" t="str">
        <f t="shared" si="103"/>
        <v>SKIIFM_AT</v>
      </c>
      <c r="E1614" s="11" t="str">
        <f>IF(I1614&lt;&gt;"",VLOOKUP(F1614,OPDRACHTGEVER!$A$2:$B$4,2,FALSE),"")</f>
        <v>SKIIFM_AT</v>
      </c>
      <c r="F1614" s="11" t="s">
        <v>58</v>
      </c>
      <c r="I1614" s="11" t="str">
        <f>IF(DATA!B1613&lt;&gt;"",DATA!B1613,"")</f>
        <v>MSDU8580712</v>
      </c>
      <c r="J1614" s="12">
        <v>0</v>
      </c>
      <c r="K1614" s="11" t="s">
        <v>53</v>
      </c>
      <c r="L1614" s="11" t="str">
        <f t="shared" si="104"/>
        <v>392690</v>
      </c>
      <c r="M1614" s="11" t="str">
        <f>IF(I1614&lt;&gt;"",DATA!E1613,"")</f>
        <v>BUMPING POST</v>
      </c>
      <c r="N1614" s="12">
        <v>0</v>
      </c>
      <c r="O1614" s="11">
        <f>IF(I1614&lt;&gt;"",DATA!C1613,"")</f>
        <v>19.8</v>
      </c>
      <c r="P1614" s="2">
        <v>294094</v>
      </c>
      <c r="Q1614" s="2" t="s">
        <v>1304</v>
      </c>
      <c r="R1614" s="2" t="s">
        <v>1336</v>
      </c>
      <c r="S1614" s="2">
        <v>206</v>
      </c>
      <c r="T1614" s="2">
        <v>1</v>
      </c>
      <c r="U1614" s="2" t="s">
        <v>141</v>
      </c>
      <c r="Y1614" s="2">
        <v>1700</v>
      </c>
      <c r="Z1614" s="11" t="s">
        <v>54</v>
      </c>
      <c r="AA1614" s="11" t="str">
        <f t="shared" si="105"/>
        <v>1700 - TBN</v>
      </c>
      <c r="AC1614" s="2" t="s">
        <v>145</v>
      </c>
      <c r="AD1614" s="11" t="str">
        <f>IF($I1614&lt;&gt;"",VLOOKUP($AC1614,GEADRESSEERDE!$A$2:$E$4,2,),"")</f>
        <v>LUITHAGEN HAVEN 2 D</v>
      </c>
      <c r="AE1614" s="11">
        <f>IF($I1614&lt;&gt;"",VLOOKUP($AC1614,GEADRESSEERDE!$A$2:$E$4,3,),"")</f>
        <v>2030</v>
      </c>
      <c r="AF1614" s="11" t="str">
        <f>IF($I1614&lt;&gt;"",VLOOKUP($AC1614,GEADRESSEERDE!$A$2:$E$4,4,),"")</f>
        <v>ANTWERPEN</v>
      </c>
      <c r="AG1614" s="11" t="str">
        <f>IF($I1614&lt;&gt;"",VLOOKUP($AC1614,GEADRESSEERDE!$A$2:$E$4,5,),"")</f>
        <v>BE</v>
      </c>
      <c r="AH1614" s="11" t="str">
        <f>IF(I1614&lt;&gt;"",VLOOKUP(AP1614,KvB!$A$2:$B$3,2,FALSE),"")</f>
        <v>BE101000</v>
      </c>
      <c r="AI1614" s="11" t="s">
        <v>55</v>
      </c>
      <c r="AJ1614" s="11"/>
      <c r="AK1614" s="11"/>
      <c r="AL1614" s="11"/>
      <c r="AM1614" s="11"/>
      <c r="AN1614" s="11"/>
      <c r="AO1614" s="11"/>
      <c r="AP1614" s="2" t="s">
        <v>70</v>
      </c>
      <c r="AQ1614" s="11" t="str">
        <f>IF(I1614&lt;&gt;"",DATA!D1613,"")</f>
        <v>3926909790</v>
      </c>
    </row>
    <row r="1615" spans="1:43" ht="15.75" x14ac:dyDescent="0.25">
      <c r="A1615" s="11" t="s">
        <v>57</v>
      </c>
      <c r="B1615" s="11" t="s">
        <v>56</v>
      </c>
      <c r="C1615" s="22">
        <f t="shared" si="106"/>
        <v>25001620</v>
      </c>
      <c r="D1615" s="11" t="str">
        <f t="shared" si="103"/>
        <v>SKIIFM_AT</v>
      </c>
      <c r="E1615" s="11" t="str">
        <f>IF(I1615&lt;&gt;"",VLOOKUP(F1615,OPDRACHTGEVER!$A$2:$B$4,2,FALSE),"")</f>
        <v>SKIIFM_AT</v>
      </c>
      <c r="F1615" s="11" t="s">
        <v>58</v>
      </c>
      <c r="I1615" s="11" t="str">
        <f>IF(DATA!B1614&lt;&gt;"",DATA!B1614,"")</f>
        <v>MSDU8580712</v>
      </c>
      <c r="J1615" s="12">
        <v>0</v>
      </c>
      <c r="K1615" s="11" t="s">
        <v>53</v>
      </c>
      <c r="L1615" s="11" t="str">
        <f t="shared" si="104"/>
        <v>847290</v>
      </c>
      <c r="M1615" s="11" t="str">
        <f>IF(I1615&lt;&gt;"",DATA!E1614,"")</f>
        <v>BUTTON MAKER</v>
      </c>
      <c r="N1615" s="12">
        <v>0</v>
      </c>
      <c r="O1615" s="11">
        <f>IF(I1615&lt;&gt;"",DATA!C1614,"")</f>
        <v>76.2</v>
      </c>
      <c r="P1615" s="2">
        <v>294094</v>
      </c>
      <c r="Q1615" s="2" t="s">
        <v>1304</v>
      </c>
      <c r="R1615" s="2" t="s">
        <v>1336</v>
      </c>
      <c r="S1615" s="2">
        <v>206</v>
      </c>
      <c r="T1615" s="2">
        <v>1</v>
      </c>
      <c r="U1615" s="2" t="s">
        <v>141</v>
      </c>
      <c r="Y1615" s="2">
        <v>1700</v>
      </c>
      <c r="Z1615" s="11" t="s">
        <v>54</v>
      </c>
      <c r="AA1615" s="11" t="str">
        <f t="shared" si="105"/>
        <v>1700 - TBN</v>
      </c>
      <c r="AC1615" s="2" t="s">
        <v>145</v>
      </c>
      <c r="AD1615" s="11" t="str">
        <f>IF($I1615&lt;&gt;"",VLOOKUP($AC1615,GEADRESSEERDE!$A$2:$E$4,2,),"")</f>
        <v>LUITHAGEN HAVEN 2 D</v>
      </c>
      <c r="AE1615" s="11">
        <f>IF($I1615&lt;&gt;"",VLOOKUP($AC1615,GEADRESSEERDE!$A$2:$E$4,3,),"")</f>
        <v>2030</v>
      </c>
      <c r="AF1615" s="11" t="str">
        <f>IF($I1615&lt;&gt;"",VLOOKUP($AC1615,GEADRESSEERDE!$A$2:$E$4,4,),"")</f>
        <v>ANTWERPEN</v>
      </c>
      <c r="AG1615" s="11" t="str">
        <f>IF($I1615&lt;&gt;"",VLOOKUP($AC1615,GEADRESSEERDE!$A$2:$E$4,5,),"")</f>
        <v>BE</v>
      </c>
      <c r="AH1615" s="11" t="str">
        <f>IF(I1615&lt;&gt;"",VLOOKUP(AP1615,KvB!$A$2:$B$3,2,FALSE),"")</f>
        <v>BE101000</v>
      </c>
      <c r="AI1615" s="11" t="s">
        <v>55</v>
      </c>
      <c r="AJ1615" s="11"/>
      <c r="AK1615" s="11"/>
      <c r="AL1615" s="11"/>
      <c r="AM1615" s="11"/>
      <c r="AN1615" s="11"/>
      <c r="AO1615" s="11"/>
      <c r="AP1615" s="2" t="s">
        <v>70</v>
      </c>
      <c r="AQ1615" s="11" t="str">
        <f>IF(I1615&lt;&gt;"",DATA!D1614,"")</f>
        <v>8472908000</v>
      </c>
    </row>
    <row r="1616" spans="1:43" ht="15.75" x14ac:dyDescent="0.25">
      <c r="A1616" s="11" t="s">
        <v>57</v>
      </c>
      <c r="B1616" s="11" t="s">
        <v>56</v>
      </c>
      <c r="C1616" s="22">
        <f t="shared" si="106"/>
        <v>25001620</v>
      </c>
      <c r="D1616" s="11" t="str">
        <f t="shared" si="103"/>
        <v>SKIIFM_AT</v>
      </c>
      <c r="E1616" s="11" t="str">
        <f>IF(I1616&lt;&gt;"",VLOOKUP(F1616,OPDRACHTGEVER!$A$2:$B$4,2,FALSE),"")</f>
        <v>SKIIFM_AT</v>
      </c>
      <c r="F1616" s="11" t="s">
        <v>58</v>
      </c>
      <c r="I1616" s="11" t="str">
        <f>IF(DATA!B1615&lt;&gt;"",DATA!B1615,"")</f>
        <v>MSDU8580712</v>
      </c>
      <c r="J1616" s="12">
        <v>0</v>
      </c>
      <c r="K1616" s="11" t="s">
        <v>53</v>
      </c>
      <c r="L1616" s="11" t="str">
        <f t="shared" si="104"/>
        <v>401699</v>
      </c>
      <c r="M1616" s="11" t="str">
        <f>IF(I1616&lt;&gt;"",DATA!E1615,"")</f>
        <v>CABLE PROTECTOR</v>
      </c>
      <c r="N1616" s="12">
        <v>0</v>
      </c>
      <c r="O1616" s="11">
        <f>IF(I1616&lt;&gt;"",DATA!C1615,"")</f>
        <v>704.37</v>
      </c>
      <c r="P1616" s="2">
        <v>294094</v>
      </c>
      <c r="Q1616" s="2" t="s">
        <v>1304</v>
      </c>
      <c r="R1616" s="2" t="s">
        <v>1336</v>
      </c>
      <c r="S1616" s="2">
        <v>206</v>
      </c>
      <c r="T1616" s="2">
        <v>1</v>
      </c>
      <c r="U1616" s="2" t="s">
        <v>141</v>
      </c>
      <c r="Y1616" s="2">
        <v>1700</v>
      </c>
      <c r="Z1616" s="11" t="s">
        <v>54</v>
      </c>
      <c r="AA1616" s="11" t="str">
        <f t="shared" si="105"/>
        <v>1700 - TBN</v>
      </c>
      <c r="AC1616" s="2" t="s">
        <v>145</v>
      </c>
      <c r="AD1616" s="11" t="str">
        <f>IF($I1616&lt;&gt;"",VLOOKUP($AC1616,GEADRESSEERDE!$A$2:$E$4,2,),"")</f>
        <v>LUITHAGEN HAVEN 2 D</v>
      </c>
      <c r="AE1616" s="11">
        <f>IF($I1616&lt;&gt;"",VLOOKUP($AC1616,GEADRESSEERDE!$A$2:$E$4,3,),"")</f>
        <v>2030</v>
      </c>
      <c r="AF1616" s="11" t="str">
        <f>IF($I1616&lt;&gt;"",VLOOKUP($AC1616,GEADRESSEERDE!$A$2:$E$4,4,),"")</f>
        <v>ANTWERPEN</v>
      </c>
      <c r="AG1616" s="11" t="str">
        <f>IF($I1616&lt;&gt;"",VLOOKUP($AC1616,GEADRESSEERDE!$A$2:$E$4,5,),"")</f>
        <v>BE</v>
      </c>
      <c r="AH1616" s="11" t="str">
        <f>IF(I1616&lt;&gt;"",VLOOKUP(AP1616,KvB!$A$2:$B$3,2,FALSE),"")</f>
        <v>BE101000</v>
      </c>
      <c r="AI1616" s="11" t="s">
        <v>55</v>
      </c>
      <c r="AJ1616" s="11"/>
      <c r="AK1616" s="11"/>
      <c r="AL1616" s="11"/>
      <c r="AM1616" s="11"/>
      <c r="AN1616" s="11"/>
      <c r="AO1616" s="11"/>
      <c r="AP1616" s="2" t="s">
        <v>70</v>
      </c>
      <c r="AQ1616" s="11" t="str">
        <f>IF(I1616&lt;&gt;"",DATA!D1615,"")</f>
        <v>4016999790</v>
      </c>
    </row>
    <row r="1617" spans="1:43" ht="15.75" x14ac:dyDescent="0.25">
      <c r="A1617" s="11" t="s">
        <v>57</v>
      </c>
      <c r="B1617" s="11" t="s">
        <v>56</v>
      </c>
      <c r="C1617" s="22">
        <f t="shared" si="106"/>
        <v>25001620</v>
      </c>
      <c r="D1617" s="11" t="str">
        <f t="shared" si="103"/>
        <v>SKIIFM_AT</v>
      </c>
      <c r="E1617" s="11" t="str">
        <f>IF(I1617&lt;&gt;"",VLOOKUP(F1617,OPDRACHTGEVER!$A$2:$B$4,2,FALSE),"")</f>
        <v>SKIIFM_AT</v>
      </c>
      <c r="F1617" s="11" t="s">
        <v>58</v>
      </c>
      <c r="I1617" s="11" t="str">
        <f>IF(DATA!B1616&lt;&gt;"",DATA!B1616,"")</f>
        <v>MSDU8580712</v>
      </c>
      <c r="J1617" s="12">
        <v>0</v>
      </c>
      <c r="K1617" s="11" t="s">
        <v>53</v>
      </c>
      <c r="L1617" s="11" t="str">
        <f t="shared" si="104"/>
        <v>847989</v>
      </c>
      <c r="M1617" s="11" t="str">
        <f>IF(I1617&lt;&gt;"",DATA!E1616,"")</f>
        <v>CABLE STRIPPING MACHINE</v>
      </c>
      <c r="N1617" s="12">
        <v>0</v>
      </c>
      <c r="O1617" s="11">
        <f>IF(I1617&lt;&gt;"",DATA!C1616,"")</f>
        <v>273.10000000000002</v>
      </c>
      <c r="P1617" s="2">
        <v>294094</v>
      </c>
      <c r="Q1617" s="2" t="s">
        <v>1304</v>
      </c>
      <c r="R1617" s="2" t="s">
        <v>1336</v>
      </c>
      <c r="S1617" s="2">
        <v>206</v>
      </c>
      <c r="T1617" s="2">
        <v>1</v>
      </c>
      <c r="U1617" s="2" t="s">
        <v>141</v>
      </c>
      <c r="Y1617" s="2">
        <v>1700</v>
      </c>
      <c r="Z1617" s="11" t="s">
        <v>54</v>
      </c>
      <c r="AA1617" s="11" t="str">
        <f t="shared" si="105"/>
        <v>1700 - TBN</v>
      </c>
      <c r="AC1617" s="2" t="s">
        <v>145</v>
      </c>
      <c r="AD1617" s="11" t="str">
        <f>IF($I1617&lt;&gt;"",VLOOKUP($AC1617,GEADRESSEERDE!$A$2:$E$4,2,),"")</f>
        <v>LUITHAGEN HAVEN 2 D</v>
      </c>
      <c r="AE1617" s="11">
        <f>IF($I1617&lt;&gt;"",VLOOKUP($AC1617,GEADRESSEERDE!$A$2:$E$4,3,),"")</f>
        <v>2030</v>
      </c>
      <c r="AF1617" s="11" t="str">
        <f>IF($I1617&lt;&gt;"",VLOOKUP($AC1617,GEADRESSEERDE!$A$2:$E$4,4,),"")</f>
        <v>ANTWERPEN</v>
      </c>
      <c r="AG1617" s="11" t="str">
        <f>IF($I1617&lt;&gt;"",VLOOKUP($AC1617,GEADRESSEERDE!$A$2:$E$4,5,),"")</f>
        <v>BE</v>
      </c>
      <c r="AH1617" s="11" t="str">
        <f>IF(I1617&lt;&gt;"",VLOOKUP(AP1617,KvB!$A$2:$B$3,2,FALSE),"")</f>
        <v>BE101000</v>
      </c>
      <c r="AI1617" s="11" t="s">
        <v>55</v>
      </c>
      <c r="AJ1617" s="11"/>
      <c r="AK1617" s="11"/>
      <c r="AL1617" s="11"/>
      <c r="AM1617" s="11"/>
      <c r="AN1617" s="11"/>
      <c r="AO1617" s="11"/>
      <c r="AP1617" s="2" t="s">
        <v>70</v>
      </c>
      <c r="AQ1617" s="11" t="str">
        <f>IF(I1617&lt;&gt;"",DATA!D1616,"")</f>
        <v>8479899790</v>
      </c>
    </row>
    <row r="1618" spans="1:43" ht="15.75" x14ac:dyDescent="0.25">
      <c r="A1618" s="11" t="s">
        <v>57</v>
      </c>
      <c r="B1618" s="11" t="s">
        <v>56</v>
      </c>
      <c r="C1618" s="22">
        <f t="shared" si="106"/>
        <v>25001620</v>
      </c>
      <c r="D1618" s="11" t="str">
        <f t="shared" si="103"/>
        <v>SKIIFM_AT</v>
      </c>
      <c r="E1618" s="11" t="str">
        <f>IF(I1618&lt;&gt;"",VLOOKUP(F1618,OPDRACHTGEVER!$A$2:$B$4,2,FALSE),"")</f>
        <v>SKIIFM_AT</v>
      </c>
      <c r="F1618" s="11" t="s">
        <v>58</v>
      </c>
      <c r="I1618" s="11" t="str">
        <f>IF(DATA!B1617&lt;&gt;"",DATA!B1617,"")</f>
        <v>MSDU8580712</v>
      </c>
      <c r="J1618" s="12">
        <v>0</v>
      </c>
      <c r="K1618" s="11" t="s">
        <v>53</v>
      </c>
      <c r="L1618" s="11" t="str">
        <f t="shared" si="104"/>
        <v>870829</v>
      </c>
      <c r="M1618" s="11" t="str">
        <f>IF(I1618&lt;&gt;"",DATA!E1617,"")</f>
        <v>CAR TAILGATE ELECTRIC STAY</v>
      </c>
      <c r="N1618" s="12">
        <v>0</v>
      </c>
      <c r="O1618" s="11">
        <f>IF(I1618&lt;&gt;"",DATA!C1617,"")</f>
        <v>5.45</v>
      </c>
      <c r="P1618" s="2">
        <v>294094</v>
      </c>
      <c r="Q1618" s="2" t="s">
        <v>1304</v>
      </c>
      <c r="R1618" s="2" t="s">
        <v>1336</v>
      </c>
      <c r="S1618" s="2">
        <v>206</v>
      </c>
      <c r="T1618" s="2">
        <v>1</v>
      </c>
      <c r="U1618" s="2" t="s">
        <v>141</v>
      </c>
      <c r="Y1618" s="2">
        <v>1700</v>
      </c>
      <c r="Z1618" s="11" t="s">
        <v>54</v>
      </c>
      <c r="AA1618" s="11" t="str">
        <f t="shared" si="105"/>
        <v>1700 - TBN</v>
      </c>
      <c r="AC1618" s="2" t="s">
        <v>145</v>
      </c>
      <c r="AD1618" s="11" t="str">
        <f>IF($I1618&lt;&gt;"",VLOOKUP($AC1618,GEADRESSEERDE!$A$2:$E$4,2,),"")</f>
        <v>LUITHAGEN HAVEN 2 D</v>
      </c>
      <c r="AE1618" s="11">
        <f>IF($I1618&lt;&gt;"",VLOOKUP($AC1618,GEADRESSEERDE!$A$2:$E$4,3,),"")</f>
        <v>2030</v>
      </c>
      <c r="AF1618" s="11" t="str">
        <f>IF($I1618&lt;&gt;"",VLOOKUP($AC1618,GEADRESSEERDE!$A$2:$E$4,4,),"")</f>
        <v>ANTWERPEN</v>
      </c>
      <c r="AG1618" s="11" t="str">
        <f>IF($I1618&lt;&gt;"",VLOOKUP($AC1618,GEADRESSEERDE!$A$2:$E$4,5,),"")</f>
        <v>BE</v>
      </c>
      <c r="AH1618" s="11" t="str">
        <f>IF(I1618&lt;&gt;"",VLOOKUP(AP1618,KvB!$A$2:$B$3,2,FALSE),"")</f>
        <v>BE101000</v>
      </c>
      <c r="AI1618" s="11" t="s">
        <v>55</v>
      </c>
      <c r="AJ1618" s="11"/>
      <c r="AK1618" s="11"/>
      <c r="AL1618" s="11"/>
      <c r="AM1618" s="11"/>
      <c r="AN1618" s="11"/>
      <c r="AO1618" s="11"/>
      <c r="AP1618" s="2" t="s">
        <v>70</v>
      </c>
      <c r="AQ1618" s="11" t="str">
        <f>IF(I1618&lt;&gt;"",DATA!D1617,"")</f>
        <v>8708299000</v>
      </c>
    </row>
    <row r="1619" spans="1:43" ht="15.75" x14ac:dyDescent="0.25">
      <c r="A1619" s="11" t="s">
        <v>57</v>
      </c>
      <c r="B1619" s="11" t="s">
        <v>56</v>
      </c>
      <c r="C1619" s="22">
        <f t="shared" si="106"/>
        <v>25001620</v>
      </c>
      <c r="D1619" s="11" t="str">
        <f t="shared" si="103"/>
        <v>SKIIFM_AT</v>
      </c>
      <c r="E1619" s="11" t="str">
        <f>IF(I1619&lt;&gt;"",VLOOKUP(F1619,OPDRACHTGEVER!$A$2:$B$4,2,FALSE),"")</f>
        <v>SKIIFM_AT</v>
      </c>
      <c r="F1619" s="11" t="s">
        <v>58</v>
      </c>
      <c r="I1619" s="11" t="str">
        <f>IF(DATA!B1618&lt;&gt;"",DATA!B1618,"")</f>
        <v>MSDU8580712</v>
      </c>
      <c r="J1619" s="12">
        <v>0</v>
      </c>
      <c r="K1619" s="11" t="s">
        <v>53</v>
      </c>
      <c r="L1619" s="11" t="str">
        <f t="shared" si="104"/>
        <v>845959</v>
      </c>
      <c r="M1619" s="11" t="str">
        <f>IF(I1619&lt;&gt;"",DATA!E1618,"")</f>
        <v>CHAIN SAW BRACKET</v>
      </c>
      <c r="N1619" s="12">
        <v>0</v>
      </c>
      <c r="O1619" s="11">
        <f>IF(I1619&lt;&gt;"",DATA!C1618,"")</f>
        <v>14.2</v>
      </c>
      <c r="P1619" s="2">
        <v>294094</v>
      </c>
      <c r="Q1619" s="2" t="s">
        <v>1304</v>
      </c>
      <c r="R1619" s="2" t="s">
        <v>1336</v>
      </c>
      <c r="S1619" s="2">
        <v>206</v>
      </c>
      <c r="T1619" s="2">
        <v>1</v>
      </c>
      <c r="U1619" s="2" t="s">
        <v>141</v>
      </c>
      <c r="Y1619" s="2">
        <v>1700</v>
      </c>
      <c r="Z1619" s="11" t="s">
        <v>54</v>
      </c>
      <c r="AA1619" s="11" t="str">
        <f t="shared" si="105"/>
        <v>1700 - TBN</v>
      </c>
      <c r="AC1619" s="2" t="s">
        <v>145</v>
      </c>
      <c r="AD1619" s="11" t="str">
        <f>IF($I1619&lt;&gt;"",VLOOKUP($AC1619,GEADRESSEERDE!$A$2:$E$4,2,),"")</f>
        <v>LUITHAGEN HAVEN 2 D</v>
      </c>
      <c r="AE1619" s="11">
        <f>IF($I1619&lt;&gt;"",VLOOKUP($AC1619,GEADRESSEERDE!$A$2:$E$4,3,),"")</f>
        <v>2030</v>
      </c>
      <c r="AF1619" s="11" t="str">
        <f>IF($I1619&lt;&gt;"",VLOOKUP($AC1619,GEADRESSEERDE!$A$2:$E$4,4,),"")</f>
        <v>ANTWERPEN</v>
      </c>
      <c r="AG1619" s="11" t="str">
        <f>IF($I1619&lt;&gt;"",VLOOKUP($AC1619,GEADRESSEERDE!$A$2:$E$4,5,),"")</f>
        <v>BE</v>
      </c>
      <c r="AH1619" s="11" t="str">
        <f>IF(I1619&lt;&gt;"",VLOOKUP(AP1619,KvB!$A$2:$B$3,2,FALSE),"")</f>
        <v>BE101000</v>
      </c>
      <c r="AI1619" s="11" t="s">
        <v>55</v>
      </c>
      <c r="AJ1619" s="11"/>
      <c r="AK1619" s="11"/>
      <c r="AL1619" s="11"/>
      <c r="AM1619" s="11"/>
      <c r="AN1619" s="11"/>
      <c r="AO1619" s="11"/>
      <c r="AP1619" s="2" t="s">
        <v>70</v>
      </c>
      <c r="AQ1619" s="11" t="str">
        <f>IF(I1619&lt;&gt;"",DATA!D1618,"")</f>
        <v>8459590000</v>
      </c>
    </row>
    <row r="1620" spans="1:43" ht="15.75" x14ac:dyDescent="0.25">
      <c r="A1620" s="11" t="s">
        <v>57</v>
      </c>
      <c r="B1620" s="11" t="s">
        <v>56</v>
      </c>
      <c r="C1620" s="22">
        <f t="shared" si="106"/>
        <v>25001620</v>
      </c>
      <c r="D1620" s="11" t="str">
        <f t="shared" si="103"/>
        <v>SKIIFM_AT</v>
      </c>
      <c r="E1620" s="11" t="str">
        <f>IF(I1620&lt;&gt;"",VLOOKUP(F1620,OPDRACHTGEVER!$A$2:$B$4,2,FALSE),"")</f>
        <v>SKIIFM_AT</v>
      </c>
      <c r="F1620" s="11" t="s">
        <v>58</v>
      </c>
      <c r="I1620" s="11" t="str">
        <f>IF(DATA!B1619&lt;&gt;"",DATA!B1619,"")</f>
        <v>MSDU8580712</v>
      </c>
      <c r="J1620" s="12">
        <v>0</v>
      </c>
      <c r="K1620" s="11" t="s">
        <v>53</v>
      </c>
      <c r="L1620" s="11" t="str">
        <f t="shared" si="104"/>
        <v>850980</v>
      </c>
      <c r="M1620" s="11" t="str">
        <f>IF(I1620&lt;&gt;"",DATA!E1619,"")</f>
        <v>CHEESE SLICER</v>
      </c>
      <c r="N1620" s="12">
        <v>0</v>
      </c>
      <c r="O1620" s="11">
        <f>IF(I1620&lt;&gt;"",DATA!C1619,"")</f>
        <v>1.4</v>
      </c>
      <c r="P1620" s="2">
        <v>294094</v>
      </c>
      <c r="Q1620" s="2" t="s">
        <v>1304</v>
      </c>
      <c r="R1620" s="2" t="s">
        <v>1336</v>
      </c>
      <c r="S1620" s="2">
        <v>206</v>
      </c>
      <c r="T1620" s="2">
        <v>1</v>
      </c>
      <c r="U1620" s="2" t="s">
        <v>141</v>
      </c>
      <c r="Y1620" s="2">
        <v>1700</v>
      </c>
      <c r="Z1620" s="11" t="s">
        <v>54</v>
      </c>
      <c r="AA1620" s="11" t="str">
        <f t="shared" si="105"/>
        <v>1700 - TBN</v>
      </c>
      <c r="AC1620" s="2" t="s">
        <v>145</v>
      </c>
      <c r="AD1620" s="11" t="str">
        <f>IF($I1620&lt;&gt;"",VLOOKUP($AC1620,GEADRESSEERDE!$A$2:$E$4,2,),"")</f>
        <v>LUITHAGEN HAVEN 2 D</v>
      </c>
      <c r="AE1620" s="11">
        <f>IF($I1620&lt;&gt;"",VLOOKUP($AC1620,GEADRESSEERDE!$A$2:$E$4,3,),"")</f>
        <v>2030</v>
      </c>
      <c r="AF1620" s="11" t="str">
        <f>IF($I1620&lt;&gt;"",VLOOKUP($AC1620,GEADRESSEERDE!$A$2:$E$4,4,),"")</f>
        <v>ANTWERPEN</v>
      </c>
      <c r="AG1620" s="11" t="str">
        <f>IF($I1620&lt;&gt;"",VLOOKUP($AC1620,GEADRESSEERDE!$A$2:$E$4,5,),"")</f>
        <v>BE</v>
      </c>
      <c r="AH1620" s="11" t="str">
        <f>IF(I1620&lt;&gt;"",VLOOKUP(AP1620,KvB!$A$2:$B$3,2,FALSE),"")</f>
        <v>BE101000</v>
      </c>
      <c r="AI1620" s="11" t="s">
        <v>55</v>
      </c>
      <c r="AJ1620" s="11"/>
      <c r="AK1620" s="11"/>
      <c r="AL1620" s="11"/>
      <c r="AM1620" s="11"/>
      <c r="AN1620" s="11"/>
      <c r="AO1620" s="11"/>
      <c r="AP1620" s="2" t="s">
        <v>70</v>
      </c>
      <c r="AQ1620" s="11" t="str">
        <f>IF(I1620&lt;&gt;"",DATA!D1619,"")</f>
        <v>8509800000</v>
      </c>
    </row>
    <row r="1621" spans="1:43" ht="15.75" x14ac:dyDescent="0.25">
      <c r="A1621" s="11" t="s">
        <v>57</v>
      </c>
      <c r="B1621" s="11" t="s">
        <v>56</v>
      </c>
      <c r="C1621" s="22">
        <f t="shared" si="106"/>
        <v>25001620</v>
      </c>
      <c r="D1621" s="11" t="str">
        <f t="shared" si="103"/>
        <v>SKIIFM_AT</v>
      </c>
      <c r="E1621" s="11" t="str">
        <f>IF(I1621&lt;&gt;"",VLOOKUP(F1621,OPDRACHTGEVER!$A$2:$B$4,2,FALSE),"")</f>
        <v>SKIIFM_AT</v>
      </c>
      <c r="F1621" s="11" t="s">
        <v>58</v>
      </c>
      <c r="I1621" s="11" t="str">
        <f>IF(DATA!B1620&lt;&gt;"",DATA!B1620,"")</f>
        <v>MSDU8580712</v>
      </c>
      <c r="J1621" s="12">
        <v>0</v>
      </c>
      <c r="K1621" s="11" t="s">
        <v>53</v>
      </c>
      <c r="L1621" s="11" t="str">
        <f t="shared" si="104"/>
        <v>950300</v>
      </c>
      <c r="M1621" s="11" t="str">
        <f>IF(I1621&lt;&gt;"",DATA!E1620,"")</f>
        <v>CLIMB TUNNEL</v>
      </c>
      <c r="N1621" s="12">
        <v>0</v>
      </c>
      <c r="O1621" s="11">
        <f>IF(I1621&lt;&gt;"",DATA!C1620,"")</f>
        <v>1.7</v>
      </c>
      <c r="P1621" s="2">
        <v>294094</v>
      </c>
      <c r="Q1621" s="2" t="s">
        <v>1304</v>
      </c>
      <c r="R1621" s="2" t="s">
        <v>1336</v>
      </c>
      <c r="S1621" s="2">
        <v>206</v>
      </c>
      <c r="T1621" s="2">
        <v>1</v>
      </c>
      <c r="U1621" s="2" t="s">
        <v>141</v>
      </c>
      <c r="Y1621" s="2">
        <v>1700</v>
      </c>
      <c r="Z1621" s="11" t="s">
        <v>54</v>
      </c>
      <c r="AA1621" s="11" t="str">
        <f t="shared" si="105"/>
        <v>1700 - TBN</v>
      </c>
      <c r="AC1621" s="2" t="s">
        <v>145</v>
      </c>
      <c r="AD1621" s="11" t="str">
        <f>IF($I1621&lt;&gt;"",VLOOKUP($AC1621,GEADRESSEERDE!$A$2:$E$4,2,),"")</f>
        <v>LUITHAGEN HAVEN 2 D</v>
      </c>
      <c r="AE1621" s="11">
        <f>IF($I1621&lt;&gt;"",VLOOKUP($AC1621,GEADRESSEERDE!$A$2:$E$4,3,),"")</f>
        <v>2030</v>
      </c>
      <c r="AF1621" s="11" t="str">
        <f>IF($I1621&lt;&gt;"",VLOOKUP($AC1621,GEADRESSEERDE!$A$2:$E$4,4,),"")</f>
        <v>ANTWERPEN</v>
      </c>
      <c r="AG1621" s="11" t="str">
        <f>IF($I1621&lt;&gt;"",VLOOKUP($AC1621,GEADRESSEERDE!$A$2:$E$4,5,),"")</f>
        <v>BE</v>
      </c>
      <c r="AH1621" s="11" t="str">
        <f>IF(I1621&lt;&gt;"",VLOOKUP(AP1621,KvB!$A$2:$B$3,2,FALSE),"")</f>
        <v>BE101000</v>
      </c>
      <c r="AI1621" s="11" t="s">
        <v>55</v>
      </c>
      <c r="AJ1621" s="11"/>
      <c r="AK1621" s="11"/>
      <c r="AL1621" s="11"/>
      <c r="AM1621" s="11"/>
      <c r="AN1621" s="11"/>
      <c r="AO1621" s="11"/>
      <c r="AP1621" s="2" t="s">
        <v>70</v>
      </c>
      <c r="AQ1621" s="11" t="str">
        <f>IF(I1621&lt;&gt;"",DATA!D1620,"")</f>
        <v>9503008190</v>
      </c>
    </row>
    <row r="1622" spans="1:43" ht="15.75" x14ac:dyDescent="0.25">
      <c r="A1622" s="11" t="s">
        <v>57</v>
      </c>
      <c r="B1622" s="11" t="s">
        <v>56</v>
      </c>
      <c r="C1622" s="22">
        <f t="shared" si="106"/>
        <v>25001620</v>
      </c>
      <c r="D1622" s="11" t="str">
        <f t="shared" si="103"/>
        <v>SKIIFM_AT</v>
      </c>
      <c r="E1622" s="11" t="str">
        <f>IF(I1622&lt;&gt;"",VLOOKUP(F1622,OPDRACHTGEVER!$A$2:$B$4,2,FALSE),"")</f>
        <v>SKIIFM_AT</v>
      </c>
      <c r="F1622" s="11" t="s">
        <v>58</v>
      </c>
      <c r="I1622" s="11" t="str">
        <f>IF(DATA!B1621&lt;&gt;"",DATA!B1621,"")</f>
        <v>MSDU8580712</v>
      </c>
      <c r="J1622" s="12">
        <v>0</v>
      </c>
      <c r="K1622" s="11" t="s">
        <v>53</v>
      </c>
      <c r="L1622" s="11" t="str">
        <f t="shared" si="104"/>
        <v>846693</v>
      </c>
      <c r="M1622" s="11" t="str">
        <f>IF(I1622&lt;&gt;"",DATA!E1621,"")</f>
        <v>CNC ROUTER RAIL</v>
      </c>
      <c r="N1622" s="12">
        <v>0</v>
      </c>
      <c r="O1622" s="11">
        <f>IF(I1622&lt;&gt;"",DATA!C1621,"")</f>
        <v>425.55</v>
      </c>
      <c r="P1622" s="2">
        <v>294094</v>
      </c>
      <c r="Q1622" s="2" t="s">
        <v>1304</v>
      </c>
      <c r="R1622" s="2" t="s">
        <v>1336</v>
      </c>
      <c r="S1622" s="2">
        <v>206</v>
      </c>
      <c r="T1622" s="2">
        <v>1</v>
      </c>
      <c r="U1622" s="2" t="s">
        <v>141</v>
      </c>
      <c r="Y1622" s="2">
        <v>1700</v>
      </c>
      <c r="Z1622" s="11" t="s">
        <v>54</v>
      </c>
      <c r="AA1622" s="11" t="str">
        <f t="shared" si="105"/>
        <v>1700 - TBN</v>
      </c>
      <c r="AC1622" s="2" t="s">
        <v>145</v>
      </c>
      <c r="AD1622" s="11" t="str">
        <f>IF($I1622&lt;&gt;"",VLOOKUP($AC1622,GEADRESSEERDE!$A$2:$E$4,2,),"")</f>
        <v>LUITHAGEN HAVEN 2 D</v>
      </c>
      <c r="AE1622" s="11">
        <f>IF($I1622&lt;&gt;"",VLOOKUP($AC1622,GEADRESSEERDE!$A$2:$E$4,3,),"")</f>
        <v>2030</v>
      </c>
      <c r="AF1622" s="11" t="str">
        <f>IF($I1622&lt;&gt;"",VLOOKUP($AC1622,GEADRESSEERDE!$A$2:$E$4,4,),"")</f>
        <v>ANTWERPEN</v>
      </c>
      <c r="AG1622" s="11" t="str">
        <f>IF($I1622&lt;&gt;"",VLOOKUP($AC1622,GEADRESSEERDE!$A$2:$E$4,5,),"")</f>
        <v>BE</v>
      </c>
      <c r="AH1622" s="11" t="str">
        <f>IF(I1622&lt;&gt;"",VLOOKUP(AP1622,KvB!$A$2:$B$3,2,FALSE),"")</f>
        <v>BE101000</v>
      </c>
      <c r="AI1622" s="11" t="s">
        <v>55</v>
      </c>
      <c r="AJ1622" s="11"/>
      <c r="AK1622" s="11"/>
      <c r="AL1622" s="11"/>
      <c r="AM1622" s="11"/>
      <c r="AN1622" s="11"/>
      <c r="AO1622" s="11"/>
      <c r="AP1622" s="2" t="s">
        <v>70</v>
      </c>
      <c r="AQ1622" s="11" t="str">
        <f>IF(I1622&lt;&gt;"",DATA!D1621,"")</f>
        <v>8466934000</v>
      </c>
    </row>
    <row r="1623" spans="1:43" ht="15.75" x14ac:dyDescent="0.25">
      <c r="A1623" s="11" t="s">
        <v>57</v>
      </c>
      <c r="B1623" s="11" t="s">
        <v>56</v>
      </c>
      <c r="C1623" s="22">
        <f t="shared" si="106"/>
        <v>25001620</v>
      </c>
      <c r="D1623" s="11" t="str">
        <f t="shared" si="103"/>
        <v>SKIIFM_AT</v>
      </c>
      <c r="E1623" s="11" t="str">
        <f>IF(I1623&lt;&gt;"",VLOOKUP(F1623,OPDRACHTGEVER!$A$2:$B$4,2,FALSE),"")</f>
        <v>SKIIFM_AT</v>
      </c>
      <c r="F1623" s="11" t="s">
        <v>58</v>
      </c>
      <c r="I1623" s="11" t="str">
        <f>IF(DATA!B1622&lt;&gt;"",DATA!B1622,"")</f>
        <v>MSDU8580712</v>
      </c>
      <c r="J1623" s="12">
        <v>0</v>
      </c>
      <c r="K1623" s="11" t="s">
        <v>53</v>
      </c>
      <c r="L1623" s="11" t="str">
        <f t="shared" si="104"/>
        <v>841480</v>
      </c>
      <c r="M1623" s="11" t="str">
        <f>IF(I1623&lt;&gt;"",DATA!E1622,"")</f>
        <v>COMPRESSOR</v>
      </c>
      <c r="N1623" s="12">
        <v>0</v>
      </c>
      <c r="O1623" s="11">
        <f>IF(I1623&lt;&gt;"",DATA!C1622,"")</f>
        <v>1131.9000000000001</v>
      </c>
      <c r="P1623" s="2">
        <v>294094</v>
      </c>
      <c r="Q1623" s="2" t="s">
        <v>1304</v>
      </c>
      <c r="R1623" s="2" t="s">
        <v>1336</v>
      </c>
      <c r="S1623" s="2">
        <v>206</v>
      </c>
      <c r="T1623" s="2">
        <v>1</v>
      </c>
      <c r="U1623" s="2" t="s">
        <v>141</v>
      </c>
      <c r="Y1623" s="2">
        <v>1700</v>
      </c>
      <c r="Z1623" s="11" t="s">
        <v>54</v>
      </c>
      <c r="AA1623" s="11" t="str">
        <f t="shared" si="105"/>
        <v>1700 - TBN</v>
      </c>
      <c r="AC1623" s="2" t="s">
        <v>145</v>
      </c>
      <c r="AD1623" s="11" t="str">
        <f>IF($I1623&lt;&gt;"",VLOOKUP($AC1623,GEADRESSEERDE!$A$2:$E$4,2,),"")</f>
        <v>LUITHAGEN HAVEN 2 D</v>
      </c>
      <c r="AE1623" s="11">
        <f>IF($I1623&lt;&gt;"",VLOOKUP($AC1623,GEADRESSEERDE!$A$2:$E$4,3,),"")</f>
        <v>2030</v>
      </c>
      <c r="AF1623" s="11" t="str">
        <f>IF($I1623&lt;&gt;"",VLOOKUP($AC1623,GEADRESSEERDE!$A$2:$E$4,4,),"")</f>
        <v>ANTWERPEN</v>
      </c>
      <c r="AG1623" s="11" t="str">
        <f>IF($I1623&lt;&gt;"",VLOOKUP($AC1623,GEADRESSEERDE!$A$2:$E$4,5,),"")</f>
        <v>BE</v>
      </c>
      <c r="AH1623" s="11" t="str">
        <f>IF(I1623&lt;&gt;"",VLOOKUP(AP1623,KvB!$A$2:$B$3,2,FALSE),"")</f>
        <v>BE101000</v>
      </c>
      <c r="AI1623" s="11" t="s">
        <v>55</v>
      </c>
      <c r="AJ1623" s="11"/>
      <c r="AK1623" s="11"/>
      <c r="AL1623" s="11"/>
      <c r="AM1623" s="11"/>
      <c r="AN1623" s="11"/>
      <c r="AO1623" s="11"/>
      <c r="AP1623" s="2" t="s">
        <v>70</v>
      </c>
      <c r="AQ1623" s="11" t="str">
        <f>IF(I1623&lt;&gt;"",DATA!D1622,"")</f>
        <v>8414808090</v>
      </c>
    </row>
    <row r="1624" spans="1:43" ht="15.75" x14ac:dyDescent="0.25">
      <c r="A1624" s="11" t="s">
        <v>57</v>
      </c>
      <c r="B1624" s="11" t="s">
        <v>56</v>
      </c>
      <c r="C1624" s="22">
        <f t="shared" si="106"/>
        <v>25001620</v>
      </c>
      <c r="D1624" s="11" t="str">
        <f t="shared" si="103"/>
        <v>SKIIFM_AT</v>
      </c>
      <c r="E1624" s="11" t="str">
        <f>IF(I1624&lt;&gt;"",VLOOKUP(F1624,OPDRACHTGEVER!$A$2:$B$4,2,FALSE),"")</f>
        <v>SKIIFM_AT</v>
      </c>
      <c r="F1624" s="11" t="s">
        <v>58</v>
      </c>
      <c r="I1624" s="11" t="str">
        <f>IF(DATA!B1623&lt;&gt;"",DATA!B1623,"")</f>
        <v>MSDU8580712</v>
      </c>
      <c r="J1624" s="12">
        <v>0</v>
      </c>
      <c r="K1624" s="11" t="s">
        <v>53</v>
      </c>
      <c r="L1624" s="11" t="str">
        <f t="shared" si="104"/>
        <v>401691</v>
      </c>
      <c r="M1624" s="11" t="str">
        <f>IF(I1624&lt;&gt;"",DATA!E1623,"")</f>
        <v>DECELERATION RAMP</v>
      </c>
      <c r="N1624" s="12">
        <v>0</v>
      </c>
      <c r="O1624" s="11">
        <f>IF(I1624&lt;&gt;"",DATA!C1623,"")</f>
        <v>32.700000000000003</v>
      </c>
      <c r="P1624" s="2">
        <v>294094</v>
      </c>
      <c r="Q1624" s="2" t="s">
        <v>1304</v>
      </c>
      <c r="R1624" s="2" t="s">
        <v>1336</v>
      </c>
      <c r="S1624" s="2">
        <v>206</v>
      </c>
      <c r="T1624" s="2">
        <v>1</v>
      </c>
      <c r="U1624" s="2" t="s">
        <v>141</v>
      </c>
      <c r="Y1624" s="2">
        <v>1700</v>
      </c>
      <c r="Z1624" s="11" t="s">
        <v>54</v>
      </c>
      <c r="AA1624" s="11" t="str">
        <f t="shared" si="105"/>
        <v>1700 - TBN</v>
      </c>
      <c r="AC1624" s="2" t="s">
        <v>145</v>
      </c>
      <c r="AD1624" s="11" t="str">
        <f>IF($I1624&lt;&gt;"",VLOOKUP($AC1624,GEADRESSEERDE!$A$2:$E$4,2,),"")</f>
        <v>LUITHAGEN HAVEN 2 D</v>
      </c>
      <c r="AE1624" s="11">
        <f>IF($I1624&lt;&gt;"",VLOOKUP($AC1624,GEADRESSEERDE!$A$2:$E$4,3,),"")</f>
        <v>2030</v>
      </c>
      <c r="AF1624" s="11" t="str">
        <f>IF($I1624&lt;&gt;"",VLOOKUP($AC1624,GEADRESSEERDE!$A$2:$E$4,4,),"")</f>
        <v>ANTWERPEN</v>
      </c>
      <c r="AG1624" s="11" t="str">
        <f>IF($I1624&lt;&gt;"",VLOOKUP($AC1624,GEADRESSEERDE!$A$2:$E$4,5,),"")</f>
        <v>BE</v>
      </c>
      <c r="AH1624" s="11" t="str">
        <f>IF(I1624&lt;&gt;"",VLOOKUP(AP1624,KvB!$A$2:$B$3,2,FALSE),"")</f>
        <v>BE101000</v>
      </c>
      <c r="AI1624" s="11" t="s">
        <v>55</v>
      </c>
      <c r="AJ1624" s="11"/>
      <c r="AK1624" s="11"/>
      <c r="AL1624" s="11"/>
      <c r="AM1624" s="11"/>
      <c r="AN1624" s="11"/>
      <c r="AO1624" s="11"/>
      <c r="AP1624" s="2" t="s">
        <v>70</v>
      </c>
      <c r="AQ1624" s="11" t="str">
        <f>IF(I1624&lt;&gt;"",DATA!D1623,"")</f>
        <v>4016910000</v>
      </c>
    </row>
    <row r="1625" spans="1:43" ht="15.75" x14ac:dyDescent="0.25">
      <c r="A1625" s="11" t="s">
        <v>57</v>
      </c>
      <c r="B1625" s="11" t="s">
        <v>56</v>
      </c>
      <c r="C1625" s="22">
        <f t="shared" si="106"/>
        <v>25001620</v>
      </c>
      <c r="D1625" s="11" t="str">
        <f t="shared" si="103"/>
        <v>SKIIFM_AT</v>
      </c>
      <c r="E1625" s="11" t="str">
        <f>IF(I1625&lt;&gt;"",VLOOKUP(F1625,OPDRACHTGEVER!$A$2:$B$4,2,FALSE),"")</f>
        <v>SKIIFM_AT</v>
      </c>
      <c r="F1625" s="11" t="s">
        <v>58</v>
      </c>
      <c r="I1625" s="11" t="str">
        <f>IF(DATA!B1624&lt;&gt;"",DATA!B1624,"")</f>
        <v>MSDU8580712</v>
      </c>
      <c r="J1625" s="12">
        <v>0</v>
      </c>
      <c r="K1625" s="11" t="s">
        <v>53</v>
      </c>
      <c r="L1625" s="11" t="str">
        <f t="shared" si="104"/>
        <v>820420</v>
      </c>
      <c r="M1625" s="11" t="str">
        <f>IF(I1625&lt;&gt;"",DATA!E1624,"")</f>
        <v>DEEP  IMPACT SOCKET</v>
      </c>
      <c r="N1625" s="12">
        <v>0</v>
      </c>
      <c r="O1625" s="11">
        <f>IF(I1625&lt;&gt;"",DATA!C1624,"")</f>
        <v>29.4</v>
      </c>
      <c r="P1625" s="2">
        <v>294094</v>
      </c>
      <c r="Q1625" s="2" t="s">
        <v>1304</v>
      </c>
      <c r="R1625" s="2" t="s">
        <v>1336</v>
      </c>
      <c r="S1625" s="2">
        <v>206</v>
      </c>
      <c r="T1625" s="2">
        <v>1</v>
      </c>
      <c r="U1625" s="2" t="s">
        <v>141</v>
      </c>
      <c r="Y1625" s="2">
        <v>1700</v>
      </c>
      <c r="Z1625" s="11" t="s">
        <v>54</v>
      </c>
      <c r="AA1625" s="11" t="str">
        <f t="shared" si="105"/>
        <v>1700 - TBN</v>
      </c>
      <c r="AC1625" s="2" t="s">
        <v>145</v>
      </c>
      <c r="AD1625" s="11" t="str">
        <f>IF($I1625&lt;&gt;"",VLOOKUP($AC1625,GEADRESSEERDE!$A$2:$E$4,2,),"")</f>
        <v>LUITHAGEN HAVEN 2 D</v>
      </c>
      <c r="AE1625" s="11">
        <f>IF($I1625&lt;&gt;"",VLOOKUP($AC1625,GEADRESSEERDE!$A$2:$E$4,3,),"")</f>
        <v>2030</v>
      </c>
      <c r="AF1625" s="11" t="str">
        <f>IF($I1625&lt;&gt;"",VLOOKUP($AC1625,GEADRESSEERDE!$A$2:$E$4,4,),"")</f>
        <v>ANTWERPEN</v>
      </c>
      <c r="AG1625" s="11" t="str">
        <f>IF($I1625&lt;&gt;"",VLOOKUP($AC1625,GEADRESSEERDE!$A$2:$E$4,5,),"")</f>
        <v>BE</v>
      </c>
      <c r="AH1625" s="11" t="str">
        <f>IF(I1625&lt;&gt;"",VLOOKUP(AP1625,KvB!$A$2:$B$3,2,FALSE),"")</f>
        <v>BE101000</v>
      </c>
      <c r="AI1625" s="11" t="s">
        <v>55</v>
      </c>
      <c r="AJ1625" s="11"/>
      <c r="AK1625" s="11"/>
      <c r="AL1625" s="11"/>
      <c r="AM1625" s="11"/>
      <c r="AN1625" s="11"/>
      <c r="AO1625" s="11"/>
      <c r="AP1625" s="2" t="s">
        <v>70</v>
      </c>
      <c r="AQ1625" s="11" t="str">
        <f>IF(I1625&lt;&gt;"",DATA!D1624,"")</f>
        <v>8204200000</v>
      </c>
    </row>
    <row r="1626" spans="1:43" ht="15.75" x14ac:dyDescent="0.25">
      <c r="A1626" s="11" t="s">
        <v>57</v>
      </c>
      <c r="B1626" s="11" t="s">
        <v>56</v>
      </c>
      <c r="C1626" s="22">
        <f t="shared" si="106"/>
        <v>25001620</v>
      </c>
      <c r="D1626" s="11" t="str">
        <f t="shared" si="103"/>
        <v>SKIIFM_AT</v>
      </c>
      <c r="E1626" s="11" t="str">
        <f>IF(I1626&lt;&gt;"",VLOOKUP(F1626,OPDRACHTGEVER!$A$2:$B$4,2,FALSE),"")</f>
        <v>SKIIFM_AT</v>
      </c>
      <c r="F1626" s="11" t="s">
        <v>58</v>
      </c>
      <c r="I1626" s="11" t="str">
        <f>IF(DATA!B1625&lt;&gt;"",DATA!B1625,"")</f>
        <v>MSDU8580712</v>
      </c>
      <c r="J1626" s="12">
        <v>0</v>
      </c>
      <c r="K1626" s="11" t="s">
        <v>53</v>
      </c>
      <c r="L1626" s="11" t="str">
        <f t="shared" si="104"/>
        <v>820559</v>
      </c>
      <c r="M1626" s="11" t="str">
        <f>IF(I1626&lt;&gt;"",DATA!E1625,"")</f>
        <v>DRILL CORE BITS</v>
      </c>
      <c r="N1626" s="12">
        <v>0</v>
      </c>
      <c r="O1626" s="11">
        <f>IF(I1626&lt;&gt;"",DATA!C1625,"")</f>
        <v>17.649999999999999</v>
      </c>
      <c r="P1626" s="2">
        <v>294094</v>
      </c>
      <c r="Q1626" s="2" t="s">
        <v>1304</v>
      </c>
      <c r="R1626" s="2" t="s">
        <v>1336</v>
      </c>
      <c r="S1626" s="2">
        <v>206</v>
      </c>
      <c r="T1626" s="2">
        <v>1</v>
      </c>
      <c r="U1626" s="2" t="s">
        <v>141</v>
      </c>
      <c r="Y1626" s="2">
        <v>1700</v>
      </c>
      <c r="Z1626" s="11" t="s">
        <v>54</v>
      </c>
      <c r="AA1626" s="11" t="str">
        <f t="shared" si="105"/>
        <v>1700 - TBN</v>
      </c>
      <c r="AC1626" s="2" t="s">
        <v>145</v>
      </c>
      <c r="AD1626" s="11" t="str">
        <f>IF($I1626&lt;&gt;"",VLOOKUP($AC1626,GEADRESSEERDE!$A$2:$E$4,2,),"")</f>
        <v>LUITHAGEN HAVEN 2 D</v>
      </c>
      <c r="AE1626" s="11">
        <f>IF($I1626&lt;&gt;"",VLOOKUP($AC1626,GEADRESSEERDE!$A$2:$E$4,3,),"")</f>
        <v>2030</v>
      </c>
      <c r="AF1626" s="11" t="str">
        <f>IF($I1626&lt;&gt;"",VLOOKUP($AC1626,GEADRESSEERDE!$A$2:$E$4,4,),"")</f>
        <v>ANTWERPEN</v>
      </c>
      <c r="AG1626" s="11" t="str">
        <f>IF($I1626&lt;&gt;"",VLOOKUP($AC1626,GEADRESSEERDE!$A$2:$E$4,5,),"")</f>
        <v>BE</v>
      </c>
      <c r="AH1626" s="11" t="str">
        <f>IF(I1626&lt;&gt;"",VLOOKUP(AP1626,KvB!$A$2:$B$3,2,FALSE),"")</f>
        <v>BE101000</v>
      </c>
      <c r="AI1626" s="11" t="s">
        <v>55</v>
      </c>
      <c r="AJ1626" s="11"/>
      <c r="AK1626" s="11"/>
      <c r="AL1626" s="11"/>
      <c r="AM1626" s="11"/>
      <c r="AN1626" s="11"/>
      <c r="AO1626" s="11"/>
      <c r="AP1626" s="2" t="s">
        <v>70</v>
      </c>
      <c r="AQ1626" s="11" t="str">
        <f>IF(I1626&lt;&gt;"",DATA!D1625,"")</f>
        <v>8205598000</v>
      </c>
    </row>
    <row r="1627" spans="1:43" ht="15.75" x14ac:dyDescent="0.25">
      <c r="A1627" s="11" t="s">
        <v>57</v>
      </c>
      <c r="B1627" s="11" t="s">
        <v>56</v>
      </c>
      <c r="C1627" s="22">
        <f t="shared" si="106"/>
        <v>25001620</v>
      </c>
      <c r="D1627" s="11" t="str">
        <f t="shared" si="103"/>
        <v>SKIIFM_AT</v>
      </c>
      <c r="E1627" s="11" t="str">
        <f>IF(I1627&lt;&gt;"",VLOOKUP(F1627,OPDRACHTGEVER!$A$2:$B$4,2,FALSE),"")</f>
        <v>SKIIFM_AT</v>
      </c>
      <c r="F1627" s="11" t="s">
        <v>58</v>
      </c>
      <c r="I1627" s="11" t="str">
        <f>IF(DATA!B1626&lt;&gt;"",DATA!B1626,"")</f>
        <v>MSDU8580712</v>
      </c>
      <c r="J1627" s="12">
        <v>0</v>
      </c>
      <c r="K1627" s="11" t="s">
        <v>53</v>
      </c>
      <c r="L1627" s="11" t="str">
        <f t="shared" si="104"/>
        <v>820559</v>
      </c>
      <c r="M1627" s="11" t="str">
        <f>IF(I1627&lt;&gt;"",DATA!E1626,"")</f>
        <v>DRY WALL FLAT DECORATION BOX</v>
      </c>
      <c r="N1627" s="12">
        <v>0</v>
      </c>
      <c r="O1627" s="11">
        <f>IF(I1627&lt;&gt;"",DATA!C1626,"")</f>
        <v>6</v>
      </c>
      <c r="P1627" s="2">
        <v>294094</v>
      </c>
      <c r="Q1627" s="2" t="s">
        <v>1304</v>
      </c>
      <c r="R1627" s="2" t="s">
        <v>1336</v>
      </c>
      <c r="S1627" s="2">
        <v>206</v>
      </c>
      <c r="T1627" s="2">
        <v>1</v>
      </c>
      <c r="U1627" s="2" t="s">
        <v>141</v>
      </c>
      <c r="Y1627" s="2">
        <v>1700</v>
      </c>
      <c r="Z1627" s="11" t="s">
        <v>54</v>
      </c>
      <c r="AA1627" s="11" t="str">
        <f t="shared" si="105"/>
        <v>1700 - TBN</v>
      </c>
      <c r="AC1627" s="2" t="s">
        <v>145</v>
      </c>
      <c r="AD1627" s="11" t="str">
        <f>IF($I1627&lt;&gt;"",VLOOKUP($AC1627,GEADRESSEERDE!$A$2:$E$4,2,),"")</f>
        <v>LUITHAGEN HAVEN 2 D</v>
      </c>
      <c r="AE1627" s="11">
        <f>IF($I1627&lt;&gt;"",VLOOKUP($AC1627,GEADRESSEERDE!$A$2:$E$4,3,),"")</f>
        <v>2030</v>
      </c>
      <c r="AF1627" s="11" t="str">
        <f>IF($I1627&lt;&gt;"",VLOOKUP($AC1627,GEADRESSEERDE!$A$2:$E$4,4,),"")</f>
        <v>ANTWERPEN</v>
      </c>
      <c r="AG1627" s="11" t="str">
        <f>IF($I1627&lt;&gt;"",VLOOKUP($AC1627,GEADRESSEERDE!$A$2:$E$4,5,),"")</f>
        <v>BE</v>
      </c>
      <c r="AH1627" s="11" t="str">
        <f>IF(I1627&lt;&gt;"",VLOOKUP(AP1627,KvB!$A$2:$B$3,2,FALSE),"")</f>
        <v>BE101000</v>
      </c>
      <c r="AI1627" s="11" t="s">
        <v>55</v>
      </c>
      <c r="AJ1627" s="11"/>
      <c r="AK1627" s="11"/>
      <c r="AL1627" s="11"/>
      <c r="AM1627" s="11"/>
      <c r="AN1627" s="11"/>
      <c r="AO1627" s="11"/>
      <c r="AP1627" s="2" t="s">
        <v>70</v>
      </c>
      <c r="AQ1627" s="11" t="str">
        <f>IF(I1627&lt;&gt;"",DATA!D1626,"")</f>
        <v>8205598000</v>
      </c>
    </row>
    <row r="1628" spans="1:43" ht="15.75" x14ac:dyDescent="0.25">
      <c r="A1628" s="11" t="s">
        <v>57</v>
      </c>
      <c r="B1628" s="11" t="s">
        <v>56</v>
      </c>
      <c r="C1628" s="22">
        <f t="shared" si="106"/>
        <v>25001620</v>
      </c>
      <c r="D1628" s="11" t="str">
        <f t="shared" si="103"/>
        <v>SKIIFM_AT</v>
      </c>
      <c r="E1628" s="11" t="str">
        <f>IF(I1628&lt;&gt;"",VLOOKUP(F1628,OPDRACHTGEVER!$A$2:$B$4,2,FALSE),"")</f>
        <v>SKIIFM_AT</v>
      </c>
      <c r="F1628" s="11" t="s">
        <v>58</v>
      </c>
      <c r="I1628" s="11" t="str">
        <f>IF(DATA!B1627&lt;&gt;"",DATA!B1627,"")</f>
        <v>MSDU8580712</v>
      </c>
      <c r="J1628" s="12">
        <v>0</v>
      </c>
      <c r="K1628" s="11" t="s">
        <v>53</v>
      </c>
      <c r="L1628" s="11" t="str">
        <f t="shared" si="104"/>
        <v>842549</v>
      </c>
      <c r="M1628" s="11" t="str">
        <f>IF(I1628&lt;&gt;"",DATA!E1627,"")</f>
        <v>ELECTRIC JACK</v>
      </c>
      <c r="N1628" s="12">
        <v>0</v>
      </c>
      <c r="O1628" s="11">
        <f>IF(I1628&lt;&gt;"",DATA!C1627,"")</f>
        <v>579.20000000000005</v>
      </c>
      <c r="P1628" s="2">
        <v>294094</v>
      </c>
      <c r="Q1628" s="2" t="s">
        <v>1304</v>
      </c>
      <c r="R1628" s="2" t="s">
        <v>1336</v>
      </c>
      <c r="S1628" s="2">
        <v>206</v>
      </c>
      <c r="T1628" s="2">
        <v>1</v>
      </c>
      <c r="U1628" s="2" t="s">
        <v>141</v>
      </c>
      <c r="Y1628" s="2">
        <v>1700</v>
      </c>
      <c r="Z1628" s="11" t="s">
        <v>54</v>
      </c>
      <c r="AA1628" s="11" t="str">
        <f t="shared" si="105"/>
        <v>1700 - TBN</v>
      </c>
      <c r="AC1628" s="2" t="s">
        <v>145</v>
      </c>
      <c r="AD1628" s="11" t="str">
        <f>IF($I1628&lt;&gt;"",VLOOKUP($AC1628,GEADRESSEERDE!$A$2:$E$4,2,),"")</f>
        <v>LUITHAGEN HAVEN 2 D</v>
      </c>
      <c r="AE1628" s="11">
        <f>IF($I1628&lt;&gt;"",VLOOKUP($AC1628,GEADRESSEERDE!$A$2:$E$4,3,),"")</f>
        <v>2030</v>
      </c>
      <c r="AF1628" s="11" t="str">
        <f>IF($I1628&lt;&gt;"",VLOOKUP($AC1628,GEADRESSEERDE!$A$2:$E$4,4,),"")</f>
        <v>ANTWERPEN</v>
      </c>
      <c r="AG1628" s="11" t="str">
        <f>IF($I1628&lt;&gt;"",VLOOKUP($AC1628,GEADRESSEERDE!$A$2:$E$4,5,),"")</f>
        <v>BE</v>
      </c>
      <c r="AH1628" s="11" t="str">
        <f>IF(I1628&lt;&gt;"",VLOOKUP(AP1628,KvB!$A$2:$B$3,2,FALSE),"")</f>
        <v>BE101000</v>
      </c>
      <c r="AI1628" s="11" t="s">
        <v>55</v>
      </c>
      <c r="AJ1628" s="11"/>
      <c r="AK1628" s="11"/>
      <c r="AL1628" s="11"/>
      <c r="AM1628" s="11"/>
      <c r="AN1628" s="11"/>
      <c r="AO1628" s="11"/>
      <c r="AP1628" s="2" t="s">
        <v>70</v>
      </c>
      <c r="AQ1628" s="11" t="str">
        <f>IF(I1628&lt;&gt;"",DATA!D1627,"")</f>
        <v>8425490000</v>
      </c>
    </row>
    <row r="1629" spans="1:43" ht="15.75" x14ac:dyDescent="0.25">
      <c r="A1629" s="11" t="s">
        <v>57</v>
      </c>
      <c r="B1629" s="11" t="s">
        <v>56</v>
      </c>
      <c r="C1629" s="22">
        <f t="shared" si="106"/>
        <v>25001620</v>
      </c>
      <c r="D1629" s="11" t="str">
        <f t="shared" si="103"/>
        <v>SKIIFM_AT</v>
      </c>
      <c r="E1629" s="11" t="str">
        <f>IF(I1629&lt;&gt;"",VLOOKUP(F1629,OPDRACHTGEVER!$A$2:$B$4,2,FALSE),"")</f>
        <v>SKIIFM_AT</v>
      </c>
      <c r="F1629" s="11" t="s">
        <v>58</v>
      </c>
      <c r="I1629" s="11" t="str">
        <f>IF(DATA!B1628&lt;&gt;"",DATA!B1628,"")</f>
        <v>MSDU8580712</v>
      </c>
      <c r="J1629" s="12">
        <v>0</v>
      </c>
      <c r="K1629" s="11" t="s">
        <v>53</v>
      </c>
      <c r="L1629" s="11" t="str">
        <f t="shared" si="104"/>
        <v>761090</v>
      </c>
      <c r="M1629" s="11" t="str">
        <f>IF(I1629&lt;&gt;"",DATA!E1628,"")</f>
        <v>EXHIBITION STAND</v>
      </c>
      <c r="N1629" s="12">
        <v>0</v>
      </c>
      <c r="O1629" s="11">
        <f>IF(I1629&lt;&gt;"",DATA!C1628,"")</f>
        <v>7.25</v>
      </c>
      <c r="P1629" s="2">
        <v>294094</v>
      </c>
      <c r="Q1629" s="2" t="s">
        <v>1304</v>
      </c>
      <c r="R1629" s="2" t="s">
        <v>1336</v>
      </c>
      <c r="S1629" s="2">
        <v>206</v>
      </c>
      <c r="T1629" s="2">
        <v>1</v>
      </c>
      <c r="U1629" s="2" t="s">
        <v>141</v>
      </c>
      <c r="Y1629" s="2">
        <v>1700</v>
      </c>
      <c r="Z1629" s="11" t="s">
        <v>54</v>
      </c>
      <c r="AA1629" s="11" t="str">
        <f t="shared" si="105"/>
        <v>1700 - TBN</v>
      </c>
      <c r="AC1629" s="2" t="s">
        <v>145</v>
      </c>
      <c r="AD1629" s="11" t="str">
        <f>IF($I1629&lt;&gt;"",VLOOKUP($AC1629,GEADRESSEERDE!$A$2:$E$4,2,),"")</f>
        <v>LUITHAGEN HAVEN 2 D</v>
      </c>
      <c r="AE1629" s="11">
        <f>IF($I1629&lt;&gt;"",VLOOKUP($AC1629,GEADRESSEERDE!$A$2:$E$4,3,),"")</f>
        <v>2030</v>
      </c>
      <c r="AF1629" s="11" t="str">
        <f>IF($I1629&lt;&gt;"",VLOOKUP($AC1629,GEADRESSEERDE!$A$2:$E$4,4,),"")</f>
        <v>ANTWERPEN</v>
      </c>
      <c r="AG1629" s="11" t="str">
        <f>IF($I1629&lt;&gt;"",VLOOKUP($AC1629,GEADRESSEERDE!$A$2:$E$4,5,),"")</f>
        <v>BE</v>
      </c>
      <c r="AH1629" s="11" t="str">
        <f>IF(I1629&lt;&gt;"",VLOOKUP(AP1629,KvB!$A$2:$B$3,2,FALSE),"")</f>
        <v>BE101000</v>
      </c>
      <c r="AI1629" s="11" t="s">
        <v>55</v>
      </c>
      <c r="AJ1629" s="11"/>
      <c r="AK1629" s="11"/>
      <c r="AL1629" s="11"/>
      <c r="AM1629" s="11"/>
      <c r="AN1629" s="11"/>
      <c r="AO1629" s="11"/>
      <c r="AP1629" s="2" t="s">
        <v>70</v>
      </c>
      <c r="AQ1629" s="11" t="str">
        <f>IF(I1629&lt;&gt;"",DATA!D1628,"")</f>
        <v>7610909095</v>
      </c>
    </row>
    <row r="1630" spans="1:43" ht="15.75" x14ac:dyDescent="0.25">
      <c r="A1630" s="11" t="s">
        <v>57</v>
      </c>
      <c r="B1630" s="11" t="s">
        <v>56</v>
      </c>
      <c r="C1630" s="22">
        <f t="shared" si="106"/>
        <v>25001620</v>
      </c>
      <c r="D1630" s="11" t="str">
        <f t="shared" si="103"/>
        <v>SKIIFM_AT</v>
      </c>
      <c r="E1630" s="11" t="str">
        <f>IF(I1630&lt;&gt;"",VLOOKUP(F1630,OPDRACHTGEVER!$A$2:$B$4,2,FALSE),"")</f>
        <v>SKIIFM_AT</v>
      </c>
      <c r="F1630" s="11" t="s">
        <v>58</v>
      </c>
      <c r="I1630" s="11" t="str">
        <f>IF(DATA!B1629&lt;&gt;"",DATA!B1629,"")</f>
        <v>MSDU8580712</v>
      </c>
      <c r="J1630" s="12">
        <v>0</v>
      </c>
      <c r="K1630" s="11" t="s">
        <v>53</v>
      </c>
      <c r="L1630" s="11" t="str">
        <f t="shared" si="104"/>
        <v>940179</v>
      </c>
      <c r="M1630" s="11" t="str">
        <f>IF(I1630&lt;&gt;"",DATA!E1629,"")</f>
        <v>GARAGE STOOL</v>
      </c>
      <c r="N1630" s="12">
        <v>0</v>
      </c>
      <c r="O1630" s="11">
        <f>IF(I1630&lt;&gt;"",DATA!C1629,"")</f>
        <v>305.39999999999998</v>
      </c>
      <c r="P1630" s="2">
        <v>294094</v>
      </c>
      <c r="Q1630" s="2" t="s">
        <v>1304</v>
      </c>
      <c r="R1630" s="2" t="s">
        <v>1336</v>
      </c>
      <c r="S1630" s="2">
        <v>206</v>
      </c>
      <c r="T1630" s="2">
        <v>1</v>
      </c>
      <c r="U1630" s="2" t="s">
        <v>141</v>
      </c>
      <c r="Y1630" s="2">
        <v>1700</v>
      </c>
      <c r="Z1630" s="11" t="s">
        <v>54</v>
      </c>
      <c r="AA1630" s="11" t="str">
        <f t="shared" si="105"/>
        <v>1700 - TBN</v>
      </c>
      <c r="AC1630" s="2" t="s">
        <v>145</v>
      </c>
      <c r="AD1630" s="11" t="str">
        <f>IF($I1630&lt;&gt;"",VLOOKUP($AC1630,GEADRESSEERDE!$A$2:$E$4,2,),"")</f>
        <v>LUITHAGEN HAVEN 2 D</v>
      </c>
      <c r="AE1630" s="11">
        <f>IF($I1630&lt;&gt;"",VLOOKUP($AC1630,GEADRESSEERDE!$A$2:$E$4,3,),"")</f>
        <v>2030</v>
      </c>
      <c r="AF1630" s="11" t="str">
        <f>IF($I1630&lt;&gt;"",VLOOKUP($AC1630,GEADRESSEERDE!$A$2:$E$4,4,),"")</f>
        <v>ANTWERPEN</v>
      </c>
      <c r="AG1630" s="11" t="str">
        <f>IF($I1630&lt;&gt;"",VLOOKUP($AC1630,GEADRESSEERDE!$A$2:$E$4,5,),"")</f>
        <v>BE</v>
      </c>
      <c r="AH1630" s="11" t="str">
        <f>IF(I1630&lt;&gt;"",VLOOKUP(AP1630,KvB!$A$2:$B$3,2,FALSE),"")</f>
        <v>BE101000</v>
      </c>
      <c r="AI1630" s="11" t="s">
        <v>55</v>
      </c>
      <c r="AJ1630" s="11"/>
      <c r="AK1630" s="11"/>
      <c r="AL1630" s="11"/>
      <c r="AM1630" s="11"/>
      <c r="AN1630" s="11"/>
      <c r="AO1630" s="11"/>
      <c r="AP1630" s="2" t="s">
        <v>70</v>
      </c>
      <c r="AQ1630" s="11" t="str">
        <f>IF(I1630&lt;&gt;"",DATA!D1629,"")</f>
        <v>9401790000</v>
      </c>
    </row>
    <row r="1631" spans="1:43" ht="15.75" x14ac:dyDescent="0.25">
      <c r="A1631" s="11" t="s">
        <v>57</v>
      </c>
      <c r="B1631" s="11" t="s">
        <v>56</v>
      </c>
      <c r="C1631" s="22">
        <f t="shared" si="106"/>
        <v>25001620</v>
      </c>
      <c r="D1631" s="11" t="str">
        <f t="shared" si="103"/>
        <v>SKIIFM_AT</v>
      </c>
      <c r="E1631" s="11" t="str">
        <f>IF(I1631&lt;&gt;"",VLOOKUP(F1631,OPDRACHTGEVER!$A$2:$B$4,2,FALSE),"")</f>
        <v>SKIIFM_AT</v>
      </c>
      <c r="F1631" s="11" t="s">
        <v>58</v>
      </c>
      <c r="I1631" s="11" t="str">
        <f>IF(DATA!B1630&lt;&gt;"",DATA!B1630,"")</f>
        <v>MSDU8580712</v>
      </c>
      <c r="J1631" s="12">
        <v>0</v>
      </c>
      <c r="K1631" s="11" t="s">
        <v>53</v>
      </c>
      <c r="L1631" s="11" t="str">
        <f t="shared" si="104"/>
        <v>842482</v>
      </c>
      <c r="M1631" s="11" t="str">
        <f>IF(I1631&lt;&gt;"",DATA!E1630,"")</f>
        <v>GARDEN SPRINKLER</v>
      </c>
      <c r="N1631" s="12">
        <v>0</v>
      </c>
      <c r="O1631" s="11">
        <f>IF(I1631&lt;&gt;"",DATA!C1630,"")</f>
        <v>3.55</v>
      </c>
      <c r="P1631" s="2">
        <v>294094</v>
      </c>
      <c r="Q1631" s="2" t="s">
        <v>1304</v>
      </c>
      <c r="R1631" s="2" t="s">
        <v>1336</v>
      </c>
      <c r="S1631" s="2">
        <v>206</v>
      </c>
      <c r="T1631" s="2">
        <v>1</v>
      </c>
      <c r="U1631" s="2" t="s">
        <v>141</v>
      </c>
      <c r="Y1631" s="2">
        <v>1700</v>
      </c>
      <c r="Z1631" s="11" t="s">
        <v>54</v>
      </c>
      <c r="AA1631" s="11" t="str">
        <f t="shared" si="105"/>
        <v>1700 - TBN</v>
      </c>
      <c r="AC1631" s="2" t="s">
        <v>145</v>
      </c>
      <c r="AD1631" s="11" t="str">
        <f>IF($I1631&lt;&gt;"",VLOOKUP($AC1631,GEADRESSEERDE!$A$2:$E$4,2,),"")</f>
        <v>LUITHAGEN HAVEN 2 D</v>
      </c>
      <c r="AE1631" s="11">
        <f>IF($I1631&lt;&gt;"",VLOOKUP($AC1631,GEADRESSEERDE!$A$2:$E$4,3,),"")</f>
        <v>2030</v>
      </c>
      <c r="AF1631" s="11" t="str">
        <f>IF($I1631&lt;&gt;"",VLOOKUP($AC1631,GEADRESSEERDE!$A$2:$E$4,4,),"")</f>
        <v>ANTWERPEN</v>
      </c>
      <c r="AG1631" s="11" t="str">
        <f>IF($I1631&lt;&gt;"",VLOOKUP($AC1631,GEADRESSEERDE!$A$2:$E$4,5,),"")</f>
        <v>BE</v>
      </c>
      <c r="AH1631" s="11" t="str">
        <f>IF(I1631&lt;&gt;"",VLOOKUP(AP1631,KvB!$A$2:$B$3,2,FALSE),"")</f>
        <v>BE101000</v>
      </c>
      <c r="AI1631" s="11" t="s">
        <v>55</v>
      </c>
      <c r="AJ1631" s="11"/>
      <c r="AK1631" s="11"/>
      <c r="AL1631" s="11"/>
      <c r="AM1631" s="11"/>
      <c r="AN1631" s="11"/>
      <c r="AO1631" s="11"/>
      <c r="AP1631" s="2" t="s">
        <v>70</v>
      </c>
      <c r="AQ1631" s="11" t="str">
        <f>IF(I1631&lt;&gt;"",DATA!D1630,"")</f>
        <v>8424829000</v>
      </c>
    </row>
    <row r="1632" spans="1:43" ht="15.75" x14ac:dyDescent="0.25">
      <c r="A1632" s="11" t="s">
        <v>57</v>
      </c>
      <c r="B1632" s="11" t="s">
        <v>56</v>
      </c>
      <c r="C1632" s="22">
        <f t="shared" si="106"/>
        <v>25001620</v>
      </c>
      <c r="D1632" s="11" t="str">
        <f t="shared" si="103"/>
        <v>SKIIFM_AT</v>
      </c>
      <c r="E1632" s="11" t="str">
        <f>IF(I1632&lt;&gt;"",VLOOKUP(F1632,OPDRACHTGEVER!$A$2:$B$4,2,FALSE),"")</f>
        <v>SKIIFM_AT</v>
      </c>
      <c r="F1632" s="11" t="s">
        <v>58</v>
      </c>
      <c r="I1632" s="11" t="str">
        <f>IF(DATA!B1631&lt;&gt;"",DATA!B1631,"")</f>
        <v>MSDU8580712</v>
      </c>
      <c r="J1632" s="12">
        <v>0</v>
      </c>
      <c r="K1632" s="11" t="s">
        <v>53</v>
      </c>
      <c r="L1632" s="11" t="str">
        <f t="shared" si="104"/>
        <v>851580</v>
      </c>
      <c r="M1632" s="11" t="str">
        <f>IF(I1632&lt;&gt;"",DATA!E1631,"")</f>
        <v>GAS PRESSURE WASHER</v>
      </c>
      <c r="N1632" s="12">
        <v>0</v>
      </c>
      <c r="O1632" s="11">
        <f>IF(I1632&lt;&gt;"",DATA!C1631,"")</f>
        <v>1137.07</v>
      </c>
      <c r="P1632" s="2">
        <v>294094</v>
      </c>
      <c r="Q1632" s="2" t="s">
        <v>1304</v>
      </c>
      <c r="R1632" s="2" t="s">
        <v>1336</v>
      </c>
      <c r="S1632" s="2">
        <v>206</v>
      </c>
      <c r="T1632" s="2">
        <v>1</v>
      </c>
      <c r="U1632" s="2" t="s">
        <v>141</v>
      </c>
      <c r="Y1632" s="2">
        <v>1700</v>
      </c>
      <c r="Z1632" s="11" t="s">
        <v>54</v>
      </c>
      <c r="AA1632" s="11" t="str">
        <f t="shared" si="105"/>
        <v>1700 - TBN</v>
      </c>
      <c r="AC1632" s="2" t="s">
        <v>145</v>
      </c>
      <c r="AD1632" s="11" t="str">
        <f>IF($I1632&lt;&gt;"",VLOOKUP($AC1632,GEADRESSEERDE!$A$2:$E$4,2,),"")</f>
        <v>LUITHAGEN HAVEN 2 D</v>
      </c>
      <c r="AE1632" s="11">
        <f>IF($I1632&lt;&gt;"",VLOOKUP($AC1632,GEADRESSEERDE!$A$2:$E$4,3,),"")</f>
        <v>2030</v>
      </c>
      <c r="AF1632" s="11" t="str">
        <f>IF($I1632&lt;&gt;"",VLOOKUP($AC1632,GEADRESSEERDE!$A$2:$E$4,4,),"")</f>
        <v>ANTWERPEN</v>
      </c>
      <c r="AG1632" s="11" t="str">
        <f>IF($I1632&lt;&gt;"",VLOOKUP($AC1632,GEADRESSEERDE!$A$2:$E$4,5,),"")</f>
        <v>BE</v>
      </c>
      <c r="AH1632" s="11" t="str">
        <f>IF(I1632&lt;&gt;"",VLOOKUP(AP1632,KvB!$A$2:$B$3,2,FALSE),"")</f>
        <v>BE101000</v>
      </c>
      <c r="AI1632" s="11" t="s">
        <v>55</v>
      </c>
      <c r="AJ1632" s="11"/>
      <c r="AK1632" s="11"/>
      <c r="AL1632" s="11"/>
      <c r="AM1632" s="11"/>
      <c r="AN1632" s="11"/>
      <c r="AO1632" s="11"/>
      <c r="AP1632" s="2" t="s">
        <v>70</v>
      </c>
      <c r="AQ1632" s="11" t="str">
        <f>IF(I1632&lt;&gt;"",DATA!D1631,"")</f>
        <v>8515809000</v>
      </c>
    </row>
    <row r="1633" spans="1:43" ht="15.75" x14ac:dyDescent="0.25">
      <c r="A1633" s="11" t="s">
        <v>57</v>
      </c>
      <c r="B1633" s="11" t="s">
        <v>56</v>
      </c>
      <c r="C1633" s="22">
        <f t="shared" si="106"/>
        <v>25001620</v>
      </c>
      <c r="D1633" s="11" t="str">
        <f t="shared" si="103"/>
        <v>SKIIFM_AT</v>
      </c>
      <c r="E1633" s="11" t="str">
        <f>IF(I1633&lt;&gt;"",VLOOKUP(F1633,OPDRACHTGEVER!$A$2:$B$4,2,FALSE),"")</f>
        <v>SKIIFM_AT</v>
      </c>
      <c r="F1633" s="11" t="s">
        <v>58</v>
      </c>
      <c r="I1633" s="11" t="str">
        <f>IF(DATA!B1632&lt;&gt;"",DATA!B1632,"")</f>
        <v>MSDU8580712</v>
      </c>
      <c r="J1633" s="12">
        <v>0</v>
      </c>
      <c r="K1633" s="11" t="s">
        <v>53</v>
      </c>
      <c r="L1633" s="11" t="str">
        <f t="shared" si="104"/>
        <v>853110</v>
      </c>
      <c r="M1633" s="11" t="str">
        <f>IF(I1633&lt;&gt;"",DATA!E1632,"")</f>
        <v>GLASS FIBER</v>
      </c>
      <c r="N1633" s="12">
        <v>0</v>
      </c>
      <c r="O1633" s="11">
        <f>IF(I1633&lt;&gt;"",DATA!C1632,"")</f>
        <v>4.95</v>
      </c>
      <c r="P1633" s="2">
        <v>294094</v>
      </c>
      <c r="Q1633" s="2" t="s">
        <v>1304</v>
      </c>
      <c r="R1633" s="2" t="s">
        <v>1336</v>
      </c>
      <c r="S1633" s="2">
        <v>206</v>
      </c>
      <c r="T1633" s="2">
        <v>1</v>
      </c>
      <c r="U1633" s="2" t="s">
        <v>141</v>
      </c>
      <c r="Y1633" s="2">
        <v>1700</v>
      </c>
      <c r="Z1633" s="11" t="s">
        <v>54</v>
      </c>
      <c r="AA1633" s="11" t="str">
        <f t="shared" si="105"/>
        <v>1700 - TBN</v>
      </c>
      <c r="AC1633" s="2" t="s">
        <v>145</v>
      </c>
      <c r="AD1633" s="11" t="str">
        <f>IF($I1633&lt;&gt;"",VLOOKUP($AC1633,GEADRESSEERDE!$A$2:$E$4,2,),"")</f>
        <v>LUITHAGEN HAVEN 2 D</v>
      </c>
      <c r="AE1633" s="11">
        <f>IF($I1633&lt;&gt;"",VLOOKUP($AC1633,GEADRESSEERDE!$A$2:$E$4,3,),"")</f>
        <v>2030</v>
      </c>
      <c r="AF1633" s="11" t="str">
        <f>IF($I1633&lt;&gt;"",VLOOKUP($AC1633,GEADRESSEERDE!$A$2:$E$4,4,),"")</f>
        <v>ANTWERPEN</v>
      </c>
      <c r="AG1633" s="11" t="str">
        <f>IF($I1633&lt;&gt;"",VLOOKUP($AC1633,GEADRESSEERDE!$A$2:$E$4,5,),"")</f>
        <v>BE</v>
      </c>
      <c r="AH1633" s="11" t="str">
        <f>IF(I1633&lt;&gt;"",VLOOKUP(AP1633,KvB!$A$2:$B$3,2,FALSE),"")</f>
        <v>BE101000</v>
      </c>
      <c r="AI1633" s="11" t="s">
        <v>55</v>
      </c>
      <c r="AJ1633" s="11"/>
      <c r="AK1633" s="11"/>
      <c r="AL1633" s="11"/>
      <c r="AM1633" s="11"/>
      <c r="AN1633" s="11"/>
      <c r="AO1633" s="11"/>
      <c r="AP1633" s="2" t="s">
        <v>70</v>
      </c>
      <c r="AQ1633" s="11" t="str">
        <f>IF(I1633&lt;&gt;"",DATA!D1632,"")</f>
        <v>8531109590</v>
      </c>
    </row>
    <row r="1634" spans="1:43" ht="15.75" x14ac:dyDescent="0.25">
      <c r="A1634" s="11" t="s">
        <v>57</v>
      </c>
      <c r="B1634" s="11" t="s">
        <v>56</v>
      </c>
      <c r="C1634" s="22">
        <f t="shared" si="106"/>
        <v>25001620</v>
      </c>
      <c r="D1634" s="11" t="str">
        <f t="shared" si="103"/>
        <v>SKIIFM_AT</v>
      </c>
      <c r="E1634" s="11" t="str">
        <f>IF(I1634&lt;&gt;"",VLOOKUP(F1634,OPDRACHTGEVER!$A$2:$B$4,2,FALSE),"")</f>
        <v>SKIIFM_AT</v>
      </c>
      <c r="F1634" s="11" t="s">
        <v>58</v>
      </c>
      <c r="I1634" s="11" t="str">
        <f>IF(DATA!B1633&lt;&gt;"",DATA!B1633,"")</f>
        <v>MSDU8580712</v>
      </c>
      <c r="J1634" s="12">
        <v>0</v>
      </c>
      <c r="K1634" s="11" t="s">
        <v>53</v>
      </c>
      <c r="L1634" s="11" t="str">
        <f t="shared" si="104"/>
        <v>391739</v>
      </c>
      <c r="M1634" s="11" t="str">
        <f>IF(I1634&lt;&gt;"",DATA!E1633,"")</f>
        <v>HOSE</v>
      </c>
      <c r="N1634" s="12">
        <v>0</v>
      </c>
      <c r="O1634" s="11">
        <f>IF(I1634&lt;&gt;"",DATA!C1633,"")</f>
        <v>6.75</v>
      </c>
      <c r="P1634" s="2">
        <v>294094</v>
      </c>
      <c r="Q1634" s="2" t="s">
        <v>1304</v>
      </c>
      <c r="R1634" s="2" t="s">
        <v>1336</v>
      </c>
      <c r="S1634" s="2">
        <v>206</v>
      </c>
      <c r="T1634" s="2">
        <v>1</v>
      </c>
      <c r="U1634" s="2" t="s">
        <v>141</v>
      </c>
      <c r="Y1634" s="2">
        <v>1700</v>
      </c>
      <c r="Z1634" s="11" t="s">
        <v>54</v>
      </c>
      <c r="AA1634" s="11" t="str">
        <f t="shared" si="105"/>
        <v>1700 - TBN</v>
      </c>
      <c r="AC1634" s="2" t="s">
        <v>145</v>
      </c>
      <c r="AD1634" s="11" t="str">
        <f>IF($I1634&lt;&gt;"",VLOOKUP($AC1634,GEADRESSEERDE!$A$2:$E$4,2,),"")</f>
        <v>LUITHAGEN HAVEN 2 D</v>
      </c>
      <c r="AE1634" s="11">
        <f>IF($I1634&lt;&gt;"",VLOOKUP($AC1634,GEADRESSEERDE!$A$2:$E$4,3,),"")</f>
        <v>2030</v>
      </c>
      <c r="AF1634" s="11" t="str">
        <f>IF($I1634&lt;&gt;"",VLOOKUP($AC1634,GEADRESSEERDE!$A$2:$E$4,4,),"")</f>
        <v>ANTWERPEN</v>
      </c>
      <c r="AG1634" s="11" t="str">
        <f>IF($I1634&lt;&gt;"",VLOOKUP($AC1634,GEADRESSEERDE!$A$2:$E$4,5,),"")</f>
        <v>BE</v>
      </c>
      <c r="AH1634" s="11" t="str">
        <f>IF(I1634&lt;&gt;"",VLOOKUP(AP1634,KvB!$A$2:$B$3,2,FALSE),"")</f>
        <v>BE101000</v>
      </c>
      <c r="AI1634" s="11" t="s">
        <v>55</v>
      </c>
      <c r="AJ1634" s="11"/>
      <c r="AK1634" s="11"/>
      <c r="AL1634" s="11"/>
      <c r="AM1634" s="11"/>
      <c r="AN1634" s="11"/>
      <c r="AO1634" s="11"/>
      <c r="AP1634" s="2" t="s">
        <v>70</v>
      </c>
      <c r="AQ1634" s="11" t="str">
        <f>IF(I1634&lt;&gt;"",DATA!D1633,"")</f>
        <v>3917390099</v>
      </c>
    </row>
    <row r="1635" spans="1:43" ht="15.75" x14ac:dyDescent="0.25">
      <c r="A1635" s="11" t="s">
        <v>57</v>
      </c>
      <c r="B1635" s="11" t="s">
        <v>56</v>
      </c>
      <c r="C1635" s="22">
        <f t="shared" si="106"/>
        <v>25001620</v>
      </c>
      <c r="D1635" s="11" t="str">
        <f t="shared" si="103"/>
        <v>SKIIFM_AT</v>
      </c>
      <c r="E1635" s="11" t="str">
        <f>IF(I1635&lt;&gt;"",VLOOKUP(F1635,OPDRACHTGEVER!$A$2:$B$4,2,FALSE),"")</f>
        <v>SKIIFM_AT</v>
      </c>
      <c r="F1635" s="11" t="s">
        <v>58</v>
      </c>
      <c r="I1635" s="11" t="str">
        <f>IF(DATA!B1634&lt;&gt;"",DATA!B1634,"")</f>
        <v>MSDU8580712</v>
      </c>
      <c r="J1635" s="12">
        <v>0</v>
      </c>
      <c r="K1635" s="11" t="s">
        <v>53</v>
      </c>
      <c r="L1635" s="11" t="str">
        <f t="shared" si="104"/>
        <v>820530</v>
      </c>
      <c r="M1635" s="11" t="str">
        <f>IF(I1635&lt;&gt;"",DATA!E1634,"")</f>
        <v>HSS LATHE CHISEL</v>
      </c>
      <c r="N1635" s="12">
        <v>0</v>
      </c>
      <c r="O1635" s="11">
        <f>IF(I1635&lt;&gt;"",DATA!C1634,"")</f>
        <v>12.56</v>
      </c>
      <c r="P1635" s="2">
        <v>294094</v>
      </c>
      <c r="Q1635" s="2" t="s">
        <v>1304</v>
      </c>
      <c r="R1635" s="2" t="s">
        <v>1336</v>
      </c>
      <c r="S1635" s="2">
        <v>206</v>
      </c>
      <c r="T1635" s="2">
        <v>1</v>
      </c>
      <c r="U1635" s="2" t="s">
        <v>141</v>
      </c>
      <c r="Y1635" s="2">
        <v>1700</v>
      </c>
      <c r="Z1635" s="11" t="s">
        <v>54</v>
      </c>
      <c r="AA1635" s="11" t="str">
        <f t="shared" si="105"/>
        <v>1700 - TBN</v>
      </c>
      <c r="AC1635" s="2" t="s">
        <v>145</v>
      </c>
      <c r="AD1635" s="11" t="str">
        <f>IF($I1635&lt;&gt;"",VLOOKUP($AC1635,GEADRESSEERDE!$A$2:$E$4,2,),"")</f>
        <v>LUITHAGEN HAVEN 2 D</v>
      </c>
      <c r="AE1635" s="11">
        <f>IF($I1635&lt;&gt;"",VLOOKUP($AC1635,GEADRESSEERDE!$A$2:$E$4,3,),"")</f>
        <v>2030</v>
      </c>
      <c r="AF1635" s="11" t="str">
        <f>IF($I1635&lt;&gt;"",VLOOKUP($AC1635,GEADRESSEERDE!$A$2:$E$4,4,),"")</f>
        <v>ANTWERPEN</v>
      </c>
      <c r="AG1635" s="11" t="str">
        <f>IF($I1635&lt;&gt;"",VLOOKUP($AC1635,GEADRESSEERDE!$A$2:$E$4,5,),"")</f>
        <v>BE</v>
      </c>
      <c r="AH1635" s="11" t="str">
        <f>IF(I1635&lt;&gt;"",VLOOKUP(AP1635,KvB!$A$2:$B$3,2,FALSE),"")</f>
        <v>BE101000</v>
      </c>
      <c r="AI1635" s="11" t="s">
        <v>55</v>
      </c>
      <c r="AJ1635" s="11"/>
      <c r="AK1635" s="11"/>
      <c r="AL1635" s="11"/>
      <c r="AM1635" s="11"/>
      <c r="AN1635" s="11"/>
      <c r="AO1635" s="11"/>
      <c r="AP1635" s="2" t="s">
        <v>70</v>
      </c>
      <c r="AQ1635" s="11" t="str">
        <f>IF(I1635&lt;&gt;"",DATA!D1634,"")</f>
        <v>8205300000</v>
      </c>
    </row>
    <row r="1636" spans="1:43" ht="15.75" x14ac:dyDescent="0.25">
      <c r="A1636" s="11" t="s">
        <v>57</v>
      </c>
      <c r="B1636" s="11" t="s">
        <v>56</v>
      </c>
      <c r="C1636" s="22">
        <f t="shared" si="106"/>
        <v>25001620</v>
      </c>
      <c r="D1636" s="11" t="str">
        <f t="shared" si="103"/>
        <v>SKIIFM_AT</v>
      </c>
      <c r="E1636" s="11" t="str">
        <f>IF(I1636&lt;&gt;"",VLOOKUP(F1636,OPDRACHTGEVER!$A$2:$B$4,2,FALSE),"")</f>
        <v>SKIIFM_AT</v>
      </c>
      <c r="F1636" s="11" t="s">
        <v>58</v>
      </c>
      <c r="I1636" s="11" t="str">
        <f>IF(DATA!B1635&lt;&gt;"",DATA!B1635,"")</f>
        <v>MSDU8580712</v>
      </c>
      <c r="J1636" s="12">
        <v>0</v>
      </c>
      <c r="K1636" s="11" t="s">
        <v>53</v>
      </c>
      <c r="L1636" s="11" t="str">
        <f t="shared" si="104"/>
        <v>842542</v>
      </c>
      <c r="M1636" s="11" t="str">
        <f>IF(I1636&lt;&gt;"",DATA!E1635,"")</f>
        <v>HYDRAULIC JACK</v>
      </c>
      <c r="N1636" s="12">
        <v>0</v>
      </c>
      <c r="O1636" s="11">
        <f>IF(I1636&lt;&gt;"",DATA!C1635,"")</f>
        <v>10.95</v>
      </c>
      <c r="P1636" s="2">
        <v>294094</v>
      </c>
      <c r="Q1636" s="2" t="s">
        <v>1304</v>
      </c>
      <c r="R1636" s="2" t="s">
        <v>1336</v>
      </c>
      <c r="S1636" s="2">
        <v>206</v>
      </c>
      <c r="T1636" s="2">
        <v>1</v>
      </c>
      <c r="U1636" s="2" t="s">
        <v>141</v>
      </c>
      <c r="Y1636" s="2">
        <v>1700</v>
      </c>
      <c r="Z1636" s="11" t="s">
        <v>54</v>
      </c>
      <c r="AA1636" s="11" t="str">
        <f t="shared" si="105"/>
        <v>1700 - TBN</v>
      </c>
      <c r="AC1636" s="2" t="s">
        <v>145</v>
      </c>
      <c r="AD1636" s="11" t="str">
        <f>IF($I1636&lt;&gt;"",VLOOKUP($AC1636,GEADRESSEERDE!$A$2:$E$4,2,),"")</f>
        <v>LUITHAGEN HAVEN 2 D</v>
      </c>
      <c r="AE1636" s="11">
        <f>IF($I1636&lt;&gt;"",VLOOKUP($AC1636,GEADRESSEERDE!$A$2:$E$4,3,),"")</f>
        <v>2030</v>
      </c>
      <c r="AF1636" s="11" t="str">
        <f>IF($I1636&lt;&gt;"",VLOOKUP($AC1636,GEADRESSEERDE!$A$2:$E$4,4,),"")</f>
        <v>ANTWERPEN</v>
      </c>
      <c r="AG1636" s="11" t="str">
        <f>IF($I1636&lt;&gt;"",VLOOKUP($AC1636,GEADRESSEERDE!$A$2:$E$4,5,),"")</f>
        <v>BE</v>
      </c>
      <c r="AH1636" s="11" t="str">
        <f>IF(I1636&lt;&gt;"",VLOOKUP(AP1636,KvB!$A$2:$B$3,2,FALSE),"")</f>
        <v>BE101000</v>
      </c>
      <c r="AI1636" s="11" t="s">
        <v>55</v>
      </c>
      <c r="AJ1636" s="11"/>
      <c r="AK1636" s="11"/>
      <c r="AL1636" s="11"/>
      <c r="AM1636" s="11"/>
      <c r="AN1636" s="11"/>
      <c r="AO1636" s="11"/>
      <c r="AP1636" s="2" t="s">
        <v>70</v>
      </c>
      <c r="AQ1636" s="11" t="str">
        <f>IF(I1636&lt;&gt;"",DATA!D1635,"")</f>
        <v>8425420000</v>
      </c>
    </row>
    <row r="1637" spans="1:43" ht="15.75" x14ac:dyDescent="0.25">
      <c r="A1637" s="11" t="s">
        <v>57</v>
      </c>
      <c r="B1637" s="11" t="s">
        <v>56</v>
      </c>
      <c r="C1637" s="22">
        <f t="shared" si="106"/>
        <v>25001620</v>
      </c>
      <c r="D1637" s="11" t="str">
        <f t="shared" si="103"/>
        <v>SKIIFM_AT</v>
      </c>
      <c r="E1637" s="11" t="str">
        <f>IF(I1637&lt;&gt;"",VLOOKUP(F1637,OPDRACHTGEVER!$A$2:$B$4,2,FALSE),"")</f>
        <v>SKIIFM_AT</v>
      </c>
      <c r="F1637" s="11" t="s">
        <v>58</v>
      </c>
      <c r="I1637" s="11" t="str">
        <f>IF(DATA!B1636&lt;&gt;"",DATA!B1636,"")</f>
        <v>MSDU8580712</v>
      </c>
      <c r="J1637" s="12">
        <v>0</v>
      </c>
      <c r="K1637" s="11" t="s">
        <v>53</v>
      </c>
      <c r="L1637" s="11" t="str">
        <f t="shared" si="104"/>
        <v>846789</v>
      </c>
      <c r="M1637" s="11" t="str">
        <f>IF(I1637&lt;&gt;"",DATA!E1636,"")</f>
        <v>HYDRAULIC PULLER</v>
      </c>
      <c r="N1637" s="12">
        <v>0</v>
      </c>
      <c r="O1637" s="11">
        <f>IF(I1637&lt;&gt;"",DATA!C1636,"")</f>
        <v>73.05</v>
      </c>
      <c r="P1637" s="2">
        <v>294094</v>
      </c>
      <c r="Q1637" s="2" t="s">
        <v>1304</v>
      </c>
      <c r="R1637" s="2" t="s">
        <v>1336</v>
      </c>
      <c r="S1637" s="2">
        <v>206</v>
      </c>
      <c r="T1637" s="2">
        <v>1</v>
      </c>
      <c r="U1637" s="2" t="s">
        <v>141</v>
      </c>
      <c r="Y1637" s="2">
        <v>1700</v>
      </c>
      <c r="Z1637" s="11" t="s">
        <v>54</v>
      </c>
      <c r="AA1637" s="11" t="str">
        <f t="shared" si="105"/>
        <v>1700 - TBN</v>
      </c>
      <c r="AC1637" s="2" t="s">
        <v>145</v>
      </c>
      <c r="AD1637" s="11" t="str">
        <f>IF($I1637&lt;&gt;"",VLOOKUP($AC1637,GEADRESSEERDE!$A$2:$E$4,2,),"")</f>
        <v>LUITHAGEN HAVEN 2 D</v>
      </c>
      <c r="AE1637" s="11">
        <f>IF($I1637&lt;&gt;"",VLOOKUP($AC1637,GEADRESSEERDE!$A$2:$E$4,3,),"")</f>
        <v>2030</v>
      </c>
      <c r="AF1637" s="11" t="str">
        <f>IF($I1637&lt;&gt;"",VLOOKUP($AC1637,GEADRESSEERDE!$A$2:$E$4,4,),"")</f>
        <v>ANTWERPEN</v>
      </c>
      <c r="AG1637" s="11" t="str">
        <f>IF($I1637&lt;&gt;"",VLOOKUP($AC1637,GEADRESSEERDE!$A$2:$E$4,5,),"")</f>
        <v>BE</v>
      </c>
      <c r="AH1637" s="11" t="str">
        <f>IF(I1637&lt;&gt;"",VLOOKUP(AP1637,KvB!$A$2:$B$3,2,FALSE),"")</f>
        <v>BE101000</v>
      </c>
      <c r="AI1637" s="11" t="s">
        <v>55</v>
      </c>
      <c r="AJ1637" s="11"/>
      <c r="AK1637" s="11"/>
      <c r="AL1637" s="11"/>
      <c r="AM1637" s="11"/>
      <c r="AN1637" s="11"/>
      <c r="AO1637" s="11"/>
      <c r="AP1637" s="2" t="s">
        <v>70</v>
      </c>
      <c r="AQ1637" s="11" t="str">
        <f>IF(I1637&lt;&gt;"",DATA!D1636,"")</f>
        <v>8467890000</v>
      </c>
    </row>
    <row r="1638" spans="1:43" ht="15.75" x14ac:dyDescent="0.25">
      <c r="A1638" s="11" t="s">
        <v>57</v>
      </c>
      <c r="B1638" s="11" t="s">
        <v>56</v>
      </c>
      <c r="C1638" s="22">
        <f t="shared" si="106"/>
        <v>25001620</v>
      </c>
      <c r="D1638" s="11" t="str">
        <f t="shared" si="103"/>
        <v>SKIIFM_AT</v>
      </c>
      <c r="E1638" s="11" t="str">
        <f>IF(I1638&lt;&gt;"",VLOOKUP(F1638,OPDRACHTGEVER!$A$2:$B$4,2,FALSE),"")</f>
        <v>SKIIFM_AT</v>
      </c>
      <c r="F1638" s="11" t="s">
        <v>58</v>
      </c>
      <c r="I1638" s="11" t="str">
        <f>IF(DATA!B1637&lt;&gt;"",DATA!B1637,"")</f>
        <v>MSDU8580712</v>
      </c>
      <c r="J1638" s="12">
        <v>0</v>
      </c>
      <c r="K1638" s="11" t="s">
        <v>53</v>
      </c>
      <c r="L1638" s="11" t="str">
        <f t="shared" si="104"/>
        <v>850440</v>
      </c>
      <c r="M1638" s="11" t="str">
        <f>IF(I1638&lt;&gt;"",DATA!E1637,"")</f>
        <v>INVERTER</v>
      </c>
      <c r="N1638" s="12">
        <v>0</v>
      </c>
      <c r="O1638" s="11">
        <f>IF(I1638&lt;&gt;"",DATA!C1637,"")</f>
        <v>6.45</v>
      </c>
      <c r="P1638" s="2">
        <v>294094</v>
      </c>
      <c r="Q1638" s="2" t="s">
        <v>1304</v>
      </c>
      <c r="R1638" s="2" t="s">
        <v>1336</v>
      </c>
      <c r="S1638" s="2">
        <v>206</v>
      </c>
      <c r="T1638" s="2">
        <v>1</v>
      </c>
      <c r="U1638" s="2" t="s">
        <v>141</v>
      </c>
      <c r="Y1638" s="2">
        <v>1700</v>
      </c>
      <c r="Z1638" s="11" t="s">
        <v>54</v>
      </c>
      <c r="AA1638" s="11" t="str">
        <f t="shared" si="105"/>
        <v>1700 - TBN</v>
      </c>
      <c r="AC1638" s="2" t="s">
        <v>145</v>
      </c>
      <c r="AD1638" s="11" t="str">
        <f>IF($I1638&lt;&gt;"",VLOOKUP($AC1638,GEADRESSEERDE!$A$2:$E$4,2,),"")</f>
        <v>LUITHAGEN HAVEN 2 D</v>
      </c>
      <c r="AE1638" s="11">
        <f>IF($I1638&lt;&gt;"",VLOOKUP($AC1638,GEADRESSEERDE!$A$2:$E$4,3,),"")</f>
        <v>2030</v>
      </c>
      <c r="AF1638" s="11" t="str">
        <f>IF($I1638&lt;&gt;"",VLOOKUP($AC1638,GEADRESSEERDE!$A$2:$E$4,4,),"")</f>
        <v>ANTWERPEN</v>
      </c>
      <c r="AG1638" s="11" t="str">
        <f>IF($I1638&lt;&gt;"",VLOOKUP($AC1638,GEADRESSEERDE!$A$2:$E$4,5,),"")</f>
        <v>BE</v>
      </c>
      <c r="AH1638" s="11" t="str">
        <f>IF(I1638&lt;&gt;"",VLOOKUP(AP1638,KvB!$A$2:$B$3,2,FALSE),"")</f>
        <v>BE101000</v>
      </c>
      <c r="AI1638" s="11" t="s">
        <v>55</v>
      </c>
      <c r="AJ1638" s="11"/>
      <c r="AK1638" s="11"/>
      <c r="AL1638" s="11"/>
      <c r="AM1638" s="11"/>
      <c r="AN1638" s="11"/>
      <c r="AO1638" s="11"/>
      <c r="AP1638" s="2" t="s">
        <v>70</v>
      </c>
      <c r="AQ1638" s="11" t="str">
        <f>IF(I1638&lt;&gt;"",DATA!D1637,"")</f>
        <v>8504409590</v>
      </c>
    </row>
    <row r="1639" spans="1:43" ht="15.75" x14ac:dyDescent="0.25">
      <c r="A1639" s="11" t="s">
        <v>57</v>
      </c>
      <c r="B1639" s="11" t="s">
        <v>56</v>
      </c>
      <c r="C1639" s="22">
        <f t="shared" si="106"/>
        <v>25001620</v>
      </c>
      <c r="D1639" s="11" t="str">
        <f t="shared" si="103"/>
        <v>SKIIFM_AT</v>
      </c>
      <c r="E1639" s="11" t="str">
        <f>IF(I1639&lt;&gt;"",VLOOKUP(F1639,OPDRACHTGEVER!$A$2:$B$4,2,FALSE),"")</f>
        <v>SKIIFM_AT</v>
      </c>
      <c r="F1639" s="11" t="s">
        <v>58</v>
      </c>
      <c r="I1639" s="11" t="str">
        <f>IF(DATA!B1638&lt;&gt;"",DATA!B1638,"")</f>
        <v>MSDU8580712</v>
      </c>
      <c r="J1639" s="12">
        <v>0</v>
      </c>
      <c r="K1639" s="11" t="s">
        <v>53</v>
      </c>
      <c r="L1639" s="11" t="str">
        <f t="shared" si="104"/>
        <v>850940</v>
      </c>
      <c r="M1639" s="11" t="str">
        <f>IF(I1639&lt;&gt;"",DATA!E1638,"")</f>
        <v>JUICE BEVERAGE</v>
      </c>
      <c r="N1639" s="12">
        <v>0</v>
      </c>
      <c r="O1639" s="11">
        <f>IF(I1639&lt;&gt;"",DATA!C1638,"")</f>
        <v>2143.25</v>
      </c>
      <c r="P1639" s="2">
        <v>294094</v>
      </c>
      <c r="Q1639" s="2" t="s">
        <v>1304</v>
      </c>
      <c r="R1639" s="2" t="s">
        <v>1336</v>
      </c>
      <c r="S1639" s="2">
        <v>206</v>
      </c>
      <c r="T1639" s="2">
        <v>1</v>
      </c>
      <c r="U1639" s="2" t="s">
        <v>141</v>
      </c>
      <c r="Y1639" s="2">
        <v>1700</v>
      </c>
      <c r="Z1639" s="11" t="s">
        <v>54</v>
      </c>
      <c r="AA1639" s="11" t="str">
        <f t="shared" si="105"/>
        <v>1700 - TBN</v>
      </c>
      <c r="AC1639" s="2" t="s">
        <v>145</v>
      </c>
      <c r="AD1639" s="11" t="str">
        <f>IF($I1639&lt;&gt;"",VLOOKUP($AC1639,GEADRESSEERDE!$A$2:$E$4,2,),"")</f>
        <v>LUITHAGEN HAVEN 2 D</v>
      </c>
      <c r="AE1639" s="11">
        <f>IF($I1639&lt;&gt;"",VLOOKUP($AC1639,GEADRESSEERDE!$A$2:$E$4,3,),"")</f>
        <v>2030</v>
      </c>
      <c r="AF1639" s="11" t="str">
        <f>IF($I1639&lt;&gt;"",VLOOKUP($AC1639,GEADRESSEERDE!$A$2:$E$4,4,),"")</f>
        <v>ANTWERPEN</v>
      </c>
      <c r="AG1639" s="11" t="str">
        <f>IF($I1639&lt;&gt;"",VLOOKUP($AC1639,GEADRESSEERDE!$A$2:$E$4,5,),"")</f>
        <v>BE</v>
      </c>
      <c r="AH1639" s="11" t="str">
        <f>IF(I1639&lt;&gt;"",VLOOKUP(AP1639,KvB!$A$2:$B$3,2,FALSE),"")</f>
        <v>BE101000</v>
      </c>
      <c r="AI1639" s="11" t="s">
        <v>55</v>
      </c>
      <c r="AJ1639" s="11"/>
      <c r="AK1639" s="11"/>
      <c r="AL1639" s="11"/>
      <c r="AM1639" s="11"/>
      <c r="AN1639" s="11"/>
      <c r="AO1639" s="11"/>
      <c r="AP1639" s="2" t="s">
        <v>70</v>
      </c>
      <c r="AQ1639" s="11" t="str">
        <f>IF(I1639&lt;&gt;"",DATA!D1638,"")</f>
        <v>8509400000</v>
      </c>
    </row>
    <row r="1640" spans="1:43" ht="15.75" x14ac:dyDescent="0.25">
      <c r="A1640" s="11" t="s">
        <v>57</v>
      </c>
      <c r="B1640" s="11" t="s">
        <v>56</v>
      </c>
      <c r="C1640" s="22">
        <f t="shared" si="106"/>
        <v>25001620</v>
      </c>
      <c r="D1640" s="11" t="str">
        <f t="shared" si="103"/>
        <v>SKIIFM_AT</v>
      </c>
      <c r="E1640" s="11" t="str">
        <f>IF(I1640&lt;&gt;"",VLOOKUP(F1640,OPDRACHTGEVER!$A$2:$B$4,2,FALSE),"")</f>
        <v>SKIIFM_AT</v>
      </c>
      <c r="F1640" s="11" t="s">
        <v>58</v>
      </c>
      <c r="I1640" s="11" t="str">
        <f>IF(DATA!B1639&lt;&gt;"",DATA!B1639,"")</f>
        <v>MSDU8580712</v>
      </c>
      <c r="J1640" s="12">
        <v>0</v>
      </c>
      <c r="K1640" s="11" t="s">
        <v>53</v>
      </c>
      <c r="L1640" s="11" t="str">
        <f t="shared" si="104"/>
        <v>853890</v>
      </c>
      <c r="M1640" s="11" t="str">
        <f>IF(I1640&lt;&gt;"",DATA!E1639,"")</f>
        <v>KIT-ISOLATOR HARNESS</v>
      </c>
      <c r="N1640" s="12">
        <v>0</v>
      </c>
      <c r="O1640" s="11">
        <f>IF(I1640&lt;&gt;"",DATA!C1639,"")</f>
        <v>6.2</v>
      </c>
      <c r="P1640" s="2">
        <v>294094</v>
      </c>
      <c r="Q1640" s="2" t="s">
        <v>1304</v>
      </c>
      <c r="R1640" s="2" t="s">
        <v>1336</v>
      </c>
      <c r="S1640" s="2">
        <v>206</v>
      </c>
      <c r="T1640" s="2">
        <v>1</v>
      </c>
      <c r="U1640" s="2" t="s">
        <v>141</v>
      </c>
      <c r="Y1640" s="2">
        <v>1700</v>
      </c>
      <c r="Z1640" s="11" t="s">
        <v>54</v>
      </c>
      <c r="AA1640" s="11" t="str">
        <f t="shared" si="105"/>
        <v>1700 - TBN</v>
      </c>
      <c r="AC1640" s="2" t="s">
        <v>145</v>
      </c>
      <c r="AD1640" s="11" t="str">
        <f>IF($I1640&lt;&gt;"",VLOOKUP($AC1640,GEADRESSEERDE!$A$2:$E$4,2,),"")</f>
        <v>LUITHAGEN HAVEN 2 D</v>
      </c>
      <c r="AE1640" s="11">
        <f>IF($I1640&lt;&gt;"",VLOOKUP($AC1640,GEADRESSEERDE!$A$2:$E$4,3,),"")</f>
        <v>2030</v>
      </c>
      <c r="AF1640" s="11" t="str">
        <f>IF($I1640&lt;&gt;"",VLOOKUP($AC1640,GEADRESSEERDE!$A$2:$E$4,4,),"")</f>
        <v>ANTWERPEN</v>
      </c>
      <c r="AG1640" s="11" t="str">
        <f>IF($I1640&lt;&gt;"",VLOOKUP($AC1640,GEADRESSEERDE!$A$2:$E$4,5,),"")</f>
        <v>BE</v>
      </c>
      <c r="AH1640" s="11" t="str">
        <f>IF(I1640&lt;&gt;"",VLOOKUP(AP1640,KvB!$A$2:$B$3,2,FALSE),"")</f>
        <v>BE101000</v>
      </c>
      <c r="AI1640" s="11" t="s">
        <v>55</v>
      </c>
      <c r="AJ1640" s="11"/>
      <c r="AK1640" s="11"/>
      <c r="AL1640" s="11"/>
      <c r="AM1640" s="11"/>
      <c r="AN1640" s="11"/>
      <c r="AO1640" s="11"/>
      <c r="AP1640" s="2" t="s">
        <v>70</v>
      </c>
      <c r="AQ1640" s="11" t="str">
        <f>IF(I1640&lt;&gt;"",DATA!D1639,"")</f>
        <v>8538909189</v>
      </c>
    </row>
    <row r="1641" spans="1:43" ht="15.75" x14ac:dyDescent="0.25">
      <c r="A1641" s="11" t="s">
        <v>57</v>
      </c>
      <c r="B1641" s="11" t="s">
        <v>56</v>
      </c>
      <c r="C1641" s="22">
        <f t="shared" si="106"/>
        <v>25001620</v>
      </c>
      <c r="D1641" s="11" t="str">
        <f t="shared" si="103"/>
        <v>SKIIFM_AT</v>
      </c>
      <c r="E1641" s="11" t="str">
        <f>IF(I1641&lt;&gt;"",VLOOKUP(F1641,OPDRACHTGEVER!$A$2:$B$4,2,FALSE),"")</f>
        <v>SKIIFM_AT</v>
      </c>
      <c r="F1641" s="11" t="s">
        <v>58</v>
      </c>
      <c r="I1641" s="11" t="str">
        <f>IF(DATA!B1640&lt;&gt;"",DATA!B1640,"")</f>
        <v>MSDU8580712</v>
      </c>
      <c r="J1641" s="12">
        <v>0</v>
      </c>
      <c r="K1641" s="11" t="s">
        <v>53</v>
      </c>
      <c r="L1641" s="11" t="str">
        <f t="shared" si="104"/>
        <v>842230</v>
      </c>
      <c r="M1641" s="11" t="str">
        <f>IF(I1641&lt;&gt;"",DATA!E1640,"")</f>
        <v>LABELLING MACHINE</v>
      </c>
      <c r="N1641" s="12">
        <v>0</v>
      </c>
      <c r="O1641" s="11">
        <f>IF(I1641&lt;&gt;"",DATA!C1640,"")</f>
        <v>0.7</v>
      </c>
      <c r="P1641" s="2">
        <v>294094</v>
      </c>
      <c r="Q1641" s="2" t="s">
        <v>1304</v>
      </c>
      <c r="R1641" s="2" t="s">
        <v>1336</v>
      </c>
      <c r="S1641" s="2">
        <v>206</v>
      </c>
      <c r="T1641" s="2">
        <v>1</v>
      </c>
      <c r="U1641" s="2" t="s">
        <v>141</v>
      </c>
      <c r="Y1641" s="2">
        <v>1700</v>
      </c>
      <c r="Z1641" s="11" t="s">
        <v>54</v>
      </c>
      <c r="AA1641" s="11" t="str">
        <f t="shared" si="105"/>
        <v>1700 - TBN</v>
      </c>
      <c r="AC1641" s="2" t="s">
        <v>145</v>
      </c>
      <c r="AD1641" s="11" t="str">
        <f>IF($I1641&lt;&gt;"",VLOOKUP($AC1641,GEADRESSEERDE!$A$2:$E$4,2,),"")</f>
        <v>LUITHAGEN HAVEN 2 D</v>
      </c>
      <c r="AE1641" s="11">
        <f>IF($I1641&lt;&gt;"",VLOOKUP($AC1641,GEADRESSEERDE!$A$2:$E$4,3,),"")</f>
        <v>2030</v>
      </c>
      <c r="AF1641" s="11" t="str">
        <f>IF($I1641&lt;&gt;"",VLOOKUP($AC1641,GEADRESSEERDE!$A$2:$E$4,4,),"")</f>
        <v>ANTWERPEN</v>
      </c>
      <c r="AG1641" s="11" t="str">
        <f>IF($I1641&lt;&gt;"",VLOOKUP($AC1641,GEADRESSEERDE!$A$2:$E$4,5,),"")</f>
        <v>BE</v>
      </c>
      <c r="AH1641" s="11" t="str">
        <f>IF(I1641&lt;&gt;"",VLOOKUP(AP1641,KvB!$A$2:$B$3,2,FALSE),"")</f>
        <v>BE101000</v>
      </c>
      <c r="AI1641" s="11" t="s">
        <v>55</v>
      </c>
      <c r="AJ1641" s="11"/>
      <c r="AK1641" s="11"/>
      <c r="AL1641" s="11"/>
      <c r="AM1641" s="11"/>
      <c r="AN1641" s="11"/>
      <c r="AO1641" s="11"/>
      <c r="AP1641" s="2" t="s">
        <v>70</v>
      </c>
      <c r="AQ1641" s="11" t="str">
        <f>IF(I1641&lt;&gt;"",DATA!D1640,"")</f>
        <v>8422300000</v>
      </c>
    </row>
    <row r="1642" spans="1:43" ht="15.75" x14ac:dyDescent="0.25">
      <c r="A1642" s="11" t="s">
        <v>57</v>
      </c>
      <c r="B1642" s="11" t="s">
        <v>56</v>
      </c>
      <c r="C1642" s="22">
        <f t="shared" si="106"/>
        <v>25001620</v>
      </c>
      <c r="D1642" s="11" t="str">
        <f t="shared" si="103"/>
        <v>SKIIFM_AT</v>
      </c>
      <c r="E1642" s="11" t="str">
        <f>IF(I1642&lt;&gt;"",VLOOKUP(F1642,OPDRACHTGEVER!$A$2:$B$4,2,FALSE),"")</f>
        <v>SKIIFM_AT</v>
      </c>
      <c r="F1642" s="11" t="s">
        <v>58</v>
      </c>
      <c r="I1642" s="11" t="str">
        <f>IF(DATA!B1641&lt;&gt;"",DATA!B1641,"")</f>
        <v>MSDU8580712</v>
      </c>
      <c r="J1642" s="12">
        <v>0</v>
      </c>
      <c r="K1642" s="11" t="s">
        <v>53</v>
      </c>
      <c r="L1642" s="11" t="str">
        <f t="shared" si="104"/>
        <v>846620</v>
      </c>
      <c r="M1642" s="11" t="str">
        <f>IF(I1642&lt;&gt;"",DATA!E1641,"")</f>
        <v>LATHE CHUCK</v>
      </c>
      <c r="N1642" s="12">
        <v>0</v>
      </c>
      <c r="O1642" s="11">
        <f>IF(I1642&lt;&gt;"",DATA!C1641,"")</f>
        <v>72.19</v>
      </c>
      <c r="P1642" s="2">
        <v>294094</v>
      </c>
      <c r="Q1642" s="2" t="s">
        <v>1304</v>
      </c>
      <c r="R1642" s="2" t="s">
        <v>1336</v>
      </c>
      <c r="S1642" s="2">
        <v>206</v>
      </c>
      <c r="T1642" s="2">
        <v>1</v>
      </c>
      <c r="U1642" s="2" t="s">
        <v>141</v>
      </c>
      <c r="Y1642" s="2">
        <v>1700</v>
      </c>
      <c r="Z1642" s="11" t="s">
        <v>54</v>
      </c>
      <c r="AA1642" s="11" t="str">
        <f t="shared" si="105"/>
        <v>1700 - TBN</v>
      </c>
      <c r="AC1642" s="2" t="s">
        <v>145</v>
      </c>
      <c r="AD1642" s="11" t="str">
        <f>IF($I1642&lt;&gt;"",VLOOKUP($AC1642,GEADRESSEERDE!$A$2:$E$4,2,),"")</f>
        <v>LUITHAGEN HAVEN 2 D</v>
      </c>
      <c r="AE1642" s="11">
        <f>IF($I1642&lt;&gt;"",VLOOKUP($AC1642,GEADRESSEERDE!$A$2:$E$4,3,),"")</f>
        <v>2030</v>
      </c>
      <c r="AF1642" s="11" t="str">
        <f>IF($I1642&lt;&gt;"",VLOOKUP($AC1642,GEADRESSEERDE!$A$2:$E$4,4,),"")</f>
        <v>ANTWERPEN</v>
      </c>
      <c r="AG1642" s="11" t="str">
        <f>IF($I1642&lt;&gt;"",VLOOKUP($AC1642,GEADRESSEERDE!$A$2:$E$4,5,),"")</f>
        <v>BE</v>
      </c>
      <c r="AH1642" s="11" t="str">
        <f>IF(I1642&lt;&gt;"",VLOOKUP(AP1642,KvB!$A$2:$B$3,2,FALSE),"")</f>
        <v>BE101000</v>
      </c>
      <c r="AI1642" s="11" t="s">
        <v>55</v>
      </c>
      <c r="AJ1642" s="11"/>
      <c r="AK1642" s="11"/>
      <c r="AL1642" s="11"/>
      <c r="AM1642" s="11"/>
      <c r="AN1642" s="11"/>
      <c r="AO1642" s="11"/>
      <c r="AP1642" s="2" t="s">
        <v>70</v>
      </c>
      <c r="AQ1642" s="11" t="str">
        <f>IF(I1642&lt;&gt;"",DATA!D1641,"")</f>
        <v>8466202000</v>
      </c>
    </row>
    <row r="1643" spans="1:43" ht="15.75" x14ac:dyDescent="0.25">
      <c r="A1643" s="11" t="s">
        <v>57</v>
      </c>
      <c r="B1643" s="11" t="s">
        <v>56</v>
      </c>
      <c r="C1643" s="22">
        <f t="shared" si="106"/>
        <v>25001620</v>
      </c>
      <c r="D1643" s="11" t="str">
        <f t="shared" si="103"/>
        <v>SKIIFM_AT</v>
      </c>
      <c r="E1643" s="11" t="str">
        <f>IF(I1643&lt;&gt;"",VLOOKUP(F1643,OPDRACHTGEVER!$A$2:$B$4,2,FALSE),"")</f>
        <v>SKIIFM_AT</v>
      </c>
      <c r="F1643" s="11" t="s">
        <v>58</v>
      </c>
      <c r="I1643" s="11" t="str">
        <f>IF(DATA!B1642&lt;&gt;"",DATA!B1642,"")</f>
        <v>MSDU8580712</v>
      </c>
      <c r="J1643" s="12">
        <v>0</v>
      </c>
      <c r="K1643" s="11" t="s">
        <v>53</v>
      </c>
      <c r="L1643" s="11" t="str">
        <f t="shared" si="104"/>
        <v>901530</v>
      </c>
      <c r="M1643" s="11" t="str">
        <f>IF(I1643&lt;&gt;"",DATA!E1642,"")</f>
        <v>LEVELLING INSTRUMENT</v>
      </c>
      <c r="N1643" s="12">
        <v>0</v>
      </c>
      <c r="O1643" s="11">
        <f>IF(I1643&lt;&gt;"",DATA!C1642,"")</f>
        <v>78.7</v>
      </c>
      <c r="P1643" s="2">
        <v>294094</v>
      </c>
      <c r="Q1643" s="2" t="s">
        <v>1304</v>
      </c>
      <c r="R1643" s="2" t="s">
        <v>1336</v>
      </c>
      <c r="S1643" s="2">
        <v>206</v>
      </c>
      <c r="T1643" s="2">
        <v>1</v>
      </c>
      <c r="U1643" s="2" t="s">
        <v>141</v>
      </c>
      <c r="Y1643" s="2">
        <v>1700</v>
      </c>
      <c r="Z1643" s="11" t="s">
        <v>54</v>
      </c>
      <c r="AA1643" s="11" t="str">
        <f t="shared" si="105"/>
        <v>1700 - TBN</v>
      </c>
      <c r="AC1643" s="2" t="s">
        <v>145</v>
      </c>
      <c r="AD1643" s="11" t="str">
        <f>IF($I1643&lt;&gt;"",VLOOKUP($AC1643,GEADRESSEERDE!$A$2:$E$4,2,),"")</f>
        <v>LUITHAGEN HAVEN 2 D</v>
      </c>
      <c r="AE1643" s="11">
        <f>IF($I1643&lt;&gt;"",VLOOKUP($AC1643,GEADRESSEERDE!$A$2:$E$4,3,),"")</f>
        <v>2030</v>
      </c>
      <c r="AF1643" s="11" t="str">
        <f>IF($I1643&lt;&gt;"",VLOOKUP($AC1643,GEADRESSEERDE!$A$2:$E$4,4,),"")</f>
        <v>ANTWERPEN</v>
      </c>
      <c r="AG1643" s="11" t="str">
        <f>IF($I1643&lt;&gt;"",VLOOKUP($AC1643,GEADRESSEERDE!$A$2:$E$4,5,),"")</f>
        <v>BE</v>
      </c>
      <c r="AH1643" s="11" t="str">
        <f>IF(I1643&lt;&gt;"",VLOOKUP(AP1643,KvB!$A$2:$B$3,2,FALSE),"")</f>
        <v>BE101000</v>
      </c>
      <c r="AI1643" s="11" t="s">
        <v>55</v>
      </c>
      <c r="AJ1643" s="11"/>
      <c r="AK1643" s="11"/>
      <c r="AL1643" s="11"/>
      <c r="AM1643" s="11"/>
      <c r="AN1643" s="11"/>
      <c r="AO1643" s="11"/>
      <c r="AP1643" s="2" t="s">
        <v>70</v>
      </c>
      <c r="AQ1643" s="11" t="str">
        <f>IF(I1643&lt;&gt;"",DATA!D1642,"")</f>
        <v>9015301000</v>
      </c>
    </row>
    <row r="1644" spans="1:43" ht="15.75" x14ac:dyDescent="0.25">
      <c r="A1644" s="11" t="s">
        <v>57</v>
      </c>
      <c r="B1644" s="11" t="s">
        <v>56</v>
      </c>
      <c r="C1644" s="22">
        <f t="shared" si="106"/>
        <v>25001620</v>
      </c>
      <c r="D1644" s="11" t="str">
        <f t="shared" si="103"/>
        <v>SKIIFM_AT</v>
      </c>
      <c r="E1644" s="11" t="str">
        <f>IF(I1644&lt;&gt;"",VLOOKUP(F1644,OPDRACHTGEVER!$A$2:$B$4,2,FALSE),"")</f>
        <v>SKIIFM_AT</v>
      </c>
      <c r="F1644" s="11" t="s">
        <v>58</v>
      </c>
      <c r="I1644" s="11" t="str">
        <f>IF(DATA!B1643&lt;&gt;"",DATA!B1643,"")</f>
        <v>MSDU8580712</v>
      </c>
      <c r="J1644" s="12">
        <v>0</v>
      </c>
      <c r="K1644" s="11" t="s">
        <v>53</v>
      </c>
      <c r="L1644" s="11" t="str">
        <f t="shared" si="104"/>
        <v>841320</v>
      </c>
      <c r="M1644" s="11" t="str">
        <f>IF(I1644&lt;&gt;"",DATA!E1643,"")</f>
        <v>LIQUID FILLING MACHINE</v>
      </c>
      <c r="N1644" s="12">
        <v>0</v>
      </c>
      <c r="O1644" s="11">
        <f>IF(I1644&lt;&gt;"",DATA!C1643,"")</f>
        <v>653.54999999999995</v>
      </c>
      <c r="P1644" s="2">
        <v>294094</v>
      </c>
      <c r="Q1644" s="2" t="s">
        <v>1304</v>
      </c>
      <c r="R1644" s="2" t="s">
        <v>1336</v>
      </c>
      <c r="S1644" s="2">
        <v>206</v>
      </c>
      <c r="T1644" s="2">
        <v>1</v>
      </c>
      <c r="U1644" s="2" t="s">
        <v>141</v>
      </c>
      <c r="Y1644" s="2">
        <v>1700</v>
      </c>
      <c r="Z1644" s="11" t="s">
        <v>54</v>
      </c>
      <c r="AA1644" s="11" t="str">
        <f t="shared" si="105"/>
        <v>1700 - TBN</v>
      </c>
      <c r="AC1644" s="2" t="s">
        <v>145</v>
      </c>
      <c r="AD1644" s="11" t="str">
        <f>IF($I1644&lt;&gt;"",VLOOKUP($AC1644,GEADRESSEERDE!$A$2:$E$4,2,),"")</f>
        <v>LUITHAGEN HAVEN 2 D</v>
      </c>
      <c r="AE1644" s="11">
        <f>IF($I1644&lt;&gt;"",VLOOKUP($AC1644,GEADRESSEERDE!$A$2:$E$4,3,),"")</f>
        <v>2030</v>
      </c>
      <c r="AF1644" s="11" t="str">
        <f>IF($I1644&lt;&gt;"",VLOOKUP($AC1644,GEADRESSEERDE!$A$2:$E$4,4,),"")</f>
        <v>ANTWERPEN</v>
      </c>
      <c r="AG1644" s="11" t="str">
        <f>IF($I1644&lt;&gt;"",VLOOKUP($AC1644,GEADRESSEERDE!$A$2:$E$4,5,),"")</f>
        <v>BE</v>
      </c>
      <c r="AH1644" s="11" t="str">
        <f>IF(I1644&lt;&gt;"",VLOOKUP(AP1644,KvB!$A$2:$B$3,2,FALSE),"")</f>
        <v>BE101000</v>
      </c>
      <c r="AI1644" s="11" t="s">
        <v>55</v>
      </c>
      <c r="AJ1644" s="11"/>
      <c r="AK1644" s="11"/>
      <c r="AL1644" s="11"/>
      <c r="AM1644" s="11"/>
      <c r="AN1644" s="11"/>
      <c r="AO1644" s="11"/>
      <c r="AP1644" s="2" t="s">
        <v>70</v>
      </c>
      <c r="AQ1644" s="11" t="str">
        <f>IF(I1644&lt;&gt;"",DATA!D1643,"")</f>
        <v>8413200090</v>
      </c>
    </row>
    <row r="1645" spans="1:43" ht="15.75" x14ac:dyDescent="0.25">
      <c r="A1645" s="11" t="s">
        <v>57</v>
      </c>
      <c r="B1645" s="11" t="s">
        <v>56</v>
      </c>
      <c r="C1645" s="22">
        <f t="shared" si="106"/>
        <v>25001620</v>
      </c>
      <c r="D1645" s="11" t="str">
        <f t="shared" si="103"/>
        <v>SKIIFM_AT</v>
      </c>
      <c r="E1645" s="11" t="str">
        <f>IF(I1645&lt;&gt;"",VLOOKUP(F1645,OPDRACHTGEVER!$A$2:$B$4,2,FALSE),"")</f>
        <v>SKIIFM_AT</v>
      </c>
      <c r="F1645" s="11" t="s">
        <v>58</v>
      </c>
      <c r="I1645" s="11" t="str">
        <f>IF(DATA!B1644&lt;&gt;"",DATA!B1644,"")</f>
        <v>MSDU8580712</v>
      </c>
      <c r="J1645" s="12">
        <v>0</v>
      </c>
      <c r="K1645" s="11" t="s">
        <v>53</v>
      </c>
      <c r="L1645" s="11" t="str">
        <f t="shared" si="104"/>
        <v>820510</v>
      </c>
      <c r="M1645" s="11" t="str">
        <f>IF(I1645&lt;&gt;"",DATA!E1644,"")</f>
        <v>MANUAL THREADER</v>
      </c>
      <c r="N1645" s="12">
        <v>0</v>
      </c>
      <c r="O1645" s="11">
        <f>IF(I1645&lt;&gt;"",DATA!C1644,"")</f>
        <v>9.9</v>
      </c>
      <c r="P1645" s="2">
        <v>294094</v>
      </c>
      <c r="Q1645" s="2" t="s">
        <v>1304</v>
      </c>
      <c r="R1645" s="2" t="s">
        <v>1336</v>
      </c>
      <c r="S1645" s="2">
        <v>206</v>
      </c>
      <c r="T1645" s="2">
        <v>1</v>
      </c>
      <c r="U1645" s="2" t="s">
        <v>141</v>
      </c>
      <c r="Y1645" s="2">
        <v>1700</v>
      </c>
      <c r="Z1645" s="11" t="s">
        <v>54</v>
      </c>
      <c r="AA1645" s="11" t="str">
        <f t="shared" si="105"/>
        <v>1700 - TBN</v>
      </c>
      <c r="AC1645" s="2" t="s">
        <v>145</v>
      </c>
      <c r="AD1645" s="11" t="str">
        <f>IF($I1645&lt;&gt;"",VLOOKUP($AC1645,GEADRESSEERDE!$A$2:$E$4,2,),"")</f>
        <v>LUITHAGEN HAVEN 2 D</v>
      </c>
      <c r="AE1645" s="11">
        <f>IF($I1645&lt;&gt;"",VLOOKUP($AC1645,GEADRESSEERDE!$A$2:$E$4,3,),"")</f>
        <v>2030</v>
      </c>
      <c r="AF1645" s="11" t="str">
        <f>IF($I1645&lt;&gt;"",VLOOKUP($AC1645,GEADRESSEERDE!$A$2:$E$4,4,),"")</f>
        <v>ANTWERPEN</v>
      </c>
      <c r="AG1645" s="11" t="str">
        <f>IF($I1645&lt;&gt;"",VLOOKUP($AC1645,GEADRESSEERDE!$A$2:$E$4,5,),"")</f>
        <v>BE</v>
      </c>
      <c r="AH1645" s="11" t="str">
        <f>IF(I1645&lt;&gt;"",VLOOKUP(AP1645,KvB!$A$2:$B$3,2,FALSE),"")</f>
        <v>BE101000</v>
      </c>
      <c r="AI1645" s="11" t="s">
        <v>55</v>
      </c>
      <c r="AJ1645" s="11"/>
      <c r="AK1645" s="11"/>
      <c r="AL1645" s="11"/>
      <c r="AM1645" s="11"/>
      <c r="AN1645" s="11"/>
      <c r="AO1645" s="11"/>
      <c r="AP1645" s="2" t="s">
        <v>70</v>
      </c>
      <c r="AQ1645" s="11" t="str">
        <f>IF(I1645&lt;&gt;"",DATA!D1644,"")</f>
        <v>8205100000</v>
      </c>
    </row>
    <row r="1646" spans="1:43" ht="15.75" x14ac:dyDescent="0.25">
      <c r="A1646" s="11" t="s">
        <v>57</v>
      </c>
      <c r="B1646" s="11" t="s">
        <v>56</v>
      </c>
      <c r="C1646" s="22">
        <f t="shared" si="106"/>
        <v>25001620</v>
      </c>
      <c r="D1646" s="11" t="str">
        <f t="shared" si="103"/>
        <v>SKIIFM_AT</v>
      </c>
      <c r="E1646" s="11" t="str">
        <f>IF(I1646&lt;&gt;"",VLOOKUP(F1646,OPDRACHTGEVER!$A$2:$B$4,2,FALSE),"")</f>
        <v>SKIIFM_AT</v>
      </c>
      <c r="F1646" s="11" t="s">
        <v>58</v>
      </c>
      <c r="I1646" s="11" t="str">
        <f>IF(DATA!B1645&lt;&gt;"",DATA!B1645,"")</f>
        <v>MSDU8580712</v>
      </c>
      <c r="J1646" s="12">
        <v>0</v>
      </c>
      <c r="K1646" s="11" t="s">
        <v>53</v>
      </c>
      <c r="L1646" s="11" t="str">
        <f t="shared" si="104"/>
        <v>851529</v>
      </c>
      <c r="M1646" s="11" t="str">
        <f>IF(I1646&lt;&gt;"",DATA!E1645,"")</f>
        <v>MANUAL TILE CUTTER</v>
      </c>
      <c r="N1646" s="12">
        <v>0</v>
      </c>
      <c r="O1646" s="11">
        <f>IF(I1646&lt;&gt;"",DATA!C1645,"")</f>
        <v>408.5</v>
      </c>
      <c r="P1646" s="2">
        <v>294094</v>
      </c>
      <c r="Q1646" s="2" t="s">
        <v>1304</v>
      </c>
      <c r="R1646" s="2" t="s">
        <v>1336</v>
      </c>
      <c r="S1646" s="2">
        <v>206</v>
      </c>
      <c r="T1646" s="2">
        <v>1</v>
      </c>
      <c r="U1646" s="2" t="s">
        <v>141</v>
      </c>
      <c r="Y1646" s="2">
        <v>1700</v>
      </c>
      <c r="Z1646" s="11" t="s">
        <v>54</v>
      </c>
      <c r="AA1646" s="11" t="str">
        <f t="shared" si="105"/>
        <v>1700 - TBN</v>
      </c>
      <c r="AC1646" s="2" t="s">
        <v>145</v>
      </c>
      <c r="AD1646" s="11" t="str">
        <f>IF($I1646&lt;&gt;"",VLOOKUP($AC1646,GEADRESSEERDE!$A$2:$E$4,2,),"")</f>
        <v>LUITHAGEN HAVEN 2 D</v>
      </c>
      <c r="AE1646" s="11">
        <f>IF($I1646&lt;&gt;"",VLOOKUP($AC1646,GEADRESSEERDE!$A$2:$E$4,3,),"")</f>
        <v>2030</v>
      </c>
      <c r="AF1646" s="11" t="str">
        <f>IF($I1646&lt;&gt;"",VLOOKUP($AC1646,GEADRESSEERDE!$A$2:$E$4,4,),"")</f>
        <v>ANTWERPEN</v>
      </c>
      <c r="AG1646" s="11" t="str">
        <f>IF($I1646&lt;&gt;"",VLOOKUP($AC1646,GEADRESSEERDE!$A$2:$E$4,5,),"")</f>
        <v>BE</v>
      </c>
      <c r="AH1646" s="11" t="str">
        <f>IF(I1646&lt;&gt;"",VLOOKUP(AP1646,KvB!$A$2:$B$3,2,FALSE),"")</f>
        <v>BE101000</v>
      </c>
      <c r="AI1646" s="11" t="s">
        <v>55</v>
      </c>
      <c r="AJ1646" s="11"/>
      <c r="AK1646" s="11"/>
      <c r="AL1646" s="11"/>
      <c r="AM1646" s="11"/>
      <c r="AN1646" s="11"/>
      <c r="AO1646" s="11"/>
      <c r="AP1646" s="2" t="s">
        <v>70</v>
      </c>
      <c r="AQ1646" s="11" t="str">
        <f>IF(I1646&lt;&gt;"",DATA!D1645,"")</f>
        <v>8515290000</v>
      </c>
    </row>
    <row r="1647" spans="1:43" ht="15.75" x14ac:dyDescent="0.25">
      <c r="A1647" s="11" t="s">
        <v>57</v>
      </c>
      <c r="B1647" s="11" t="s">
        <v>56</v>
      </c>
      <c r="C1647" s="22">
        <f t="shared" si="106"/>
        <v>25001620</v>
      </c>
      <c r="D1647" s="11" t="str">
        <f t="shared" si="103"/>
        <v>SKIIFM_AT</v>
      </c>
      <c r="E1647" s="11" t="str">
        <f>IF(I1647&lt;&gt;"",VLOOKUP(F1647,OPDRACHTGEVER!$A$2:$B$4,2,FALSE),"")</f>
        <v>SKIIFM_AT</v>
      </c>
      <c r="F1647" s="11" t="s">
        <v>58</v>
      </c>
      <c r="I1647" s="11" t="str">
        <f>IF(DATA!B1646&lt;&gt;"",DATA!B1646,"")</f>
        <v>MSDU8580712</v>
      </c>
      <c r="J1647" s="12">
        <v>0</v>
      </c>
      <c r="K1647" s="11" t="s">
        <v>53</v>
      </c>
      <c r="L1647" s="11" t="str">
        <f t="shared" si="104"/>
        <v>854370</v>
      </c>
      <c r="M1647" s="11" t="str">
        <f>IF(I1647&lt;&gt;"",DATA!E1646,"")</f>
        <v>METAL CHICKEN NEST BOX</v>
      </c>
      <c r="N1647" s="12">
        <v>0</v>
      </c>
      <c r="O1647" s="11">
        <f>IF(I1647&lt;&gt;"",DATA!C1646,"")</f>
        <v>180.5</v>
      </c>
      <c r="P1647" s="2">
        <v>294094</v>
      </c>
      <c r="Q1647" s="2" t="s">
        <v>1304</v>
      </c>
      <c r="R1647" s="2" t="s">
        <v>1336</v>
      </c>
      <c r="S1647" s="2">
        <v>206</v>
      </c>
      <c r="T1647" s="2">
        <v>1</v>
      </c>
      <c r="U1647" s="2" t="s">
        <v>141</v>
      </c>
      <c r="Y1647" s="2">
        <v>1700</v>
      </c>
      <c r="Z1647" s="11" t="s">
        <v>54</v>
      </c>
      <c r="AA1647" s="11" t="str">
        <f t="shared" si="105"/>
        <v>1700 - TBN</v>
      </c>
      <c r="AC1647" s="2" t="s">
        <v>145</v>
      </c>
      <c r="AD1647" s="11" t="str">
        <f>IF($I1647&lt;&gt;"",VLOOKUP($AC1647,GEADRESSEERDE!$A$2:$E$4,2,),"")</f>
        <v>LUITHAGEN HAVEN 2 D</v>
      </c>
      <c r="AE1647" s="11">
        <f>IF($I1647&lt;&gt;"",VLOOKUP($AC1647,GEADRESSEERDE!$A$2:$E$4,3,),"")</f>
        <v>2030</v>
      </c>
      <c r="AF1647" s="11" t="str">
        <f>IF($I1647&lt;&gt;"",VLOOKUP($AC1647,GEADRESSEERDE!$A$2:$E$4,4,),"")</f>
        <v>ANTWERPEN</v>
      </c>
      <c r="AG1647" s="11" t="str">
        <f>IF($I1647&lt;&gt;"",VLOOKUP($AC1647,GEADRESSEERDE!$A$2:$E$4,5,),"")</f>
        <v>BE</v>
      </c>
      <c r="AH1647" s="11" t="str">
        <f>IF(I1647&lt;&gt;"",VLOOKUP(AP1647,KvB!$A$2:$B$3,2,FALSE),"")</f>
        <v>BE101000</v>
      </c>
      <c r="AI1647" s="11" t="s">
        <v>55</v>
      </c>
      <c r="AJ1647" s="11"/>
      <c r="AK1647" s="11"/>
      <c r="AL1647" s="11"/>
      <c r="AM1647" s="11"/>
      <c r="AN1647" s="11"/>
      <c r="AO1647" s="11"/>
      <c r="AP1647" s="2" t="s">
        <v>70</v>
      </c>
      <c r="AQ1647" s="11" t="str">
        <f>IF(I1647&lt;&gt;"",DATA!D1646,"")</f>
        <v>8543709099</v>
      </c>
    </row>
    <row r="1648" spans="1:43" ht="15.75" x14ac:dyDescent="0.25">
      <c r="A1648" s="11" t="s">
        <v>57</v>
      </c>
      <c r="B1648" s="11" t="s">
        <v>56</v>
      </c>
      <c r="C1648" s="22">
        <f t="shared" si="106"/>
        <v>25001620</v>
      </c>
      <c r="D1648" s="11" t="str">
        <f t="shared" si="103"/>
        <v>SKIIFM_AT</v>
      </c>
      <c r="E1648" s="11" t="str">
        <f>IF(I1648&lt;&gt;"",VLOOKUP(F1648,OPDRACHTGEVER!$A$2:$B$4,2,FALSE),"")</f>
        <v>SKIIFM_AT</v>
      </c>
      <c r="F1648" s="11" t="s">
        <v>58</v>
      </c>
      <c r="I1648" s="11" t="str">
        <f>IF(DATA!B1647&lt;&gt;"",DATA!B1647,"")</f>
        <v>MSDU8580712</v>
      </c>
      <c r="J1648" s="12">
        <v>0</v>
      </c>
      <c r="K1648" s="11" t="s">
        <v>53</v>
      </c>
      <c r="L1648" s="11" t="str">
        <f t="shared" si="104"/>
        <v>821000</v>
      </c>
      <c r="M1648" s="11" t="str">
        <f>IF(I1648&lt;&gt;"",DATA!E1647,"")</f>
        <v>MINCER</v>
      </c>
      <c r="N1648" s="12">
        <v>0</v>
      </c>
      <c r="O1648" s="11">
        <f>IF(I1648&lt;&gt;"",DATA!C1647,"")</f>
        <v>230</v>
      </c>
      <c r="P1648" s="2">
        <v>294094</v>
      </c>
      <c r="Q1648" s="2" t="s">
        <v>1304</v>
      </c>
      <c r="R1648" s="2" t="s">
        <v>1336</v>
      </c>
      <c r="S1648" s="2">
        <v>206</v>
      </c>
      <c r="T1648" s="2">
        <v>1</v>
      </c>
      <c r="U1648" s="2" t="s">
        <v>141</v>
      </c>
      <c r="Y1648" s="2">
        <v>1700</v>
      </c>
      <c r="Z1648" s="11" t="s">
        <v>54</v>
      </c>
      <c r="AA1648" s="11" t="str">
        <f t="shared" si="105"/>
        <v>1700 - TBN</v>
      </c>
      <c r="AC1648" s="2" t="s">
        <v>145</v>
      </c>
      <c r="AD1648" s="11" t="str">
        <f>IF($I1648&lt;&gt;"",VLOOKUP($AC1648,GEADRESSEERDE!$A$2:$E$4,2,),"")</f>
        <v>LUITHAGEN HAVEN 2 D</v>
      </c>
      <c r="AE1648" s="11">
        <f>IF($I1648&lt;&gt;"",VLOOKUP($AC1648,GEADRESSEERDE!$A$2:$E$4,3,),"")</f>
        <v>2030</v>
      </c>
      <c r="AF1648" s="11" t="str">
        <f>IF($I1648&lt;&gt;"",VLOOKUP($AC1648,GEADRESSEERDE!$A$2:$E$4,4,),"")</f>
        <v>ANTWERPEN</v>
      </c>
      <c r="AG1648" s="11" t="str">
        <f>IF($I1648&lt;&gt;"",VLOOKUP($AC1648,GEADRESSEERDE!$A$2:$E$4,5,),"")</f>
        <v>BE</v>
      </c>
      <c r="AH1648" s="11" t="str">
        <f>IF(I1648&lt;&gt;"",VLOOKUP(AP1648,KvB!$A$2:$B$3,2,FALSE),"")</f>
        <v>BE101000</v>
      </c>
      <c r="AI1648" s="11" t="s">
        <v>55</v>
      </c>
      <c r="AJ1648" s="11"/>
      <c r="AK1648" s="11"/>
      <c r="AL1648" s="11"/>
      <c r="AM1648" s="11"/>
      <c r="AN1648" s="11"/>
      <c r="AO1648" s="11"/>
      <c r="AP1648" s="2" t="s">
        <v>70</v>
      </c>
      <c r="AQ1648" s="11" t="str">
        <f>IF(I1648&lt;&gt;"",DATA!D1647,"")</f>
        <v>8210000000</v>
      </c>
    </row>
    <row r="1649" spans="1:43" ht="15.75" x14ac:dyDescent="0.25">
      <c r="A1649" s="11" t="s">
        <v>57</v>
      </c>
      <c r="B1649" s="11" t="s">
        <v>56</v>
      </c>
      <c r="C1649" s="22">
        <f t="shared" si="106"/>
        <v>25001620</v>
      </c>
      <c r="D1649" s="11" t="str">
        <f t="shared" si="103"/>
        <v>SKIIFM_AT</v>
      </c>
      <c r="E1649" s="11" t="str">
        <f>IF(I1649&lt;&gt;"",VLOOKUP(F1649,OPDRACHTGEVER!$A$2:$B$4,2,FALSE),"")</f>
        <v>SKIIFM_AT</v>
      </c>
      <c r="F1649" s="11" t="s">
        <v>58</v>
      </c>
      <c r="I1649" s="11" t="str">
        <f>IF(DATA!B1648&lt;&gt;"",DATA!B1648,"")</f>
        <v>MSDU8580712</v>
      </c>
      <c r="J1649" s="12">
        <v>0</v>
      </c>
      <c r="K1649" s="11" t="s">
        <v>53</v>
      </c>
      <c r="L1649" s="11" t="str">
        <f t="shared" si="104"/>
        <v>392590</v>
      </c>
      <c r="M1649" s="11" t="str">
        <f>IF(I1649&lt;&gt;"",DATA!E1648,"")</f>
        <v>NEEDLE THREADER</v>
      </c>
      <c r="N1649" s="12">
        <v>0</v>
      </c>
      <c r="O1649" s="11">
        <f>IF(I1649&lt;&gt;"",DATA!C1648,"")</f>
        <v>126.25</v>
      </c>
      <c r="P1649" s="2">
        <v>294094</v>
      </c>
      <c r="Q1649" s="2" t="s">
        <v>1304</v>
      </c>
      <c r="R1649" s="2" t="s">
        <v>1336</v>
      </c>
      <c r="S1649" s="2">
        <v>206</v>
      </c>
      <c r="T1649" s="2">
        <v>1</v>
      </c>
      <c r="U1649" s="2" t="s">
        <v>141</v>
      </c>
      <c r="Y1649" s="2">
        <v>1700</v>
      </c>
      <c r="Z1649" s="11" t="s">
        <v>54</v>
      </c>
      <c r="AA1649" s="11" t="str">
        <f t="shared" si="105"/>
        <v>1700 - TBN</v>
      </c>
      <c r="AC1649" s="2" t="s">
        <v>145</v>
      </c>
      <c r="AD1649" s="11" t="str">
        <f>IF($I1649&lt;&gt;"",VLOOKUP($AC1649,GEADRESSEERDE!$A$2:$E$4,2,),"")</f>
        <v>LUITHAGEN HAVEN 2 D</v>
      </c>
      <c r="AE1649" s="11">
        <f>IF($I1649&lt;&gt;"",VLOOKUP($AC1649,GEADRESSEERDE!$A$2:$E$4,3,),"")</f>
        <v>2030</v>
      </c>
      <c r="AF1649" s="11" t="str">
        <f>IF($I1649&lt;&gt;"",VLOOKUP($AC1649,GEADRESSEERDE!$A$2:$E$4,4,),"")</f>
        <v>ANTWERPEN</v>
      </c>
      <c r="AG1649" s="11" t="str">
        <f>IF($I1649&lt;&gt;"",VLOOKUP($AC1649,GEADRESSEERDE!$A$2:$E$4,5,),"")</f>
        <v>BE</v>
      </c>
      <c r="AH1649" s="11" t="str">
        <f>IF(I1649&lt;&gt;"",VLOOKUP(AP1649,KvB!$A$2:$B$3,2,FALSE),"")</f>
        <v>BE101000</v>
      </c>
      <c r="AI1649" s="11" t="s">
        <v>55</v>
      </c>
      <c r="AJ1649" s="11"/>
      <c r="AK1649" s="11"/>
      <c r="AL1649" s="11"/>
      <c r="AM1649" s="11"/>
      <c r="AN1649" s="11"/>
      <c r="AO1649" s="11"/>
      <c r="AP1649" s="2" t="s">
        <v>70</v>
      </c>
      <c r="AQ1649" s="11" t="str">
        <f>IF(I1649&lt;&gt;"",DATA!D1648,"")</f>
        <v>3925908000</v>
      </c>
    </row>
    <row r="1650" spans="1:43" ht="15.75" x14ac:dyDescent="0.25">
      <c r="A1650" s="11" t="s">
        <v>57</v>
      </c>
      <c r="B1650" s="11" t="s">
        <v>56</v>
      </c>
      <c r="C1650" s="22">
        <f t="shared" si="106"/>
        <v>25001620</v>
      </c>
      <c r="D1650" s="11" t="str">
        <f t="shared" si="103"/>
        <v>SKIIFM_AT</v>
      </c>
      <c r="E1650" s="11" t="str">
        <f>IF(I1650&lt;&gt;"",VLOOKUP(F1650,OPDRACHTGEVER!$A$2:$B$4,2,FALSE),"")</f>
        <v>SKIIFM_AT</v>
      </c>
      <c r="F1650" s="11" t="s">
        <v>58</v>
      </c>
      <c r="I1650" s="11" t="str">
        <f>IF(DATA!B1649&lt;&gt;"",DATA!B1649,"")</f>
        <v>MSDU8580712</v>
      </c>
      <c r="J1650" s="12">
        <v>0</v>
      </c>
      <c r="K1650" s="11" t="s">
        <v>53</v>
      </c>
      <c r="L1650" s="11" t="str">
        <f t="shared" si="104"/>
        <v>741920</v>
      </c>
      <c r="M1650" s="11" t="str">
        <f>IF(I1650&lt;&gt;"",DATA!E1649,"")</f>
        <v>NICHE</v>
      </c>
      <c r="N1650" s="12">
        <v>0</v>
      </c>
      <c r="O1650" s="11">
        <f>IF(I1650&lt;&gt;"",DATA!C1649,"")</f>
        <v>2.4500000000000002</v>
      </c>
      <c r="P1650" s="2">
        <v>294094</v>
      </c>
      <c r="Q1650" s="2" t="s">
        <v>1304</v>
      </c>
      <c r="R1650" s="2" t="s">
        <v>1336</v>
      </c>
      <c r="S1650" s="2">
        <v>206</v>
      </c>
      <c r="T1650" s="2">
        <v>1</v>
      </c>
      <c r="U1650" s="2" t="s">
        <v>141</v>
      </c>
      <c r="Y1650" s="2">
        <v>1700</v>
      </c>
      <c r="Z1650" s="11" t="s">
        <v>54</v>
      </c>
      <c r="AA1650" s="11" t="str">
        <f t="shared" si="105"/>
        <v>1700 - TBN</v>
      </c>
      <c r="AC1650" s="2" t="s">
        <v>145</v>
      </c>
      <c r="AD1650" s="11" t="str">
        <f>IF($I1650&lt;&gt;"",VLOOKUP($AC1650,GEADRESSEERDE!$A$2:$E$4,2,),"")</f>
        <v>LUITHAGEN HAVEN 2 D</v>
      </c>
      <c r="AE1650" s="11">
        <f>IF($I1650&lt;&gt;"",VLOOKUP($AC1650,GEADRESSEERDE!$A$2:$E$4,3,),"")</f>
        <v>2030</v>
      </c>
      <c r="AF1650" s="11" t="str">
        <f>IF($I1650&lt;&gt;"",VLOOKUP($AC1650,GEADRESSEERDE!$A$2:$E$4,4,),"")</f>
        <v>ANTWERPEN</v>
      </c>
      <c r="AG1650" s="11" t="str">
        <f>IF($I1650&lt;&gt;"",VLOOKUP($AC1650,GEADRESSEERDE!$A$2:$E$4,5,),"")</f>
        <v>BE</v>
      </c>
      <c r="AH1650" s="11" t="str">
        <f>IF(I1650&lt;&gt;"",VLOOKUP(AP1650,KvB!$A$2:$B$3,2,FALSE),"")</f>
        <v>BE101000</v>
      </c>
      <c r="AI1650" s="11" t="s">
        <v>55</v>
      </c>
      <c r="AJ1650" s="11"/>
      <c r="AK1650" s="11"/>
      <c r="AL1650" s="11"/>
      <c r="AM1650" s="11"/>
      <c r="AN1650" s="11"/>
      <c r="AO1650" s="11"/>
      <c r="AP1650" s="2" t="s">
        <v>70</v>
      </c>
      <c r="AQ1650" s="11" t="str">
        <f>IF(I1650&lt;&gt;"",DATA!D1649,"")</f>
        <v>7419200090</v>
      </c>
    </row>
    <row r="1651" spans="1:43" ht="15.75" x14ac:dyDescent="0.25">
      <c r="A1651" s="11" t="s">
        <v>57</v>
      </c>
      <c r="B1651" s="11" t="s">
        <v>56</v>
      </c>
      <c r="C1651" s="22">
        <f t="shared" si="106"/>
        <v>25001620</v>
      </c>
      <c r="D1651" s="11" t="str">
        <f t="shared" si="103"/>
        <v>SKIIFM_AT</v>
      </c>
      <c r="E1651" s="11" t="str">
        <f>IF(I1651&lt;&gt;"",VLOOKUP(F1651,OPDRACHTGEVER!$A$2:$B$4,2,FALSE),"")</f>
        <v>SKIIFM_AT</v>
      </c>
      <c r="F1651" s="11" t="s">
        <v>58</v>
      </c>
      <c r="I1651" s="11" t="str">
        <f>IF(DATA!B1650&lt;&gt;"",DATA!B1650,"")</f>
        <v>MSDU8580712</v>
      </c>
      <c r="J1651" s="12">
        <v>0</v>
      </c>
      <c r="K1651" s="11" t="s">
        <v>53</v>
      </c>
      <c r="L1651" s="11" t="str">
        <f t="shared" si="104"/>
        <v>741920</v>
      </c>
      <c r="M1651" s="11" t="str">
        <f>IF(I1651&lt;&gt;"",DATA!E1650,"")</f>
        <v>OIL FILTER BARREL</v>
      </c>
      <c r="N1651" s="12">
        <v>0</v>
      </c>
      <c r="O1651" s="11">
        <f>IF(I1651&lt;&gt;"",DATA!C1650,"")</f>
        <v>16.2</v>
      </c>
      <c r="P1651" s="2">
        <v>294094</v>
      </c>
      <c r="Q1651" s="2" t="s">
        <v>1304</v>
      </c>
      <c r="R1651" s="2" t="s">
        <v>1336</v>
      </c>
      <c r="S1651" s="2">
        <v>206</v>
      </c>
      <c r="T1651" s="2">
        <v>1</v>
      </c>
      <c r="U1651" s="2" t="s">
        <v>141</v>
      </c>
      <c r="Y1651" s="2">
        <v>1700</v>
      </c>
      <c r="Z1651" s="11" t="s">
        <v>54</v>
      </c>
      <c r="AA1651" s="11" t="str">
        <f t="shared" si="105"/>
        <v>1700 - TBN</v>
      </c>
      <c r="AC1651" s="2" t="s">
        <v>145</v>
      </c>
      <c r="AD1651" s="11" t="str">
        <f>IF($I1651&lt;&gt;"",VLOOKUP($AC1651,GEADRESSEERDE!$A$2:$E$4,2,),"")</f>
        <v>LUITHAGEN HAVEN 2 D</v>
      </c>
      <c r="AE1651" s="11">
        <f>IF($I1651&lt;&gt;"",VLOOKUP($AC1651,GEADRESSEERDE!$A$2:$E$4,3,),"")</f>
        <v>2030</v>
      </c>
      <c r="AF1651" s="11" t="str">
        <f>IF($I1651&lt;&gt;"",VLOOKUP($AC1651,GEADRESSEERDE!$A$2:$E$4,4,),"")</f>
        <v>ANTWERPEN</v>
      </c>
      <c r="AG1651" s="11" t="str">
        <f>IF($I1651&lt;&gt;"",VLOOKUP($AC1651,GEADRESSEERDE!$A$2:$E$4,5,),"")</f>
        <v>BE</v>
      </c>
      <c r="AH1651" s="11" t="str">
        <f>IF(I1651&lt;&gt;"",VLOOKUP(AP1651,KvB!$A$2:$B$3,2,FALSE),"")</f>
        <v>BE101000</v>
      </c>
      <c r="AI1651" s="11" t="s">
        <v>55</v>
      </c>
      <c r="AJ1651" s="11"/>
      <c r="AK1651" s="11"/>
      <c r="AL1651" s="11"/>
      <c r="AM1651" s="11"/>
      <c r="AN1651" s="11"/>
      <c r="AO1651" s="11"/>
      <c r="AP1651" s="2" t="s">
        <v>70</v>
      </c>
      <c r="AQ1651" s="11" t="str">
        <f>IF(I1651&lt;&gt;"",DATA!D1650,"")</f>
        <v>7419200090</v>
      </c>
    </row>
    <row r="1652" spans="1:43" ht="15.75" x14ac:dyDescent="0.25">
      <c r="A1652" s="11" t="s">
        <v>57</v>
      </c>
      <c r="B1652" s="11" t="s">
        <v>56</v>
      </c>
      <c r="C1652" s="22">
        <f t="shared" si="106"/>
        <v>25001620</v>
      </c>
      <c r="D1652" s="11" t="str">
        <f t="shared" ref="D1652:D1715" si="107">E1652</f>
        <v>SKIIFM_AT</v>
      </c>
      <c r="E1652" s="11" t="str">
        <f>IF(I1652&lt;&gt;"",VLOOKUP(F1652,OPDRACHTGEVER!$A$2:$B$4,2,FALSE),"")</f>
        <v>SKIIFM_AT</v>
      </c>
      <c r="F1652" s="11" t="s">
        <v>58</v>
      </c>
      <c r="I1652" s="11" t="str">
        <f>IF(DATA!B1651&lt;&gt;"",DATA!B1651,"")</f>
        <v>MSDU8580712</v>
      </c>
      <c r="J1652" s="12">
        <v>0</v>
      </c>
      <c r="K1652" s="11" t="s">
        <v>53</v>
      </c>
      <c r="L1652" s="11" t="str">
        <f t="shared" ref="L1652:L1715" si="108">LEFT(AQ1652,6)</f>
        <v>841311</v>
      </c>
      <c r="M1652" s="11" t="str">
        <f>IF(I1652&lt;&gt;"",DATA!E1651,"")</f>
        <v>OIL PUMP</v>
      </c>
      <c r="N1652" s="12">
        <v>0</v>
      </c>
      <c r="O1652" s="11">
        <f>IF(I1652&lt;&gt;"",DATA!C1651,"")</f>
        <v>313</v>
      </c>
      <c r="P1652" s="2">
        <v>294094</v>
      </c>
      <c r="Q1652" s="2" t="s">
        <v>1304</v>
      </c>
      <c r="R1652" s="2" t="s">
        <v>1336</v>
      </c>
      <c r="S1652" s="2">
        <v>206</v>
      </c>
      <c r="T1652" s="2">
        <v>1</v>
      </c>
      <c r="U1652" s="2" t="s">
        <v>141</v>
      </c>
      <c r="Y1652" s="2">
        <v>1700</v>
      </c>
      <c r="Z1652" s="11" t="s">
        <v>54</v>
      </c>
      <c r="AA1652" s="11" t="str">
        <f t="shared" ref="AA1652:AA1715" si="109">IF(I1652&lt;&gt;"",Y1652&amp;" - "&amp;Z1652,"")</f>
        <v>1700 - TBN</v>
      </c>
      <c r="AC1652" s="2" t="s">
        <v>145</v>
      </c>
      <c r="AD1652" s="11" t="str">
        <f>IF($I1652&lt;&gt;"",VLOOKUP($AC1652,GEADRESSEERDE!$A$2:$E$4,2,),"")</f>
        <v>LUITHAGEN HAVEN 2 D</v>
      </c>
      <c r="AE1652" s="11">
        <f>IF($I1652&lt;&gt;"",VLOOKUP($AC1652,GEADRESSEERDE!$A$2:$E$4,3,),"")</f>
        <v>2030</v>
      </c>
      <c r="AF1652" s="11" t="str">
        <f>IF($I1652&lt;&gt;"",VLOOKUP($AC1652,GEADRESSEERDE!$A$2:$E$4,4,),"")</f>
        <v>ANTWERPEN</v>
      </c>
      <c r="AG1652" s="11" t="str">
        <f>IF($I1652&lt;&gt;"",VLOOKUP($AC1652,GEADRESSEERDE!$A$2:$E$4,5,),"")</f>
        <v>BE</v>
      </c>
      <c r="AH1652" s="11" t="str">
        <f>IF(I1652&lt;&gt;"",VLOOKUP(AP1652,KvB!$A$2:$B$3,2,FALSE),"")</f>
        <v>BE101000</v>
      </c>
      <c r="AI1652" s="11" t="s">
        <v>55</v>
      </c>
      <c r="AJ1652" s="11"/>
      <c r="AK1652" s="11"/>
      <c r="AL1652" s="11"/>
      <c r="AM1652" s="11"/>
      <c r="AN1652" s="11"/>
      <c r="AO1652" s="11"/>
      <c r="AP1652" s="2" t="s">
        <v>70</v>
      </c>
      <c r="AQ1652" s="11" t="str">
        <f>IF(I1652&lt;&gt;"",DATA!D1651,"")</f>
        <v>8413110000</v>
      </c>
    </row>
    <row r="1653" spans="1:43" ht="15.75" x14ac:dyDescent="0.25">
      <c r="A1653" s="11" t="s">
        <v>57</v>
      </c>
      <c r="B1653" s="11" t="s">
        <v>56</v>
      </c>
      <c r="C1653" s="22">
        <f t="shared" si="106"/>
        <v>25001620</v>
      </c>
      <c r="D1653" s="11" t="str">
        <f t="shared" si="107"/>
        <v>SKIIFM_AT</v>
      </c>
      <c r="E1653" s="11" t="str">
        <f>IF(I1653&lt;&gt;"",VLOOKUP(F1653,OPDRACHTGEVER!$A$2:$B$4,2,FALSE),"")</f>
        <v>SKIIFM_AT</v>
      </c>
      <c r="F1653" s="11" t="s">
        <v>58</v>
      </c>
      <c r="I1653" s="11" t="str">
        <f>IF(DATA!B1652&lt;&gt;"",DATA!B1652,"")</f>
        <v>MSDU8580712</v>
      </c>
      <c r="J1653" s="12">
        <v>0</v>
      </c>
      <c r="K1653" s="11" t="s">
        <v>53</v>
      </c>
      <c r="L1653" s="11" t="str">
        <f t="shared" si="108"/>
        <v>851821</v>
      </c>
      <c r="M1653" s="11" t="str">
        <f>IF(I1653&lt;&gt;"",DATA!E1652,"")</f>
        <v>ON-BOARD LOUDSPEAKER</v>
      </c>
      <c r="N1653" s="12">
        <v>0</v>
      </c>
      <c r="O1653" s="11">
        <f>IF(I1653&lt;&gt;"",DATA!C1652,"")</f>
        <v>25.66</v>
      </c>
      <c r="P1653" s="2">
        <v>294094</v>
      </c>
      <c r="Q1653" s="2" t="s">
        <v>1304</v>
      </c>
      <c r="R1653" s="2" t="s">
        <v>1336</v>
      </c>
      <c r="S1653" s="2">
        <v>206</v>
      </c>
      <c r="T1653" s="2">
        <v>1</v>
      </c>
      <c r="U1653" s="2" t="s">
        <v>141</v>
      </c>
      <c r="Y1653" s="2">
        <v>1700</v>
      </c>
      <c r="Z1653" s="11" t="s">
        <v>54</v>
      </c>
      <c r="AA1653" s="11" t="str">
        <f t="shared" si="109"/>
        <v>1700 - TBN</v>
      </c>
      <c r="AC1653" s="2" t="s">
        <v>145</v>
      </c>
      <c r="AD1653" s="11" t="str">
        <f>IF($I1653&lt;&gt;"",VLOOKUP($AC1653,GEADRESSEERDE!$A$2:$E$4,2,),"")</f>
        <v>LUITHAGEN HAVEN 2 D</v>
      </c>
      <c r="AE1653" s="11">
        <f>IF($I1653&lt;&gt;"",VLOOKUP($AC1653,GEADRESSEERDE!$A$2:$E$4,3,),"")</f>
        <v>2030</v>
      </c>
      <c r="AF1653" s="11" t="str">
        <f>IF($I1653&lt;&gt;"",VLOOKUP($AC1653,GEADRESSEERDE!$A$2:$E$4,4,),"")</f>
        <v>ANTWERPEN</v>
      </c>
      <c r="AG1653" s="11" t="str">
        <f>IF($I1653&lt;&gt;"",VLOOKUP($AC1653,GEADRESSEERDE!$A$2:$E$4,5,),"")</f>
        <v>BE</v>
      </c>
      <c r="AH1653" s="11" t="str">
        <f>IF(I1653&lt;&gt;"",VLOOKUP(AP1653,KvB!$A$2:$B$3,2,FALSE),"")</f>
        <v>BE101000</v>
      </c>
      <c r="AI1653" s="11" t="s">
        <v>55</v>
      </c>
      <c r="AJ1653" s="11"/>
      <c r="AK1653" s="11"/>
      <c r="AL1653" s="11"/>
      <c r="AM1653" s="11"/>
      <c r="AN1653" s="11"/>
      <c r="AO1653" s="11"/>
      <c r="AP1653" s="2" t="s">
        <v>70</v>
      </c>
      <c r="AQ1653" s="11" t="str">
        <f>IF(I1653&lt;&gt;"",DATA!D1652,"")</f>
        <v>8518210000</v>
      </c>
    </row>
    <row r="1654" spans="1:43" ht="15.75" x14ac:dyDescent="0.25">
      <c r="A1654" s="11" t="s">
        <v>57</v>
      </c>
      <c r="B1654" s="11" t="s">
        <v>56</v>
      </c>
      <c r="C1654" s="22">
        <f t="shared" si="106"/>
        <v>25001620</v>
      </c>
      <c r="D1654" s="11" t="str">
        <f t="shared" si="107"/>
        <v>SKIIFM_AT</v>
      </c>
      <c r="E1654" s="11" t="str">
        <f>IF(I1654&lt;&gt;"",VLOOKUP(F1654,OPDRACHTGEVER!$A$2:$B$4,2,FALSE),"")</f>
        <v>SKIIFM_AT</v>
      </c>
      <c r="F1654" s="11" t="s">
        <v>58</v>
      </c>
      <c r="I1654" s="11" t="str">
        <f>IF(DATA!B1653&lt;&gt;"",DATA!B1653,"")</f>
        <v>MSDU8580712</v>
      </c>
      <c r="J1654" s="12">
        <v>0</v>
      </c>
      <c r="K1654" s="11" t="s">
        <v>53</v>
      </c>
      <c r="L1654" s="11" t="str">
        <f t="shared" si="108"/>
        <v>950691</v>
      </c>
      <c r="M1654" s="11" t="str">
        <f>IF(I1654&lt;&gt;"",DATA!E1653,"")</f>
        <v>PILATES REFORMER</v>
      </c>
      <c r="N1654" s="12">
        <v>0</v>
      </c>
      <c r="O1654" s="11">
        <f>IF(I1654&lt;&gt;"",DATA!C1653,"")</f>
        <v>699.7</v>
      </c>
      <c r="P1654" s="2">
        <v>294094</v>
      </c>
      <c r="Q1654" s="2" t="s">
        <v>1304</v>
      </c>
      <c r="R1654" s="2" t="s">
        <v>1336</v>
      </c>
      <c r="S1654" s="2">
        <v>206</v>
      </c>
      <c r="T1654" s="2">
        <v>1</v>
      </c>
      <c r="U1654" s="2" t="s">
        <v>141</v>
      </c>
      <c r="Y1654" s="2">
        <v>1700</v>
      </c>
      <c r="Z1654" s="11" t="s">
        <v>54</v>
      </c>
      <c r="AA1654" s="11" t="str">
        <f t="shared" si="109"/>
        <v>1700 - TBN</v>
      </c>
      <c r="AC1654" s="2" t="s">
        <v>145</v>
      </c>
      <c r="AD1654" s="11" t="str">
        <f>IF($I1654&lt;&gt;"",VLOOKUP($AC1654,GEADRESSEERDE!$A$2:$E$4,2,),"")</f>
        <v>LUITHAGEN HAVEN 2 D</v>
      </c>
      <c r="AE1654" s="11">
        <f>IF($I1654&lt;&gt;"",VLOOKUP($AC1654,GEADRESSEERDE!$A$2:$E$4,3,),"")</f>
        <v>2030</v>
      </c>
      <c r="AF1654" s="11" t="str">
        <f>IF($I1654&lt;&gt;"",VLOOKUP($AC1654,GEADRESSEERDE!$A$2:$E$4,4,),"")</f>
        <v>ANTWERPEN</v>
      </c>
      <c r="AG1654" s="11" t="str">
        <f>IF($I1654&lt;&gt;"",VLOOKUP($AC1654,GEADRESSEERDE!$A$2:$E$4,5,),"")</f>
        <v>BE</v>
      </c>
      <c r="AH1654" s="11" t="str">
        <f>IF(I1654&lt;&gt;"",VLOOKUP(AP1654,KvB!$A$2:$B$3,2,FALSE),"")</f>
        <v>BE101000</v>
      </c>
      <c r="AI1654" s="11" t="s">
        <v>55</v>
      </c>
      <c r="AJ1654" s="11"/>
      <c r="AK1654" s="11"/>
      <c r="AL1654" s="11"/>
      <c r="AM1654" s="11"/>
      <c r="AN1654" s="11"/>
      <c r="AO1654" s="11"/>
      <c r="AP1654" s="2" t="s">
        <v>70</v>
      </c>
      <c r="AQ1654" s="11" t="str">
        <f>IF(I1654&lt;&gt;"",DATA!D1653,"")</f>
        <v>9506911000</v>
      </c>
    </row>
    <row r="1655" spans="1:43" ht="15.75" x14ac:dyDescent="0.25">
      <c r="A1655" s="11" t="s">
        <v>57</v>
      </c>
      <c r="B1655" s="11" t="s">
        <v>56</v>
      </c>
      <c r="C1655" s="22">
        <f t="shared" si="106"/>
        <v>25001620</v>
      </c>
      <c r="D1655" s="11" t="str">
        <f t="shared" si="107"/>
        <v>SKIIFM_AT</v>
      </c>
      <c r="E1655" s="11" t="str">
        <f>IF(I1655&lt;&gt;"",VLOOKUP(F1655,OPDRACHTGEVER!$A$2:$B$4,2,FALSE),"")</f>
        <v>SKIIFM_AT</v>
      </c>
      <c r="F1655" s="11" t="s">
        <v>58</v>
      </c>
      <c r="I1655" s="11" t="str">
        <f>IF(DATA!B1654&lt;&gt;"",DATA!B1654,"")</f>
        <v>MSDU8580712</v>
      </c>
      <c r="J1655" s="12">
        <v>0</v>
      </c>
      <c r="K1655" s="11" t="s">
        <v>53</v>
      </c>
      <c r="L1655" s="11" t="str">
        <f t="shared" si="108"/>
        <v>820320</v>
      </c>
      <c r="M1655" s="11" t="str">
        <f>IF(I1655&lt;&gt;"",DATA!E1654,"")</f>
        <v>PIPE CLAMP</v>
      </c>
      <c r="N1655" s="12">
        <v>0</v>
      </c>
      <c r="O1655" s="11">
        <f>IF(I1655&lt;&gt;"",DATA!C1654,"")</f>
        <v>5</v>
      </c>
      <c r="P1655" s="2">
        <v>294094</v>
      </c>
      <c r="Q1655" s="2" t="s">
        <v>1304</v>
      </c>
      <c r="R1655" s="2" t="s">
        <v>1336</v>
      </c>
      <c r="S1655" s="2">
        <v>206</v>
      </c>
      <c r="T1655" s="2">
        <v>1</v>
      </c>
      <c r="U1655" s="2" t="s">
        <v>141</v>
      </c>
      <c r="Y1655" s="2">
        <v>1700</v>
      </c>
      <c r="Z1655" s="11" t="s">
        <v>54</v>
      </c>
      <c r="AA1655" s="11" t="str">
        <f t="shared" si="109"/>
        <v>1700 - TBN</v>
      </c>
      <c r="AC1655" s="2" t="s">
        <v>145</v>
      </c>
      <c r="AD1655" s="11" t="str">
        <f>IF($I1655&lt;&gt;"",VLOOKUP($AC1655,GEADRESSEERDE!$A$2:$E$4,2,),"")</f>
        <v>LUITHAGEN HAVEN 2 D</v>
      </c>
      <c r="AE1655" s="11">
        <f>IF($I1655&lt;&gt;"",VLOOKUP($AC1655,GEADRESSEERDE!$A$2:$E$4,3,),"")</f>
        <v>2030</v>
      </c>
      <c r="AF1655" s="11" t="str">
        <f>IF($I1655&lt;&gt;"",VLOOKUP($AC1655,GEADRESSEERDE!$A$2:$E$4,4,),"")</f>
        <v>ANTWERPEN</v>
      </c>
      <c r="AG1655" s="11" t="str">
        <f>IF($I1655&lt;&gt;"",VLOOKUP($AC1655,GEADRESSEERDE!$A$2:$E$4,5,),"")</f>
        <v>BE</v>
      </c>
      <c r="AH1655" s="11" t="str">
        <f>IF(I1655&lt;&gt;"",VLOOKUP(AP1655,KvB!$A$2:$B$3,2,FALSE),"")</f>
        <v>BE101000</v>
      </c>
      <c r="AI1655" s="11" t="s">
        <v>55</v>
      </c>
      <c r="AJ1655" s="11"/>
      <c r="AK1655" s="11"/>
      <c r="AL1655" s="11"/>
      <c r="AM1655" s="11"/>
      <c r="AN1655" s="11"/>
      <c r="AO1655" s="11"/>
      <c r="AP1655" s="2" t="s">
        <v>70</v>
      </c>
      <c r="AQ1655" s="11" t="str">
        <f>IF(I1655&lt;&gt;"",DATA!D1654,"")</f>
        <v>8203200000</v>
      </c>
    </row>
    <row r="1656" spans="1:43" ht="15.75" x14ac:dyDescent="0.25">
      <c r="A1656" s="11" t="s">
        <v>57</v>
      </c>
      <c r="B1656" s="11" t="s">
        <v>56</v>
      </c>
      <c r="C1656" s="22">
        <f t="shared" si="106"/>
        <v>25001620</v>
      </c>
      <c r="D1656" s="11" t="str">
        <f t="shared" si="107"/>
        <v>SKIIFM_AT</v>
      </c>
      <c r="E1656" s="11" t="str">
        <f>IF(I1656&lt;&gt;"",VLOOKUP(F1656,OPDRACHTGEVER!$A$2:$B$4,2,FALSE),"")</f>
        <v>SKIIFM_AT</v>
      </c>
      <c r="F1656" s="11" t="s">
        <v>58</v>
      </c>
      <c r="I1656" s="11" t="str">
        <f>IF(DATA!B1655&lt;&gt;"",DATA!B1655,"")</f>
        <v>MSDU8580712</v>
      </c>
      <c r="J1656" s="12">
        <v>0</v>
      </c>
      <c r="K1656" s="11" t="s">
        <v>53</v>
      </c>
      <c r="L1656" s="11" t="str">
        <f t="shared" si="108"/>
        <v>820420</v>
      </c>
      <c r="M1656" s="11" t="str">
        <f>IF(I1656&lt;&gt;"",DATA!E1655,"")</f>
        <v>PNEUMATIC WRENCH</v>
      </c>
      <c r="N1656" s="12">
        <v>0</v>
      </c>
      <c r="O1656" s="11">
        <f>IF(I1656&lt;&gt;"",DATA!C1655,"")</f>
        <v>103.4</v>
      </c>
      <c r="P1656" s="2">
        <v>294094</v>
      </c>
      <c r="Q1656" s="2" t="s">
        <v>1304</v>
      </c>
      <c r="R1656" s="2" t="s">
        <v>1336</v>
      </c>
      <c r="S1656" s="2">
        <v>206</v>
      </c>
      <c r="T1656" s="2">
        <v>1</v>
      </c>
      <c r="U1656" s="2" t="s">
        <v>141</v>
      </c>
      <c r="Y1656" s="2">
        <v>1700</v>
      </c>
      <c r="Z1656" s="11" t="s">
        <v>54</v>
      </c>
      <c r="AA1656" s="11" t="str">
        <f t="shared" si="109"/>
        <v>1700 - TBN</v>
      </c>
      <c r="AC1656" s="2" t="s">
        <v>145</v>
      </c>
      <c r="AD1656" s="11" t="str">
        <f>IF($I1656&lt;&gt;"",VLOOKUP($AC1656,GEADRESSEERDE!$A$2:$E$4,2,),"")</f>
        <v>LUITHAGEN HAVEN 2 D</v>
      </c>
      <c r="AE1656" s="11">
        <f>IF($I1656&lt;&gt;"",VLOOKUP($AC1656,GEADRESSEERDE!$A$2:$E$4,3,),"")</f>
        <v>2030</v>
      </c>
      <c r="AF1656" s="11" t="str">
        <f>IF($I1656&lt;&gt;"",VLOOKUP($AC1656,GEADRESSEERDE!$A$2:$E$4,4,),"")</f>
        <v>ANTWERPEN</v>
      </c>
      <c r="AG1656" s="11" t="str">
        <f>IF($I1656&lt;&gt;"",VLOOKUP($AC1656,GEADRESSEERDE!$A$2:$E$4,5,),"")</f>
        <v>BE</v>
      </c>
      <c r="AH1656" s="11" t="str">
        <f>IF(I1656&lt;&gt;"",VLOOKUP(AP1656,KvB!$A$2:$B$3,2,FALSE),"")</f>
        <v>BE101000</v>
      </c>
      <c r="AI1656" s="11" t="s">
        <v>55</v>
      </c>
      <c r="AJ1656" s="11"/>
      <c r="AK1656" s="11"/>
      <c r="AL1656" s="11"/>
      <c r="AM1656" s="11"/>
      <c r="AN1656" s="11"/>
      <c r="AO1656" s="11"/>
      <c r="AP1656" s="2" t="s">
        <v>70</v>
      </c>
      <c r="AQ1656" s="11" t="str">
        <f>IF(I1656&lt;&gt;"",DATA!D1655,"")</f>
        <v>8204200000</v>
      </c>
    </row>
    <row r="1657" spans="1:43" ht="15.75" x14ac:dyDescent="0.25">
      <c r="A1657" s="11" t="s">
        <v>57</v>
      </c>
      <c r="B1657" s="11" t="s">
        <v>56</v>
      </c>
      <c r="C1657" s="22">
        <f t="shared" si="106"/>
        <v>25001620</v>
      </c>
      <c r="D1657" s="11" t="str">
        <f t="shared" si="107"/>
        <v>SKIIFM_AT</v>
      </c>
      <c r="E1657" s="11" t="str">
        <f>IF(I1657&lt;&gt;"",VLOOKUP(F1657,OPDRACHTGEVER!$A$2:$B$4,2,FALSE),"")</f>
        <v>SKIIFM_AT</v>
      </c>
      <c r="F1657" s="11" t="s">
        <v>58</v>
      </c>
      <c r="I1657" s="11" t="str">
        <f>IF(DATA!B1656&lt;&gt;"",DATA!B1656,"")</f>
        <v>MSDU8580712</v>
      </c>
      <c r="J1657" s="12">
        <v>0</v>
      </c>
      <c r="K1657" s="11" t="s">
        <v>53</v>
      </c>
      <c r="L1657" s="11" t="str">
        <f t="shared" si="108"/>
        <v>841480</v>
      </c>
      <c r="M1657" s="11" t="str">
        <f>IF(I1657&lt;&gt;"",DATA!E1656,"")</f>
        <v>PORTABLE  COMPRESSOR</v>
      </c>
      <c r="N1657" s="12">
        <v>0</v>
      </c>
      <c r="O1657" s="11">
        <f>IF(I1657&lt;&gt;"",DATA!C1656,"")</f>
        <v>951.05</v>
      </c>
      <c r="P1657" s="2">
        <v>294094</v>
      </c>
      <c r="Q1657" s="2" t="s">
        <v>1304</v>
      </c>
      <c r="R1657" s="2" t="s">
        <v>1336</v>
      </c>
      <c r="S1657" s="2">
        <v>206</v>
      </c>
      <c r="T1657" s="2">
        <v>1</v>
      </c>
      <c r="U1657" s="2" t="s">
        <v>141</v>
      </c>
      <c r="Y1657" s="2">
        <v>1700</v>
      </c>
      <c r="Z1657" s="11" t="s">
        <v>54</v>
      </c>
      <c r="AA1657" s="11" t="str">
        <f t="shared" si="109"/>
        <v>1700 - TBN</v>
      </c>
      <c r="AC1657" s="2" t="s">
        <v>145</v>
      </c>
      <c r="AD1657" s="11" t="str">
        <f>IF($I1657&lt;&gt;"",VLOOKUP($AC1657,GEADRESSEERDE!$A$2:$E$4,2,),"")</f>
        <v>LUITHAGEN HAVEN 2 D</v>
      </c>
      <c r="AE1657" s="11">
        <f>IF($I1657&lt;&gt;"",VLOOKUP($AC1657,GEADRESSEERDE!$A$2:$E$4,3,),"")</f>
        <v>2030</v>
      </c>
      <c r="AF1657" s="11" t="str">
        <f>IF($I1657&lt;&gt;"",VLOOKUP($AC1657,GEADRESSEERDE!$A$2:$E$4,4,),"")</f>
        <v>ANTWERPEN</v>
      </c>
      <c r="AG1657" s="11" t="str">
        <f>IF($I1657&lt;&gt;"",VLOOKUP($AC1657,GEADRESSEERDE!$A$2:$E$4,5,),"")</f>
        <v>BE</v>
      </c>
      <c r="AH1657" s="11" t="str">
        <f>IF(I1657&lt;&gt;"",VLOOKUP(AP1657,KvB!$A$2:$B$3,2,FALSE),"")</f>
        <v>BE101000</v>
      </c>
      <c r="AI1657" s="11" t="s">
        <v>55</v>
      </c>
      <c r="AJ1657" s="11"/>
      <c r="AK1657" s="11"/>
      <c r="AL1657" s="11"/>
      <c r="AM1657" s="11"/>
      <c r="AN1657" s="11"/>
      <c r="AO1657" s="11"/>
      <c r="AP1657" s="2" t="s">
        <v>70</v>
      </c>
      <c r="AQ1657" s="11" t="str">
        <f>IF(I1657&lt;&gt;"",DATA!D1656,"")</f>
        <v>8414808090</v>
      </c>
    </row>
    <row r="1658" spans="1:43" ht="15.75" x14ac:dyDescent="0.25">
      <c r="A1658" s="11" t="s">
        <v>57</v>
      </c>
      <c r="B1658" s="11" t="s">
        <v>56</v>
      </c>
      <c r="C1658" s="22">
        <f t="shared" si="106"/>
        <v>25001620</v>
      </c>
      <c r="D1658" s="11" t="str">
        <f t="shared" si="107"/>
        <v>SKIIFM_AT</v>
      </c>
      <c r="E1658" s="11" t="str">
        <f>IF(I1658&lt;&gt;"",VLOOKUP(F1658,OPDRACHTGEVER!$A$2:$B$4,2,FALSE),"")</f>
        <v>SKIIFM_AT</v>
      </c>
      <c r="F1658" s="11" t="s">
        <v>58</v>
      </c>
      <c r="I1658" s="11" t="str">
        <f>IF(DATA!B1657&lt;&gt;"",DATA!B1657,"")</f>
        <v>MSDU8580712</v>
      </c>
      <c r="J1658" s="12">
        <v>0</v>
      </c>
      <c r="K1658" s="11" t="s">
        <v>53</v>
      </c>
      <c r="L1658" s="11" t="str">
        <f t="shared" si="108"/>
        <v>392290</v>
      </c>
      <c r="M1658" s="11" t="str">
        <f>IF(I1658&lt;&gt;"",DATA!E1657,"")</f>
        <v>PORTABLE TOILET</v>
      </c>
      <c r="N1658" s="12">
        <v>0</v>
      </c>
      <c r="O1658" s="11">
        <f>IF(I1658&lt;&gt;"",DATA!C1657,"")</f>
        <v>39.9</v>
      </c>
      <c r="P1658" s="2">
        <v>294094</v>
      </c>
      <c r="Q1658" s="2" t="s">
        <v>1304</v>
      </c>
      <c r="R1658" s="2" t="s">
        <v>1336</v>
      </c>
      <c r="S1658" s="2">
        <v>206</v>
      </c>
      <c r="T1658" s="2">
        <v>1</v>
      </c>
      <c r="U1658" s="2" t="s">
        <v>141</v>
      </c>
      <c r="Y1658" s="2">
        <v>1700</v>
      </c>
      <c r="Z1658" s="11" t="s">
        <v>54</v>
      </c>
      <c r="AA1658" s="11" t="str">
        <f t="shared" si="109"/>
        <v>1700 - TBN</v>
      </c>
      <c r="AC1658" s="2" t="s">
        <v>145</v>
      </c>
      <c r="AD1658" s="11" t="str">
        <f>IF($I1658&lt;&gt;"",VLOOKUP($AC1658,GEADRESSEERDE!$A$2:$E$4,2,),"")</f>
        <v>LUITHAGEN HAVEN 2 D</v>
      </c>
      <c r="AE1658" s="11">
        <f>IF($I1658&lt;&gt;"",VLOOKUP($AC1658,GEADRESSEERDE!$A$2:$E$4,3,),"")</f>
        <v>2030</v>
      </c>
      <c r="AF1658" s="11" t="str">
        <f>IF($I1658&lt;&gt;"",VLOOKUP($AC1658,GEADRESSEERDE!$A$2:$E$4,4,),"")</f>
        <v>ANTWERPEN</v>
      </c>
      <c r="AG1658" s="11" t="str">
        <f>IF($I1658&lt;&gt;"",VLOOKUP($AC1658,GEADRESSEERDE!$A$2:$E$4,5,),"")</f>
        <v>BE</v>
      </c>
      <c r="AH1658" s="11" t="str">
        <f>IF(I1658&lt;&gt;"",VLOOKUP(AP1658,KvB!$A$2:$B$3,2,FALSE),"")</f>
        <v>BE101000</v>
      </c>
      <c r="AI1658" s="11" t="s">
        <v>55</v>
      </c>
      <c r="AJ1658" s="11"/>
      <c r="AK1658" s="11"/>
      <c r="AL1658" s="11"/>
      <c r="AM1658" s="11"/>
      <c r="AN1658" s="11"/>
      <c r="AO1658" s="11"/>
      <c r="AP1658" s="2" t="s">
        <v>70</v>
      </c>
      <c r="AQ1658" s="11" t="str">
        <f>IF(I1658&lt;&gt;"",DATA!D1657,"")</f>
        <v>3922900000</v>
      </c>
    </row>
    <row r="1659" spans="1:43" ht="15.75" x14ac:dyDescent="0.25">
      <c r="A1659" s="11" t="s">
        <v>57</v>
      </c>
      <c r="B1659" s="11" t="s">
        <v>56</v>
      </c>
      <c r="C1659" s="22">
        <f t="shared" si="106"/>
        <v>25001620</v>
      </c>
      <c r="D1659" s="11" t="str">
        <f t="shared" si="107"/>
        <v>SKIIFM_AT</v>
      </c>
      <c r="E1659" s="11" t="str">
        <f>IF(I1659&lt;&gt;"",VLOOKUP(F1659,OPDRACHTGEVER!$A$2:$B$4,2,FALSE),"")</f>
        <v>SKIIFM_AT</v>
      </c>
      <c r="F1659" s="11" t="s">
        <v>58</v>
      </c>
      <c r="I1659" s="11" t="str">
        <f>IF(DATA!B1658&lt;&gt;"",DATA!B1658,"")</f>
        <v>MSDU8580712</v>
      </c>
      <c r="J1659" s="12">
        <v>0</v>
      </c>
      <c r="K1659" s="11" t="s">
        <v>53</v>
      </c>
      <c r="L1659" s="11" t="str">
        <f t="shared" si="108"/>
        <v>842430</v>
      </c>
      <c r="M1659" s="11" t="str">
        <f>IF(I1659&lt;&gt;"",DATA!E1658,"")</f>
        <v>POWDER COATING MACHINE</v>
      </c>
      <c r="N1659" s="12">
        <v>0</v>
      </c>
      <c r="O1659" s="11">
        <f>IF(I1659&lt;&gt;"",DATA!C1658,"")</f>
        <v>9.1999999999999993</v>
      </c>
      <c r="P1659" s="2">
        <v>294094</v>
      </c>
      <c r="Q1659" s="2" t="s">
        <v>1304</v>
      </c>
      <c r="R1659" s="2" t="s">
        <v>1336</v>
      </c>
      <c r="S1659" s="2">
        <v>206</v>
      </c>
      <c r="T1659" s="2">
        <v>1</v>
      </c>
      <c r="U1659" s="2" t="s">
        <v>141</v>
      </c>
      <c r="Y1659" s="2">
        <v>1700</v>
      </c>
      <c r="Z1659" s="11" t="s">
        <v>54</v>
      </c>
      <c r="AA1659" s="11" t="str">
        <f t="shared" si="109"/>
        <v>1700 - TBN</v>
      </c>
      <c r="AC1659" s="2" t="s">
        <v>145</v>
      </c>
      <c r="AD1659" s="11" t="str">
        <f>IF($I1659&lt;&gt;"",VLOOKUP($AC1659,GEADRESSEERDE!$A$2:$E$4,2,),"")</f>
        <v>LUITHAGEN HAVEN 2 D</v>
      </c>
      <c r="AE1659" s="11">
        <f>IF($I1659&lt;&gt;"",VLOOKUP($AC1659,GEADRESSEERDE!$A$2:$E$4,3,),"")</f>
        <v>2030</v>
      </c>
      <c r="AF1659" s="11" t="str">
        <f>IF($I1659&lt;&gt;"",VLOOKUP($AC1659,GEADRESSEERDE!$A$2:$E$4,4,),"")</f>
        <v>ANTWERPEN</v>
      </c>
      <c r="AG1659" s="11" t="str">
        <f>IF($I1659&lt;&gt;"",VLOOKUP($AC1659,GEADRESSEERDE!$A$2:$E$4,5,),"")</f>
        <v>BE</v>
      </c>
      <c r="AH1659" s="11" t="str">
        <f>IF(I1659&lt;&gt;"",VLOOKUP(AP1659,KvB!$A$2:$B$3,2,FALSE),"")</f>
        <v>BE101000</v>
      </c>
      <c r="AI1659" s="11" t="s">
        <v>55</v>
      </c>
      <c r="AJ1659" s="11"/>
      <c r="AK1659" s="11"/>
      <c r="AL1659" s="11"/>
      <c r="AM1659" s="11"/>
      <c r="AN1659" s="11"/>
      <c r="AO1659" s="11"/>
      <c r="AP1659" s="2" t="s">
        <v>70</v>
      </c>
      <c r="AQ1659" s="11" t="str">
        <f>IF(I1659&lt;&gt;"",DATA!D1658,"")</f>
        <v>8424301000</v>
      </c>
    </row>
    <row r="1660" spans="1:43" ht="15.75" x14ac:dyDescent="0.25">
      <c r="A1660" s="11" t="s">
        <v>57</v>
      </c>
      <c r="B1660" s="11" t="s">
        <v>56</v>
      </c>
      <c r="C1660" s="22">
        <f t="shared" si="106"/>
        <v>25001620</v>
      </c>
      <c r="D1660" s="11" t="str">
        <f t="shared" si="107"/>
        <v>SKIIFM_AT</v>
      </c>
      <c r="E1660" s="11" t="str">
        <f>IF(I1660&lt;&gt;"",VLOOKUP(F1660,OPDRACHTGEVER!$A$2:$B$4,2,FALSE),"")</f>
        <v>SKIIFM_AT</v>
      </c>
      <c r="F1660" s="11" t="s">
        <v>58</v>
      </c>
      <c r="I1660" s="11" t="str">
        <f>IF(DATA!B1659&lt;&gt;"",DATA!B1659,"")</f>
        <v>MSDU8580712</v>
      </c>
      <c r="J1660" s="12">
        <v>0</v>
      </c>
      <c r="K1660" s="11" t="s">
        <v>53</v>
      </c>
      <c r="L1660" s="11" t="str">
        <f t="shared" si="108"/>
        <v>846729</v>
      </c>
      <c r="M1660" s="11" t="str">
        <f>IF(I1660&lt;&gt;"",DATA!E1659,"")</f>
        <v>PUNCHING AND SHEARING MACHINE</v>
      </c>
      <c r="N1660" s="12">
        <v>0</v>
      </c>
      <c r="O1660" s="11">
        <f>IF(I1660&lt;&gt;"",DATA!C1659,"")</f>
        <v>3.15</v>
      </c>
      <c r="P1660" s="2">
        <v>294094</v>
      </c>
      <c r="Q1660" s="2" t="s">
        <v>1304</v>
      </c>
      <c r="R1660" s="2" t="s">
        <v>1336</v>
      </c>
      <c r="S1660" s="2">
        <v>206</v>
      </c>
      <c r="T1660" s="2">
        <v>1</v>
      </c>
      <c r="U1660" s="2" t="s">
        <v>141</v>
      </c>
      <c r="Y1660" s="2">
        <v>1700</v>
      </c>
      <c r="Z1660" s="11" t="s">
        <v>54</v>
      </c>
      <c r="AA1660" s="11" t="str">
        <f t="shared" si="109"/>
        <v>1700 - TBN</v>
      </c>
      <c r="AC1660" s="2" t="s">
        <v>145</v>
      </c>
      <c r="AD1660" s="11" t="str">
        <f>IF($I1660&lt;&gt;"",VLOOKUP($AC1660,GEADRESSEERDE!$A$2:$E$4,2,),"")</f>
        <v>LUITHAGEN HAVEN 2 D</v>
      </c>
      <c r="AE1660" s="11">
        <f>IF($I1660&lt;&gt;"",VLOOKUP($AC1660,GEADRESSEERDE!$A$2:$E$4,3,),"")</f>
        <v>2030</v>
      </c>
      <c r="AF1660" s="11" t="str">
        <f>IF($I1660&lt;&gt;"",VLOOKUP($AC1660,GEADRESSEERDE!$A$2:$E$4,4,),"")</f>
        <v>ANTWERPEN</v>
      </c>
      <c r="AG1660" s="11" t="str">
        <f>IF($I1660&lt;&gt;"",VLOOKUP($AC1660,GEADRESSEERDE!$A$2:$E$4,5,),"")</f>
        <v>BE</v>
      </c>
      <c r="AH1660" s="11" t="str">
        <f>IF(I1660&lt;&gt;"",VLOOKUP(AP1660,KvB!$A$2:$B$3,2,FALSE),"")</f>
        <v>BE101000</v>
      </c>
      <c r="AI1660" s="11" t="s">
        <v>55</v>
      </c>
      <c r="AJ1660" s="11"/>
      <c r="AK1660" s="11"/>
      <c r="AL1660" s="11"/>
      <c r="AM1660" s="11"/>
      <c r="AN1660" s="11"/>
      <c r="AO1660" s="11"/>
      <c r="AP1660" s="2" t="s">
        <v>70</v>
      </c>
      <c r="AQ1660" s="11" t="str">
        <f>IF(I1660&lt;&gt;"",DATA!D1659,"")</f>
        <v>8467295900</v>
      </c>
    </row>
    <row r="1661" spans="1:43" ht="15.75" x14ac:dyDescent="0.25">
      <c r="A1661" s="11" t="s">
        <v>57</v>
      </c>
      <c r="B1661" s="11" t="s">
        <v>56</v>
      </c>
      <c r="C1661" s="22">
        <f t="shared" si="106"/>
        <v>25001620</v>
      </c>
      <c r="D1661" s="11" t="str">
        <f t="shared" si="107"/>
        <v>SKIIFM_AT</v>
      </c>
      <c r="E1661" s="11" t="str">
        <f>IF(I1661&lt;&gt;"",VLOOKUP(F1661,OPDRACHTGEVER!$A$2:$B$4,2,FALSE),"")</f>
        <v>SKIIFM_AT</v>
      </c>
      <c r="F1661" s="11" t="s">
        <v>58</v>
      </c>
      <c r="I1661" s="11" t="str">
        <f>IF(DATA!B1660&lt;&gt;"",DATA!B1660,"")</f>
        <v>MSDU8580712</v>
      </c>
      <c r="J1661" s="12">
        <v>0</v>
      </c>
      <c r="K1661" s="11" t="s">
        <v>53</v>
      </c>
      <c r="L1661" s="11" t="str">
        <f t="shared" si="108"/>
        <v>902620</v>
      </c>
      <c r="M1661" s="11" t="str">
        <f>IF(I1661&lt;&gt;"",DATA!E1660,"")</f>
        <v>REFRIGERANT METER</v>
      </c>
      <c r="N1661" s="12">
        <v>0</v>
      </c>
      <c r="O1661" s="11">
        <f>IF(I1661&lt;&gt;"",DATA!C1660,"")</f>
        <v>4.5999999999999996</v>
      </c>
      <c r="P1661" s="2">
        <v>294094</v>
      </c>
      <c r="Q1661" s="2" t="s">
        <v>1304</v>
      </c>
      <c r="R1661" s="2" t="s">
        <v>1336</v>
      </c>
      <c r="S1661" s="2">
        <v>206</v>
      </c>
      <c r="T1661" s="2">
        <v>1</v>
      </c>
      <c r="U1661" s="2" t="s">
        <v>141</v>
      </c>
      <c r="Y1661" s="2">
        <v>1700</v>
      </c>
      <c r="Z1661" s="11" t="s">
        <v>54</v>
      </c>
      <c r="AA1661" s="11" t="str">
        <f t="shared" si="109"/>
        <v>1700 - TBN</v>
      </c>
      <c r="AC1661" s="2" t="s">
        <v>145</v>
      </c>
      <c r="AD1661" s="11" t="str">
        <f>IF($I1661&lt;&gt;"",VLOOKUP($AC1661,GEADRESSEERDE!$A$2:$E$4,2,),"")</f>
        <v>LUITHAGEN HAVEN 2 D</v>
      </c>
      <c r="AE1661" s="11">
        <f>IF($I1661&lt;&gt;"",VLOOKUP($AC1661,GEADRESSEERDE!$A$2:$E$4,3,),"")</f>
        <v>2030</v>
      </c>
      <c r="AF1661" s="11" t="str">
        <f>IF($I1661&lt;&gt;"",VLOOKUP($AC1661,GEADRESSEERDE!$A$2:$E$4,4,),"")</f>
        <v>ANTWERPEN</v>
      </c>
      <c r="AG1661" s="11" t="str">
        <f>IF($I1661&lt;&gt;"",VLOOKUP($AC1661,GEADRESSEERDE!$A$2:$E$4,5,),"")</f>
        <v>BE</v>
      </c>
      <c r="AH1661" s="11" t="str">
        <f>IF(I1661&lt;&gt;"",VLOOKUP(AP1661,KvB!$A$2:$B$3,2,FALSE),"")</f>
        <v>BE101000</v>
      </c>
      <c r="AI1661" s="11" t="s">
        <v>55</v>
      </c>
      <c r="AJ1661" s="11"/>
      <c r="AK1661" s="11"/>
      <c r="AL1661" s="11"/>
      <c r="AM1661" s="11"/>
      <c r="AN1661" s="11"/>
      <c r="AO1661" s="11"/>
      <c r="AP1661" s="2" t="s">
        <v>70</v>
      </c>
      <c r="AQ1661" s="11" t="str">
        <f>IF(I1661&lt;&gt;"",DATA!D1660,"")</f>
        <v>9026208000</v>
      </c>
    </row>
    <row r="1662" spans="1:43" ht="15.75" x14ac:dyDescent="0.25">
      <c r="A1662" s="11" t="s">
        <v>57</v>
      </c>
      <c r="B1662" s="11" t="s">
        <v>56</v>
      </c>
      <c r="C1662" s="22">
        <f t="shared" si="106"/>
        <v>25001620</v>
      </c>
      <c r="D1662" s="11" t="str">
        <f t="shared" si="107"/>
        <v>SKIIFM_AT</v>
      </c>
      <c r="E1662" s="11" t="str">
        <f>IF(I1662&lt;&gt;"",VLOOKUP(F1662,OPDRACHTGEVER!$A$2:$B$4,2,FALSE),"")</f>
        <v>SKIIFM_AT</v>
      </c>
      <c r="F1662" s="11" t="s">
        <v>58</v>
      </c>
      <c r="I1662" s="11" t="str">
        <f>IF(DATA!B1661&lt;&gt;"",DATA!B1661,"")</f>
        <v>MSDU8580712</v>
      </c>
      <c r="J1662" s="12">
        <v>0</v>
      </c>
      <c r="K1662" s="11" t="s">
        <v>53</v>
      </c>
      <c r="L1662" s="11" t="str">
        <f t="shared" si="108"/>
        <v>902610</v>
      </c>
      <c r="M1662" s="11" t="str">
        <f>IF(I1662&lt;&gt;"",DATA!E1661,"")</f>
        <v>REFRIGERANT SCALE</v>
      </c>
      <c r="N1662" s="12">
        <v>0</v>
      </c>
      <c r="O1662" s="11">
        <f>IF(I1662&lt;&gt;"",DATA!C1661,"")</f>
        <v>3.55</v>
      </c>
      <c r="P1662" s="2">
        <v>294094</v>
      </c>
      <c r="Q1662" s="2" t="s">
        <v>1304</v>
      </c>
      <c r="R1662" s="2" t="s">
        <v>1336</v>
      </c>
      <c r="S1662" s="2">
        <v>206</v>
      </c>
      <c r="T1662" s="2">
        <v>1</v>
      </c>
      <c r="U1662" s="2" t="s">
        <v>141</v>
      </c>
      <c r="Y1662" s="2">
        <v>1700</v>
      </c>
      <c r="Z1662" s="11" t="s">
        <v>54</v>
      </c>
      <c r="AA1662" s="11" t="str">
        <f t="shared" si="109"/>
        <v>1700 - TBN</v>
      </c>
      <c r="AC1662" s="2" t="s">
        <v>145</v>
      </c>
      <c r="AD1662" s="11" t="str">
        <f>IF($I1662&lt;&gt;"",VLOOKUP($AC1662,GEADRESSEERDE!$A$2:$E$4,2,),"")</f>
        <v>LUITHAGEN HAVEN 2 D</v>
      </c>
      <c r="AE1662" s="11">
        <f>IF($I1662&lt;&gt;"",VLOOKUP($AC1662,GEADRESSEERDE!$A$2:$E$4,3,),"")</f>
        <v>2030</v>
      </c>
      <c r="AF1662" s="11" t="str">
        <f>IF($I1662&lt;&gt;"",VLOOKUP($AC1662,GEADRESSEERDE!$A$2:$E$4,4,),"")</f>
        <v>ANTWERPEN</v>
      </c>
      <c r="AG1662" s="11" t="str">
        <f>IF($I1662&lt;&gt;"",VLOOKUP($AC1662,GEADRESSEERDE!$A$2:$E$4,5,),"")</f>
        <v>BE</v>
      </c>
      <c r="AH1662" s="11" t="str">
        <f>IF(I1662&lt;&gt;"",VLOOKUP(AP1662,KvB!$A$2:$B$3,2,FALSE),"")</f>
        <v>BE101000</v>
      </c>
      <c r="AI1662" s="11" t="s">
        <v>55</v>
      </c>
      <c r="AJ1662" s="11"/>
      <c r="AK1662" s="11"/>
      <c r="AL1662" s="11"/>
      <c r="AM1662" s="11"/>
      <c r="AN1662" s="11"/>
      <c r="AO1662" s="11"/>
      <c r="AP1662" s="2" t="s">
        <v>70</v>
      </c>
      <c r="AQ1662" s="11" t="str">
        <f>IF(I1662&lt;&gt;"",DATA!D1661,"")</f>
        <v>9026108900</v>
      </c>
    </row>
    <row r="1663" spans="1:43" ht="15.75" x14ac:dyDescent="0.25">
      <c r="A1663" s="11" t="s">
        <v>57</v>
      </c>
      <c r="B1663" s="11" t="s">
        <v>56</v>
      </c>
      <c r="C1663" s="22">
        <f t="shared" si="106"/>
        <v>25001620</v>
      </c>
      <c r="D1663" s="11" t="str">
        <f t="shared" si="107"/>
        <v>SKIIFM_AT</v>
      </c>
      <c r="E1663" s="11" t="str">
        <f>IF(I1663&lt;&gt;"",VLOOKUP(F1663,OPDRACHTGEVER!$A$2:$B$4,2,FALSE),"")</f>
        <v>SKIIFM_AT</v>
      </c>
      <c r="F1663" s="11" t="s">
        <v>58</v>
      </c>
      <c r="I1663" s="11" t="str">
        <f>IF(DATA!B1662&lt;&gt;"",DATA!B1662,"")</f>
        <v>MSDU8580712</v>
      </c>
      <c r="J1663" s="12">
        <v>0</v>
      </c>
      <c r="K1663" s="11" t="s">
        <v>53</v>
      </c>
      <c r="L1663" s="11" t="str">
        <f t="shared" si="108"/>
        <v>741920</v>
      </c>
      <c r="M1663" s="11" t="str">
        <f>IF(I1663&lt;&gt;"",DATA!E1662,"")</f>
        <v>RESTAURANT BRACKET</v>
      </c>
      <c r="N1663" s="12">
        <v>0</v>
      </c>
      <c r="O1663" s="11">
        <f>IF(I1663&lt;&gt;"",DATA!C1662,"")</f>
        <v>9.9499999999999993</v>
      </c>
      <c r="P1663" s="2">
        <v>294094</v>
      </c>
      <c r="Q1663" s="2" t="s">
        <v>1304</v>
      </c>
      <c r="R1663" s="2" t="s">
        <v>1336</v>
      </c>
      <c r="S1663" s="2">
        <v>206</v>
      </c>
      <c r="T1663" s="2">
        <v>1</v>
      </c>
      <c r="U1663" s="2" t="s">
        <v>141</v>
      </c>
      <c r="Y1663" s="2">
        <v>1700</v>
      </c>
      <c r="Z1663" s="11" t="s">
        <v>54</v>
      </c>
      <c r="AA1663" s="11" t="str">
        <f t="shared" si="109"/>
        <v>1700 - TBN</v>
      </c>
      <c r="AC1663" s="2" t="s">
        <v>145</v>
      </c>
      <c r="AD1663" s="11" t="str">
        <f>IF($I1663&lt;&gt;"",VLOOKUP($AC1663,GEADRESSEERDE!$A$2:$E$4,2,),"")</f>
        <v>LUITHAGEN HAVEN 2 D</v>
      </c>
      <c r="AE1663" s="11">
        <f>IF($I1663&lt;&gt;"",VLOOKUP($AC1663,GEADRESSEERDE!$A$2:$E$4,3,),"")</f>
        <v>2030</v>
      </c>
      <c r="AF1663" s="11" t="str">
        <f>IF($I1663&lt;&gt;"",VLOOKUP($AC1663,GEADRESSEERDE!$A$2:$E$4,4,),"")</f>
        <v>ANTWERPEN</v>
      </c>
      <c r="AG1663" s="11" t="str">
        <f>IF($I1663&lt;&gt;"",VLOOKUP($AC1663,GEADRESSEERDE!$A$2:$E$4,5,),"")</f>
        <v>BE</v>
      </c>
      <c r="AH1663" s="11" t="str">
        <f>IF(I1663&lt;&gt;"",VLOOKUP(AP1663,KvB!$A$2:$B$3,2,FALSE),"")</f>
        <v>BE101000</v>
      </c>
      <c r="AI1663" s="11" t="s">
        <v>55</v>
      </c>
      <c r="AJ1663" s="11"/>
      <c r="AK1663" s="11"/>
      <c r="AL1663" s="11"/>
      <c r="AM1663" s="11"/>
      <c r="AN1663" s="11"/>
      <c r="AO1663" s="11"/>
      <c r="AP1663" s="2" t="s">
        <v>70</v>
      </c>
      <c r="AQ1663" s="11" t="str">
        <f>IF(I1663&lt;&gt;"",DATA!D1662,"")</f>
        <v>7419200090</v>
      </c>
    </row>
    <row r="1664" spans="1:43" ht="15.75" x14ac:dyDescent="0.25">
      <c r="A1664" s="11" t="s">
        <v>57</v>
      </c>
      <c r="B1664" s="11" t="s">
        <v>56</v>
      </c>
      <c r="C1664" s="22">
        <f t="shared" si="106"/>
        <v>25001620</v>
      </c>
      <c r="D1664" s="11" t="str">
        <f t="shared" si="107"/>
        <v>SKIIFM_AT</v>
      </c>
      <c r="E1664" s="11" t="str">
        <f>IF(I1664&lt;&gt;"",VLOOKUP(F1664,OPDRACHTGEVER!$A$2:$B$4,2,FALSE),"")</f>
        <v>SKIIFM_AT</v>
      </c>
      <c r="F1664" s="11" t="s">
        <v>58</v>
      </c>
      <c r="I1664" s="11" t="str">
        <f>IF(DATA!B1663&lt;&gt;"",DATA!B1663,"")</f>
        <v>MSDU8580712</v>
      </c>
      <c r="J1664" s="12">
        <v>0</v>
      </c>
      <c r="K1664" s="11" t="s">
        <v>53</v>
      </c>
      <c r="L1664" s="11" t="str">
        <f t="shared" si="108"/>
        <v>392410</v>
      </c>
      <c r="M1664" s="11" t="str">
        <f>IF(I1664&lt;&gt;"",DATA!E1663,"")</f>
        <v>RICE BIN</v>
      </c>
      <c r="N1664" s="12">
        <v>0</v>
      </c>
      <c r="O1664" s="11">
        <f>IF(I1664&lt;&gt;"",DATA!C1663,"")</f>
        <v>25.6</v>
      </c>
      <c r="P1664" s="2">
        <v>294094</v>
      </c>
      <c r="Q1664" s="2" t="s">
        <v>1304</v>
      </c>
      <c r="R1664" s="2" t="s">
        <v>1336</v>
      </c>
      <c r="S1664" s="2">
        <v>206</v>
      </c>
      <c r="T1664" s="2">
        <v>1</v>
      </c>
      <c r="U1664" s="2" t="s">
        <v>141</v>
      </c>
      <c r="Y1664" s="2">
        <v>1700</v>
      </c>
      <c r="Z1664" s="11" t="s">
        <v>54</v>
      </c>
      <c r="AA1664" s="11" t="str">
        <f t="shared" si="109"/>
        <v>1700 - TBN</v>
      </c>
      <c r="AC1664" s="2" t="s">
        <v>145</v>
      </c>
      <c r="AD1664" s="11" t="str">
        <f>IF($I1664&lt;&gt;"",VLOOKUP($AC1664,GEADRESSEERDE!$A$2:$E$4,2,),"")</f>
        <v>LUITHAGEN HAVEN 2 D</v>
      </c>
      <c r="AE1664" s="11">
        <f>IF($I1664&lt;&gt;"",VLOOKUP($AC1664,GEADRESSEERDE!$A$2:$E$4,3,),"")</f>
        <v>2030</v>
      </c>
      <c r="AF1664" s="11" t="str">
        <f>IF($I1664&lt;&gt;"",VLOOKUP($AC1664,GEADRESSEERDE!$A$2:$E$4,4,),"")</f>
        <v>ANTWERPEN</v>
      </c>
      <c r="AG1664" s="11" t="str">
        <f>IF($I1664&lt;&gt;"",VLOOKUP($AC1664,GEADRESSEERDE!$A$2:$E$4,5,),"")</f>
        <v>BE</v>
      </c>
      <c r="AH1664" s="11" t="str">
        <f>IF(I1664&lt;&gt;"",VLOOKUP(AP1664,KvB!$A$2:$B$3,2,FALSE),"")</f>
        <v>BE101000</v>
      </c>
      <c r="AI1664" s="11" t="s">
        <v>55</v>
      </c>
      <c r="AJ1664" s="11"/>
      <c r="AK1664" s="11"/>
      <c r="AL1664" s="11"/>
      <c r="AM1664" s="11"/>
      <c r="AN1664" s="11"/>
      <c r="AO1664" s="11"/>
      <c r="AP1664" s="2" t="s">
        <v>70</v>
      </c>
      <c r="AQ1664" s="11" t="str">
        <f>IF(I1664&lt;&gt;"",DATA!D1663,"")</f>
        <v>3924100090</v>
      </c>
    </row>
    <row r="1665" spans="1:43" ht="15.75" x14ac:dyDescent="0.25">
      <c r="A1665" s="11" t="s">
        <v>57</v>
      </c>
      <c r="B1665" s="11" t="s">
        <v>56</v>
      </c>
      <c r="C1665" s="22">
        <f t="shared" si="106"/>
        <v>25001620</v>
      </c>
      <c r="D1665" s="11" t="str">
        <f t="shared" si="107"/>
        <v>SKIIFM_AT</v>
      </c>
      <c r="E1665" s="11" t="str">
        <f>IF(I1665&lt;&gt;"",VLOOKUP(F1665,OPDRACHTGEVER!$A$2:$B$4,2,FALSE),"")</f>
        <v>SKIIFM_AT</v>
      </c>
      <c r="F1665" s="11" t="s">
        <v>58</v>
      </c>
      <c r="I1665" s="11" t="str">
        <f>IF(DATA!B1664&lt;&gt;"",DATA!B1664,"")</f>
        <v>MSDU8580712</v>
      </c>
      <c r="J1665" s="12">
        <v>0</v>
      </c>
      <c r="K1665" s="11" t="s">
        <v>53</v>
      </c>
      <c r="L1665" s="11" t="str">
        <f t="shared" si="108"/>
        <v>830140</v>
      </c>
      <c r="M1665" s="11" t="str">
        <f>IF(I1665&lt;&gt;"",DATA!E1664,"")</f>
        <v>SAFETY LOCK SET</v>
      </c>
      <c r="N1665" s="12">
        <v>0</v>
      </c>
      <c r="O1665" s="11">
        <f>IF(I1665&lt;&gt;"",DATA!C1664,"")</f>
        <v>30.8</v>
      </c>
      <c r="P1665" s="2">
        <v>294094</v>
      </c>
      <c r="Q1665" s="2" t="s">
        <v>1304</v>
      </c>
      <c r="R1665" s="2" t="s">
        <v>1336</v>
      </c>
      <c r="S1665" s="2">
        <v>206</v>
      </c>
      <c r="T1665" s="2">
        <v>1</v>
      </c>
      <c r="U1665" s="2" t="s">
        <v>141</v>
      </c>
      <c r="Y1665" s="2">
        <v>1700</v>
      </c>
      <c r="Z1665" s="11" t="s">
        <v>54</v>
      </c>
      <c r="AA1665" s="11" t="str">
        <f t="shared" si="109"/>
        <v>1700 - TBN</v>
      </c>
      <c r="AC1665" s="2" t="s">
        <v>145</v>
      </c>
      <c r="AD1665" s="11" t="str">
        <f>IF($I1665&lt;&gt;"",VLOOKUP($AC1665,GEADRESSEERDE!$A$2:$E$4,2,),"")</f>
        <v>LUITHAGEN HAVEN 2 D</v>
      </c>
      <c r="AE1665" s="11">
        <f>IF($I1665&lt;&gt;"",VLOOKUP($AC1665,GEADRESSEERDE!$A$2:$E$4,3,),"")</f>
        <v>2030</v>
      </c>
      <c r="AF1665" s="11" t="str">
        <f>IF($I1665&lt;&gt;"",VLOOKUP($AC1665,GEADRESSEERDE!$A$2:$E$4,4,),"")</f>
        <v>ANTWERPEN</v>
      </c>
      <c r="AG1665" s="11" t="str">
        <f>IF($I1665&lt;&gt;"",VLOOKUP($AC1665,GEADRESSEERDE!$A$2:$E$4,5,),"")</f>
        <v>BE</v>
      </c>
      <c r="AH1665" s="11" t="str">
        <f>IF(I1665&lt;&gt;"",VLOOKUP(AP1665,KvB!$A$2:$B$3,2,FALSE),"")</f>
        <v>BE101000</v>
      </c>
      <c r="AI1665" s="11" t="s">
        <v>55</v>
      </c>
      <c r="AJ1665" s="11"/>
      <c r="AK1665" s="11"/>
      <c r="AL1665" s="11"/>
      <c r="AM1665" s="11"/>
      <c r="AN1665" s="11"/>
      <c r="AO1665" s="11"/>
      <c r="AP1665" s="2" t="s">
        <v>70</v>
      </c>
      <c r="AQ1665" s="11" t="str">
        <f>IF(I1665&lt;&gt;"",DATA!D1664,"")</f>
        <v>8301401900</v>
      </c>
    </row>
    <row r="1666" spans="1:43" ht="15.75" x14ac:dyDescent="0.25">
      <c r="A1666" s="11" t="s">
        <v>57</v>
      </c>
      <c r="B1666" s="11" t="s">
        <v>56</v>
      </c>
      <c r="C1666" s="22">
        <f t="shared" si="106"/>
        <v>25001620</v>
      </c>
      <c r="D1666" s="11" t="str">
        <f t="shared" si="107"/>
        <v>SKIIFM_AT</v>
      </c>
      <c r="E1666" s="11" t="str">
        <f>IF(I1666&lt;&gt;"",VLOOKUP(F1666,OPDRACHTGEVER!$A$2:$B$4,2,FALSE),"")</f>
        <v>SKIIFM_AT</v>
      </c>
      <c r="F1666" s="11" t="s">
        <v>58</v>
      </c>
      <c r="I1666" s="11" t="str">
        <f>IF(DATA!B1665&lt;&gt;"",DATA!B1665,"")</f>
        <v>MSDU8580712</v>
      </c>
      <c r="J1666" s="12">
        <v>0</v>
      </c>
      <c r="K1666" s="11" t="s">
        <v>53</v>
      </c>
      <c r="L1666" s="11" t="str">
        <f t="shared" si="108"/>
        <v>820540</v>
      </c>
      <c r="M1666" s="11" t="str">
        <f>IF(I1666&lt;&gt;"",DATA!E1665,"")</f>
        <v>SCREWDRIVER</v>
      </c>
      <c r="N1666" s="12">
        <v>0</v>
      </c>
      <c r="O1666" s="11">
        <f>IF(I1666&lt;&gt;"",DATA!C1665,"")</f>
        <v>0.25</v>
      </c>
      <c r="P1666" s="2">
        <v>294094</v>
      </c>
      <c r="Q1666" s="2" t="s">
        <v>1304</v>
      </c>
      <c r="R1666" s="2" t="s">
        <v>1336</v>
      </c>
      <c r="S1666" s="2">
        <v>206</v>
      </c>
      <c r="T1666" s="2">
        <v>1</v>
      </c>
      <c r="U1666" s="2" t="s">
        <v>141</v>
      </c>
      <c r="Y1666" s="2">
        <v>1700</v>
      </c>
      <c r="Z1666" s="11" t="s">
        <v>54</v>
      </c>
      <c r="AA1666" s="11" t="str">
        <f t="shared" si="109"/>
        <v>1700 - TBN</v>
      </c>
      <c r="AC1666" s="2" t="s">
        <v>145</v>
      </c>
      <c r="AD1666" s="11" t="str">
        <f>IF($I1666&lt;&gt;"",VLOOKUP($AC1666,GEADRESSEERDE!$A$2:$E$4,2,),"")</f>
        <v>LUITHAGEN HAVEN 2 D</v>
      </c>
      <c r="AE1666" s="11">
        <f>IF($I1666&lt;&gt;"",VLOOKUP($AC1666,GEADRESSEERDE!$A$2:$E$4,3,),"")</f>
        <v>2030</v>
      </c>
      <c r="AF1666" s="11" t="str">
        <f>IF($I1666&lt;&gt;"",VLOOKUP($AC1666,GEADRESSEERDE!$A$2:$E$4,4,),"")</f>
        <v>ANTWERPEN</v>
      </c>
      <c r="AG1666" s="11" t="str">
        <f>IF($I1666&lt;&gt;"",VLOOKUP($AC1666,GEADRESSEERDE!$A$2:$E$4,5,),"")</f>
        <v>BE</v>
      </c>
      <c r="AH1666" s="11" t="str">
        <f>IF(I1666&lt;&gt;"",VLOOKUP(AP1666,KvB!$A$2:$B$3,2,FALSE),"")</f>
        <v>BE101000</v>
      </c>
      <c r="AI1666" s="11" t="s">
        <v>55</v>
      </c>
      <c r="AJ1666" s="11"/>
      <c r="AK1666" s="11"/>
      <c r="AL1666" s="11"/>
      <c r="AM1666" s="11"/>
      <c r="AN1666" s="11"/>
      <c r="AO1666" s="11"/>
      <c r="AP1666" s="2" t="s">
        <v>70</v>
      </c>
      <c r="AQ1666" s="11" t="str">
        <f>IF(I1666&lt;&gt;"",DATA!D1665,"")</f>
        <v>8205400000</v>
      </c>
    </row>
    <row r="1667" spans="1:43" ht="15.75" x14ac:dyDescent="0.25">
      <c r="A1667" s="11" t="s">
        <v>57</v>
      </c>
      <c r="B1667" s="11" t="s">
        <v>56</v>
      </c>
      <c r="C1667" s="22">
        <f t="shared" si="106"/>
        <v>25001620</v>
      </c>
      <c r="D1667" s="11" t="str">
        <f t="shared" si="107"/>
        <v>SKIIFM_AT</v>
      </c>
      <c r="E1667" s="11" t="str">
        <f>IF(I1667&lt;&gt;"",VLOOKUP(F1667,OPDRACHTGEVER!$A$2:$B$4,2,FALSE),"")</f>
        <v>SKIIFM_AT</v>
      </c>
      <c r="F1667" s="11" t="s">
        <v>58</v>
      </c>
      <c r="I1667" s="11" t="str">
        <f>IF(DATA!B1666&lt;&gt;"",DATA!B1666,"")</f>
        <v>MSDU8580712</v>
      </c>
      <c r="J1667" s="12">
        <v>0</v>
      </c>
      <c r="K1667" s="11" t="s">
        <v>53</v>
      </c>
      <c r="L1667" s="11" t="str">
        <f t="shared" si="108"/>
        <v>871680</v>
      </c>
      <c r="M1667" s="11" t="str">
        <f>IF(I1667&lt;&gt;"",DATA!E1666,"")</f>
        <v>SHOPPING CART</v>
      </c>
      <c r="N1667" s="12">
        <v>0</v>
      </c>
      <c r="O1667" s="11">
        <f>IF(I1667&lt;&gt;"",DATA!C1666,"")</f>
        <v>54.2</v>
      </c>
      <c r="P1667" s="2">
        <v>294094</v>
      </c>
      <c r="Q1667" s="2" t="s">
        <v>1304</v>
      </c>
      <c r="R1667" s="2" t="s">
        <v>1336</v>
      </c>
      <c r="S1667" s="2">
        <v>206</v>
      </c>
      <c r="T1667" s="2">
        <v>1</v>
      </c>
      <c r="U1667" s="2" t="s">
        <v>141</v>
      </c>
      <c r="Y1667" s="2">
        <v>1700</v>
      </c>
      <c r="Z1667" s="11" t="s">
        <v>54</v>
      </c>
      <c r="AA1667" s="11" t="str">
        <f t="shared" si="109"/>
        <v>1700 - TBN</v>
      </c>
      <c r="AC1667" s="2" t="s">
        <v>145</v>
      </c>
      <c r="AD1667" s="11" t="str">
        <f>IF($I1667&lt;&gt;"",VLOOKUP($AC1667,GEADRESSEERDE!$A$2:$E$4,2,),"")</f>
        <v>LUITHAGEN HAVEN 2 D</v>
      </c>
      <c r="AE1667" s="11">
        <f>IF($I1667&lt;&gt;"",VLOOKUP($AC1667,GEADRESSEERDE!$A$2:$E$4,3,),"")</f>
        <v>2030</v>
      </c>
      <c r="AF1667" s="11" t="str">
        <f>IF($I1667&lt;&gt;"",VLOOKUP($AC1667,GEADRESSEERDE!$A$2:$E$4,4,),"")</f>
        <v>ANTWERPEN</v>
      </c>
      <c r="AG1667" s="11" t="str">
        <f>IF($I1667&lt;&gt;"",VLOOKUP($AC1667,GEADRESSEERDE!$A$2:$E$4,5,),"")</f>
        <v>BE</v>
      </c>
      <c r="AH1667" s="11" t="str">
        <f>IF(I1667&lt;&gt;"",VLOOKUP(AP1667,KvB!$A$2:$B$3,2,FALSE),"")</f>
        <v>BE101000</v>
      </c>
      <c r="AI1667" s="11" t="s">
        <v>55</v>
      </c>
      <c r="AJ1667" s="11"/>
      <c r="AK1667" s="11"/>
      <c r="AL1667" s="11"/>
      <c r="AM1667" s="11"/>
      <c r="AN1667" s="11"/>
      <c r="AO1667" s="11"/>
      <c r="AP1667" s="2" t="s">
        <v>70</v>
      </c>
      <c r="AQ1667" s="11" t="str">
        <f>IF(I1667&lt;&gt;"",DATA!D1666,"")</f>
        <v>8716800000</v>
      </c>
    </row>
    <row r="1668" spans="1:43" ht="15.75" x14ac:dyDescent="0.25">
      <c r="A1668" s="11" t="s">
        <v>57</v>
      </c>
      <c r="B1668" s="11" t="s">
        <v>56</v>
      </c>
      <c r="C1668" s="22">
        <f t="shared" si="106"/>
        <v>25001620</v>
      </c>
      <c r="D1668" s="11" t="str">
        <f t="shared" si="107"/>
        <v>SKIIFM_AT</v>
      </c>
      <c r="E1668" s="11" t="str">
        <f>IF(I1668&lt;&gt;"",VLOOKUP(F1668,OPDRACHTGEVER!$A$2:$B$4,2,FALSE),"")</f>
        <v>SKIIFM_AT</v>
      </c>
      <c r="F1668" s="11" t="s">
        <v>58</v>
      </c>
      <c r="I1668" s="11" t="str">
        <f>IF(DATA!B1667&lt;&gt;"",DATA!B1667,"")</f>
        <v>MSDU8580712</v>
      </c>
      <c r="J1668" s="12">
        <v>0</v>
      </c>
      <c r="K1668" s="11" t="s">
        <v>53</v>
      </c>
      <c r="L1668" s="11" t="str">
        <f t="shared" si="108"/>
        <v>940180</v>
      </c>
      <c r="M1668" s="11" t="str">
        <f>IF(I1668&lt;&gt;"",DATA!E1667,"")</f>
        <v>SHOWER SEATS</v>
      </c>
      <c r="N1668" s="12">
        <v>0</v>
      </c>
      <c r="O1668" s="11">
        <f>IF(I1668&lt;&gt;"",DATA!C1667,"")</f>
        <v>22</v>
      </c>
      <c r="P1668" s="2">
        <v>294094</v>
      </c>
      <c r="Q1668" s="2" t="s">
        <v>1304</v>
      </c>
      <c r="R1668" s="2" t="s">
        <v>1336</v>
      </c>
      <c r="S1668" s="2">
        <v>206</v>
      </c>
      <c r="T1668" s="2">
        <v>1</v>
      </c>
      <c r="U1668" s="2" t="s">
        <v>141</v>
      </c>
      <c r="Y1668" s="2">
        <v>1700</v>
      </c>
      <c r="Z1668" s="11" t="s">
        <v>54</v>
      </c>
      <c r="AA1668" s="11" t="str">
        <f t="shared" si="109"/>
        <v>1700 - TBN</v>
      </c>
      <c r="AC1668" s="2" t="s">
        <v>145</v>
      </c>
      <c r="AD1668" s="11" t="str">
        <f>IF($I1668&lt;&gt;"",VLOOKUP($AC1668,GEADRESSEERDE!$A$2:$E$4,2,),"")</f>
        <v>LUITHAGEN HAVEN 2 D</v>
      </c>
      <c r="AE1668" s="11">
        <f>IF($I1668&lt;&gt;"",VLOOKUP($AC1668,GEADRESSEERDE!$A$2:$E$4,3,),"")</f>
        <v>2030</v>
      </c>
      <c r="AF1668" s="11" t="str">
        <f>IF($I1668&lt;&gt;"",VLOOKUP($AC1668,GEADRESSEERDE!$A$2:$E$4,4,),"")</f>
        <v>ANTWERPEN</v>
      </c>
      <c r="AG1668" s="11" t="str">
        <f>IF($I1668&lt;&gt;"",VLOOKUP($AC1668,GEADRESSEERDE!$A$2:$E$4,5,),"")</f>
        <v>BE</v>
      </c>
      <c r="AH1668" s="11" t="str">
        <f>IF(I1668&lt;&gt;"",VLOOKUP(AP1668,KvB!$A$2:$B$3,2,FALSE),"")</f>
        <v>BE101000</v>
      </c>
      <c r="AI1668" s="11" t="s">
        <v>55</v>
      </c>
      <c r="AJ1668" s="11"/>
      <c r="AK1668" s="11"/>
      <c r="AL1668" s="11"/>
      <c r="AM1668" s="11"/>
      <c r="AN1668" s="11"/>
      <c r="AO1668" s="11"/>
      <c r="AP1668" s="2" t="s">
        <v>70</v>
      </c>
      <c r="AQ1668" s="11" t="str">
        <f>IF(I1668&lt;&gt;"",DATA!D1667,"")</f>
        <v>9401800000</v>
      </c>
    </row>
    <row r="1669" spans="1:43" ht="15.75" x14ac:dyDescent="0.25">
      <c r="A1669" s="11" t="s">
        <v>57</v>
      </c>
      <c r="B1669" s="11" t="s">
        <v>56</v>
      </c>
      <c r="C1669" s="22">
        <f t="shared" ref="C1669:C1732" si="110">C1668</f>
        <v>25001620</v>
      </c>
      <c r="D1669" s="11" t="str">
        <f t="shared" si="107"/>
        <v>SKIIFM_AT</v>
      </c>
      <c r="E1669" s="11" t="str">
        <f>IF(I1669&lt;&gt;"",VLOOKUP(F1669,OPDRACHTGEVER!$A$2:$B$4,2,FALSE),"")</f>
        <v>SKIIFM_AT</v>
      </c>
      <c r="F1669" s="11" t="s">
        <v>58</v>
      </c>
      <c r="I1669" s="11" t="str">
        <f>IF(DATA!B1668&lt;&gt;"",DATA!B1668,"")</f>
        <v>MSDU8580712</v>
      </c>
      <c r="J1669" s="12">
        <v>0</v>
      </c>
      <c r="K1669" s="11" t="s">
        <v>53</v>
      </c>
      <c r="L1669" s="11" t="str">
        <f t="shared" si="108"/>
        <v>830241</v>
      </c>
      <c r="M1669" s="11" t="str">
        <f>IF(I1669&lt;&gt;"",DATA!E1668,"")</f>
        <v>SLIDING DOORS HARDWARE</v>
      </c>
      <c r="N1669" s="12">
        <v>0</v>
      </c>
      <c r="O1669" s="11">
        <f>IF(I1669&lt;&gt;"",DATA!C1668,"")</f>
        <v>8.0500000000000007</v>
      </c>
      <c r="P1669" s="2">
        <v>294094</v>
      </c>
      <c r="Q1669" s="2" t="s">
        <v>1304</v>
      </c>
      <c r="R1669" s="2" t="s">
        <v>1336</v>
      </c>
      <c r="S1669" s="2">
        <v>206</v>
      </c>
      <c r="T1669" s="2">
        <v>1</v>
      </c>
      <c r="U1669" s="2" t="s">
        <v>141</v>
      </c>
      <c r="Y1669" s="2">
        <v>1700</v>
      </c>
      <c r="Z1669" s="11" t="s">
        <v>54</v>
      </c>
      <c r="AA1669" s="11" t="str">
        <f t="shared" si="109"/>
        <v>1700 - TBN</v>
      </c>
      <c r="AC1669" s="2" t="s">
        <v>145</v>
      </c>
      <c r="AD1669" s="11" t="str">
        <f>IF($I1669&lt;&gt;"",VLOOKUP($AC1669,GEADRESSEERDE!$A$2:$E$4,2,),"")</f>
        <v>LUITHAGEN HAVEN 2 D</v>
      </c>
      <c r="AE1669" s="11">
        <f>IF($I1669&lt;&gt;"",VLOOKUP($AC1669,GEADRESSEERDE!$A$2:$E$4,3,),"")</f>
        <v>2030</v>
      </c>
      <c r="AF1669" s="11" t="str">
        <f>IF($I1669&lt;&gt;"",VLOOKUP($AC1669,GEADRESSEERDE!$A$2:$E$4,4,),"")</f>
        <v>ANTWERPEN</v>
      </c>
      <c r="AG1669" s="11" t="str">
        <f>IF($I1669&lt;&gt;"",VLOOKUP($AC1669,GEADRESSEERDE!$A$2:$E$4,5,),"")</f>
        <v>BE</v>
      </c>
      <c r="AH1669" s="11" t="str">
        <f>IF(I1669&lt;&gt;"",VLOOKUP(AP1669,KvB!$A$2:$B$3,2,FALSE),"")</f>
        <v>BE101000</v>
      </c>
      <c r="AI1669" s="11" t="s">
        <v>55</v>
      </c>
      <c r="AJ1669" s="11"/>
      <c r="AK1669" s="11"/>
      <c r="AL1669" s="11"/>
      <c r="AM1669" s="11"/>
      <c r="AN1669" s="11"/>
      <c r="AO1669" s="11"/>
      <c r="AP1669" s="2" t="s">
        <v>70</v>
      </c>
      <c r="AQ1669" s="11" t="str">
        <f>IF(I1669&lt;&gt;"",DATA!D1668,"")</f>
        <v>8302419000</v>
      </c>
    </row>
    <row r="1670" spans="1:43" ht="15.75" x14ac:dyDescent="0.25">
      <c r="A1670" s="11" t="s">
        <v>57</v>
      </c>
      <c r="B1670" s="11" t="s">
        <v>56</v>
      </c>
      <c r="C1670" s="22">
        <f t="shared" si="110"/>
        <v>25001620</v>
      </c>
      <c r="D1670" s="11" t="str">
        <f t="shared" si="107"/>
        <v>SKIIFM_AT</v>
      </c>
      <c r="E1670" s="11" t="str">
        <f>IF(I1670&lt;&gt;"",VLOOKUP(F1670,OPDRACHTGEVER!$A$2:$B$4,2,FALSE),"")</f>
        <v>SKIIFM_AT</v>
      </c>
      <c r="F1670" s="11" t="s">
        <v>58</v>
      </c>
      <c r="I1670" s="11" t="str">
        <f>IF(DATA!B1669&lt;&gt;"",DATA!B1669,"")</f>
        <v>MSDU8580712</v>
      </c>
      <c r="J1670" s="12">
        <v>0</v>
      </c>
      <c r="K1670" s="11" t="s">
        <v>53</v>
      </c>
      <c r="L1670" s="11" t="str">
        <f t="shared" si="108"/>
        <v>841869</v>
      </c>
      <c r="M1670" s="11" t="str">
        <f>IF(I1670&lt;&gt;"",DATA!E1669,"")</f>
        <v>SNOW MELT MACHINE</v>
      </c>
      <c r="N1670" s="12">
        <v>0</v>
      </c>
      <c r="O1670" s="11">
        <f>IF(I1670&lt;&gt;"",DATA!C1669,"")</f>
        <v>498.75</v>
      </c>
      <c r="P1670" s="2">
        <v>294094</v>
      </c>
      <c r="Q1670" s="2" t="s">
        <v>1304</v>
      </c>
      <c r="R1670" s="2" t="s">
        <v>1336</v>
      </c>
      <c r="S1670" s="2">
        <v>206</v>
      </c>
      <c r="T1670" s="2">
        <v>1</v>
      </c>
      <c r="U1670" s="2" t="s">
        <v>141</v>
      </c>
      <c r="Y1670" s="2">
        <v>1700</v>
      </c>
      <c r="Z1670" s="11" t="s">
        <v>54</v>
      </c>
      <c r="AA1670" s="11" t="str">
        <f t="shared" si="109"/>
        <v>1700 - TBN</v>
      </c>
      <c r="AC1670" s="2" t="s">
        <v>145</v>
      </c>
      <c r="AD1670" s="11" t="str">
        <f>IF($I1670&lt;&gt;"",VLOOKUP($AC1670,GEADRESSEERDE!$A$2:$E$4,2,),"")</f>
        <v>LUITHAGEN HAVEN 2 D</v>
      </c>
      <c r="AE1670" s="11">
        <f>IF($I1670&lt;&gt;"",VLOOKUP($AC1670,GEADRESSEERDE!$A$2:$E$4,3,),"")</f>
        <v>2030</v>
      </c>
      <c r="AF1670" s="11" t="str">
        <f>IF($I1670&lt;&gt;"",VLOOKUP($AC1670,GEADRESSEERDE!$A$2:$E$4,4,),"")</f>
        <v>ANTWERPEN</v>
      </c>
      <c r="AG1670" s="11" t="str">
        <f>IF($I1670&lt;&gt;"",VLOOKUP($AC1670,GEADRESSEERDE!$A$2:$E$4,5,),"")</f>
        <v>BE</v>
      </c>
      <c r="AH1670" s="11" t="str">
        <f>IF(I1670&lt;&gt;"",VLOOKUP(AP1670,KvB!$A$2:$B$3,2,FALSE),"")</f>
        <v>BE101000</v>
      </c>
      <c r="AI1670" s="11" t="s">
        <v>55</v>
      </c>
      <c r="AJ1670" s="11"/>
      <c r="AK1670" s="11"/>
      <c r="AL1670" s="11"/>
      <c r="AM1670" s="11"/>
      <c r="AN1670" s="11"/>
      <c r="AO1670" s="11"/>
      <c r="AP1670" s="2" t="s">
        <v>70</v>
      </c>
      <c r="AQ1670" s="11" t="str">
        <f>IF(I1670&lt;&gt;"",DATA!D1669,"")</f>
        <v>8418690099</v>
      </c>
    </row>
    <row r="1671" spans="1:43" ht="15.75" x14ac:dyDescent="0.25">
      <c r="A1671" s="11" t="s">
        <v>57</v>
      </c>
      <c r="B1671" s="11" t="s">
        <v>56</v>
      </c>
      <c r="C1671" s="22">
        <f t="shared" si="110"/>
        <v>25001620</v>
      </c>
      <c r="D1671" s="11" t="str">
        <f t="shared" si="107"/>
        <v>SKIIFM_AT</v>
      </c>
      <c r="E1671" s="11" t="str">
        <f>IF(I1671&lt;&gt;"",VLOOKUP(F1671,OPDRACHTGEVER!$A$2:$B$4,2,FALSE),"")</f>
        <v>SKIIFM_AT</v>
      </c>
      <c r="F1671" s="11" t="s">
        <v>58</v>
      </c>
      <c r="I1671" s="11" t="str">
        <f>IF(DATA!B1670&lt;&gt;"",DATA!B1670,"")</f>
        <v>MSDU8580712</v>
      </c>
      <c r="J1671" s="12">
        <v>0</v>
      </c>
      <c r="K1671" s="11" t="s">
        <v>53</v>
      </c>
      <c r="L1671" s="11" t="str">
        <f t="shared" si="108"/>
        <v>741920</v>
      </c>
      <c r="M1671" s="11" t="str">
        <f>IF(I1671&lt;&gt;"",DATA!E1670,"")</f>
        <v>SINK</v>
      </c>
      <c r="N1671" s="12">
        <v>0</v>
      </c>
      <c r="O1671" s="11">
        <f>IF(I1671&lt;&gt;"",DATA!C1670,"")</f>
        <v>26</v>
      </c>
      <c r="P1671" s="2">
        <v>294094</v>
      </c>
      <c r="Q1671" s="2" t="s">
        <v>1304</v>
      </c>
      <c r="R1671" s="2" t="s">
        <v>1336</v>
      </c>
      <c r="S1671" s="2">
        <v>206</v>
      </c>
      <c r="T1671" s="2">
        <v>1</v>
      </c>
      <c r="U1671" s="2" t="s">
        <v>141</v>
      </c>
      <c r="Y1671" s="2">
        <v>1700</v>
      </c>
      <c r="Z1671" s="11" t="s">
        <v>54</v>
      </c>
      <c r="AA1671" s="11" t="str">
        <f t="shared" si="109"/>
        <v>1700 - TBN</v>
      </c>
      <c r="AC1671" s="2" t="s">
        <v>145</v>
      </c>
      <c r="AD1671" s="11" t="str">
        <f>IF($I1671&lt;&gt;"",VLOOKUP($AC1671,GEADRESSEERDE!$A$2:$E$4,2,),"")</f>
        <v>LUITHAGEN HAVEN 2 D</v>
      </c>
      <c r="AE1671" s="11">
        <f>IF($I1671&lt;&gt;"",VLOOKUP($AC1671,GEADRESSEERDE!$A$2:$E$4,3,),"")</f>
        <v>2030</v>
      </c>
      <c r="AF1671" s="11" t="str">
        <f>IF($I1671&lt;&gt;"",VLOOKUP($AC1671,GEADRESSEERDE!$A$2:$E$4,4,),"")</f>
        <v>ANTWERPEN</v>
      </c>
      <c r="AG1671" s="11" t="str">
        <f>IF($I1671&lt;&gt;"",VLOOKUP($AC1671,GEADRESSEERDE!$A$2:$E$4,5,),"")</f>
        <v>BE</v>
      </c>
      <c r="AH1671" s="11" t="str">
        <f>IF(I1671&lt;&gt;"",VLOOKUP(AP1671,KvB!$A$2:$B$3,2,FALSE),"")</f>
        <v>BE101000</v>
      </c>
      <c r="AI1671" s="11" t="s">
        <v>55</v>
      </c>
      <c r="AJ1671" s="11"/>
      <c r="AK1671" s="11"/>
      <c r="AL1671" s="11"/>
      <c r="AM1671" s="11"/>
      <c r="AN1671" s="11"/>
      <c r="AO1671" s="11"/>
      <c r="AP1671" s="2" t="s">
        <v>70</v>
      </c>
      <c r="AQ1671" s="11" t="str">
        <f>IF(I1671&lt;&gt;"",DATA!D1670,"")</f>
        <v>7419200090</v>
      </c>
    </row>
    <row r="1672" spans="1:43" ht="15.75" x14ac:dyDescent="0.25">
      <c r="A1672" s="11" t="s">
        <v>57</v>
      </c>
      <c r="B1672" s="11" t="s">
        <v>56</v>
      </c>
      <c r="C1672" s="22">
        <f t="shared" si="110"/>
        <v>25001620</v>
      </c>
      <c r="D1672" s="11" t="str">
        <f t="shared" si="107"/>
        <v>SKIIFM_AT</v>
      </c>
      <c r="E1672" s="11" t="str">
        <f>IF(I1672&lt;&gt;"",VLOOKUP(F1672,OPDRACHTGEVER!$A$2:$B$4,2,FALSE),"")</f>
        <v>SKIIFM_AT</v>
      </c>
      <c r="F1672" s="11" t="s">
        <v>58</v>
      </c>
      <c r="I1672" s="11" t="str">
        <f>IF(DATA!B1671&lt;&gt;"",DATA!B1671,"")</f>
        <v>MSDU8580712</v>
      </c>
      <c r="J1672" s="12">
        <v>0</v>
      </c>
      <c r="K1672" s="11" t="s">
        <v>53</v>
      </c>
      <c r="L1672" s="11" t="str">
        <f t="shared" si="108"/>
        <v>950691</v>
      </c>
      <c r="M1672" s="11" t="str">
        <f>IF(I1672&lt;&gt;"",DATA!E1671,"")</f>
        <v>STEPPING STONES-BIONIC</v>
      </c>
      <c r="N1672" s="12">
        <v>0</v>
      </c>
      <c r="O1672" s="11">
        <f>IF(I1672&lt;&gt;"",DATA!C1671,"")</f>
        <v>2.15</v>
      </c>
      <c r="P1672" s="2">
        <v>294094</v>
      </c>
      <c r="Q1672" s="2" t="s">
        <v>1304</v>
      </c>
      <c r="R1672" s="2" t="s">
        <v>1336</v>
      </c>
      <c r="S1672" s="2">
        <v>206</v>
      </c>
      <c r="T1672" s="2">
        <v>1</v>
      </c>
      <c r="U1672" s="2" t="s">
        <v>141</v>
      </c>
      <c r="Y1672" s="2">
        <v>1700</v>
      </c>
      <c r="Z1672" s="11" t="s">
        <v>54</v>
      </c>
      <c r="AA1672" s="11" t="str">
        <f t="shared" si="109"/>
        <v>1700 - TBN</v>
      </c>
      <c r="AC1672" s="2" t="s">
        <v>145</v>
      </c>
      <c r="AD1672" s="11" t="str">
        <f>IF($I1672&lt;&gt;"",VLOOKUP($AC1672,GEADRESSEERDE!$A$2:$E$4,2,),"")</f>
        <v>LUITHAGEN HAVEN 2 D</v>
      </c>
      <c r="AE1672" s="11">
        <f>IF($I1672&lt;&gt;"",VLOOKUP($AC1672,GEADRESSEERDE!$A$2:$E$4,3,),"")</f>
        <v>2030</v>
      </c>
      <c r="AF1672" s="11" t="str">
        <f>IF($I1672&lt;&gt;"",VLOOKUP($AC1672,GEADRESSEERDE!$A$2:$E$4,4,),"")</f>
        <v>ANTWERPEN</v>
      </c>
      <c r="AG1672" s="11" t="str">
        <f>IF($I1672&lt;&gt;"",VLOOKUP($AC1672,GEADRESSEERDE!$A$2:$E$4,5,),"")</f>
        <v>BE</v>
      </c>
      <c r="AH1672" s="11" t="str">
        <f>IF(I1672&lt;&gt;"",VLOOKUP(AP1672,KvB!$A$2:$B$3,2,FALSE),"")</f>
        <v>BE101000</v>
      </c>
      <c r="AI1672" s="11" t="s">
        <v>55</v>
      </c>
      <c r="AJ1672" s="11"/>
      <c r="AK1672" s="11"/>
      <c r="AL1672" s="11"/>
      <c r="AM1672" s="11"/>
      <c r="AN1672" s="11"/>
      <c r="AO1672" s="11"/>
      <c r="AP1672" s="2" t="s">
        <v>70</v>
      </c>
      <c r="AQ1672" s="11" t="str">
        <f>IF(I1672&lt;&gt;"",DATA!D1671,"")</f>
        <v>9506919000</v>
      </c>
    </row>
    <row r="1673" spans="1:43" ht="15.75" x14ac:dyDescent="0.25">
      <c r="A1673" s="11" t="s">
        <v>57</v>
      </c>
      <c r="B1673" s="11" t="s">
        <v>56</v>
      </c>
      <c r="C1673" s="22">
        <f t="shared" si="110"/>
        <v>25001620</v>
      </c>
      <c r="D1673" s="11" t="str">
        <f t="shared" si="107"/>
        <v>SKIIFM_AT</v>
      </c>
      <c r="E1673" s="11" t="str">
        <f>IF(I1673&lt;&gt;"",VLOOKUP(F1673,OPDRACHTGEVER!$A$2:$B$4,2,FALSE),"")</f>
        <v>SKIIFM_AT</v>
      </c>
      <c r="F1673" s="11" t="s">
        <v>58</v>
      </c>
      <c r="I1673" s="11" t="str">
        <f>IF(DATA!B1672&lt;&gt;"",DATA!B1672,"")</f>
        <v>MSDU8580712</v>
      </c>
      <c r="J1673" s="12">
        <v>0</v>
      </c>
      <c r="K1673" s="11" t="s">
        <v>53</v>
      </c>
      <c r="L1673" s="11" t="str">
        <f t="shared" si="108"/>
        <v>741920</v>
      </c>
      <c r="M1673" s="11" t="str">
        <f>IF(I1673&lt;&gt;"",DATA!E1672,"")</f>
        <v>STORAGE RACK</v>
      </c>
      <c r="N1673" s="12">
        <v>0</v>
      </c>
      <c r="O1673" s="11">
        <f>IF(I1673&lt;&gt;"",DATA!C1672,"")</f>
        <v>5.0999999999999996</v>
      </c>
      <c r="P1673" s="2">
        <v>294094</v>
      </c>
      <c r="Q1673" s="2" t="s">
        <v>1304</v>
      </c>
      <c r="R1673" s="2" t="s">
        <v>1336</v>
      </c>
      <c r="S1673" s="2">
        <v>206</v>
      </c>
      <c r="T1673" s="2">
        <v>1</v>
      </c>
      <c r="U1673" s="2" t="s">
        <v>141</v>
      </c>
      <c r="Y1673" s="2">
        <v>1700</v>
      </c>
      <c r="Z1673" s="11" t="s">
        <v>54</v>
      </c>
      <c r="AA1673" s="11" t="str">
        <f t="shared" si="109"/>
        <v>1700 - TBN</v>
      </c>
      <c r="AC1673" s="2" t="s">
        <v>145</v>
      </c>
      <c r="AD1673" s="11" t="str">
        <f>IF($I1673&lt;&gt;"",VLOOKUP($AC1673,GEADRESSEERDE!$A$2:$E$4,2,),"")</f>
        <v>LUITHAGEN HAVEN 2 D</v>
      </c>
      <c r="AE1673" s="11">
        <f>IF($I1673&lt;&gt;"",VLOOKUP($AC1673,GEADRESSEERDE!$A$2:$E$4,3,),"")</f>
        <v>2030</v>
      </c>
      <c r="AF1673" s="11" t="str">
        <f>IF($I1673&lt;&gt;"",VLOOKUP($AC1673,GEADRESSEERDE!$A$2:$E$4,4,),"")</f>
        <v>ANTWERPEN</v>
      </c>
      <c r="AG1673" s="11" t="str">
        <f>IF($I1673&lt;&gt;"",VLOOKUP($AC1673,GEADRESSEERDE!$A$2:$E$4,5,),"")</f>
        <v>BE</v>
      </c>
      <c r="AH1673" s="11" t="str">
        <f>IF(I1673&lt;&gt;"",VLOOKUP(AP1673,KvB!$A$2:$B$3,2,FALSE),"")</f>
        <v>BE101000</v>
      </c>
      <c r="AI1673" s="11" t="s">
        <v>55</v>
      </c>
      <c r="AJ1673" s="11"/>
      <c r="AK1673" s="11"/>
      <c r="AL1673" s="11"/>
      <c r="AM1673" s="11"/>
      <c r="AN1673" s="11"/>
      <c r="AO1673" s="11"/>
      <c r="AP1673" s="2" t="s">
        <v>70</v>
      </c>
      <c r="AQ1673" s="11" t="str">
        <f>IF(I1673&lt;&gt;"",DATA!D1672,"")</f>
        <v>7419200090</v>
      </c>
    </row>
    <row r="1674" spans="1:43" ht="15.75" x14ac:dyDescent="0.25">
      <c r="A1674" s="11" t="s">
        <v>57</v>
      </c>
      <c r="B1674" s="11" t="s">
        <v>56</v>
      </c>
      <c r="C1674" s="22">
        <f t="shared" si="110"/>
        <v>25001620</v>
      </c>
      <c r="D1674" s="11" t="str">
        <f t="shared" si="107"/>
        <v>SKIIFM_AT</v>
      </c>
      <c r="E1674" s="11" t="str">
        <f>IF(I1674&lt;&gt;"",VLOOKUP(F1674,OPDRACHTGEVER!$A$2:$B$4,2,FALSE),"")</f>
        <v>SKIIFM_AT</v>
      </c>
      <c r="F1674" s="11" t="s">
        <v>58</v>
      </c>
      <c r="I1674" s="11" t="str">
        <f>IF(DATA!B1673&lt;&gt;"",DATA!B1673,"")</f>
        <v>MSDU8580712</v>
      </c>
      <c r="J1674" s="12">
        <v>0</v>
      </c>
      <c r="K1674" s="11" t="s">
        <v>53</v>
      </c>
      <c r="L1674" s="11" t="str">
        <f t="shared" si="108"/>
        <v>841370</v>
      </c>
      <c r="M1674" s="11" t="str">
        <f>IF(I1674&lt;&gt;"",DATA!E1673,"")</f>
        <v>SUBMERSIBLE PUMP</v>
      </c>
      <c r="N1674" s="12">
        <v>0</v>
      </c>
      <c r="O1674" s="11">
        <f>IF(I1674&lt;&gt;"",DATA!C1673,"")</f>
        <v>92.2</v>
      </c>
      <c r="P1674" s="2">
        <v>294094</v>
      </c>
      <c r="Q1674" s="2" t="s">
        <v>1304</v>
      </c>
      <c r="R1674" s="2" t="s">
        <v>1336</v>
      </c>
      <c r="S1674" s="2">
        <v>206</v>
      </c>
      <c r="T1674" s="2">
        <v>1</v>
      </c>
      <c r="U1674" s="2" t="s">
        <v>141</v>
      </c>
      <c r="Y1674" s="2">
        <v>1700</v>
      </c>
      <c r="Z1674" s="11" t="s">
        <v>54</v>
      </c>
      <c r="AA1674" s="11" t="str">
        <f t="shared" si="109"/>
        <v>1700 - TBN</v>
      </c>
      <c r="AC1674" s="2" t="s">
        <v>145</v>
      </c>
      <c r="AD1674" s="11" t="str">
        <f>IF($I1674&lt;&gt;"",VLOOKUP($AC1674,GEADRESSEERDE!$A$2:$E$4,2,),"")</f>
        <v>LUITHAGEN HAVEN 2 D</v>
      </c>
      <c r="AE1674" s="11">
        <f>IF($I1674&lt;&gt;"",VLOOKUP($AC1674,GEADRESSEERDE!$A$2:$E$4,3,),"")</f>
        <v>2030</v>
      </c>
      <c r="AF1674" s="11" t="str">
        <f>IF($I1674&lt;&gt;"",VLOOKUP($AC1674,GEADRESSEERDE!$A$2:$E$4,4,),"")</f>
        <v>ANTWERPEN</v>
      </c>
      <c r="AG1674" s="11" t="str">
        <f>IF($I1674&lt;&gt;"",VLOOKUP($AC1674,GEADRESSEERDE!$A$2:$E$4,5,),"")</f>
        <v>BE</v>
      </c>
      <c r="AH1674" s="11" t="str">
        <f>IF(I1674&lt;&gt;"",VLOOKUP(AP1674,KvB!$A$2:$B$3,2,FALSE),"")</f>
        <v>BE101000</v>
      </c>
      <c r="AI1674" s="11" t="s">
        <v>55</v>
      </c>
      <c r="AJ1674" s="11"/>
      <c r="AK1674" s="11"/>
      <c r="AL1674" s="11"/>
      <c r="AM1674" s="11"/>
      <c r="AN1674" s="11"/>
      <c r="AO1674" s="11"/>
      <c r="AP1674" s="2" t="s">
        <v>70</v>
      </c>
      <c r="AQ1674" s="11" t="str">
        <f>IF(I1674&lt;&gt;"",DATA!D1673,"")</f>
        <v>8413708990</v>
      </c>
    </row>
    <row r="1675" spans="1:43" ht="15.75" x14ac:dyDescent="0.25">
      <c r="A1675" s="11" t="s">
        <v>57</v>
      </c>
      <c r="B1675" s="11" t="s">
        <v>56</v>
      </c>
      <c r="C1675" s="22">
        <f t="shared" si="110"/>
        <v>25001620</v>
      </c>
      <c r="D1675" s="11" t="str">
        <f t="shared" si="107"/>
        <v>SKIIFM_AT</v>
      </c>
      <c r="E1675" s="11" t="str">
        <f>IF(I1675&lt;&gt;"",VLOOKUP(F1675,OPDRACHTGEVER!$A$2:$B$4,2,FALSE),"")</f>
        <v>SKIIFM_AT</v>
      </c>
      <c r="F1675" s="11" t="s">
        <v>58</v>
      </c>
      <c r="I1675" s="11" t="str">
        <f>IF(DATA!B1674&lt;&gt;"",DATA!B1674,"")</f>
        <v>MSDU8580712</v>
      </c>
      <c r="J1675" s="12">
        <v>0</v>
      </c>
      <c r="K1675" s="11" t="s">
        <v>53</v>
      </c>
      <c r="L1675" s="11" t="str">
        <f t="shared" si="108"/>
        <v>741920</v>
      </c>
      <c r="M1675" s="11" t="str">
        <f>IF(I1675&lt;&gt;"",DATA!E1674,"")</f>
        <v>TELESCOPIC LADDER</v>
      </c>
      <c r="N1675" s="12">
        <v>0</v>
      </c>
      <c r="O1675" s="11">
        <f>IF(I1675&lt;&gt;"",DATA!C1674,"")</f>
        <v>249.2</v>
      </c>
      <c r="P1675" s="2">
        <v>294094</v>
      </c>
      <c r="Q1675" s="2" t="s">
        <v>1304</v>
      </c>
      <c r="R1675" s="2" t="s">
        <v>1336</v>
      </c>
      <c r="S1675" s="2">
        <v>206</v>
      </c>
      <c r="T1675" s="2">
        <v>1</v>
      </c>
      <c r="U1675" s="2" t="s">
        <v>141</v>
      </c>
      <c r="Y1675" s="2">
        <v>1700</v>
      </c>
      <c r="Z1675" s="11" t="s">
        <v>54</v>
      </c>
      <c r="AA1675" s="11" t="str">
        <f t="shared" si="109"/>
        <v>1700 - TBN</v>
      </c>
      <c r="AC1675" s="2" t="s">
        <v>145</v>
      </c>
      <c r="AD1675" s="11" t="str">
        <f>IF($I1675&lt;&gt;"",VLOOKUP($AC1675,GEADRESSEERDE!$A$2:$E$4,2,),"")</f>
        <v>LUITHAGEN HAVEN 2 D</v>
      </c>
      <c r="AE1675" s="11">
        <f>IF($I1675&lt;&gt;"",VLOOKUP($AC1675,GEADRESSEERDE!$A$2:$E$4,3,),"")</f>
        <v>2030</v>
      </c>
      <c r="AF1675" s="11" t="str">
        <f>IF($I1675&lt;&gt;"",VLOOKUP($AC1675,GEADRESSEERDE!$A$2:$E$4,4,),"")</f>
        <v>ANTWERPEN</v>
      </c>
      <c r="AG1675" s="11" t="str">
        <f>IF($I1675&lt;&gt;"",VLOOKUP($AC1675,GEADRESSEERDE!$A$2:$E$4,5,),"")</f>
        <v>BE</v>
      </c>
      <c r="AH1675" s="11" t="str">
        <f>IF(I1675&lt;&gt;"",VLOOKUP(AP1675,KvB!$A$2:$B$3,2,FALSE),"")</f>
        <v>BE101000</v>
      </c>
      <c r="AI1675" s="11" t="s">
        <v>55</v>
      </c>
      <c r="AJ1675" s="11"/>
      <c r="AK1675" s="11"/>
      <c r="AL1675" s="11"/>
      <c r="AM1675" s="11"/>
      <c r="AN1675" s="11"/>
      <c r="AO1675" s="11"/>
      <c r="AP1675" s="2" t="s">
        <v>70</v>
      </c>
      <c r="AQ1675" s="11" t="str">
        <f>IF(I1675&lt;&gt;"",DATA!D1674,"")</f>
        <v>7419200090</v>
      </c>
    </row>
    <row r="1676" spans="1:43" ht="15.75" x14ac:dyDescent="0.25">
      <c r="A1676" s="11" t="s">
        <v>57</v>
      </c>
      <c r="B1676" s="11" t="s">
        <v>56</v>
      </c>
      <c r="C1676" s="22">
        <f t="shared" si="110"/>
        <v>25001620</v>
      </c>
      <c r="D1676" s="11" t="str">
        <f t="shared" si="107"/>
        <v>SKIIFM_AT</v>
      </c>
      <c r="E1676" s="11" t="str">
        <f>IF(I1676&lt;&gt;"",VLOOKUP(F1676,OPDRACHTGEVER!$A$2:$B$4,2,FALSE),"")</f>
        <v>SKIIFM_AT</v>
      </c>
      <c r="F1676" s="11" t="s">
        <v>58</v>
      </c>
      <c r="I1676" s="11" t="str">
        <f>IF(DATA!B1675&lt;&gt;"",DATA!B1675,"")</f>
        <v>MSDU8580712</v>
      </c>
      <c r="J1676" s="12">
        <v>0</v>
      </c>
      <c r="K1676" s="11" t="s">
        <v>53</v>
      </c>
      <c r="L1676" s="11" t="str">
        <f t="shared" si="108"/>
        <v>843860</v>
      </c>
      <c r="M1676" s="11" t="str">
        <f>IF(I1676&lt;&gt;"",DATA!E1675,"")</f>
        <v>TOMATO SLICER</v>
      </c>
      <c r="N1676" s="12">
        <v>0</v>
      </c>
      <c r="O1676" s="11">
        <f>IF(I1676&lt;&gt;"",DATA!C1675,"")</f>
        <v>3.7</v>
      </c>
      <c r="P1676" s="2">
        <v>294094</v>
      </c>
      <c r="Q1676" s="2" t="s">
        <v>1304</v>
      </c>
      <c r="R1676" s="2" t="s">
        <v>1336</v>
      </c>
      <c r="S1676" s="2">
        <v>206</v>
      </c>
      <c r="T1676" s="2">
        <v>1</v>
      </c>
      <c r="U1676" s="2" t="s">
        <v>141</v>
      </c>
      <c r="Y1676" s="2">
        <v>1700</v>
      </c>
      <c r="Z1676" s="11" t="s">
        <v>54</v>
      </c>
      <c r="AA1676" s="11" t="str">
        <f t="shared" si="109"/>
        <v>1700 - TBN</v>
      </c>
      <c r="AC1676" s="2" t="s">
        <v>145</v>
      </c>
      <c r="AD1676" s="11" t="str">
        <f>IF($I1676&lt;&gt;"",VLOOKUP($AC1676,GEADRESSEERDE!$A$2:$E$4,2,),"")</f>
        <v>LUITHAGEN HAVEN 2 D</v>
      </c>
      <c r="AE1676" s="11">
        <f>IF($I1676&lt;&gt;"",VLOOKUP($AC1676,GEADRESSEERDE!$A$2:$E$4,3,),"")</f>
        <v>2030</v>
      </c>
      <c r="AF1676" s="11" t="str">
        <f>IF($I1676&lt;&gt;"",VLOOKUP($AC1676,GEADRESSEERDE!$A$2:$E$4,4,),"")</f>
        <v>ANTWERPEN</v>
      </c>
      <c r="AG1676" s="11" t="str">
        <f>IF($I1676&lt;&gt;"",VLOOKUP($AC1676,GEADRESSEERDE!$A$2:$E$4,5,),"")</f>
        <v>BE</v>
      </c>
      <c r="AH1676" s="11" t="str">
        <f>IF(I1676&lt;&gt;"",VLOOKUP(AP1676,KvB!$A$2:$B$3,2,FALSE),"")</f>
        <v>BE101000</v>
      </c>
      <c r="AI1676" s="11" t="s">
        <v>55</v>
      </c>
      <c r="AJ1676" s="11"/>
      <c r="AK1676" s="11"/>
      <c r="AL1676" s="11"/>
      <c r="AM1676" s="11"/>
      <c r="AN1676" s="11"/>
      <c r="AO1676" s="11"/>
      <c r="AP1676" s="2" t="s">
        <v>70</v>
      </c>
      <c r="AQ1676" s="11" t="str">
        <f>IF(I1676&lt;&gt;"",DATA!D1675,"")</f>
        <v>8438600000</v>
      </c>
    </row>
    <row r="1677" spans="1:43" ht="15.75" x14ac:dyDescent="0.25">
      <c r="A1677" s="11" t="s">
        <v>57</v>
      </c>
      <c r="B1677" s="11" t="s">
        <v>56</v>
      </c>
      <c r="C1677" s="22">
        <f t="shared" si="110"/>
        <v>25001620</v>
      </c>
      <c r="D1677" s="11" t="str">
        <f t="shared" si="107"/>
        <v>SKIIFM_AT</v>
      </c>
      <c r="E1677" s="11" t="str">
        <f>IF(I1677&lt;&gt;"",VLOOKUP(F1677,OPDRACHTGEVER!$A$2:$B$4,2,FALSE),"")</f>
        <v>SKIIFM_AT</v>
      </c>
      <c r="F1677" s="11" t="s">
        <v>58</v>
      </c>
      <c r="I1677" s="11" t="str">
        <f>IF(DATA!B1676&lt;&gt;"",DATA!B1676,"")</f>
        <v>MSDU8580712</v>
      </c>
      <c r="J1677" s="12">
        <v>0</v>
      </c>
      <c r="K1677" s="11" t="s">
        <v>53</v>
      </c>
      <c r="L1677" s="11" t="str">
        <f t="shared" si="108"/>
        <v>961700</v>
      </c>
      <c r="M1677" s="11" t="str">
        <f>IF(I1677&lt;&gt;"",DATA!E1676,"")</f>
        <v>VACUUM BUCKET</v>
      </c>
      <c r="N1677" s="12">
        <v>0</v>
      </c>
      <c r="O1677" s="11">
        <f>IF(I1677&lt;&gt;"",DATA!C1676,"")</f>
        <v>188.35</v>
      </c>
      <c r="P1677" s="2">
        <v>294094</v>
      </c>
      <c r="Q1677" s="2" t="s">
        <v>1304</v>
      </c>
      <c r="R1677" s="2" t="s">
        <v>1336</v>
      </c>
      <c r="S1677" s="2">
        <v>206</v>
      </c>
      <c r="T1677" s="2">
        <v>1</v>
      </c>
      <c r="U1677" s="2" t="s">
        <v>141</v>
      </c>
      <c r="Y1677" s="2">
        <v>1700</v>
      </c>
      <c r="Z1677" s="11" t="s">
        <v>54</v>
      </c>
      <c r="AA1677" s="11" t="str">
        <f t="shared" si="109"/>
        <v>1700 - TBN</v>
      </c>
      <c r="AC1677" s="2" t="s">
        <v>145</v>
      </c>
      <c r="AD1677" s="11" t="str">
        <f>IF($I1677&lt;&gt;"",VLOOKUP($AC1677,GEADRESSEERDE!$A$2:$E$4,2,),"")</f>
        <v>LUITHAGEN HAVEN 2 D</v>
      </c>
      <c r="AE1677" s="11">
        <f>IF($I1677&lt;&gt;"",VLOOKUP($AC1677,GEADRESSEERDE!$A$2:$E$4,3,),"")</f>
        <v>2030</v>
      </c>
      <c r="AF1677" s="11" t="str">
        <f>IF($I1677&lt;&gt;"",VLOOKUP($AC1677,GEADRESSEERDE!$A$2:$E$4,4,),"")</f>
        <v>ANTWERPEN</v>
      </c>
      <c r="AG1677" s="11" t="str">
        <f>IF($I1677&lt;&gt;"",VLOOKUP($AC1677,GEADRESSEERDE!$A$2:$E$4,5,),"")</f>
        <v>BE</v>
      </c>
      <c r="AH1677" s="11" t="str">
        <f>IF(I1677&lt;&gt;"",VLOOKUP(AP1677,KvB!$A$2:$B$3,2,FALSE),"")</f>
        <v>BE101000</v>
      </c>
      <c r="AI1677" s="11" t="s">
        <v>55</v>
      </c>
      <c r="AJ1677" s="11"/>
      <c r="AK1677" s="11"/>
      <c r="AL1677" s="11"/>
      <c r="AM1677" s="11"/>
      <c r="AN1677" s="11"/>
      <c r="AO1677" s="11"/>
      <c r="AP1677" s="2" t="s">
        <v>70</v>
      </c>
      <c r="AQ1677" s="11" t="str">
        <f>IF(I1677&lt;&gt;"",DATA!D1676,"")</f>
        <v>9617000000</v>
      </c>
    </row>
    <row r="1678" spans="1:43" ht="15.75" x14ac:dyDescent="0.25">
      <c r="A1678" s="11" t="s">
        <v>57</v>
      </c>
      <c r="B1678" s="11" t="s">
        <v>56</v>
      </c>
      <c r="C1678" s="22">
        <f t="shared" si="110"/>
        <v>25001620</v>
      </c>
      <c r="D1678" s="11" t="str">
        <f t="shared" si="107"/>
        <v>SKIIFM_AT</v>
      </c>
      <c r="E1678" s="11" t="str">
        <f>IF(I1678&lt;&gt;"",VLOOKUP(F1678,OPDRACHTGEVER!$A$2:$B$4,2,FALSE),"")</f>
        <v>SKIIFM_AT</v>
      </c>
      <c r="F1678" s="11" t="s">
        <v>58</v>
      </c>
      <c r="I1678" s="11" t="str">
        <f>IF(DATA!B1677&lt;&gt;"",DATA!B1677,"")</f>
        <v>MSDU8580712</v>
      </c>
      <c r="J1678" s="12">
        <v>0</v>
      </c>
      <c r="K1678" s="11" t="s">
        <v>53</v>
      </c>
      <c r="L1678" s="11" t="str">
        <f t="shared" si="108"/>
        <v>841410</v>
      </c>
      <c r="M1678" s="11" t="str">
        <f>IF(I1678&lt;&gt;"",DATA!E1677,"")</f>
        <v>VACUUM PUMP GAUGE SET</v>
      </c>
      <c r="N1678" s="12">
        <v>0</v>
      </c>
      <c r="O1678" s="11">
        <f>IF(I1678&lt;&gt;"",DATA!C1677,"")</f>
        <v>105.89</v>
      </c>
      <c r="P1678" s="2">
        <v>294094</v>
      </c>
      <c r="Q1678" s="2" t="s">
        <v>1304</v>
      </c>
      <c r="R1678" s="2" t="s">
        <v>1336</v>
      </c>
      <c r="S1678" s="2">
        <v>206</v>
      </c>
      <c r="T1678" s="2">
        <v>1</v>
      </c>
      <c r="U1678" s="2" t="s">
        <v>141</v>
      </c>
      <c r="Y1678" s="2">
        <v>1700</v>
      </c>
      <c r="Z1678" s="11" t="s">
        <v>54</v>
      </c>
      <c r="AA1678" s="11" t="str">
        <f t="shared" si="109"/>
        <v>1700 - TBN</v>
      </c>
      <c r="AC1678" s="2" t="s">
        <v>145</v>
      </c>
      <c r="AD1678" s="11" t="str">
        <f>IF($I1678&lt;&gt;"",VLOOKUP($AC1678,GEADRESSEERDE!$A$2:$E$4,2,),"")</f>
        <v>LUITHAGEN HAVEN 2 D</v>
      </c>
      <c r="AE1678" s="11">
        <f>IF($I1678&lt;&gt;"",VLOOKUP($AC1678,GEADRESSEERDE!$A$2:$E$4,3,),"")</f>
        <v>2030</v>
      </c>
      <c r="AF1678" s="11" t="str">
        <f>IF($I1678&lt;&gt;"",VLOOKUP($AC1678,GEADRESSEERDE!$A$2:$E$4,4,),"")</f>
        <v>ANTWERPEN</v>
      </c>
      <c r="AG1678" s="11" t="str">
        <f>IF($I1678&lt;&gt;"",VLOOKUP($AC1678,GEADRESSEERDE!$A$2:$E$4,5,),"")</f>
        <v>BE</v>
      </c>
      <c r="AH1678" s="11" t="str">
        <f>IF(I1678&lt;&gt;"",VLOOKUP(AP1678,KvB!$A$2:$B$3,2,FALSE),"")</f>
        <v>BE101000</v>
      </c>
      <c r="AI1678" s="11" t="s">
        <v>55</v>
      </c>
      <c r="AJ1678" s="11"/>
      <c r="AK1678" s="11"/>
      <c r="AL1678" s="11"/>
      <c r="AM1678" s="11"/>
      <c r="AN1678" s="11"/>
      <c r="AO1678" s="11"/>
      <c r="AP1678" s="2" t="s">
        <v>70</v>
      </c>
      <c r="AQ1678" s="11" t="str">
        <f>IF(I1678&lt;&gt;"",DATA!D1677,"")</f>
        <v>8414108990</v>
      </c>
    </row>
    <row r="1679" spans="1:43" ht="15.75" x14ac:dyDescent="0.25">
      <c r="A1679" s="11" t="s">
        <v>57</v>
      </c>
      <c r="B1679" s="11" t="s">
        <v>56</v>
      </c>
      <c r="C1679" s="22">
        <f t="shared" si="110"/>
        <v>25001620</v>
      </c>
      <c r="D1679" s="11" t="str">
        <f t="shared" si="107"/>
        <v>SKIIFM_AT</v>
      </c>
      <c r="E1679" s="11" t="str">
        <f>IF(I1679&lt;&gt;"",VLOOKUP(F1679,OPDRACHTGEVER!$A$2:$B$4,2,FALSE),"")</f>
        <v>SKIIFM_AT</v>
      </c>
      <c r="F1679" s="11" t="s">
        <v>58</v>
      </c>
      <c r="I1679" s="11" t="str">
        <f>IF(DATA!B1678&lt;&gt;"",DATA!B1678,"")</f>
        <v>MSDU8580712</v>
      </c>
      <c r="J1679" s="12">
        <v>0</v>
      </c>
      <c r="K1679" s="11" t="s">
        <v>53</v>
      </c>
      <c r="L1679" s="11" t="str">
        <f t="shared" si="108"/>
        <v>841350</v>
      </c>
      <c r="M1679" s="11" t="str">
        <f>IF(I1679&lt;&gt;"",DATA!E1678,"")</f>
        <v>WATER PUMP</v>
      </c>
      <c r="N1679" s="12">
        <v>0</v>
      </c>
      <c r="O1679" s="11">
        <f>IF(I1679&lt;&gt;"",DATA!C1678,"")</f>
        <v>9.9499999999999993</v>
      </c>
      <c r="P1679" s="2">
        <v>294094</v>
      </c>
      <c r="Q1679" s="2" t="s">
        <v>1304</v>
      </c>
      <c r="R1679" s="2" t="s">
        <v>1336</v>
      </c>
      <c r="S1679" s="2">
        <v>206</v>
      </c>
      <c r="T1679" s="2">
        <v>1</v>
      </c>
      <c r="U1679" s="2" t="s">
        <v>141</v>
      </c>
      <c r="Y1679" s="2">
        <v>1700</v>
      </c>
      <c r="Z1679" s="11" t="s">
        <v>54</v>
      </c>
      <c r="AA1679" s="11" t="str">
        <f t="shared" si="109"/>
        <v>1700 - TBN</v>
      </c>
      <c r="AC1679" s="2" t="s">
        <v>145</v>
      </c>
      <c r="AD1679" s="11" t="str">
        <f>IF($I1679&lt;&gt;"",VLOOKUP($AC1679,GEADRESSEERDE!$A$2:$E$4,2,),"")</f>
        <v>LUITHAGEN HAVEN 2 D</v>
      </c>
      <c r="AE1679" s="11">
        <f>IF($I1679&lt;&gt;"",VLOOKUP($AC1679,GEADRESSEERDE!$A$2:$E$4,3,),"")</f>
        <v>2030</v>
      </c>
      <c r="AF1679" s="11" t="str">
        <f>IF($I1679&lt;&gt;"",VLOOKUP($AC1679,GEADRESSEERDE!$A$2:$E$4,4,),"")</f>
        <v>ANTWERPEN</v>
      </c>
      <c r="AG1679" s="11" t="str">
        <f>IF($I1679&lt;&gt;"",VLOOKUP($AC1679,GEADRESSEERDE!$A$2:$E$4,5,),"")</f>
        <v>BE</v>
      </c>
      <c r="AH1679" s="11" t="str">
        <f>IF(I1679&lt;&gt;"",VLOOKUP(AP1679,KvB!$A$2:$B$3,2,FALSE),"")</f>
        <v>BE101000</v>
      </c>
      <c r="AI1679" s="11" t="s">
        <v>55</v>
      </c>
      <c r="AJ1679" s="11"/>
      <c r="AK1679" s="11"/>
      <c r="AL1679" s="11"/>
      <c r="AM1679" s="11"/>
      <c r="AN1679" s="11"/>
      <c r="AO1679" s="11"/>
      <c r="AP1679" s="2" t="s">
        <v>70</v>
      </c>
      <c r="AQ1679" s="11" t="str">
        <f>IF(I1679&lt;&gt;"",DATA!D1678,"")</f>
        <v>8413502090</v>
      </c>
    </row>
    <row r="1680" spans="1:43" ht="15.75" x14ac:dyDescent="0.25">
      <c r="A1680" s="11" t="s">
        <v>57</v>
      </c>
      <c r="B1680" s="11" t="s">
        <v>56</v>
      </c>
      <c r="C1680" s="22">
        <f t="shared" si="110"/>
        <v>25001620</v>
      </c>
      <c r="D1680" s="11" t="str">
        <f t="shared" si="107"/>
        <v>SKIIFM_AT</v>
      </c>
      <c r="E1680" s="11" t="str">
        <f>IF(I1680&lt;&gt;"",VLOOKUP(F1680,OPDRACHTGEVER!$A$2:$B$4,2,FALSE),"")</f>
        <v>SKIIFM_AT</v>
      </c>
      <c r="F1680" s="11" t="s">
        <v>58</v>
      </c>
      <c r="I1680" s="11" t="str">
        <f>IF(DATA!B1679&lt;&gt;"",DATA!B1679,"")</f>
        <v>MSDU8580712</v>
      </c>
      <c r="J1680" s="12">
        <v>0</v>
      </c>
      <c r="K1680" s="11" t="s">
        <v>53</v>
      </c>
      <c r="L1680" s="11" t="str">
        <f t="shared" si="108"/>
        <v>870870</v>
      </c>
      <c r="M1680" s="11" t="str">
        <f>IF(I1680&lt;&gt;"",DATA!E1679,"")</f>
        <v>WHEEL SPCERS</v>
      </c>
      <c r="N1680" s="12">
        <v>0</v>
      </c>
      <c r="O1680" s="11">
        <f>IF(I1680&lt;&gt;"",DATA!C1679,"")</f>
        <v>6.8</v>
      </c>
      <c r="P1680" s="2">
        <v>294094</v>
      </c>
      <c r="Q1680" s="2" t="s">
        <v>1304</v>
      </c>
      <c r="R1680" s="2" t="s">
        <v>1336</v>
      </c>
      <c r="S1680" s="2">
        <v>206</v>
      </c>
      <c r="T1680" s="2">
        <v>1</v>
      </c>
      <c r="U1680" s="2" t="s">
        <v>141</v>
      </c>
      <c r="Y1680" s="2">
        <v>1700</v>
      </c>
      <c r="Z1680" s="11" t="s">
        <v>54</v>
      </c>
      <c r="AA1680" s="11" t="str">
        <f t="shared" si="109"/>
        <v>1700 - TBN</v>
      </c>
      <c r="AC1680" s="2" t="s">
        <v>145</v>
      </c>
      <c r="AD1680" s="11" t="str">
        <f>IF($I1680&lt;&gt;"",VLOOKUP($AC1680,GEADRESSEERDE!$A$2:$E$4,2,),"")</f>
        <v>LUITHAGEN HAVEN 2 D</v>
      </c>
      <c r="AE1680" s="11">
        <f>IF($I1680&lt;&gt;"",VLOOKUP($AC1680,GEADRESSEERDE!$A$2:$E$4,3,),"")</f>
        <v>2030</v>
      </c>
      <c r="AF1680" s="11" t="str">
        <f>IF($I1680&lt;&gt;"",VLOOKUP($AC1680,GEADRESSEERDE!$A$2:$E$4,4,),"")</f>
        <v>ANTWERPEN</v>
      </c>
      <c r="AG1680" s="11" t="str">
        <f>IF($I1680&lt;&gt;"",VLOOKUP($AC1680,GEADRESSEERDE!$A$2:$E$4,5,),"")</f>
        <v>BE</v>
      </c>
      <c r="AH1680" s="11" t="str">
        <f>IF(I1680&lt;&gt;"",VLOOKUP(AP1680,KvB!$A$2:$B$3,2,FALSE),"")</f>
        <v>BE101000</v>
      </c>
      <c r="AI1680" s="11" t="s">
        <v>55</v>
      </c>
      <c r="AJ1680" s="11"/>
      <c r="AK1680" s="11"/>
      <c r="AL1680" s="11"/>
      <c r="AM1680" s="11"/>
      <c r="AN1680" s="11"/>
      <c r="AO1680" s="11"/>
      <c r="AP1680" s="2" t="s">
        <v>70</v>
      </c>
      <c r="AQ1680" s="11" t="str">
        <f>IF(I1680&lt;&gt;"",DATA!D1679,"")</f>
        <v>8708709190</v>
      </c>
    </row>
    <row r="1681" spans="1:43" ht="15.75" x14ac:dyDescent="0.25">
      <c r="A1681" s="11" t="s">
        <v>57</v>
      </c>
      <c r="B1681" s="11" t="s">
        <v>56</v>
      </c>
      <c r="C1681" s="22">
        <f t="shared" si="110"/>
        <v>25001620</v>
      </c>
      <c r="D1681" s="11" t="str">
        <f t="shared" si="107"/>
        <v>SKIIFM_AT</v>
      </c>
      <c r="E1681" s="11" t="str">
        <f>IF(I1681&lt;&gt;"",VLOOKUP(F1681,OPDRACHTGEVER!$A$2:$B$4,2,FALSE),"")</f>
        <v>SKIIFM_AT</v>
      </c>
      <c r="F1681" s="11" t="s">
        <v>58</v>
      </c>
      <c r="I1681" s="11" t="str">
        <f>IF(DATA!B1680&lt;&gt;"",DATA!B1680,"")</f>
        <v>MSDU8580712</v>
      </c>
      <c r="J1681" s="12">
        <v>0</v>
      </c>
      <c r="K1681" s="11" t="s">
        <v>53</v>
      </c>
      <c r="L1681" s="11" t="str">
        <f t="shared" si="108"/>
        <v>842531</v>
      </c>
      <c r="M1681" s="11" t="str">
        <f>IF(I1681&lt;&gt;"",DATA!E1680,"")</f>
        <v>WINCH</v>
      </c>
      <c r="N1681" s="12">
        <v>0</v>
      </c>
      <c r="O1681" s="11">
        <f>IF(I1681&lt;&gt;"",DATA!C1680,"")</f>
        <v>25.25</v>
      </c>
      <c r="P1681" s="2">
        <v>294094</v>
      </c>
      <c r="Q1681" s="2" t="s">
        <v>1304</v>
      </c>
      <c r="R1681" s="2" t="s">
        <v>1336</v>
      </c>
      <c r="S1681" s="2">
        <v>206</v>
      </c>
      <c r="T1681" s="2">
        <v>1</v>
      </c>
      <c r="U1681" s="2" t="s">
        <v>141</v>
      </c>
      <c r="Y1681" s="2">
        <v>1700</v>
      </c>
      <c r="Z1681" s="11" t="s">
        <v>54</v>
      </c>
      <c r="AA1681" s="11" t="str">
        <f t="shared" si="109"/>
        <v>1700 - TBN</v>
      </c>
      <c r="AC1681" s="2" t="s">
        <v>145</v>
      </c>
      <c r="AD1681" s="11" t="str">
        <f>IF($I1681&lt;&gt;"",VLOOKUP($AC1681,GEADRESSEERDE!$A$2:$E$4,2,),"")</f>
        <v>LUITHAGEN HAVEN 2 D</v>
      </c>
      <c r="AE1681" s="11">
        <f>IF($I1681&lt;&gt;"",VLOOKUP($AC1681,GEADRESSEERDE!$A$2:$E$4,3,),"")</f>
        <v>2030</v>
      </c>
      <c r="AF1681" s="11" t="str">
        <f>IF($I1681&lt;&gt;"",VLOOKUP($AC1681,GEADRESSEERDE!$A$2:$E$4,4,),"")</f>
        <v>ANTWERPEN</v>
      </c>
      <c r="AG1681" s="11" t="str">
        <f>IF($I1681&lt;&gt;"",VLOOKUP($AC1681,GEADRESSEERDE!$A$2:$E$4,5,),"")</f>
        <v>BE</v>
      </c>
      <c r="AH1681" s="11" t="str">
        <f>IF(I1681&lt;&gt;"",VLOOKUP(AP1681,KvB!$A$2:$B$3,2,FALSE),"")</f>
        <v>BE101000</v>
      </c>
      <c r="AI1681" s="11" t="s">
        <v>55</v>
      </c>
      <c r="AJ1681" s="11"/>
      <c r="AK1681" s="11"/>
      <c r="AL1681" s="11"/>
      <c r="AM1681" s="11"/>
      <c r="AN1681" s="11"/>
      <c r="AO1681" s="11"/>
      <c r="AP1681" s="2" t="s">
        <v>70</v>
      </c>
      <c r="AQ1681" s="11" t="str">
        <f>IF(I1681&lt;&gt;"",DATA!D1680,"")</f>
        <v>8425310000</v>
      </c>
    </row>
    <row r="1682" spans="1:43" ht="15.75" x14ac:dyDescent="0.25">
      <c r="A1682" s="11" t="s">
        <v>57</v>
      </c>
      <c r="B1682" s="11" t="s">
        <v>56</v>
      </c>
      <c r="C1682" s="22">
        <f t="shared" si="110"/>
        <v>25001620</v>
      </c>
      <c r="D1682" s="11" t="str">
        <f t="shared" si="107"/>
        <v>SKIIFM_AT</v>
      </c>
      <c r="E1682" s="11" t="str">
        <f>IF(I1682&lt;&gt;"",VLOOKUP(F1682,OPDRACHTGEVER!$A$2:$B$4,2,FALSE),"")</f>
        <v>SKIIFM_AT</v>
      </c>
      <c r="F1682" s="11" t="s">
        <v>58</v>
      </c>
      <c r="I1682" s="11" t="str">
        <f>IF(DATA!B1681&lt;&gt;"",DATA!B1681,"")</f>
        <v>MSMU4147742</v>
      </c>
      <c r="J1682" s="12">
        <v>1648</v>
      </c>
      <c r="K1682" s="11" t="s">
        <v>53</v>
      </c>
      <c r="L1682" s="11" t="str">
        <f t="shared" si="108"/>
        <v>761699</v>
      </c>
      <c r="M1682" s="11" t="str">
        <f>IF(I1682&lt;&gt;"",DATA!E1681,"")</f>
        <v>ALUMINUM RAMP</v>
      </c>
      <c r="N1682" s="12">
        <v>14604</v>
      </c>
      <c r="O1682" s="11">
        <f>IF(I1682&lt;&gt;"",DATA!C1681,"")</f>
        <v>4.05</v>
      </c>
      <c r="P1682" s="2">
        <v>294094</v>
      </c>
      <c r="Q1682" s="2" t="s">
        <v>1304</v>
      </c>
      <c r="R1682" s="2" t="s">
        <v>1337</v>
      </c>
      <c r="S1682" s="2">
        <v>283</v>
      </c>
      <c r="T1682" s="2">
        <v>1</v>
      </c>
      <c r="U1682" s="2" t="s">
        <v>141</v>
      </c>
      <c r="Y1682" s="2">
        <v>1700</v>
      </c>
      <c r="Z1682" s="11" t="s">
        <v>54</v>
      </c>
      <c r="AA1682" s="11" t="str">
        <f t="shared" si="109"/>
        <v>1700 - TBN</v>
      </c>
      <c r="AC1682" s="2" t="s">
        <v>145</v>
      </c>
      <c r="AD1682" s="11" t="str">
        <f>IF($I1682&lt;&gt;"",VLOOKUP($AC1682,GEADRESSEERDE!$A$2:$E$4,2,),"")</f>
        <v>LUITHAGEN HAVEN 2 D</v>
      </c>
      <c r="AE1682" s="11">
        <f>IF($I1682&lt;&gt;"",VLOOKUP($AC1682,GEADRESSEERDE!$A$2:$E$4,3,),"")</f>
        <v>2030</v>
      </c>
      <c r="AF1682" s="11" t="str">
        <f>IF($I1682&lt;&gt;"",VLOOKUP($AC1682,GEADRESSEERDE!$A$2:$E$4,4,),"")</f>
        <v>ANTWERPEN</v>
      </c>
      <c r="AG1682" s="11" t="str">
        <f>IF($I1682&lt;&gt;"",VLOOKUP($AC1682,GEADRESSEERDE!$A$2:$E$4,5,),"")</f>
        <v>BE</v>
      </c>
      <c r="AH1682" s="11" t="str">
        <f>IF(I1682&lt;&gt;"",VLOOKUP(AP1682,KvB!$A$2:$B$3,2,FALSE),"")</f>
        <v>BE101000</v>
      </c>
      <c r="AI1682" s="11" t="s">
        <v>55</v>
      </c>
      <c r="AJ1682" s="11"/>
      <c r="AK1682" s="11"/>
      <c r="AL1682" s="11"/>
      <c r="AM1682" s="11"/>
      <c r="AN1682" s="11"/>
      <c r="AO1682" s="11"/>
      <c r="AP1682" s="2" t="s">
        <v>70</v>
      </c>
      <c r="AQ1682" s="11" t="str">
        <f>IF(I1682&lt;&gt;"",DATA!D1681,"")</f>
        <v>7616999009</v>
      </c>
    </row>
    <row r="1683" spans="1:43" ht="15.75" x14ac:dyDescent="0.25">
      <c r="A1683" s="11" t="s">
        <v>57</v>
      </c>
      <c r="B1683" s="11" t="s">
        <v>56</v>
      </c>
      <c r="C1683" s="22">
        <f t="shared" si="110"/>
        <v>25001620</v>
      </c>
      <c r="D1683" s="11" t="str">
        <f t="shared" si="107"/>
        <v>SKIIFM_AT</v>
      </c>
      <c r="E1683" s="11" t="str">
        <f>IF(I1683&lt;&gt;"",VLOOKUP(F1683,OPDRACHTGEVER!$A$2:$B$4,2,FALSE),"")</f>
        <v>SKIIFM_AT</v>
      </c>
      <c r="F1683" s="11" t="s">
        <v>58</v>
      </c>
      <c r="I1683" s="11" t="str">
        <f>IF(DATA!B1682&lt;&gt;"",DATA!B1682,"")</f>
        <v>MSMU4147742</v>
      </c>
      <c r="J1683" s="12">
        <v>0</v>
      </c>
      <c r="K1683" s="11" t="s">
        <v>53</v>
      </c>
      <c r="L1683" s="11" t="str">
        <f t="shared" si="108"/>
        <v>841319</v>
      </c>
      <c r="M1683" s="11" t="str">
        <f>IF(I1683&lt;&gt;"",DATA!E1682,"")</f>
        <v>AUTOMOBILE FUEL PUMP</v>
      </c>
      <c r="N1683" s="12">
        <v>0</v>
      </c>
      <c r="O1683" s="11">
        <f>IF(I1683&lt;&gt;"",DATA!C1682,"")</f>
        <v>576.20000000000005</v>
      </c>
      <c r="P1683" s="2">
        <v>294094</v>
      </c>
      <c r="Q1683" s="2" t="s">
        <v>1304</v>
      </c>
      <c r="R1683" s="2" t="s">
        <v>1337</v>
      </c>
      <c r="S1683" s="2">
        <v>283</v>
      </c>
      <c r="T1683" s="2">
        <v>1</v>
      </c>
      <c r="U1683" s="2" t="s">
        <v>141</v>
      </c>
      <c r="Y1683" s="2">
        <v>1700</v>
      </c>
      <c r="Z1683" s="11" t="s">
        <v>54</v>
      </c>
      <c r="AA1683" s="11" t="str">
        <f t="shared" si="109"/>
        <v>1700 - TBN</v>
      </c>
      <c r="AC1683" s="2" t="s">
        <v>145</v>
      </c>
      <c r="AD1683" s="11" t="str">
        <f>IF($I1683&lt;&gt;"",VLOOKUP($AC1683,GEADRESSEERDE!$A$2:$E$4,2,),"")</f>
        <v>LUITHAGEN HAVEN 2 D</v>
      </c>
      <c r="AE1683" s="11">
        <f>IF($I1683&lt;&gt;"",VLOOKUP($AC1683,GEADRESSEERDE!$A$2:$E$4,3,),"")</f>
        <v>2030</v>
      </c>
      <c r="AF1683" s="11" t="str">
        <f>IF($I1683&lt;&gt;"",VLOOKUP($AC1683,GEADRESSEERDE!$A$2:$E$4,4,),"")</f>
        <v>ANTWERPEN</v>
      </c>
      <c r="AG1683" s="11" t="str">
        <f>IF($I1683&lt;&gt;"",VLOOKUP($AC1683,GEADRESSEERDE!$A$2:$E$4,5,),"")</f>
        <v>BE</v>
      </c>
      <c r="AH1683" s="11" t="str">
        <f>IF(I1683&lt;&gt;"",VLOOKUP(AP1683,KvB!$A$2:$B$3,2,FALSE),"")</f>
        <v>BE101000</v>
      </c>
      <c r="AI1683" s="11" t="s">
        <v>55</v>
      </c>
      <c r="AJ1683" s="11"/>
      <c r="AK1683" s="11"/>
      <c r="AL1683" s="11"/>
      <c r="AM1683" s="11"/>
      <c r="AN1683" s="11"/>
      <c r="AO1683" s="11"/>
      <c r="AP1683" s="2" t="s">
        <v>70</v>
      </c>
      <c r="AQ1683" s="11" t="str">
        <f>IF(I1683&lt;&gt;"",DATA!D1682,"")</f>
        <v>8413190090</v>
      </c>
    </row>
    <row r="1684" spans="1:43" ht="15.75" x14ac:dyDescent="0.25">
      <c r="A1684" s="11" t="s">
        <v>57</v>
      </c>
      <c r="B1684" s="11" t="s">
        <v>56</v>
      </c>
      <c r="C1684" s="22">
        <f t="shared" si="110"/>
        <v>25001620</v>
      </c>
      <c r="D1684" s="11" t="str">
        <f t="shared" si="107"/>
        <v>SKIIFM_AT</v>
      </c>
      <c r="E1684" s="11" t="str">
        <f>IF(I1684&lt;&gt;"",VLOOKUP(F1684,OPDRACHTGEVER!$A$2:$B$4,2,FALSE),"")</f>
        <v>SKIIFM_AT</v>
      </c>
      <c r="F1684" s="11" t="s">
        <v>58</v>
      </c>
      <c r="I1684" s="11" t="str">
        <f>IF(DATA!B1683&lt;&gt;"",DATA!B1683,"")</f>
        <v>MSMU4147742</v>
      </c>
      <c r="J1684" s="12">
        <v>0</v>
      </c>
      <c r="K1684" s="11" t="s">
        <v>53</v>
      </c>
      <c r="L1684" s="11" t="str">
        <f t="shared" si="108"/>
        <v>761090</v>
      </c>
      <c r="M1684" s="11" t="str">
        <f>IF(I1684&lt;&gt;"",DATA!E1683,"")</f>
        <v>BATHTUB ARMREST</v>
      </c>
      <c r="N1684" s="12">
        <v>0</v>
      </c>
      <c r="O1684" s="11">
        <f>IF(I1684&lt;&gt;"",DATA!C1683,"")</f>
        <v>120.9</v>
      </c>
      <c r="P1684" s="2">
        <v>294094</v>
      </c>
      <c r="Q1684" s="2" t="s">
        <v>1304</v>
      </c>
      <c r="R1684" s="2" t="s">
        <v>1337</v>
      </c>
      <c r="S1684" s="2">
        <v>283</v>
      </c>
      <c r="T1684" s="2">
        <v>1</v>
      </c>
      <c r="U1684" s="2" t="s">
        <v>141</v>
      </c>
      <c r="Y1684" s="2">
        <v>1700</v>
      </c>
      <c r="Z1684" s="11" t="s">
        <v>54</v>
      </c>
      <c r="AA1684" s="11" t="str">
        <f t="shared" si="109"/>
        <v>1700 - TBN</v>
      </c>
      <c r="AC1684" s="2" t="s">
        <v>145</v>
      </c>
      <c r="AD1684" s="11" t="str">
        <f>IF($I1684&lt;&gt;"",VLOOKUP($AC1684,GEADRESSEERDE!$A$2:$E$4,2,),"")</f>
        <v>LUITHAGEN HAVEN 2 D</v>
      </c>
      <c r="AE1684" s="11">
        <f>IF($I1684&lt;&gt;"",VLOOKUP($AC1684,GEADRESSEERDE!$A$2:$E$4,3,),"")</f>
        <v>2030</v>
      </c>
      <c r="AF1684" s="11" t="str">
        <f>IF($I1684&lt;&gt;"",VLOOKUP($AC1684,GEADRESSEERDE!$A$2:$E$4,4,),"")</f>
        <v>ANTWERPEN</v>
      </c>
      <c r="AG1684" s="11" t="str">
        <f>IF($I1684&lt;&gt;"",VLOOKUP($AC1684,GEADRESSEERDE!$A$2:$E$4,5,),"")</f>
        <v>BE</v>
      </c>
      <c r="AH1684" s="11" t="str">
        <f>IF(I1684&lt;&gt;"",VLOOKUP(AP1684,KvB!$A$2:$B$3,2,FALSE),"")</f>
        <v>BE101000</v>
      </c>
      <c r="AI1684" s="11" t="s">
        <v>55</v>
      </c>
      <c r="AJ1684" s="11"/>
      <c r="AK1684" s="11"/>
      <c r="AL1684" s="11"/>
      <c r="AM1684" s="11"/>
      <c r="AN1684" s="11"/>
      <c r="AO1684" s="11"/>
      <c r="AP1684" s="2" t="s">
        <v>70</v>
      </c>
      <c r="AQ1684" s="11" t="str">
        <f>IF(I1684&lt;&gt;"",DATA!D1683,"")</f>
        <v>7610909095</v>
      </c>
    </row>
    <row r="1685" spans="1:43" ht="15.75" x14ac:dyDescent="0.25">
      <c r="A1685" s="11" t="s">
        <v>57</v>
      </c>
      <c r="B1685" s="11" t="s">
        <v>56</v>
      </c>
      <c r="C1685" s="22">
        <f t="shared" si="110"/>
        <v>25001620</v>
      </c>
      <c r="D1685" s="11" t="str">
        <f t="shared" si="107"/>
        <v>SKIIFM_AT</v>
      </c>
      <c r="E1685" s="11" t="str">
        <f>IF(I1685&lt;&gt;"",VLOOKUP(F1685,OPDRACHTGEVER!$A$2:$B$4,2,FALSE),"")</f>
        <v>SKIIFM_AT</v>
      </c>
      <c r="F1685" s="11" t="s">
        <v>58</v>
      </c>
      <c r="I1685" s="11" t="str">
        <f>IF(DATA!B1684&lt;&gt;"",DATA!B1684,"")</f>
        <v>MSMU4147742</v>
      </c>
      <c r="J1685" s="12">
        <v>0</v>
      </c>
      <c r="K1685" s="11" t="s">
        <v>53</v>
      </c>
      <c r="L1685" s="11" t="str">
        <f t="shared" si="108"/>
        <v>845929</v>
      </c>
      <c r="M1685" s="11" t="str">
        <f>IF(I1685&lt;&gt;"",DATA!E1684,"")</f>
        <v>BENCH DRILL</v>
      </c>
      <c r="N1685" s="12">
        <v>0</v>
      </c>
      <c r="O1685" s="11">
        <f>IF(I1685&lt;&gt;"",DATA!C1684,"")</f>
        <v>1839.2</v>
      </c>
      <c r="P1685" s="2">
        <v>294094</v>
      </c>
      <c r="Q1685" s="2" t="s">
        <v>1304</v>
      </c>
      <c r="R1685" s="2" t="s">
        <v>1337</v>
      </c>
      <c r="S1685" s="2">
        <v>283</v>
      </c>
      <c r="T1685" s="2">
        <v>1</v>
      </c>
      <c r="U1685" s="2" t="s">
        <v>141</v>
      </c>
      <c r="Y1685" s="2">
        <v>1700</v>
      </c>
      <c r="Z1685" s="11" t="s">
        <v>54</v>
      </c>
      <c r="AA1685" s="11" t="str">
        <f t="shared" si="109"/>
        <v>1700 - TBN</v>
      </c>
      <c r="AC1685" s="2" t="s">
        <v>145</v>
      </c>
      <c r="AD1685" s="11" t="str">
        <f>IF($I1685&lt;&gt;"",VLOOKUP($AC1685,GEADRESSEERDE!$A$2:$E$4,2,),"")</f>
        <v>LUITHAGEN HAVEN 2 D</v>
      </c>
      <c r="AE1685" s="11">
        <f>IF($I1685&lt;&gt;"",VLOOKUP($AC1685,GEADRESSEERDE!$A$2:$E$4,3,),"")</f>
        <v>2030</v>
      </c>
      <c r="AF1685" s="11" t="str">
        <f>IF($I1685&lt;&gt;"",VLOOKUP($AC1685,GEADRESSEERDE!$A$2:$E$4,4,),"")</f>
        <v>ANTWERPEN</v>
      </c>
      <c r="AG1685" s="11" t="str">
        <f>IF($I1685&lt;&gt;"",VLOOKUP($AC1685,GEADRESSEERDE!$A$2:$E$4,5,),"")</f>
        <v>BE</v>
      </c>
      <c r="AH1685" s="11" t="str">
        <f>IF(I1685&lt;&gt;"",VLOOKUP(AP1685,KvB!$A$2:$B$3,2,FALSE),"")</f>
        <v>BE101000</v>
      </c>
      <c r="AI1685" s="11" t="s">
        <v>55</v>
      </c>
      <c r="AJ1685" s="11"/>
      <c r="AK1685" s="11"/>
      <c r="AL1685" s="11"/>
      <c r="AM1685" s="11"/>
      <c r="AN1685" s="11"/>
      <c r="AO1685" s="11"/>
      <c r="AP1685" s="2" t="s">
        <v>70</v>
      </c>
      <c r="AQ1685" s="11" t="str">
        <f>IF(I1685&lt;&gt;"",DATA!D1684,"")</f>
        <v>8459290000</v>
      </c>
    </row>
    <row r="1686" spans="1:43" ht="15.75" x14ac:dyDescent="0.25">
      <c r="A1686" s="11" t="s">
        <v>57</v>
      </c>
      <c r="B1686" s="11" t="s">
        <v>56</v>
      </c>
      <c r="C1686" s="22">
        <f t="shared" si="110"/>
        <v>25001620</v>
      </c>
      <c r="D1686" s="11" t="str">
        <f t="shared" si="107"/>
        <v>SKIIFM_AT</v>
      </c>
      <c r="E1686" s="11" t="str">
        <f>IF(I1686&lt;&gt;"",VLOOKUP(F1686,OPDRACHTGEVER!$A$2:$B$4,2,FALSE),"")</f>
        <v>SKIIFM_AT</v>
      </c>
      <c r="F1686" s="11" t="s">
        <v>58</v>
      </c>
      <c r="I1686" s="11" t="str">
        <f>IF(DATA!B1685&lt;&gt;"",DATA!B1685,"")</f>
        <v>MSMU4147742</v>
      </c>
      <c r="J1686" s="12">
        <v>0</v>
      </c>
      <c r="K1686" s="11" t="s">
        <v>53</v>
      </c>
      <c r="L1686" s="11" t="str">
        <f t="shared" si="108"/>
        <v>820559</v>
      </c>
      <c r="M1686" s="11" t="str">
        <f>IF(I1686&lt;&gt;"",DATA!E1685,"")</f>
        <v>BOLT EXTRACTOR</v>
      </c>
      <c r="N1686" s="12">
        <v>0</v>
      </c>
      <c r="O1686" s="11">
        <f>IF(I1686&lt;&gt;"",DATA!C1685,"")</f>
        <v>179.2</v>
      </c>
      <c r="P1686" s="2">
        <v>294094</v>
      </c>
      <c r="Q1686" s="2" t="s">
        <v>1304</v>
      </c>
      <c r="R1686" s="2" t="s">
        <v>1337</v>
      </c>
      <c r="S1686" s="2">
        <v>283</v>
      </c>
      <c r="T1686" s="2">
        <v>1</v>
      </c>
      <c r="U1686" s="2" t="s">
        <v>141</v>
      </c>
      <c r="Y1686" s="2">
        <v>1700</v>
      </c>
      <c r="Z1686" s="11" t="s">
        <v>54</v>
      </c>
      <c r="AA1686" s="11" t="str">
        <f t="shared" si="109"/>
        <v>1700 - TBN</v>
      </c>
      <c r="AC1686" s="2" t="s">
        <v>145</v>
      </c>
      <c r="AD1686" s="11" t="str">
        <f>IF($I1686&lt;&gt;"",VLOOKUP($AC1686,GEADRESSEERDE!$A$2:$E$4,2,),"")</f>
        <v>LUITHAGEN HAVEN 2 D</v>
      </c>
      <c r="AE1686" s="11">
        <f>IF($I1686&lt;&gt;"",VLOOKUP($AC1686,GEADRESSEERDE!$A$2:$E$4,3,),"")</f>
        <v>2030</v>
      </c>
      <c r="AF1686" s="11" t="str">
        <f>IF($I1686&lt;&gt;"",VLOOKUP($AC1686,GEADRESSEERDE!$A$2:$E$4,4,),"")</f>
        <v>ANTWERPEN</v>
      </c>
      <c r="AG1686" s="11" t="str">
        <f>IF($I1686&lt;&gt;"",VLOOKUP($AC1686,GEADRESSEERDE!$A$2:$E$4,5,),"")</f>
        <v>BE</v>
      </c>
      <c r="AH1686" s="11" t="str">
        <f>IF(I1686&lt;&gt;"",VLOOKUP(AP1686,KvB!$A$2:$B$3,2,FALSE),"")</f>
        <v>BE101000</v>
      </c>
      <c r="AI1686" s="11" t="s">
        <v>55</v>
      </c>
      <c r="AJ1686" s="11"/>
      <c r="AK1686" s="11"/>
      <c r="AL1686" s="11"/>
      <c r="AM1686" s="11"/>
      <c r="AN1686" s="11"/>
      <c r="AO1686" s="11"/>
      <c r="AP1686" s="2" t="s">
        <v>70</v>
      </c>
      <c r="AQ1686" s="11" t="str">
        <f>IF(I1686&lt;&gt;"",DATA!D1685,"")</f>
        <v>8205598000</v>
      </c>
    </row>
    <row r="1687" spans="1:43" ht="15.75" x14ac:dyDescent="0.25">
      <c r="A1687" s="11" t="s">
        <v>57</v>
      </c>
      <c r="B1687" s="11" t="s">
        <v>56</v>
      </c>
      <c r="C1687" s="22">
        <f t="shared" si="110"/>
        <v>25001620</v>
      </c>
      <c r="D1687" s="11" t="str">
        <f t="shared" si="107"/>
        <v>SKIIFM_AT</v>
      </c>
      <c r="E1687" s="11" t="str">
        <f>IF(I1687&lt;&gt;"",VLOOKUP(F1687,OPDRACHTGEVER!$A$2:$B$4,2,FALSE),"")</f>
        <v>SKIIFM_AT</v>
      </c>
      <c r="F1687" s="11" t="s">
        <v>58</v>
      </c>
      <c r="I1687" s="11" t="str">
        <f>IF(DATA!B1686&lt;&gt;"",DATA!B1686,"")</f>
        <v>MSMU4147742</v>
      </c>
      <c r="J1687" s="12">
        <v>0</v>
      </c>
      <c r="K1687" s="11" t="s">
        <v>53</v>
      </c>
      <c r="L1687" s="11" t="str">
        <f t="shared" si="108"/>
        <v>392112</v>
      </c>
      <c r="M1687" s="11" t="str">
        <f>IF(I1687&lt;&gt;"",DATA!E1686,"")</f>
        <v>CEILING TILES</v>
      </c>
      <c r="N1687" s="12">
        <v>0</v>
      </c>
      <c r="O1687" s="11">
        <f>IF(I1687&lt;&gt;"",DATA!C1686,"")</f>
        <v>288.39999999999998</v>
      </c>
      <c r="P1687" s="2">
        <v>294094</v>
      </c>
      <c r="Q1687" s="2" t="s">
        <v>1304</v>
      </c>
      <c r="R1687" s="2" t="s">
        <v>1337</v>
      </c>
      <c r="S1687" s="2">
        <v>283</v>
      </c>
      <c r="T1687" s="2">
        <v>1</v>
      </c>
      <c r="U1687" s="2" t="s">
        <v>141</v>
      </c>
      <c r="Y1687" s="2">
        <v>1700</v>
      </c>
      <c r="Z1687" s="11" t="s">
        <v>54</v>
      </c>
      <c r="AA1687" s="11" t="str">
        <f t="shared" si="109"/>
        <v>1700 - TBN</v>
      </c>
      <c r="AC1687" s="2" t="s">
        <v>145</v>
      </c>
      <c r="AD1687" s="11" t="str">
        <f>IF($I1687&lt;&gt;"",VLOOKUP($AC1687,GEADRESSEERDE!$A$2:$E$4,2,),"")</f>
        <v>LUITHAGEN HAVEN 2 D</v>
      </c>
      <c r="AE1687" s="11">
        <f>IF($I1687&lt;&gt;"",VLOOKUP($AC1687,GEADRESSEERDE!$A$2:$E$4,3,),"")</f>
        <v>2030</v>
      </c>
      <c r="AF1687" s="11" t="str">
        <f>IF($I1687&lt;&gt;"",VLOOKUP($AC1687,GEADRESSEERDE!$A$2:$E$4,4,),"")</f>
        <v>ANTWERPEN</v>
      </c>
      <c r="AG1687" s="11" t="str">
        <f>IF($I1687&lt;&gt;"",VLOOKUP($AC1687,GEADRESSEERDE!$A$2:$E$4,5,),"")</f>
        <v>BE</v>
      </c>
      <c r="AH1687" s="11" t="str">
        <f>IF(I1687&lt;&gt;"",VLOOKUP(AP1687,KvB!$A$2:$B$3,2,FALSE),"")</f>
        <v>BE101000</v>
      </c>
      <c r="AI1687" s="11" t="s">
        <v>55</v>
      </c>
      <c r="AJ1687" s="11"/>
      <c r="AK1687" s="11"/>
      <c r="AL1687" s="11"/>
      <c r="AM1687" s="11"/>
      <c r="AN1687" s="11"/>
      <c r="AO1687" s="11"/>
      <c r="AP1687" s="2" t="s">
        <v>70</v>
      </c>
      <c r="AQ1687" s="11" t="str">
        <f>IF(I1687&lt;&gt;"",DATA!D1686,"")</f>
        <v>3921120090</v>
      </c>
    </row>
    <row r="1688" spans="1:43" ht="15.75" x14ac:dyDescent="0.25">
      <c r="A1688" s="11" t="s">
        <v>57</v>
      </c>
      <c r="B1688" s="11" t="s">
        <v>56</v>
      </c>
      <c r="C1688" s="22">
        <f t="shared" si="110"/>
        <v>25001620</v>
      </c>
      <c r="D1688" s="11" t="str">
        <f t="shared" si="107"/>
        <v>SKIIFM_AT</v>
      </c>
      <c r="E1688" s="11" t="str">
        <f>IF(I1688&lt;&gt;"",VLOOKUP(F1688,OPDRACHTGEVER!$A$2:$B$4,2,FALSE),"")</f>
        <v>SKIIFM_AT</v>
      </c>
      <c r="F1688" s="11" t="s">
        <v>58</v>
      </c>
      <c r="I1688" s="11" t="str">
        <f>IF(DATA!B1687&lt;&gt;"",DATA!B1687,"")</f>
        <v>MSMU4147742</v>
      </c>
      <c r="J1688" s="12">
        <v>0</v>
      </c>
      <c r="K1688" s="11" t="s">
        <v>53</v>
      </c>
      <c r="L1688" s="11" t="str">
        <f t="shared" si="108"/>
        <v>741920</v>
      </c>
      <c r="M1688" s="11" t="str">
        <f>IF(I1688&lt;&gt;"",DATA!E1687,"")</f>
        <v>CHAIN WITH HOOK</v>
      </c>
      <c r="N1688" s="12">
        <v>0</v>
      </c>
      <c r="O1688" s="11">
        <f>IF(I1688&lt;&gt;"",DATA!C1687,"")</f>
        <v>57.4</v>
      </c>
      <c r="P1688" s="2">
        <v>294094</v>
      </c>
      <c r="Q1688" s="2" t="s">
        <v>1304</v>
      </c>
      <c r="R1688" s="2" t="s">
        <v>1337</v>
      </c>
      <c r="S1688" s="2">
        <v>283</v>
      </c>
      <c r="T1688" s="2">
        <v>1</v>
      </c>
      <c r="U1688" s="2" t="s">
        <v>141</v>
      </c>
      <c r="Y1688" s="2">
        <v>1700</v>
      </c>
      <c r="Z1688" s="11" t="s">
        <v>54</v>
      </c>
      <c r="AA1688" s="11" t="str">
        <f t="shared" si="109"/>
        <v>1700 - TBN</v>
      </c>
      <c r="AC1688" s="2" t="s">
        <v>145</v>
      </c>
      <c r="AD1688" s="11" t="str">
        <f>IF($I1688&lt;&gt;"",VLOOKUP($AC1688,GEADRESSEERDE!$A$2:$E$4,2,),"")</f>
        <v>LUITHAGEN HAVEN 2 D</v>
      </c>
      <c r="AE1688" s="11">
        <f>IF($I1688&lt;&gt;"",VLOOKUP($AC1688,GEADRESSEERDE!$A$2:$E$4,3,),"")</f>
        <v>2030</v>
      </c>
      <c r="AF1688" s="11" t="str">
        <f>IF($I1688&lt;&gt;"",VLOOKUP($AC1688,GEADRESSEERDE!$A$2:$E$4,4,),"")</f>
        <v>ANTWERPEN</v>
      </c>
      <c r="AG1688" s="11" t="str">
        <f>IF($I1688&lt;&gt;"",VLOOKUP($AC1688,GEADRESSEERDE!$A$2:$E$4,5,),"")</f>
        <v>BE</v>
      </c>
      <c r="AH1688" s="11" t="str">
        <f>IF(I1688&lt;&gt;"",VLOOKUP(AP1688,KvB!$A$2:$B$3,2,FALSE),"")</f>
        <v>BE101000</v>
      </c>
      <c r="AI1688" s="11" t="s">
        <v>55</v>
      </c>
      <c r="AJ1688" s="11"/>
      <c r="AK1688" s="11"/>
      <c r="AL1688" s="11"/>
      <c r="AM1688" s="11"/>
      <c r="AN1688" s="11"/>
      <c r="AO1688" s="11"/>
      <c r="AP1688" s="2" t="s">
        <v>70</v>
      </c>
      <c r="AQ1688" s="11" t="str">
        <f>IF(I1688&lt;&gt;"",DATA!D1687,"")</f>
        <v>7419200090</v>
      </c>
    </row>
    <row r="1689" spans="1:43" ht="15.75" x14ac:dyDescent="0.25">
      <c r="A1689" s="11" t="s">
        <v>57</v>
      </c>
      <c r="B1689" s="11" t="s">
        <v>56</v>
      </c>
      <c r="C1689" s="22">
        <f t="shared" si="110"/>
        <v>25001620</v>
      </c>
      <c r="D1689" s="11" t="str">
        <f t="shared" si="107"/>
        <v>SKIIFM_AT</v>
      </c>
      <c r="E1689" s="11" t="str">
        <f>IF(I1689&lt;&gt;"",VLOOKUP(F1689,OPDRACHTGEVER!$A$2:$B$4,2,FALSE),"")</f>
        <v>SKIIFM_AT</v>
      </c>
      <c r="F1689" s="11" t="s">
        <v>58</v>
      </c>
      <c r="I1689" s="11" t="str">
        <f>IF(DATA!B1688&lt;&gt;"",DATA!B1688,"")</f>
        <v>MSMU4147742</v>
      </c>
      <c r="J1689" s="12">
        <v>0</v>
      </c>
      <c r="K1689" s="11" t="s">
        <v>53</v>
      </c>
      <c r="L1689" s="11" t="str">
        <f t="shared" si="108"/>
        <v>741920</v>
      </c>
      <c r="M1689" s="11" t="str">
        <f>IF(I1689&lt;&gt;"",DATA!E1688,"")</f>
        <v>CONNECTOR</v>
      </c>
      <c r="N1689" s="12">
        <v>0</v>
      </c>
      <c r="O1689" s="11">
        <f>IF(I1689&lt;&gt;"",DATA!C1688,"")</f>
        <v>12</v>
      </c>
      <c r="P1689" s="2">
        <v>294094</v>
      </c>
      <c r="Q1689" s="2" t="s">
        <v>1304</v>
      </c>
      <c r="R1689" s="2" t="s">
        <v>1337</v>
      </c>
      <c r="S1689" s="2">
        <v>283</v>
      </c>
      <c r="T1689" s="2">
        <v>1</v>
      </c>
      <c r="U1689" s="2" t="s">
        <v>141</v>
      </c>
      <c r="Y1689" s="2">
        <v>1700</v>
      </c>
      <c r="Z1689" s="11" t="s">
        <v>54</v>
      </c>
      <c r="AA1689" s="11" t="str">
        <f t="shared" si="109"/>
        <v>1700 - TBN</v>
      </c>
      <c r="AC1689" s="2" t="s">
        <v>145</v>
      </c>
      <c r="AD1689" s="11" t="str">
        <f>IF($I1689&lt;&gt;"",VLOOKUP($AC1689,GEADRESSEERDE!$A$2:$E$4,2,),"")</f>
        <v>LUITHAGEN HAVEN 2 D</v>
      </c>
      <c r="AE1689" s="11">
        <f>IF($I1689&lt;&gt;"",VLOOKUP($AC1689,GEADRESSEERDE!$A$2:$E$4,3,),"")</f>
        <v>2030</v>
      </c>
      <c r="AF1689" s="11" t="str">
        <f>IF($I1689&lt;&gt;"",VLOOKUP($AC1689,GEADRESSEERDE!$A$2:$E$4,4,),"")</f>
        <v>ANTWERPEN</v>
      </c>
      <c r="AG1689" s="11" t="str">
        <f>IF($I1689&lt;&gt;"",VLOOKUP($AC1689,GEADRESSEERDE!$A$2:$E$4,5,),"")</f>
        <v>BE</v>
      </c>
      <c r="AH1689" s="11" t="str">
        <f>IF(I1689&lt;&gt;"",VLOOKUP(AP1689,KvB!$A$2:$B$3,2,FALSE),"")</f>
        <v>BE101000</v>
      </c>
      <c r="AI1689" s="11" t="s">
        <v>55</v>
      </c>
      <c r="AJ1689" s="11"/>
      <c r="AK1689" s="11"/>
      <c r="AL1689" s="11"/>
      <c r="AM1689" s="11"/>
      <c r="AN1689" s="11"/>
      <c r="AO1689" s="11"/>
      <c r="AP1689" s="2" t="s">
        <v>70</v>
      </c>
      <c r="AQ1689" s="11" t="str">
        <f>IF(I1689&lt;&gt;"",DATA!D1688,"")</f>
        <v>7419200090</v>
      </c>
    </row>
    <row r="1690" spans="1:43" ht="15.75" x14ac:dyDescent="0.25">
      <c r="A1690" s="11" t="s">
        <v>57</v>
      </c>
      <c r="B1690" s="11" t="s">
        <v>56</v>
      </c>
      <c r="C1690" s="22">
        <f t="shared" si="110"/>
        <v>25001620</v>
      </c>
      <c r="D1690" s="11" t="str">
        <f t="shared" si="107"/>
        <v>SKIIFM_AT</v>
      </c>
      <c r="E1690" s="11" t="str">
        <f>IF(I1690&lt;&gt;"",VLOOKUP(F1690,OPDRACHTGEVER!$A$2:$B$4,2,FALSE),"")</f>
        <v>SKIIFM_AT</v>
      </c>
      <c r="F1690" s="11" t="s">
        <v>58</v>
      </c>
      <c r="I1690" s="11" t="str">
        <f>IF(DATA!B1689&lt;&gt;"",DATA!B1689,"")</f>
        <v>MSMU4147742</v>
      </c>
      <c r="J1690" s="12">
        <v>0</v>
      </c>
      <c r="K1690" s="11" t="s">
        <v>53</v>
      </c>
      <c r="L1690" s="11" t="str">
        <f t="shared" si="108"/>
        <v>830150</v>
      </c>
      <c r="M1690" s="11" t="str">
        <f>IF(I1690&lt;&gt;"",DATA!E1689,"")</f>
        <v>CONTAINER DOOR LOCK</v>
      </c>
      <c r="N1690" s="12">
        <v>0</v>
      </c>
      <c r="O1690" s="11">
        <f>IF(I1690&lt;&gt;"",DATA!C1689,"")</f>
        <v>4.8</v>
      </c>
      <c r="P1690" s="2">
        <v>294094</v>
      </c>
      <c r="Q1690" s="2" t="s">
        <v>1304</v>
      </c>
      <c r="R1690" s="2" t="s">
        <v>1337</v>
      </c>
      <c r="S1690" s="2">
        <v>283</v>
      </c>
      <c r="T1690" s="2">
        <v>1</v>
      </c>
      <c r="U1690" s="2" t="s">
        <v>141</v>
      </c>
      <c r="Y1690" s="2">
        <v>1700</v>
      </c>
      <c r="Z1690" s="11" t="s">
        <v>54</v>
      </c>
      <c r="AA1690" s="11" t="str">
        <f t="shared" si="109"/>
        <v>1700 - TBN</v>
      </c>
      <c r="AC1690" s="2" t="s">
        <v>145</v>
      </c>
      <c r="AD1690" s="11" t="str">
        <f>IF($I1690&lt;&gt;"",VLOOKUP($AC1690,GEADRESSEERDE!$A$2:$E$4,2,),"")</f>
        <v>LUITHAGEN HAVEN 2 D</v>
      </c>
      <c r="AE1690" s="11">
        <f>IF($I1690&lt;&gt;"",VLOOKUP($AC1690,GEADRESSEERDE!$A$2:$E$4,3,),"")</f>
        <v>2030</v>
      </c>
      <c r="AF1690" s="11" t="str">
        <f>IF($I1690&lt;&gt;"",VLOOKUP($AC1690,GEADRESSEERDE!$A$2:$E$4,4,),"")</f>
        <v>ANTWERPEN</v>
      </c>
      <c r="AG1690" s="11" t="str">
        <f>IF($I1690&lt;&gt;"",VLOOKUP($AC1690,GEADRESSEERDE!$A$2:$E$4,5,),"")</f>
        <v>BE</v>
      </c>
      <c r="AH1690" s="11" t="str">
        <f>IF(I1690&lt;&gt;"",VLOOKUP(AP1690,KvB!$A$2:$B$3,2,FALSE),"")</f>
        <v>BE101000</v>
      </c>
      <c r="AI1690" s="11" t="s">
        <v>55</v>
      </c>
      <c r="AJ1690" s="11"/>
      <c r="AK1690" s="11"/>
      <c r="AL1690" s="11"/>
      <c r="AM1690" s="11"/>
      <c r="AN1690" s="11"/>
      <c r="AO1690" s="11"/>
      <c r="AP1690" s="2" t="s">
        <v>70</v>
      </c>
      <c r="AQ1690" s="11" t="str">
        <f>IF(I1690&lt;&gt;"",DATA!D1689,"")</f>
        <v>8301500000</v>
      </c>
    </row>
    <row r="1691" spans="1:43" ht="15.75" x14ac:dyDescent="0.25">
      <c r="A1691" s="11" t="s">
        <v>57</v>
      </c>
      <c r="B1691" s="11" t="s">
        <v>56</v>
      </c>
      <c r="C1691" s="22">
        <f t="shared" si="110"/>
        <v>25001620</v>
      </c>
      <c r="D1691" s="11" t="str">
        <f t="shared" si="107"/>
        <v>SKIIFM_AT</v>
      </c>
      <c r="E1691" s="11" t="str">
        <f>IF(I1691&lt;&gt;"",VLOOKUP(F1691,OPDRACHTGEVER!$A$2:$B$4,2,FALSE),"")</f>
        <v>SKIIFM_AT</v>
      </c>
      <c r="F1691" s="11" t="s">
        <v>58</v>
      </c>
      <c r="I1691" s="11" t="str">
        <f>IF(DATA!B1690&lt;&gt;"",DATA!B1690,"")</f>
        <v>MSMU4147742</v>
      </c>
      <c r="J1691" s="12">
        <v>0</v>
      </c>
      <c r="K1691" s="11" t="s">
        <v>53</v>
      </c>
      <c r="L1691" s="11" t="str">
        <f t="shared" si="108"/>
        <v>848180</v>
      </c>
      <c r="M1691" s="11" t="str">
        <f>IF(I1691&lt;&gt;"",DATA!E1690,"")</f>
        <v>CONTROL VALVE</v>
      </c>
      <c r="N1691" s="12">
        <v>0</v>
      </c>
      <c r="O1691" s="11">
        <f>IF(I1691&lt;&gt;"",DATA!C1690,"")</f>
        <v>33.35</v>
      </c>
      <c r="P1691" s="2">
        <v>294094</v>
      </c>
      <c r="Q1691" s="2" t="s">
        <v>1304</v>
      </c>
      <c r="R1691" s="2" t="s">
        <v>1337</v>
      </c>
      <c r="S1691" s="2">
        <v>283</v>
      </c>
      <c r="T1691" s="2">
        <v>1</v>
      </c>
      <c r="U1691" s="2" t="s">
        <v>141</v>
      </c>
      <c r="Y1691" s="2">
        <v>1700</v>
      </c>
      <c r="Z1691" s="11" t="s">
        <v>54</v>
      </c>
      <c r="AA1691" s="11" t="str">
        <f t="shared" si="109"/>
        <v>1700 - TBN</v>
      </c>
      <c r="AC1691" s="2" t="s">
        <v>145</v>
      </c>
      <c r="AD1691" s="11" t="str">
        <f>IF($I1691&lt;&gt;"",VLOOKUP($AC1691,GEADRESSEERDE!$A$2:$E$4,2,),"")</f>
        <v>LUITHAGEN HAVEN 2 D</v>
      </c>
      <c r="AE1691" s="11">
        <f>IF($I1691&lt;&gt;"",VLOOKUP($AC1691,GEADRESSEERDE!$A$2:$E$4,3,),"")</f>
        <v>2030</v>
      </c>
      <c r="AF1691" s="11" t="str">
        <f>IF($I1691&lt;&gt;"",VLOOKUP($AC1691,GEADRESSEERDE!$A$2:$E$4,4,),"")</f>
        <v>ANTWERPEN</v>
      </c>
      <c r="AG1691" s="11" t="str">
        <f>IF($I1691&lt;&gt;"",VLOOKUP($AC1691,GEADRESSEERDE!$A$2:$E$4,5,),"")</f>
        <v>BE</v>
      </c>
      <c r="AH1691" s="11" t="str">
        <f>IF(I1691&lt;&gt;"",VLOOKUP(AP1691,KvB!$A$2:$B$3,2,FALSE),"")</f>
        <v>BE101000</v>
      </c>
      <c r="AI1691" s="11" t="s">
        <v>55</v>
      </c>
      <c r="AJ1691" s="11"/>
      <c r="AK1691" s="11"/>
      <c r="AL1691" s="11"/>
      <c r="AM1691" s="11"/>
      <c r="AN1691" s="11"/>
      <c r="AO1691" s="11"/>
      <c r="AP1691" s="2" t="s">
        <v>70</v>
      </c>
      <c r="AQ1691" s="11" t="str">
        <f>IF(I1691&lt;&gt;"",DATA!D1690,"")</f>
        <v>8481803900</v>
      </c>
    </row>
    <row r="1692" spans="1:43" ht="15.75" x14ac:dyDescent="0.25">
      <c r="A1692" s="11" t="s">
        <v>57</v>
      </c>
      <c r="B1692" s="11" t="s">
        <v>56</v>
      </c>
      <c r="C1692" s="22">
        <f t="shared" si="110"/>
        <v>25001620</v>
      </c>
      <c r="D1692" s="11" t="str">
        <f t="shared" si="107"/>
        <v>SKIIFM_AT</v>
      </c>
      <c r="E1692" s="11" t="str">
        <f>IF(I1692&lt;&gt;"",VLOOKUP(F1692,OPDRACHTGEVER!$A$2:$B$4,2,FALSE),"")</f>
        <v>SKIIFM_AT</v>
      </c>
      <c r="F1692" s="11" t="s">
        <v>58</v>
      </c>
      <c r="I1692" s="11" t="str">
        <f>IF(DATA!B1691&lt;&gt;"",DATA!B1691,"")</f>
        <v>MSMU4147742</v>
      </c>
      <c r="J1692" s="12">
        <v>0</v>
      </c>
      <c r="K1692" s="11" t="s">
        <v>53</v>
      </c>
      <c r="L1692" s="11" t="str">
        <f t="shared" si="108"/>
        <v>847989</v>
      </c>
      <c r="M1692" s="11" t="str">
        <f>IF(I1692&lt;&gt;"",DATA!E1691,"")</f>
        <v>CUTTING PLOTTER</v>
      </c>
      <c r="N1692" s="12">
        <v>0</v>
      </c>
      <c r="O1692" s="11">
        <f>IF(I1692&lt;&gt;"",DATA!C1691,"")</f>
        <v>108</v>
      </c>
      <c r="P1692" s="2">
        <v>294094</v>
      </c>
      <c r="Q1692" s="2" t="s">
        <v>1304</v>
      </c>
      <c r="R1692" s="2" t="s">
        <v>1337</v>
      </c>
      <c r="S1692" s="2">
        <v>283</v>
      </c>
      <c r="T1692" s="2">
        <v>1</v>
      </c>
      <c r="U1692" s="2" t="s">
        <v>141</v>
      </c>
      <c r="Y1692" s="2">
        <v>1700</v>
      </c>
      <c r="Z1692" s="11" t="s">
        <v>54</v>
      </c>
      <c r="AA1692" s="11" t="str">
        <f t="shared" si="109"/>
        <v>1700 - TBN</v>
      </c>
      <c r="AC1692" s="2" t="s">
        <v>145</v>
      </c>
      <c r="AD1692" s="11" t="str">
        <f>IF($I1692&lt;&gt;"",VLOOKUP($AC1692,GEADRESSEERDE!$A$2:$E$4,2,),"")</f>
        <v>LUITHAGEN HAVEN 2 D</v>
      </c>
      <c r="AE1692" s="11">
        <f>IF($I1692&lt;&gt;"",VLOOKUP($AC1692,GEADRESSEERDE!$A$2:$E$4,3,),"")</f>
        <v>2030</v>
      </c>
      <c r="AF1692" s="11" t="str">
        <f>IF($I1692&lt;&gt;"",VLOOKUP($AC1692,GEADRESSEERDE!$A$2:$E$4,4,),"")</f>
        <v>ANTWERPEN</v>
      </c>
      <c r="AG1692" s="11" t="str">
        <f>IF($I1692&lt;&gt;"",VLOOKUP($AC1692,GEADRESSEERDE!$A$2:$E$4,5,),"")</f>
        <v>BE</v>
      </c>
      <c r="AH1692" s="11" t="str">
        <f>IF(I1692&lt;&gt;"",VLOOKUP(AP1692,KvB!$A$2:$B$3,2,FALSE),"")</f>
        <v>BE101000</v>
      </c>
      <c r="AI1692" s="11" t="s">
        <v>55</v>
      </c>
      <c r="AJ1692" s="11"/>
      <c r="AK1692" s="11"/>
      <c r="AL1692" s="11"/>
      <c r="AM1692" s="11"/>
      <c r="AN1692" s="11"/>
      <c r="AO1692" s="11"/>
      <c r="AP1692" s="2" t="s">
        <v>70</v>
      </c>
      <c r="AQ1692" s="11" t="str">
        <f>IF(I1692&lt;&gt;"",DATA!D1691,"")</f>
        <v>8479899790</v>
      </c>
    </row>
    <row r="1693" spans="1:43" ht="15.75" x14ac:dyDescent="0.25">
      <c r="A1693" s="11" t="s">
        <v>57</v>
      </c>
      <c r="B1693" s="11" t="s">
        <v>56</v>
      </c>
      <c r="C1693" s="22">
        <f t="shared" si="110"/>
        <v>25001620</v>
      </c>
      <c r="D1693" s="11" t="str">
        <f t="shared" si="107"/>
        <v>SKIIFM_AT</v>
      </c>
      <c r="E1693" s="11" t="str">
        <f>IF(I1693&lt;&gt;"",VLOOKUP(F1693,OPDRACHTGEVER!$A$2:$B$4,2,FALSE),"")</f>
        <v>SKIIFM_AT</v>
      </c>
      <c r="F1693" s="11" t="s">
        <v>58</v>
      </c>
      <c r="I1693" s="11" t="str">
        <f>IF(DATA!B1692&lt;&gt;"",DATA!B1692,"")</f>
        <v>MSMU4147742</v>
      </c>
      <c r="J1693" s="12">
        <v>0</v>
      </c>
      <c r="K1693" s="11" t="s">
        <v>53</v>
      </c>
      <c r="L1693" s="11" t="str">
        <f t="shared" si="108"/>
        <v>903180</v>
      </c>
      <c r="M1693" s="11" t="str">
        <f>IF(I1693&lt;&gt;"",DATA!E1692,"")</f>
        <v>CYLINDER PRESSURE GAUGE</v>
      </c>
      <c r="N1693" s="12">
        <v>0</v>
      </c>
      <c r="O1693" s="11">
        <f>IF(I1693&lt;&gt;"",DATA!C1692,"")</f>
        <v>14.3</v>
      </c>
      <c r="P1693" s="2">
        <v>294094</v>
      </c>
      <c r="Q1693" s="2" t="s">
        <v>1304</v>
      </c>
      <c r="R1693" s="2" t="s">
        <v>1337</v>
      </c>
      <c r="S1693" s="2">
        <v>283</v>
      </c>
      <c r="T1693" s="2">
        <v>1</v>
      </c>
      <c r="U1693" s="2" t="s">
        <v>141</v>
      </c>
      <c r="Y1693" s="2">
        <v>1700</v>
      </c>
      <c r="Z1693" s="11" t="s">
        <v>54</v>
      </c>
      <c r="AA1693" s="11" t="str">
        <f t="shared" si="109"/>
        <v>1700 - TBN</v>
      </c>
      <c r="AC1693" s="2" t="s">
        <v>145</v>
      </c>
      <c r="AD1693" s="11" t="str">
        <f>IF($I1693&lt;&gt;"",VLOOKUP($AC1693,GEADRESSEERDE!$A$2:$E$4,2,),"")</f>
        <v>LUITHAGEN HAVEN 2 D</v>
      </c>
      <c r="AE1693" s="11">
        <f>IF($I1693&lt;&gt;"",VLOOKUP($AC1693,GEADRESSEERDE!$A$2:$E$4,3,),"")</f>
        <v>2030</v>
      </c>
      <c r="AF1693" s="11" t="str">
        <f>IF($I1693&lt;&gt;"",VLOOKUP($AC1693,GEADRESSEERDE!$A$2:$E$4,4,),"")</f>
        <v>ANTWERPEN</v>
      </c>
      <c r="AG1693" s="11" t="str">
        <f>IF($I1693&lt;&gt;"",VLOOKUP($AC1693,GEADRESSEERDE!$A$2:$E$4,5,),"")</f>
        <v>BE</v>
      </c>
      <c r="AH1693" s="11" t="str">
        <f>IF(I1693&lt;&gt;"",VLOOKUP(AP1693,KvB!$A$2:$B$3,2,FALSE),"")</f>
        <v>BE101000</v>
      </c>
      <c r="AI1693" s="11" t="s">
        <v>55</v>
      </c>
      <c r="AJ1693" s="11"/>
      <c r="AK1693" s="11"/>
      <c r="AL1693" s="11"/>
      <c r="AM1693" s="11"/>
      <c r="AN1693" s="11"/>
      <c r="AO1693" s="11"/>
      <c r="AP1693" s="2" t="s">
        <v>70</v>
      </c>
      <c r="AQ1693" s="11" t="str">
        <f>IF(I1693&lt;&gt;"",DATA!D1692,"")</f>
        <v>9031808000</v>
      </c>
    </row>
    <row r="1694" spans="1:43" ht="15.75" x14ac:dyDescent="0.25">
      <c r="A1694" s="11" t="s">
        <v>57</v>
      </c>
      <c r="B1694" s="11" t="s">
        <v>56</v>
      </c>
      <c r="C1694" s="22">
        <f t="shared" si="110"/>
        <v>25001620</v>
      </c>
      <c r="D1694" s="11" t="str">
        <f t="shared" si="107"/>
        <v>SKIIFM_AT</v>
      </c>
      <c r="E1694" s="11" t="str">
        <f>IF(I1694&lt;&gt;"",VLOOKUP(F1694,OPDRACHTGEVER!$A$2:$B$4,2,FALSE),"")</f>
        <v>SKIIFM_AT</v>
      </c>
      <c r="F1694" s="11" t="s">
        <v>58</v>
      </c>
      <c r="I1694" s="11" t="str">
        <f>IF(DATA!B1693&lt;&gt;"",DATA!B1693,"")</f>
        <v>MSMU4147742</v>
      </c>
      <c r="J1694" s="12">
        <v>0</v>
      </c>
      <c r="K1694" s="11" t="s">
        <v>53</v>
      </c>
      <c r="L1694" s="11" t="str">
        <f t="shared" si="108"/>
        <v>741920</v>
      </c>
      <c r="M1694" s="11" t="str">
        <f>IF(I1694&lt;&gt;"",DATA!E1693,"")</f>
        <v>DECKING BALUSTER</v>
      </c>
      <c r="N1694" s="12">
        <v>0</v>
      </c>
      <c r="O1694" s="11">
        <f>IF(I1694&lt;&gt;"",DATA!C1693,"")</f>
        <v>5.65</v>
      </c>
      <c r="P1694" s="2">
        <v>294094</v>
      </c>
      <c r="Q1694" s="2" t="s">
        <v>1304</v>
      </c>
      <c r="R1694" s="2" t="s">
        <v>1337</v>
      </c>
      <c r="S1694" s="2">
        <v>283</v>
      </c>
      <c r="T1694" s="2">
        <v>1</v>
      </c>
      <c r="U1694" s="2" t="s">
        <v>141</v>
      </c>
      <c r="Y1694" s="2">
        <v>1700</v>
      </c>
      <c r="Z1694" s="11" t="s">
        <v>54</v>
      </c>
      <c r="AA1694" s="11" t="str">
        <f t="shared" si="109"/>
        <v>1700 - TBN</v>
      </c>
      <c r="AC1694" s="2" t="s">
        <v>145</v>
      </c>
      <c r="AD1694" s="11" t="str">
        <f>IF($I1694&lt;&gt;"",VLOOKUP($AC1694,GEADRESSEERDE!$A$2:$E$4,2,),"")</f>
        <v>LUITHAGEN HAVEN 2 D</v>
      </c>
      <c r="AE1694" s="11">
        <f>IF($I1694&lt;&gt;"",VLOOKUP($AC1694,GEADRESSEERDE!$A$2:$E$4,3,),"")</f>
        <v>2030</v>
      </c>
      <c r="AF1694" s="11" t="str">
        <f>IF($I1694&lt;&gt;"",VLOOKUP($AC1694,GEADRESSEERDE!$A$2:$E$4,4,),"")</f>
        <v>ANTWERPEN</v>
      </c>
      <c r="AG1694" s="11" t="str">
        <f>IF($I1694&lt;&gt;"",VLOOKUP($AC1694,GEADRESSEERDE!$A$2:$E$4,5,),"")</f>
        <v>BE</v>
      </c>
      <c r="AH1694" s="11" t="str">
        <f>IF(I1694&lt;&gt;"",VLOOKUP(AP1694,KvB!$A$2:$B$3,2,FALSE),"")</f>
        <v>BE101000</v>
      </c>
      <c r="AI1694" s="11" t="s">
        <v>55</v>
      </c>
      <c r="AJ1694" s="11"/>
      <c r="AK1694" s="11"/>
      <c r="AL1694" s="11"/>
      <c r="AM1694" s="11"/>
      <c r="AN1694" s="11"/>
      <c r="AO1694" s="11"/>
      <c r="AP1694" s="2" t="s">
        <v>70</v>
      </c>
      <c r="AQ1694" s="11" t="str">
        <f>IF(I1694&lt;&gt;"",DATA!D1693,"")</f>
        <v>7419200090</v>
      </c>
    </row>
    <row r="1695" spans="1:43" ht="15.75" x14ac:dyDescent="0.25">
      <c r="A1695" s="11" t="s">
        <v>57</v>
      </c>
      <c r="B1695" s="11" t="s">
        <v>56</v>
      </c>
      <c r="C1695" s="22">
        <f t="shared" si="110"/>
        <v>25001620</v>
      </c>
      <c r="D1695" s="11" t="str">
        <f t="shared" si="107"/>
        <v>SKIIFM_AT</v>
      </c>
      <c r="E1695" s="11" t="str">
        <f>IF(I1695&lt;&gt;"",VLOOKUP(F1695,OPDRACHTGEVER!$A$2:$B$4,2,FALSE),"")</f>
        <v>SKIIFM_AT</v>
      </c>
      <c r="F1695" s="11" t="s">
        <v>58</v>
      </c>
      <c r="I1695" s="11" t="str">
        <f>IF(DATA!B1694&lt;&gt;"",DATA!B1694,"")</f>
        <v>MSMU4147742</v>
      </c>
      <c r="J1695" s="12">
        <v>0</v>
      </c>
      <c r="K1695" s="11" t="s">
        <v>53</v>
      </c>
      <c r="L1695" s="11" t="str">
        <f t="shared" si="108"/>
        <v>820411</v>
      </c>
      <c r="M1695" s="11" t="str">
        <f>IF(I1695&lt;&gt;"",DATA!E1694,"")</f>
        <v>DIGITAL TORQUE WRENCH</v>
      </c>
      <c r="N1695" s="12">
        <v>0</v>
      </c>
      <c r="O1695" s="11">
        <f>IF(I1695&lt;&gt;"",DATA!C1694,"")</f>
        <v>10.6</v>
      </c>
      <c r="P1695" s="2">
        <v>294094</v>
      </c>
      <c r="Q1695" s="2" t="s">
        <v>1304</v>
      </c>
      <c r="R1695" s="2" t="s">
        <v>1337</v>
      </c>
      <c r="S1695" s="2">
        <v>283</v>
      </c>
      <c r="T1695" s="2">
        <v>1</v>
      </c>
      <c r="U1695" s="2" t="s">
        <v>141</v>
      </c>
      <c r="Y1695" s="2">
        <v>1700</v>
      </c>
      <c r="Z1695" s="11" t="s">
        <v>54</v>
      </c>
      <c r="AA1695" s="11" t="str">
        <f t="shared" si="109"/>
        <v>1700 - TBN</v>
      </c>
      <c r="AC1695" s="2" t="s">
        <v>145</v>
      </c>
      <c r="AD1695" s="11" t="str">
        <f>IF($I1695&lt;&gt;"",VLOOKUP($AC1695,GEADRESSEERDE!$A$2:$E$4,2,),"")</f>
        <v>LUITHAGEN HAVEN 2 D</v>
      </c>
      <c r="AE1695" s="11">
        <f>IF($I1695&lt;&gt;"",VLOOKUP($AC1695,GEADRESSEERDE!$A$2:$E$4,3,),"")</f>
        <v>2030</v>
      </c>
      <c r="AF1695" s="11" t="str">
        <f>IF($I1695&lt;&gt;"",VLOOKUP($AC1695,GEADRESSEERDE!$A$2:$E$4,4,),"")</f>
        <v>ANTWERPEN</v>
      </c>
      <c r="AG1695" s="11" t="str">
        <f>IF($I1695&lt;&gt;"",VLOOKUP($AC1695,GEADRESSEERDE!$A$2:$E$4,5,),"")</f>
        <v>BE</v>
      </c>
      <c r="AH1695" s="11" t="str">
        <f>IF(I1695&lt;&gt;"",VLOOKUP(AP1695,KvB!$A$2:$B$3,2,FALSE),"")</f>
        <v>BE101000</v>
      </c>
      <c r="AI1695" s="11" t="s">
        <v>55</v>
      </c>
      <c r="AJ1695" s="11"/>
      <c r="AK1695" s="11"/>
      <c r="AL1695" s="11"/>
      <c r="AM1695" s="11"/>
      <c r="AN1695" s="11"/>
      <c r="AO1695" s="11"/>
      <c r="AP1695" s="2" t="s">
        <v>70</v>
      </c>
      <c r="AQ1695" s="11" t="str">
        <f>IF(I1695&lt;&gt;"",DATA!D1694,"")</f>
        <v>8204110000</v>
      </c>
    </row>
    <row r="1696" spans="1:43" ht="15.75" x14ac:dyDescent="0.25">
      <c r="A1696" s="11" t="s">
        <v>57</v>
      </c>
      <c r="B1696" s="11" t="s">
        <v>56</v>
      </c>
      <c r="C1696" s="22">
        <f t="shared" si="110"/>
        <v>25001620</v>
      </c>
      <c r="D1696" s="11" t="str">
        <f t="shared" si="107"/>
        <v>SKIIFM_AT</v>
      </c>
      <c r="E1696" s="11" t="str">
        <f>IF(I1696&lt;&gt;"",VLOOKUP(F1696,OPDRACHTGEVER!$A$2:$B$4,2,FALSE),"")</f>
        <v>SKIIFM_AT</v>
      </c>
      <c r="F1696" s="11" t="s">
        <v>58</v>
      </c>
      <c r="I1696" s="11" t="str">
        <f>IF(DATA!B1695&lt;&gt;"",DATA!B1695,"")</f>
        <v>MSMU4147742</v>
      </c>
      <c r="J1696" s="12">
        <v>0</v>
      </c>
      <c r="K1696" s="11" t="s">
        <v>53</v>
      </c>
      <c r="L1696" s="11" t="str">
        <f t="shared" si="108"/>
        <v>841850</v>
      </c>
      <c r="M1696" s="11" t="str">
        <f>IF(I1696&lt;&gt;"",DATA!E1695,"")</f>
        <v>DISPLAY CABINET</v>
      </c>
      <c r="N1696" s="12">
        <v>0</v>
      </c>
      <c r="O1696" s="11">
        <f>IF(I1696&lt;&gt;"",DATA!C1695,"")</f>
        <v>660</v>
      </c>
      <c r="P1696" s="2">
        <v>294094</v>
      </c>
      <c r="Q1696" s="2" t="s">
        <v>1304</v>
      </c>
      <c r="R1696" s="2" t="s">
        <v>1337</v>
      </c>
      <c r="S1696" s="2">
        <v>283</v>
      </c>
      <c r="T1696" s="2">
        <v>1</v>
      </c>
      <c r="U1696" s="2" t="s">
        <v>141</v>
      </c>
      <c r="Y1696" s="2">
        <v>1700</v>
      </c>
      <c r="Z1696" s="11" t="s">
        <v>54</v>
      </c>
      <c r="AA1696" s="11" t="str">
        <f t="shared" si="109"/>
        <v>1700 - TBN</v>
      </c>
      <c r="AC1696" s="2" t="s">
        <v>145</v>
      </c>
      <c r="AD1696" s="11" t="str">
        <f>IF($I1696&lt;&gt;"",VLOOKUP($AC1696,GEADRESSEERDE!$A$2:$E$4,2,),"")</f>
        <v>LUITHAGEN HAVEN 2 D</v>
      </c>
      <c r="AE1696" s="11">
        <f>IF($I1696&lt;&gt;"",VLOOKUP($AC1696,GEADRESSEERDE!$A$2:$E$4,3,),"")</f>
        <v>2030</v>
      </c>
      <c r="AF1696" s="11" t="str">
        <f>IF($I1696&lt;&gt;"",VLOOKUP($AC1696,GEADRESSEERDE!$A$2:$E$4,4,),"")</f>
        <v>ANTWERPEN</v>
      </c>
      <c r="AG1696" s="11" t="str">
        <f>IF($I1696&lt;&gt;"",VLOOKUP($AC1696,GEADRESSEERDE!$A$2:$E$4,5,),"")</f>
        <v>BE</v>
      </c>
      <c r="AH1696" s="11" t="str">
        <f>IF(I1696&lt;&gt;"",VLOOKUP(AP1696,KvB!$A$2:$B$3,2,FALSE),"")</f>
        <v>BE101000</v>
      </c>
      <c r="AI1696" s="11" t="s">
        <v>55</v>
      </c>
      <c r="AJ1696" s="11"/>
      <c r="AK1696" s="11"/>
      <c r="AL1696" s="11"/>
      <c r="AM1696" s="11"/>
      <c r="AN1696" s="11"/>
      <c r="AO1696" s="11"/>
      <c r="AP1696" s="2" t="s">
        <v>70</v>
      </c>
      <c r="AQ1696" s="11" t="str">
        <f>IF(I1696&lt;&gt;"",DATA!D1695,"")</f>
        <v>8418509090</v>
      </c>
    </row>
    <row r="1697" spans="1:43" ht="15.75" x14ac:dyDescent="0.25">
      <c r="A1697" s="11" t="s">
        <v>57</v>
      </c>
      <c r="B1697" s="11" t="s">
        <v>56</v>
      </c>
      <c r="C1697" s="22">
        <f t="shared" si="110"/>
        <v>25001620</v>
      </c>
      <c r="D1697" s="11" t="str">
        <f t="shared" si="107"/>
        <v>SKIIFM_AT</v>
      </c>
      <c r="E1697" s="11" t="str">
        <f>IF(I1697&lt;&gt;"",VLOOKUP(F1697,OPDRACHTGEVER!$A$2:$B$4,2,FALSE),"")</f>
        <v>SKIIFM_AT</v>
      </c>
      <c r="F1697" s="11" t="s">
        <v>58</v>
      </c>
      <c r="I1697" s="11" t="str">
        <f>IF(DATA!B1696&lt;&gt;"",DATA!B1696,"")</f>
        <v>MSMU4147742</v>
      </c>
      <c r="J1697" s="12">
        <v>0</v>
      </c>
      <c r="K1697" s="11" t="s">
        <v>53</v>
      </c>
      <c r="L1697" s="11" t="str">
        <f t="shared" si="108"/>
        <v>761699</v>
      </c>
      <c r="M1697" s="11" t="str">
        <f>IF(I1697&lt;&gt;"",DATA!E1696,"")</f>
        <v>DUNNAGE RACK</v>
      </c>
      <c r="N1697" s="12">
        <v>0</v>
      </c>
      <c r="O1697" s="11">
        <f>IF(I1697&lt;&gt;"",DATA!C1696,"")</f>
        <v>2.75</v>
      </c>
      <c r="P1697" s="2">
        <v>294094</v>
      </c>
      <c r="Q1697" s="2" t="s">
        <v>1304</v>
      </c>
      <c r="R1697" s="2" t="s">
        <v>1337</v>
      </c>
      <c r="S1697" s="2">
        <v>283</v>
      </c>
      <c r="T1697" s="2">
        <v>1</v>
      </c>
      <c r="U1697" s="2" t="s">
        <v>141</v>
      </c>
      <c r="Y1697" s="2">
        <v>1700</v>
      </c>
      <c r="Z1697" s="11" t="s">
        <v>54</v>
      </c>
      <c r="AA1697" s="11" t="str">
        <f t="shared" si="109"/>
        <v>1700 - TBN</v>
      </c>
      <c r="AC1697" s="2" t="s">
        <v>145</v>
      </c>
      <c r="AD1697" s="11" t="str">
        <f>IF($I1697&lt;&gt;"",VLOOKUP($AC1697,GEADRESSEERDE!$A$2:$E$4,2,),"")</f>
        <v>LUITHAGEN HAVEN 2 D</v>
      </c>
      <c r="AE1697" s="11">
        <f>IF($I1697&lt;&gt;"",VLOOKUP($AC1697,GEADRESSEERDE!$A$2:$E$4,3,),"")</f>
        <v>2030</v>
      </c>
      <c r="AF1697" s="11" t="str">
        <f>IF($I1697&lt;&gt;"",VLOOKUP($AC1697,GEADRESSEERDE!$A$2:$E$4,4,),"")</f>
        <v>ANTWERPEN</v>
      </c>
      <c r="AG1697" s="11" t="str">
        <f>IF($I1697&lt;&gt;"",VLOOKUP($AC1697,GEADRESSEERDE!$A$2:$E$4,5,),"")</f>
        <v>BE</v>
      </c>
      <c r="AH1697" s="11" t="str">
        <f>IF(I1697&lt;&gt;"",VLOOKUP(AP1697,KvB!$A$2:$B$3,2,FALSE),"")</f>
        <v>BE101000</v>
      </c>
      <c r="AI1697" s="11" t="s">
        <v>55</v>
      </c>
      <c r="AJ1697" s="11"/>
      <c r="AK1697" s="11"/>
      <c r="AL1697" s="11"/>
      <c r="AM1697" s="11"/>
      <c r="AN1697" s="11"/>
      <c r="AO1697" s="11"/>
      <c r="AP1697" s="2" t="s">
        <v>70</v>
      </c>
      <c r="AQ1697" s="11" t="str">
        <f>IF(I1697&lt;&gt;"",DATA!D1696,"")</f>
        <v>7616999099</v>
      </c>
    </row>
    <row r="1698" spans="1:43" ht="15.75" x14ac:dyDescent="0.25">
      <c r="A1698" s="11" t="s">
        <v>57</v>
      </c>
      <c r="B1698" s="11" t="s">
        <v>56</v>
      </c>
      <c r="C1698" s="22">
        <f t="shared" si="110"/>
        <v>25001620</v>
      </c>
      <c r="D1698" s="11" t="str">
        <f t="shared" si="107"/>
        <v>SKIIFM_AT</v>
      </c>
      <c r="E1698" s="11" t="str">
        <f>IF(I1698&lt;&gt;"",VLOOKUP(F1698,OPDRACHTGEVER!$A$2:$B$4,2,FALSE),"")</f>
        <v>SKIIFM_AT</v>
      </c>
      <c r="F1698" s="11" t="s">
        <v>58</v>
      </c>
      <c r="I1698" s="11" t="str">
        <f>IF(DATA!B1697&lt;&gt;"",DATA!B1697,"")</f>
        <v>MSMU4147742</v>
      </c>
      <c r="J1698" s="12">
        <v>0</v>
      </c>
      <c r="K1698" s="11" t="s">
        <v>53</v>
      </c>
      <c r="L1698" s="11" t="str">
        <f t="shared" si="108"/>
        <v>851660</v>
      </c>
      <c r="M1698" s="11" t="str">
        <f>IF(I1698&lt;&gt;"",DATA!E1697,"")</f>
        <v>ELECTRIC ROTISSERIE</v>
      </c>
      <c r="N1698" s="12">
        <v>0</v>
      </c>
      <c r="O1698" s="11">
        <f>IF(I1698&lt;&gt;"",DATA!C1697,"")</f>
        <v>146.25</v>
      </c>
      <c r="P1698" s="2">
        <v>294094</v>
      </c>
      <c r="Q1698" s="2" t="s">
        <v>1304</v>
      </c>
      <c r="R1698" s="2" t="s">
        <v>1337</v>
      </c>
      <c r="S1698" s="2">
        <v>283</v>
      </c>
      <c r="T1698" s="2">
        <v>1</v>
      </c>
      <c r="U1698" s="2" t="s">
        <v>141</v>
      </c>
      <c r="Y1698" s="2">
        <v>1700</v>
      </c>
      <c r="Z1698" s="11" t="s">
        <v>54</v>
      </c>
      <c r="AA1698" s="11" t="str">
        <f t="shared" si="109"/>
        <v>1700 - TBN</v>
      </c>
      <c r="AC1698" s="2" t="s">
        <v>145</v>
      </c>
      <c r="AD1698" s="11" t="str">
        <f>IF($I1698&lt;&gt;"",VLOOKUP($AC1698,GEADRESSEERDE!$A$2:$E$4,2,),"")</f>
        <v>LUITHAGEN HAVEN 2 D</v>
      </c>
      <c r="AE1698" s="11">
        <f>IF($I1698&lt;&gt;"",VLOOKUP($AC1698,GEADRESSEERDE!$A$2:$E$4,3,),"")</f>
        <v>2030</v>
      </c>
      <c r="AF1698" s="11" t="str">
        <f>IF($I1698&lt;&gt;"",VLOOKUP($AC1698,GEADRESSEERDE!$A$2:$E$4,4,),"")</f>
        <v>ANTWERPEN</v>
      </c>
      <c r="AG1698" s="11" t="str">
        <f>IF($I1698&lt;&gt;"",VLOOKUP($AC1698,GEADRESSEERDE!$A$2:$E$4,5,),"")</f>
        <v>BE</v>
      </c>
      <c r="AH1698" s="11" t="str">
        <f>IF(I1698&lt;&gt;"",VLOOKUP(AP1698,KvB!$A$2:$B$3,2,FALSE),"")</f>
        <v>BE101000</v>
      </c>
      <c r="AI1698" s="11" t="s">
        <v>55</v>
      </c>
      <c r="AJ1698" s="11"/>
      <c r="AK1698" s="11"/>
      <c r="AL1698" s="11"/>
      <c r="AM1698" s="11"/>
      <c r="AN1698" s="11"/>
      <c r="AO1698" s="11"/>
      <c r="AP1698" s="2" t="s">
        <v>70</v>
      </c>
      <c r="AQ1698" s="11" t="str">
        <f>IF(I1698&lt;&gt;"",DATA!D1697,"")</f>
        <v>8516609000</v>
      </c>
    </row>
    <row r="1699" spans="1:43" ht="15.75" x14ac:dyDescent="0.25">
      <c r="A1699" s="11" t="s">
        <v>57</v>
      </c>
      <c r="B1699" s="11" t="s">
        <v>56</v>
      </c>
      <c r="C1699" s="22">
        <f t="shared" si="110"/>
        <v>25001620</v>
      </c>
      <c r="D1699" s="11" t="str">
        <f t="shared" si="107"/>
        <v>SKIIFM_AT</v>
      </c>
      <c r="E1699" s="11" t="str">
        <f>IF(I1699&lt;&gt;"",VLOOKUP(F1699,OPDRACHTGEVER!$A$2:$B$4,2,FALSE),"")</f>
        <v>SKIIFM_AT</v>
      </c>
      <c r="F1699" s="11" t="s">
        <v>58</v>
      </c>
      <c r="I1699" s="11" t="str">
        <f>IF(DATA!B1698&lt;&gt;"",DATA!B1698,"")</f>
        <v>MSMU4147742</v>
      </c>
      <c r="J1699" s="12">
        <v>0</v>
      </c>
      <c r="K1699" s="11" t="s">
        <v>53</v>
      </c>
      <c r="L1699" s="11" t="str">
        <f t="shared" si="108"/>
        <v>846490</v>
      </c>
      <c r="M1699" s="11" t="str">
        <f>IF(I1699&lt;&gt;"",DATA!E1698,"")</f>
        <v>ENGRAVING MACHINE</v>
      </c>
      <c r="N1699" s="12">
        <v>0</v>
      </c>
      <c r="O1699" s="11">
        <f>IF(I1699&lt;&gt;"",DATA!C1698,"")</f>
        <v>2.2999999999999998</v>
      </c>
      <c r="P1699" s="2">
        <v>294094</v>
      </c>
      <c r="Q1699" s="2" t="s">
        <v>1304</v>
      </c>
      <c r="R1699" s="2" t="s">
        <v>1337</v>
      </c>
      <c r="S1699" s="2">
        <v>283</v>
      </c>
      <c r="T1699" s="2">
        <v>1</v>
      </c>
      <c r="U1699" s="2" t="s">
        <v>141</v>
      </c>
      <c r="Y1699" s="2">
        <v>1700</v>
      </c>
      <c r="Z1699" s="11" t="s">
        <v>54</v>
      </c>
      <c r="AA1699" s="11" t="str">
        <f t="shared" si="109"/>
        <v>1700 - TBN</v>
      </c>
      <c r="AC1699" s="2" t="s">
        <v>145</v>
      </c>
      <c r="AD1699" s="11" t="str">
        <f>IF($I1699&lt;&gt;"",VLOOKUP($AC1699,GEADRESSEERDE!$A$2:$E$4,2,),"")</f>
        <v>LUITHAGEN HAVEN 2 D</v>
      </c>
      <c r="AE1699" s="11">
        <f>IF($I1699&lt;&gt;"",VLOOKUP($AC1699,GEADRESSEERDE!$A$2:$E$4,3,),"")</f>
        <v>2030</v>
      </c>
      <c r="AF1699" s="11" t="str">
        <f>IF($I1699&lt;&gt;"",VLOOKUP($AC1699,GEADRESSEERDE!$A$2:$E$4,4,),"")</f>
        <v>ANTWERPEN</v>
      </c>
      <c r="AG1699" s="11" t="str">
        <f>IF($I1699&lt;&gt;"",VLOOKUP($AC1699,GEADRESSEERDE!$A$2:$E$4,5,),"")</f>
        <v>BE</v>
      </c>
      <c r="AH1699" s="11" t="str">
        <f>IF(I1699&lt;&gt;"",VLOOKUP(AP1699,KvB!$A$2:$B$3,2,FALSE),"")</f>
        <v>BE101000</v>
      </c>
      <c r="AI1699" s="11" t="s">
        <v>55</v>
      </c>
      <c r="AJ1699" s="11"/>
      <c r="AK1699" s="11"/>
      <c r="AL1699" s="11"/>
      <c r="AM1699" s="11"/>
      <c r="AN1699" s="11"/>
      <c r="AO1699" s="11"/>
      <c r="AP1699" s="2" t="s">
        <v>70</v>
      </c>
      <c r="AQ1699" s="11" t="str">
        <f>IF(I1699&lt;&gt;"",DATA!D1698,"")</f>
        <v>8464900000</v>
      </c>
    </row>
    <row r="1700" spans="1:43" ht="15.75" x14ac:dyDescent="0.25">
      <c r="A1700" s="11" t="s">
        <v>57</v>
      </c>
      <c r="B1700" s="11" t="s">
        <v>56</v>
      </c>
      <c r="C1700" s="22">
        <f t="shared" si="110"/>
        <v>25001620</v>
      </c>
      <c r="D1700" s="11" t="str">
        <f t="shared" si="107"/>
        <v>SKIIFM_AT</v>
      </c>
      <c r="E1700" s="11" t="str">
        <f>IF(I1700&lt;&gt;"",VLOOKUP(F1700,OPDRACHTGEVER!$A$2:$B$4,2,FALSE),"")</f>
        <v>SKIIFM_AT</v>
      </c>
      <c r="F1700" s="11" t="s">
        <v>58</v>
      </c>
      <c r="I1700" s="11" t="str">
        <f>IF(DATA!B1699&lt;&gt;"",DATA!B1699,"")</f>
        <v>MSMU4147742</v>
      </c>
      <c r="J1700" s="12">
        <v>0</v>
      </c>
      <c r="K1700" s="11" t="s">
        <v>53</v>
      </c>
      <c r="L1700" s="11" t="str">
        <f t="shared" si="108"/>
        <v>853110</v>
      </c>
      <c r="M1700" s="11" t="str">
        <f>IF(I1700&lt;&gt;"",DATA!E1699,"")</f>
        <v>FIRE RESISTANT PAD</v>
      </c>
      <c r="N1700" s="12">
        <v>0</v>
      </c>
      <c r="O1700" s="11">
        <f>IF(I1700&lt;&gt;"",DATA!C1699,"")</f>
        <v>4.8</v>
      </c>
      <c r="P1700" s="2">
        <v>294094</v>
      </c>
      <c r="Q1700" s="2" t="s">
        <v>1304</v>
      </c>
      <c r="R1700" s="2" t="s">
        <v>1337</v>
      </c>
      <c r="S1700" s="2">
        <v>283</v>
      </c>
      <c r="T1700" s="2">
        <v>1</v>
      </c>
      <c r="U1700" s="2" t="s">
        <v>141</v>
      </c>
      <c r="Y1700" s="2">
        <v>1700</v>
      </c>
      <c r="Z1700" s="11" t="s">
        <v>54</v>
      </c>
      <c r="AA1700" s="11" t="str">
        <f t="shared" si="109"/>
        <v>1700 - TBN</v>
      </c>
      <c r="AC1700" s="2" t="s">
        <v>145</v>
      </c>
      <c r="AD1700" s="11" t="str">
        <f>IF($I1700&lt;&gt;"",VLOOKUP($AC1700,GEADRESSEERDE!$A$2:$E$4,2,),"")</f>
        <v>LUITHAGEN HAVEN 2 D</v>
      </c>
      <c r="AE1700" s="11">
        <f>IF($I1700&lt;&gt;"",VLOOKUP($AC1700,GEADRESSEERDE!$A$2:$E$4,3,),"")</f>
        <v>2030</v>
      </c>
      <c r="AF1700" s="11" t="str">
        <f>IF($I1700&lt;&gt;"",VLOOKUP($AC1700,GEADRESSEERDE!$A$2:$E$4,4,),"")</f>
        <v>ANTWERPEN</v>
      </c>
      <c r="AG1700" s="11" t="str">
        <f>IF($I1700&lt;&gt;"",VLOOKUP($AC1700,GEADRESSEERDE!$A$2:$E$4,5,),"")</f>
        <v>BE</v>
      </c>
      <c r="AH1700" s="11" t="str">
        <f>IF(I1700&lt;&gt;"",VLOOKUP(AP1700,KvB!$A$2:$B$3,2,FALSE),"")</f>
        <v>BE101000</v>
      </c>
      <c r="AI1700" s="11" t="s">
        <v>55</v>
      </c>
      <c r="AJ1700" s="11"/>
      <c r="AK1700" s="11"/>
      <c r="AL1700" s="11"/>
      <c r="AM1700" s="11"/>
      <c r="AN1700" s="11"/>
      <c r="AO1700" s="11"/>
      <c r="AP1700" s="2" t="s">
        <v>70</v>
      </c>
      <c r="AQ1700" s="11" t="str">
        <f>IF(I1700&lt;&gt;"",DATA!D1699,"")</f>
        <v>8531109590</v>
      </c>
    </row>
    <row r="1701" spans="1:43" ht="15.75" x14ac:dyDescent="0.25">
      <c r="A1701" s="11" t="s">
        <v>57</v>
      </c>
      <c r="B1701" s="11" t="s">
        <v>56</v>
      </c>
      <c r="C1701" s="22">
        <f t="shared" si="110"/>
        <v>25001620</v>
      </c>
      <c r="D1701" s="11" t="str">
        <f t="shared" si="107"/>
        <v>SKIIFM_AT</v>
      </c>
      <c r="E1701" s="11" t="str">
        <f>IF(I1701&lt;&gt;"",VLOOKUP(F1701,OPDRACHTGEVER!$A$2:$B$4,2,FALSE),"")</f>
        <v>SKIIFM_AT</v>
      </c>
      <c r="F1701" s="11" t="s">
        <v>58</v>
      </c>
      <c r="I1701" s="11" t="str">
        <f>IF(DATA!B1700&lt;&gt;"",DATA!B1700,"")</f>
        <v>MSMU4147742</v>
      </c>
      <c r="J1701" s="12">
        <v>0</v>
      </c>
      <c r="K1701" s="11" t="s">
        <v>53</v>
      </c>
      <c r="L1701" s="11" t="str">
        <f t="shared" si="108"/>
        <v>940320</v>
      </c>
      <c r="M1701" s="11" t="str">
        <f>IF(I1701&lt;&gt;"",DATA!E1700,"")</f>
        <v>FOLDING SCAFFOLDING</v>
      </c>
      <c r="N1701" s="12">
        <v>0</v>
      </c>
      <c r="O1701" s="11">
        <f>IF(I1701&lt;&gt;"",DATA!C1700,"")</f>
        <v>202.5</v>
      </c>
      <c r="P1701" s="2">
        <v>294094</v>
      </c>
      <c r="Q1701" s="2" t="s">
        <v>1304</v>
      </c>
      <c r="R1701" s="2" t="s">
        <v>1337</v>
      </c>
      <c r="S1701" s="2">
        <v>283</v>
      </c>
      <c r="T1701" s="2">
        <v>1</v>
      </c>
      <c r="U1701" s="2" t="s">
        <v>141</v>
      </c>
      <c r="Y1701" s="2">
        <v>1700</v>
      </c>
      <c r="Z1701" s="11" t="s">
        <v>54</v>
      </c>
      <c r="AA1701" s="11" t="str">
        <f t="shared" si="109"/>
        <v>1700 - TBN</v>
      </c>
      <c r="AC1701" s="2" t="s">
        <v>145</v>
      </c>
      <c r="AD1701" s="11" t="str">
        <f>IF($I1701&lt;&gt;"",VLOOKUP($AC1701,GEADRESSEERDE!$A$2:$E$4,2,),"")</f>
        <v>LUITHAGEN HAVEN 2 D</v>
      </c>
      <c r="AE1701" s="11">
        <f>IF($I1701&lt;&gt;"",VLOOKUP($AC1701,GEADRESSEERDE!$A$2:$E$4,3,),"")</f>
        <v>2030</v>
      </c>
      <c r="AF1701" s="11" t="str">
        <f>IF($I1701&lt;&gt;"",VLOOKUP($AC1701,GEADRESSEERDE!$A$2:$E$4,4,),"")</f>
        <v>ANTWERPEN</v>
      </c>
      <c r="AG1701" s="11" t="str">
        <f>IF($I1701&lt;&gt;"",VLOOKUP($AC1701,GEADRESSEERDE!$A$2:$E$4,5,),"")</f>
        <v>BE</v>
      </c>
      <c r="AH1701" s="11" t="str">
        <f>IF(I1701&lt;&gt;"",VLOOKUP(AP1701,KvB!$A$2:$B$3,2,FALSE),"")</f>
        <v>BE101000</v>
      </c>
      <c r="AI1701" s="11" t="s">
        <v>55</v>
      </c>
      <c r="AJ1701" s="11"/>
      <c r="AK1701" s="11"/>
      <c r="AL1701" s="11"/>
      <c r="AM1701" s="11"/>
      <c r="AN1701" s="11"/>
      <c r="AO1701" s="11"/>
      <c r="AP1701" s="2" t="s">
        <v>70</v>
      </c>
      <c r="AQ1701" s="11" t="str">
        <f>IF(I1701&lt;&gt;"",DATA!D1700,"")</f>
        <v>9403208000</v>
      </c>
    </row>
    <row r="1702" spans="1:43" ht="15.75" x14ac:dyDescent="0.25">
      <c r="A1702" s="11" t="s">
        <v>57</v>
      </c>
      <c r="B1702" s="11" t="s">
        <v>56</v>
      </c>
      <c r="C1702" s="22">
        <f t="shared" si="110"/>
        <v>25001620</v>
      </c>
      <c r="D1702" s="11" t="str">
        <f t="shared" si="107"/>
        <v>SKIIFM_AT</v>
      </c>
      <c r="E1702" s="11" t="str">
        <f>IF(I1702&lt;&gt;"",VLOOKUP(F1702,OPDRACHTGEVER!$A$2:$B$4,2,FALSE),"")</f>
        <v>SKIIFM_AT</v>
      </c>
      <c r="F1702" s="11" t="s">
        <v>58</v>
      </c>
      <c r="I1702" s="11" t="str">
        <f>IF(DATA!B1701&lt;&gt;"",DATA!B1701,"")</f>
        <v>MSMU4147742</v>
      </c>
      <c r="J1702" s="12">
        <v>0</v>
      </c>
      <c r="K1702" s="11" t="s">
        <v>53</v>
      </c>
      <c r="L1702" s="11" t="str">
        <f t="shared" si="108"/>
        <v>850440</v>
      </c>
      <c r="M1702" s="11" t="str">
        <f>IF(I1702&lt;&gt;"",DATA!E1701,"")</f>
        <v>FREQUENCY CONVERTER</v>
      </c>
      <c r="N1702" s="12">
        <v>0</v>
      </c>
      <c r="O1702" s="11">
        <f>IF(I1702&lt;&gt;"",DATA!C1701,"")</f>
        <v>5.8</v>
      </c>
      <c r="P1702" s="2">
        <v>294094</v>
      </c>
      <c r="Q1702" s="2" t="s">
        <v>1304</v>
      </c>
      <c r="R1702" s="2" t="s">
        <v>1337</v>
      </c>
      <c r="S1702" s="2">
        <v>283</v>
      </c>
      <c r="T1702" s="2">
        <v>1</v>
      </c>
      <c r="U1702" s="2" t="s">
        <v>141</v>
      </c>
      <c r="Y1702" s="2">
        <v>1700</v>
      </c>
      <c r="Z1702" s="11" t="s">
        <v>54</v>
      </c>
      <c r="AA1702" s="11" t="str">
        <f t="shared" si="109"/>
        <v>1700 - TBN</v>
      </c>
      <c r="AC1702" s="2" t="s">
        <v>145</v>
      </c>
      <c r="AD1702" s="11" t="str">
        <f>IF($I1702&lt;&gt;"",VLOOKUP($AC1702,GEADRESSEERDE!$A$2:$E$4,2,),"")</f>
        <v>LUITHAGEN HAVEN 2 D</v>
      </c>
      <c r="AE1702" s="11">
        <f>IF($I1702&lt;&gt;"",VLOOKUP($AC1702,GEADRESSEERDE!$A$2:$E$4,3,),"")</f>
        <v>2030</v>
      </c>
      <c r="AF1702" s="11" t="str">
        <f>IF($I1702&lt;&gt;"",VLOOKUP($AC1702,GEADRESSEERDE!$A$2:$E$4,4,),"")</f>
        <v>ANTWERPEN</v>
      </c>
      <c r="AG1702" s="11" t="str">
        <f>IF($I1702&lt;&gt;"",VLOOKUP($AC1702,GEADRESSEERDE!$A$2:$E$4,5,),"")</f>
        <v>BE</v>
      </c>
      <c r="AH1702" s="11" t="str">
        <f>IF(I1702&lt;&gt;"",VLOOKUP(AP1702,KvB!$A$2:$B$3,2,FALSE),"")</f>
        <v>BE101000</v>
      </c>
      <c r="AI1702" s="11" t="s">
        <v>55</v>
      </c>
      <c r="AJ1702" s="11"/>
      <c r="AK1702" s="11"/>
      <c r="AL1702" s="11"/>
      <c r="AM1702" s="11"/>
      <c r="AN1702" s="11"/>
      <c r="AO1702" s="11"/>
      <c r="AP1702" s="2" t="s">
        <v>70</v>
      </c>
      <c r="AQ1702" s="11" t="str">
        <f>IF(I1702&lt;&gt;"",DATA!D1701,"")</f>
        <v>8504406090</v>
      </c>
    </row>
    <row r="1703" spans="1:43" ht="15.75" x14ac:dyDescent="0.25">
      <c r="A1703" s="11" t="s">
        <v>57</v>
      </c>
      <c r="B1703" s="11" t="s">
        <v>56</v>
      </c>
      <c r="C1703" s="22">
        <f t="shared" si="110"/>
        <v>25001620</v>
      </c>
      <c r="D1703" s="11" t="str">
        <f t="shared" si="107"/>
        <v>SKIIFM_AT</v>
      </c>
      <c r="E1703" s="11" t="str">
        <f>IF(I1703&lt;&gt;"",VLOOKUP(F1703,OPDRACHTGEVER!$A$2:$B$4,2,FALSE),"")</f>
        <v>SKIIFM_AT</v>
      </c>
      <c r="F1703" s="11" t="s">
        <v>58</v>
      </c>
      <c r="I1703" s="11" t="str">
        <f>IF(DATA!B1702&lt;&gt;"",DATA!B1702,"")</f>
        <v>MSMU4147742</v>
      </c>
      <c r="J1703" s="12">
        <v>0</v>
      </c>
      <c r="K1703" s="11" t="s">
        <v>53</v>
      </c>
      <c r="L1703" s="11" t="str">
        <f t="shared" si="108"/>
        <v>851633</v>
      </c>
      <c r="M1703" s="11" t="str">
        <f>IF(I1703&lt;&gt;"",DATA!E1702,"")</f>
        <v>HAND DRYER</v>
      </c>
      <c r="N1703" s="12">
        <v>0</v>
      </c>
      <c r="O1703" s="11">
        <f>IF(I1703&lt;&gt;"",DATA!C1702,"")</f>
        <v>194.75</v>
      </c>
      <c r="P1703" s="2">
        <v>294094</v>
      </c>
      <c r="Q1703" s="2" t="s">
        <v>1304</v>
      </c>
      <c r="R1703" s="2" t="s">
        <v>1337</v>
      </c>
      <c r="S1703" s="2">
        <v>283</v>
      </c>
      <c r="T1703" s="2">
        <v>1</v>
      </c>
      <c r="U1703" s="2" t="s">
        <v>141</v>
      </c>
      <c r="Y1703" s="2">
        <v>1700</v>
      </c>
      <c r="Z1703" s="11" t="s">
        <v>54</v>
      </c>
      <c r="AA1703" s="11" t="str">
        <f t="shared" si="109"/>
        <v>1700 - TBN</v>
      </c>
      <c r="AC1703" s="2" t="s">
        <v>145</v>
      </c>
      <c r="AD1703" s="11" t="str">
        <f>IF($I1703&lt;&gt;"",VLOOKUP($AC1703,GEADRESSEERDE!$A$2:$E$4,2,),"")</f>
        <v>LUITHAGEN HAVEN 2 D</v>
      </c>
      <c r="AE1703" s="11">
        <f>IF($I1703&lt;&gt;"",VLOOKUP($AC1703,GEADRESSEERDE!$A$2:$E$4,3,),"")</f>
        <v>2030</v>
      </c>
      <c r="AF1703" s="11" t="str">
        <f>IF($I1703&lt;&gt;"",VLOOKUP($AC1703,GEADRESSEERDE!$A$2:$E$4,4,),"")</f>
        <v>ANTWERPEN</v>
      </c>
      <c r="AG1703" s="11" t="str">
        <f>IF($I1703&lt;&gt;"",VLOOKUP($AC1703,GEADRESSEERDE!$A$2:$E$4,5,),"")</f>
        <v>BE</v>
      </c>
      <c r="AH1703" s="11" t="str">
        <f>IF(I1703&lt;&gt;"",VLOOKUP(AP1703,KvB!$A$2:$B$3,2,FALSE),"")</f>
        <v>BE101000</v>
      </c>
      <c r="AI1703" s="11" t="s">
        <v>55</v>
      </c>
      <c r="AJ1703" s="11"/>
      <c r="AK1703" s="11"/>
      <c r="AL1703" s="11"/>
      <c r="AM1703" s="11"/>
      <c r="AN1703" s="11"/>
      <c r="AO1703" s="11"/>
      <c r="AP1703" s="2" t="s">
        <v>70</v>
      </c>
      <c r="AQ1703" s="11" t="str">
        <f>IF(I1703&lt;&gt;"",DATA!D1702,"")</f>
        <v>8516330000</v>
      </c>
    </row>
    <row r="1704" spans="1:43" ht="15.75" x14ac:dyDescent="0.25">
      <c r="A1704" s="11" t="s">
        <v>57</v>
      </c>
      <c r="B1704" s="11" t="s">
        <v>56</v>
      </c>
      <c r="C1704" s="22">
        <f t="shared" si="110"/>
        <v>25001620</v>
      </c>
      <c r="D1704" s="11" t="str">
        <f t="shared" si="107"/>
        <v>SKIIFM_AT</v>
      </c>
      <c r="E1704" s="11" t="str">
        <f>IF(I1704&lt;&gt;"",VLOOKUP(F1704,OPDRACHTGEVER!$A$2:$B$4,2,FALSE),"")</f>
        <v>SKIIFM_AT</v>
      </c>
      <c r="F1704" s="11" t="s">
        <v>58</v>
      </c>
      <c r="I1704" s="11" t="str">
        <f>IF(DATA!B1703&lt;&gt;"",DATA!B1703,"")</f>
        <v>MSMU4147742</v>
      </c>
      <c r="J1704" s="12">
        <v>0</v>
      </c>
      <c r="K1704" s="11" t="s">
        <v>53</v>
      </c>
      <c r="L1704" s="11" t="str">
        <f t="shared" si="108"/>
        <v>844339</v>
      </c>
      <c r="M1704" s="11" t="str">
        <f>IF(I1704&lt;&gt;"",DATA!E1703,"")</f>
        <v>HEAT PRESS MACHINE</v>
      </c>
      <c r="N1704" s="12">
        <v>0</v>
      </c>
      <c r="O1704" s="11">
        <f>IF(I1704&lt;&gt;"",DATA!C1703,"")</f>
        <v>1573</v>
      </c>
      <c r="P1704" s="2">
        <v>294094</v>
      </c>
      <c r="Q1704" s="2" t="s">
        <v>1304</v>
      </c>
      <c r="R1704" s="2" t="s">
        <v>1337</v>
      </c>
      <c r="S1704" s="2">
        <v>283</v>
      </c>
      <c r="T1704" s="2">
        <v>1</v>
      </c>
      <c r="U1704" s="2" t="s">
        <v>141</v>
      </c>
      <c r="Y1704" s="2">
        <v>1700</v>
      </c>
      <c r="Z1704" s="11" t="s">
        <v>54</v>
      </c>
      <c r="AA1704" s="11" t="str">
        <f t="shared" si="109"/>
        <v>1700 - TBN</v>
      </c>
      <c r="AC1704" s="2" t="s">
        <v>145</v>
      </c>
      <c r="AD1704" s="11" t="str">
        <f>IF($I1704&lt;&gt;"",VLOOKUP($AC1704,GEADRESSEERDE!$A$2:$E$4,2,),"")</f>
        <v>LUITHAGEN HAVEN 2 D</v>
      </c>
      <c r="AE1704" s="11">
        <f>IF($I1704&lt;&gt;"",VLOOKUP($AC1704,GEADRESSEERDE!$A$2:$E$4,3,),"")</f>
        <v>2030</v>
      </c>
      <c r="AF1704" s="11" t="str">
        <f>IF($I1704&lt;&gt;"",VLOOKUP($AC1704,GEADRESSEERDE!$A$2:$E$4,4,),"")</f>
        <v>ANTWERPEN</v>
      </c>
      <c r="AG1704" s="11" t="str">
        <f>IF($I1704&lt;&gt;"",VLOOKUP($AC1704,GEADRESSEERDE!$A$2:$E$4,5,),"")</f>
        <v>BE</v>
      </c>
      <c r="AH1704" s="11" t="str">
        <f>IF(I1704&lt;&gt;"",VLOOKUP(AP1704,KvB!$A$2:$B$3,2,FALSE),"")</f>
        <v>BE101000</v>
      </c>
      <c r="AI1704" s="11" t="s">
        <v>55</v>
      </c>
      <c r="AJ1704" s="11"/>
      <c r="AK1704" s="11"/>
      <c r="AL1704" s="11"/>
      <c r="AM1704" s="11"/>
      <c r="AN1704" s="11"/>
      <c r="AO1704" s="11"/>
      <c r="AP1704" s="2" t="s">
        <v>70</v>
      </c>
      <c r="AQ1704" s="11" t="str">
        <f>IF(I1704&lt;&gt;"",DATA!D1703,"")</f>
        <v>8443390000</v>
      </c>
    </row>
    <row r="1705" spans="1:43" ht="15.75" x14ac:dyDescent="0.25">
      <c r="A1705" s="11" t="s">
        <v>57</v>
      </c>
      <c r="B1705" s="11" t="s">
        <v>56</v>
      </c>
      <c r="C1705" s="22">
        <f t="shared" si="110"/>
        <v>25001620</v>
      </c>
      <c r="D1705" s="11" t="str">
        <f t="shared" si="107"/>
        <v>SKIIFM_AT</v>
      </c>
      <c r="E1705" s="11" t="str">
        <f>IF(I1705&lt;&gt;"",VLOOKUP(F1705,OPDRACHTGEVER!$A$2:$B$4,2,FALSE),"")</f>
        <v>SKIIFM_AT</v>
      </c>
      <c r="F1705" s="11" t="s">
        <v>58</v>
      </c>
      <c r="I1705" s="11" t="str">
        <f>IF(DATA!B1704&lt;&gt;"",DATA!B1704,"")</f>
        <v>MSMU4147742</v>
      </c>
      <c r="J1705" s="12">
        <v>0</v>
      </c>
      <c r="K1705" s="11" t="s">
        <v>53</v>
      </c>
      <c r="L1705" s="11" t="str">
        <f t="shared" si="108"/>
        <v>846261</v>
      </c>
      <c r="M1705" s="11" t="str">
        <f>IF(I1705&lt;&gt;"",DATA!E1704,"")</f>
        <v>HYDRAULIC PRESS</v>
      </c>
      <c r="N1705" s="12">
        <v>0</v>
      </c>
      <c r="O1705" s="11">
        <f>IF(I1705&lt;&gt;"",DATA!C1704,"")</f>
        <v>813.2</v>
      </c>
      <c r="P1705" s="2">
        <v>294094</v>
      </c>
      <c r="Q1705" s="2" t="s">
        <v>1304</v>
      </c>
      <c r="R1705" s="2" t="s">
        <v>1337</v>
      </c>
      <c r="S1705" s="2">
        <v>283</v>
      </c>
      <c r="T1705" s="2">
        <v>1</v>
      </c>
      <c r="U1705" s="2" t="s">
        <v>141</v>
      </c>
      <c r="Y1705" s="2">
        <v>1700</v>
      </c>
      <c r="Z1705" s="11" t="s">
        <v>54</v>
      </c>
      <c r="AA1705" s="11" t="str">
        <f t="shared" si="109"/>
        <v>1700 - TBN</v>
      </c>
      <c r="AC1705" s="2" t="s">
        <v>145</v>
      </c>
      <c r="AD1705" s="11" t="str">
        <f>IF($I1705&lt;&gt;"",VLOOKUP($AC1705,GEADRESSEERDE!$A$2:$E$4,2,),"")</f>
        <v>LUITHAGEN HAVEN 2 D</v>
      </c>
      <c r="AE1705" s="11">
        <f>IF($I1705&lt;&gt;"",VLOOKUP($AC1705,GEADRESSEERDE!$A$2:$E$4,3,),"")</f>
        <v>2030</v>
      </c>
      <c r="AF1705" s="11" t="str">
        <f>IF($I1705&lt;&gt;"",VLOOKUP($AC1705,GEADRESSEERDE!$A$2:$E$4,4,),"")</f>
        <v>ANTWERPEN</v>
      </c>
      <c r="AG1705" s="11" t="str">
        <f>IF($I1705&lt;&gt;"",VLOOKUP($AC1705,GEADRESSEERDE!$A$2:$E$4,5,),"")</f>
        <v>BE</v>
      </c>
      <c r="AH1705" s="11" t="str">
        <f>IF(I1705&lt;&gt;"",VLOOKUP(AP1705,KvB!$A$2:$B$3,2,FALSE),"")</f>
        <v>BE101000</v>
      </c>
      <c r="AI1705" s="11" t="s">
        <v>55</v>
      </c>
      <c r="AJ1705" s="11"/>
      <c r="AK1705" s="11"/>
      <c r="AL1705" s="11"/>
      <c r="AM1705" s="11"/>
      <c r="AN1705" s="11"/>
      <c r="AO1705" s="11"/>
      <c r="AP1705" s="2" t="s">
        <v>70</v>
      </c>
      <c r="AQ1705" s="11" t="str">
        <f>IF(I1705&lt;&gt;"",DATA!D1704,"")</f>
        <v>8462619000</v>
      </c>
    </row>
    <row r="1706" spans="1:43" ht="15.75" x14ac:dyDescent="0.25">
      <c r="A1706" s="11" t="s">
        <v>57</v>
      </c>
      <c r="B1706" s="11" t="s">
        <v>56</v>
      </c>
      <c r="C1706" s="22">
        <f t="shared" si="110"/>
        <v>25001620</v>
      </c>
      <c r="D1706" s="11" t="str">
        <f t="shared" si="107"/>
        <v>SKIIFM_AT</v>
      </c>
      <c r="E1706" s="11" t="str">
        <f>IF(I1706&lt;&gt;"",VLOOKUP(F1706,OPDRACHTGEVER!$A$2:$B$4,2,FALSE),"")</f>
        <v>SKIIFM_AT</v>
      </c>
      <c r="F1706" s="11" t="s">
        <v>58</v>
      </c>
      <c r="I1706" s="11" t="str">
        <f>IF(DATA!B1705&lt;&gt;"",DATA!B1705,"")</f>
        <v>MSMU4147742</v>
      </c>
      <c r="J1706" s="12">
        <v>0</v>
      </c>
      <c r="K1706" s="11" t="s">
        <v>53</v>
      </c>
      <c r="L1706" s="11" t="str">
        <f t="shared" si="108"/>
        <v>850940</v>
      </c>
      <c r="M1706" s="11" t="str">
        <f>IF(I1706&lt;&gt;"",DATA!E1705,"")</f>
        <v>JUICER</v>
      </c>
      <c r="N1706" s="12">
        <v>0</v>
      </c>
      <c r="O1706" s="11">
        <f>IF(I1706&lt;&gt;"",DATA!C1705,"")</f>
        <v>1704.5</v>
      </c>
      <c r="P1706" s="2">
        <v>294094</v>
      </c>
      <c r="Q1706" s="2" t="s">
        <v>1304</v>
      </c>
      <c r="R1706" s="2" t="s">
        <v>1337</v>
      </c>
      <c r="S1706" s="2">
        <v>283</v>
      </c>
      <c r="T1706" s="2">
        <v>1</v>
      </c>
      <c r="U1706" s="2" t="s">
        <v>141</v>
      </c>
      <c r="Y1706" s="2">
        <v>1700</v>
      </c>
      <c r="Z1706" s="11" t="s">
        <v>54</v>
      </c>
      <c r="AA1706" s="11" t="str">
        <f t="shared" si="109"/>
        <v>1700 - TBN</v>
      </c>
      <c r="AC1706" s="2" t="s">
        <v>145</v>
      </c>
      <c r="AD1706" s="11" t="str">
        <f>IF($I1706&lt;&gt;"",VLOOKUP($AC1706,GEADRESSEERDE!$A$2:$E$4,2,),"")</f>
        <v>LUITHAGEN HAVEN 2 D</v>
      </c>
      <c r="AE1706" s="11">
        <f>IF($I1706&lt;&gt;"",VLOOKUP($AC1706,GEADRESSEERDE!$A$2:$E$4,3,),"")</f>
        <v>2030</v>
      </c>
      <c r="AF1706" s="11" t="str">
        <f>IF($I1706&lt;&gt;"",VLOOKUP($AC1706,GEADRESSEERDE!$A$2:$E$4,4,),"")</f>
        <v>ANTWERPEN</v>
      </c>
      <c r="AG1706" s="11" t="str">
        <f>IF($I1706&lt;&gt;"",VLOOKUP($AC1706,GEADRESSEERDE!$A$2:$E$4,5,),"")</f>
        <v>BE</v>
      </c>
      <c r="AH1706" s="11" t="str">
        <f>IF(I1706&lt;&gt;"",VLOOKUP(AP1706,KvB!$A$2:$B$3,2,FALSE),"")</f>
        <v>BE101000</v>
      </c>
      <c r="AI1706" s="11" t="s">
        <v>55</v>
      </c>
      <c r="AJ1706" s="11"/>
      <c r="AK1706" s="11"/>
      <c r="AL1706" s="11"/>
      <c r="AM1706" s="11"/>
      <c r="AN1706" s="11"/>
      <c r="AO1706" s="11"/>
      <c r="AP1706" s="2" t="s">
        <v>70</v>
      </c>
      <c r="AQ1706" s="11" t="str">
        <f>IF(I1706&lt;&gt;"",DATA!D1705,"")</f>
        <v>8509400000</v>
      </c>
    </row>
    <row r="1707" spans="1:43" ht="15.75" x14ac:dyDescent="0.25">
      <c r="A1707" s="11" t="s">
        <v>57</v>
      </c>
      <c r="B1707" s="11" t="s">
        <v>56</v>
      </c>
      <c r="C1707" s="22">
        <f t="shared" si="110"/>
        <v>25001620</v>
      </c>
      <c r="D1707" s="11" t="str">
        <f t="shared" si="107"/>
        <v>SKIIFM_AT</v>
      </c>
      <c r="E1707" s="11" t="str">
        <f>IF(I1707&lt;&gt;"",VLOOKUP(F1707,OPDRACHTGEVER!$A$2:$B$4,2,FALSE),"")</f>
        <v>SKIIFM_AT</v>
      </c>
      <c r="F1707" s="11" t="s">
        <v>58</v>
      </c>
      <c r="I1707" s="11" t="str">
        <f>IF(DATA!B1706&lt;&gt;"",DATA!B1706,"")</f>
        <v>MSMU4147742</v>
      </c>
      <c r="J1707" s="12">
        <v>0</v>
      </c>
      <c r="K1707" s="11" t="s">
        <v>53</v>
      </c>
      <c r="L1707" s="11" t="str">
        <f t="shared" si="108"/>
        <v>903300</v>
      </c>
      <c r="M1707" s="11" t="str">
        <f>IF(I1707&lt;&gt;"",DATA!E1706,"")</f>
        <v>LABORATORY BRACKET</v>
      </c>
      <c r="N1707" s="12">
        <v>0</v>
      </c>
      <c r="O1707" s="11">
        <f>IF(I1707&lt;&gt;"",DATA!C1706,"")</f>
        <v>1.45</v>
      </c>
      <c r="P1707" s="2">
        <v>294094</v>
      </c>
      <c r="Q1707" s="2" t="s">
        <v>1304</v>
      </c>
      <c r="R1707" s="2" t="s">
        <v>1337</v>
      </c>
      <c r="S1707" s="2">
        <v>283</v>
      </c>
      <c r="T1707" s="2">
        <v>1</v>
      </c>
      <c r="U1707" s="2" t="s">
        <v>141</v>
      </c>
      <c r="Y1707" s="2">
        <v>1700</v>
      </c>
      <c r="Z1707" s="11" t="s">
        <v>54</v>
      </c>
      <c r="AA1707" s="11" t="str">
        <f t="shared" si="109"/>
        <v>1700 - TBN</v>
      </c>
      <c r="AC1707" s="2" t="s">
        <v>145</v>
      </c>
      <c r="AD1707" s="11" t="str">
        <f>IF($I1707&lt;&gt;"",VLOOKUP($AC1707,GEADRESSEERDE!$A$2:$E$4,2,),"")</f>
        <v>LUITHAGEN HAVEN 2 D</v>
      </c>
      <c r="AE1707" s="11">
        <f>IF($I1707&lt;&gt;"",VLOOKUP($AC1707,GEADRESSEERDE!$A$2:$E$4,3,),"")</f>
        <v>2030</v>
      </c>
      <c r="AF1707" s="11" t="str">
        <f>IF($I1707&lt;&gt;"",VLOOKUP($AC1707,GEADRESSEERDE!$A$2:$E$4,4,),"")</f>
        <v>ANTWERPEN</v>
      </c>
      <c r="AG1707" s="11" t="str">
        <f>IF($I1707&lt;&gt;"",VLOOKUP($AC1707,GEADRESSEERDE!$A$2:$E$4,5,),"")</f>
        <v>BE</v>
      </c>
      <c r="AH1707" s="11" t="str">
        <f>IF(I1707&lt;&gt;"",VLOOKUP(AP1707,KvB!$A$2:$B$3,2,FALSE),"")</f>
        <v>BE101000</v>
      </c>
      <c r="AI1707" s="11" t="s">
        <v>55</v>
      </c>
      <c r="AJ1707" s="11"/>
      <c r="AK1707" s="11"/>
      <c r="AL1707" s="11"/>
      <c r="AM1707" s="11"/>
      <c r="AN1707" s="11"/>
      <c r="AO1707" s="11"/>
      <c r="AP1707" s="2" t="s">
        <v>70</v>
      </c>
      <c r="AQ1707" s="11" t="str">
        <f>IF(I1707&lt;&gt;"",DATA!D1706,"")</f>
        <v>9033009000</v>
      </c>
    </row>
    <row r="1708" spans="1:43" ht="15.75" x14ac:dyDescent="0.25">
      <c r="A1708" s="11" t="s">
        <v>57</v>
      </c>
      <c r="B1708" s="11" t="s">
        <v>56</v>
      </c>
      <c r="C1708" s="22">
        <f t="shared" si="110"/>
        <v>25001620</v>
      </c>
      <c r="D1708" s="11" t="str">
        <f t="shared" si="107"/>
        <v>SKIIFM_AT</v>
      </c>
      <c r="E1708" s="11" t="str">
        <f>IF(I1708&lt;&gt;"",VLOOKUP(F1708,OPDRACHTGEVER!$A$2:$B$4,2,FALSE),"")</f>
        <v>SKIIFM_AT</v>
      </c>
      <c r="F1708" s="11" t="s">
        <v>58</v>
      </c>
      <c r="I1708" s="11" t="str">
        <f>IF(DATA!B1707&lt;&gt;"",DATA!B1707,"")</f>
        <v>MSMU4147742</v>
      </c>
      <c r="J1708" s="12">
        <v>0</v>
      </c>
      <c r="K1708" s="11" t="s">
        <v>53</v>
      </c>
      <c r="L1708" s="11" t="str">
        <f t="shared" si="108"/>
        <v>901530</v>
      </c>
      <c r="M1708" s="11" t="str">
        <f>IF(I1708&lt;&gt;"",DATA!E1707,"")</f>
        <v>LASER LEVELER</v>
      </c>
      <c r="N1708" s="12">
        <v>0</v>
      </c>
      <c r="O1708" s="11">
        <f>IF(I1708&lt;&gt;"",DATA!C1707,"")</f>
        <v>985</v>
      </c>
      <c r="P1708" s="2">
        <v>294094</v>
      </c>
      <c r="Q1708" s="2" t="s">
        <v>1304</v>
      </c>
      <c r="R1708" s="2" t="s">
        <v>1337</v>
      </c>
      <c r="S1708" s="2">
        <v>283</v>
      </c>
      <c r="T1708" s="2">
        <v>1</v>
      </c>
      <c r="U1708" s="2" t="s">
        <v>141</v>
      </c>
      <c r="Y1708" s="2">
        <v>1700</v>
      </c>
      <c r="Z1708" s="11" t="s">
        <v>54</v>
      </c>
      <c r="AA1708" s="11" t="str">
        <f t="shared" si="109"/>
        <v>1700 - TBN</v>
      </c>
      <c r="AC1708" s="2" t="s">
        <v>145</v>
      </c>
      <c r="AD1708" s="11" t="str">
        <f>IF($I1708&lt;&gt;"",VLOOKUP($AC1708,GEADRESSEERDE!$A$2:$E$4,2,),"")</f>
        <v>LUITHAGEN HAVEN 2 D</v>
      </c>
      <c r="AE1708" s="11">
        <f>IF($I1708&lt;&gt;"",VLOOKUP($AC1708,GEADRESSEERDE!$A$2:$E$4,3,),"")</f>
        <v>2030</v>
      </c>
      <c r="AF1708" s="11" t="str">
        <f>IF($I1708&lt;&gt;"",VLOOKUP($AC1708,GEADRESSEERDE!$A$2:$E$4,4,),"")</f>
        <v>ANTWERPEN</v>
      </c>
      <c r="AG1708" s="11" t="str">
        <f>IF($I1708&lt;&gt;"",VLOOKUP($AC1708,GEADRESSEERDE!$A$2:$E$4,5,),"")</f>
        <v>BE</v>
      </c>
      <c r="AH1708" s="11" t="str">
        <f>IF(I1708&lt;&gt;"",VLOOKUP(AP1708,KvB!$A$2:$B$3,2,FALSE),"")</f>
        <v>BE101000</v>
      </c>
      <c r="AI1708" s="11" t="s">
        <v>55</v>
      </c>
      <c r="AJ1708" s="11"/>
      <c r="AK1708" s="11"/>
      <c r="AL1708" s="11"/>
      <c r="AM1708" s="11"/>
      <c r="AN1708" s="11"/>
      <c r="AO1708" s="11"/>
      <c r="AP1708" s="2" t="s">
        <v>70</v>
      </c>
      <c r="AQ1708" s="11" t="str">
        <f>IF(I1708&lt;&gt;"",DATA!D1707,"")</f>
        <v>9015301000</v>
      </c>
    </row>
    <row r="1709" spans="1:43" ht="15.75" x14ac:dyDescent="0.25">
      <c r="A1709" s="11" t="s">
        <v>57</v>
      </c>
      <c r="B1709" s="11" t="s">
        <v>56</v>
      </c>
      <c r="C1709" s="22">
        <f t="shared" si="110"/>
        <v>25001620</v>
      </c>
      <c r="D1709" s="11" t="str">
        <f t="shared" si="107"/>
        <v>SKIIFM_AT</v>
      </c>
      <c r="E1709" s="11" t="str">
        <f>IF(I1709&lt;&gt;"",VLOOKUP(F1709,OPDRACHTGEVER!$A$2:$B$4,2,FALSE),"")</f>
        <v>SKIIFM_AT</v>
      </c>
      <c r="F1709" s="11" t="s">
        <v>58</v>
      </c>
      <c r="I1709" s="11" t="str">
        <f>IF(DATA!B1708&lt;&gt;"",DATA!B1708,"")</f>
        <v>MSMU4147742</v>
      </c>
      <c r="J1709" s="12">
        <v>0</v>
      </c>
      <c r="K1709" s="11" t="s">
        <v>53</v>
      </c>
      <c r="L1709" s="11" t="str">
        <f t="shared" si="108"/>
        <v>830230</v>
      </c>
      <c r="M1709" s="11" t="str">
        <f>IF(I1709&lt;&gt;"",DATA!E1708,"")</f>
        <v>LIFTING JACK</v>
      </c>
      <c r="N1709" s="12">
        <v>0</v>
      </c>
      <c r="O1709" s="11">
        <f>IF(I1709&lt;&gt;"",DATA!C1708,"")</f>
        <v>247.5</v>
      </c>
      <c r="P1709" s="2">
        <v>294094</v>
      </c>
      <c r="Q1709" s="2" t="s">
        <v>1304</v>
      </c>
      <c r="R1709" s="2" t="s">
        <v>1337</v>
      </c>
      <c r="S1709" s="2">
        <v>283</v>
      </c>
      <c r="T1709" s="2">
        <v>1</v>
      </c>
      <c r="U1709" s="2" t="s">
        <v>141</v>
      </c>
      <c r="Y1709" s="2">
        <v>1700</v>
      </c>
      <c r="Z1709" s="11" t="s">
        <v>54</v>
      </c>
      <c r="AA1709" s="11" t="str">
        <f t="shared" si="109"/>
        <v>1700 - TBN</v>
      </c>
      <c r="AC1709" s="2" t="s">
        <v>145</v>
      </c>
      <c r="AD1709" s="11" t="str">
        <f>IF($I1709&lt;&gt;"",VLOOKUP($AC1709,GEADRESSEERDE!$A$2:$E$4,2,),"")</f>
        <v>LUITHAGEN HAVEN 2 D</v>
      </c>
      <c r="AE1709" s="11">
        <f>IF($I1709&lt;&gt;"",VLOOKUP($AC1709,GEADRESSEERDE!$A$2:$E$4,3,),"")</f>
        <v>2030</v>
      </c>
      <c r="AF1709" s="11" t="str">
        <f>IF($I1709&lt;&gt;"",VLOOKUP($AC1709,GEADRESSEERDE!$A$2:$E$4,4,),"")</f>
        <v>ANTWERPEN</v>
      </c>
      <c r="AG1709" s="11" t="str">
        <f>IF($I1709&lt;&gt;"",VLOOKUP($AC1709,GEADRESSEERDE!$A$2:$E$4,5,),"")</f>
        <v>BE</v>
      </c>
      <c r="AH1709" s="11" t="str">
        <f>IF(I1709&lt;&gt;"",VLOOKUP(AP1709,KvB!$A$2:$B$3,2,FALSE),"")</f>
        <v>BE101000</v>
      </c>
      <c r="AI1709" s="11" t="s">
        <v>55</v>
      </c>
      <c r="AJ1709" s="11"/>
      <c r="AK1709" s="11"/>
      <c r="AL1709" s="11"/>
      <c r="AM1709" s="11"/>
      <c r="AN1709" s="11"/>
      <c r="AO1709" s="11"/>
      <c r="AP1709" s="2" t="s">
        <v>70</v>
      </c>
      <c r="AQ1709" s="11" t="str">
        <f>IF(I1709&lt;&gt;"",DATA!D1708,"")</f>
        <v>8302300020</v>
      </c>
    </row>
    <row r="1710" spans="1:43" ht="15.75" x14ac:dyDescent="0.25">
      <c r="A1710" s="11" t="s">
        <v>57</v>
      </c>
      <c r="B1710" s="11" t="s">
        <v>56</v>
      </c>
      <c r="C1710" s="22">
        <f t="shared" si="110"/>
        <v>25001620</v>
      </c>
      <c r="D1710" s="11" t="str">
        <f t="shared" si="107"/>
        <v>SKIIFM_AT</v>
      </c>
      <c r="E1710" s="11" t="str">
        <f>IF(I1710&lt;&gt;"",VLOOKUP(F1710,OPDRACHTGEVER!$A$2:$B$4,2,FALSE),"")</f>
        <v>SKIIFM_AT</v>
      </c>
      <c r="F1710" s="11" t="s">
        <v>58</v>
      </c>
      <c r="I1710" s="11" t="str">
        <f>IF(DATA!B1709&lt;&gt;"",DATA!B1709,"")</f>
        <v>MSMU4147742</v>
      </c>
      <c r="J1710" s="12">
        <v>0</v>
      </c>
      <c r="K1710" s="11" t="s">
        <v>53</v>
      </c>
      <c r="L1710" s="11" t="str">
        <f t="shared" si="108"/>
        <v>820750</v>
      </c>
      <c r="M1710" s="11" t="str">
        <f>IF(I1710&lt;&gt;"",DATA!E1709,"")</f>
        <v>MAGNETIC DRILL</v>
      </c>
      <c r="N1710" s="12">
        <v>0</v>
      </c>
      <c r="O1710" s="11">
        <f>IF(I1710&lt;&gt;"",DATA!C1709,"")</f>
        <v>1.9</v>
      </c>
      <c r="P1710" s="2">
        <v>294094</v>
      </c>
      <c r="Q1710" s="2" t="s">
        <v>1304</v>
      </c>
      <c r="R1710" s="2" t="s">
        <v>1337</v>
      </c>
      <c r="S1710" s="2">
        <v>283</v>
      </c>
      <c r="T1710" s="2">
        <v>1</v>
      </c>
      <c r="U1710" s="2" t="s">
        <v>141</v>
      </c>
      <c r="Y1710" s="2">
        <v>1700</v>
      </c>
      <c r="Z1710" s="11" t="s">
        <v>54</v>
      </c>
      <c r="AA1710" s="11" t="str">
        <f t="shared" si="109"/>
        <v>1700 - TBN</v>
      </c>
      <c r="AC1710" s="2" t="s">
        <v>145</v>
      </c>
      <c r="AD1710" s="11" t="str">
        <f>IF($I1710&lt;&gt;"",VLOOKUP($AC1710,GEADRESSEERDE!$A$2:$E$4,2,),"")</f>
        <v>LUITHAGEN HAVEN 2 D</v>
      </c>
      <c r="AE1710" s="11">
        <f>IF($I1710&lt;&gt;"",VLOOKUP($AC1710,GEADRESSEERDE!$A$2:$E$4,3,),"")</f>
        <v>2030</v>
      </c>
      <c r="AF1710" s="11" t="str">
        <f>IF($I1710&lt;&gt;"",VLOOKUP($AC1710,GEADRESSEERDE!$A$2:$E$4,4,),"")</f>
        <v>ANTWERPEN</v>
      </c>
      <c r="AG1710" s="11" t="str">
        <f>IF($I1710&lt;&gt;"",VLOOKUP($AC1710,GEADRESSEERDE!$A$2:$E$4,5,),"")</f>
        <v>BE</v>
      </c>
      <c r="AH1710" s="11" t="str">
        <f>IF(I1710&lt;&gt;"",VLOOKUP(AP1710,KvB!$A$2:$B$3,2,FALSE),"")</f>
        <v>BE101000</v>
      </c>
      <c r="AI1710" s="11" t="s">
        <v>55</v>
      </c>
      <c r="AJ1710" s="11"/>
      <c r="AK1710" s="11"/>
      <c r="AL1710" s="11"/>
      <c r="AM1710" s="11"/>
      <c r="AN1710" s="11"/>
      <c r="AO1710" s="11"/>
      <c r="AP1710" s="2" t="s">
        <v>70</v>
      </c>
      <c r="AQ1710" s="11" t="str">
        <f>IF(I1710&lt;&gt;"",DATA!D1709,"")</f>
        <v>8207509000</v>
      </c>
    </row>
    <row r="1711" spans="1:43" ht="15.75" x14ac:dyDescent="0.25">
      <c r="A1711" s="11" t="s">
        <v>57</v>
      </c>
      <c r="B1711" s="11" t="s">
        <v>56</v>
      </c>
      <c r="C1711" s="22">
        <f t="shared" si="110"/>
        <v>25001620</v>
      </c>
      <c r="D1711" s="11" t="str">
        <f t="shared" si="107"/>
        <v>SKIIFM_AT</v>
      </c>
      <c r="E1711" s="11" t="str">
        <f>IF(I1711&lt;&gt;"",VLOOKUP(F1711,OPDRACHTGEVER!$A$2:$B$4,2,FALSE),"")</f>
        <v>SKIIFM_AT</v>
      </c>
      <c r="F1711" s="11" t="s">
        <v>58</v>
      </c>
      <c r="I1711" s="11" t="str">
        <f>IF(DATA!B1710&lt;&gt;"",DATA!B1710,"")</f>
        <v>MSMU4147742</v>
      </c>
      <c r="J1711" s="12">
        <v>0</v>
      </c>
      <c r="K1711" s="11" t="s">
        <v>53</v>
      </c>
      <c r="L1711" s="11" t="str">
        <f t="shared" si="108"/>
        <v>940320</v>
      </c>
      <c r="M1711" s="11" t="str">
        <f>IF(I1711&lt;&gt;"",DATA!E1710,"")</f>
        <v>MANUAL MAHJONG TABLE</v>
      </c>
      <c r="N1711" s="12">
        <v>0</v>
      </c>
      <c r="O1711" s="11">
        <f>IF(I1711&lt;&gt;"",DATA!C1710,"")</f>
        <v>120.5</v>
      </c>
      <c r="P1711" s="2">
        <v>294094</v>
      </c>
      <c r="Q1711" s="2" t="s">
        <v>1304</v>
      </c>
      <c r="R1711" s="2" t="s">
        <v>1337</v>
      </c>
      <c r="S1711" s="2">
        <v>283</v>
      </c>
      <c r="T1711" s="2">
        <v>1</v>
      </c>
      <c r="U1711" s="2" t="s">
        <v>141</v>
      </c>
      <c r="Y1711" s="2">
        <v>1700</v>
      </c>
      <c r="Z1711" s="11" t="s">
        <v>54</v>
      </c>
      <c r="AA1711" s="11" t="str">
        <f t="shared" si="109"/>
        <v>1700 - TBN</v>
      </c>
      <c r="AC1711" s="2" t="s">
        <v>145</v>
      </c>
      <c r="AD1711" s="11" t="str">
        <f>IF($I1711&lt;&gt;"",VLOOKUP($AC1711,GEADRESSEERDE!$A$2:$E$4,2,),"")</f>
        <v>LUITHAGEN HAVEN 2 D</v>
      </c>
      <c r="AE1711" s="11">
        <f>IF($I1711&lt;&gt;"",VLOOKUP($AC1711,GEADRESSEERDE!$A$2:$E$4,3,),"")</f>
        <v>2030</v>
      </c>
      <c r="AF1711" s="11" t="str">
        <f>IF($I1711&lt;&gt;"",VLOOKUP($AC1711,GEADRESSEERDE!$A$2:$E$4,4,),"")</f>
        <v>ANTWERPEN</v>
      </c>
      <c r="AG1711" s="11" t="str">
        <f>IF($I1711&lt;&gt;"",VLOOKUP($AC1711,GEADRESSEERDE!$A$2:$E$4,5,),"")</f>
        <v>BE</v>
      </c>
      <c r="AH1711" s="11" t="str">
        <f>IF(I1711&lt;&gt;"",VLOOKUP(AP1711,KvB!$A$2:$B$3,2,FALSE),"")</f>
        <v>BE101000</v>
      </c>
      <c r="AI1711" s="11" t="s">
        <v>55</v>
      </c>
      <c r="AJ1711" s="11"/>
      <c r="AK1711" s="11"/>
      <c r="AL1711" s="11"/>
      <c r="AM1711" s="11"/>
      <c r="AN1711" s="11"/>
      <c r="AO1711" s="11"/>
      <c r="AP1711" s="2" t="s">
        <v>70</v>
      </c>
      <c r="AQ1711" s="11" t="str">
        <f>IF(I1711&lt;&gt;"",DATA!D1710,"")</f>
        <v>9403208000</v>
      </c>
    </row>
    <row r="1712" spans="1:43" ht="15.75" x14ac:dyDescent="0.25">
      <c r="A1712" s="11" t="s">
        <v>57</v>
      </c>
      <c r="B1712" s="11" t="s">
        <v>56</v>
      </c>
      <c r="C1712" s="22">
        <f t="shared" si="110"/>
        <v>25001620</v>
      </c>
      <c r="D1712" s="11" t="str">
        <f t="shared" si="107"/>
        <v>SKIIFM_AT</v>
      </c>
      <c r="E1712" s="11" t="str">
        <f>IF(I1712&lt;&gt;"",VLOOKUP(F1712,OPDRACHTGEVER!$A$2:$B$4,2,FALSE),"")</f>
        <v>SKIIFM_AT</v>
      </c>
      <c r="F1712" s="11" t="s">
        <v>58</v>
      </c>
      <c r="I1712" s="11" t="str">
        <f>IF(DATA!B1711&lt;&gt;"",DATA!B1711,"")</f>
        <v>MSMU4147742</v>
      </c>
      <c r="J1712" s="12">
        <v>0</v>
      </c>
      <c r="K1712" s="11" t="s">
        <v>53</v>
      </c>
      <c r="L1712" s="11" t="str">
        <f t="shared" si="108"/>
        <v>850132</v>
      </c>
      <c r="M1712" s="11" t="str">
        <f>IF(I1712&lt;&gt;"",DATA!E1711,"")</f>
        <v>MOTOR</v>
      </c>
      <c r="N1712" s="12">
        <v>0</v>
      </c>
      <c r="O1712" s="11">
        <f>IF(I1712&lt;&gt;"",DATA!C1711,"")</f>
        <v>5.85</v>
      </c>
      <c r="P1712" s="2">
        <v>294094</v>
      </c>
      <c r="Q1712" s="2" t="s">
        <v>1304</v>
      </c>
      <c r="R1712" s="2" t="s">
        <v>1337</v>
      </c>
      <c r="S1712" s="2">
        <v>283</v>
      </c>
      <c r="T1712" s="2">
        <v>1</v>
      </c>
      <c r="U1712" s="2" t="s">
        <v>141</v>
      </c>
      <c r="Y1712" s="2">
        <v>1700</v>
      </c>
      <c r="Z1712" s="11" t="s">
        <v>54</v>
      </c>
      <c r="AA1712" s="11" t="str">
        <f t="shared" si="109"/>
        <v>1700 - TBN</v>
      </c>
      <c r="AC1712" s="2" t="s">
        <v>145</v>
      </c>
      <c r="AD1712" s="11" t="str">
        <f>IF($I1712&lt;&gt;"",VLOOKUP($AC1712,GEADRESSEERDE!$A$2:$E$4,2,),"")</f>
        <v>LUITHAGEN HAVEN 2 D</v>
      </c>
      <c r="AE1712" s="11">
        <f>IF($I1712&lt;&gt;"",VLOOKUP($AC1712,GEADRESSEERDE!$A$2:$E$4,3,),"")</f>
        <v>2030</v>
      </c>
      <c r="AF1712" s="11" t="str">
        <f>IF($I1712&lt;&gt;"",VLOOKUP($AC1712,GEADRESSEERDE!$A$2:$E$4,4,),"")</f>
        <v>ANTWERPEN</v>
      </c>
      <c r="AG1712" s="11" t="str">
        <f>IF($I1712&lt;&gt;"",VLOOKUP($AC1712,GEADRESSEERDE!$A$2:$E$4,5,),"")</f>
        <v>BE</v>
      </c>
      <c r="AH1712" s="11" t="str">
        <f>IF(I1712&lt;&gt;"",VLOOKUP(AP1712,KvB!$A$2:$B$3,2,FALSE),"")</f>
        <v>BE101000</v>
      </c>
      <c r="AI1712" s="11" t="s">
        <v>55</v>
      </c>
      <c r="AJ1712" s="11"/>
      <c r="AK1712" s="11"/>
      <c r="AL1712" s="11"/>
      <c r="AM1712" s="11"/>
      <c r="AN1712" s="11"/>
      <c r="AO1712" s="11"/>
      <c r="AP1712" s="2" t="s">
        <v>70</v>
      </c>
      <c r="AQ1712" s="11" t="str">
        <f>IF(I1712&lt;&gt;"",DATA!D1711,"")</f>
        <v>8501320099</v>
      </c>
    </row>
    <row r="1713" spans="1:43" ht="15.75" x14ac:dyDescent="0.25">
      <c r="A1713" s="11" t="s">
        <v>57</v>
      </c>
      <c r="B1713" s="11" t="s">
        <v>56</v>
      </c>
      <c r="C1713" s="22">
        <f t="shared" si="110"/>
        <v>25001620</v>
      </c>
      <c r="D1713" s="11" t="str">
        <f t="shared" si="107"/>
        <v>SKIIFM_AT</v>
      </c>
      <c r="E1713" s="11" t="str">
        <f>IF(I1713&lt;&gt;"",VLOOKUP(F1713,OPDRACHTGEVER!$A$2:$B$4,2,FALSE),"")</f>
        <v>SKIIFM_AT</v>
      </c>
      <c r="F1713" s="11" t="s">
        <v>58</v>
      </c>
      <c r="I1713" s="11" t="str">
        <f>IF(DATA!B1712&lt;&gt;"",DATA!B1712,"")</f>
        <v>MSMU4147742</v>
      </c>
      <c r="J1713" s="12">
        <v>0</v>
      </c>
      <c r="K1713" s="11" t="s">
        <v>53</v>
      </c>
      <c r="L1713" s="11" t="str">
        <f t="shared" si="108"/>
        <v>841320</v>
      </c>
      <c r="M1713" s="11" t="str">
        <f>IF(I1713&lt;&gt;"",DATA!E1712,"")</f>
        <v>OIL EXTRACTOR</v>
      </c>
      <c r="N1713" s="12">
        <v>0</v>
      </c>
      <c r="O1713" s="11">
        <f>IF(I1713&lt;&gt;"",DATA!C1712,"")</f>
        <v>117.1</v>
      </c>
      <c r="P1713" s="2">
        <v>294094</v>
      </c>
      <c r="Q1713" s="2" t="s">
        <v>1304</v>
      </c>
      <c r="R1713" s="2" t="s">
        <v>1337</v>
      </c>
      <c r="S1713" s="2">
        <v>283</v>
      </c>
      <c r="T1713" s="2">
        <v>1</v>
      </c>
      <c r="U1713" s="2" t="s">
        <v>141</v>
      </c>
      <c r="Y1713" s="2">
        <v>1700</v>
      </c>
      <c r="Z1713" s="11" t="s">
        <v>54</v>
      </c>
      <c r="AA1713" s="11" t="str">
        <f t="shared" si="109"/>
        <v>1700 - TBN</v>
      </c>
      <c r="AC1713" s="2" t="s">
        <v>145</v>
      </c>
      <c r="AD1713" s="11" t="str">
        <f>IF($I1713&lt;&gt;"",VLOOKUP($AC1713,GEADRESSEERDE!$A$2:$E$4,2,),"")</f>
        <v>LUITHAGEN HAVEN 2 D</v>
      </c>
      <c r="AE1713" s="11">
        <f>IF($I1713&lt;&gt;"",VLOOKUP($AC1713,GEADRESSEERDE!$A$2:$E$4,3,),"")</f>
        <v>2030</v>
      </c>
      <c r="AF1713" s="11" t="str">
        <f>IF($I1713&lt;&gt;"",VLOOKUP($AC1713,GEADRESSEERDE!$A$2:$E$4,4,),"")</f>
        <v>ANTWERPEN</v>
      </c>
      <c r="AG1713" s="11" t="str">
        <f>IF($I1713&lt;&gt;"",VLOOKUP($AC1713,GEADRESSEERDE!$A$2:$E$4,5,),"")</f>
        <v>BE</v>
      </c>
      <c r="AH1713" s="11" t="str">
        <f>IF(I1713&lt;&gt;"",VLOOKUP(AP1713,KvB!$A$2:$B$3,2,FALSE),"")</f>
        <v>BE101000</v>
      </c>
      <c r="AI1713" s="11" t="s">
        <v>55</v>
      </c>
      <c r="AJ1713" s="11"/>
      <c r="AK1713" s="11"/>
      <c r="AL1713" s="11"/>
      <c r="AM1713" s="11"/>
      <c r="AN1713" s="11"/>
      <c r="AO1713" s="11"/>
      <c r="AP1713" s="2" t="s">
        <v>70</v>
      </c>
      <c r="AQ1713" s="11" t="str">
        <f>IF(I1713&lt;&gt;"",DATA!D1712,"")</f>
        <v>8413200090</v>
      </c>
    </row>
    <row r="1714" spans="1:43" ht="15.75" x14ac:dyDescent="0.25">
      <c r="A1714" s="11" t="s">
        <v>57</v>
      </c>
      <c r="B1714" s="11" t="s">
        <v>56</v>
      </c>
      <c r="C1714" s="22">
        <f t="shared" si="110"/>
        <v>25001620</v>
      </c>
      <c r="D1714" s="11" t="str">
        <f t="shared" si="107"/>
        <v>SKIIFM_AT</v>
      </c>
      <c r="E1714" s="11" t="str">
        <f>IF(I1714&lt;&gt;"",VLOOKUP(F1714,OPDRACHTGEVER!$A$2:$B$4,2,FALSE),"")</f>
        <v>SKIIFM_AT</v>
      </c>
      <c r="F1714" s="11" t="s">
        <v>58</v>
      </c>
      <c r="I1714" s="11" t="str">
        <f>IF(DATA!B1713&lt;&gt;"",DATA!B1713,"")</f>
        <v>MSMU4147742</v>
      </c>
      <c r="J1714" s="12">
        <v>0</v>
      </c>
      <c r="K1714" s="11" t="s">
        <v>53</v>
      </c>
      <c r="L1714" s="11" t="str">
        <f t="shared" si="108"/>
        <v>761010</v>
      </c>
      <c r="M1714" s="11" t="str">
        <f>IF(I1714&lt;&gt;"",DATA!E1713,"")</f>
        <v>PET DOOR</v>
      </c>
      <c r="N1714" s="12">
        <v>0</v>
      </c>
      <c r="O1714" s="11">
        <f>IF(I1714&lt;&gt;"",DATA!C1713,"")</f>
        <v>1.65</v>
      </c>
      <c r="P1714" s="2">
        <v>294094</v>
      </c>
      <c r="Q1714" s="2" t="s">
        <v>1304</v>
      </c>
      <c r="R1714" s="2" t="s">
        <v>1337</v>
      </c>
      <c r="S1714" s="2">
        <v>283</v>
      </c>
      <c r="T1714" s="2">
        <v>1</v>
      </c>
      <c r="U1714" s="2" t="s">
        <v>141</v>
      </c>
      <c r="Y1714" s="2">
        <v>1700</v>
      </c>
      <c r="Z1714" s="11" t="s">
        <v>54</v>
      </c>
      <c r="AA1714" s="11" t="str">
        <f t="shared" si="109"/>
        <v>1700 - TBN</v>
      </c>
      <c r="AC1714" s="2" t="s">
        <v>145</v>
      </c>
      <c r="AD1714" s="11" t="str">
        <f>IF($I1714&lt;&gt;"",VLOOKUP($AC1714,GEADRESSEERDE!$A$2:$E$4,2,),"")</f>
        <v>LUITHAGEN HAVEN 2 D</v>
      </c>
      <c r="AE1714" s="11">
        <f>IF($I1714&lt;&gt;"",VLOOKUP($AC1714,GEADRESSEERDE!$A$2:$E$4,3,),"")</f>
        <v>2030</v>
      </c>
      <c r="AF1714" s="11" t="str">
        <f>IF($I1714&lt;&gt;"",VLOOKUP($AC1714,GEADRESSEERDE!$A$2:$E$4,4,),"")</f>
        <v>ANTWERPEN</v>
      </c>
      <c r="AG1714" s="11" t="str">
        <f>IF($I1714&lt;&gt;"",VLOOKUP($AC1714,GEADRESSEERDE!$A$2:$E$4,5,),"")</f>
        <v>BE</v>
      </c>
      <c r="AH1714" s="11" t="str">
        <f>IF(I1714&lt;&gt;"",VLOOKUP(AP1714,KvB!$A$2:$B$3,2,FALSE),"")</f>
        <v>BE101000</v>
      </c>
      <c r="AI1714" s="11" t="s">
        <v>55</v>
      </c>
      <c r="AJ1714" s="11"/>
      <c r="AK1714" s="11"/>
      <c r="AL1714" s="11"/>
      <c r="AM1714" s="11"/>
      <c r="AN1714" s="11"/>
      <c r="AO1714" s="11"/>
      <c r="AP1714" s="2" t="s">
        <v>70</v>
      </c>
      <c r="AQ1714" s="11" t="str">
        <f>IF(I1714&lt;&gt;"",DATA!D1713,"")</f>
        <v>7610100000</v>
      </c>
    </row>
    <row r="1715" spans="1:43" ht="15.75" x14ac:dyDescent="0.25">
      <c r="A1715" s="11" t="s">
        <v>57</v>
      </c>
      <c r="B1715" s="11" t="s">
        <v>56</v>
      </c>
      <c r="C1715" s="22">
        <f t="shared" si="110"/>
        <v>25001620</v>
      </c>
      <c r="D1715" s="11" t="str">
        <f t="shared" si="107"/>
        <v>SKIIFM_AT</v>
      </c>
      <c r="E1715" s="11" t="str">
        <f>IF(I1715&lt;&gt;"",VLOOKUP(F1715,OPDRACHTGEVER!$A$2:$B$4,2,FALSE),"")</f>
        <v>SKIIFM_AT</v>
      </c>
      <c r="F1715" s="11" t="s">
        <v>58</v>
      </c>
      <c r="I1715" s="11" t="str">
        <f>IF(DATA!B1714&lt;&gt;"",DATA!B1714,"")</f>
        <v>MSMU4147742</v>
      </c>
      <c r="J1715" s="12">
        <v>0</v>
      </c>
      <c r="K1715" s="11" t="s">
        <v>53</v>
      </c>
      <c r="L1715" s="11" t="str">
        <f t="shared" si="108"/>
        <v>741920</v>
      </c>
      <c r="M1715" s="11" t="str">
        <f>IF(I1715&lt;&gt;"",DATA!E1714,"")</f>
        <v>PIPE ALIGNING DEVICE</v>
      </c>
      <c r="N1715" s="12">
        <v>0</v>
      </c>
      <c r="O1715" s="11">
        <f>IF(I1715&lt;&gt;"",DATA!C1714,"")</f>
        <v>8.6</v>
      </c>
      <c r="P1715" s="2">
        <v>294094</v>
      </c>
      <c r="Q1715" s="2" t="s">
        <v>1304</v>
      </c>
      <c r="R1715" s="2" t="s">
        <v>1337</v>
      </c>
      <c r="S1715" s="2">
        <v>283</v>
      </c>
      <c r="T1715" s="2">
        <v>1</v>
      </c>
      <c r="U1715" s="2" t="s">
        <v>141</v>
      </c>
      <c r="Y1715" s="2">
        <v>1700</v>
      </c>
      <c r="Z1715" s="11" t="s">
        <v>54</v>
      </c>
      <c r="AA1715" s="11" t="str">
        <f t="shared" si="109"/>
        <v>1700 - TBN</v>
      </c>
      <c r="AC1715" s="2" t="s">
        <v>145</v>
      </c>
      <c r="AD1715" s="11" t="str">
        <f>IF($I1715&lt;&gt;"",VLOOKUP($AC1715,GEADRESSEERDE!$A$2:$E$4,2,),"")</f>
        <v>LUITHAGEN HAVEN 2 D</v>
      </c>
      <c r="AE1715" s="11">
        <f>IF($I1715&lt;&gt;"",VLOOKUP($AC1715,GEADRESSEERDE!$A$2:$E$4,3,),"")</f>
        <v>2030</v>
      </c>
      <c r="AF1715" s="11" t="str">
        <f>IF($I1715&lt;&gt;"",VLOOKUP($AC1715,GEADRESSEERDE!$A$2:$E$4,4,),"")</f>
        <v>ANTWERPEN</v>
      </c>
      <c r="AG1715" s="11" t="str">
        <f>IF($I1715&lt;&gt;"",VLOOKUP($AC1715,GEADRESSEERDE!$A$2:$E$4,5,),"")</f>
        <v>BE</v>
      </c>
      <c r="AH1715" s="11" t="str">
        <f>IF(I1715&lt;&gt;"",VLOOKUP(AP1715,KvB!$A$2:$B$3,2,FALSE),"")</f>
        <v>BE101000</v>
      </c>
      <c r="AI1715" s="11" t="s">
        <v>55</v>
      </c>
      <c r="AJ1715" s="11"/>
      <c r="AK1715" s="11"/>
      <c r="AL1715" s="11"/>
      <c r="AM1715" s="11"/>
      <c r="AN1715" s="11"/>
      <c r="AO1715" s="11"/>
      <c r="AP1715" s="2" t="s">
        <v>70</v>
      </c>
      <c r="AQ1715" s="11" t="str">
        <f>IF(I1715&lt;&gt;"",DATA!D1714,"")</f>
        <v>7419200090</v>
      </c>
    </row>
    <row r="1716" spans="1:43" ht="15.75" x14ac:dyDescent="0.25">
      <c r="A1716" s="11" t="s">
        <v>57</v>
      </c>
      <c r="B1716" s="11" t="s">
        <v>56</v>
      </c>
      <c r="C1716" s="22">
        <f t="shared" si="110"/>
        <v>25001620</v>
      </c>
      <c r="D1716" s="11" t="str">
        <f t="shared" ref="D1716:D1779" si="111">E1716</f>
        <v>SKIIFM_AT</v>
      </c>
      <c r="E1716" s="11" t="str">
        <f>IF(I1716&lt;&gt;"",VLOOKUP(F1716,OPDRACHTGEVER!$A$2:$B$4,2,FALSE),"")</f>
        <v>SKIIFM_AT</v>
      </c>
      <c r="F1716" s="11" t="s">
        <v>58</v>
      </c>
      <c r="I1716" s="11" t="str">
        <f>IF(DATA!B1715&lt;&gt;"",DATA!B1715,"")</f>
        <v>MSMU4147742</v>
      </c>
      <c r="J1716" s="12">
        <v>0</v>
      </c>
      <c r="K1716" s="11" t="s">
        <v>53</v>
      </c>
      <c r="L1716" s="11" t="str">
        <f t="shared" ref="L1716:L1779" si="112">LEFT(AQ1716,6)</f>
        <v>820320</v>
      </c>
      <c r="M1716" s="11" t="str">
        <f>IF(I1716&lt;&gt;"",DATA!E1715,"")</f>
        <v>PIPE CLAMP</v>
      </c>
      <c r="N1716" s="12">
        <v>0</v>
      </c>
      <c r="O1716" s="11">
        <f>IF(I1716&lt;&gt;"",DATA!C1715,"")</f>
        <v>17</v>
      </c>
      <c r="P1716" s="2">
        <v>294094</v>
      </c>
      <c r="Q1716" s="2" t="s">
        <v>1304</v>
      </c>
      <c r="R1716" s="2" t="s">
        <v>1337</v>
      </c>
      <c r="S1716" s="2">
        <v>283</v>
      </c>
      <c r="T1716" s="2">
        <v>1</v>
      </c>
      <c r="U1716" s="2" t="s">
        <v>141</v>
      </c>
      <c r="Y1716" s="2">
        <v>1700</v>
      </c>
      <c r="Z1716" s="11" t="s">
        <v>54</v>
      </c>
      <c r="AA1716" s="11" t="str">
        <f t="shared" ref="AA1716:AA1779" si="113">IF(I1716&lt;&gt;"",Y1716&amp;" - "&amp;Z1716,"")</f>
        <v>1700 - TBN</v>
      </c>
      <c r="AC1716" s="2" t="s">
        <v>145</v>
      </c>
      <c r="AD1716" s="11" t="str">
        <f>IF($I1716&lt;&gt;"",VLOOKUP($AC1716,GEADRESSEERDE!$A$2:$E$4,2,),"")</f>
        <v>LUITHAGEN HAVEN 2 D</v>
      </c>
      <c r="AE1716" s="11">
        <f>IF($I1716&lt;&gt;"",VLOOKUP($AC1716,GEADRESSEERDE!$A$2:$E$4,3,),"")</f>
        <v>2030</v>
      </c>
      <c r="AF1716" s="11" t="str">
        <f>IF($I1716&lt;&gt;"",VLOOKUP($AC1716,GEADRESSEERDE!$A$2:$E$4,4,),"")</f>
        <v>ANTWERPEN</v>
      </c>
      <c r="AG1716" s="11" t="str">
        <f>IF($I1716&lt;&gt;"",VLOOKUP($AC1716,GEADRESSEERDE!$A$2:$E$4,5,),"")</f>
        <v>BE</v>
      </c>
      <c r="AH1716" s="11" t="str">
        <f>IF(I1716&lt;&gt;"",VLOOKUP(AP1716,KvB!$A$2:$B$3,2,FALSE),"")</f>
        <v>BE101000</v>
      </c>
      <c r="AI1716" s="11" t="s">
        <v>55</v>
      </c>
      <c r="AJ1716" s="11"/>
      <c r="AK1716" s="11"/>
      <c r="AL1716" s="11"/>
      <c r="AM1716" s="11"/>
      <c r="AN1716" s="11"/>
      <c r="AO1716" s="11"/>
      <c r="AP1716" s="2" t="s">
        <v>70</v>
      </c>
      <c r="AQ1716" s="11" t="str">
        <f>IF(I1716&lt;&gt;"",DATA!D1715,"")</f>
        <v>8203200000</v>
      </c>
    </row>
    <row r="1717" spans="1:43" ht="15.75" x14ac:dyDescent="0.25">
      <c r="A1717" s="11" t="s">
        <v>57</v>
      </c>
      <c r="B1717" s="11" t="s">
        <v>56</v>
      </c>
      <c r="C1717" s="22">
        <f t="shared" si="110"/>
        <v>25001620</v>
      </c>
      <c r="D1717" s="11" t="str">
        <f t="shared" si="111"/>
        <v>SKIIFM_AT</v>
      </c>
      <c r="E1717" s="11" t="str">
        <f>IF(I1717&lt;&gt;"",VLOOKUP(F1717,OPDRACHTGEVER!$A$2:$B$4,2,FALSE),"")</f>
        <v>SKIIFM_AT</v>
      </c>
      <c r="F1717" s="11" t="s">
        <v>58</v>
      </c>
      <c r="I1717" s="11" t="str">
        <f>IF(DATA!B1716&lt;&gt;"",DATA!B1716,"")</f>
        <v>MSMU4147742</v>
      </c>
      <c r="J1717" s="12">
        <v>0</v>
      </c>
      <c r="K1717" s="11" t="s">
        <v>53</v>
      </c>
      <c r="L1717" s="11" t="str">
        <f t="shared" si="112"/>
        <v>846150</v>
      </c>
      <c r="M1717" s="11" t="str">
        <f>IF(I1717&lt;&gt;"",DATA!E1716,"")</f>
        <v>PLASMA CUTTING EQUIPMENT</v>
      </c>
      <c r="N1717" s="12">
        <v>0</v>
      </c>
      <c r="O1717" s="11">
        <f>IF(I1717&lt;&gt;"",DATA!C1716,"")</f>
        <v>2.8</v>
      </c>
      <c r="P1717" s="2">
        <v>294094</v>
      </c>
      <c r="Q1717" s="2" t="s">
        <v>1304</v>
      </c>
      <c r="R1717" s="2" t="s">
        <v>1337</v>
      </c>
      <c r="S1717" s="2">
        <v>283</v>
      </c>
      <c r="T1717" s="2">
        <v>1</v>
      </c>
      <c r="U1717" s="2" t="s">
        <v>141</v>
      </c>
      <c r="Y1717" s="2">
        <v>1700</v>
      </c>
      <c r="Z1717" s="11" t="s">
        <v>54</v>
      </c>
      <c r="AA1717" s="11" t="str">
        <f t="shared" si="113"/>
        <v>1700 - TBN</v>
      </c>
      <c r="AC1717" s="2" t="s">
        <v>145</v>
      </c>
      <c r="AD1717" s="11" t="str">
        <f>IF($I1717&lt;&gt;"",VLOOKUP($AC1717,GEADRESSEERDE!$A$2:$E$4,2,),"")</f>
        <v>LUITHAGEN HAVEN 2 D</v>
      </c>
      <c r="AE1717" s="11">
        <f>IF($I1717&lt;&gt;"",VLOOKUP($AC1717,GEADRESSEERDE!$A$2:$E$4,3,),"")</f>
        <v>2030</v>
      </c>
      <c r="AF1717" s="11" t="str">
        <f>IF($I1717&lt;&gt;"",VLOOKUP($AC1717,GEADRESSEERDE!$A$2:$E$4,4,),"")</f>
        <v>ANTWERPEN</v>
      </c>
      <c r="AG1717" s="11" t="str">
        <f>IF($I1717&lt;&gt;"",VLOOKUP($AC1717,GEADRESSEERDE!$A$2:$E$4,5,),"")</f>
        <v>BE</v>
      </c>
      <c r="AH1717" s="11" t="str">
        <f>IF(I1717&lt;&gt;"",VLOOKUP(AP1717,KvB!$A$2:$B$3,2,FALSE),"")</f>
        <v>BE101000</v>
      </c>
      <c r="AI1717" s="11" t="s">
        <v>55</v>
      </c>
      <c r="AJ1717" s="11"/>
      <c r="AK1717" s="11"/>
      <c r="AL1717" s="11"/>
      <c r="AM1717" s="11"/>
      <c r="AN1717" s="11"/>
      <c r="AO1717" s="11"/>
      <c r="AP1717" s="2" t="s">
        <v>70</v>
      </c>
      <c r="AQ1717" s="11" t="str">
        <f>IF(I1717&lt;&gt;"",DATA!D1716,"")</f>
        <v>8461509000</v>
      </c>
    </row>
    <row r="1718" spans="1:43" ht="15.75" x14ac:dyDescent="0.25">
      <c r="A1718" s="11" t="s">
        <v>57</v>
      </c>
      <c r="B1718" s="11" t="s">
        <v>56</v>
      </c>
      <c r="C1718" s="22">
        <f t="shared" si="110"/>
        <v>25001620</v>
      </c>
      <c r="D1718" s="11" t="str">
        <f t="shared" si="111"/>
        <v>SKIIFM_AT</v>
      </c>
      <c r="E1718" s="11" t="str">
        <f>IF(I1718&lt;&gt;"",VLOOKUP(F1718,OPDRACHTGEVER!$A$2:$B$4,2,FALSE),"")</f>
        <v>SKIIFM_AT</v>
      </c>
      <c r="F1718" s="11" t="s">
        <v>58</v>
      </c>
      <c r="I1718" s="11" t="str">
        <f>IF(DATA!B1717&lt;&gt;"",DATA!B1717,"")</f>
        <v>MSMU4147742</v>
      </c>
      <c r="J1718" s="12">
        <v>0</v>
      </c>
      <c r="K1718" s="11" t="s">
        <v>53</v>
      </c>
      <c r="L1718" s="11" t="str">
        <f t="shared" si="112"/>
        <v>960390</v>
      </c>
      <c r="M1718" s="11" t="str">
        <f>IF(I1718&lt;&gt;"",DATA!E1717,"")</f>
        <v>PLASTIC BRUSH</v>
      </c>
      <c r="N1718" s="12">
        <v>0</v>
      </c>
      <c r="O1718" s="11">
        <f>IF(I1718&lt;&gt;"",DATA!C1717,"")</f>
        <v>1.5</v>
      </c>
      <c r="P1718" s="2">
        <v>294094</v>
      </c>
      <c r="Q1718" s="2" t="s">
        <v>1304</v>
      </c>
      <c r="R1718" s="2" t="s">
        <v>1337</v>
      </c>
      <c r="S1718" s="2">
        <v>283</v>
      </c>
      <c r="T1718" s="2">
        <v>1</v>
      </c>
      <c r="U1718" s="2" t="s">
        <v>141</v>
      </c>
      <c r="Y1718" s="2">
        <v>1700</v>
      </c>
      <c r="Z1718" s="11" t="s">
        <v>54</v>
      </c>
      <c r="AA1718" s="11" t="str">
        <f t="shared" si="113"/>
        <v>1700 - TBN</v>
      </c>
      <c r="AC1718" s="2" t="s">
        <v>145</v>
      </c>
      <c r="AD1718" s="11" t="str">
        <f>IF($I1718&lt;&gt;"",VLOOKUP($AC1718,GEADRESSEERDE!$A$2:$E$4,2,),"")</f>
        <v>LUITHAGEN HAVEN 2 D</v>
      </c>
      <c r="AE1718" s="11">
        <f>IF($I1718&lt;&gt;"",VLOOKUP($AC1718,GEADRESSEERDE!$A$2:$E$4,3,),"")</f>
        <v>2030</v>
      </c>
      <c r="AF1718" s="11" t="str">
        <f>IF($I1718&lt;&gt;"",VLOOKUP($AC1718,GEADRESSEERDE!$A$2:$E$4,4,),"")</f>
        <v>ANTWERPEN</v>
      </c>
      <c r="AG1718" s="11" t="str">
        <f>IF($I1718&lt;&gt;"",VLOOKUP($AC1718,GEADRESSEERDE!$A$2:$E$4,5,),"")</f>
        <v>BE</v>
      </c>
      <c r="AH1718" s="11" t="str">
        <f>IF(I1718&lt;&gt;"",VLOOKUP(AP1718,KvB!$A$2:$B$3,2,FALSE),"")</f>
        <v>BE101000</v>
      </c>
      <c r="AI1718" s="11" t="s">
        <v>55</v>
      </c>
      <c r="AJ1718" s="11"/>
      <c r="AK1718" s="11"/>
      <c r="AL1718" s="11"/>
      <c r="AM1718" s="11"/>
      <c r="AN1718" s="11"/>
      <c r="AO1718" s="11"/>
      <c r="AP1718" s="2" t="s">
        <v>70</v>
      </c>
      <c r="AQ1718" s="11" t="str">
        <f>IF(I1718&lt;&gt;"",DATA!D1717,"")</f>
        <v>9603901000</v>
      </c>
    </row>
    <row r="1719" spans="1:43" ht="15.75" x14ac:dyDescent="0.25">
      <c r="A1719" s="11" t="s">
        <v>57</v>
      </c>
      <c r="B1719" s="11" t="s">
        <v>56</v>
      </c>
      <c r="C1719" s="22">
        <f t="shared" si="110"/>
        <v>25001620</v>
      </c>
      <c r="D1719" s="11" t="str">
        <f t="shared" si="111"/>
        <v>SKIIFM_AT</v>
      </c>
      <c r="E1719" s="11" t="str">
        <f>IF(I1719&lt;&gt;"",VLOOKUP(F1719,OPDRACHTGEVER!$A$2:$B$4,2,FALSE),"")</f>
        <v>SKIIFM_AT</v>
      </c>
      <c r="F1719" s="11" t="s">
        <v>58</v>
      </c>
      <c r="I1719" s="11" t="str">
        <f>IF(DATA!B1718&lt;&gt;"",DATA!B1718,"")</f>
        <v>MSMU4147742</v>
      </c>
      <c r="J1719" s="12">
        <v>0</v>
      </c>
      <c r="K1719" s="11" t="s">
        <v>53</v>
      </c>
      <c r="L1719" s="11" t="str">
        <f t="shared" si="112"/>
        <v>392690</v>
      </c>
      <c r="M1719" s="11" t="str">
        <f>IF(I1719&lt;&gt;"",DATA!E1718,"")</f>
        <v>PLASTIC FENCE</v>
      </c>
      <c r="N1719" s="12">
        <v>0</v>
      </c>
      <c r="O1719" s="11">
        <f>IF(I1719&lt;&gt;"",DATA!C1718,"")</f>
        <v>3.85</v>
      </c>
      <c r="P1719" s="2">
        <v>294094</v>
      </c>
      <c r="Q1719" s="2" t="s">
        <v>1304</v>
      </c>
      <c r="R1719" s="2" t="s">
        <v>1337</v>
      </c>
      <c r="S1719" s="2">
        <v>283</v>
      </c>
      <c r="T1719" s="2">
        <v>1</v>
      </c>
      <c r="U1719" s="2" t="s">
        <v>141</v>
      </c>
      <c r="Y1719" s="2">
        <v>1700</v>
      </c>
      <c r="Z1719" s="11" t="s">
        <v>54</v>
      </c>
      <c r="AA1719" s="11" t="str">
        <f t="shared" si="113"/>
        <v>1700 - TBN</v>
      </c>
      <c r="AC1719" s="2" t="s">
        <v>145</v>
      </c>
      <c r="AD1719" s="11" t="str">
        <f>IF($I1719&lt;&gt;"",VLOOKUP($AC1719,GEADRESSEERDE!$A$2:$E$4,2,),"")</f>
        <v>LUITHAGEN HAVEN 2 D</v>
      </c>
      <c r="AE1719" s="11">
        <f>IF($I1719&lt;&gt;"",VLOOKUP($AC1719,GEADRESSEERDE!$A$2:$E$4,3,),"")</f>
        <v>2030</v>
      </c>
      <c r="AF1719" s="11" t="str">
        <f>IF($I1719&lt;&gt;"",VLOOKUP($AC1719,GEADRESSEERDE!$A$2:$E$4,4,),"")</f>
        <v>ANTWERPEN</v>
      </c>
      <c r="AG1719" s="11" t="str">
        <f>IF($I1719&lt;&gt;"",VLOOKUP($AC1719,GEADRESSEERDE!$A$2:$E$4,5,),"")</f>
        <v>BE</v>
      </c>
      <c r="AH1719" s="11" t="str">
        <f>IF(I1719&lt;&gt;"",VLOOKUP(AP1719,KvB!$A$2:$B$3,2,FALSE),"")</f>
        <v>BE101000</v>
      </c>
      <c r="AI1719" s="11" t="s">
        <v>55</v>
      </c>
      <c r="AJ1719" s="11"/>
      <c r="AK1719" s="11"/>
      <c r="AL1719" s="11"/>
      <c r="AM1719" s="11"/>
      <c r="AN1719" s="11"/>
      <c r="AO1719" s="11"/>
      <c r="AP1719" s="2" t="s">
        <v>70</v>
      </c>
      <c r="AQ1719" s="11" t="str">
        <f>IF(I1719&lt;&gt;"",DATA!D1718,"")</f>
        <v>3926909790</v>
      </c>
    </row>
    <row r="1720" spans="1:43" ht="15.75" x14ac:dyDescent="0.25">
      <c r="A1720" s="11" t="s">
        <v>57</v>
      </c>
      <c r="B1720" s="11" t="s">
        <v>56</v>
      </c>
      <c r="C1720" s="22">
        <f t="shared" si="110"/>
        <v>25001620</v>
      </c>
      <c r="D1720" s="11" t="str">
        <f t="shared" si="111"/>
        <v>SKIIFM_AT</v>
      </c>
      <c r="E1720" s="11" t="str">
        <f>IF(I1720&lt;&gt;"",VLOOKUP(F1720,OPDRACHTGEVER!$A$2:$B$4,2,FALSE),"")</f>
        <v>SKIIFM_AT</v>
      </c>
      <c r="F1720" s="11" t="s">
        <v>58</v>
      </c>
      <c r="I1720" s="11" t="str">
        <f>IF(DATA!B1719&lt;&gt;"",DATA!B1719,"")</f>
        <v>MSMU4147742</v>
      </c>
      <c r="J1720" s="12">
        <v>0</v>
      </c>
      <c r="K1720" s="11" t="s">
        <v>53</v>
      </c>
      <c r="L1720" s="11" t="str">
        <f t="shared" si="112"/>
        <v>841350</v>
      </c>
      <c r="M1720" s="11" t="str">
        <f>IF(I1720&lt;&gt;"",DATA!E1719,"")</f>
        <v>PNEUMATIC HYDRAULIC PUMP</v>
      </c>
      <c r="N1720" s="12">
        <v>0</v>
      </c>
      <c r="O1720" s="11">
        <f>IF(I1720&lt;&gt;"",DATA!C1719,"")</f>
        <v>306.89999999999998</v>
      </c>
      <c r="P1720" s="2">
        <v>294094</v>
      </c>
      <c r="Q1720" s="2" t="s">
        <v>1304</v>
      </c>
      <c r="R1720" s="2" t="s">
        <v>1337</v>
      </c>
      <c r="S1720" s="2">
        <v>283</v>
      </c>
      <c r="T1720" s="2">
        <v>1</v>
      </c>
      <c r="U1720" s="2" t="s">
        <v>141</v>
      </c>
      <c r="Y1720" s="2">
        <v>1700</v>
      </c>
      <c r="Z1720" s="11" t="s">
        <v>54</v>
      </c>
      <c r="AA1720" s="11" t="str">
        <f t="shared" si="113"/>
        <v>1700 - TBN</v>
      </c>
      <c r="AC1720" s="2" t="s">
        <v>145</v>
      </c>
      <c r="AD1720" s="11" t="str">
        <f>IF($I1720&lt;&gt;"",VLOOKUP($AC1720,GEADRESSEERDE!$A$2:$E$4,2,),"")</f>
        <v>LUITHAGEN HAVEN 2 D</v>
      </c>
      <c r="AE1720" s="11">
        <f>IF($I1720&lt;&gt;"",VLOOKUP($AC1720,GEADRESSEERDE!$A$2:$E$4,3,),"")</f>
        <v>2030</v>
      </c>
      <c r="AF1720" s="11" t="str">
        <f>IF($I1720&lt;&gt;"",VLOOKUP($AC1720,GEADRESSEERDE!$A$2:$E$4,4,),"")</f>
        <v>ANTWERPEN</v>
      </c>
      <c r="AG1720" s="11" t="str">
        <f>IF($I1720&lt;&gt;"",VLOOKUP($AC1720,GEADRESSEERDE!$A$2:$E$4,5,),"")</f>
        <v>BE</v>
      </c>
      <c r="AH1720" s="11" t="str">
        <f>IF(I1720&lt;&gt;"",VLOOKUP(AP1720,KvB!$A$2:$B$3,2,FALSE),"")</f>
        <v>BE101000</v>
      </c>
      <c r="AI1720" s="11" t="s">
        <v>55</v>
      </c>
      <c r="AJ1720" s="11"/>
      <c r="AK1720" s="11"/>
      <c r="AL1720" s="11"/>
      <c r="AM1720" s="11"/>
      <c r="AN1720" s="11"/>
      <c r="AO1720" s="11"/>
      <c r="AP1720" s="2" t="s">
        <v>70</v>
      </c>
      <c r="AQ1720" s="11" t="str">
        <f>IF(I1720&lt;&gt;"",DATA!D1719,"")</f>
        <v>8413508090</v>
      </c>
    </row>
    <row r="1721" spans="1:43" ht="15.75" x14ac:dyDescent="0.25">
      <c r="A1721" s="11" t="s">
        <v>57</v>
      </c>
      <c r="B1721" s="11" t="s">
        <v>56</v>
      </c>
      <c r="C1721" s="22">
        <f t="shared" si="110"/>
        <v>25001620</v>
      </c>
      <c r="D1721" s="11" t="str">
        <f t="shared" si="111"/>
        <v>SKIIFM_AT</v>
      </c>
      <c r="E1721" s="11" t="str">
        <f>IF(I1721&lt;&gt;"",VLOOKUP(F1721,OPDRACHTGEVER!$A$2:$B$4,2,FALSE),"")</f>
        <v>SKIIFM_AT</v>
      </c>
      <c r="F1721" s="11" t="s">
        <v>58</v>
      </c>
      <c r="I1721" s="11" t="str">
        <f>IF(DATA!B1720&lt;&gt;"",DATA!B1720,"")</f>
        <v>MSMU4147742</v>
      </c>
      <c r="J1721" s="12">
        <v>0</v>
      </c>
      <c r="K1721" s="11" t="s">
        <v>53</v>
      </c>
      <c r="L1721" s="11" t="str">
        <f t="shared" si="112"/>
        <v>950490</v>
      </c>
      <c r="M1721" s="11" t="str">
        <f>IF(I1721&lt;&gt;"",DATA!E1720,"")</f>
        <v>POKER MAT</v>
      </c>
      <c r="N1721" s="12">
        <v>0</v>
      </c>
      <c r="O1721" s="11">
        <f>IF(I1721&lt;&gt;"",DATA!C1720,"")</f>
        <v>190.8</v>
      </c>
      <c r="P1721" s="2">
        <v>294094</v>
      </c>
      <c r="Q1721" s="2" t="s">
        <v>1304</v>
      </c>
      <c r="R1721" s="2" t="s">
        <v>1337</v>
      </c>
      <c r="S1721" s="2">
        <v>283</v>
      </c>
      <c r="T1721" s="2">
        <v>1</v>
      </c>
      <c r="U1721" s="2" t="s">
        <v>141</v>
      </c>
      <c r="Y1721" s="2">
        <v>1700</v>
      </c>
      <c r="Z1721" s="11" t="s">
        <v>54</v>
      </c>
      <c r="AA1721" s="11" t="str">
        <f t="shared" si="113"/>
        <v>1700 - TBN</v>
      </c>
      <c r="AC1721" s="2" t="s">
        <v>145</v>
      </c>
      <c r="AD1721" s="11" t="str">
        <f>IF($I1721&lt;&gt;"",VLOOKUP($AC1721,GEADRESSEERDE!$A$2:$E$4,2,),"")</f>
        <v>LUITHAGEN HAVEN 2 D</v>
      </c>
      <c r="AE1721" s="11">
        <f>IF($I1721&lt;&gt;"",VLOOKUP($AC1721,GEADRESSEERDE!$A$2:$E$4,3,),"")</f>
        <v>2030</v>
      </c>
      <c r="AF1721" s="11" t="str">
        <f>IF($I1721&lt;&gt;"",VLOOKUP($AC1721,GEADRESSEERDE!$A$2:$E$4,4,),"")</f>
        <v>ANTWERPEN</v>
      </c>
      <c r="AG1721" s="11" t="str">
        <f>IF($I1721&lt;&gt;"",VLOOKUP($AC1721,GEADRESSEERDE!$A$2:$E$4,5,),"")</f>
        <v>BE</v>
      </c>
      <c r="AH1721" s="11" t="str">
        <f>IF(I1721&lt;&gt;"",VLOOKUP(AP1721,KvB!$A$2:$B$3,2,FALSE),"")</f>
        <v>BE101000</v>
      </c>
      <c r="AI1721" s="11" t="s">
        <v>55</v>
      </c>
      <c r="AJ1721" s="11"/>
      <c r="AK1721" s="11"/>
      <c r="AL1721" s="11"/>
      <c r="AM1721" s="11"/>
      <c r="AN1721" s="11"/>
      <c r="AO1721" s="11"/>
      <c r="AP1721" s="2" t="s">
        <v>70</v>
      </c>
      <c r="AQ1721" s="11" t="str">
        <f>IF(I1721&lt;&gt;"",DATA!D1720,"")</f>
        <v>9504908000</v>
      </c>
    </row>
    <row r="1722" spans="1:43" ht="15.75" x14ac:dyDescent="0.25">
      <c r="A1722" s="11" t="s">
        <v>57</v>
      </c>
      <c r="B1722" s="11" t="s">
        <v>56</v>
      </c>
      <c r="C1722" s="22">
        <f t="shared" si="110"/>
        <v>25001620</v>
      </c>
      <c r="D1722" s="11" t="str">
        <f t="shared" si="111"/>
        <v>SKIIFM_AT</v>
      </c>
      <c r="E1722" s="11" t="str">
        <f>IF(I1722&lt;&gt;"",VLOOKUP(F1722,OPDRACHTGEVER!$A$2:$B$4,2,FALSE),"")</f>
        <v>SKIIFM_AT</v>
      </c>
      <c r="F1722" s="11" t="s">
        <v>58</v>
      </c>
      <c r="I1722" s="11" t="str">
        <f>IF(DATA!B1721&lt;&gt;"",DATA!B1721,"")</f>
        <v>MSMU4147742</v>
      </c>
      <c r="J1722" s="12">
        <v>0</v>
      </c>
      <c r="K1722" s="11" t="s">
        <v>53</v>
      </c>
      <c r="L1722" s="11" t="str">
        <f t="shared" si="112"/>
        <v>560900</v>
      </c>
      <c r="M1722" s="11" t="str">
        <f>IF(I1722&lt;&gt;"",DATA!E1721,"")</f>
        <v>POLYESTER ROPES</v>
      </c>
      <c r="N1722" s="12">
        <v>0</v>
      </c>
      <c r="O1722" s="11">
        <f>IF(I1722&lt;&gt;"",DATA!C1721,"")</f>
        <v>3.95</v>
      </c>
      <c r="P1722" s="2">
        <v>294094</v>
      </c>
      <c r="Q1722" s="2" t="s">
        <v>1304</v>
      </c>
      <c r="R1722" s="2" t="s">
        <v>1337</v>
      </c>
      <c r="S1722" s="2">
        <v>283</v>
      </c>
      <c r="T1722" s="2">
        <v>1</v>
      </c>
      <c r="U1722" s="2" t="s">
        <v>141</v>
      </c>
      <c r="Y1722" s="2">
        <v>1700</v>
      </c>
      <c r="Z1722" s="11" t="s">
        <v>54</v>
      </c>
      <c r="AA1722" s="11" t="str">
        <f t="shared" si="113"/>
        <v>1700 - TBN</v>
      </c>
      <c r="AC1722" s="2" t="s">
        <v>145</v>
      </c>
      <c r="AD1722" s="11" t="str">
        <f>IF($I1722&lt;&gt;"",VLOOKUP($AC1722,GEADRESSEERDE!$A$2:$E$4,2,),"")</f>
        <v>LUITHAGEN HAVEN 2 D</v>
      </c>
      <c r="AE1722" s="11">
        <f>IF($I1722&lt;&gt;"",VLOOKUP($AC1722,GEADRESSEERDE!$A$2:$E$4,3,),"")</f>
        <v>2030</v>
      </c>
      <c r="AF1722" s="11" t="str">
        <f>IF($I1722&lt;&gt;"",VLOOKUP($AC1722,GEADRESSEERDE!$A$2:$E$4,4,),"")</f>
        <v>ANTWERPEN</v>
      </c>
      <c r="AG1722" s="11" t="str">
        <f>IF($I1722&lt;&gt;"",VLOOKUP($AC1722,GEADRESSEERDE!$A$2:$E$4,5,),"")</f>
        <v>BE</v>
      </c>
      <c r="AH1722" s="11" t="str">
        <f>IF(I1722&lt;&gt;"",VLOOKUP(AP1722,KvB!$A$2:$B$3,2,FALSE),"")</f>
        <v>BE101000</v>
      </c>
      <c r="AI1722" s="11" t="s">
        <v>55</v>
      </c>
      <c r="AJ1722" s="11"/>
      <c r="AK1722" s="11"/>
      <c r="AL1722" s="11"/>
      <c r="AM1722" s="11"/>
      <c r="AN1722" s="11"/>
      <c r="AO1722" s="11"/>
      <c r="AP1722" s="2" t="s">
        <v>70</v>
      </c>
      <c r="AQ1722" s="11" t="str">
        <f>IF(I1722&lt;&gt;"",DATA!D1721,"")</f>
        <v>5609000000</v>
      </c>
    </row>
    <row r="1723" spans="1:43" ht="15.75" x14ac:dyDescent="0.25">
      <c r="A1723" s="11" t="s">
        <v>57</v>
      </c>
      <c r="B1723" s="11" t="s">
        <v>56</v>
      </c>
      <c r="C1723" s="22">
        <f t="shared" si="110"/>
        <v>25001620</v>
      </c>
      <c r="D1723" s="11" t="str">
        <f t="shared" si="111"/>
        <v>SKIIFM_AT</v>
      </c>
      <c r="E1723" s="11" t="str">
        <f>IF(I1723&lt;&gt;"",VLOOKUP(F1723,OPDRACHTGEVER!$A$2:$B$4,2,FALSE),"")</f>
        <v>SKIIFM_AT</v>
      </c>
      <c r="F1723" s="11" t="s">
        <v>58</v>
      </c>
      <c r="I1723" s="11" t="str">
        <f>IF(DATA!B1722&lt;&gt;"",DATA!B1722,"")</f>
        <v>MSMU4147742</v>
      </c>
      <c r="J1723" s="12">
        <v>0</v>
      </c>
      <c r="K1723" s="11" t="s">
        <v>53</v>
      </c>
      <c r="L1723" s="11" t="str">
        <f t="shared" si="112"/>
        <v>901060</v>
      </c>
      <c r="M1723" s="11" t="str">
        <f>IF(I1723&lt;&gt;"",DATA!E1722,"")</f>
        <v>PROJECTOR SCREEN</v>
      </c>
      <c r="N1723" s="12">
        <v>0</v>
      </c>
      <c r="O1723" s="11">
        <f>IF(I1723&lt;&gt;"",DATA!C1722,"")</f>
        <v>2</v>
      </c>
      <c r="P1723" s="2">
        <v>294094</v>
      </c>
      <c r="Q1723" s="2" t="s">
        <v>1304</v>
      </c>
      <c r="R1723" s="2" t="s">
        <v>1337</v>
      </c>
      <c r="S1723" s="2">
        <v>283</v>
      </c>
      <c r="T1723" s="2">
        <v>1</v>
      </c>
      <c r="U1723" s="2" t="s">
        <v>141</v>
      </c>
      <c r="Y1723" s="2">
        <v>1700</v>
      </c>
      <c r="Z1723" s="11" t="s">
        <v>54</v>
      </c>
      <c r="AA1723" s="11" t="str">
        <f t="shared" si="113"/>
        <v>1700 - TBN</v>
      </c>
      <c r="AC1723" s="2" t="s">
        <v>145</v>
      </c>
      <c r="AD1723" s="11" t="str">
        <f>IF($I1723&lt;&gt;"",VLOOKUP($AC1723,GEADRESSEERDE!$A$2:$E$4,2,),"")</f>
        <v>LUITHAGEN HAVEN 2 D</v>
      </c>
      <c r="AE1723" s="11">
        <f>IF($I1723&lt;&gt;"",VLOOKUP($AC1723,GEADRESSEERDE!$A$2:$E$4,3,),"")</f>
        <v>2030</v>
      </c>
      <c r="AF1723" s="11" t="str">
        <f>IF($I1723&lt;&gt;"",VLOOKUP($AC1723,GEADRESSEERDE!$A$2:$E$4,4,),"")</f>
        <v>ANTWERPEN</v>
      </c>
      <c r="AG1723" s="11" t="str">
        <f>IF($I1723&lt;&gt;"",VLOOKUP($AC1723,GEADRESSEERDE!$A$2:$E$4,5,),"")</f>
        <v>BE</v>
      </c>
      <c r="AH1723" s="11" t="str">
        <f>IF(I1723&lt;&gt;"",VLOOKUP(AP1723,KvB!$A$2:$B$3,2,FALSE),"")</f>
        <v>BE101000</v>
      </c>
      <c r="AI1723" s="11" t="s">
        <v>55</v>
      </c>
      <c r="AJ1723" s="11"/>
      <c r="AK1723" s="11"/>
      <c r="AL1723" s="11"/>
      <c r="AM1723" s="11"/>
      <c r="AN1723" s="11"/>
      <c r="AO1723" s="11"/>
      <c r="AP1723" s="2" t="s">
        <v>70</v>
      </c>
      <c r="AQ1723" s="11" t="str">
        <f>IF(I1723&lt;&gt;"",DATA!D1722,"")</f>
        <v>9010600000</v>
      </c>
    </row>
    <row r="1724" spans="1:43" ht="15.75" x14ac:dyDescent="0.25">
      <c r="A1724" s="11" t="s">
        <v>57</v>
      </c>
      <c r="B1724" s="11" t="s">
        <v>56</v>
      </c>
      <c r="C1724" s="22">
        <f t="shared" si="110"/>
        <v>25001620</v>
      </c>
      <c r="D1724" s="11" t="str">
        <f t="shared" si="111"/>
        <v>SKIIFM_AT</v>
      </c>
      <c r="E1724" s="11" t="str">
        <f>IF(I1724&lt;&gt;"",VLOOKUP(F1724,OPDRACHTGEVER!$A$2:$B$4,2,FALSE),"")</f>
        <v>SKIIFM_AT</v>
      </c>
      <c r="F1724" s="11" t="s">
        <v>58</v>
      </c>
      <c r="I1724" s="11" t="str">
        <f>IF(DATA!B1723&lt;&gt;"",DATA!B1723,"")</f>
        <v>MSMU4147742</v>
      </c>
      <c r="J1724" s="12">
        <v>0</v>
      </c>
      <c r="K1724" s="11" t="s">
        <v>53</v>
      </c>
      <c r="L1724" s="11" t="str">
        <f t="shared" si="112"/>
        <v>950691</v>
      </c>
      <c r="M1724" s="11" t="str">
        <f>IF(I1724&lt;&gt;"",DATA!E1723,"")</f>
        <v>PUSH AND PULL SLED</v>
      </c>
      <c r="N1724" s="12">
        <v>0</v>
      </c>
      <c r="O1724" s="11">
        <f>IF(I1724&lt;&gt;"",DATA!C1723,"")</f>
        <v>305</v>
      </c>
      <c r="P1724" s="2">
        <v>294094</v>
      </c>
      <c r="Q1724" s="2" t="s">
        <v>1304</v>
      </c>
      <c r="R1724" s="2" t="s">
        <v>1337</v>
      </c>
      <c r="S1724" s="2">
        <v>283</v>
      </c>
      <c r="T1724" s="2">
        <v>1</v>
      </c>
      <c r="U1724" s="2" t="s">
        <v>141</v>
      </c>
      <c r="Y1724" s="2">
        <v>1700</v>
      </c>
      <c r="Z1724" s="11" t="s">
        <v>54</v>
      </c>
      <c r="AA1724" s="11" t="str">
        <f t="shared" si="113"/>
        <v>1700 - TBN</v>
      </c>
      <c r="AC1724" s="2" t="s">
        <v>145</v>
      </c>
      <c r="AD1724" s="11" t="str">
        <f>IF($I1724&lt;&gt;"",VLOOKUP($AC1724,GEADRESSEERDE!$A$2:$E$4,2,),"")</f>
        <v>LUITHAGEN HAVEN 2 D</v>
      </c>
      <c r="AE1724" s="11">
        <f>IF($I1724&lt;&gt;"",VLOOKUP($AC1724,GEADRESSEERDE!$A$2:$E$4,3,),"")</f>
        <v>2030</v>
      </c>
      <c r="AF1724" s="11" t="str">
        <f>IF($I1724&lt;&gt;"",VLOOKUP($AC1724,GEADRESSEERDE!$A$2:$E$4,4,),"")</f>
        <v>ANTWERPEN</v>
      </c>
      <c r="AG1724" s="11" t="str">
        <f>IF($I1724&lt;&gt;"",VLOOKUP($AC1724,GEADRESSEERDE!$A$2:$E$4,5,),"")</f>
        <v>BE</v>
      </c>
      <c r="AH1724" s="11" t="str">
        <f>IF(I1724&lt;&gt;"",VLOOKUP(AP1724,KvB!$A$2:$B$3,2,FALSE),"")</f>
        <v>BE101000</v>
      </c>
      <c r="AI1724" s="11" t="s">
        <v>55</v>
      </c>
      <c r="AJ1724" s="11"/>
      <c r="AK1724" s="11"/>
      <c r="AL1724" s="11"/>
      <c r="AM1724" s="11"/>
      <c r="AN1724" s="11"/>
      <c r="AO1724" s="11"/>
      <c r="AP1724" s="2" t="s">
        <v>70</v>
      </c>
      <c r="AQ1724" s="11" t="str">
        <f>IF(I1724&lt;&gt;"",DATA!D1723,"")</f>
        <v>9506919000</v>
      </c>
    </row>
    <row r="1725" spans="1:43" ht="15.75" x14ac:dyDescent="0.25">
      <c r="A1725" s="11" t="s">
        <v>57</v>
      </c>
      <c r="B1725" s="11" t="s">
        <v>56</v>
      </c>
      <c r="C1725" s="22">
        <f t="shared" si="110"/>
        <v>25001620</v>
      </c>
      <c r="D1725" s="11" t="str">
        <f t="shared" si="111"/>
        <v>SKIIFM_AT</v>
      </c>
      <c r="E1725" s="11" t="str">
        <f>IF(I1725&lt;&gt;"",VLOOKUP(F1725,OPDRACHTGEVER!$A$2:$B$4,2,FALSE),"")</f>
        <v>SKIIFM_AT</v>
      </c>
      <c r="F1725" s="11" t="s">
        <v>58</v>
      </c>
      <c r="I1725" s="11" t="str">
        <f>IF(DATA!B1724&lt;&gt;"",DATA!B1724,"")</f>
        <v>MSMU4147742</v>
      </c>
      <c r="J1725" s="12">
        <v>0</v>
      </c>
      <c r="K1725" s="11" t="s">
        <v>53</v>
      </c>
      <c r="L1725" s="11" t="str">
        <f t="shared" si="112"/>
        <v>871680</v>
      </c>
      <c r="M1725" s="11" t="str">
        <f>IF(I1725&lt;&gt;"",DATA!E1724,"")</f>
        <v>REGULAR TYPE</v>
      </c>
      <c r="N1725" s="12">
        <v>0</v>
      </c>
      <c r="O1725" s="11">
        <f>IF(I1725&lt;&gt;"",DATA!C1724,"")</f>
        <v>888.65</v>
      </c>
      <c r="P1725" s="2">
        <v>294094</v>
      </c>
      <c r="Q1725" s="2" t="s">
        <v>1304</v>
      </c>
      <c r="R1725" s="2" t="s">
        <v>1337</v>
      </c>
      <c r="S1725" s="2">
        <v>283</v>
      </c>
      <c r="T1725" s="2">
        <v>1</v>
      </c>
      <c r="U1725" s="2" t="s">
        <v>141</v>
      </c>
      <c r="Y1725" s="2">
        <v>1700</v>
      </c>
      <c r="Z1725" s="11" t="s">
        <v>54</v>
      </c>
      <c r="AA1725" s="11" t="str">
        <f t="shared" si="113"/>
        <v>1700 - TBN</v>
      </c>
      <c r="AC1725" s="2" t="s">
        <v>145</v>
      </c>
      <c r="AD1725" s="11" t="str">
        <f>IF($I1725&lt;&gt;"",VLOOKUP($AC1725,GEADRESSEERDE!$A$2:$E$4,2,),"")</f>
        <v>LUITHAGEN HAVEN 2 D</v>
      </c>
      <c r="AE1725" s="11">
        <f>IF($I1725&lt;&gt;"",VLOOKUP($AC1725,GEADRESSEERDE!$A$2:$E$4,3,),"")</f>
        <v>2030</v>
      </c>
      <c r="AF1725" s="11" t="str">
        <f>IF($I1725&lt;&gt;"",VLOOKUP($AC1725,GEADRESSEERDE!$A$2:$E$4,4,),"")</f>
        <v>ANTWERPEN</v>
      </c>
      <c r="AG1725" s="11" t="str">
        <f>IF($I1725&lt;&gt;"",VLOOKUP($AC1725,GEADRESSEERDE!$A$2:$E$4,5,),"")</f>
        <v>BE</v>
      </c>
      <c r="AH1725" s="11" t="str">
        <f>IF(I1725&lt;&gt;"",VLOOKUP(AP1725,KvB!$A$2:$B$3,2,FALSE),"")</f>
        <v>BE101000</v>
      </c>
      <c r="AI1725" s="11" t="s">
        <v>55</v>
      </c>
      <c r="AJ1725" s="11"/>
      <c r="AK1725" s="11"/>
      <c r="AL1725" s="11"/>
      <c r="AM1725" s="11"/>
      <c r="AN1725" s="11"/>
      <c r="AO1725" s="11"/>
      <c r="AP1725" s="2" t="s">
        <v>70</v>
      </c>
      <c r="AQ1725" s="11" t="str">
        <f>IF(I1725&lt;&gt;"",DATA!D1724,"")</f>
        <v>8716800000</v>
      </c>
    </row>
    <row r="1726" spans="1:43" ht="15.75" x14ac:dyDescent="0.25">
      <c r="A1726" s="11" t="s">
        <v>57</v>
      </c>
      <c r="B1726" s="11" t="s">
        <v>56</v>
      </c>
      <c r="C1726" s="22">
        <f t="shared" si="110"/>
        <v>25001620</v>
      </c>
      <c r="D1726" s="11" t="str">
        <f t="shared" si="111"/>
        <v>SKIIFM_AT</v>
      </c>
      <c r="E1726" s="11" t="str">
        <f>IF(I1726&lt;&gt;"",VLOOKUP(F1726,OPDRACHTGEVER!$A$2:$B$4,2,FALSE),"")</f>
        <v>SKIIFM_AT</v>
      </c>
      <c r="F1726" s="11" t="s">
        <v>58</v>
      </c>
      <c r="I1726" s="11" t="str">
        <f>IF(DATA!B1725&lt;&gt;"",DATA!B1725,"")</f>
        <v>MSMU4147742</v>
      </c>
      <c r="J1726" s="12">
        <v>0</v>
      </c>
      <c r="K1726" s="11" t="s">
        <v>53</v>
      </c>
      <c r="L1726" s="11" t="str">
        <f t="shared" si="112"/>
        <v>560750</v>
      </c>
      <c r="M1726" s="11" t="str">
        <f>IF(I1726&lt;&gt;"",DATA!E1725,"")</f>
        <v>ROPE SET</v>
      </c>
      <c r="N1726" s="12">
        <v>0</v>
      </c>
      <c r="O1726" s="11">
        <f>IF(I1726&lt;&gt;"",DATA!C1725,"")</f>
        <v>3.75</v>
      </c>
      <c r="P1726" s="2">
        <v>294094</v>
      </c>
      <c r="Q1726" s="2" t="s">
        <v>1304</v>
      </c>
      <c r="R1726" s="2" t="s">
        <v>1337</v>
      </c>
      <c r="S1726" s="2">
        <v>283</v>
      </c>
      <c r="T1726" s="2">
        <v>1</v>
      </c>
      <c r="U1726" s="2" t="s">
        <v>141</v>
      </c>
      <c r="Y1726" s="2">
        <v>1700</v>
      </c>
      <c r="Z1726" s="11" t="s">
        <v>54</v>
      </c>
      <c r="AA1726" s="11" t="str">
        <f t="shared" si="113"/>
        <v>1700 - TBN</v>
      </c>
      <c r="AC1726" s="2" t="s">
        <v>145</v>
      </c>
      <c r="AD1726" s="11" t="str">
        <f>IF($I1726&lt;&gt;"",VLOOKUP($AC1726,GEADRESSEERDE!$A$2:$E$4,2,),"")</f>
        <v>LUITHAGEN HAVEN 2 D</v>
      </c>
      <c r="AE1726" s="11">
        <f>IF($I1726&lt;&gt;"",VLOOKUP($AC1726,GEADRESSEERDE!$A$2:$E$4,3,),"")</f>
        <v>2030</v>
      </c>
      <c r="AF1726" s="11" t="str">
        <f>IF($I1726&lt;&gt;"",VLOOKUP($AC1726,GEADRESSEERDE!$A$2:$E$4,4,),"")</f>
        <v>ANTWERPEN</v>
      </c>
      <c r="AG1726" s="11" t="str">
        <f>IF($I1726&lt;&gt;"",VLOOKUP($AC1726,GEADRESSEERDE!$A$2:$E$4,5,),"")</f>
        <v>BE</v>
      </c>
      <c r="AH1726" s="11" t="str">
        <f>IF(I1726&lt;&gt;"",VLOOKUP(AP1726,KvB!$A$2:$B$3,2,FALSE),"")</f>
        <v>BE101000</v>
      </c>
      <c r="AI1726" s="11" t="s">
        <v>55</v>
      </c>
      <c r="AJ1726" s="11"/>
      <c r="AK1726" s="11"/>
      <c r="AL1726" s="11"/>
      <c r="AM1726" s="11"/>
      <c r="AN1726" s="11"/>
      <c r="AO1726" s="11"/>
      <c r="AP1726" s="2" t="s">
        <v>70</v>
      </c>
      <c r="AQ1726" s="11" t="str">
        <f>IF(I1726&lt;&gt;"",DATA!D1725,"")</f>
        <v>5607501190</v>
      </c>
    </row>
    <row r="1727" spans="1:43" ht="15.75" x14ac:dyDescent="0.25">
      <c r="A1727" s="11" t="s">
        <v>57</v>
      </c>
      <c r="B1727" s="11" t="s">
        <v>56</v>
      </c>
      <c r="C1727" s="22">
        <f t="shared" si="110"/>
        <v>25001620</v>
      </c>
      <c r="D1727" s="11" t="str">
        <f t="shared" si="111"/>
        <v>SKIIFM_AT</v>
      </c>
      <c r="E1727" s="11" t="str">
        <f>IF(I1727&lt;&gt;"",VLOOKUP(F1727,OPDRACHTGEVER!$A$2:$B$4,2,FALSE),"")</f>
        <v>SKIIFM_AT</v>
      </c>
      <c r="F1727" s="11" t="s">
        <v>58</v>
      </c>
      <c r="I1727" s="11" t="str">
        <f>IF(DATA!B1726&lt;&gt;"",DATA!B1726,"")</f>
        <v>MSMU4147742</v>
      </c>
      <c r="J1727" s="12">
        <v>0</v>
      </c>
      <c r="K1727" s="11" t="s">
        <v>53</v>
      </c>
      <c r="L1727" s="11" t="str">
        <f t="shared" si="112"/>
        <v>842382</v>
      </c>
      <c r="M1727" s="11" t="str">
        <f>IF(I1727&lt;&gt;"",DATA!E1726,"")</f>
        <v>SCALE KIT</v>
      </c>
      <c r="N1727" s="12">
        <v>0</v>
      </c>
      <c r="O1727" s="11">
        <f>IF(I1727&lt;&gt;"",DATA!C1726,"")</f>
        <v>192</v>
      </c>
      <c r="P1727" s="2">
        <v>294094</v>
      </c>
      <c r="Q1727" s="2" t="s">
        <v>1304</v>
      </c>
      <c r="R1727" s="2" t="s">
        <v>1337</v>
      </c>
      <c r="S1727" s="2">
        <v>283</v>
      </c>
      <c r="T1727" s="2">
        <v>1</v>
      </c>
      <c r="U1727" s="2" t="s">
        <v>141</v>
      </c>
      <c r="Y1727" s="2">
        <v>1700</v>
      </c>
      <c r="Z1727" s="11" t="s">
        <v>54</v>
      </c>
      <c r="AA1727" s="11" t="str">
        <f t="shared" si="113"/>
        <v>1700 - TBN</v>
      </c>
      <c r="AC1727" s="2" t="s">
        <v>145</v>
      </c>
      <c r="AD1727" s="11" t="str">
        <f>IF($I1727&lt;&gt;"",VLOOKUP($AC1727,GEADRESSEERDE!$A$2:$E$4,2,),"")</f>
        <v>LUITHAGEN HAVEN 2 D</v>
      </c>
      <c r="AE1727" s="11">
        <f>IF($I1727&lt;&gt;"",VLOOKUP($AC1727,GEADRESSEERDE!$A$2:$E$4,3,),"")</f>
        <v>2030</v>
      </c>
      <c r="AF1727" s="11" t="str">
        <f>IF($I1727&lt;&gt;"",VLOOKUP($AC1727,GEADRESSEERDE!$A$2:$E$4,4,),"")</f>
        <v>ANTWERPEN</v>
      </c>
      <c r="AG1727" s="11" t="str">
        <f>IF($I1727&lt;&gt;"",VLOOKUP($AC1727,GEADRESSEERDE!$A$2:$E$4,5,),"")</f>
        <v>BE</v>
      </c>
      <c r="AH1727" s="11" t="str">
        <f>IF(I1727&lt;&gt;"",VLOOKUP(AP1727,KvB!$A$2:$B$3,2,FALSE),"")</f>
        <v>BE101000</v>
      </c>
      <c r="AI1727" s="11" t="s">
        <v>55</v>
      </c>
      <c r="AJ1727" s="11"/>
      <c r="AK1727" s="11"/>
      <c r="AL1727" s="11"/>
      <c r="AM1727" s="11"/>
      <c r="AN1727" s="11"/>
      <c r="AO1727" s="11"/>
      <c r="AP1727" s="2" t="s">
        <v>70</v>
      </c>
      <c r="AQ1727" s="11" t="str">
        <f>IF(I1727&lt;&gt;"",DATA!D1726,"")</f>
        <v>8423822000</v>
      </c>
    </row>
    <row r="1728" spans="1:43" ht="15.75" x14ac:dyDescent="0.25">
      <c r="A1728" s="11" t="s">
        <v>57</v>
      </c>
      <c r="B1728" s="11" t="s">
        <v>56</v>
      </c>
      <c r="C1728" s="22">
        <f t="shared" si="110"/>
        <v>25001620</v>
      </c>
      <c r="D1728" s="11" t="str">
        <f t="shared" si="111"/>
        <v>SKIIFM_AT</v>
      </c>
      <c r="E1728" s="11" t="str">
        <f>IF(I1728&lt;&gt;"",VLOOKUP(F1728,OPDRACHTGEVER!$A$2:$B$4,2,FALSE),"")</f>
        <v>SKIIFM_AT</v>
      </c>
      <c r="F1728" s="11" t="s">
        <v>58</v>
      </c>
      <c r="I1728" s="11" t="str">
        <f>IF(DATA!B1727&lt;&gt;"",DATA!B1727,"")</f>
        <v>MSMU4147742</v>
      </c>
      <c r="J1728" s="12">
        <v>0</v>
      </c>
      <c r="K1728" s="11" t="s">
        <v>53</v>
      </c>
      <c r="L1728" s="11" t="str">
        <f t="shared" si="112"/>
        <v>741920</v>
      </c>
      <c r="M1728" s="11" t="str">
        <f>IF(I1728&lt;&gt;"",DATA!E1727,"")</f>
        <v>SERVER RACK SHELF</v>
      </c>
      <c r="N1728" s="12">
        <v>0</v>
      </c>
      <c r="O1728" s="11">
        <f>IF(I1728&lt;&gt;"",DATA!C1727,"")</f>
        <v>3.35</v>
      </c>
      <c r="P1728" s="2">
        <v>294094</v>
      </c>
      <c r="Q1728" s="2" t="s">
        <v>1304</v>
      </c>
      <c r="R1728" s="2" t="s">
        <v>1337</v>
      </c>
      <c r="S1728" s="2">
        <v>283</v>
      </c>
      <c r="T1728" s="2">
        <v>1</v>
      </c>
      <c r="U1728" s="2" t="s">
        <v>141</v>
      </c>
      <c r="Y1728" s="2">
        <v>1700</v>
      </c>
      <c r="Z1728" s="11" t="s">
        <v>54</v>
      </c>
      <c r="AA1728" s="11" t="str">
        <f t="shared" si="113"/>
        <v>1700 - TBN</v>
      </c>
      <c r="AC1728" s="2" t="s">
        <v>145</v>
      </c>
      <c r="AD1728" s="11" t="str">
        <f>IF($I1728&lt;&gt;"",VLOOKUP($AC1728,GEADRESSEERDE!$A$2:$E$4,2,),"")</f>
        <v>LUITHAGEN HAVEN 2 D</v>
      </c>
      <c r="AE1728" s="11">
        <f>IF($I1728&lt;&gt;"",VLOOKUP($AC1728,GEADRESSEERDE!$A$2:$E$4,3,),"")</f>
        <v>2030</v>
      </c>
      <c r="AF1728" s="11" t="str">
        <f>IF($I1728&lt;&gt;"",VLOOKUP($AC1728,GEADRESSEERDE!$A$2:$E$4,4,),"")</f>
        <v>ANTWERPEN</v>
      </c>
      <c r="AG1728" s="11" t="str">
        <f>IF($I1728&lt;&gt;"",VLOOKUP($AC1728,GEADRESSEERDE!$A$2:$E$4,5,),"")</f>
        <v>BE</v>
      </c>
      <c r="AH1728" s="11" t="str">
        <f>IF(I1728&lt;&gt;"",VLOOKUP(AP1728,KvB!$A$2:$B$3,2,FALSE),"")</f>
        <v>BE101000</v>
      </c>
      <c r="AI1728" s="11" t="s">
        <v>55</v>
      </c>
      <c r="AJ1728" s="11"/>
      <c r="AK1728" s="11"/>
      <c r="AL1728" s="11"/>
      <c r="AM1728" s="11"/>
      <c r="AN1728" s="11"/>
      <c r="AO1728" s="11"/>
      <c r="AP1728" s="2" t="s">
        <v>70</v>
      </c>
      <c r="AQ1728" s="11" t="str">
        <f>IF(I1728&lt;&gt;"",DATA!D1727,"")</f>
        <v>7419200090</v>
      </c>
    </row>
    <row r="1729" spans="1:43" ht="15.75" x14ac:dyDescent="0.25">
      <c r="A1729" s="11" t="s">
        <v>57</v>
      </c>
      <c r="B1729" s="11" t="s">
        <v>56</v>
      </c>
      <c r="C1729" s="22">
        <f t="shared" si="110"/>
        <v>25001620</v>
      </c>
      <c r="D1729" s="11" t="str">
        <f t="shared" si="111"/>
        <v>SKIIFM_AT</v>
      </c>
      <c r="E1729" s="11" t="str">
        <f>IF(I1729&lt;&gt;"",VLOOKUP(F1729,OPDRACHTGEVER!$A$2:$B$4,2,FALSE),"")</f>
        <v>SKIIFM_AT</v>
      </c>
      <c r="F1729" s="11" t="s">
        <v>58</v>
      </c>
      <c r="I1729" s="11" t="str">
        <f>IF(DATA!B1728&lt;&gt;"",DATA!B1728,"")</f>
        <v>MSMU4147742</v>
      </c>
      <c r="J1729" s="12">
        <v>0</v>
      </c>
      <c r="K1729" s="11" t="s">
        <v>53</v>
      </c>
      <c r="L1729" s="11" t="str">
        <f t="shared" si="112"/>
        <v>940290</v>
      </c>
      <c r="M1729" s="11" t="str">
        <f>IF(I1729&lt;&gt;"",DATA!E1728,"")</f>
        <v>STAIRCASE STRETCHER</v>
      </c>
      <c r="N1729" s="12">
        <v>0</v>
      </c>
      <c r="O1729" s="11">
        <f>IF(I1729&lt;&gt;"",DATA!C1728,"")</f>
        <v>64.5</v>
      </c>
      <c r="P1729" s="2">
        <v>294094</v>
      </c>
      <c r="Q1729" s="2" t="s">
        <v>1304</v>
      </c>
      <c r="R1729" s="2" t="s">
        <v>1337</v>
      </c>
      <c r="S1729" s="2">
        <v>283</v>
      </c>
      <c r="T1729" s="2">
        <v>1</v>
      </c>
      <c r="U1729" s="2" t="s">
        <v>141</v>
      </c>
      <c r="Y1729" s="2">
        <v>1700</v>
      </c>
      <c r="Z1729" s="11" t="s">
        <v>54</v>
      </c>
      <c r="AA1729" s="11" t="str">
        <f t="shared" si="113"/>
        <v>1700 - TBN</v>
      </c>
      <c r="AC1729" s="2" t="s">
        <v>145</v>
      </c>
      <c r="AD1729" s="11" t="str">
        <f>IF($I1729&lt;&gt;"",VLOOKUP($AC1729,GEADRESSEERDE!$A$2:$E$4,2,),"")</f>
        <v>LUITHAGEN HAVEN 2 D</v>
      </c>
      <c r="AE1729" s="11">
        <f>IF($I1729&lt;&gt;"",VLOOKUP($AC1729,GEADRESSEERDE!$A$2:$E$4,3,),"")</f>
        <v>2030</v>
      </c>
      <c r="AF1729" s="11" t="str">
        <f>IF($I1729&lt;&gt;"",VLOOKUP($AC1729,GEADRESSEERDE!$A$2:$E$4,4,),"")</f>
        <v>ANTWERPEN</v>
      </c>
      <c r="AG1729" s="11" t="str">
        <f>IF($I1729&lt;&gt;"",VLOOKUP($AC1729,GEADRESSEERDE!$A$2:$E$4,5,),"")</f>
        <v>BE</v>
      </c>
      <c r="AH1729" s="11" t="str">
        <f>IF(I1729&lt;&gt;"",VLOOKUP(AP1729,KvB!$A$2:$B$3,2,FALSE),"")</f>
        <v>BE101000</v>
      </c>
      <c r="AI1729" s="11" t="s">
        <v>55</v>
      </c>
      <c r="AJ1729" s="11"/>
      <c r="AK1729" s="11"/>
      <c r="AL1729" s="11"/>
      <c r="AM1729" s="11"/>
      <c r="AN1729" s="11"/>
      <c r="AO1729" s="11"/>
      <c r="AP1729" s="2" t="s">
        <v>70</v>
      </c>
      <c r="AQ1729" s="11" t="str">
        <f>IF(I1729&lt;&gt;"",DATA!D1728,"")</f>
        <v>9402900000</v>
      </c>
    </row>
    <row r="1730" spans="1:43" ht="15.75" x14ac:dyDescent="0.25">
      <c r="A1730" s="11" t="s">
        <v>57</v>
      </c>
      <c r="B1730" s="11" t="s">
        <v>56</v>
      </c>
      <c r="C1730" s="22">
        <f t="shared" si="110"/>
        <v>25001620</v>
      </c>
      <c r="D1730" s="11" t="str">
        <f t="shared" si="111"/>
        <v>SKIIFM_AT</v>
      </c>
      <c r="E1730" s="11" t="str">
        <f>IF(I1730&lt;&gt;"",VLOOKUP(F1730,OPDRACHTGEVER!$A$2:$B$4,2,FALSE),"")</f>
        <v>SKIIFM_AT</v>
      </c>
      <c r="F1730" s="11" t="s">
        <v>58</v>
      </c>
      <c r="I1730" s="11" t="str">
        <f>IF(DATA!B1729&lt;&gt;"",DATA!B1729,"")</f>
        <v>MSMU4147742</v>
      </c>
      <c r="J1730" s="12">
        <v>0</v>
      </c>
      <c r="K1730" s="11" t="s">
        <v>53</v>
      </c>
      <c r="L1730" s="11" t="str">
        <f t="shared" si="112"/>
        <v>940391</v>
      </c>
      <c r="M1730" s="11" t="str">
        <f>IF(I1730&lt;&gt;"",DATA!E1729,"")</f>
        <v>TABLE LEGS</v>
      </c>
      <c r="N1730" s="12">
        <v>0</v>
      </c>
      <c r="O1730" s="11">
        <f>IF(I1730&lt;&gt;"",DATA!C1729,"")</f>
        <v>145.6</v>
      </c>
      <c r="P1730" s="2">
        <v>294094</v>
      </c>
      <c r="Q1730" s="2" t="s">
        <v>1304</v>
      </c>
      <c r="R1730" s="2" t="s">
        <v>1337</v>
      </c>
      <c r="S1730" s="2">
        <v>283</v>
      </c>
      <c r="T1730" s="2">
        <v>1</v>
      </c>
      <c r="U1730" s="2" t="s">
        <v>141</v>
      </c>
      <c r="Y1730" s="2">
        <v>1700</v>
      </c>
      <c r="Z1730" s="11" t="s">
        <v>54</v>
      </c>
      <c r="AA1730" s="11" t="str">
        <f t="shared" si="113"/>
        <v>1700 - TBN</v>
      </c>
      <c r="AC1730" s="2" t="s">
        <v>145</v>
      </c>
      <c r="AD1730" s="11" t="str">
        <f>IF($I1730&lt;&gt;"",VLOOKUP($AC1730,GEADRESSEERDE!$A$2:$E$4,2,),"")</f>
        <v>LUITHAGEN HAVEN 2 D</v>
      </c>
      <c r="AE1730" s="11">
        <f>IF($I1730&lt;&gt;"",VLOOKUP($AC1730,GEADRESSEERDE!$A$2:$E$4,3,),"")</f>
        <v>2030</v>
      </c>
      <c r="AF1730" s="11" t="str">
        <f>IF($I1730&lt;&gt;"",VLOOKUP($AC1730,GEADRESSEERDE!$A$2:$E$4,4,),"")</f>
        <v>ANTWERPEN</v>
      </c>
      <c r="AG1730" s="11" t="str">
        <f>IF($I1730&lt;&gt;"",VLOOKUP($AC1730,GEADRESSEERDE!$A$2:$E$4,5,),"")</f>
        <v>BE</v>
      </c>
      <c r="AH1730" s="11" t="str">
        <f>IF(I1730&lt;&gt;"",VLOOKUP(AP1730,KvB!$A$2:$B$3,2,FALSE),"")</f>
        <v>BE101000</v>
      </c>
      <c r="AI1730" s="11" t="s">
        <v>55</v>
      </c>
      <c r="AJ1730" s="11"/>
      <c r="AK1730" s="11"/>
      <c r="AL1730" s="11"/>
      <c r="AM1730" s="11"/>
      <c r="AN1730" s="11"/>
      <c r="AO1730" s="11"/>
      <c r="AP1730" s="2" t="s">
        <v>70</v>
      </c>
      <c r="AQ1730" s="11" t="str">
        <f>IF(I1730&lt;&gt;"",DATA!D1729,"")</f>
        <v>9403910090</v>
      </c>
    </row>
    <row r="1731" spans="1:43" ht="15.75" x14ac:dyDescent="0.25">
      <c r="A1731" s="11" t="s">
        <v>57</v>
      </c>
      <c r="B1731" s="11" t="s">
        <v>56</v>
      </c>
      <c r="C1731" s="22">
        <f t="shared" si="110"/>
        <v>25001620</v>
      </c>
      <c r="D1731" s="11" t="str">
        <f t="shared" si="111"/>
        <v>SKIIFM_AT</v>
      </c>
      <c r="E1731" s="11" t="str">
        <f>IF(I1731&lt;&gt;"",VLOOKUP(F1731,OPDRACHTGEVER!$A$2:$B$4,2,FALSE),"")</f>
        <v>SKIIFM_AT</v>
      </c>
      <c r="F1731" s="11" t="s">
        <v>58</v>
      </c>
      <c r="I1731" s="11" t="str">
        <f>IF(DATA!B1730&lt;&gt;"",DATA!B1730,"")</f>
        <v>MSMU4147742</v>
      </c>
      <c r="J1731" s="12">
        <v>0</v>
      </c>
      <c r="K1731" s="11" t="s">
        <v>53</v>
      </c>
      <c r="L1731" s="11" t="str">
        <f t="shared" si="112"/>
        <v>761699</v>
      </c>
      <c r="M1731" s="11" t="str">
        <f>IF(I1731&lt;&gt;"",DATA!E1730,"")</f>
        <v>TERMINAL ALUMINUM LADDER</v>
      </c>
      <c r="N1731" s="12">
        <v>0</v>
      </c>
      <c r="O1731" s="11">
        <f>IF(I1731&lt;&gt;"",DATA!C1730,"")</f>
        <v>165.6</v>
      </c>
      <c r="P1731" s="2">
        <v>294094</v>
      </c>
      <c r="Q1731" s="2" t="s">
        <v>1304</v>
      </c>
      <c r="R1731" s="2" t="s">
        <v>1337</v>
      </c>
      <c r="S1731" s="2">
        <v>283</v>
      </c>
      <c r="T1731" s="2">
        <v>1</v>
      </c>
      <c r="U1731" s="2" t="s">
        <v>141</v>
      </c>
      <c r="Y1731" s="2">
        <v>1700</v>
      </c>
      <c r="Z1731" s="11" t="s">
        <v>54</v>
      </c>
      <c r="AA1731" s="11" t="str">
        <f t="shared" si="113"/>
        <v>1700 - TBN</v>
      </c>
      <c r="AC1731" s="2" t="s">
        <v>145</v>
      </c>
      <c r="AD1731" s="11" t="str">
        <f>IF($I1731&lt;&gt;"",VLOOKUP($AC1731,GEADRESSEERDE!$A$2:$E$4,2,),"")</f>
        <v>LUITHAGEN HAVEN 2 D</v>
      </c>
      <c r="AE1731" s="11">
        <f>IF($I1731&lt;&gt;"",VLOOKUP($AC1731,GEADRESSEERDE!$A$2:$E$4,3,),"")</f>
        <v>2030</v>
      </c>
      <c r="AF1731" s="11" t="str">
        <f>IF($I1731&lt;&gt;"",VLOOKUP($AC1731,GEADRESSEERDE!$A$2:$E$4,4,),"")</f>
        <v>ANTWERPEN</v>
      </c>
      <c r="AG1731" s="11" t="str">
        <f>IF($I1731&lt;&gt;"",VLOOKUP($AC1731,GEADRESSEERDE!$A$2:$E$4,5,),"")</f>
        <v>BE</v>
      </c>
      <c r="AH1731" s="11" t="str">
        <f>IF(I1731&lt;&gt;"",VLOOKUP(AP1731,KvB!$A$2:$B$3,2,FALSE),"")</f>
        <v>BE101000</v>
      </c>
      <c r="AI1731" s="11" t="s">
        <v>55</v>
      </c>
      <c r="AJ1731" s="11"/>
      <c r="AK1731" s="11"/>
      <c r="AL1731" s="11"/>
      <c r="AM1731" s="11"/>
      <c r="AN1731" s="11"/>
      <c r="AO1731" s="11"/>
      <c r="AP1731" s="2" t="s">
        <v>70</v>
      </c>
      <c r="AQ1731" s="11" t="str">
        <f>IF(I1731&lt;&gt;"",DATA!D1730,"")</f>
        <v>7616999009</v>
      </c>
    </row>
    <row r="1732" spans="1:43" ht="15.75" x14ac:dyDescent="0.25">
      <c r="A1732" s="11" t="s">
        <v>57</v>
      </c>
      <c r="B1732" s="11" t="s">
        <v>56</v>
      </c>
      <c r="C1732" s="22">
        <f t="shared" si="110"/>
        <v>25001620</v>
      </c>
      <c r="D1732" s="11" t="str">
        <f t="shared" si="111"/>
        <v>SKIIFM_AT</v>
      </c>
      <c r="E1732" s="11" t="str">
        <f>IF(I1732&lt;&gt;"",VLOOKUP(F1732,OPDRACHTGEVER!$A$2:$B$4,2,FALSE),"")</f>
        <v>SKIIFM_AT</v>
      </c>
      <c r="F1732" s="11" t="s">
        <v>58</v>
      </c>
      <c r="I1732" s="11" t="str">
        <f>IF(DATA!B1731&lt;&gt;"",DATA!B1731,"")</f>
        <v>MSMU4147742</v>
      </c>
      <c r="J1732" s="12">
        <v>0</v>
      </c>
      <c r="K1732" s="11" t="s">
        <v>53</v>
      </c>
      <c r="L1732" s="11" t="str">
        <f t="shared" si="112"/>
        <v>741920</v>
      </c>
      <c r="M1732" s="11" t="str">
        <f>IF(I1732&lt;&gt;"",DATA!E1731,"")</f>
        <v>THREE POINT SUSPENSION DEVICE FOR TOWING AGRICULTURAL MACHINERY</v>
      </c>
      <c r="N1732" s="12">
        <v>0</v>
      </c>
      <c r="O1732" s="11">
        <f>IF(I1732&lt;&gt;"",DATA!C1731,"")</f>
        <v>226.2</v>
      </c>
      <c r="P1732" s="2">
        <v>294094</v>
      </c>
      <c r="Q1732" s="2" t="s">
        <v>1304</v>
      </c>
      <c r="R1732" s="2" t="s">
        <v>1337</v>
      </c>
      <c r="S1732" s="2">
        <v>283</v>
      </c>
      <c r="T1732" s="2">
        <v>1</v>
      </c>
      <c r="U1732" s="2" t="s">
        <v>141</v>
      </c>
      <c r="Y1732" s="2">
        <v>1700</v>
      </c>
      <c r="Z1732" s="11" t="s">
        <v>54</v>
      </c>
      <c r="AA1732" s="11" t="str">
        <f t="shared" si="113"/>
        <v>1700 - TBN</v>
      </c>
      <c r="AC1732" s="2" t="s">
        <v>145</v>
      </c>
      <c r="AD1732" s="11" t="str">
        <f>IF($I1732&lt;&gt;"",VLOOKUP($AC1732,GEADRESSEERDE!$A$2:$E$4,2,),"")</f>
        <v>LUITHAGEN HAVEN 2 D</v>
      </c>
      <c r="AE1732" s="11">
        <f>IF($I1732&lt;&gt;"",VLOOKUP($AC1732,GEADRESSEERDE!$A$2:$E$4,3,),"")</f>
        <v>2030</v>
      </c>
      <c r="AF1732" s="11" t="str">
        <f>IF($I1732&lt;&gt;"",VLOOKUP($AC1732,GEADRESSEERDE!$A$2:$E$4,4,),"")</f>
        <v>ANTWERPEN</v>
      </c>
      <c r="AG1732" s="11" t="str">
        <f>IF($I1732&lt;&gt;"",VLOOKUP($AC1732,GEADRESSEERDE!$A$2:$E$4,5,),"")</f>
        <v>BE</v>
      </c>
      <c r="AH1732" s="11" t="str">
        <f>IF(I1732&lt;&gt;"",VLOOKUP(AP1732,KvB!$A$2:$B$3,2,FALSE),"")</f>
        <v>BE101000</v>
      </c>
      <c r="AI1732" s="11" t="s">
        <v>55</v>
      </c>
      <c r="AJ1732" s="11"/>
      <c r="AK1732" s="11"/>
      <c r="AL1732" s="11"/>
      <c r="AM1732" s="11"/>
      <c r="AN1732" s="11"/>
      <c r="AO1732" s="11"/>
      <c r="AP1732" s="2" t="s">
        <v>70</v>
      </c>
      <c r="AQ1732" s="11" t="str">
        <f>IF(I1732&lt;&gt;"",DATA!D1731,"")</f>
        <v>7419200090</v>
      </c>
    </row>
    <row r="1733" spans="1:43" ht="15.75" x14ac:dyDescent="0.25">
      <c r="A1733" s="11" t="s">
        <v>57</v>
      </c>
      <c r="B1733" s="11" t="s">
        <v>56</v>
      </c>
      <c r="C1733" s="22">
        <f t="shared" ref="C1733:C1796" si="114">C1732</f>
        <v>25001620</v>
      </c>
      <c r="D1733" s="11" t="str">
        <f t="shared" si="111"/>
        <v>SKIIFM_AT</v>
      </c>
      <c r="E1733" s="11" t="str">
        <f>IF(I1733&lt;&gt;"",VLOOKUP(F1733,OPDRACHTGEVER!$A$2:$B$4,2,FALSE),"")</f>
        <v>SKIIFM_AT</v>
      </c>
      <c r="F1733" s="11" t="s">
        <v>58</v>
      </c>
      <c r="I1733" s="11" t="str">
        <f>IF(DATA!B1732&lt;&gt;"",DATA!B1732,"")</f>
        <v>MSMU4147742</v>
      </c>
      <c r="J1733" s="12">
        <v>0</v>
      </c>
      <c r="K1733" s="11" t="s">
        <v>53</v>
      </c>
      <c r="L1733" s="11" t="str">
        <f t="shared" si="112"/>
        <v>871680</v>
      </c>
      <c r="M1733" s="11" t="str">
        <f>IF(I1733&lt;&gt;"",DATA!E1732,"")</f>
        <v>TRACTOR</v>
      </c>
      <c r="N1733" s="12">
        <v>0</v>
      </c>
      <c r="O1733" s="11">
        <f>IF(I1733&lt;&gt;"",DATA!C1732,"")</f>
        <v>926.1</v>
      </c>
      <c r="P1733" s="2">
        <v>294094</v>
      </c>
      <c r="Q1733" s="2" t="s">
        <v>1304</v>
      </c>
      <c r="R1733" s="2" t="s">
        <v>1337</v>
      </c>
      <c r="S1733" s="2">
        <v>283</v>
      </c>
      <c r="T1733" s="2">
        <v>1</v>
      </c>
      <c r="U1733" s="2" t="s">
        <v>141</v>
      </c>
      <c r="Y1733" s="2">
        <v>1700</v>
      </c>
      <c r="Z1733" s="11" t="s">
        <v>54</v>
      </c>
      <c r="AA1733" s="11" t="str">
        <f t="shared" si="113"/>
        <v>1700 - TBN</v>
      </c>
      <c r="AC1733" s="2" t="s">
        <v>145</v>
      </c>
      <c r="AD1733" s="11" t="str">
        <f>IF($I1733&lt;&gt;"",VLOOKUP($AC1733,GEADRESSEERDE!$A$2:$E$4,2,),"")</f>
        <v>LUITHAGEN HAVEN 2 D</v>
      </c>
      <c r="AE1733" s="11">
        <f>IF($I1733&lt;&gt;"",VLOOKUP($AC1733,GEADRESSEERDE!$A$2:$E$4,3,),"")</f>
        <v>2030</v>
      </c>
      <c r="AF1733" s="11" t="str">
        <f>IF($I1733&lt;&gt;"",VLOOKUP($AC1733,GEADRESSEERDE!$A$2:$E$4,4,),"")</f>
        <v>ANTWERPEN</v>
      </c>
      <c r="AG1733" s="11" t="str">
        <f>IF($I1733&lt;&gt;"",VLOOKUP($AC1733,GEADRESSEERDE!$A$2:$E$4,5,),"")</f>
        <v>BE</v>
      </c>
      <c r="AH1733" s="11" t="str">
        <f>IF(I1733&lt;&gt;"",VLOOKUP(AP1733,KvB!$A$2:$B$3,2,FALSE),"")</f>
        <v>BE101000</v>
      </c>
      <c r="AI1733" s="11" t="s">
        <v>55</v>
      </c>
      <c r="AJ1733" s="11"/>
      <c r="AK1733" s="11"/>
      <c r="AL1733" s="11"/>
      <c r="AM1733" s="11"/>
      <c r="AN1733" s="11"/>
      <c r="AO1733" s="11"/>
      <c r="AP1733" s="2" t="s">
        <v>70</v>
      </c>
      <c r="AQ1733" s="11" t="str">
        <f>IF(I1733&lt;&gt;"",DATA!D1732,"")</f>
        <v>8716800000</v>
      </c>
    </row>
    <row r="1734" spans="1:43" ht="15.75" x14ac:dyDescent="0.25">
      <c r="A1734" s="11" t="s">
        <v>57</v>
      </c>
      <c r="B1734" s="11" t="s">
        <v>56</v>
      </c>
      <c r="C1734" s="22">
        <f t="shared" si="114"/>
        <v>25001620</v>
      </c>
      <c r="D1734" s="11" t="str">
        <f t="shared" si="111"/>
        <v>SKIIFM_AT</v>
      </c>
      <c r="E1734" s="11" t="str">
        <f>IF(I1734&lt;&gt;"",VLOOKUP(F1734,OPDRACHTGEVER!$A$2:$B$4,2,FALSE),"")</f>
        <v>SKIIFM_AT</v>
      </c>
      <c r="F1734" s="11" t="s">
        <v>58</v>
      </c>
      <c r="I1734" s="11" t="str">
        <f>IF(DATA!B1733&lt;&gt;"",DATA!B1733,"")</f>
        <v>MSMU4147742</v>
      </c>
      <c r="J1734" s="12">
        <v>0</v>
      </c>
      <c r="K1734" s="11" t="s">
        <v>53</v>
      </c>
      <c r="L1734" s="11" t="str">
        <f t="shared" si="112"/>
        <v>741920</v>
      </c>
      <c r="M1734" s="11" t="str">
        <f>IF(I1734&lt;&gt;"",DATA!E1733,"")</f>
        <v>TRAP</v>
      </c>
      <c r="N1734" s="12">
        <v>0</v>
      </c>
      <c r="O1734" s="11">
        <f>IF(I1734&lt;&gt;"",DATA!C1733,"")</f>
        <v>417.35</v>
      </c>
      <c r="P1734" s="2">
        <v>294094</v>
      </c>
      <c r="Q1734" s="2" t="s">
        <v>1304</v>
      </c>
      <c r="R1734" s="2" t="s">
        <v>1337</v>
      </c>
      <c r="S1734" s="2">
        <v>283</v>
      </c>
      <c r="T1734" s="2">
        <v>1</v>
      </c>
      <c r="U1734" s="2" t="s">
        <v>141</v>
      </c>
      <c r="Y1734" s="2">
        <v>1700</v>
      </c>
      <c r="Z1734" s="11" t="s">
        <v>54</v>
      </c>
      <c r="AA1734" s="11" t="str">
        <f t="shared" si="113"/>
        <v>1700 - TBN</v>
      </c>
      <c r="AC1734" s="2" t="s">
        <v>145</v>
      </c>
      <c r="AD1734" s="11" t="str">
        <f>IF($I1734&lt;&gt;"",VLOOKUP($AC1734,GEADRESSEERDE!$A$2:$E$4,2,),"")</f>
        <v>LUITHAGEN HAVEN 2 D</v>
      </c>
      <c r="AE1734" s="11">
        <f>IF($I1734&lt;&gt;"",VLOOKUP($AC1734,GEADRESSEERDE!$A$2:$E$4,3,),"")</f>
        <v>2030</v>
      </c>
      <c r="AF1734" s="11" t="str">
        <f>IF($I1734&lt;&gt;"",VLOOKUP($AC1734,GEADRESSEERDE!$A$2:$E$4,4,),"")</f>
        <v>ANTWERPEN</v>
      </c>
      <c r="AG1734" s="11" t="str">
        <f>IF($I1734&lt;&gt;"",VLOOKUP($AC1734,GEADRESSEERDE!$A$2:$E$4,5,),"")</f>
        <v>BE</v>
      </c>
      <c r="AH1734" s="11" t="str">
        <f>IF(I1734&lt;&gt;"",VLOOKUP(AP1734,KvB!$A$2:$B$3,2,FALSE),"")</f>
        <v>BE101000</v>
      </c>
      <c r="AI1734" s="11" t="s">
        <v>55</v>
      </c>
      <c r="AJ1734" s="11"/>
      <c r="AK1734" s="11"/>
      <c r="AL1734" s="11"/>
      <c r="AM1734" s="11"/>
      <c r="AN1734" s="11"/>
      <c r="AO1734" s="11"/>
      <c r="AP1734" s="2" t="s">
        <v>70</v>
      </c>
      <c r="AQ1734" s="11" t="str">
        <f>IF(I1734&lt;&gt;"",DATA!D1733,"")</f>
        <v>7419200090</v>
      </c>
    </row>
    <row r="1735" spans="1:43" ht="15.75" x14ac:dyDescent="0.25">
      <c r="A1735" s="11" t="s">
        <v>57</v>
      </c>
      <c r="B1735" s="11" t="s">
        <v>56</v>
      </c>
      <c r="C1735" s="22">
        <f t="shared" si="114"/>
        <v>25001620</v>
      </c>
      <c r="D1735" s="11" t="str">
        <f t="shared" si="111"/>
        <v>SKIIFM_AT</v>
      </c>
      <c r="E1735" s="11" t="str">
        <f>IF(I1735&lt;&gt;"",VLOOKUP(F1735,OPDRACHTGEVER!$A$2:$B$4,2,FALSE),"")</f>
        <v>SKIIFM_AT</v>
      </c>
      <c r="F1735" s="11" t="s">
        <v>58</v>
      </c>
      <c r="I1735" s="11" t="str">
        <f>IF(DATA!B1734&lt;&gt;"",DATA!B1734,"")</f>
        <v>MSMU4147742</v>
      </c>
      <c r="J1735" s="12">
        <v>0</v>
      </c>
      <c r="K1735" s="11" t="s">
        <v>53</v>
      </c>
      <c r="L1735" s="11" t="str">
        <f t="shared" si="112"/>
        <v>847989</v>
      </c>
      <c r="M1735" s="11" t="str">
        <f>IF(I1735&lt;&gt;"",DATA!E1734,"")</f>
        <v>ULTRASONIC JEWELRY CLEANER</v>
      </c>
      <c r="N1735" s="12">
        <v>0</v>
      </c>
      <c r="O1735" s="11">
        <f>IF(I1735&lt;&gt;"",DATA!C1734,"")</f>
        <v>243.82</v>
      </c>
      <c r="P1735" s="2">
        <v>294094</v>
      </c>
      <c r="Q1735" s="2" t="s">
        <v>1304</v>
      </c>
      <c r="R1735" s="2" t="s">
        <v>1337</v>
      </c>
      <c r="S1735" s="2">
        <v>283</v>
      </c>
      <c r="T1735" s="2">
        <v>1</v>
      </c>
      <c r="U1735" s="2" t="s">
        <v>141</v>
      </c>
      <c r="Y1735" s="2">
        <v>1700</v>
      </c>
      <c r="Z1735" s="11" t="s">
        <v>54</v>
      </c>
      <c r="AA1735" s="11" t="str">
        <f t="shared" si="113"/>
        <v>1700 - TBN</v>
      </c>
      <c r="AC1735" s="2" t="s">
        <v>145</v>
      </c>
      <c r="AD1735" s="11" t="str">
        <f>IF($I1735&lt;&gt;"",VLOOKUP($AC1735,GEADRESSEERDE!$A$2:$E$4,2,),"")</f>
        <v>LUITHAGEN HAVEN 2 D</v>
      </c>
      <c r="AE1735" s="11">
        <f>IF($I1735&lt;&gt;"",VLOOKUP($AC1735,GEADRESSEERDE!$A$2:$E$4,3,),"")</f>
        <v>2030</v>
      </c>
      <c r="AF1735" s="11" t="str">
        <f>IF($I1735&lt;&gt;"",VLOOKUP($AC1735,GEADRESSEERDE!$A$2:$E$4,4,),"")</f>
        <v>ANTWERPEN</v>
      </c>
      <c r="AG1735" s="11" t="str">
        <f>IF($I1735&lt;&gt;"",VLOOKUP($AC1735,GEADRESSEERDE!$A$2:$E$4,5,),"")</f>
        <v>BE</v>
      </c>
      <c r="AH1735" s="11" t="str">
        <f>IF(I1735&lt;&gt;"",VLOOKUP(AP1735,KvB!$A$2:$B$3,2,FALSE),"")</f>
        <v>BE101000</v>
      </c>
      <c r="AI1735" s="11" t="s">
        <v>55</v>
      </c>
      <c r="AJ1735" s="11"/>
      <c r="AK1735" s="11"/>
      <c r="AL1735" s="11"/>
      <c r="AM1735" s="11"/>
      <c r="AN1735" s="11"/>
      <c r="AO1735" s="11"/>
      <c r="AP1735" s="2" t="s">
        <v>70</v>
      </c>
      <c r="AQ1735" s="11" t="str">
        <f>IF(I1735&lt;&gt;"",DATA!D1734,"")</f>
        <v>8479899790</v>
      </c>
    </row>
    <row r="1736" spans="1:43" ht="15.75" x14ac:dyDescent="0.25">
      <c r="A1736" s="11" t="s">
        <v>57</v>
      </c>
      <c r="B1736" s="11" t="s">
        <v>56</v>
      </c>
      <c r="C1736" s="22">
        <f t="shared" si="114"/>
        <v>25001620</v>
      </c>
      <c r="D1736" s="11" t="str">
        <f t="shared" si="111"/>
        <v>SKIIFM_AT</v>
      </c>
      <c r="E1736" s="11" t="str">
        <f>IF(I1736&lt;&gt;"",VLOOKUP(F1736,OPDRACHTGEVER!$A$2:$B$4,2,FALSE),"")</f>
        <v>SKIIFM_AT</v>
      </c>
      <c r="F1736" s="11" t="s">
        <v>58</v>
      </c>
      <c r="I1736" s="11" t="str">
        <f>IF(DATA!B1735&lt;&gt;"",DATA!B1735,"")</f>
        <v>MSMU4147742</v>
      </c>
      <c r="J1736" s="12">
        <v>0</v>
      </c>
      <c r="K1736" s="11" t="s">
        <v>53</v>
      </c>
      <c r="L1736" s="11" t="str">
        <f t="shared" si="112"/>
        <v>841350</v>
      </c>
      <c r="M1736" s="11" t="str">
        <f>IF(I1736&lt;&gt;"",DATA!E1735,"")</f>
        <v>WATER PUMP</v>
      </c>
      <c r="N1736" s="12">
        <v>0</v>
      </c>
      <c r="O1736" s="11">
        <f>IF(I1736&lt;&gt;"",DATA!C1735,"")</f>
        <v>4.3</v>
      </c>
      <c r="P1736" s="2">
        <v>294094</v>
      </c>
      <c r="Q1736" s="2" t="s">
        <v>1304</v>
      </c>
      <c r="R1736" s="2" t="s">
        <v>1337</v>
      </c>
      <c r="S1736" s="2">
        <v>283</v>
      </c>
      <c r="T1736" s="2">
        <v>1</v>
      </c>
      <c r="U1736" s="2" t="s">
        <v>141</v>
      </c>
      <c r="Y1736" s="2">
        <v>1700</v>
      </c>
      <c r="Z1736" s="11" t="s">
        <v>54</v>
      </c>
      <c r="AA1736" s="11" t="str">
        <f t="shared" si="113"/>
        <v>1700 - TBN</v>
      </c>
      <c r="AC1736" s="2" t="s">
        <v>145</v>
      </c>
      <c r="AD1736" s="11" t="str">
        <f>IF($I1736&lt;&gt;"",VLOOKUP($AC1736,GEADRESSEERDE!$A$2:$E$4,2,),"")</f>
        <v>LUITHAGEN HAVEN 2 D</v>
      </c>
      <c r="AE1736" s="11">
        <f>IF($I1736&lt;&gt;"",VLOOKUP($AC1736,GEADRESSEERDE!$A$2:$E$4,3,),"")</f>
        <v>2030</v>
      </c>
      <c r="AF1736" s="11" t="str">
        <f>IF($I1736&lt;&gt;"",VLOOKUP($AC1736,GEADRESSEERDE!$A$2:$E$4,4,),"")</f>
        <v>ANTWERPEN</v>
      </c>
      <c r="AG1736" s="11" t="str">
        <f>IF($I1736&lt;&gt;"",VLOOKUP($AC1736,GEADRESSEERDE!$A$2:$E$4,5,),"")</f>
        <v>BE</v>
      </c>
      <c r="AH1736" s="11" t="str">
        <f>IF(I1736&lt;&gt;"",VLOOKUP(AP1736,KvB!$A$2:$B$3,2,FALSE),"")</f>
        <v>BE101000</v>
      </c>
      <c r="AI1736" s="11" t="s">
        <v>55</v>
      </c>
      <c r="AJ1736" s="11"/>
      <c r="AK1736" s="11"/>
      <c r="AL1736" s="11"/>
      <c r="AM1736" s="11"/>
      <c r="AN1736" s="11"/>
      <c r="AO1736" s="11"/>
      <c r="AP1736" s="2" t="s">
        <v>70</v>
      </c>
      <c r="AQ1736" s="11" t="str">
        <f>IF(I1736&lt;&gt;"",DATA!D1735,"")</f>
        <v>8413502090</v>
      </c>
    </row>
    <row r="1737" spans="1:43" ht="15.75" x14ac:dyDescent="0.25">
      <c r="A1737" s="11" t="s">
        <v>57</v>
      </c>
      <c r="B1737" s="11" t="s">
        <v>56</v>
      </c>
      <c r="C1737" s="22">
        <f t="shared" si="114"/>
        <v>25001620</v>
      </c>
      <c r="D1737" s="11" t="str">
        <f t="shared" si="111"/>
        <v>SKIIFM_AT</v>
      </c>
      <c r="E1737" s="11" t="str">
        <f>IF(I1737&lt;&gt;"",VLOOKUP(F1737,OPDRACHTGEVER!$A$2:$B$4,2,FALSE),"")</f>
        <v>SKIIFM_AT</v>
      </c>
      <c r="F1737" s="11" t="s">
        <v>58</v>
      </c>
      <c r="I1737" s="11" t="str">
        <f>IF(DATA!B1736&lt;&gt;"",DATA!B1736,"")</f>
        <v>MSMU4147742</v>
      </c>
      <c r="J1737" s="12">
        <v>0</v>
      </c>
      <c r="K1737" s="11" t="s">
        <v>53</v>
      </c>
      <c r="L1737" s="11" t="str">
        <f t="shared" si="112"/>
        <v>560790</v>
      </c>
      <c r="M1737" s="11" t="str">
        <f>IF(I1737&lt;&gt;"",DATA!E1736,"")</f>
        <v>WINCH LINE</v>
      </c>
      <c r="N1737" s="12">
        <v>0</v>
      </c>
      <c r="O1737" s="11">
        <f>IF(I1737&lt;&gt;"",DATA!C1736,"")</f>
        <v>9.5500000000000007</v>
      </c>
      <c r="P1737" s="2">
        <v>294094</v>
      </c>
      <c r="Q1737" s="2" t="s">
        <v>1304</v>
      </c>
      <c r="R1737" s="2" t="s">
        <v>1337</v>
      </c>
      <c r="S1737" s="2">
        <v>283</v>
      </c>
      <c r="T1737" s="2">
        <v>1</v>
      </c>
      <c r="U1737" s="2" t="s">
        <v>141</v>
      </c>
      <c r="Y1737" s="2">
        <v>1700</v>
      </c>
      <c r="Z1737" s="11" t="s">
        <v>54</v>
      </c>
      <c r="AA1737" s="11" t="str">
        <f t="shared" si="113"/>
        <v>1700 - TBN</v>
      </c>
      <c r="AC1737" s="2" t="s">
        <v>145</v>
      </c>
      <c r="AD1737" s="11" t="str">
        <f>IF($I1737&lt;&gt;"",VLOOKUP($AC1737,GEADRESSEERDE!$A$2:$E$4,2,),"")</f>
        <v>LUITHAGEN HAVEN 2 D</v>
      </c>
      <c r="AE1737" s="11">
        <f>IF($I1737&lt;&gt;"",VLOOKUP($AC1737,GEADRESSEERDE!$A$2:$E$4,3,),"")</f>
        <v>2030</v>
      </c>
      <c r="AF1737" s="11" t="str">
        <f>IF($I1737&lt;&gt;"",VLOOKUP($AC1737,GEADRESSEERDE!$A$2:$E$4,4,),"")</f>
        <v>ANTWERPEN</v>
      </c>
      <c r="AG1737" s="11" t="str">
        <f>IF($I1737&lt;&gt;"",VLOOKUP($AC1737,GEADRESSEERDE!$A$2:$E$4,5,),"")</f>
        <v>BE</v>
      </c>
      <c r="AH1737" s="11" t="str">
        <f>IF(I1737&lt;&gt;"",VLOOKUP(AP1737,KvB!$A$2:$B$3,2,FALSE),"")</f>
        <v>BE101000</v>
      </c>
      <c r="AI1737" s="11" t="s">
        <v>55</v>
      </c>
      <c r="AJ1737" s="11"/>
      <c r="AK1737" s="11"/>
      <c r="AL1737" s="11"/>
      <c r="AM1737" s="11"/>
      <c r="AN1737" s="11"/>
      <c r="AO1737" s="11"/>
      <c r="AP1737" s="2" t="s">
        <v>70</v>
      </c>
      <c r="AQ1737" s="11" t="str">
        <f>IF(I1737&lt;&gt;"",DATA!D1736,"")</f>
        <v>5607909090</v>
      </c>
    </row>
    <row r="1738" spans="1:43" ht="15.75" x14ac:dyDescent="0.25">
      <c r="A1738" s="11" t="s">
        <v>57</v>
      </c>
      <c r="B1738" s="11" t="s">
        <v>56</v>
      </c>
      <c r="C1738" s="22">
        <f t="shared" si="114"/>
        <v>25001620</v>
      </c>
      <c r="D1738" s="11" t="str">
        <f t="shared" si="111"/>
        <v>SKIIFM_AT</v>
      </c>
      <c r="E1738" s="11" t="str">
        <f>IF(I1738&lt;&gt;"",VLOOKUP(F1738,OPDRACHTGEVER!$A$2:$B$4,2,FALSE),"")</f>
        <v>SKIIFM_AT</v>
      </c>
      <c r="F1738" s="11" t="s">
        <v>58</v>
      </c>
      <c r="I1738" s="11" t="str">
        <f>IF(DATA!B1737&lt;&gt;"",DATA!B1737,"")</f>
        <v>MSMU4147742</v>
      </c>
      <c r="J1738" s="12">
        <v>0</v>
      </c>
      <c r="K1738" s="11" t="s">
        <v>53</v>
      </c>
      <c r="L1738" s="11" t="str">
        <f t="shared" si="112"/>
        <v>842519</v>
      </c>
      <c r="M1738" s="11" t="str">
        <f>IF(I1738&lt;&gt;"",DATA!E1737,"")</f>
        <v>WIRE ROPE HOIST</v>
      </c>
      <c r="N1738" s="12">
        <v>0</v>
      </c>
      <c r="O1738" s="11">
        <f>IF(I1738&lt;&gt;"",DATA!C1737,"")</f>
        <v>425.65</v>
      </c>
      <c r="P1738" s="2">
        <v>294094</v>
      </c>
      <c r="Q1738" s="2" t="s">
        <v>1304</v>
      </c>
      <c r="R1738" s="2" t="s">
        <v>1337</v>
      </c>
      <c r="S1738" s="2">
        <v>283</v>
      </c>
      <c r="T1738" s="2">
        <v>1</v>
      </c>
      <c r="U1738" s="2" t="s">
        <v>141</v>
      </c>
      <c r="Y1738" s="2">
        <v>1700</v>
      </c>
      <c r="Z1738" s="11" t="s">
        <v>54</v>
      </c>
      <c r="AA1738" s="11" t="str">
        <f t="shared" si="113"/>
        <v>1700 - TBN</v>
      </c>
      <c r="AC1738" s="2" t="s">
        <v>145</v>
      </c>
      <c r="AD1738" s="11" t="str">
        <f>IF($I1738&lt;&gt;"",VLOOKUP($AC1738,GEADRESSEERDE!$A$2:$E$4,2,),"")</f>
        <v>LUITHAGEN HAVEN 2 D</v>
      </c>
      <c r="AE1738" s="11">
        <f>IF($I1738&lt;&gt;"",VLOOKUP($AC1738,GEADRESSEERDE!$A$2:$E$4,3,),"")</f>
        <v>2030</v>
      </c>
      <c r="AF1738" s="11" t="str">
        <f>IF($I1738&lt;&gt;"",VLOOKUP($AC1738,GEADRESSEERDE!$A$2:$E$4,4,),"")</f>
        <v>ANTWERPEN</v>
      </c>
      <c r="AG1738" s="11" t="str">
        <f>IF($I1738&lt;&gt;"",VLOOKUP($AC1738,GEADRESSEERDE!$A$2:$E$4,5,),"")</f>
        <v>BE</v>
      </c>
      <c r="AH1738" s="11" t="str">
        <f>IF(I1738&lt;&gt;"",VLOOKUP(AP1738,KvB!$A$2:$B$3,2,FALSE),"")</f>
        <v>BE101000</v>
      </c>
      <c r="AI1738" s="11" t="s">
        <v>55</v>
      </c>
      <c r="AJ1738" s="11"/>
      <c r="AK1738" s="11"/>
      <c r="AL1738" s="11"/>
      <c r="AM1738" s="11"/>
      <c r="AN1738" s="11"/>
      <c r="AO1738" s="11"/>
      <c r="AP1738" s="2" t="s">
        <v>70</v>
      </c>
      <c r="AQ1738" s="11" t="str">
        <f>IF(I1738&lt;&gt;"",DATA!D1737,"")</f>
        <v>8425190000</v>
      </c>
    </row>
    <row r="1739" spans="1:43" ht="15.75" x14ac:dyDescent="0.25">
      <c r="A1739" s="11" t="s">
        <v>57</v>
      </c>
      <c r="B1739" s="11" t="s">
        <v>56</v>
      </c>
      <c r="C1739" s="22">
        <f t="shared" si="114"/>
        <v>25001620</v>
      </c>
      <c r="D1739" s="11" t="str">
        <f t="shared" si="111"/>
        <v>SKIIFM_AT</v>
      </c>
      <c r="E1739" s="11" t="str">
        <f>IF(I1739&lt;&gt;"",VLOOKUP(F1739,OPDRACHTGEVER!$A$2:$B$4,2,FALSE),"")</f>
        <v>SKIIFM_AT</v>
      </c>
      <c r="F1739" s="11" t="s">
        <v>58</v>
      </c>
      <c r="I1739" s="11" t="str">
        <f>IF(DATA!B1738&lt;&gt;"",DATA!B1738,"")</f>
        <v>MSMU4497247</v>
      </c>
      <c r="J1739" s="12">
        <v>623</v>
      </c>
      <c r="K1739" s="11" t="s">
        <v>53</v>
      </c>
      <c r="L1739" s="11" t="str">
        <f t="shared" si="112"/>
        <v>950490</v>
      </c>
      <c r="M1739" s="11" t="str">
        <f>IF(I1739&lt;&gt;"",DATA!E1738,"")</f>
        <v>AIR HOCKEY TABLE</v>
      </c>
      <c r="N1739" s="12">
        <v>11132</v>
      </c>
      <c r="O1739" s="11">
        <f>IF(I1739&lt;&gt;"",DATA!C1738,"")</f>
        <v>2197.6999999999998</v>
      </c>
      <c r="P1739" s="2">
        <v>294094</v>
      </c>
      <c r="Q1739" s="2" t="s">
        <v>1304</v>
      </c>
      <c r="R1739" s="2" t="s">
        <v>1338</v>
      </c>
      <c r="S1739" s="2">
        <v>618</v>
      </c>
      <c r="T1739" s="2">
        <v>1</v>
      </c>
      <c r="U1739" s="2" t="s">
        <v>141</v>
      </c>
      <c r="Y1739" s="2">
        <v>1700</v>
      </c>
      <c r="Z1739" s="11" t="s">
        <v>54</v>
      </c>
      <c r="AA1739" s="11" t="str">
        <f t="shared" si="113"/>
        <v>1700 - TBN</v>
      </c>
      <c r="AC1739" s="2" t="s">
        <v>145</v>
      </c>
      <c r="AD1739" s="11" t="str">
        <f>IF($I1739&lt;&gt;"",VLOOKUP($AC1739,GEADRESSEERDE!$A$2:$E$4,2,),"")</f>
        <v>LUITHAGEN HAVEN 2 D</v>
      </c>
      <c r="AE1739" s="11">
        <f>IF($I1739&lt;&gt;"",VLOOKUP($AC1739,GEADRESSEERDE!$A$2:$E$4,3,),"")</f>
        <v>2030</v>
      </c>
      <c r="AF1739" s="11" t="str">
        <f>IF($I1739&lt;&gt;"",VLOOKUP($AC1739,GEADRESSEERDE!$A$2:$E$4,4,),"")</f>
        <v>ANTWERPEN</v>
      </c>
      <c r="AG1739" s="11" t="str">
        <f>IF($I1739&lt;&gt;"",VLOOKUP($AC1739,GEADRESSEERDE!$A$2:$E$4,5,),"")</f>
        <v>BE</v>
      </c>
      <c r="AH1739" s="11" t="str">
        <f>IF(I1739&lt;&gt;"",VLOOKUP(AP1739,KvB!$A$2:$B$3,2,FALSE),"")</f>
        <v>BE101000</v>
      </c>
      <c r="AI1739" s="11" t="s">
        <v>55</v>
      </c>
      <c r="AJ1739" s="11"/>
      <c r="AK1739" s="11"/>
      <c r="AL1739" s="11"/>
      <c r="AM1739" s="11"/>
      <c r="AN1739" s="11"/>
      <c r="AO1739" s="11"/>
      <c r="AP1739" s="2" t="s">
        <v>70</v>
      </c>
      <c r="AQ1739" s="11" t="str">
        <f>IF(I1739&lt;&gt;"",DATA!D1738,"")</f>
        <v>9504908000</v>
      </c>
    </row>
    <row r="1740" spans="1:43" ht="15.75" x14ac:dyDescent="0.25">
      <c r="A1740" s="11" t="s">
        <v>57</v>
      </c>
      <c r="B1740" s="11" t="s">
        <v>56</v>
      </c>
      <c r="C1740" s="22">
        <f t="shared" si="114"/>
        <v>25001620</v>
      </c>
      <c r="D1740" s="11" t="str">
        <f t="shared" si="111"/>
        <v>SKIIFM_AT</v>
      </c>
      <c r="E1740" s="11" t="str">
        <f>IF(I1740&lt;&gt;"",VLOOKUP(F1740,OPDRACHTGEVER!$A$2:$B$4,2,FALSE),"")</f>
        <v>SKIIFM_AT</v>
      </c>
      <c r="F1740" s="11" t="s">
        <v>58</v>
      </c>
      <c r="I1740" s="11" t="str">
        <f>IF(DATA!B1739&lt;&gt;"",DATA!B1739,"")</f>
        <v>MSMU4497247</v>
      </c>
      <c r="J1740" s="12">
        <v>0</v>
      </c>
      <c r="K1740" s="11" t="s">
        <v>53</v>
      </c>
      <c r="L1740" s="11" t="str">
        <f t="shared" si="112"/>
        <v>903180</v>
      </c>
      <c r="M1740" s="11" t="str">
        <f>IF(I1740&lt;&gt;"",DATA!E1739,"")</f>
        <v>AUTOMOTIVE SMOKE MACHINE LEAK DETECTOR</v>
      </c>
      <c r="N1740" s="12">
        <v>0</v>
      </c>
      <c r="O1740" s="11">
        <f>IF(I1740&lt;&gt;"",DATA!C1739,"")</f>
        <v>284</v>
      </c>
      <c r="P1740" s="2">
        <v>294094</v>
      </c>
      <c r="Q1740" s="2" t="s">
        <v>1304</v>
      </c>
      <c r="R1740" s="2" t="s">
        <v>1338</v>
      </c>
      <c r="S1740" s="2">
        <v>618</v>
      </c>
      <c r="T1740" s="2">
        <v>1</v>
      </c>
      <c r="U1740" s="2" t="s">
        <v>141</v>
      </c>
      <c r="Y1740" s="2">
        <v>1700</v>
      </c>
      <c r="Z1740" s="11" t="s">
        <v>54</v>
      </c>
      <c r="AA1740" s="11" t="str">
        <f t="shared" si="113"/>
        <v>1700 - TBN</v>
      </c>
      <c r="AC1740" s="2" t="s">
        <v>145</v>
      </c>
      <c r="AD1740" s="11" t="str">
        <f>IF($I1740&lt;&gt;"",VLOOKUP($AC1740,GEADRESSEERDE!$A$2:$E$4,2,),"")</f>
        <v>LUITHAGEN HAVEN 2 D</v>
      </c>
      <c r="AE1740" s="11">
        <f>IF($I1740&lt;&gt;"",VLOOKUP($AC1740,GEADRESSEERDE!$A$2:$E$4,3,),"")</f>
        <v>2030</v>
      </c>
      <c r="AF1740" s="11" t="str">
        <f>IF($I1740&lt;&gt;"",VLOOKUP($AC1740,GEADRESSEERDE!$A$2:$E$4,4,),"")</f>
        <v>ANTWERPEN</v>
      </c>
      <c r="AG1740" s="11" t="str">
        <f>IF($I1740&lt;&gt;"",VLOOKUP($AC1740,GEADRESSEERDE!$A$2:$E$4,5,),"")</f>
        <v>BE</v>
      </c>
      <c r="AH1740" s="11" t="str">
        <f>IF(I1740&lt;&gt;"",VLOOKUP(AP1740,KvB!$A$2:$B$3,2,FALSE),"")</f>
        <v>BE101000</v>
      </c>
      <c r="AI1740" s="11" t="s">
        <v>55</v>
      </c>
      <c r="AJ1740" s="11"/>
      <c r="AK1740" s="11"/>
      <c r="AL1740" s="11"/>
      <c r="AM1740" s="11"/>
      <c r="AN1740" s="11"/>
      <c r="AO1740" s="11"/>
      <c r="AP1740" s="2" t="s">
        <v>70</v>
      </c>
      <c r="AQ1740" s="11" t="str">
        <f>IF(I1740&lt;&gt;"",DATA!D1739,"")</f>
        <v>9031808000</v>
      </c>
    </row>
    <row r="1741" spans="1:43" ht="15.75" x14ac:dyDescent="0.25">
      <c r="A1741" s="11" t="s">
        <v>57</v>
      </c>
      <c r="B1741" s="11" t="s">
        <v>56</v>
      </c>
      <c r="C1741" s="22">
        <f t="shared" si="114"/>
        <v>25001620</v>
      </c>
      <c r="D1741" s="11" t="str">
        <f t="shared" si="111"/>
        <v>SKIIFM_AT</v>
      </c>
      <c r="E1741" s="11" t="str">
        <f>IF(I1741&lt;&gt;"",VLOOKUP(F1741,OPDRACHTGEVER!$A$2:$B$4,2,FALSE),"")</f>
        <v>SKIIFM_AT</v>
      </c>
      <c r="F1741" s="11" t="s">
        <v>58</v>
      </c>
      <c r="I1741" s="11" t="str">
        <f>IF(DATA!B1740&lt;&gt;"",DATA!B1740,"")</f>
        <v>MSMU4497247</v>
      </c>
      <c r="J1741" s="12">
        <v>0</v>
      </c>
      <c r="K1741" s="11" t="s">
        <v>53</v>
      </c>
      <c r="L1741" s="11" t="str">
        <f t="shared" si="112"/>
        <v>741920</v>
      </c>
      <c r="M1741" s="11" t="str">
        <f>IF(I1741&lt;&gt;"",DATA!E1740,"")</f>
        <v>BED LIFT MECHANISM</v>
      </c>
      <c r="N1741" s="12">
        <v>0</v>
      </c>
      <c r="O1741" s="11">
        <f>IF(I1741&lt;&gt;"",DATA!C1740,"")</f>
        <v>546</v>
      </c>
      <c r="P1741" s="2">
        <v>294094</v>
      </c>
      <c r="Q1741" s="2" t="s">
        <v>1304</v>
      </c>
      <c r="R1741" s="2" t="s">
        <v>1338</v>
      </c>
      <c r="S1741" s="2">
        <v>618</v>
      </c>
      <c r="T1741" s="2">
        <v>1</v>
      </c>
      <c r="U1741" s="2" t="s">
        <v>141</v>
      </c>
      <c r="Y1741" s="2">
        <v>1700</v>
      </c>
      <c r="Z1741" s="11" t="s">
        <v>54</v>
      </c>
      <c r="AA1741" s="11" t="str">
        <f t="shared" si="113"/>
        <v>1700 - TBN</v>
      </c>
      <c r="AC1741" s="2" t="s">
        <v>145</v>
      </c>
      <c r="AD1741" s="11" t="str">
        <f>IF($I1741&lt;&gt;"",VLOOKUP($AC1741,GEADRESSEERDE!$A$2:$E$4,2,),"")</f>
        <v>LUITHAGEN HAVEN 2 D</v>
      </c>
      <c r="AE1741" s="11">
        <f>IF($I1741&lt;&gt;"",VLOOKUP($AC1741,GEADRESSEERDE!$A$2:$E$4,3,),"")</f>
        <v>2030</v>
      </c>
      <c r="AF1741" s="11" t="str">
        <f>IF($I1741&lt;&gt;"",VLOOKUP($AC1741,GEADRESSEERDE!$A$2:$E$4,4,),"")</f>
        <v>ANTWERPEN</v>
      </c>
      <c r="AG1741" s="11" t="str">
        <f>IF($I1741&lt;&gt;"",VLOOKUP($AC1741,GEADRESSEERDE!$A$2:$E$4,5,),"")</f>
        <v>BE</v>
      </c>
      <c r="AH1741" s="11" t="str">
        <f>IF(I1741&lt;&gt;"",VLOOKUP(AP1741,KvB!$A$2:$B$3,2,FALSE),"")</f>
        <v>BE101000</v>
      </c>
      <c r="AI1741" s="11" t="s">
        <v>55</v>
      </c>
      <c r="AJ1741" s="11"/>
      <c r="AK1741" s="11"/>
      <c r="AL1741" s="11"/>
      <c r="AM1741" s="11"/>
      <c r="AN1741" s="11"/>
      <c r="AO1741" s="11"/>
      <c r="AP1741" s="2" t="s">
        <v>70</v>
      </c>
      <c r="AQ1741" s="11" t="str">
        <f>IF(I1741&lt;&gt;"",DATA!D1740,"")</f>
        <v>7419200090</v>
      </c>
    </row>
    <row r="1742" spans="1:43" ht="15.75" x14ac:dyDescent="0.25">
      <c r="A1742" s="11" t="s">
        <v>57</v>
      </c>
      <c r="B1742" s="11" t="s">
        <v>56</v>
      </c>
      <c r="C1742" s="22">
        <f t="shared" si="114"/>
        <v>25001620</v>
      </c>
      <c r="D1742" s="11" t="str">
        <f t="shared" si="111"/>
        <v>SKIIFM_AT</v>
      </c>
      <c r="E1742" s="11" t="str">
        <f>IF(I1742&lt;&gt;"",VLOOKUP(F1742,OPDRACHTGEVER!$A$2:$B$4,2,FALSE),"")</f>
        <v>SKIIFM_AT</v>
      </c>
      <c r="F1742" s="11" t="s">
        <v>58</v>
      </c>
      <c r="I1742" s="11" t="str">
        <f>IF(DATA!B1741&lt;&gt;"",DATA!B1741,"")</f>
        <v>MSMU4497247</v>
      </c>
      <c r="J1742" s="12">
        <v>0</v>
      </c>
      <c r="K1742" s="11" t="s">
        <v>53</v>
      </c>
      <c r="L1742" s="11" t="str">
        <f t="shared" si="112"/>
        <v>841840</v>
      </c>
      <c r="M1742" s="11" t="str">
        <f>IF(I1742&lt;&gt;"",DATA!E1741,"")</f>
        <v>BLAST FREEZER</v>
      </c>
      <c r="N1742" s="12">
        <v>0</v>
      </c>
      <c r="O1742" s="11">
        <f>IF(I1742&lt;&gt;"",DATA!C1741,"")</f>
        <v>128</v>
      </c>
      <c r="P1742" s="2">
        <v>294094</v>
      </c>
      <c r="Q1742" s="2" t="s">
        <v>1304</v>
      </c>
      <c r="R1742" s="2" t="s">
        <v>1338</v>
      </c>
      <c r="S1742" s="2">
        <v>618</v>
      </c>
      <c r="T1742" s="2">
        <v>1</v>
      </c>
      <c r="U1742" s="2" t="s">
        <v>141</v>
      </c>
      <c r="Y1742" s="2">
        <v>1700</v>
      </c>
      <c r="Z1742" s="11" t="s">
        <v>54</v>
      </c>
      <c r="AA1742" s="11" t="str">
        <f t="shared" si="113"/>
        <v>1700 - TBN</v>
      </c>
      <c r="AC1742" s="2" t="s">
        <v>145</v>
      </c>
      <c r="AD1742" s="11" t="str">
        <f>IF($I1742&lt;&gt;"",VLOOKUP($AC1742,GEADRESSEERDE!$A$2:$E$4,2,),"")</f>
        <v>LUITHAGEN HAVEN 2 D</v>
      </c>
      <c r="AE1742" s="11">
        <f>IF($I1742&lt;&gt;"",VLOOKUP($AC1742,GEADRESSEERDE!$A$2:$E$4,3,),"")</f>
        <v>2030</v>
      </c>
      <c r="AF1742" s="11" t="str">
        <f>IF($I1742&lt;&gt;"",VLOOKUP($AC1742,GEADRESSEERDE!$A$2:$E$4,4,),"")</f>
        <v>ANTWERPEN</v>
      </c>
      <c r="AG1742" s="11" t="str">
        <f>IF($I1742&lt;&gt;"",VLOOKUP($AC1742,GEADRESSEERDE!$A$2:$E$4,5,),"")</f>
        <v>BE</v>
      </c>
      <c r="AH1742" s="11" t="str">
        <f>IF(I1742&lt;&gt;"",VLOOKUP(AP1742,KvB!$A$2:$B$3,2,FALSE),"")</f>
        <v>BE101000</v>
      </c>
      <c r="AI1742" s="11" t="s">
        <v>55</v>
      </c>
      <c r="AJ1742" s="11"/>
      <c r="AK1742" s="11"/>
      <c r="AL1742" s="11"/>
      <c r="AM1742" s="11"/>
      <c r="AN1742" s="11"/>
      <c r="AO1742" s="11"/>
      <c r="AP1742" s="2" t="s">
        <v>70</v>
      </c>
      <c r="AQ1742" s="11" t="str">
        <f>IF(I1742&lt;&gt;"",DATA!D1741,"")</f>
        <v>8418408099</v>
      </c>
    </row>
    <row r="1743" spans="1:43" ht="15.75" x14ac:dyDescent="0.25">
      <c r="A1743" s="11" t="s">
        <v>57</v>
      </c>
      <c r="B1743" s="11" t="s">
        <v>56</v>
      </c>
      <c r="C1743" s="22">
        <f t="shared" si="114"/>
        <v>25001620</v>
      </c>
      <c r="D1743" s="11" t="str">
        <f t="shared" si="111"/>
        <v>SKIIFM_AT</v>
      </c>
      <c r="E1743" s="11" t="str">
        <f>IF(I1743&lt;&gt;"",VLOOKUP(F1743,OPDRACHTGEVER!$A$2:$B$4,2,FALSE),"")</f>
        <v>SKIIFM_AT</v>
      </c>
      <c r="F1743" s="11" t="s">
        <v>58</v>
      </c>
      <c r="I1743" s="11" t="str">
        <f>IF(DATA!B1742&lt;&gt;"",DATA!B1742,"")</f>
        <v>MSMU4497247</v>
      </c>
      <c r="J1743" s="12">
        <v>0</v>
      </c>
      <c r="K1743" s="11" t="s">
        <v>53</v>
      </c>
      <c r="L1743" s="11" t="str">
        <f t="shared" si="112"/>
        <v>420212</v>
      </c>
      <c r="M1743" s="11" t="str">
        <f>IF(I1743&lt;&gt;"",DATA!E1742,"")</f>
        <v>COSMETIC BAG</v>
      </c>
      <c r="N1743" s="12">
        <v>0</v>
      </c>
      <c r="O1743" s="11">
        <f>IF(I1743&lt;&gt;"",DATA!C1742,"")</f>
        <v>112.9</v>
      </c>
      <c r="P1743" s="2">
        <v>294094</v>
      </c>
      <c r="Q1743" s="2" t="s">
        <v>1304</v>
      </c>
      <c r="R1743" s="2" t="s">
        <v>1338</v>
      </c>
      <c r="S1743" s="2">
        <v>618</v>
      </c>
      <c r="T1743" s="2">
        <v>1</v>
      </c>
      <c r="U1743" s="2" t="s">
        <v>141</v>
      </c>
      <c r="Y1743" s="2">
        <v>1700</v>
      </c>
      <c r="Z1743" s="11" t="s">
        <v>54</v>
      </c>
      <c r="AA1743" s="11" t="str">
        <f t="shared" si="113"/>
        <v>1700 - TBN</v>
      </c>
      <c r="AC1743" s="2" t="s">
        <v>145</v>
      </c>
      <c r="AD1743" s="11" t="str">
        <f>IF($I1743&lt;&gt;"",VLOOKUP($AC1743,GEADRESSEERDE!$A$2:$E$4,2,),"")</f>
        <v>LUITHAGEN HAVEN 2 D</v>
      </c>
      <c r="AE1743" s="11">
        <f>IF($I1743&lt;&gt;"",VLOOKUP($AC1743,GEADRESSEERDE!$A$2:$E$4,3,),"")</f>
        <v>2030</v>
      </c>
      <c r="AF1743" s="11" t="str">
        <f>IF($I1743&lt;&gt;"",VLOOKUP($AC1743,GEADRESSEERDE!$A$2:$E$4,4,),"")</f>
        <v>ANTWERPEN</v>
      </c>
      <c r="AG1743" s="11" t="str">
        <f>IF($I1743&lt;&gt;"",VLOOKUP($AC1743,GEADRESSEERDE!$A$2:$E$4,5,),"")</f>
        <v>BE</v>
      </c>
      <c r="AH1743" s="11" t="str">
        <f>IF(I1743&lt;&gt;"",VLOOKUP(AP1743,KvB!$A$2:$B$3,2,FALSE),"")</f>
        <v>BE101000</v>
      </c>
      <c r="AI1743" s="11" t="s">
        <v>55</v>
      </c>
      <c r="AJ1743" s="11"/>
      <c r="AK1743" s="11"/>
      <c r="AL1743" s="11"/>
      <c r="AM1743" s="11"/>
      <c r="AN1743" s="11"/>
      <c r="AO1743" s="11"/>
      <c r="AP1743" s="2" t="s">
        <v>70</v>
      </c>
      <c r="AQ1743" s="11" t="str">
        <f>IF(I1743&lt;&gt;"",DATA!D1742,"")</f>
        <v>4202129990</v>
      </c>
    </row>
    <row r="1744" spans="1:43" ht="15.75" x14ac:dyDescent="0.25">
      <c r="A1744" s="11" t="s">
        <v>57</v>
      </c>
      <c r="B1744" s="11" t="s">
        <v>56</v>
      </c>
      <c r="C1744" s="22">
        <f t="shared" si="114"/>
        <v>25001620</v>
      </c>
      <c r="D1744" s="11" t="str">
        <f t="shared" si="111"/>
        <v>SKIIFM_AT</v>
      </c>
      <c r="E1744" s="11" t="str">
        <f>IF(I1744&lt;&gt;"",VLOOKUP(F1744,OPDRACHTGEVER!$A$2:$B$4,2,FALSE),"")</f>
        <v>SKIIFM_AT</v>
      </c>
      <c r="F1744" s="11" t="s">
        <v>58</v>
      </c>
      <c r="I1744" s="11" t="str">
        <f>IF(DATA!B1743&lt;&gt;"",DATA!B1743,"")</f>
        <v>MSMU4497247</v>
      </c>
      <c r="J1744" s="12">
        <v>0</v>
      </c>
      <c r="K1744" s="11" t="s">
        <v>53</v>
      </c>
      <c r="L1744" s="11" t="str">
        <f t="shared" si="112"/>
        <v>851671</v>
      </c>
      <c r="M1744" s="11" t="str">
        <f>IF(I1744&lt;&gt;"",DATA!E1743,"")</f>
        <v>DRIP COFFEE MACHINE</v>
      </c>
      <c r="N1744" s="12">
        <v>0</v>
      </c>
      <c r="O1744" s="11">
        <f>IF(I1744&lt;&gt;"",DATA!C1743,"")</f>
        <v>62.5</v>
      </c>
      <c r="P1744" s="2">
        <v>294094</v>
      </c>
      <c r="Q1744" s="2" t="s">
        <v>1304</v>
      </c>
      <c r="R1744" s="2" t="s">
        <v>1338</v>
      </c>
      <c r="S1744" s="2">
        <v>618</v>
      </c>
      <c r="T1744" s="2">
        <v>1</v>
      </c>
      <c r="U1744" s="2" t="s">
        <v>141</v>
      </c>
      <c r="Y1744" s="2">
        <v>1700</v>
      </c>
      <c r="Z1744" s="11" t="s">
        <v>54</v>
      </c>
      <c r="AA1744" s="11" t="str">
        <f t="shared" si="113"/>
        <v>1700 - TBN</v>
      </c>
      <c r="AC1744" s="2" t="s">
        <v>145</v>
      </c>
      <c r="AD1744" s="11" t="str">
        <f>IF($I1744&lt;&gt;"",VLOOKUP($AC1744,GEADRESSEERDE!$A$2:$E$4,2,),"")</f>
        <v>LUITHAGEN HAVEN 2 D</v>
      </c>
      <c r="AE1744" s="11">
        <f>IF($I1744&lt;&gt;"",VLOOKUP($AC1744,GEADRESSEERDE!$A$2:$E$4,3,),"")</f>
        <v>2030</v>
      </c>
      <c r="AF1744" s="11" t="str">
        <f>IF($I1744&lt;&gt;"",VLOOKUP($AC1744,GEADRESSEERDE!$A$2:$E$4,4,),"")</f>
        <v>ANTWERPEN</v>
      </c>
      <c r="AG1744" s="11" t="str">
        <f>IF($I1744&lt;&gt;"",VLOOKUP($AC1744,GEADRESSEERDE!$A$2:$E$4,5,),"")</f>
        <v>BE</v>
      </c>
      <c r="AH1744" s="11" t="str">
        <f>IF(I1744&lt;&gt;"",VLOOKUP(AP1744,KvB!$A$2:$B$3,2,FALSE),"")</f>
        <v>BE101000</v>
      </c>
      <c r="AI1744" s="11" t="s">
        <v>55</v>
      </c>
      <c r="AJ1744" s="11"/>
      <c r="AK1744" s="11"/>
      <c r="AL1744" s="11"/>
      <c r="AM1744" s="11"/>
      <c r="AN1744" s="11"/>
      <c r="AO1744" s="11"/>
      <c r="AP1744" s="2" t="s">
        <v>70</v>
      </c>
      <c r="AQ1744" s="11" t="str">
        <f>IF(I1744&lt;&gt;"",DATA!D1743,"")</f>
        <v>8516710000</v>
      </c>
    </row>
    <row r="1745" spans="1:43" ht="15.75" x14ac:dyDescent="0.25">
      <c r="A1745" s="11" t="s">
        <v>57</v>
      </c>
      <c r="B1745" s="11" t="s">
        <v>56</v>
      </c>
      <c r="C1745" s="22">
        <f t="shared" si="114"/>
        <v>25001620</v>
      </c>
      <c r="D1745" s="11" t="str">
        <f t="shared" si="111"/>
        <v>SKIIFM_AT</v>
      </c>
      <c r="E1745" s="11" t="str">
        <f>IF(I1745&lt;&gt;"",VLOOKUP(F1745,OPDRACHTGEVER!$A$2:$B$4,2,FALSE),"")</f>
        <v>SKIIFM_AT</v>
      </c>
      <c r="F1745" s="11" t="s">
        <v>58</v>
      </c>
      <c r="I1745" s="11" t="str">
        <f>IF(DATA!B1744&lt;&gt;"",DATA!B1744,"")</f>
        <v>MSMU4497247</v>
      </c>
      <c r="J1745" s="12">
        <v>0</v>
      </c>
      <c r="K1745" s="11" t="s">
        <v>53</v>
      </c>
      <c r="L1745" s="11" t="str">
        <f t="shared" si="112"/>
        <v>841981</v>
      </c>
      <c r="M1745" s="11" t="str">
        <f>IF(I1745&lt;&gt;"",DATA!E1744,"")</f>
        <v>ELECTRIC FOOD WARMER</v>
      </c>
      <c r="N1745" s="12">
        <v>0</v>
      </c>
      <c r="O1745" s="11">
        <f>IF(I1745&lt;&gt;"",DATA!C1744,"")</f>
        <v>130.5</v>
      </c>
      <c r="P1745" s="2">
        <v>294094</v>
      </c>
      <c r="Q1745" s="2" t="s">
        <v>1304</v>
      </c>
      <c r="R1745" s="2" t="s">
        <v>1338</v>
      </c>
      <c r="S1745" s="2">
        <v>618</v>
      </c>
      <c r="T1745" s="2">
        <v>1</v>
      </c>
      <c r="U1745" s="2" t="s">
        <v>141</v>
      </c>
      <c r="Y1745" s="2">
        <v>1700</v>
      </c>
      <c r="Z1745" s="11" t="s">
        <v>54</v>
      </c>
      <c r="AA1745" s="11" t="str">
        <f t="shared" si="113"/>
        <v>1700 - TBN</v>
      </c>
      <c r="AC1745" s="2" t="s">
        <v>145</v>
      </c>
      <c r="AD1745" s="11" t="str">
        <f>IF($I1745&lt;&gt;"",VLOOKUP($AC1745,GEADRESSEERDE!$A$2:$E$4,2,),"")</f>
        <v>LUITHAGEN HAVEN 2 D</v>
      </c>
      <c r="AE1745" s="11">
        <f>IF($I1745&lt;&gt;"",VLOOKUP($AC1745,GEADRESSEERDE!$A$2:$E$4,3,),"")</f>
        <v>2030</v>
      </c>
      <c r="AF1745" s="11" t="str">
        <f>IF($I1745&lt;&gt;"",VLOOKUP($AC1745,GEADRESSEERDE!$A$2:$E$4,4,),"")</f>
        <v>ANTWERPEN</v>
      </c>
      <c r="AG1745" s="11" t="str">
        <f>IF($I1745&lt;&gt;"",VLOOKUP($AC1745,GEADRESSEERDE!$A$2:$E$4,5,),"")</f>
        <v>BE</v>
      </c>
      <c r="AH1745" s="11" t="str">
        <f>IF(I1745&lt;&gt;"",VLOOKUP(AP1745,KvB!$A$2:$B$3,2,FALSE),"")</f>
        <v>BE101000</v>
      </c>
      <c r="AI1745" s="11" t="s">
        <v>55</v>
      </c>
      <c r="AJ1745" s="11"/>
      <c r="AK1745" s="11"/>
      <c r="AL1745" s="11"/>
      <c r="AM1745" s="11"/>
      <c r="AN1745" s="11"/>
      <c r="AO1745" s="11"/>
      <c r="AP1745" s="2" t="s">
        <v>70</v>
      </c>
      <c r="AQ1745" s="11" t="str">
        <f>IF(I1745&lt;&gt;"",DATA!D1744,"")</f>
        <v>8419818090</v>
      </c>
    </row>
    <row r="1746" spans="1:43" ht="15.75" x14ac:dyDescent="0.25">
      <c r="A1746" s="11" t="s">
        <v>57</v>
      </c>
      <c r="B1746" s="11" t="s">
        <v>56</v>
      </c>
      <c r="C1746" s="22">
        <f t="shared" si="114"/>
        <v>25001620</v>
      </c>
      <c r="D1746" s="11" t="str">
        <f t="shared" si="111"/>
        <v>SKIIFM_AT</v>
      </c>
      <c r="E1746" s="11" t="str">
        <f>IF(I1746&lt;&gt;"",VLOOKUP(F1746,OPDRACHTGEVER!$A$2:$B$4,2,FALSE),"")</f>
        <v>SKIIFM_AT</v>
      </c>
      <c r="F1746" s="11" t="s">
        <v>58</v>
      </c>
      <c r="I1746" s="11" t="str">
        <f>IF(DATA!B1745&lt;&gt;"",DATA!B1745,"")</f>
        <v>MSMU4497247</v>
      </c>
      <c r="J1746" s="12">
        <v>0</v>
      </c>
      <c r="K1746" s="11" t="s">
        <v>53</v>
      </c>
      <c r="L1746" s="11" t="str">
        <f t="shared" si="112"/>
        <v>851660</v>
      </c>
      <c r="M1746" s="11" t="str">
        <f>IF(I1746&lt;&gt;"",DATA!E1745,"")</f>
        <v>ELECTRIC FRYER</v>
      </c>
      <c r="N1746" s="12">
        <v>0</v>
      </c>
      <c r="O1746" s="11">
        <f>IF(I1746&lt;&gt;"",DATA!C1745,"")</f>
        <v>847.86</v>
      </c>
      <c r="P1746" s="2">
        <v>294094</v>
      </c>
      <c r="Q1746" s="2" t="s">
        <v>1304</v>
      </c>
      <c r="R1746" s="2" t="s">
        <v>1338</v>
      </c>
      <c r="S1746" s="2">
        <v>618</v>
      </c>
      <c r="T1746" s="2">
        <v>1</v>
      </c>
      <c r="U1746" s="2" t="s">
        <v>141</v>
      </c>
      <c r="Y1746" s="2">
        <v>1700</v>
      </c>
      <c r="Z1746" s="11" t="s">
        <v>54</v>
      </c>
      <c r="AA1746" s="11" t="str">
        <f t="shared" si="113"/>
        <v>1700 - TBN</v>
      </c>
      <c r="AC1746" s="2" t="s">
        <v>145</v>
      </c>
      <c r="AD1746" s="11" t="str">
        <f>IF($I1746&lt;&gt;"",VLOOKUP($AC1746,GEADRESSEERDE!$A$2:$E$4,2,),"")</f>
        <v>LUITHAGEN HAVEN 2 D</v>
      </c>
      <c r="AE1746" s="11">
        <f>IF($I1746&lt;&gt;"",VLOOKUP($AC1746,GEADRESSEERDE!$A$2:$E$4,3,),"")</f>
        <v>2030</v>
      </c>
      <c r="AF1746" s="11" t="str">
        <f>IF($I1746&lt;&gt;"",VLOOKUP($AC1746,GEADRESSEERDE!$A$2:$E$4,4,),"")</f>
        <v>ANTWERPEN</v>
      </c>
      <c r="AG1746" s="11" t="str">
        <f>IF($I1746&lt;&gt;"",VLOOKUP($AC1746,GEADRESSEERDE!$A$2:$E$4,5,),"")</f>
        <v>BE</v>
      </c>
      <c r="AH1746" s="11" t="str">
        <f>IF(I1746&lt;&gt;"",VLOOKUP(AP1746,KvB!$A$2:$B$3,2,FALSE),"")</f>
        <v>BE101000</v>
      </c>
      <c r="AI1746" s="11" t="s">
        <v>55</v>
      </c>
      <c r="AJ1746" s="11"/>
      <c r="AK1746" s="11"/>
      <c r="AL1746" s="11"/>
      <c r="AM1746" s="11"/>
      <c r="AN1746" s="11"/>
      <c r="AO1746" s="11"/>
      <c r="AP1746" s="2" t="s">
        <v>70</v>
      </c>
      <c r="AQ1746" s="11" t="str">
        <f>IF(I1746&lt;&gt;"",DATA!D1745,"")</f>
        <v>8516609000</v>
      </c>
    </row>
    <row r="1747" spans="1:43" ht="15.75" x14ac:dyDescent="0.25">
      <c r="A1747" s="11" t="s">
        <v>57</v>
      </c>
      <c r="B1747" s="11" t="s">
        <v>56</v>
      </c>
      <c r="C1747" s="22">
        <f t="shared" si="114"/>
        <v>25001620</v>
      </c>
      <c r="D1747" s="11" t="str">
        <f t="shared" si="111"/>
        <v>SKIIFM_AT</v>
      </c>
      <c r="E1747" s="11" t="str">
        <f>IF(I1747&lt;&gt;"",VLOOKUP(F1747,OPDRACHTGEVER!$A$2:$B$4,2,FALSE),"")</f>
        <v>SKIIFM_AT</v>
      </c>
      <c r="F1747" s="11" t="s">
        <v>58</v>
      </c>
      <c r="I1747" s="11" t="str">
        <f>IF(DATA!B1746&lt;&gt;"",DATA!B1746,"")</f>
        <v>MSMU4497247</v>
      </c>
      <c r="J1747" s="12">
        <v>0</v>
      </c>
      <c r="K1747" s="11" t="s">
        <v>53</v>
      </c>
      <c r="L1747" s="11" t="str">
        <f t="shared" si="112"/>
        <v>842230</v>
      </c>
      <c r="M1747" s="11" t="str">
        <f>IF(I1747&lt;&gt;"",DATA!E1746,"")</f>
        <v>FILM SEALING MACHINE</v>
      </c>
      <c r="N1747" s="12">
        <v>0</v>
      </c>
      <c r="O1747" s="11">
        <f>IF(I1747&lt;&gt;"",DATA!C1746,"")</f>
        <v>331.1</v>
      </c>
      <c r="P1747" s="2">
        <v>294094</v>
      </c>
      <c r="Q1747" s="2" t="s">
        <v>1304</v>
      </c>
      <c r="R1747" s="2" t="s">
        <v>1338</v>
      </c>
      <c r="S1747" s="2">
        <v>618</v>
      </c>
      <c r="T1747" s="2">
        <v>1</v>
      </c>
      <c r="U1747" s="2" t="s">
        <v>141</v>
      </c>
      <c r="Y1747" s="2">
        <v>1700</v>
      </c>
      <c r="Z1747" s="11" t="s">
        <v>54</v>
      </c>
      <c r="AA1747" s="11" t="str">
        <f t="shared" si="113"/>
        <v>1700 - TBN</v>
      </c>
      <c r="AC1747" s="2" t="s">
        <v>145</v>
      </c>
      <c r="AD1747" s="11" t="str">
        <f>IF($I1747&lt;&gt;"",VLOOKUP($AC1747,GEADRESSEERDE!$A$2:$E$4,2,),"")</f>
        <v>LUITHAGEN HAVEN 2 D</v>
      </c>
      <c r="AE1747" s="11">
        <f>IF($I1747&lt;&gt;"",VLOOKUP($AC1747,GEADRESSEERDE!$A$2:$E$4,3,),"")</f>
        <v>2030</v>
      </c>
      <c r="AF1747" s="11" t="str">
        <f>IF($I1747&lt;&gt;"",VLOOKUP($AC1747,GEADRESSEERDE!$A$2:$E$4,4,),"")</f>
        <v>ANTWERPEN</v>
      </c>
      <c r="AG1747" s="11" t="str">
        <f>IF($I1747&lt;&gt;"",VLOOKUP($AC1747,GEADRESSEERDE!$A$2:$E$4,5,),"")</f>
        <v>BE</v>
      </c>
      <c r="AH1747" s="11" t="str">
        <f>IF(I1747&lt;&gt;"",VLOOKUP(AP1747,KvB!$A$2:$B$3,2,FALSE),"")</f>
        <v>BE101000</v>
      </c>
      <c r="AI1747" s="11" t="s">
        <v>55</v>
      </c>
      <c r="AJ1747" s="11"/>
      <c r="AK1747" s="11"/>
      <c r="AL1747" s="11"/>
      <c r="AM1747" s="11"/>
      <c r="AN1747" s="11"/>
      <c r="AO1747" s="11"/>
      <c r="AP1747" s="2" t="s">
        <v>70</v>
      </c>
      <c r="AQ1747" s="11" t="str">
        <f>IF(I1747&lt;&gt;"",DATA!D1746,"")</f>
        <v>8422300000</v>
      </c>
    </row>
    <row r="1748" spans="1:43" ht="15.75" x14ac:dyDescent="0.25">
      <c r="A1748" s="11" t="s">
        <v>57</v>
      </c>
      <c r="B1748" s="11" t="s">
        <v>56</v>
      </c>
      <c r="C1748" s="22">
        <f t="shared" si="114"/>
        <v>25001620</v>
      </c>
      <c r="D1748" s="11" t="str">
        <f t="shared" si="111"/>
        <v>SKIIFM_AT</v>
      </c>
      <c r="E1748" s="11" t="str">
        <f>IF(I1748&lt;&gt;"",VLOOKUP(F1748,OPDRACHTGEVER!$A$2:$B$4,2,FALSE),"")</f>
        <v>SKIIFM_AT</v>
      </c>
      <c r="F1748" s="11" t="s">
        <v>58</v>
      </c>
      <c r="I1748" s="11" t="str">
        <f>IF(DATA!B1747&lt;&gt;"",DATA!B1747,"")</f>
        <v>MSMU4497247</v>
      </c>
      <c r="J1748" s="12">
        <v>0</v>
      </c>
      <c r="K1748" s="11" t="s">
        <v>53</v>
      </c>
      <c r="L1748" s="11" t="str">
        <f t="shared" si="112"/>
        <v>940179</v>
      </c>
      <c r="M1748" s="11" t="str">
        <f>IF(I1748&lt;&gt;"",DATA!E1747,"")</f>
        <v>FIXED TUB TRANSFER BENCH</v>
      </c>
      <c r="N1748" s="12">
        <v>0</v>
      </c>
      <c r="O1748" s="11">
        <f>IF(I1748&lt;&gt;"",DATA!C1747,"")</f>
        <v>47.5</v>
      </c>
      <c r="P1748" s="2">
        <v>294094</v>
      </c>
      <c r="Q1748" s="2" t="s">
        <v>1304</v>
      </c>
      <c r="R1748" s="2" t="s">
        <v>1338</v>
      </c>
      <c r="S1748" s="2">
        <v>618</v>
      </c>
      <c r="T1748" s="2">
        <v>1</v>
      </c>
      <c r="U1748" s="2" t="s">
        <v>141</v>
      </c>
      <c r="Y1748" s="2">
        <v>1700</v>
      </c>
      <c r="Z1748" s="11" t="s">
        <v>54</v>
      </c>
      <c r="AA1748" s="11" t="str">
        <f t="shared" si="113"/>
        <v>1700 - TBN</v>
      </c>
      <c r="AC1748" s="2" t="s">
        <v>145</v>
      </c>
      <c r="AD1748" s="11" t="str">
        <f>IF($I1748&lt;&gt;"",VLOOKUP($AC1748,GEADRESSEERDE!$A$2:$E$4,2,),"")</f>
        <v>LUITHAGEN HAVEN 2 D</v>
      </c>
      <c r="AE1748" s="11">
        <f>IF($I1748&lt;&gt;"",VLOOKUP($AC1748,GEADRESSEERDE!$A$2:$E$4,3,),"")</f>
        <v>2030</v>
      </c>
      <c r="AF1748" s="11" t="str">
        <f>IF($I1748&lt;&gt;"",VLOOKUP($AC1748,GEADRESSEERDE!$A$2:$E$4,4,),"")</f>
        <v>ANTWERPEN</v>
      </c>
      <c r="AG1748" s="11" t="str">
        <f>IF($I1748&lt;&gt;"",VLOOKUP($AC1748,GEADRESSEERDE!$A$2:$E$4,5,),"")</f>
        <v>BE</v>
      </c>
      <c r="AH1748" s="11" t="str">
        <f>IF(I1748&lt;&gt;"",VLOOKUP(AP1748,KvB!$A$2:$B$3,2,FALSE),"")</f>
        <v>BE101000</v>
      </c>
      <c r="AI1748" s="11" t="s">
        <v>55</v>
      </c>
      <c r="AJ1748" s="11"/>
      <c r="AK1748" s="11"/>
      <c r="AL1748" s="11"/>
      <c r="AM1748" s="11"/>
      <c r="AN1748" s="11"/>
      <c r="AO1748" s="11"/>
      <c r="AP1748" s="2" t="s">
        <v>70</v>
      </c>
      <c r="AQ1748" s="11" t="str">
        <f>IF(I1748&lt;&gt;"",DATA!D1747,"")</f>
        <v>9401790000</v>
      </c>
    </row>
    <row r="1749" spans="1:43" ht="15.75" x14ac:dyDescent="0.25">
      <c r="A1749" s="11" t="s">
        <v>57</v>
      </c>
      <c r="B1749" s="11" t="s">
        <v>56</v>
      </c>
      <c r="C1749" s="22">
        <f t="shared" si="114"/>
        <v>25001620</v>
      </c>
      <c r="D1749" s="11" t="str">
        <f t="shared" si="111"/>
        <v>SKIIFM_AT</v>
      </c>
      <c r="E1749" s="11" t="str">
        <f>IF(I1749&lt;&gt;"",VLOOKUP(F1749,OPDRACHTGEVER!$A$2:$B$4,2,FALSE),"")</f>
        <v>SKIIFM_AT</v>
      </c>
      <c r="F1749" s="11" t="s">
        <v>58</v>
      </c>
      <c r="I1749" s="11" t="str">
        <f>IF(DATA!B1748&lt;&gt;"",DATA!B1748,"")</f>
        <v>MSMU4497247</v>
      </c>
      <c r="J1749" s="12">
        <v>0</v>
      </c>
      <c r="K1749" s="11" t="s">
        <v>53</v>
      </c>
      <c r="L1749" s="11" t="str">
        <f t="shared" si="112"/>
        <v>741920</v>
      </c>
      <c r="M1749" s="11" t="str">
        <f>IF(I1749&lt;&gt;"",DATA!E1748,"")</f>
        <v>GARBAGE CAN</v>
      </c>
      <c r="N1749" s="12">
        <v>0</v>
      </c>
      <c r="O1749" s="11">
        <f>IF(I1749&lt;&gt;"",DATA!C1748,"")</f>
        <v>75.599999999999994</v>
      </c>
      <c r="P1749" s="2">
        <v>294094</v>
      </c>
      <c r="Q1749" s="2" t="s">
        <v>1304</v>
      </c>
      <c r="R1749" s="2" t="s">
        <v>1338</v>
      </c>
      <c r="S1749" s="2">
        <v>618</v>
      </c>
      <c r="T1749" s="2">
        <v>1</v>
      </c>
      <c r="U1749" s="2" t="s">
        <v>141</v>
      </c>
      <c r="Y1749" s="2">
        <v>1700</v>
      </c>
      <c r="Z1749" s="11" t="s">
        <v>54</v>
      </c>
      <c r="AA1749" s="11" t="str">
        <f t="shared" si="113"/>
        <v>1700 - TBN</v>
      </c>
      <c r="AC1749" s="2" t="s">
        <v>145</v>
      </c>
      <c r="AD1749" s="11" t="str">
        <f>IF($I1749&lt;&gt;"",VLOOKUP($AC1749,GEADRESSEERDE!$A$2:$E$4,2,),"")</f>
        <v>LUITHAGEN HAVEN 2 D</v>
      </c>
      <c r="AE1749" s="11">
        <f>IF($I1749&lt;&gt;"",VLOOKUP($AC1749,GEADRESSEERDE!$A$2:$E$4,3,),"")</f>
        <v>2030</v>
      </c>
      <c r="AF1749" s="11" t="str">
        <f>IF($I1749&lt;&gt;"",VLOOKUP($AC1749,GEADRESSEERDE!$A$2:$E$4,4,),"")</f>
        <v>ANTWERPEN</v>
      </c>
      <c r="AG1749" s="11" t="str">
        <f>IF($I1749&lt;&gt;"",VLOOKUP($AC1749,GEADRESSEERDE!$A$2:$E$4,5,),"")</f>
        <v>BE</v>
      </c>
      <c r="AH1749" s="11" t="str">
        <f>IF(I1749&lt;&gt;"",VLOOKUP(AP1749,KvB!$A$2:$B$3,2,FALSE),"")</f>
        <v>BE101000</v>
      </c>
      <c r="AI1749" s="11" t="s">
        <v>55</v>
      </c>
      <c r="AJ1749" s="11"/>
      <c r="AK1749" s="11"/>
      <c r="AL1749" s="11"/>
      <c r="AM1749" s="11"/>
      <c r="AN1749" s="11"/>
      <c r="AO1749" s="11"/>
      <c r="AP1749" s="2" t="s">
        <v>70</v>
      </c>
      <c r="AQ1749" s="11" t="str">
        <f>IF(I1749&lt;&gt;"",DATA!D1748,"")</f>
        <v>7419200090</v>
      </c>
    </row>
    <row r="1750" spans="1:43" ht="15.75" x14ac:dyDescent="0.25">
      <c r="A1750" s="11" t="s">
        <v>57</v>
      </c>
      <c r="B1750" s="11" t="s">
        <v>56</v>
      </c>
      <c r="C1750" s="22">
        <f t="shared" si="114"/>
        <v>25001620</v>
      </c>
      <c r="D1750" s="11" t="str">
        <f t="shared" si="111"/>
        <v>SKIIFM_AT</v>
      </c>
      <c r="E1750" s="11" t="str">
        <f>IF(I1750&lt;&gt;"",VLOOKUP(F1750,OPDRACHTGEVER!$A$2:$B$4,2,FALSE),"")</f>
        <v>SKIIFM_AT</v>
      </c>
      <c r="F1750" s="11" t="s">
        <v>58</v>
      </c>
      <c r="I1750" s="11" t="str">
        <f>IF(DATA!B1749&lt;&gt;"",DATA!B1749,"")</f>
        <v>MSMU4497247</v>
      </c>
      <c r="J1750" s="12">
        <v>0</v>
      </c>
      <c r="K1750" s="11" t="s">
        <v>53</v>
      </c>
      <c r="L1750" s="11" t="str">
        <f t="shared" si="112"/>
        <v>741920</v>
      </c>
      <c r="M1750" s="11" t="str">
        <f>IF(I1750&lt;&gt;"",DATA!E1749,"")</f>
        <v>GARMENT HANGER</v>
      </c>
      <c r="N1750" s="12">
        <v>0</v>
      </c>
      <c r="O1750" s="11">
        <f>IF(I1750&lt;&gt;"",DATA!C1749,"")</f>
        <v>59.6</v>
      </c>
      <c r="P1750" s="2">
        <v>294094</v>
      </c>
      <c r="Q1750" s="2" t="s">
        <v>1304</v>
      </c>
      <c r="R1750" s="2" t="s">
        <v>1338</v>
      </c>
      <c r="S1750" s="2">
        <v>618</v>
      </c>
      <c r="T1750" s="2">
        <v>1</v>
      </c>
      <c r="U1750" s="2" t="s">
        <v>141</v>
      </c>
      <c r="Y1750" s="2">
        <v>1700</v>
      </c>
      <c r="Z1750" s="11" t="s">
        <v>54</v>
      </c>
      <c r="AA1750" s="11" t="str">
        <f t="shared" si="113"/>
        <v>1700 - TBN</v>
      </c>
      <c r="AC1750" s="2" t="s">
        <v>145</v>
      </c>
      <c r="AD1750" s="11" t="str">
        <f>IF($I1750&lt;&gt;"",VLOOKUP($AC1750,GEADRESSEERDE!$A$2:$E$4,2,),"")</f>
        <v>LUITHAGEN HAVEN 2 D</v>
      </c>
      <c r="AE1750" s="11">
        <f>IF($I1750&lt;&gt;"",VLOOKUP($AC1750,GEADRESSEERDE!$A$2:$E$4,3,),"")</f>
        <v>2030</v>
      </c>
      <c r="AF1750" s="11" t="str">
        <f>IF($I1750&lt;&gt;"",VLOOKUP($AC1750,GEADRESSEERDE!$A$2:$E$4,4,),"")</f>
        <v>ANTWERPEN</v>
      </c>
      <c r="AG1750" s="11" t="str">
        <f>IF($I1750&lt;&gt;"",VLOOKUP($AC1750,GEADRESSEERDE!$A$2:$E$4,5,),"")</f>
        <v>BE</v>
      </c>
      <c r="AH1750" s="11" t="str">
        <f>IF(I1750&lt;&gt;"",VLOOKUP(AP1750,KvB!$A$2:$B$3,2,FALSE),"")</f>
        <v>BE101000</v>
      </c>
      <c r="AI1750" s="11" t="s">
        <v>55</v>
      </c>
      <c r="AJ1750" s="11"/>
      <c r="AK1750" s="11"/>
      <c r="AL1750" s="11"/>
      <c r="AM1750" s="11"/>
      <c r="AN1750" s="11"/>
      <c r="AO1750" s="11"/>
      <c r="AP1750" s="2" t="s">
        <v>70</v>
      </c>
      <c r="AQ1750" s="11" t="str">
        <f>IF(I1750&lt;&gt;"",DATA!D1749,"")</f>
        <v>7419200090</v>
      </c>
    </row>
    <row r="1751" spans="1:43" ht="15.75" x14ac:dyDescent="0.25">
      <c r="A1751" s="11" t="s">
        <v>57</v>
      </c>
      <c r="B1751" s="11" t="s">
        <v>56</v>
      </c>
      <c r="C1751" s="22">
        <f t="shared" si="114"/>
        <v>25001620</v>
      </c>
      <c r="D1751" s="11" t="str">
        <f t="shared" si="111"/>
        <v>SKIIFM_AT</v>
      </c>
      <c r="E1751" s="11" t="str">
        <f>IF(I1751&lt;&gt;"",VLOOKUP(F1751,OPDRACHTGEVER!$A$2:$B$4,2,FALSE),"")</f>
        <v>SKIIFM_AT</v>
      </c>
      <c r="F1751" s="11" t="s">
        <v>58</v>
      </c>
      <c r="I1751" s="11" t="str">
        <f>IF(DATA!B1750&lt;&gt;"",DATA!B1750,"")</f>
        <v>MSMU4497247</v>
      </c>
      <c r="J1751" s="12">
        <v>0</v>
      </c>
      <c r="K1751" s="11" t="s">
        <v>53</v>
      </c>
      <c r="L1751" s="11" t="str">
        <f t="shared" si="112"/>
        <v>741920</v>
      </c>
      <c r="M1751" s="11" t="str">
        <f>IF(I1751&lt;&gt;"",DATA!E1750,"")</f>
        <v>HAND WELDED SINK</v>
      </c>
      <c r="N1751" s="12">
        <v>0</v>
      </c>
      <c r="O1751" s="11">
        <f>IF(I1751&lt;&gt;"",DATA!C1750,"")</f>
        <v>59.2</v>
      </c>
      <c r="P1751" s="2">
        <v>294094</v>
      </c>
      <c r="Q1751" s="2" t="s">
        <v>1304</v>
      </c>
      <c r="R1751" s="2" t="s">
        <v>1338</v>
      </c>
      <c r="S1751" s="2">
        <v>618</v>
      </c>
      <c r="T1751" s="2">
        <v>1</v>
      </c>
      <c r="U1751" s="2" t="s">
        <v>141</v>
      </c>
      <c r="Y1751" s="2">
        <v>1700</v>
      </c>
      <c r="Z1751" s="11" t="s">
        <v>54</v>
      </c>
      <c r="AA1751" s="11" t="str">
        <f t="shared" si="113"/>
        <v>1700 - TBN</v>
      </c>
      <c r="AC1751" s="2" t="s">
        <v>145</v>
      </c>
      <c r="AD1751" s="11" t="str">
        <f>IF($I1751&lt;&gt;"",VLOOKUP($AC1751,GEADRESSEERDE!$A$2:$E$4,2,),"")</f>
        <v>LUITHAGEN HAVEN 2 D</v>
      </c>
      <c r="AE1751" s="11">
        <f>IF($I1751&lt;&gt;"",VLOOKUP($AC1751,GEADRESSEERDE!$A$2:$E$4,3,),"")</f>
        <v>2030</v>
      </c>
      <c r="AF1751" s="11" t="str">
        <f>IF($I1751&lt;&gt;"",VLOOKUP($AC1751,GEADRESSEERDE!$A$2:$E$4,4,),"")</f>
        <v>ANTWERPEN</v>
      </c>
      <c r="AG1751" s="11" t="str">
        <f>IF($I1751&lt;&gt;"",VLOOKUP($AC1751,GEADRESSEERDE!$A$2:$E$4,5,),"")</f>
        <v>BE</v>
      </c>
      <c r="AH1751" s="11" t="str">
        <f>IF(I1751&lt;&gt;"",VLOOKUP(AP1751,KvB!$A$2:$B$3,2,FALSE),"")</f>
        <v>BE101000</v>
      </c>
      <c r="AI1751" s="11" t="s">
        <v>55</v>
      </c>
      <c r="AJ1751" s="11"/>
      <c r="AK1751" s="11"/>
      <c r="AL1751" s="11"/>
      <c r="AM1751" s="11"/>
      <c r="AN1751" s="11"/>
      <c r="AO1751" s="11"/>
      <c r="AP1751" s="2" t="s">
        <v>70</v>
      </c>
      <c r="AQ1751" s="11" t="str">
        <f>IF(I1751&lt;&gt;"",DATA!D1750,"")</f>
        <v>7419200090</v>
      </c>
    </row>
    <row r="1752" spans="1:43" ht="15.75" x14ac:dyDescent="0.25">
      <c r="A1752" s="11" t="s">
        <v>57</v>
      </c>
      <c r="B1752" s="11" t="s">
        <v>56</v>
      </c>
      <c r="C1752" s="22">
        <f t="shared" si="114"/>
        <v>25001620</v>
      </c>
      <c r="D1752" s="11" t="str">
        <f t="shared" si="111"/>
        <v>SKIIFM_AT</v>
      </c>
      <c r="E1752" s="11" t="str">
        <f>IF(I1752&lt;&gt;"",VLOOKUP(F1752,OPDRACHTGEVER!$A$2:$B$4,2,FALSE),"")</f>
        <v>SKIIFM_AT</v>
      </c>
      <c r="F1752" s="11" t="s">
        <v>58</v>
      </c>
      <c r="I1752" s="11" t="str">
        <f>IF(DATA!B1751&lt;&gt;"",DATA!B1751,"")</f>
        <v>MSMU4497247</v>
      </c>
      <c r="J1752" s="12">
        <v>0</v>
      </c>
      <c r="K1752" s="11" t="s">
        <v>53</v>
      </c>
      <c r="L1752" s="11" t="str">
        <f t="shared" si="112"/>
        <v>741920</v>
      </c>
      <c r="M1752" s="11" t="str">
        <f>IF(I1752&lt;&gt;"",DATA!E1751,"")</f>
        <v>HANDRAIL</v>
      </c>
      <c r="N1752" s="12">
        <v>0</v>
      </c>
      <c r="O1752" s="11">
        <f>IF(I1752&lt;&gt;"",DATA!C1751,"")</f>
        <v>91.2</v>
      </c>
      <c r="P1752" s="2">
        <v>294094</v>
      </c>
      <c r="Q1752" s="2" t="s">
        <v>1304</v>
      </c>
      <c r="R1752" s="2" t="s">
        <v>1338</v>
      </c>
      <c r="S1752" s="2">
        <v>618</v>
      </c>
      <c r="T1752" s="2">
        <v>1</v>
      </c>
      <c r="U1752" s="2" t="s">
        <v>141</v>
      </c>
      <c r="Y1752" s="2">
        <v>1700</v>
      </c>
      <c r="Z1752" s="11" t="s">
        <v>54</v>
      </c>
      <c r="AA1752" s="11" t="str">
        <f t="shared" si="113"/>
        <v>1700 - TBN</v>
      </c>
      <c r="AC1752" s="2" t="s">
        <v>145</v>
      </c>
      <c r="AD1752" s="11" t="str">
        <f>IF($I1752&lt;&gt;"",VLOOKUP($AC1752,GEADRESSEERDE!$A$2:$E$4,2,),"")</f>
        <v>LUITHAGEN HAVEN 2 D</v>
      </c>
      <c r="AE1752" s="11">
        <f>IF($I1752&lt;&gt;"",VLOOKUP($AC1752,GEADRESSEERDE!$A$2:$E$4,3,),"")</f>
        <v>2030</v>
      </c>
      <c r="AF1752" s="11" t="str">
        <f>IF($I1752&lt;&gt;"",VLOOKUP($AC1752,GEADRESSEERDE!$A$2:$E$4,4,),"")</f>
        <v>ANTWERPEN</v>
      </c>
      <c r="AG1752" s="11" t="str">
        <f>IF($I1752&lt;&gt;"",VLOOKUP($AC1752,GEADRESSEERDE!$A$2:$E$4,5,),"")</f>
        <v>BE</v>
      </c>
      <c r="AH1752" s="11" t="str">
        <f>IF(I1752&lt;&gt;"",VLOOKUP(AP1752,KvB!$A$2:$B$3,2,FALSE),"")</f>
        <v>BE101000</v>
      </c>
      <c r="AI1752" s="11" t="s">
        <v>55</v>
      </c>
      <c r="AJ1752" s="11"/>
      <c r="AK1752" s="11"/>
      <c r="AL1752" s="11"/>
      <c r="AM1752" s="11"/>
      <c r="AN1752" s="11"/>
      <c r="AO1752" s="11"/>
      <c r="AP1752" s="2" t="s">
        <v>70</v>
      </c>
      <c r="AQ1752" s="11" t="str">
        <f>IF(I1752&lt;&gt;"",DATA!D1751,"")</f>
        <v>7419200090</v>
      </c>
    </row>
    <row r="1753" spans="1:43" ht="15.75" x14ac:dyDescent="0.25">
      <c r="A1753" s="11" t="s">
        <v>57</v>
      </c>
      <c r="B1753" s="11" t="s">
        <v>56</v>
      </c>
      <c r="C1753" s="22">
        <f t="shared" si="114"/>
        <v>25001620</v>
      </c>
      <c r="D1753" s="11" t="str">
        <f t="shared" si="111"/>
        <v>SKIIFM_AT</v>
      </c>
      <c r="E1753" s="11" t="str">
        <f>IF(I1753&lt;&gt;"",VLOOKUP(F1753,OPDRACHTGEVER!$A$2:$B$4,2,FALSE),"")</f>
        <v>SKIIFM_AT</v>
      </c>
      <c r="F1753" s="11" t="s">
        <v>58</v>
      </c>
      <c r="I1753" s="11" t="str">
        <f>IF(DATA!B1752&lt;&gt;"",DATA!B1752,"")</f>
        <v>MSMU4497247</v>
      </c>
      <c r="J1753" s="12">
        <v>0</v>
      </c>
      <c r="K1753" s="11" t="s">
        <v>53</v>
      </c>
      <c r="L1753" s="11" t="str">
        <f t="shared" si="112"/>
        <v>841950</v>
      </c>
      <c r="M1753" s="11" t="str">
        <f>IF(I1753&lt;&gt;"",DATA!E1752,"")</f>
        <v>HEAT EXCHANGER</v>
      </c>
      <c r="N1753" s="12">
        <v>0</v>
      </c>
      <c r="O1753" s="11">
        <f>IF(I1753&lt;&gt;"",DATA!C1752,"")</f>
        <v>49.5</v>
      </c>
      <c r="P1753" s="2">
        <v>294094</v>
      </c>
      <c r="Q1753" s="2" t="s">
        <v>1304</v>
      </c>
      <c r="R1753" s="2" t="s">
        <v>1338</v>
      </c>
      <c r="S1753" s="2">
        <v>618</v>
      </c>
      <c r="T1753" s="2">
        <v>1</v>
      </c>
      <c r="U1753" s="2" t="s">
        <v>141</v>
      </c>
      <c r="Y1753" s="2">
        <v>1700</v>
      </c>
      <c r="Z1753" s="11" t="s">
        <v>54</v>
      </c>
      <c r="AA1753" s="11" t="str">
        <f t="shared" si="113"/>
        <v>1700 - TBN</v>
      </c>
      <c r="AC1753" s="2" t="s">
        <v>145</v>
      </c>
      <c r="AD1753" s="11" t="str">
        <f>IF($I1753&lt;&gt;"",VLOOKUP($AC1753,GEADRESSEERDE!$A$2:$E$4,2,),"")</f>
        <v>LUITHAGEN HAVEN 2 D</v>
      </c>
      <c r="AE1753" s="11">
        <f>IF($I1753&lt;&gt;"",VLOOKUP($AC1753,GEADRESSEERDE!$A$2:$E$4,3,),"")</f>
        <v>2030</v>
      </c>
      <c r="AF1753" s="11" t="str">
        <f>IF($I1753&lt;&gt;"",VLOOKUP($AC1753,GEADRESSEERDE!$A$2:$E$4,4,),"")</f>
        <v>ANTWERPEN</v>
      </c>
      <c r="AG1753" s="11" t="str">
        <f>IF($I1753&lt;&gt;"",VLOOKUP($AC1753,GEADRESSEERDE!$A$2:$E$4,5,),"")</f>
        <v>BE</v>
      </c>
      <c r="AH1753" s="11" t="str">
        <f>IF(I1753&lt;&gt;"",VLOOKUP(AP1753,KvB!$A$2:$B$3,2,FALSE),"")</f>
        <v>BE101000</v>
      </c>
      <c r="AI1753" s="11" t="s">
        <v>55</v>
      </c>
      <c r="AJ1753" s="11"/>
      <c r="AK1753" s="11"/>
      <c r="AL1753" s="11"/>
      <c r="AM1753" s="11"/>
      <c r="AN1753" s="11"/>
      <c r="AO1753" s="11"/>
      <c r="AP1753" s="2" t="s">
        <v>70</v>
      </c>
      <c r="AQ1753" s="11" t="str">
        <f>IF(I1753&lt;&gt;"",DATA!D1752,"")</f>
        <v>8419508090</v>
      </c>
    </row>
    <row r="1754" spans="1:43" ht="15.75" x14ac:dyDescent="0.25">
      <c r="A1754" s="11" t="s">
        <v>57</v>
      </c>
      <c r="B1754" s="11" t="s">
        <v>56</v>
      </c>
      <c r="C1754" s="22">
        <f t="shared" si="114"/>
        <v>25001620</v>
      </c>
      <c r="D1754" s="11" t="str">
        <f t="shared" si="111"/>
        <v>SKIIFM_AT</v>
      </c>
      <c r="E1754" s="11" t="str">
        <f>IF(I1754&lt;&gt;"",VLOOKUP(F1754,OPDRACHTGEVER!$A$2:$B$4,2,FALSE),"")</f>
        <v>SKIIFM_AT</v>
      </c>
      <c r="F1754" s="11" t="s">
        <v>58</v>
      </c>
      <c r="I1754" s="11" t="str">
        <f>IF(DATA!B1753&lt;&gt;"",DATA!B1753,"")</f>
        <v>MSMU4497247</v>
      </c>
      <c r="J1754" s="12">
        <v>0</v>
      </c>
      <c r="K1754" s="11" t="s">
        <v>53</v>
      </c>
      <c r="L1754" s="11" t="str">
        <f t="shared" si="112"/>
        <v>841861</v>
      </c>
      <c r="M1754" s="11" t="str">
        <f>IF(I1754&lt;&gt;"",DATA!E1753,"")</f>
        <v>HEAT PUMP</v>
      </c>
      <c r="N1754" s="12">
        <v>0</v>
      </c>
      <c r="O1754" s="11">
        <f>IF(I1754&lt;&gt;"",DATA!C1753,"")</f>
        <v>844.3</v>
      </c>
      <c r="P1754" s="2">
        <v>294094</v>
      </c>
      <c r="Q1754" s="2" t="s">
        <v>1304</v>
      </c>
      <c r="R1754" s="2" t="s">
        <v>1338</v>
      </c>
      <c r="S1754" s="2">
        <v>618</v>
      </c>
      <c r="T1754" s="2">
        <v>1</v>
      </c>
      <c r="U1754" s="2" t="s">
        <v>141</v>
      </c>
      <c r="Y1754" s="2">
        <v>1700</v>
      </c>
      <c r="Z1754" s="11" t="s">
        <v>54</v>
      </c>
      <c r="AA1754" s="11" t="str">
        <f t="shared" si="113"/>
        <v>1700 - TBN</v>
      </c>
      <c r="AC1754" s="2" t="s">
        <v>145</v>
      </c>
      <c r="AD1754" s="11" t="str">
        <f>IF($I1754&lt;&gt;"",VLOOKUP($AC1754,GEADRESSEERDE!$A$2:$E$4,2,),"")</f>
        <v>LUITHAGEN HAVEN 2 D</v>
      </c>
      <c r="AE1754" s="11">
        <f>IF($I1754&lt;&gt;"",VLOOKUP($AC1754,GEADRESSEERDE!$A$2:$E$4,3,),"")</f>
        <v>2030</v>
      </c>
      <c r="AF1754" s="11" t="str">
        <f>IF($I1754&lt;&gt;"",VLOOKUP($AC1754,GEADRESSEERDE!$A$2:$E$4,4,),"")</f>
        <v>ANTWERPEN</v>
      </c>
      <c r="AG1754" s="11" t="str">
        <f>IF($I1754&lt;&gt;"",VLOOKUP($AC1754,GEADRESSEERDE!$A$2:$E$4,5,),"")</f>
        <v>BE</v>
      </c>
      <c r="AH1754" s="11" t="str">
        <f>IF(I1754&lt;&gt;"",VLOOKUP(AP1754,KvB!$A$2:$B$3,2,FALSE),"")</f>
        <v>BE101000</v>
      </c>
      <c r="AI1754" s="11" t="s">
        <v>55</v>
      </c>
      <c r="AJ1754" s="11"/>
      <c r="AK1754" s="11"/>
      <c r="AL1754" s="11"/>
      <c r="AM1754" s="11"/>
      <c r="AN1754" s="11"/>
      <c r="AO1754" s="11"/>
      <c r="AP1754" s="2" t="s">
        <v>70</v>
      </c>
      <c r="AQ1754" s="11" t="str">
        <f>IF(I1754&lt;&gt;"",DATA!D1753,"")</f>
        <v>8418610099</v>
      </c>
    </row>
    <row r="1755" spans="1:43" ht="15.75" x14ac:dyDescent="0.25">
      <c r="A1755" s="11" t="s">
        <v>57</v>
      </c>
      <c r="B1755" s="11" t="s">
        <v>56</v>
      </c>
      <c r="C1755" s="22">
        <f t="shared" si="114"/>
        <v>25001620</v>
      </c>
      <c r="D1755" s="11" t="str">
        <f t="shared" si="111"/>
        <v>SKIIFM_AT</v>
      </c>
      <c r="E1755" s="11" t="str">
        <f>IF(I1755&lt;&gt;"",VLOOKUP(F1755,OPDRACHTGEVER!$A$2:$B$4,2,FALSE),"")</f>
        <v>SKIIFM_AT</v>
      </c>
      <c r="F1755" s="11" t="s">
        <v>58</v>
      </c>
      <c r="I1755" s="11" t="str">
        <f>IF(DATA!B1754&lt;&gt;"",DATA!B1754,"")</f>
        <v>MSMU4497247</v>
      </c>
      <c r="J1755" s="12">
        <v>0</v>
      </c>
      <c r="K1755" s="11" t="s">
        <v>53</v>
      </c>
      <c r="L1755" s="11" t="str">
        <f t="shared" si="112"/>
        <v>741920</v>
      </c>
      <c r="M1755" s="11" t="str">
        <f>IF(I1755&lt;&gt;"",DATA!E1754,"")</f>
        <v>HOLLOW OUT SHELVES</v>
      </c>
      <c r="N1755" s="12">
        <v>0</v>
      </c>
      <c r="O1755" s="11">
        <f>IF(I1755&lt;&gt;"",DATA!C1754,"")</f>
        <v>163</v>
      </c>
      <c r="P1755" s="2">
        <v>294094</v>
      </c>
      <c r="Q1755" s="2" t="s">
        <v>1304</v>
      </c>
      <c r="R1755" s="2" t="s">
        <v>1338</v>
      </c>
      <c r="S1755" s="2">
        <v>618</v>
      </c>
      <c r="T1755" s="2">
        <v>1</v>
      </c>
      <c r="U1755" s="2" t="s">
        <v>141</v>
      </c>
      <c r="Y1755" s="2">
        <v>1700</v>
      </c>
      <c r="Z1755" s="11" t="s">
        <v>54</v>
      </c>
      <c r="AA1755" s="11" t="str">
        <f t="shared" si="113"/>
        <v>1700 - TBN</v>
      </c>
      <c r="AC1755" s="2" t="s">
        <v>145</v>
      </c>
      <c r="AD1755" s="11" t="str">
        <f>IF($I1755&lt;&gt;"",VLOOKUP($AC1755,GEADRESSEERDE!$A$2:$E$4,2,),"")</f>
        <v>LUITHAGEN HAVEN 2 D</v>
      </c>
      <c r="AE1755" s="11">
        <f>IF($I1755&lt;&gt;"",VLOOKUP($AC1755,GEADRESSEERDE!$A$2:$E$4,3,),"")</f>
        <v>2030</v>
      </c>
      <c r="AF1755" s="11" t="str">
        <f>IF($I1755&lt;&gt;"",VLOOKUP($AC1755,GEADRESSEERDE!$A$2:$E$4,4,),"")</f>
        <v>ANTWERPEN</v>
      </c>
      <c r="AG1755" s="11" t="str">
        <f>IF($I1755&lt;&gt;"",VLOOKUP($AC1755,GEADRESSEERDE!$A$2:$E$4,5,),"")</f>
        <v>BE</v>
      </c>
      <c r="AH1755" s="11" t="str">
        <f>IF(I1755&lt;&gt;"",VLOOKUP(AP1755,KvB!$A$2:$B$3,2,FALSE),"")</f>
        <v>BE101000</v>
      </c>
      <c r="AI1755" s="11" t="s">
        <v>55</v>
      </c>
      <c r="AJ1755" s="11"/>
      <c r="AK1755" s="11"/>
      <c r="AL1755" s="11"/>
      <c r="AM1755" s="11"/>
      <c r="AN1755" s="11"/>
      <c r="AO1755" s="11"/>
      <c r="AP1755" s="2" t="s">
        <v>70</v>
      </c>
      <c r="AQ1755" s="11" t="str">
        <f>IF(I1755&lt;&gt;"",DATA!D1754,"")</f>
        <v>7419200090</v>
      </c>
    </row>
    <row r="1756" spans="1:43" ht="15.75" x14ac:dyDescent="0.25">
      <c r="A1756" s="11" t="s">
        <v>57</v>
      </c>
      <c r="B1756" s="11" t="s">
        <v>56</v>
      </c>
      <c r="C1756" s="22">
        <f t="shared" si="114"/>
        <v>25001620</v>
      </c>
      <c r="D1756" s="11" t="str">
        <f t="shared" si="111"/>
        <v>SKIIFM_AT</v>
      </c>
      <c r="E1756" s="11" t="str">
        <f>IF(I1756&lt;&gt;"",VLOOKUP(F1756,OPDRACHTGEVER!$A$2:$B$4,2,FALSE),"")</f>
        <v>SKIIFM_AT</v>
      </c>
      <c r="F1756" s="11" t="s">
        <v>58</v>
      </c>
      <c r="I1756" s="11" t="str">
        <f>IF(DATA!B1755&lt;&gt;"",DATA!B1755,"")</f>
        <v>MSMU4497247</v>
      </c>
      <c r="J1756" s="12">
        <v>0</v>
      </c>
      <c r="K1756" s="11" t="s">
        <v>53</v>
      </c>
      <c r="L1756" s="11" t="str">
        <f t="shared" si="112"/>
        <v>392690</v>
      </c>
      <c r="M1756" s="11" t="str">
        <f>IF(I1756&lt;&gt;"",DATA!E1755,"")</f>
        <v>HOUSE STYLE FABRIC CAT SHELTER</v>
      </c>
      <c r="N1756" s="12">
        <v>0</v>
      </c>
      <c r="O1756" s="11">
        <f>IF(I1756&lt;&gt;"",DATA!C1755,"")</f>
        <v>25.8</v>
      </c>
      <c r="P1756" s="2">
        <v>294094</v>
      </c>
      <c r="Q1756" s="2" t="s">
        <v>1304</v>
      </c>
      <c r="R1756" s="2" t="s">
        <v>1338</v>
      </c>
      <c r="S1756" s="2">
        <v>618</v>
      </c>
      <c r="T1756" s="2">
        <v>1</v>
      </c>
      <c r="U1756" s="2" t="s">
        <v>141</v>
      </c>
      <c r="Y1756" s="2">
        <v>1700</v>
      </c>
      <c r="Z1756" s="11" t="s">
        <v>54</v>
      </c>
      <c r="AA1756" s="11" t="str">
        <f t="shared" si="113"/>
        <v>1700 - TBN</v>
      </c>
      <c r="AC1756" s="2" t="s">
        <v>145</v>
      </c>
      <c r="AD1756" s="11" t="str">
        <f>IF($I1756&lt;&gt;"",VLOOKUP($AC1756,GEADRESSEERDE!$A$2:$E$4,2,),"")</f>
        <v>LUITHAGEN HAVEN 2 D</v>
      </c>
      <c r="AE1756" s="11">
        <f>IF($I1756&lt;&gt;"",VLOOKUP($AC1756,GEADRESSEERDE!$A$2:$E$4,3,),"")</f>
        <v>2030</v>
      </c>
      <c r="AF1756" s="11" t="str">
        <f>IF($I1756&lt;&gt;"",VLOOKUP($AC1756,GEADRESSEERDE!$A$2:$E$4,4,),"")</f>
        <v>ANTWERPEN</v>
      </c>
      <c r="AG1756" s="11" t="str">
        <f>IF($I1756&lt;&gt;"",VLOOKUP($AC1756,GEADRESSEERDE!$A$2:$E$4,5,),"")</f>
        <v>BE</v>
      </c>
      <c r="AH1756" s="11" t="str">
        <f>IF(I1756&lt;&gt;"",VLOOKUP(AP1756,KvB!$A$2:$B$3,2,FALSE),"")</f>
        <v>BE101000</v>
      </c>
      <c r="AI1756" s="11" t="s">
        <v>55</v>
      </c>
      <c r="AJ1756" s="11"/>
      <c r="AK1756" s="11"/>
      <c r="AL1756" s="11"/>
      <c r="AM1756" s="11"/>
      <c r="AN1756" s="11"/>
      <c r="AO1756" s="11"/>
      <c r="AP1756" s="2" t="s">
        <v>70</v>
      </c>
      <c r="AQ1756" s="11" t="str">
        <f>IF(I1756&lt;&gt;"",DATA!D1755,"")</f>
        <v>3926909790</v>
      </c>
    </row>
    <row r="1757" spans="1:43" ht="15.75" x14ac:dyDescent="0.25">
      <c r="A1757" s="11" t="s">
        <v>57</v>
      </c>
      <c r="B1757" s="11" t="s">
        <v>56</v>
      </c>
      <c r="C1757" s="22">
        <f t="shared" si="114"/>
        <v>25001620</v>
      </c>
      <c r="D1757" s="11" t="str">
        <f t="shared" si="111"/>
        <v>SKIIFM_AT</v>
      </c>
      <c r="E1757" s="11" t="str">
        <f>IF(I1757&lt;&gt;"",VLOOKUP(F1757,OPDRACHTGEVER!$A$2:$B$4,2,FALSE),"")</f>
        <v>SKIIFM_AT</v>
      </c>
      <c r="F1757" s="11" t="s">
        <v>58</v>
      </c>
      <c r="I1757" s="11" t="str">
        <f>IF(DATA!B1756&lt;&gt;"",DATA!B1756,"")</f>
        <v>MSMU4497247</v>
      </c>
      <c r="J1757" s="12">
        <v>0</v>
      </c>
      <c r="K1757" s="11" t="s">
        <v>53</v>
      </c>
      <c r="L1757" s="11" t="str">
        <f t="shared" si="112"/>
        <v>841869</v>
      </c>
      <c r="M1757" s="11" t="str">
        <f>IF(I1757&lt;&gt;"",DATA!E1756,"")</f>
        <v>ICE MACHINE</v>
      </c>
      <c r="N1757" s="12">
        <v>0</v>
      </c>
      <c r="O1757" s="11">
        <f>IF(I1757&lt;&gt;"",DATA!C1756,"")</f>
        <v>518.6</v>
      </c>
      <c r="P1757" s="2">
        <v>294094</v>
      </c>
      <c r="Q1757" s="2" t="s">
        <v>1304</v>
      </c>
      <c r="R1757" s="2" t="s">
        <v>1338</v>
      </c>
      <c r="S1757" s="2">
        <v>618</v>
      </c>
      <c r="T1757" s="2">
        <v>1</v>
      </c>
      <c r="U1757" s="2" t="s">
        <v>141</v>
      </c>
      <c r="Y1757" s="2">
        <v>1700</v>
      </c>
      <c r="Z1757" s="11" t="s">
        <v>54</v>
      </c>
      <c r="AA1757" s="11" t="str">
        <f t="shared" si="113"/>
        <v>1700 - TBN</v>
      </c>
      <c r="AC1757" s="2" t="s">
        <v>145</v>
      </c>
      <c r="AD1757" s="11" t="str">
        <f>IF($I1757&lt;&gt;"",VLOOKUP($AC1757,GEADRESSEERDE!$A$2:$E$4,2,),"")</f>
        <v>LUITHAGEN HAVEN 2 D</v>
      </c>
      <c r="AE1757" s="11">
        <f>IF($I1757&lt;&gt;"",VLOOKUP($AC1757,GEADRESSEERDE!$A$2:$E$4,3,),"")</f>
        <v>2030</v>
      </c>
      <c r="AF1757" s="11" t="str">
        <f>IF($I1757&lt;&gt;"",VLOOKUP($AC1757,GEADRESSEERDE!$A$2:$E$4,4,),"")</f>
        <v>ANTWERPEN</v>
      </c>
      <c r="AG1757" s="11" t="str">
        <f>IF($I1757&lt;&gt;"",VLOOKUP($AC1757,GEADRESSEERDE!$A$2:$E$4,5,),"")</f>
        <v>BE</v>
      </c>
      <c r="AH1757" s="11" t="str">
        <f>IF(I1757&lt;&gt;"",VLOOKUP(AP1757,KvB!$A$2:$B$3,2,FALSE),"")</f>
        <v>BE101000</v>
      </c>
      <c r="AI1757" s="11" t="s">
        <v>55</v>
      </c>
      <c r="AJ1757" s="11"/>
      <c r="AK1757" s="11"/>
      <c r="AL1757" s="11"/>
      <c r="AM1757" s="11"/>
      <c r="AN1757" s="11"/>
      <c r="AO1757" s="11"/>
      <c r="AP1757" s="2" t="s">
        <v>70</v>
      </c>
      <c r="AQ1757" s="11" t="str">
        <f>IF(I1757&lt;&gt;"",DATA!D1756,"")</f>
        <v>8418690099</v>
      </c>
    </row>
    <row r="1758" spans="1:43" ht="15.75" x14ac:dyDescent="0.25">
      <c r="A1758" s="11" t="s">
        <v>57</v>
      </c>
      <c r="B1758" s="11" t="s">
        <v>56</v>
      </c>
      <c r="C1758" s="22">
        <f t="shared" si="114"/>
        <v>25001620</v>
      </c>
      <c r="D1758" s="11" t="str">
        <f t="shared" si="111"/>
        <v>SKIIFM_AT</v>
      </c>
      <c r="E1758" s="11" t="str">
        <f>IF(I1758&lt;&gt;"",VLOOKUP(F1758,OPDRACHTGEVER!$A$2:$B$4,2,FALSE),"")</f>
        <v>SKIIFM_AT</v>
      </c>
      <c r="F1758" s="11" t="s">
        <v>58</v>
      </c>
      <c r="I1758" s="11" t="str">
        <f>IF(DATA!B1757&lt;&gt;"",DATA!B1757,"")</f>
        <v>MSMU4497247</v>
      </c>
      <c r="J1758" s="12">
        <v>0</v>
      </c>
      <c r="K1758" s="11" t="s">
        <v>53</v>
      </c>
      <c r="L1758" s="11" t="str">
        <f t="shared" si="112"/>
        <v>950662</v>
      </c>
      <c r="M1758" s="11" t="str">
        <f>IF(I1758&lt;&gt;"",DATA!E1757,"")</f>
        <v>INFLATABLE BUMPER BALL</v>
      </c>
      <c r="N1758" s="12">
        <v>0</v>
      </c>
      <c r="O1758" s="11">
        <f>IF(I1758&lt;&gt;"",DATA!C1757,"")</f>
        <v>258</v>
      </c>
      <c r="P1758" s="2">
        <v>294094</v>
      </c>
      <c r="Q1758" s="2" t="s">
        <v>1304</v>
      </c>
      <c r="R1758" s="2" t="s">
        <v>1338</v>
      </c>
      <c r="S1758" s="2">
        <v>618</v>
      </c>
      <c r="T1758" s="2">
        <v>1</v>
      </c>
      <c r="U1758" s="2" t="s">
        <v>141</v>
      </c>
      <c r="Y1758" s="2">
        <v>1700</v>
      </c>
      <c r="Z1758" s="11" t="s">
        <v>54</v>
      </c>
      <c r="AA1758" s="11" t="str">
        <f t="shared" si="113"/>
        <v>1700 - TBN</v>
      </c>
      <c r="AC1758" s="2" t="s">
        <v>145</v>
      </c>
      <c r="AD1758" s="11" t="str">
        <f>IF($I1758&lt;&gt;"",VLOOKUP($AC1758,GEADRESSEERDE!$A$2:$E$4,2,),"")</f>
        <v>LUITHAGEN HAVEN 2 D</v>
      </c>
      <c r="AE1758" s="11">
        <f>IF($I1758&lt;&gt;"",VLOOKUP($AC1758,GEADRESSEERDE!$A$2:$E$4,3,),"")</f>
        <v>2030</v>
      </c>
      <c r="AF1758" s="11" t="str">
        <f>IF($I1758&lt;&gt;"",VLOOKUP($AC1758,GEADRESSEERDE!$A$2:$E$4,4,),"")</f>
        <v>ANTWERPEN</v>
      </c>
      <c r="AG1758" s="11" t="str">
        <f>IF($I1758&lt;&gt;"",VLOOKUP($AC1758,GEADRESSEERDE!$A$2:$E$4,5,),"")</f>
        <v>BE</v>
      </c>
      <c r="AH1758" s="11" t="str">
        <f>IF(I1758&lt;&gt;"",VLOOKUP(AP1758,KvB!$A$2:$B$3,2,FALSE),"")</f>
        <v>BE101000</v>
      </c>
      <c r="AI1758" s="11" t="s">
        <v>55</v>
      </c>
      <c r="AJ1758" s="11"/>
      <c r="AK1758" s="11"/>
      <c r="AL1758" s="11"/>
      <c r="AM1758" s="11"/>
      <c r="AN1758" s="11"/>
      <c r="AO1758" s="11"/>
      <c r="AP1758" s="2" t="s">
        <v>70</v>
      </c>
      <c r="AQ1758" s="11" t="str">
        <f>IF(I1758&lt;&gt;"",DATA!D1757,"")</f>
        <v>9506620000</v>
      </c>
    </row>
    <row r="1759" spans="1:43" ht="15.75" x14ac:dyDescent="0.25">
      <c r="A1759" s="11" t="s">
        <v>57</v>
      </c>
      <c r="B1759" s="11" t="s">
        <v>56</v>
      </c>
      <c r="C1759" s="22">
        <f t="shared" si="114"/>
        <v>25001620</v>
      </c>
      <c r="D1759" s="11" t="str">
        <f t="shared" si="111"/>
        <v>SKIIFM_AT</v>
      </c>
      <c r="E1759" s="11" t="str">
        <f>IF(I1759&lt;&gt;"",VLOOKUP(F1759,OPDRACHTGEVER!$A$2:$B$4,2,FALSE),"")</f>
        <v>SKIIFM_AT</v>
      </c>
      <c r="F1759" s="11" t="s">
        <v>58</v>
      </c>
      <c r="I1759" s="11" t="str">
        <f>IF(DATA!B1758&lt;&gt;"",DATA!B1758,"")</f>
        <v>MSMU4497247</v>
      </c>
      <c r="J1759" s="12">
        <v>0</v>
      </c>
      <c r="K1759" s="11" t="s">
        <v>53</v>
      </c>
      <c r="L1759" s="11" t="str">
        <f t="shared" si="112"/>
        <v>392690</v>
      </c>
      <c r="M1759" s="11" t="str">
        <f>IF(I1759&lt;&gt;"",DATA!E1758,"")</f>
        <v>INFLATABLE PAINT BOOTH WITH CENTRE DOOR</v>
      </c>
      <c r="N1759" s="12">
        <v>0</v>
      </c>
      <c r="O1759" s="11">
        <f>IF(I1759&lt;&gt;"",DATA!C1758,"")</f>
        <v>1385.3</v>
      </c>
      <c r="P1759" s="2">
        <v>294094</v>
      </c>
      <c r="Q1759" s="2" t="s">
        <v>1304</v>
      </c>
      <c r="R1759" s="2" t="s">
        <v>1338</v>
      </c>
      <c r="S1759" s="2">
        <v>618</v>
      </c>
      <c r="T1759" s="2">
        <v>1</v>
      </c>
      <c r="U1759" s="2" t="s">
        <v>141</v>
      </c>
      <c r="Y1759" s="2">
        <v>1700</v>
      </c>
      <c r="Z1759" s="11" t="s">
        <v>54</v>
      </c>
      <c r="AA1759" s="11" t="str">
        <f t="shared" si="113"/>
        <v>1700 - TBN</v>
      </c>
      <c r="AC1759" s="2" t="s">
        <v>145</v>
      </c>
      <c r="AD1759" s="11" t="str">
        <f>IF($I1759&lt;&gt;"",VLOOKUP($AC1759,GEADRESSEERDE!$A$2:$E$4,2,),"")</f>
        <v>LUITHAGEN HAVEN 2 D</v>
      </c>
      <c r="AE1759" s="11">
        <f>IF($I1759&lt;&gt;"",VLOOKUP($AC1759,GEADRESSEERDE!$A$2:$E$4,3,),"")</f>
        <v>2030</v>
      </c>
      <c r="AF1759" s="11" t="str">
        <f>IF($I1759&lt;&gt;"",VLOOKUP($AC1759,GEADRESSEERDE!$A$2:$E$4,4,),"")</f>
        <v>ANTWERPEN</v>
      </c>
      <c r="AG1759" s="11" t="str">
        <f>IF($I1759&lt;&gt;"",VLOOKUP($AC1759,GEADRESSEERDE!$A$2:$E$4,5,),"")</f>
        <v>BE</v>
      </c>
      <c r="AH1759" s="11" t="str">
        <f>IF(I1759&lt;&gt;"",VLOOKUP(AP1759,KvB!$A$2:$B$3,2,FALSE),"")</f>
        <v>BE101000</v>
      </c>
      <c r="AI1759" s="11" t="s">
        <v>55</v>
      </c>
      <c r="AJ1759" s="11"/>
      <c r="AK1759" s="11"/>
      <c r="AL1759" s="11"/>
      <c r="AM1759" s="11"/>
      <c r="AN1759" s="11"/>
      <c r="AO1759" s="11"/>
      <c r="AP1759" s="2" t="s">
        <v>70</v>
      </c>
      <c r="AQ1759" s="11" t="str">
        <f>IF(I1759&lt;&gt;"",DATA!D1758,"")</f>
        <v>3926909790</v>
      </c>
    </row>
    <row r="1760" spans="1:43" ht="15.75" x14ac:dyDescent="0.25">
      <c r="A1760" s="11" t="s">
        <v>57</v>
      </c>
      <c r="B1760" s="11" t="s">
        <v>56</v>
      </c>
      <c r="C1760" s="22">
        <f t="shared" si="114"/>
        <v>25001620</v>
      </c>
      <c r="D1760" s="11" t="str">
        <f t="shared" si="111"/>
        <v>SKIIFM_AT</v>
      </c>
      <c r="E1760" s="11" t="str">
        <f>IF(I1760&lt;&gt;"",VLOOKUP(F1760,OPDRACHTGEVER!$A$2:$B$4,2,FALSE),"")</f>
        <v>SKIIFM_AT</v>
      </c>
      <c r="F1760" s="11" t="s">
        <v>58</v>
      </c>
      <c r="I1760" s="11" t="str">
        <f>IF(DATA!B1759&lt;&gt;"",DATA!B1759,"")</f>
        <v>MSMU4497247</v>
      </c>
      <c r="J1760" s="12">
        <v>0</v>
      </c>
      <c r="K1760" s="11" t="s">
        <v>53</v>
      </c>
      <c r="L1760" s="11" t="str">
        <f t="shared" si="112"/>
        <v>741920</v>
      </c>
      <c r="M1760" s="11" t="str">
        <f>IF(I1760&lt;&gt;"",DATA!E1759,"")</f>
        <v>JAM BUCKET</v>
      </c>
      <c r="N1760" s="12">
        <v>0</v>
      </c>
      <c r="O1760" s="11">
        <f>IF(I1760&lt;&gt;"",DATA!C1759,"")</f>
        <v>44.8</v>
      </c>
      <c r="P1760" s="2">
        <v>294094</v>
      </c>
      <c r="Q1760" s="2" t="s">
        <v>1304</v>
      </c>
      <c r="R1760" s="2" t="s">
        <v>1338</v>
      </c>
      <c r="S1760" s="2">
        <v>618</v>
      </c>
      <c r="T1760" s="2">
        <v>1</v>
      </c>
      <c r="U1760" s="2" t="s">
        <v>141</v>
      </c>
      <c r="Y1760" s="2">
        <v>1700</v>
      </c>
      <c r="Z1760" s="11" t="s">
        <v>54</v>
      </c>
      <c r="AA1760" s="11" t="str">
        <f t="shared" si="113"/>
        <v>1700 - TBN</v>
      </c>
      <c r="AC1760" s="2" t="s">
        <v>145</v>
      </c>
      <c r="AD1760" s="11" t="str">
        <f>IF($I1760&lt;&gt;"",VLOOKUP($AC1760,GEADRESSEERDE!$A$2:$E$4,2,),"")</f>
        <v>LUITHAGEN HAVEN 2 D</v>
      </c>
      <c r="AE1760" s="11">
        <f>IF($I1760&lt;&gt;"",VLOOKUP($AC1760,GEADRESSEERDE!$A$2:$E$4,3,),"")</f>
        <v>2030</v>
      </c>
      <c r="AF1760" s="11" t="str">
        <f>IF($I1760&lt;&gt;"",VLOOKUP($AC1760,GEADRESSEERDE!$A$2:$E$4,4,),"")</f>
        <v>ANTWERPEN</v>
      </c>
      <c r="AG1760" s="11" t="str">
        <f>IF($I1760&lt;&gt;"",VLOOKUP($AC1760,GEADRESSEERDE!$A$2:$E$4,5,),"")</f>
        <v>BE</v>
      </c>
      <c r="AH1760" s="11" t="str">
        <f>IF(I1760&lt;&gt;"",VLOOKUP(AP1760,KvB!$A$2:$B$3,2,FALSE),"")</f>
        <v>BE101000</v>
      </c>
      <c r="AI1760" s="11" t="s">
        <v>55</v>
      </c>
      <c r="AJ1760" s="11"/>
      <c r="AK1760" s="11"/>
      <c r="AL1760" s="11"/>
      <c r="AM1760" s="11"/>
      <c r="AN1760" s="11"/>
      <c r="AO1760" s="11"/>
      <c r="AP1760" s="2" t="s">
        <v>70</v>
      </c>
      <c r="AQ1760" s="11" t="str">
        <f>IF(I1760&lt;&gt;"",DATA!D1759,"")</f>
        <v>7419200090</v>
      </c>
    </row>
    <row r="1761" spans="1:43" ht="15.75" x14ac:dyDescent="0.25">
      <c r="A1761" s="11" t="s">
        <v>57</v>
      </c>
      <c r="B1761" s="11" t="s">
        <v>56</v>
      </c>
      <c r="C1761" s="22">
        <f t="shared" si="114"/>
        <v>25001620</v>
      </c>
      <c r="D1761" s="11" t="str">
        <f t="shared" si="111"/>
        <v>SKIIFM_AT</v>
      </c>
      <c r="E1761" s="11" t="str">
        <f>IF(I1761&lt;&gt;"",VLOOKUP(F1761,OPDRACHTGEVER!$A$2:$B$4,2,FALSE),"")</f>
        <v>SKIIFM_AT</v>
      </c>
      <c r="F1761" s="11" t="s">
        <v>58</v>
      </c>
      <c r="I1761" s="11" t="str">
        <f>IF(DATA!B1760&lt;&gt;"",DATA!B1760,"")</f>
        <v>MSMU4497247</v>
      </c>
      <c r="J1761" s="12">
        <v>0</v>
      </c>
      <c r="K1761" s="11" t="s">
        <v>53</v>
      </c>
      <c r="L1761" s="11" t="str">
        <f t="shared" si="112"/>
        <v>846420</v>
      </c>
      <c r="M1761" s="11" t="str">
        <f>IF(I1761&lt;&gt;"",DATA!E1760,"")</f>
        <v>JEWELRY POLISHER</v>
      </c>
      <c r="N1761" s="12">
        <v>0</v>
      </c>
      <c r="O1761" s="11">
        <f>IF(I1761&lt;&gt;"",DATA!C1760,"")</f>
        <v>73.5</v>
      </c>
      <c r="P1761" s="2">
        <v>294094</v>
      </c>
      <c r="Q1761" s="2" t="s">
        <v>1304</v>
      </c>
      <c r="R1761" s="2" t="s">
        <v>1338</v>
      </c>
      <c r="S1761" s="2">
        <v>618</v>
      </c>
      <c r="T1761" s="2">
        <v>1</v>
      </c>
      <c r="U1761" s="2" t="s">
        <v>141</v>
      </c>
      <c r="Y1761" s="2">
        <v>1700</v>
      </c>
      <c r="Z1761" s="11" t="s">
        <v>54</v>
      </c>
      <c r="AA1761" s="11" t="str">
        <f t="shared" si="113"/>
        <v>1700 - TBN</v>
      </c>
      <c r="AC1761" s="2" t="s">
        <v>145</v>
      </c>
      <c r="AD1761" s="11" t="str">
        <f>IF($I1761&lt;&gt;"",VLOOKUP($AC1761,GEADRESSEERDE!$A$2:$E$4,2,),"")</f>
        <v>LUITHAGEN HAVEN 2 D</v>
      </c>
      <c r="AE1761" s="11">
        <f>IF($I1761&lt;&gt;"",VLOOKUP($AC1761,GEADRESSEERDE!$A$2:$E$4,3,),"")</f>
        <v>2030</v>
      </c>
      <c r="AF1761" s="11" t="str">
        <f>IF($I1761&lt;&gt;"",VLOOKUP($AC1761,GEADRESSEERDE!$A$2:$E$4,4,),"")</f>
        <v>ANTWERPEN</v>
      </c>
      <c r="AG1761" s="11" t="str">
        <f>IF($I1761&lt;&gt;"",VLOOKUP($AC1761,GEADRESSEERDE!$A$2:$E$4,5,),"")</f>
        <v>BE</v>
      </c>
      <c r="AH1761" s="11" t="str">
        <f>IF(I1761&lt;&gt;"",VLOOKUP(AP1761,KvB!$A$2:$B$3,2,FALSE),"")</f>
        <v>BE101000</v>
      </c>
      <c r="AI1761" s="11" t="s">
        <v>55</v>
      </c>
      <c r="AJ1761" s="11"/>
      <c r="AK1761" s="11"/>
      <c r="AL1761" s="11"/>
      <c r="AM1761" s="11"/>
      <c r="AN1761" s="11"/>
      <c r="AO1761" s="11"/>
      <c r="AP1761" s="2" t="s">
        <v>70</v>
      </c>
      <c r="AQ1761" s="11" t="str">
        <f>IF(I1761&lt;&gt;"",DATA!D1760,"")</f>
        <v>8464208000</v>
      </c>
    </row>
    <row r="1762" spans="1:43" ht="15.75" x14ac:dyDescent="0.25">
      <c r="A1762" s="11" t="s">
        <v>57</v>
      </c>
      <c r="B1762" s="11" t="s">
        <v>56</v>
      </c>
      <c r="C1762" s="22">
        <f t="shared" si="114"/>
        <v>25001620</v>
      </c>
      <c r="D1762" s="11" t="str">
        <f t="shared" si="111"/>
        <v>SKIIFM_AT</v>
      </c>
      <c r="E1762" s="11" t="str">
        <f>IF(I1762&lt;&gt;"",VLOOKUP(F1762,OPDRACHTGEVER!$A$2:$B$4,2,FALSE),"")</f>
        <v>SKIIFM_AT</v>
      </c>
      <c r="F1762" s="11" t="s">
        <v>58</v>
      </c>
      <c r="I1762" s="11" t="str">
        <f>IF(DATA!B1761&lt;&gt;"",DATA!B1761,"")</f>
        <v>MSMU4497247</v>
      </c>
      <c r="J1762" s="12">
        <v>0</v>
      </c>
      <c r="K1762" s="11" t="s">
        <v>53</v>
      </c>
      <c r="L1762" s="11" t="str">
        <f t="shared" si="112"/>
        <v>741920</v>
      </c>
      <c r="M1762" s="11" t="str">
        <f>IF(I1762&lt;&gt;"",DATA!E1761,"")</f>
        <v>METAL DISPLAY RACK</v>
      </c>
      <c r="N1762" s="12">
        <v>0</v>
      </c>
      <c r="O1762" s="11">
        <f>IF(I1762&lt;&gt;"",DATA!C1761,"")</f>
        <v>64.8</v>
      </c>
      <c r="P1762" s="2">
        <v>294094</v>
      </c>
      <c r="Q1762" s="2" t="s">
        <v>1304</v>
      </c>
      <c r="R1762" s="2" t="s">
        <v>1338</v>
      </c>
      <c r="S1762" s="2">
        <v>618</v>
      </c>
      <c r="T1762" s="2">
        <v>1</v>
      </c>
      <c r="U1762" s="2" t="s">
        <v>141</v>
      </c>
      <c r="Y1762" s="2">
        <v>1700</v>
      </c>
      <c r="Z1762" s="11" t="s">
        <v>54</v>
      </c>
      <c r="AA1762" s="11" t="str">
        <f t="shared" si="113"/>
        <v>1700 - TBN</v>
      </c>
      <c r="AC1762" s="2" t="s">
        <v>145</v>
      </c>
      <c r="AD1762" s="11" t="str">
        <f>IF($I1762&lt;&gt;"",VLOOKUP($AC1762,GEADRESSEERDE!$A$2:$E$4,2,),"")</f>
        <v>LUITHAGEN HAVEN 2 D</v>
      </c>
      <c r="AE1762" s="11">
        <f>IF($I1762&lt;&gt;"",VLOOKUP($AC1762,GEADRESSEERDE!$A$2:$E$4,3,),"")</f>
        <v>2030</v>
      </c>
      <c r="AF1762" s="11" t="str">
        <f>IF($I1762&lt;&gt;"",VLOOKUP($AC1762,GEADRESSEERDE!$A$2:$E$4,4,),"")</f>
        <v>ANTWERPEN</v>
      </c>
      <c r="AG1762" s="11" t="str">
        <f>IF($I1762&lt;&gt;"",VLOOKUP($AC1762,GEADRESSEERDE!$A$2:$E$4,5,),"")</f>
        <v>BE</v>
      </c>
      <c r="AH1762" s="11" t="str">
        <f>IF(I1762&lt;&gt;"",VLOOKUP(AP1762,KvB!$A$2:$B$3,2,FALSE),"")</f>
        <v>BE101000</v>
      </c>
      <c r="AI1762" s="11" t="s">
        <v>55</v>
      </c>
      <c r="AJ1762" s="11"/>
      <c r="AK1762" s="11"/>
      <c r="AL1762" s="11"/>
      <c r="AM1762" s="11"/>
      <c r="AN1762" s="11"/>
      <c r="AO1762" s="11"/>
      <c r="AP1762" s="2" t="s">
        <v>70</v>
      </c>
      <c r="AQ1762" s="11" t="str">
        <f>IF(I1762&lt;&gt;"",DATA!D1761,"")</f>
        <v>7419200090</v>
      </c>
    </row>
    <row r="1763" spans="1:43" ht="15.75" x14ac:dyDescent="0.25">
      <c r="A1763" s="11" t="s">
        <v>57</v>
      </c>
      <c r="B1763" s="11" t="s">
        <v>56</v>
      </c>
      <c r="C1763" s="22">
        <f t="shared" si="114"/>
        <v>25001620</v>
      </c>
      <c r="D1763" s="11" t="str">
        <f t="shared" si="111"/>
        <v>SKIIFM_AT</v>
      </c>
      <c r="E1763" s="11" t="str">
        <f>IF(I1763&lt;&gt;"",VLOOKUP(F1763,OPDRACHTGEVER!$A$2:$B$4,2,FALSE),"")</f>
        <v>SKIIFM_AT</v>
      </c>
      <c r="F1763" s="11" t="s">
        <v>58</v>
      </c>
      <c r="I1763" s="11" t="str">
        <f>IF(DATA!B1762&lt;&gt;"",DATA!B1762,"")</f>
        <v>MSMU4497247</v>
      </c>
      <c r="J1763" s="12">
        <v>0</v>
      </c>
      <c r="K1763" s="11" t="s">
        <v>53</v>
      </c>
      <c r="L1763" s="11" t="str">
        <f t="shared" si="112"/>
        <v>920710</v>
      </c>
      <c r="M1763" s="11" t="str">
        <f>IF(I1763&lt;&gt;"",DATA!E1762,"")</f>
        <v>MUSIC ELECTRIC KEYBOARD</v>
      </c>
      <c r="N1763" s="12">
        <v>0</v>
      </c>
      <c r="O1763" s="11">
        <f>IF(I1763&lt;&gt;"",DATA!C1762,"")</f>
        <v>43.2</v>
      </c>
      <c r="P1763" s="2">
        <v>294094</v>
      </c>
      <c r="Q1763" s="2" t="s">
        <v>1304</v>
      </c>
      <c r="R1763" s="2" t="s">
        <v>1338</v>
      </c>
      <c r="S1763" s="2">
        <v>618</v>
      </c>
      <c r="T1763" s="2">
        <v>1</v>
      </c>
      <c r="U1763" s="2" t="s">
        <v>141</v>
      </c>
      <c r="Y1763" s="2">
        <v>1700</v>
      </c>
      <c r="Z1763" s="11" t="s">
        <v>54</v>
      </c>
      <c r="AA1763" s="11" t="str">
        <f t="shared" si="113"/>
        <v>1700 - TBN</v>
      </c>
      <c r="AC1763" s="2" t="s">
        <v>145</v>
      </c>
      <c r="AD1763" s="11" t="str">
        <f>IF($I1763&lt;&gt;"",VLOOKUP($AC1763,GEADRESSEERDE!$A$2:$E$4,2,),"")</f>
        <v>LUITHAGEN HAVEN 2 D</v>
      </c>
      <c r="AE1763" s="11">
        <f>IF($I1763&lt;&gt;"",VLOOKUP($AC1763,GEADRESSEERDE!$A$2:$E$4,3,),"")</f>
        <v>2030</v>
      </c>
      <c r="AF1763" s="11" t="str">
        <f>IF($I1763&lt;&gt;"",VLOOKUP($AC1763,GEADRESSEERDE!$A$2:$E$4,4,),"")</f>
        <v>ANTWERPEN</v>
      </c>
      <c r="AG1763" s="11" t="str">
        <f>IF($I1763&lt;&gt;"",VLOOKUP($AC1763,GEADRESSEERDE!$A$2:$E$4,5,),"")</f>
        <v>BE</v>
      </c>
      <c r="AH1763" s="11" t="str">
        <f>IF(I1763&lt;&gt;"",VLOOKUP(AP1763,KvB!$A$2:$B$3,2,FALSE),"")</f>
        <v>BE101000</v>
      </c>
      <c r="AI1763" s="11" t="s">
        <v>55</v>
      </c>
      <c r="AJ1763" s="11"/>
      <c r="AK1763" s="11"/>
      <c r="AL1763" s="11"/>
      <c r="AM1763" s="11"/>
      <c r="AN1763" s="11"/>
      <c r="AO1763" s="11"/>
      <c r="AP1763" s="2" t="s">
        <v>70</v>
      </c>
      <c r="AQ1763" s="11" t="str">
        <f>IF(I1763&lt;&gt;"",DATA!D1762,"")</f>
        <v>9207108000</v>
      </c>
    </row>
    <row r="1764" spans="1:43" ht="15.75" x14ac:dyDescent="0.25">
      <c r="A1764" s="11" t="s">
        <v>57</v>
      </c>
      <c r="B1764" s="11" t="s">
        <v>56</v>
      </c>
      <c r="C1764" s="22">
        <f t="shared" si="114"/>
        <v>25001620</v>
      </c>
      <c r="D1764" s="11" t="str">
        <f t="shared" si="111"/>
        <v>SKIIFM_AT</v>
      </c>
      <c r="E1764" s="11" t="str">
        <f>IF(I1764&lt;&gt;"",VLOOKUP(F1764,OPDRACHTGEVER!$A$2:$B$4,2,FALSE),"")</f>
        <v>SKIIFM_AT</v>
      </c>
      <c r="F1764" s="11" t="s">
        <v>58</v>
      </c>
      <c r="I1764" s="11" t="str">
        <f>IF(DATA!B1763&lt;&gt;"",DATA!B1763,"")</f>
        <v>MSMU4497247</v>
      </c>
      <c r="J1764" s="12">
        <v>0</v>
      </c>
      <c r="K1764" s="11" t="s">
        <v>53</v>
      </c>
      <c r="L1764" s="11" t="str">
        <f t="shared" si="112"/>
        <v>820559</v>
      </c>
      <c r="M1764" s="11" t="str">
        <f>IF(I1764&lt;&gt;"",DATA!E1763,"")</f>
        <v>PAPER CUTTER</v>
      </c>
      <c r="N1764" s="12">
        <v>0</v>
      </c>
      <c r="O1764" s="11">
        <f>IF(I1764&lt;&gt;"",DATA!C1763,"")</f>
        <v>102.9</v>
      </c>
      <c r="P1764" s="2">
        <v>294094</v>
      </c>
      <c r="Q1764" s="2" t="s">
        <v>1304</v>
      </c>
      <c r="R1764" s="2" t="s">
        <v>1338</v>
      </c>
      <c r="S1764" s="2">
        <v>618</v>
      </c>
      <c r="T1764" s="2">
        <v>1</v>
      </c>
      <c r="U1764" s="2" t="s">
        <v>141</v>
      </c>
      <c r="Y1764" s="2">
        <v>1700</v>
      </c>
      <c r="Z1764" s="11" t="s">
        <v>54</v>
      </c>
      <c r="AA1764" s="11" t="str">
        <f t="shared" si="113"/>
        <v>1700 - TBN</v>
      </c>
      <c r="AC1764" s="2" t="s">
        <v>145</v>
      </c>
      <c r="AD1764" s="11" t="str">
        <f>IF($I1764&lt;&gt;"",VLOOKUP($AC1764,GEADRESSEERDE!$A$2:$E$4,2,),"")</f>
        <v>LUITHAGEN HAVEN 2 D</v>
      </c>
      <c r="AE1764" s="11">
        <f>IF($I1764&lt;&gt;"",VLOOKUP($AC1764,GEADRESSEERDE!$A$2:$E$4,3,),"")</f>
        <v>2030</v>
      </c>
      <c r="AF1764" s="11" t="str">
        <f>IF($I1764&lt;&gt;"",VLOOKUP($AC1764,GEADRESSEERDE!$A$2:$E$4,4,),"")</f>
        <v>ANTWERPEN</v>
      </c>
      <c r="AG1764" s="11" t="str">
        <f>IF($I1764&lt;&gt;"",VLOOKUP($AC1764,GEADRESSEERDE!$A$2:$E$4,5,),"")</f>
        <v>BE</v>
      </c>
      <c r="AH1764" s="11" t="str">
        <f>IF(I1764&lt;&gt;"",VLOOKUP(AP1764,KvB!$A$2:$B$3,2,FALSE),"")</f>
        <v>BE101000</v>
      </c>
      <c r="AI1764" s="11" t="s">
        <v>55</v>
      </c>
      <c r="AJ1764" s="11"/>
      <c r="AK1764" s="11"/>
      <c r="AL1764" s="11"/>
      <c r="AM1764" s="11"/>
      <c r="AN1764" s="11"/>
      <c r="AO1764" s="11"/>
      <c r="AP1764" s="2" t="s">
        <v>70</v>
      </c>
      <c r="AQ1764" s="11" t="str">
        <f>IF(I1764&lt;&gt;"",DATA!D1763,"")</f>
        <v>8205598000</v>
      </c>
    </row>
    <row r="1765" spans="1:43" ht="15.75" x14ac:dyDescent="0.25">
      <c r="A1765" s="11" t="s">
        <v>57</v>
      </c>
      <c r="B1765" s="11" t="s">
        <v>56</v>
      </c>
      <c r="C1765" s="22">
        <f t="shared" si="114"/>
        <v>25001620</v>
      </c>
      <c r="D1765" s="11" t="str">
        <f t="shared" si="111"/>
        <v>SKIIFM_AT</v>
      </c>
      <c r="E1765" s="11" t="str">
        <f>IF(I1765&lt;&gt;"",VLOOKUP(F1765,OPDRACHTGEVER!$A$2:$B$4,2,FALSE),"")</f>
        <v>SKIIFM_AT</v>
      </c>
      <c r="F1765" s="11" t="s">
        <v>58</v>
      </c>
      <c r="I1765" s="11" t="str">
        <f>IF(DATA!B1764&lt;&gt;"",DATA!B1764,"")</f>
        <v>MSMU4497247</v>
      </c>
      <c r="J1765" s="12">
        <v>0</v>
      </c>
      <c r="K1765" s="11" t="s">
        <v>53</v>
      </c>
      <c r="L1765" s="11" t="str">
        <f t="shared" si="112"/>
        <v>741920</v>
      </c>
      <c r="M1765" s="11" t="str">
        <f>IF(I1765&lt;&gt;"",DATA!E1764,"")</f>
        <v>PET BEAUTY BATH</v>
      </c>
      <c r="N1765" s="12">
        <v>0</v>
      </c>
      <c r="O1765" s="11">
        <f>IF(I1765&lt;&gt;"",DATA!C1764,"")</f>
        <v>611.79999999999995</v>
      </c>
      <c r="P1765" s="2">
        <v>294094</v>
      </c>
      <c r="Q1765" s="2" t="s">
        <v>1304</v>
      </c>
      <c r="R1765" s="2" t="s">
        <v>1338</v>
      </c>
      <c r="S1765" s="2">
        <v>618</v>
      </c>
      <c r="T1765" s="2">
        <v>1</v>
      </c>
      <c r="U1765" s="2" t="s">
        <v>141</v>
      </c>
      <c r="Y1765" s="2">
        <v>1700</v>
      </c>
      <c r="Z1765" s="11" t="s">
        <v>54</v>
      </c>
      <c r="AA1765" s="11" t="str">
        <f t="shared" si="113"/>
        <v>1700 - TBN</v>
      </c>
      <c r="AC1765" s="2" t="s">
        <v>145</v>
      </c>
      <c r="AD1765" s="11" t="str">
        <f>IF($I1765&lt;&gt;"",VLOOKUP($AC1765,GEADRESSEERDE!$A$2:$E$4,2,),"")</f>
        <v>LUITHAGEN HAVEN 2 D</v>
      </c>
      <c r="AE1765" s="11">
        <f>IF($I1765&lt;&gt;"",VLOOKUP($AC1765,GEADRESSEERDE!$A$2:$E$4,3,),"")</f>
        <v>2030</v>
      </c>
      <c r="AF1765" s="11" t="str">
        <f>IF($I1765&lt;&gt;"",VLOOKUP($AC1765,GEADRESSEERDE!$A$2:$E$4,4,),"")</f>
        <v>ANTWERPEN</v>
      </c>
      <c r="AG1765" s="11" t="str">
        <f>IF($I1765&lt;&gt;"",VLOOKUP($AC1765,GEADRESSEERDE!$A$2:$E$4,5,),"")</f>
        <v>BE</v>
      </c>
      <c r="AH1765" s="11" t="str">
        <f>IF(I1765&lt;&gt;"",VLOOKUP(AP1765,KvB!$A$2:$B$3,2,FALSE),"")</f>
        <v>BE101000</v>
      </c>
      <c r="AI1765" s="11" t="s">
        <v>55</v>
      </c>
      <c r="AJ1765" s="11"/>
      <c r="AK1765" s="11"/>
      <c r="AL1765" s="11"/>
      <c r="AM1765" s="11"/>
      <c r="AN1765" s="11"/>
      <c r="AO1765" s="11"/>
      <c r="AP1765" s="2" t="s">
        <v>70</v>
      </c>
      <c r="AQ1765" s="11" t="str">
        <f>IF(I1765&lt;&gt;"",DATA!D1764,"")</f>
        <v>7419200090</v>
      </c>
    </row>
    <row r="1766" spans="1:43" ht="15.75" x14ac:dyDescent="0.25">
      <c r="A1766" s="11" t="s">
        <v>57</v>
      </c>
      <c r="B1766" s="11" t="s">
        <v>56</v>
      </c>
      <c r="C1766" s="22">
        <f t="shared" si="114"/>
        <v>25001620</v>
      </c>
      <c r="D1766" s="11" t="str">
        <f t="shared" si="111"/>
        <v>SKIIFM_AT</v>
      </c>
      <c r="E1766" s="11" t="str">
        <f>IF(I1766&lt;&gt;"",VLOOKUP(F1766,OPDRACHTGEVER!$A$2:$B$4,2,FALSE),"")</f>
        <v>SKIIFM_AT</v>
      </c>
      <c r="F1766" s="11" t="s">
        <v>58</v>
      </c>
      <c r="I1766" s="11" t="str">
        <f>IF(DATA!B1765&lt;&gt;"",DATA!B1765,"")</f>
        <v>MSMU4497247</v>
      </c>
      <c r="J1766" s="12">
        <v>0</v>
      </c>
      <c r="K1766" s="11" t="s">
        <v>53</v>
      </c>
      <c r="L1766" s="11" t="str">
        <f t="shared" si="112"/>
        <v>851660</v>
      </c>
      <c r="M1766" s="11" t="str">
        <f>IF(I1766&lt;&gt;"",DATA!E1765,"")</f>
        <v>PIZZA OVEN</v>
      </c>
      <c r="N1766" s="12">
        <v>0</v>
      </c>
      <c r="O1766" s="11">
        <f>IF(I1766&lt;&gt;"",DATA!C1765,"")</f>
        <v>283.8</v>
      </c>
      <c r="P1766" s="2">
        <v>294094</v>
      </c>
      <c r="Q1766" s="2" t="s">
        <v>1304</v>
      </c>
      <c r="R1766" s="2" t="s">
        <v>1338</v>
      </c>
      <c r="S1766" s="2">
        <v>618</v>
      </c>
      <c r="T1766" s="2">
        <v>1</v>
      </c>
      <c r="U1766" s="2" t="s">
        <v>141</v>
      </c>
      <c r="Y1766" s="2">
        <v>1700</v>
      </c>
      <c r="Z1766" s="11" t="s">
        <v>54</v>
      </c>
      <c r="AA1766" s="11" t="str">
        <f t="shared" si="113"/>
        <v>1700 - TBN</v>
      </c>
      <c r="AC1766" s="2" t="s">
        <v>145</v>
      </c>
      <c r="AD1766" s="11" t="str">
        <f>IF($I1766&lt;&gt;"",VLOOKUP($AC1766,GEADRESSEERDE!$A$2:$E$4,2,),"")</f>
        <v>LUITHAGEN HAVEN 2 D</v>
      </c>
      <c r="AE1766" s="11">
        <f>IF($I1766&lt;&gt;"",VLOOKUP($AC1766,GEADRESSEERDE!$A$2:$E$4,3,),"")</f>
        <v>2030</v>
      </c>
      <c r="AF1766" s="11" t="str">
        <f>IF($I1766&lt;&gt;"",VLOOKUP($AC1766,GEADRESSEERDE!$A$2:$E$4,4,),"")</f>
        <v>ANTWERPEN</v>
      </c>
      <c r="AG1766" s="11" t="str">
        <f>IF($I1766&lt;&gt;"",VLOOKUP($AC1766,GEADRESSEERDE!$A$2:$E$4,5,),"")</f>
        <v>BE</v>
      </c>
      <c r="AH1766" s="11" t="str">
        <f>IF(I1766&lt;&gt;"",VLOOKUP(AP1766,KvB!$A$2:$B$3,2,FALSE),"")</f>
        <v>BE101000</v>
      </c>
      <c r="AI1766" s="11" t="s">
        <v>55</v>
      </c>
      <c r="AJ1766" s="11"/>
      <c r="AK1766" s="11"/>
      <c r="AL1766" s="11"/>
      <c r="AM1766" s="11"/>
      <c r="AN1766" s="11"/>
      <c r="AO1766" s="11"/>
      <c r="AP1766" s="2" t="s">
        <v>70</v>
      </c>
      <c r="AQ1766" s="11" t="str">
        <f>IF(I1766&lt;&gt;"",DATA!D1765,"")</f>
        <v>8516605000</v>
      </c>
    </row>
    <row r="1767" spans="1:43" ht="15.75" x14ac:dyDescent="0.25">
      <c r="A1767" s="11" t="s">
        <v>57</v>
      </c>
      <c r="B1767" s="11" t="s">
        <v>56</v>
      </c>
      <c r="C1767" s="22">
        <f t="shared" si="114"/>
        <v>25001620</v>
      </c>
      <c r="D1767" s="11" t="str">
        <f t="shared" si="111"/>
        <v>SKIIFM_AT</v>
      </c>
      <c r="E1767" s="11" t="str">
        <f>IF(I1767&lt;&gt;"",VLOOKUP(F1767,OPDRACHTGEVER!$A$2:$B$4,2,FALSE),"")</f>
        <v>SKIIFM_AT</v>
      </c>
      <c r="F1767" s="11" t="s">
        <v>58</v>
      </c>
      <c r="I1767" s="11" t="str">
        <f>IF(DATA!B1766&lt;&gt;"",DATA!B1766,"")</f>
        <v>MSMU4497247</v>
      </c>
      <c r="J1767" s="12">
        <v>0</v>
      </c>
      <c r="K1767" s="11" t="s">
        <v>53</v>
      </c>
      <c r="L1767" s="11" t="str">
        <f t="shared" si="112"/>
        <v>940180</v>
      </c>
      <c r="M1767" s="11" t="str">
        <f>IF(I1767&lt;&gt;"",DATA!E1766,"")</f>
        <v>POOL LOUNGE CHAIRS</v>
      </c>
      <c r="N1767" s="12">
        <v>0</v>
      </c>
      <c r="O1767" s="11">
        <f>IF(I1767&lt;&gt;"",DATA!C1766,"")</f>
        <v>39.1</v>
      </c>
      <c r="P1767" s="2">
        <v>294094</v>
      </c>
      <c r="Q1767" s="2" t="s">
        <v>1304</v>
      </c>
      <c r="R1767" s="2" t="s">
        <v>1338</v>
      </c>
      <c r="S1767" s="2">
        <v>618</v>
      </c>
      <c r="T1767" s="2">
        <v>1</v>
      </c>
      <c r="U1767" s="2" t="s">
        <v>141</v>
      </c>
      <c r="Y1767" s="2">
        <v>1700</v>
      </c>
      <c r="Z1767" s="11" t="s">
        <v>54</v>
      </c>
      <c r="AA1767" s="11" t="str">
        <f t="shared" si="113"/>
        <v>1700 - TBN</v>
      </c>
      <c r="AC1767" s="2" t="s">
        <v>145</v>
      </c>
      <c r="AD1767" s="11" t="str">
        <f>IF($I1767&lt;&gt;"",VLOOKUP($AC1767,GEADRESSEERDE!$A$2:$E$4,2,),"")</f>
        <v>LUITHAGEN HAVEN 2 D</v>
      </c>
      <c r="AE1767" s="11">
        <f>IF($I1767&lt;&gt;"",VLOOKUP($AC1767,GEADRESSEERDE!$A$2:$E$4,3,),"")</f>
        <v>2030</v>
      </c>
      <c r="AF1767" s="11" t="str">
        <f>IF($I1767&lt;&gt;"",VLOOKUP($AC1767,GEADRESSEERDE!$A$2:$E$4,4,),"")</f>
        <v>ANTWERPEN</v>
      </c>
      <c r="AG1767" s="11" t="str">
        <f>IF($I1767&lt;&gt;"",VLOOKUP($AC1767,GEADRESSEERDE!$A$2:$E$4,5,),"")</f>
        <v>BE</v>
      </c>
      <c r="AH1767" s="11" t="str">
        <f>IF(I1767&lt;&gt;"",VLOOKUP(AP1767,KvB!$A$2:$B$3,2,FALSE),"")</f>
        <v>BE101000</v>
      </c>
      <c r="AI1767" s="11" t="s">
        <v>55</v>
      </c>
      <c r="AJ1767" s="11"/>
      <c r="AK1767" s="11"/>
      <c r="AL1767" s="11"/>
      <c r="AM1767" s="11"/>
      <c r="AN1767" s="11"/>
      <c r="AO1767" s="11"/>
      <c r="AP1767" s="2" t="s">
        <v>70</v>
      </c>
      <c r="AQ1767" s="11" t="str">
        <f>IF(I1767&lt;&gt;"",DATA!D1766,"")</f>
        <v>9401800000</v>
      </c>
    </row>
    <row r="1768" spans="1:43" ht="15.75" x14ac:dyDescent="0.25">
      <c r="A1768" s="11" t="s">
        <v>57</v>
      </c>
      <c r="B1768" s="11" t="s">
        <v>56</v>
      </c>
      <c r="C1768" s="22">
        <f t="shared" si="114"/>
        <v>25001620</v>
      </c>
      <c r="D1768" s="11" t="str">
        <f t="shared" si="111"/>
        <v>SKIIFM_AT</v>
      </c>
      <c r="E1768" s="11" t="str">
        <f>IF(I1768&lt;&gt;"",VLOOKUP(F1768,OPDRACHTGEVER!$A$2:$B$4,2,FALSE),"")</f>
        <v>SKIIFM_AT</v>
      </c>
      <c r="F1768" s="11" t="s">
        <v>58</v>
      </c>
      <c r="I1768" s="11" t="str">
        <f>IF(DATA!B1767&lt;&gt;"",DATA!B1767,"")</f>
        <v>MSMU4497247</v>
      </c>
      <c r="J1768" s="12">
        <v>0</v>
      </c>
      <c r="K1768" s="11" t="s">
        <v>53</v>
      </c>
      <c r="L1768" s="11" t="str">
        <f t="shared" si="112"/>
        <v>843810</v>
      </c>
      <c r="M1768" s="11" t="str">
        <f>IF(I1768&lt;&gt;"",DATA!E1767,"")</f>
        <v>POPCORN MACHINE</v>
      </c>
      <c r="N1768" s="12">
        <v>0</v>
      </c>
      <c r="O1768" s="11">
        <f>IF(I1768&lt;&gt;"",DATA!C1767,"")</f>
        <v>95.4</v>
      </c>
      <c r="P1768" s="2">
        <v>294094</v>
      </c>
      <c r="Q1768" s="2" t="s">
        <v>1304</v>
      </c>
      <c r="R1768" s="2" t="s">
        <v>1338</v>
      </c>
      <c r="S1768" s="2">
        <v>618</v>
      </c>
      <c r="T1768" s="2">
        <v>1</v>
      </c>
      <c r="U1768" s="2" t="s">
        <v>141</v>
      </c>
      <c r="Y1768" s="2">
        <v>1700</v>
      </c>
      <c r="Z1768" s="11" t="s">
        <v>54</v>
      </c>
      <c r="AA1768" s="11" t="str">
        <f t="shared" si="113"/>
        <v>1700 - TBN</v>
      </c>
      <c r="AC1768" s="2" t="s">
        <v>145</v>
      </c>
      <c r="AD1768" s="11" t="str">
        <f>IF($I1768&lt;&gt;"",VLOOKUP($AC1768,GEADRESSEERDE!$A$2:$E$4,2,),"")</f>
        <v>LUITHAGEN HAVEN 2 D</v>
      </c>
      <c r="AE1768" s="11">
        <f>IF($I1768&lt;&gt;"",VLOOKUP($AC1768,GEADRESSEERDE!$A$2:$E$4,3,),"")</f>
        <v>2030</v>
      </c>
      <c r="AF1768" s="11" t="str">
        <f>IF($I1768&lt;&gt;"",VLOOKUP($AC1768,GEADRESSEERDE!$A$2:$E$4,4,),"")</f>
        <v>ANTWERPEN</v>
      </c>
      <c r="AG1768" s="11" t="str">
        <f>IF($I1768&lt;&gt;"",VLOOKUP($AC1768,GEADRESSEERDE!$A$2:$E$4,5,),"")</f>
        <v>BE</v>
      </c>
      <c r="AH1768" s="11" t="str">
        <f>IF(I1768&lt;&gt;"",VLOOKUP(AP1768,KvB!$A$2:$B$3,2,FALSE),"")</f>
        <v>BE101000</v>
      </c>
      <c r="AI1768" s="11" t="s">
        <v>55</v>
      </c>
      <c r="AJ1768" s="11"/>
      <c r="AK1768" s="11"/>
      <c r="AL1768" s="11"/>
      <c r="AM1768" s="11"/>
      <c r="AN1768" s="11"/>
      <c r="AO1768" s="11"/>
      <c r="AP1768" s="2" t="s">
        <v>70</v>
      </c>
      <c r="AQ1768" s="11" t="str">
        <f>IF(I1768&lt;&gt;"",DATA!D1767,"")</f>
        <v>8438101000</v>
      </c>
    </row>
    <row r="1769" spans="1:43" ht="15.75" x14ac:dyDescent="0.25">
      <c r="A1769" s="11" t="s">
        <v>57</v>
      </c>
      <c r="B1769" s="11" t="s">
        <v>56</v>
      </c>
      <c r="C1769" s="22">
        <f t="shared" si="114"/>
        <v>25001620</v>
      </c>
      <c r="D1769" s="11" t="str">
        <f t="shared" si="111"/>
        <v>SKIIFM_AT</v>
      </c>
      <c r="E1769" s="11" t="str">
        <f>IF(I1769&lt;&gt;"",VLOOKUP(F1769,OPDRACHTGEVER!$A$2:$B$4,2,FALSE),"")</f>
        <v>SKIIFM_AT</v>
      </c>
      <c r="F1769" s="11" t="s">
        <v>58</v>
      </c>
      <c r="I1769" s="11" t="str">
        <f>IF(DATA!B1768&lt;&gt;"",DATA!B1768,"")</f>
        <v>MSMU4497247</v>
      </c>
      <c r="J1769" s="12">
        <v>0</v>
      </c>
      <c r="K1769" s="11" t="s">
        <v>53</v>
      </c>
      <c r="L1769" s="11" t="str">
        <f t="shared" si="112"/>
        <v>761699</v>
      </c>
      <c r="M1769" s="11" t="str">
        <f>IF(I1769&lt;&gt;"",DATA!E1768,"")</f>
        <v>RACK</v>
      </c>
      <c r="N1769" s="12">
        <v>0</v>
      </c>
      <c r="O1769" s="11">
        <f>IF(I1769&lt;&gt;"",DATA!C1768,"")</f>
        <v>123.12</v>
      </c>
      <c r="P1769" s="2">
        <v>294094</v>
      </c>
      <c r="Q1769" s="2" t="s">
        <v>1304</v>
      </c>
      <c r="R1769" s="2" t="s">
        <v>1338</v>
      </c>
      <c r="S1769" s="2">
        <v>618</v>
      </c>
      <c r="T1769" s="2">
        <v>1</v>
      </c>
      <c r="U1769" s="2" t="s">
        <v>141</v>
      </c>
      <c r="Y1769" s="2">
        <v>1700</v>
      </c>
      <c r="Z1769" s="11" t="s">
        <v>54</v>
      </c>
      <c r="AA1769" s="11" t="str">
        <f t="shared" si="113"/>
        <v>1700 - TBN</v>
      </c>
      <c r="AC1769" s="2" t="s">
        <v>145</v>
      </c>
      <c r="AD1769" s="11" t="str">
        <f>IF($I1769&lt;&gt;"",VLOOKUP($AC1769,GEADRESSEERDE!$A$2:$E$4,2,),"")</f>
        <v>LUITHAGEN HAVEN 2 D</v>
      </c>
      <c r="AE1769" s="11">
        <f>IF($I1769&lt;&gt;"",VLOOKUP($AC1769,GEADRESSEERDE!$A$2:$E$4,3,),"")</f>
        <v>2030</v>
      </c>
      <c r="AF1769" s="11" t="str">
        <f>IF($I1769&lt;&gt;"",VLOOKUP($AC1769,GEADRESSEERDE!$A$2:$E$4,4,),"")</f>
        <v>ANTWERPEN</v>
      </c>
      <c r="AG1769" s="11" t="str">
        <f>IF($I1769&lt;&gt;"",VLOOKUP($AC1769,GEADRESSEERDE!$A$2:$E$4,5,),"")</f>
        <v>BE</v>
      </c>
      <c r="AH1769" s="11" t="str">
        <f>IF(I1769&lt;&gt;"",VLOOKUP(AP1769,KvB!$A$2:$B$3,2,FALSE),"")</f>
        <v>BE101000</v>
      </c>
      <c r="AI1769" s="11" t="s">
        <v>55</v>
      </c>
      <c r="AJ1769" s="11"/>
      <c r="AK1769" s="11"/>
      <c r="AL1769" s="11"/>
      <c r="AM1769" s="11"/>
      <c r="AN1769" s="11"/>
      <c r="AO1769" s="11"/>
      <c r="AP1769" s="2" t="s">
        <v>70</v>
      </c>
      <c r="AQ1769" s="11" t="str">
        <f>IF(I1769&lt;&gt;"",DATA!D1768,"")</f>
        <v>7616999009</v>
      </c>
    </row>
    <row r="1770" spans="1:43" ht="15.75" x14ac:dyDescent="0.25">
      <c r="A1770" s="11" t="s">
        <v>57</v>
      </c>
      <c r="B1770" s="11" t="s">
        <v>56</v>
      </c>
      <c r="C1770" s="22">
        <f t="shared" si="114"/>
        <v>25001620</v>
      </c>
      <c r="D1770" s="11" t="str">
        <f t="shared" si="111"/>
        <v>SKIIFM_AT</v>
      </c>
      <c r="E1770" s="11" t="str">
        <f>IF(I1770&lt;&gt;"",VLOOKUP(F1770,OPDRACHTGEVER!$A$2:$B$4,2,FALSE),"")</f>
        <v>SKIIFM_AT</v>
      </c>
      <c r="F1770" s="11" t="s">
        <v>58</v>
      </c>
      <c r="I1770" s="11" t="str">
        <f>IF(DATA!B1769&lt;&gt;"",DATA!B1769,"")</f>
        <v>MSMU4497247</v>
      </c>
      <c r="J1770" s="12">
        <v>0</v>
      </c>
      <c r="K1770" s="11" t="s">
        <v>53</v>
      </c>
      <c r="L1770" s="11" t="str">
        <f t="shared" si="112"/>
        <v>847989</v>
      </c>
      <c r="M1770" s="11" t="str">
        <f>IF(I1770&lt;&gt;"",DATA!E1769,"")</f>
        <v>RECYCLING MACHINE</v>
      </c>
      <c r="N1770" s="12">
        <v>0</v>
      </c>
      <c r="O1770" s="11">
        <f>IF(I1770&lt;&gt;"",DATA!C1769,"")</f>
        <v>276</v>
      </c>
      <c r="P1770" s="2">
        <v>294094</v>
      </c>
      <c r="Q1770" s="2" t="s">
        <v>1304</v>
      </c>
      <c r="R1770" s="2" t="s">
        <v>1338</v>
      </c>
      <c r="S1770" s="2">
        <v>618</v>
      </c>
      <c r="T1770" s="2">
        <v>1</v>
      </c>
      <c r="U1770" s="2" t="s">
        <v>141</v>
      </c>
      <c r="Y1770" s="2">
        <v>1700</v>
      </c>
      <c r="Z1770" s="11" t="s">
        <v>54</v>
      </c>
      <c r="AA1770" s="11" t="str">
        <f t="shared" si="113"/>
        <v>1700 - TBN</v>
      </c>
      <c r="AC1770" s="2" t="s">
        <v>145</v>
      </c>
      <c r="AD1770" s="11" t="str">
        <f>IF($I1770&lt;&gt;"",VLOOKUP($AC1770,GEADRESSEERDE!$A$2:$E$4,2,),"")</f>
        <v>LUITHAGEN HAVEN 2 D</v>
      </c>
      <c r="AE1770" s="11">
        <f>IF($I1770&lt;&gt;"",VLOOKUP($AC1770,GEADRESSEERDE!$A$2:$E$4,3,),"")</f>
        <v>2030</v>
      </c>
      <c r="AF1770" s="11" t="str">
        <f>IF($I1770&lt;&gt;"",VLOOKUP($AC1770,GEADRESSEERDE!$A$2:$E$4,4,),"")</f>
        <v>ANTWERPEN</v>
      </c>
      <c r="AG1770" s="11" t="str">
        <f>IF($I1770&lt;&gt;"",VLOOKUP($AC1770,GEADRESSEERDE!$A$2:$E$4,5,),"")</f>
        <v>BE</v>
      </c>
      <c r="AH1770" s="11" t="str">
        <f>IF(I1770&lt;&gt;"",VLOOKUP(AP1770,KvB!$A$2:$B$3,2,FALSE),"")</f>
        <v>BE101000</v>
      </c>
      <c r="AI1770" s="11" t="s">
        <v>55</v>
      </c>
      <c r="AJ1770" s="11"/>
      <c r="AK1770" s="11"/>
      <c r="AL1770" s="11"/>
      <c r="AM1770" s="11"/>
      <c r="AN1770" s="11"/>
      <c r="AO1770" s="11"/>
      <c r="AP1770" s="2" t="s">
        <v>70</v>
      </c>
      <c r="AQ1770" s="11" t="str">
        <f>IF(I1770&lt;&gt;"",DATA!D1769,"")</f>
        <v>8479899790</v>
      </c>
    </row>
    <row r="1771" spans="1:43" ht="15.75" x14ac:dyDescent="0.25">
      <c r="A1771" s="11" t="s">
        <v>57</v>
      </c>
      <c r="B1771" s="11" t="s">
        <v>56</v>
      </c>
      <c r="C1771" s="22">
        <f t="shared" si="114"/>
        <v>25001620</v>
      </c>
      <c r="D1771" s="11" t="str">
        <f t="shared" si="111"/>
        <v>SKIIFM_AT</v>
      </c>
      <c r="E1771" s="11" t="str">
        <f>IF(I1771&lt;&gt;"",VLOOKUP(F1771,OPDRACHTGEVER!$A$2:$B$4,2,FALSE),"")</f>
        <v>SKIIFM_AT</v>
      </c>
      <c r="F1771" s="11" t="s">
        <v>58</v>
      </c>
      <c r="I1771" s="11" t="str">
        <f>IF(DATA!B1770&lt;&gt;"",DATA!B1770,"")</f>
        <v>MSMU4497247</v>
      </c>
      <c r="J1771" s="12">
        <v>0</v>
      </c>
      <c r="K1771" s="11" t="s">
        <v>53</v>
      </c>
      <c r="L1771" s="11" t="str">
        <f t="shared" si="112"/>
        <v>940399</v>
      </c>
      <c r="M1771" s="11" t="str">
        <f>IF(I1771&lt;&gt;"",DATA!E1770,"")</f>
        <v>DOOR</v>
      </c>
      <c r="N1771" s="12">
        <v>0</v>
      </c>
      <c r="O1771" s="11">
        <f>IF(I1771&lt;&gt;"",DATA!C1770,"")</f>
        <v>46.2</v>
      </c>
      <c r="P1771" s="2">
        <v>294094</v>
      </c>
      <c r="Q1771" s="2" t="s">
        <v>1304</v>
      </c>
      <c r="R1771" s="2" t="s">
        <v>1338</v>
      </c>
      <c r="S1771" s="2">
        <v>618</v>
      </c>
      <c r="T1771" s="2">
        <v>1</v>
      </c>
      <c r="U1771" s="2" t="s">
        <v>141</v>
      </c>
      <c r="Y1771" s="2">
        <v>1700</v>
      </c>
      <c r="Z1771" s="11" t="s">
        <v>54</v>
      </c>
      <c r="AA1771" s="11" t="str">
        <f t="shared" si="113"/>
        <v>1700 - TBN</v>
      </c>
      <c r="AC1771" s="2" t="s">
        <v>145</v>
      </c>
      <c r="AD1771" s="11" t="str">
        <f>IF($I1771&lt;&gt;"",VLOOKUP($AC1771,GEADRESSEERDE!$A$2:$E$4,2,),"")</f>
        <v>LUITHAGEN HAVEN 2 D</v>
      </c>
      <c r="AE1771" s="11">
        <f>IF($I1771&lt;&gt;"",VLOOKUP($AC1771,GEADRESSEERDE!$A$2:$E$4,3,),"")</f>
        <v>2030</v>
      </c>
      <c r="AF1771" s="11" t="str">
        <f>IF($I1771&lt;&gt;"",VLOOKUP($AC1771,GEADRESSEERDE!$A$2:$E$4,4,),"")</f>
        <v>ANTWERPEN</v>
      </c>
      <c r="AG1771" s="11" t="str">
        <f>IF($I1771&lt;&gt;"",VLOOKUP($AC1771,GEADRESSEERDE!$A$2:$E$4,5,),"")</f>
        <v>BE</v>
      </c>
      <c r="AH1771" s="11" t="str">
        <f>IF(I1771&lt;&gt;"",VLOOKUP(AP1771,KvB!$A$2:$B$3,2,FALSE),"")</f>
        <v>BE101000</v>
      </c>
      <c r="AI1771" s="11" t="s">
        <v>55</v>
      </c>
      <c r="AJ1771" s="11"/>
      <c r="AK1771" s="11"/>
      <c r="AL1771" s="11"/>
      <c r="AM1771" s="11"/>
      <c r="AN1771" s="11"/>
      <c r="AO1771" s="11"/>
      <c r="AP1771" s="2" t="s">
        <v>70</v>
      </c>
      <c r="AQ1771" s="11" t="str">
        <f>IF(I1771&lt;&gt;"",DATA!D1770,"")</f>
        <v>9403999090</v>
      </c>
    </row>
    <row r="1772" spans="1:43" ht="15.75" x14ac:dyDescent="0.25">
      <c r="A1772" s="11" t="s">
        <v>57</v>
      </c>
      <c r="B1772" s="11" t="s">
        <v>56</v>
      </c>
      <c r="C1772" s="22">
        <f t="shared" si="114"/>
        <v>25001620</v>
      </c>
      <c r="D1772" s="11" t="str">
        <f t="shared" si="111"/>
        <v>SKIIFM_AT</v>
      </c>
      <c r="E1772" s="11" t="str">
        <f>IF(I1772&lt;&gt;"",VLOOKUP(F1772,OPDRACHTGEVER!$A$2:$B$4,2,FALSE),"")</f>
        <v>SKIIFM_AT</v>
      </c>
      <c r="F1772" s="11" t="s">
        <v>58</v>
      </c>
      <c r="I1772" s="11" t="str">
        <f>IF(DATA!B1771&lt;&gt;"",DATA!B1771,"")</f>
        <v>MSMU4497247</v>
      </c>
      <c r="J1772" s="12">
        <v>0</v>
      </c>
      <c r="K1772" s="11" t="s">
        <v>53</v>
      </c>
      <c r="L1772" s="11" t="str">
        <f t="shared" si="112"/>
        <v>741920</v>
      </c>
      <c r="M1772" s="11" t="str">
        <f>IF(I1772&lt;&gt;"",DATA!E1771,"")</f>
        <v>STORAGE RACK</v>
      </c>
      <c r="N1772" s="12">
        <v>0</v>
      </c>
      <c r="O1772" s="11">
        <f>IF(I1772&lt;&gt;"",DATA!C1771,"")</f>
        <v>92.8</v>
      </c>
      <c r="P1772" s="2">
        <v>294094</v>
      </c>
      <c r="Q1772" s="2" t="s">
        <v>1304</v>
      </c>
      <c r="R1772" s="2" t="s">
        <v>1338</v>
      </c>
      <c r="S1772" s="2">
        <v>618</v>
      </c>
      <c r="T1772" s="2">
        <v>1</v>
      </c>
      <c r="U1772" s="2" t="s">
        <v>141</v>
      </c>
      <c r="Y1772" s="2">
        <v>1700</v>
      </c>
      <c r="Z1772" s="11" t="s">
        <v>54</v>
      </c>
      <c r="AA1772" s="11" t="str">
        <f t="shared" si="113"/>
        <v>1700 - TBN</v>
      </c>
      <c r="AC1772" s="2" t="s">
        <v>145</v>
      </c>
      <c r="AD1772" s="11" t="str">
        <f>IF($I1772&lt;&gt;"",VLOOKUP($AC1772,GEADRESSEERDE!$A$2:$E$4,2,),"")</f>
        <v>LUITHAGEN HAVEN 2 D</v>
      </c>
      <c r="AE1772" s="11">
        <f>IF($I1772&lt;&gt;"",VLOOKUP($AC1772,GEADRESSEERDE!$A$2:$E$4,3,),"")</f>
        <v>2030</v>
      </c>
      <c r="AF1772" s="11" t="str">
        <f>IF($I1772&lt;&gt;"",VLOOKUP($AC1772,GEADRESSEERDE!$A$2:$E$4,4,),"")</f>
        <v>ANTWERPEN</v>
      </c>
      <c r="AG1772" s="11" t="str">
        <f>IF($I1772&lt;&gt;"",VLOOKUP($AC1772,GEADRESSEERDE!$A$2:$E$4,5,),"")</f>
        <v>BE</v>
      </c>
      <c r="AH1772" s="11" t="str">
        <f>IF(I1772&lt;&gt;"",VLOOKUP(AP1772,KvB!$A$2:$B$3,2,FALSE),"")</f>
        <v>BE101000</v>
      </c>
      <c r="AI1772" s="11" t="s">
        <v>55</v>
      </c>
      <c r="AJ1772" s="11"/>
      <c r="AK1772" s="11"/>
      <c r="AL1772" s="11"/>
      <c r="AM1772" s="11"/>
      <c r="AN1772" s="11"/>
      <c r="AO1772" s="11"/>
      <c r="AP1772" s="2" t="s">
        <v>70</v>
      </c>
      <c r="AQ1772" s="11" t="str">
        <f>IF(I1772&lt;&gt;"",DATA!D1771,"")</f>
        <v>7419200090</v>
      </c>
    </row>
    <row r="1773" spans="1:43" ht="15.75" x14ac:dyDescent="0.25">
      <c r="A1773" s="11" t="s">
        <v>57</v>
      </c>
      <c r="B1773" s="11" t="s">
        <v>56</v>
      </c>
      <c r="C1773" s="22">
        <f t="shared" si="114"/>
        <v>25001620</v>
      </c>
      <c r="D1773" s="11" t="str">
        <f t="shared" si="111"/>
        <v>SKIIFM_AT</v>
      </c>
      <c r="E1773" s="11" t="str">
        <f>IF(I1773&lt;&gt;"",VLOOKUP(F1773,OPDRACHTGEVER!$A$2:$B$4,2,FALSE),"")</f>
        <v>SKIIFM_AT</v>
      </c>
      <c r="F1773" s="11" t="s">
        <v>58</v>
      </c>
      <c r="I1773" s="11" t="str">
        <f>IF(DATA!B1772&lt;&gt;"",DATA!B1772,"")</f>
        <v>MSMU4497247</v>
      </c>
      <c r="J1773" s="12">
        <v>0</v>
      </c>
      <c r="K1773" s="11" t="s">
        <v>53</v>
      </c>
      <c r="L1773" s="11" t="str">
        <f t="shared" si="112"/>
        <v>950691</v>
      </c>
      <c r="M1773" s="11" t="str">
        <f>IF(I1773&lt;&gt;"",DATA!E1772,"")</f>
        <v>TARGET</v>
      </c>
      <c r="N1773" s="12">
        <v>0</v>
      </c>
      <c r="O1773" s="11">
        <f>IF(I1773&lt;&gt;"",DATA!C1772,"")</f>
        <v>48.6</v>
      </c>
      <c r="P1773" s="2">
        <v>294094</v>
      </c>
      <c r="Q1773" s="2" t="s">
        <v>1304</v>
      </c>
      <c r="R1773" s="2" t="s">
        <v>1338</v>
      </c>
      <c r="S1773" s="2">
        <v>618</v>
      </c>
      <c r="T1773" s="2">
        <v>1</v>
      </c>
      <c r="U1773" s="2" t="s">
        <v>141</v>
      </c>
      <c r="Y1773" s="2">
        <v>1700</v>
      </c>
      <c r="Z1773" s="11" t="s">
        <v>54</v>
      </c>
      <c r="AA1773" s="11" t="str">
        <f t="shared" si="113"/>
        <v>1700 - TBN</v>
      </c>
      <c r="AC1773" s="2" t="s">
        <v>145</v>
      </c>
      <c r="AD1773" s="11" t="str">
        <f>IF($I1773&lt;&gt;"",VLOOKUP($AC1773,GEADRESSEERDE!$A$2:$E$4,2,),"")</f>
        <v>LUITHAGEN HAVEN 2 D</v>
      </c>
      <c r="AE1773" s="11">
        <f>IF($I1773&lt;&gt;"",VLOOKUP($AC1773,GEADRESSEERDE!$A$2:$E$4,3,),"")</f>
        <v>2030</v>
      </c>
      <c r="AF1773" s="11" t="str">
        <f>IF($I1773&lt;&gt;"",VLOOKUP($AC1773,GEADRESSEERDE!$A$2:$E$4,4,),"")</f>
        <v>ANTWERPEN</v>
      </c>
      <c r="AG1773" s="11" t="str">
        <f>IF($I1773&lt;&gt;"",VLOOKUP($AC1773,GEADRESSEERDE!$A$2:$E$4,5,),"")</f>
        <v>BE</v>
      </c>
      <c r="AH1773" s="11" t="str">
        <f>IF(I1773&lt;&gt;"",VLOOKUP(AP1773,KvB!$A$2:$B$3,2,FALSE),"")</f>
        <v>BE101000</v>
      </c>
      <c r="AI1773" s="11" t="s">
        <v>55</v>
      </c>
      <c r="AJ1773" s="11"/>
      <c r="AK1773" s="11"/>
      <c r="AL1773" s="11"/>
      <c r="AM1773" s="11"/>
      <c r="AN1773" s="11"/>
      <c r="AO1773" s="11"/>
      <c r="AP1773" s="2" t="s">
        <v>70</v>
      </c>
      <c r="AQ1773" s="11" t="str">
        <f>IF(I1773&lt;&gt;"",DATA!D1772,"")</f>
        <v>9506919000</v>
      </c>
    </row>
    <row r="1774" spans="1:43" ht="15.75" x14ac:dyDescent="0.25">
      <c r="A1774" s="11" t="s">
        <v>57</v>
      </c>
      <c r="B1774" s="11" t="s">
        <v>56</v>
      </c>
      <c r="C1774" s="22">
        <f t="shared" si="114"/>
        <v>25001620</v>
      </c>
      <c r="D1774" s="11" t="str">
        <f t="shared" si="111"/>
        <v>SKIIFM_AT</v>
      </c>
      <c r="E1774" s="11" t="str">
        <f>IF(I1774&lt;&gt;"",VLOOKUP(F1774,OPDRACHTGEVER!$A$2:$B$4,2,FALSE),"")</f>
        <v>SKIIFM_AT</v>
      </c>
      <c r="F1774" s="11" t="s">
        <v>58</v>
      </c>
      <c r="I1774" s="11" t="str">
        <f>IF(DATA!B1773&lt;&gt;"",DATA!B1773,"")</f>
        <v>MSMU4497247</v>
      </c>
      <c r="J1774" s="12">
        <v>0</v>
      </c>
      <c r="K1774" s="11" t="s">
        <v>53</v>
      </c>
      <c r="L1774" s="11" t="str">
        <f t="shared" si="112"/>
        <v>760720</v>
      </c>
      <c r="M1774" s="11" t="str">
        <f>IF(I1774&lt;&gt;"",DATA!E1773,"")</f>
        <v>THERMAL INSULATION FILM</v>
      </c>
      <c r="N1774" s="12">
        <v>0</v>
      </c>
      <c r="O1774" s="11">
        <f>IF(I1774&lt;&gt;"",DATA!C1773,"")</f>
        <v>6.4</v>
      </c>
      <c r="P1774" s="2">
        <v>294094</v>
      </c>
      <c r="Q1774" s="2" t="s">
        <v>1304</v>
      </c>
      <c r="R1774" s="2" t="s">
        <v>1338</v>
      </c>
      <c r="S1774" s="2">
        <v>618</v>
      </c>
      <c r="T1774" s="2">
        <v>1</v>
      </c>
      <c r="U1774" s="2" t="s">
        <v>141</v>
      </c>
      <c r="Y1774" s="2">
        <v>1700</v>
      </c>
      <c r="Z1774" s="11" t="s">
        <v>54</v>
      </c>
      <c r="AA1774" s="11" t="str">
        <f t="shared" si="113"/>
        <v>1700 - TBN</v>
      </c>
      <c r="AC1774" s="2" t="s">
        <v>145</v>
      </c>
      <c r="AD1774" s="11" t="str">
        <f>IF($I1774&lt;&gt;"",VLOOKUP($AC1774,GEADRESSEERDE!$A$2:$E$4,2,),"")</f>
        <v>LUITHAGEN HAVEN 2 D</v>
      </c>
      <c r="AE1774" s="11">
        <f>IF($I1774&lt;&gt;"",VLOOKUP($AC1774,GEADRESSEERDE!$A$2:$E$4,3,),"")</f>
        <v>2030</v>
      </c>
      <c r="AF1774" s="11" t="str">
        <f>IF($I1774&lt;&gt;"",VLOOKUP($AC1774,GEADRESSEERDE!$A$2:$E$4,4,),"")</f>
        <v>ANTWERPEN</v>
      </c>
      <c r="AG1774" s="11" t="str">
        <f>IF($I1774&lt;&gt;"",VLOOKUP($AC1774,GEADRESSEERDE!$A$2:$E$4,5,),"")</f>
        <v>BE</v>
      </c>
      <c r="AH1774" s="11" t="str">
        <f>IF(I1774&lt;&gt;"",VLOOKUP(AP1774,KvB!$A$2:$B$3,2,FALSE),"")</f>
        <v>BE101000</v>
      </c>
      <c r="AI1774" s="11" t="s">
        <v>55</v>
      </c>
      <c r="AJ1774" s="11"/>
      <c r="AK1774" s="11"/>
      <c r="AL1774" s="11"/>
      <c r="AM1774" s="11"/>
      <c r="AN1774" s="11"/>
      <c r="AO1774" s="11"/>
      <c r="AP1774" s="2" t="s">
        <v>70</v>
      </c>
      <c r="AQ1774" s="11" t="str">
        <f>IF(I1774&lt;&gt;"",DATA!D1773,"")</f>
        <v>7607209900</v>
      </c>
    </row>
    <row r="1775" spans="1:43" ht="15.75" x14ac:dyDescent="0.25">
      <c r="A1775" s="11" t="s">
        <v>57</v>
      </c>
      <c r="B1775" s="11" t="s">
        <v>56</v>
      </c>
      <c r="C1775" s="22">
        <f t="shared" si="114"/>
        <v>25001620</v>
      </c>
      <c r="D1775" s="11" t="str">
        <f t="shared" si="111"/>
        <v>SKIIFM_AT</v>
      </c>
      <c r="E1775" s="11" t="str">
        <f>IF(I1775&lt;&gt;"",VLOOKUP(F1775,OPDRACHTGEVER!$A$2:$B$4,2,FALSE),"")</f>
        <v>SKIIFM_AT</v>
      </c>
      <c r="F1775" s="11" t="s">
        <v>58</v>
      </c>
      <c r="I1775" s="11" t="str">
        <f>IF(DATA!B1774&lt;&gt;"",DATA!B1774,"")</f>
        <v>MSMU4497247</v>
      </c>
      <c r="J1775" s="12">
        <v>0</v>
      </c>
      <c r="K1775" s="11" t="s">
        <v>53</v>
      </c>
      <c r="L1775" s="11" t="str">
        <f t="shared" si="112"/>
        <v>841830</v>
      </c>
      <c r="M1775" s="11" t="str">
        <f>IF(I1775&lt;&gt;"",DATA!E1774,"")</f>
        <v>VEHICLE REFRIGERATOR</v>
      </c>
      <c r="N1775" s="12">
        <v>0</v>
      </c>
      <c r="O1775" s="11">
        <f>IF(I1775&lt;&gt;"",DATA!C1774,"")</f>
        <v>231.8</v>
      </c>
      <c r="P1775" s="2">
        <v>294094</v>
      </c>
      <c r="Q1775" s="2" t="s">
        <v>1304</v>
      </c>
      <c r="R1775" s="2" t="s">
        <v>1338</v>
      </c>
      <c r="S1775" s="2">
        <v>618</v>
      </c>
      <c r="T1775" s="2">
        <v>1</v>
      </c>
      <c r="U1775" s="2" t="s">
        <v>141</v>
      </c>
      <c r="Y1775" s="2">
        <v>1700</v>
      </c>
      <c r="Z1775" s="11" t="s">
        <v>54</v>
      </c>
      <c r="AA1775" s="11" t="str">
        <f t="shared" si="113"/>
        <v>1700 - TBN</v>
      </c>
      <c r="AC1775" s="2" t="s">
        <v>145</v>
      </c>
      <c r="AD1775" s="11" t="str">
        <f>IF($I1775&lt;&gt;"",VLOOKUP($AC1775,GEADRESSEERDE!$A$2:$E$4,2,),"")</f>
        <v>LUITHAGEN HAVEN 2 D</v>
      </c>
      <c r="AE1775" s="11">
        <f>IF($I1775&lt;&gt;"",VLOOKUP($AC1775,GEADRESSEERDE!$A$2:$E$4,3,),"")</f>
        <v>2030</v>
      </c>
      <c r="AF1775" s="11" t="str">
        <f>IF($I1775&lt;&gt;"",VLOOKUP($AC1775,GEADRESSEERDE!$A$2:$E$4,4,),"")</f>
        <v>ANTWERPEN</v>
      </c>
      <c r="AG1775" s="11" t="str">
        <f>IF($I1775&lt;&gt;"",VLOOKUP($AC1775,GEADRESSEERDE!$A$2:$E$4,5,),"")</f>
        <v>BE</v>
      </c>
      <c r="AH1775" s="11" t="str">
        <f>IF(I1775&lt;&gt;"",VLOOKUP(AP1775,KvB!$A$2:$B$3,2,FALSE),"")</f>
        <v>BE101000</v>
      </c>
      <c r="AI1775" s="11" t="s">
        <v>55</v>
      </c>
      <c r="AJ1775" s="11"/>
      <c r="AK1775" s="11"/>
      <c r="AL1775" s="11"/>
      <c r="AM1775" s="11"/>
      <c r="AN1775" s="11"/>
      <c r="AO1775" s="11"/>
      <c r="AP1775" s="2" t="s">
        <v>70</v>
      </c>
      <c r="AQ1775" s="11" t="str">
        <f>IF(I1775&lt;&gt;"",DATA!D1774,"")</f>
        <v>8418302099</v>
      </c>
    </row>
    <row r="1776" spans="1:43" ht="15.75" x14ac:dyDescent="0.25">
      <c r="A1776" s="11" t="s">
        <v>57</v>
      </c>
      <c r="B1776" s="11" t="s">
        <v>56</v>
      </c>
      <c r="C1776" s="22">
        <f t="shared" si="114"/>
        <v>25001620</v>
      </c>
      <c r="D1776" s="11" t="str">
        <f t="shared" si="111"/>
        <v>SKIIFM_AT</v>
      </c>
      <c r="E1776" s="11" t="str">
        <f>IF(I1776&lt;&gt;"",VLOOKUP(F1776,OPDRACHTGEVER!$A$2:$B$4,2,FALSE),"")</f>
        <v>SKIIFM_AT</v>
      </c>
      <c r="F1776" s="11" t="s">
        <v>58</v>
      </c>
      <c r="I1776" s="11" t="str">
        <f>IF(DATA!B1775&lt;&gt;"",DATA!B1775,"")</f>
        <v>MSMU4497247</v>
      </c>
      <c r="J1776" s="12">
        <v>0</v>
      </c>
      <c r="K1776" s="11" t="s">
        <v>53</v>
      </c>
      <c r="L1776" s="11" t="str">
        <f t="shared" si="112"/>
        <v>851660</v>
      </c>
      <c r="M1776" s="11" t="str">
        <f>IF(I1776&lt;&gt;"",DATA!E1775,"")</f>
        <v>WAFFLE CAKE MACHINE</v>
      </c>
      <c r="N1776" s="12">
        <v>0</v>
      </c>
      <c r="O1776" s="11">
        <f>IF(I1776&lt;&gt;"",DATA!C1775,"")</f>
        <v>450.4</v>
      </c>
      <c r="P1776" s="2">
        <v>294094</v>
      </c>
      <c r="Q1776" s="2" t="s">
        <v>1304</v>
      </c>
      <c r="R1776" s="2" t="s">
        <v>1338</v>
      </c>
      <c r="S1776" s="2">
        <v>618</v>
      </c>
      <c r="T1776" s="2">
        <v>1</v>
      </c>
      <c r="U1776" s="2" t="s">
        <v>141</v>
      </c>
      <c r="Y1776" s="2">
        <v>1700</v>
      </c>
      <c r="Z1776" s="11" t="s">
        <v>54</v>
      </c>
      <c r="AA1776" s="11" t="str">
        <f t="shared" si="113"/>
        <v>1700 - TBN</v>
      </c>
      <c r="AC1776" s="2" t="s">
        <v>145</v>
      </c>
      <c r="AD1776" s="11" t="str">
        <f>IF($I1776&lt;&gt;"",VLOOKUP($AC1776,GEADRESSEERDE!$A$2:$E$4,2,),"")</f>
        <v>LUITHAGEN HAVEN 2 D</v>
      </c>
      <c r="AE1776" s="11">
        <f>IF($I1776&lt;&gt;"",VLOOKUP($AC1776,GEADRESSEERDE!$A$2:$E$4,3,),"")</f>
        <v>2030</v>
      </c>
      <c r="AF1776" s="11" t="str">
        <f>IF($I1776&lt;&gt;"",VLOOKUP($AC1776,GEADRESSEERDE!$A$2:$E$4,4,),"")</f>
        <v>ANTWERPEN</v>
      </c>
      <c r="AG1776" s="11" t="str">
        <f>IF($I1776&lt;&gt;"",VLOOKUP($AC1776,GEADRESSEERDE!$A$2:$E$4,5,),"")</f>
        <v>BE</v>
      </c>
      <c r="AH1776" s="11" t="str">
        <f>IF(I1776&lt;&gt;"",VLOOKUP(AP1776,KvB!$A$2:$B$3,2,FALSE),"")</f>
        <v>BE101000</v>
      </c>
      <c r="AI1776" s="11" t="s">
        <v>55</v>
      </c>
      <c r="AJ1776" s="11"/>
      <c r="AK1776" s="11"/>
      <c r="AL1776" s="11"/>
      <c r="AM1776" s="11"/>
      <c r="AN1776" s="11"/>
      <c r="AO1776" s="11"/>
      <c r="AP1776" s="2" t="s">
        <v>70</v>
      </c>
      <c r="AQ1776" s="11" t="str">
        <f>IF(I1776&lt;&gt;"",DATA!D1775,"")</f>
        <v>8516609000</v>
      </c>
    </row>
    <row r="1777" spans="1:43" ht="15.75" x14ac:dyDescent="0.25">
      <c r="A1777" s="11" t="s">
        <v>57</v>
      </c>
      <c r="B1777" s="11" t="s">
        <v>56</v>
      </c>
      <c r="C1777" s="22">
        <f t="shared" si="114"/>
        <v>25001620</v>
      </c>
      <c r="D1777" s="11" t="str">
        <f t="shared" si="111"/>
        <v>SKIIFM_AT</v>
      </c>
      <c r="E1777" s="11" t="str">
        <f>IF(I1777&lt;&gt;"",VLOOKUP(F1777,OPDRACHTGEVER!$A$2:$B$4,2,FALSE),"")</f>
        <v>SKIIFM_AT</v>
      </c>
      <c r="F1777" s="11" t="s">
        <v>58</v>
      </c>
      <c r="I1777" s="11" t="str">
        <f>IF(DATA!B1776&lt;&gt;"",DATA!B1776,"")</f>
        <v>MSMU4497247</v>
      </c>
      <c r="J1777" s="12">
        <v>0</v>
      </c>
      <c r="K1777" s="11" t="s">
        <v>53</v>
      </c>
      <c r="L1777" s="11" t="str">
        <f t="shared" si="112"/>
        <v>871680</v>
      </c>
      <c r="M1777" s="11" t="str">
        <f>IF(I1777&lt;&gt;"",DATA!E1776,"")</f>
        <v>WIRE  LAUNDRY CART</v>
      </c>
      <c r="N1777" s="12">
        <v>0</v>
      </c>
      <c r="O1777" s="11">
        <f>IF(I1777&lt;&gt;"",DATA!C1776,"")</f>
        <v>279.2</v>
      </c>
      <c r="P1777" s="2">
        <v>294094</v>
      </c>
      <c r="Q1777" s="2" t="s">
        <v>1304</v>
      </c>
      <c r="R1777" s="2" t="s">
        <v>1338</v>
      </c>
      <c r="S1777" s="2">
        <v>618</v>
      </c>
      <c r="T1777" s="2">
        <v>1</v>
      </c>
      <c r="U1777" s="2" t="s">
        <v>141</v>
      </c>
      <c r="Y1777" s="2">
        <v>1700</v>
      </c>
      <c r="Z1777" s="11" t="s">
        <v>54</v>
      </c>
      <c r="AA1777" s="11" t="str">
        <f t="shared" si="113"/>
        <v>1700 - TBN</v>
      </c>
      <c r="AC1777" s="2" t="s">
        <v>145</v>
      </c>
      <c r="AD1777" s="11" t="str">
        <f>IF($I1777&lt;&gt;"",VLOOKUP($AC1777,GEADRESSEERDE!$A$2:$E$4,2,),"")</f>
        <v>LUITHAGEN HAVEN 2 D</v>
      </c>
      <c r="AE1777" s="11">
        <f>IF($I1777&lt;&gt;"",VLOOKUP($AC1777,GEADRESSEERDE!$A$2:$E$4,3,),"")</f>
        <v>2030</v>
      </c>
      <c r="AF1777" s="11" t="str">
        <f>IF($I1777&lt;&gt;"",VLOOKUP($AC1777,GEADRESSEERDE!$A$2:$E$4,4,),"")</f>
        <v>ANTWERPEN</v>
      </c>
      <c r="AG1777" s="11" t="str">
        <f>IF($I1777&lt;&gt;"",VLOOKUP($AC1777,GEADRESSEERDE!$A$2:$E$4,5,),"")</f>
        <v>BE</v>
      </c>
      <c r="AH1777" s="11" t="str">
        <f>IF(I1777&lt;&gt;"",VLOOKUP(AP1777,KvB!$A$2:$B$3,2,FALSE),"")</f>
        <v>BE101000</v>
      </c>
      <c r="AI1777" s="11" t="s">
        <v>55</v>
      </c>
      <c r="AJ1777" s="11"/>
      <c r="AK1777" s="11"/>
      <c r="AL1777" s="11"/>
      <c r="AM1777" s="11"/>
      <c r="AN1777" s="11"/>
      <c r="AO1777" s="11"/>
      <c r="AP1777" s="2" t="s">
        <v>70</v>
      </c>
      <c r="AQ1777" s="11" t="str">
        <f>IF(I1777&lt;&gt;"",DATA!D1776,"")</f>
        <v>8716800000</v>
      </c>
    </row>
    <row r="1778" spans="1:43" ht="15.75" x14ac:dyDescent="0.25">
      <c r="A1778" s="11" t="s">
        <v>57</v>
      </c>
      <c r="B1778" s="11" t="s">
        <v>56</v>
      </c>
      <c r="C1778" s="22">
        <f t="shared" si="114"/>
        <v>25001620</v>
      </c>
      <c r="D1778" s="11" t="str">
        <f t="shared" si="111"/>
        <v>SKIIFM_AT</v>
      </c>
      <c r="E1778" s="11" t="str">
        <f>IF(I1778&lt;&gt;"",VLOOKUP(F1778,OPDRACHTGEVER!$A$2:$B$4,2,FALSE),"")</f>
        <v>SKIIFM_AT</v>
      </c>
      <c r="F1778" s="11" t="s">
        <v>58</v>
      </c>
      <c r="I1778" s="11" t="str">
        <f>IF(DATA!B1777&lt;&gt;"",DATA!B1777,"")</f>
        <v>MSMU4569727</v>
      </c>
      <c r="J1778" s="12">
        <v>2056</v>
      </c>
      <c r="K1778" s="11" t="s">
        <v>53</v>
      </c>
      <c r="L1778" s="11" t="str">
        <f t="shared" si="112"/>
        <v>940370</v>
      </c>
      <c r="M1778" s="11" t="str">
        <f>IF(I1778&lt;&gt;"",DATA!E1777,"")</f>
        <v>ACRYLIC MOBILE PHONE CASE</v>
      </c>
      <c r="N1778" s="12">
        <v>13682</v>
      </c>
      <c r="O1778" s="11">
        <f>IF(I1778&lt;&gt;"",DATA!C1777,"")</f>
        <v>137.19999999999999</v>
      </c>
      <c r="P1778" s="2">
        <v>294094</v>
      </c>
      <c r="Q1778" s="2" t="s">
        <v>1304</v>
      </c>
      <c r="R1778" s="2" t="s">
        <v>1339</v>
      </c>
      <c r="S1778" s="2">
        <v>282</v>
      </c>
      <c r="T1778" s="2">
        <v>1</v>
      </c>
      <c r="U1778" s="2" t="s">
        <v>141</v>
      </c>
      <c r="Y1778" s="2">
        <v>1700</v>
      </c>
      <c r="Z1778" s="11" t="s">
        <v>54</v>
      </c>
      <c r="AA1778" s="11" t="str">
        <f t="shared" si="113"/>
        <v>1700 - TBN</v>
      </c>
      <c r="AC1778" s="2" t="s">
        <v>145</v>
      </c>
      <c r="AD1778" s="11" t="str">
        <f>IF($I1778&lt;&gt;"",VLOOKUP($AC1778,GEADRESSEERDE!$A$2:$E$4,2,),"")</f>
        <v>LUITHAGEN HAVEN 2 D</v>
      </c>
      <c r="AE1778" s="11">
        <f>IF($I1778&lt;&gt;"",VLOOKUP($AC1778,GEADRESSEERDE!$A$2:$E$4,3,),"")</f>
        <v>2030</v>
      </c>
      <c r="AF1778" s="11" t="str">
        <f>IF($I1778&lt;&gt;"",VLOOKUP($AC1778,GEADRESSEERDE!$A$2:$E$4,4,),"")</f>
        <v>ANTWERPEN</v>
      </c>
      <c r="AG1778" s="11" t="str">
        <f>IF($I1778&lt;&gt;"",VLOOKUP($AC1778,GEADRESSEERDE!$A$2:$E$4,5,),"")</f>
        <v>BE</v>
      </c>
      <c r="AH1778" s="11" t="str">
        <f>IF(I1778&lt;&gt;"",VLOOKUP(AP1778,KvB!$A$2:$B$3,2,FALSE),"")</f>
        <v>BE101000</v>
      </c>
      <c r="AI1778" s="11" t="s">
        <v>55</v>
      </c>
      <c r="AJ1778" s="11"/>
      <c r="AK1778" s="11"/>
      <c r="AL1778" s="11"/>
      <c r="AM1778" s="11"/>
      <c r="AN1778" s="11"/>
      <c r="AO1778" s="11"/>
      <c r="AP1778" s="2" t="s">
        <v>70</v>
      </c>
      <c r="AQ1778" s="11" t="str">
        <f>IF(I1778&lt;&gt;"",DATA!D1777,"")</f>
        <v>9403700000</v>
      </c>
    </row>
    <row r="1779" spans="1:43" ht="15.75" x14ac:dyDescent="0.25">
      <c r="A1779" s="11" t="s">
        <v>57</v>
      </c>
      <c r="B1779" s="11" t="s">
        <v>56</v>
      </c>
      <c r="C1779" s="22">
        <f t="shared" si="114"/>
        <v>25001620</v>
      </c>
      <c r="D1779" s="11" t="str">
        <f t="shared" si="111"/>
        <v>SKIIFM_AT</v>
      </c>
      <c r="E1779" s="11" t="str">
        <f>IF(I1779&lt;&gt;"",VLOOKUP(F1779,OPDRACHTGEVER!$A$2:$B$4,2,FALSE),"")</f>
        <v>SKIIFM_AT</v>
      </c>
      <c r="F1779" s="11" t="s">
        <v>58</v>
      </c>
      <c r="I1779" s="11" t="str">
        <f>IF(DATA!B1778&lt;&gt;"",DATA!B1778,"")</f>
        <v>MSMU4569727</v>
      </c>
      <c r="J1779" s="12">
        <v>0</v>
      </c>
      <c r="K1779" s="11" t="s">
        <v>53</v>
      </c>
      <c r="L1779" s="11" t="str">
        <f t="shared" si="112"/>
        <v>830710</v>
      </c>
      <c r="M1779" s="11" t="str">
        <f>IF(I1779&lt;&gt;"",DATA!E1778,"")</f>
        <v>AIR CONDITIONING HOSE</v>
      </c>
      <c r="N1779" s="12">
        <v>0</v>
      </c>
      <c r="O1779" s="11">
        <f>IF(I1779&lt;&gt;"",DATA!C1778,"")</f>
        <v>25</v>
      </c>
      <c r="P1779" s="2">
        <v>294094</v>
      </c>
      <c r="Q1779" s="2" t="s">
        <v>1304</v>
      </c>
      <c r="R1779" s="2" t="s">
        <v>1339</v>
      </c>
      <c r="S1779" s="2">
        <v>282</v>
      </c>
      <c r="T1779" s="2">
        <v>1</v>
      </c>
      <c r="U1779" s="2" t="s">
        <v>141</v>
      </c>
      <c r="Y1779" s="2">
        <v>1700</v>
      </c>
      <c r="Z1779" s="11" t="s">
        <v>54</v>
      </c>
      <c r="AA1779" s="11" t="str">
        <f t="shared" si="113"/>
        <v>1700 - TBN</v>
      </c>
      <c r="AC1779" s="2" t="s">
        <v>145</v>
      </c>
      <c r="AD1779" s="11" t="str">
        <f>IF($I1779&lt;&gt;"",VLOOKUP($AC1779,GEADRESSEERDE!$A$2:$E$4,2,),"")</f>
        <v>LUITHAGEN HAVEN 2 D</v>
      </c>
      <c r="AE1779" s="11">
        <f>IF($I1779&lt;&gt;"",VLOOKUP($AC1779,GEADRESSEERDE!$A$2:$E$4,3,),"")</f>
        <v>2030</v>
      </c>
      <c r="AF1779" s="11" t="str">
        <f>IF($I1779&lt;&gt;"",VLOOKUP($AC1779,GEADRESSEERDE!$A$2:$E$4,4,),"")</f>
        <v>ANTWERPEN</v>
      </c>
      <c r="AG1779" s="11" t="str">
        <f>IF($I1779&lt;&gt;"",VLOOKUP($AC1779,GEADRESSEERDE!$A$2:$E$4,5,),"")</f>
        <v>BE</v>
      </c>
      <c r="AH1779" s="11" t="str">
        <f>IF(I1779&lt;&gt;"",VLOOKUP(AP1779,KvB!$A$2:$B$3,2,FALSE),"")</f>
        <v>BE101000</v>
      </c>
      <c r="AI1779" s="11" t="s">
        <v>55</v>
      </c>
      <c r="AJ1779" s="11"/>
      <c r="AK1779" s="11"/>
      <c r="AL1779" s="11"/>
      <c r="AM1779" s="11"/>
      <c r="AN1779" s="11"/>
      <c r="AO1779" s="11"/>
      <c r="AP1779" s="2" t="s">
        <v>70</v>
      </c>
      <c r="AQ1779" s="11" t="str">
        <f>IF(I1779&lt;&gt;"",DATA!D1778,"")</f>
        <v>8307100090</v>
      </c>
    </row>
    <row r="1780" spans="1:43" ht="15.75" x14ac:dyDescent="0.25">
      <c r="A1780" s="11" t="s">
        <v>57</v>
      </c>
      <c r="B1780" s="11" t="s">
        <v>56</v>
      </c>
      <c r="C1780" s="22">
        <f t="shared" si="114"/>
        <v>25001620</v>
      </c>
      <c r="D1780" s="11" t="str">
        <f t="shared" ref="D1780:D1843" si="115">E1780</f>
        <v>SKIIFM_AT</v>
      </c>
      <c r="E1780" s="11" t="str">
        <f>IF(I1780&lt;&gt;"",VLOOKUP(F1780,OPDRACHTGEVER!$A$2:$B$4,2,FALSE),"")</f>
        <v>SKIIFM_AT</v>
      </c>
      <c r="F1780" s="11" t="s">
        <v>58</v>
      </c>
      <c r="I1780" s="11" t="str">
        <f>IF(DATA!B1779&lt;&gt;"",DATA!B1779,"")</f>
        <v>MSMU4569727</v>
      </c>
      <c r="J1780" s="12">
        <v>0</v>
      </c>
      <c r="K1780" s="11" t="s">
        <v>53</v>
      </c>
      <c r="L1780" s="11" t="str">
        <f t="shared" ref="L1780:L1843" si="116">LEFT(AQ1780,6)</f>
        <v>841319</v>
      </c>
      <c r="M1780" s="11" t="str">
        <f>IF(I1780&lt;&gt;"",DATA!E1779,"")</f>
        <v>AUTOMOBILE FUEL PUMP</v>
      </c>
      <c r="N1780" s="12">
        <v>0</v>
      </c>
      <c r="O1780" s="11">
        <f>IF(I1780&lt;&gt;"",DATA!C1779,"")</f>
        <v>163.4</v>
      </c>
      <c r="P1780" s="2">
        <v>294094</v>
      </c>
      <c r="Q1780" s="2" t="s">
        <v>1304</v>
      </c>
      <c r="R1780" s="2" t="s">
        <v>1339</v>
      </c>
      <c r="S1780" s="2">
        <v>282</v>
      </c>
      <c r="T1780" s="2">
        <v>1</v>
      </c>
      <c r="U1780" s="2" t="s">
        <v>141</v>
      </c>
      <c r="Y1780" s="2">
        <v>1700</v>
      </c>
      <c r="Z1780" s="11" t="s">
        <v>54</v>
      </c>
      <c r="AA1780" s="11" t="str">
        <f t="shared" ref="AA1780:AA1843" si="117">IF(I1780&lt;&gt;"",Y1780&amp;" - "&amp;Z1780,"")</f>
        <v>1700 - TBN</v>
      </c>
      <c r="AC1780" s="2" t="s">
        <v>145</v>
      </c>
      <c r="AD1780" s="11" t="str">
        <f>IF($I1780&lt;&gt;"",VLOOKUP($AC1780,GEADRESSEERDE!$A$2:$E$4,2,),"")</f>
        <v>LUITHAGEN HAVEN 2 D</v>
      </c>
      <c r="AE1780" s="11">
        <f>IF($I1780&lt;&gt;"",VLOOKUP($AC1780,GEADRESSEERDE!$A$2:$E$4,3,),"")</f>
        <v>2030</v>
      </c>
      <c r="AF1780" s="11" t="str">
        <f>IF($I1780&lt;&gt;"",VLOOKUP($AC1780,GEADRESSEERDE!$A$2:$E$4,4,),"")</f>
        <v>ANTWERPEN</v>
      </c>
      <c r="AG1780" s="11" t="str">
        <f>IF($I1780&lt;&gt;"",VLOOKUP($AC1780,GEADRESSEERDE!$A$2:$E$4,5,),"")</f>
        <v>BE</v>
      </c>
      <c r="AH1780" s="11" t="str">
        <f>IF(I1780&lt;&gt;"",VLOOKUP(AP1780,KvB!$A$2:$B$3,2,FALSE),"")</f>
        <v>BE101000</v>
      </c>
      <c r="AI1780" s="11" t="s">
        <v>55</v>
      </c>
      <c r="AJ1780" s="11"/>
      <c r="AK1780" s="11"/>
      <c r="AL1780" s="11"/>
      <c r="AM1780" s="11"/>
      <c r="AN1780" s="11"/>
      <c r="AO1780" s="11"/>
      <c r="AP1780" s="2" t="s">
        <v>70</v>
      </c>
      <c r="AQ1780" s="11" t="str">
        <f>IF(I1780&lt;&gt;"",DATA!D1779,"")</f>
        <v>8413190090</v>
      </c>
    </row>
    <row r="1781" spans="1:43" ht="15.75" x14ac:dyDescent="0.25">
      <c r="A1781" s="11" t="s">
        <v>57</v>
      </c>
      <c r="B1781" s="11" t="s">
        <v>56</v>
      </c>
      <c r="C1781" s="22">
        <f t="shared" si="114"/>
        <v>25001620</v>
      </c>
      <c r="D1781" s="11" t="str">
        <f t="shared" si="115"/>
        <v>SKIIFM_AT</v>
      </c>
      <c r="E1781" s="11" t="str">
        <f>IF(I1781&lt;&gt;"",VLOOKUP(F1781,OPDRACHTGEVER!$A$2:$B$4,2,FALSE),"")</f>
        <v>SKIIFM_AT</v>
      </c>
      <c r="F1781" s="11" t="s">
        <v>58</v>
      </c>
      <c r="I1781" s="11" t="str">
        <f>IF(DATA!B1780&lt;&gt;"",DATA!B1780,"")</f>
        <v>MSMU4569727</v>
      </c>
      <c r="J1781" s="12">
        <v>0</v>
      </c>
      <c r="K1781" s="11" t="s">
        <v>53</v>
      </c>
      <c r="L1781" s="11" t="str">
        <f t="shared" si="116"/>
        <v>820890</v>
      </c>
      <c r="M1781" s="11" t="str">
        <f>IF(I1781&lt;&gt;"",DATA!E1780,"")</f>
        <v>BLADE</v>
      </c>
      <c r="N1781" s="12">
        <v>0</v>
      </c>
      <c r="O1781" s="11">
        <f>IF(I1781&lt;&gt;"",DATA!C1780,"")</f>
        <v>4.5999999999999996</v>
      </c>
      <c r="P1781" s="2">
        <v>294094</v>
      </c>
      <c r="Q1781" s="2" t="s">
        <v>1304</v>
      </c>
      <c r="R1781" s="2" t="s">
        <v>1339</v>
      </c>
      <c r="S1781" s="2">
        <v>282</v>
      </c>
      <c r="T1781" s="2">
        <v>1</v>
      </c>
      <c r="U1781" s="2" t="s">
        <v>141</v>
      </c>
      <c r="Y1781" s="2">
        <v>1700</v>
      </c>
      <c r="Z1781" s="11" t="s">
        <v>54</v>
      </c>
      <c r="AA1781" s="11" t="str">
        <f t="shared" si="117"/>
        <v>1700 - TBN</v>
      </c>
      <c r="AC1781" s="2" t="s">
        <v>145</v>
      </c>
      <c r="AD1781" s="11" t="str">
        <f>IF($I1781&lt;&gt;"",VLOOKUP($AC1781,GEADRESSEERDE!$A$2:$E$4,2,),"")</f>
        <v>LUITHAGEN HAVEN 2 D</v>
      </c>
      <c r="AE1781" s="11">
        <f>IF($I1781&lt;&gt;"",VLOOKUP($AC1781,GEADRESSEERDE!$A$2:$E$4,3,),"")</f>
        <v>2030</v>
      </c>
      <c r="AF1781" s="11" t="str">
        <f>IF($I1781&lt;&gt;"",VLOOKUP($AC1781,GEADRESSEERDE!$A$2:$E$4,4,),"")</f>
        <v>ANTWERPEN</v>
      </c>
      <c r="AG1781" s="11" t="str">
        <f>IF($I1781&lt;&gt;"",VLOOKUP($AC1781,GEADRESSEERDE!$A$2:$E$4,5,),"")</f>
        <v>BE</v>
      </c>
      <c r="AH1781" s="11" t="str">
        <f>IF(I1781&lt;&gt;"",VLOOKUP(AP1781,KvB!$A$2:$B$3,2,FALSE),"")</f>
        <v>BE101000</v>
      </c>
      <c r="AI1781" s="11" t="s">
        <v>55</v>
      </c>
      <c r="AJ1781" s="11"/>
      <c r="AK1781" s="11"/>
      <c r="AL1781" s="11"/>
      <c r="AM1781" s="11"/>
      <c r="AN1781" s="11"/>
      <c r="AO1781" s="11"/>
      <c r="AP1781" s="2" t="s">
        <v>70</v>
      </c>
      <c r="AQ1781" s="11" t="str">
        <f>IF(I1781&lt;&gt;"",DATA!D1780,"")</f>
        <v>8208900000</v>
      </c>
    </row>
    <row r="1782" spans="1:43" ht="15.75" x14ac:dyDescent="0.25">
      <c r="A1782" s="11" t="s">
        <v>57</v>
      </c>
      <c r="B1782" s="11" t="s">
        <v>56</v>
      </c>
      <c r="C1782" s="22">
        <f t="shared" si="114"/>
        <v>25001620</v>
      </c>
      <c r="D1782" s="11" t="str">
        <f t="shared" si="115"/>
        <v>SKIIFM_AT</v>
      </c>
      <c r="E1782" s="11" t="str">
        <f>IF(I1782&lt;&gt;"",VLOOKUP(F1782,OPDRACHTGEVER!$A$2:$B$4,2,FALSE),"")</f>
        <v>SKIIFM_AT</v>
      </c>
      <c r="F1782" s="11" t="s">
        <v>58</v>
      </c>
      <c r="I1782" s="11" t="str">
        <f>IF(DATA!B1781&lt;&gt;"",DATA!B1781,"")</f>
        <v>MSMU4569727</v>
      </c>
      <c r="J1782" s="12">
        <v>0</v>
      </c>
      <c r="K1782" s="11" t="s">
        <v>53</v>
      </c>
      <c r="L1782" s="11" t="str">
        <f t="shared" si="116"/>
        <v>741920</v>
      </c>
      <c r="M1782" s="11" t="str">
        <f>IF(I1782&lt;&gt;"",DATA!E1781,"")</f>
        <v>CHAIN WITH HOOK</v>
      </c>
      <c r="N1782" s="12">
        <v>0</v>
      </c>
      <c r="O1782" s="11">
        <f>IF(I1782&lt;&gt;"",DATA!C1781,"")</f>
        <v>89.85</v>
      </c>
      <c r="P1782" s="2">
        <v>294094</v>
      </c>
      <c r="Q1782" s="2" t="s">
        <v>1304</v>
      </c>
      <c r="R1782" s="2" t="s">
        <v>1339</v>
      </c>
      <c r="S1782" s="2">
        <v>282</v>
      </c>
      <c r="T1782" s="2">
        <v>1</v>
      </c>
      <c r="U1782" s="2" t="s">
        <v>141</v>
      </c>
      <c r="Y1782" s="2">
        <v>1700</v>
      </c>
      <c r="Z1782" s="11" t="s">
        <v>54</v>
      </c>
      <c r="AA1782" s="11" t="str">
        <f t="shared" si="117"/>
        <v>1700 - TBN</v>
      </c>
      <c r="AC1782" s="2" t="s">
        <v>145</v>
      </c>
      <c r="AD1782" s="11" t="str">
        <f>IF($I1782&lt;&gt;"",VLOOKUP($AC1782,GEADRESSEERDE!$A$2:$E$4,2,),"")</f>
        <v>LUITHAGEN HAVEN 2 D</v>
      </c>
      <c r="AE1782" s="11">
        <f>IF($I1782&lt;&gt;"",VLOOKUP($AC1782,GEADRESSEERDE!$A$2:$E$4,3,),"")</f>
        <v>2030</v>
      </c>
      <c r="AF1782" s="11" t="str">
        <f>IF($I1782&lt;&gt;"",VLOOKUP($AC1782,GEADRESSEERDE!$A$2:$E$4,4,),"")</f>
        <v>ANTWERPEN</v>
      </c>
      <c r="AG1782" s="11" t="str">
        <f>IF($I1782&lt;&gt;"",VLOOKUP($AC1782,GEADRESSEERDE!$A$2:$E$4,5,),"")</f>
        <v>BE</v>
      </c>
      <c r="AH1782" s="11" t="str">
        <f>IF(I1782&lt;&gt;"",VLOOKUP(AP1782,KvB!$A$2:$B$3,2,FALSE),"")</f>
        <v>BE101000</v>
      </c>
      <c r="AI1782" s="11" t="s">
        <v>55</v>
      </c>
      <c r="AJ1782" s="11"/>
      <c r="AK1782" s="11"/>
      <c r="AL1782" s="11"/>
      <c r="AM1782" s="11"/>
      <c r="AN1782" s="11"/>
      <c r="AO1782" s="11"/>
      <c r="AP1782" s="2" t="s">
        <v>70</v>
      </c>
      <c r="AQ1782" s="11" t="str">
        <f>IF(I1782&lt;&gt;"",DATA!D1781,"")</f>
        <v>7419200090</v>
      </c>
    </row>
    <row r="1783" spans="1:43" ht="15.75" x14ac:dyDescent="0.25">
      <c r="A1783" s="11" t="s">
        <v>57</v>
      </c>
      <c r="B1783" s="11" t="s">
        <v>56</v>
      </c>
      <c r="C1783" s="22">
        <f t="shared" si="114"/>
        <v>25001620</v>
      </c>
      <c r="D1783" s="11" t="str">
        <f t="shared" si="115"/>
        <v>SKIIFM_AT</v>
      </c>
      <c r="E1783" s="11" t="str">
        <f>IF(I1783&lt;&gt;"",VLOOKUP(F1783,OPDRACHTGEVER!$A$2:$B$4,2,FALSE),"")</f>
        <v>SKIIFM_AT</v>
      </c>
      <c r="F1783" s="11" t="s">
        <v>58</v>
      </c>
      <c r="I1783" s="11" t="str">
        <f>IF(DATA!B1782&lt;&gt;"",DATA!B1782,"")</f>
        <v>MSMU4569727</v>
      </c>
      <c r="J1783" s="12">
        <v>0</v>
      </c>
      <c r="K1783" s="11" t="s">
        <v>53</v>
      </c>
      <c r="L1783" s="11" t="str">
        <f t="shared" si="116"/>
        <v>853710</v>
      </c>
      <c r="M1783" s="11" t="str">
        <f>IF(I1783&lt;&gt;"",DATA!E1782,"")</f>
        <v>CONTROLLER</v>
      </c>
      <c r="N1783" s="12">
        <v>0</v>
      </c>
      <c r="O1783" s="11">
        <f>IF(I1783&lt;&gt;"",DATA!C1782,"")</f>
        <v>1.4</v>
      </c>
      <c r="P1783" s="2">
        <v>294094</v>
      </c>
      <c r="Q1783" s="2" t="s">
        <v>1304</v>
      </c>
      <c r="R1783" s="2" t="s">
        <v>1339</v>
      </c>
      <c r="S1783" s="2">
        <v>282</v>
      </c>
      <c r="T1783" s="2">
        <v>1</v>
      </c>
      <c r="U1783" s="2" t="s">
        <v>141</v>
      </c>
      <c r="Y1783" s="2">
        <v>1700</v>
      </c>
      <c r="Z1783" s="11" t="s">
        <v>54</v>
      </c>
      <c r="AA1783" s="11" t="str">
        <f t="shared" si="117"/>
        <v>1700 - TBN</v>
      </c>
      <c r="AC1783" s="2" t="s">
        <v>145</v>
      </c>
      <c r="AD1783" s="11" t="str">
        <f>IF($I1783&lt;&gt;"",VLOOKUP($AC1783,GEADRESSEERDE!$A$2:$E$4,2,),"")</f>
        <v>LUITHAGEN HAVEN 2 D</v>
      </c>
      <c r="AE1783" s="11">
        <f>IF($I1783&lt;&gt;"",VLOOKUP($AC1783,GEADRESSEERDE!$A$2:$E$4,3,),"")</f>
        <v>2030</v>
      </c>
      <c r="AF1783" s="11" t="str">
        <f>IF($I1783&lt;&gt;"",VLOOKUP($AC1783,GEADRESSEERDE!$A$2:$E$4,4,),"")</f>
        <v>ANTWERPEN</v>
      </c>
      <c r="AG1783" s="11" t="str">
        <f>IF($I1783&lt;&gt;"",VLOOKUP($AC1783,GEADRESSEERDE!$A$2:$E$4,5,),"")</f>
        <v>BE</v>
      </c>
      <c r="AH1783" s="11" t="str">
        <f>IF(I1783&lt;&gt;"",VLOOKUP(AP1783,KvB!$A$2:$B$3,2,FALSE),"")</f>
        <v>BE101000</v>
      </c>
      <c r="AI1783" s="11" t="s">
        <v>55</v>
      </c>
      <c r="AJ1783" s="11"/>
      <c r="AK1783" s="11"/>
      <c r="AL1783" s="11"/>
      <c r="AM1783" s="11"/>
      <c r="AN1783" s="11"/>
      <c r="AO1783" s="11"/>
      <c r="AP1783" s="2" t="s">
        <v>70</v>
      </c>
      <c r="AQ1783" s="11" t="str">
        <f>IF(I1783&lt;&gt;"",DATA!D1782,"")</f>
        <v>8537109899</v>
      </c>
    </row>
    <row r="1784" spans="1:43" ht="15.75" x14ac:dyDescent="0.25">
      <c r="A1784" s="11" t="s">
        <v>57</v>
      </c>
      <c r="B1784" s="11" t="s">
        <v>56</v>
      </c>
      <c r="C1784" s="22">
        <f t="shared" si="114"/>
        <v>25001620</v>
      </c>
      <c r="D1784" s="11" t="str">
        <f t="shared" si="115"/>
        <v>SKIIFM_AT</v>
      </c>
      <c r="E1784" s="11" t="str">
        <f>IF(I1784&lt;&gt;"",VLOOKUP(F1784,OPDRACHTGEVER!$A$2:$B$4,2,FALSE),"")</f>
        <v>SKIIFM_AT</v>
      </c>
      <c r="F1784" s="11" t="s">
        <v>58</v>
      </c>
      <c r="I1784" s="11" t="str">
        <f>IF(DATA!B1783&lt;&gt;"",DATA!B1783,"")</f>
        <v>MSMU4569727</v>
      </c>
      <c r="J1784" s="12">
        <v>0</v>
      </c>
      <c r="K1784" s="11" t="s">
        <v>53</v>
      </c>
      <c r="L1784" s="11" t="str">
        <f t="shared" si="116"/>
        <v>741920</v>
      </c>
      <c r="M1784" s="11" t="str">
        <f>IF(I1784&lt;&gt;"",DATA!E1783,"")</f>
        <v>DECKING BALUSTER</v>
      </c>
      <c r="N1784" s="12">
        <v>0</v>
      </c>
      <c r="O1784" s="11">
        <f>IF(I1784&lt;&gt;"",DATA!C1783,"")</f>
        <v>6.7</v>
      </c>
      <c r="P1784" s="2">
        <v>294094</v>
      </c>
      <c r="Q1784" s="2" t="s">
        <v>1304</v>
      </c>
      <c r="R1784" s="2" t="s">
        <v>1339</v>
      </c>
      <c r="S1784" s="2">
        <v>282</v>
      </c>
      <c r="T1784" s="2">
        <v>1</v>
      </c>
      <c r="U1784" s="2" t="s">
        <v>141</v>
      </c>
      <c r="Y1784" s="2">
        <v>1700</v>
      </c>
      <c r="Z1784" s="11" t="s">
        <v>54</v>
      </c>
      <c r="AA1784" s="11" t="str">
        <f t="shared" si="117"/>
        <v>1700 - TBN</v>
      </c>
      <c r="AC1784" s="2" t="s">
        <v>145</v>
      </c>
      <c r="AD1784" s="11" t="str">
        <f>IF($I1784&lt;&gt;"",VLOOKUP($AC1784,GEADRESSEERDE!$A$2:$E$4,2,),"")</f>
        <v>LUITHAGEN HAVEN 2 D</v>
      </c>
      <c r="AE1784" s="11">
        <f>IF($I1784&lt;&gt;"",VLOOKUP($AC1784,GEADRESSEERDE!$A$2:$E$4,3,),"")</f>
        <v>2030</v>
      </c>
      <c r="AF1784" s="11" t="str">
        <f>IF($I1784&lt;&gt;"",VLOOKUP($AC1784,GEADRESSEERDE!$A$2:$E$4,4,),"")</f>
        <v>ANTWERPEN</v>
      </c>
      <c r="AG1784" s="11" t="str">
        <f>IF($I1784&lt;&gt;"",VLOOKUP($AC1784,GEADRESSEERDE!$A$2:$E$4,5,),"")</f>
        <v>BE</v>
      </c>
      <c r="AH1784" s="11" t="str">
        <f>IF(I1784&lt;&gt;"",VLOOKUP(AP1784,KvB!$A$2:$B$3,2,FALSE),"")</f>
        <v>BE101000</v>
      </c>
      <c r="AI1784" s="11" t="s">
        <v>55</v>
      </c>
      <c r="AJ1784" s="11"/>
      <c r="AK1784" s="11"/>
      <c r="AL1784" s="11"/>
      <c r="AM1784" s="11"/>
      <c r="AN1784" s="11"/>
      <c r="AO1784" s="11"/>
      <c r="AP1784" s="2" t="s">
        <v>70</v>
      </c>
      <c r="AQ1784" s="11" t="str">
        <f>IF(I1784&lt;&gt;"",DATA!D1783,"")</f>
        <v>7419200090</v>
      </c>
    </row>
    <row r="1785" spans="1:43" ht="15.75" x14ac:dyDescent="0.25">
      <c r="A1785" s="11" t="s">
        <v>57</v>
      </c>
      <c r="B1785" s="11" t="s">
        <v>56</v>
      </c>
      <c r="C1785" s="22">
        <f t="shared" si="114"/>
        <v>25001620</v>
      </c>
      <c r="D1785" s="11" t="str">
        <f t="shared" si="115"/>
        <v>SKIIFM_AT</v>
      </c>
      <c r="E1785" s="11" t="str">
        <f>IF(I1785&lt;&gt;"",VLOOKUP(F1785,OPDRACHTGEVER!$A$2:$B$4,2,FALSE),"")</f>
        <v>SKIIFM_AT</v>
      </c>
      <c r="F1785" s="11" t="s">
        <v>58</v>
      </c>
      <c r="I1785" s="11" t="str">
        <f>IF(DATA!B1784&lt;&gt;"",DATA!B1784,"")</f>
        <v>MSMU4569727</v>
      </c>
      <c r="J1785" s="12">
        <v>0</v>
      </c>
      <c r="K1785" s="11" t="s">
        <v>53</v>
      </c>
      <c r="L1785" s="11" t="str">
        <f t="shared" si="116"/>
        <v>820559</v>
      </c>
      <c r="M1785" s="11" t="str">
        <f>IF(I1785&lt;&gt;"",DATA!E1784,"")</f>
        <v>DISASSEMBLY TOOL</v>
      </c>
      <c r="N1785" s="12">
        <v>0</v>
      </c>
      <c r="O1785" s="11">
        <f>IF(I1785&lt;&gt;"",DATA!C1784,"")</f>
        <v>42.05</v>
      </c>
      <c r="P1785" s="2">
        <v>294094</v>
      </c>
      <c r="Q1785" s="2" t="s">
        <v>1304</v>
      </c>
      <c r="R1785" s="2" t="s">
        <v>1339</v>
      </c>
      <c r="S1785" s="2">
        <v>282</v>
      </c>
      <c r="T1785" s="2">
        <v>1</v>
      </c>
      <c r="U1785" s="2" t="s">
        <v>141</v>
      </c>
      <c r="Y1785" s="2">
        <v>1700</v>
      </c>
      <c r="Z1785" s="11" t="s">
        <v>54</v>
      </c>
      <c r="AA1785" s="11" t="str">
        <f t="shared" si="117"/>
        <v>1700 - TBN</v>
      </c>
      <c r="AC1785" s="2" t="s">
        <v>145</v>
      </c>
      <c r="AD1785" s="11" t="str">
        <f>IF($I1785&lt;&gt;"",VLOOKUP($AC1785,GEADRESSEERDE!$A$2:$E$4,2,),"")</f>
        <v>LUITHAGEN HAVEN 2 D</v>
      </c>
      <c r="AE1785" s="11">
        <f>IF($I1785&lt;&gt;"",VLOOKUP($AC1785,GEADRESSEERDE!$A$2:$E$4,3,),"")</f>
        <v>2030</v>
      </c>
      <c r="AF1785" s="11" t="str">
        <f>IF($I1785&lt;&gt;"",VLOOKUP($AC1785,GEADRESSEERDE!$A$2:$E$4,4,),"")</f>
        <v>ANTWERPEN</v>
      </c>
      <c r="AG1785" s="11" t="str">
        <f>IF($I1785&lt;&gt;"",VLOOKUP($AC1785,GEADRESSEERDE!$A$2:$E$4,5,),"")</f>
        <v>BE</v>
      </c>
      <c r="AH1785" s="11" t="str">
        <f>IF(I1785&lt;&gt;"",VLOOKUP(AP1785,KvB!$A$2:$B$3,2,FALSE),"")</f>
        <v>BE101000</v>
      </c>
      <c r="AI1785" s="11" t="s">
        <v>55</v>
      </c>
      <c r="AJ1785" s="11"/>
      <c r="AK1785" s="11"/>
      <c r="AL1785" s="11"/>
      <c r="AM1785" s="11"/>
      <c r="AN1785" s="11"/>
      <c r="AO1785" s="11"/>
      <c r="AP1785" s="2" t="s">
        <v>70</v>
      </c>
      <c r="AQ1785" s="11" t="str">
        <f>IF(I1785&lt;&gt;"",DATA!D1784,"")</f>
        <v>8205598000</v>
      </c>
    </row>
    <row r="1786" spans="1:43" ht="15.75" x14ac:dyDescent="0.25">
      <c r="A1786" s="11" t="s">
        <v>57</v>
      </c>
      <c r="B1786" s="11" t="s">
        <v>56</v>
      </c>
      <c r="C1786" s="22">
        <f t="shared" si="114"/>
        <v>25001620</v>
      </c>
      <c r="D1786" s="11" t="str">
        <f t="shared" si="115"/>
        <v>SKIIFM_AT</v>
      </c>
      <c r="E1786" s="11" t="str">
        <f>IF(I1786&lt;&gt;"",VLOOKUP(F1786,OPDRACHTGEVER!$A$2:$B$4,2,FALSE),"")</f>
        <v>SKIIFM_AT</v>
      </c>
      <c r="F1786" s="11" t="s">
        <v>58</v>
      </c>
      <c r="I1786" s="11" t="str">
        <f>IF(DATA!B1785&lt;&gt;"",DATA!B1785,"")</f>
        <v>MSMU4569727</v>
      </c>
      <c r="J1786" s="12">
        <v>0</v>
      </c>
      <c r="K1786" s="11" t="s">
        <v>53</v>
      </c>
      <c r="L1786" s="11" t="str">
        <f t="shared" si="116"/>
        <v>830260</v>
      </c>
      <c r="M1786" s="11" t="str">
        <f>IF(I1786&lt;&gt;"",DATA!E1785,"")</f>
        <v>DOOR CLOSERS</v>
      </c>
      <c r="N1786" s="12">
        <v>0</v>
      </c>
      <c r="O1786" s="11">
        <f>IF(I1786&lt;&gt;"",DATA!C1785,"")</f>
        <v>3.3</v>
      </c>
      <c r="P1786" s="2">
        <v>294094</v>
      </c>
      <c r="Q1786" s="2" t="s">
        <v>1304</v>
      </c>
      <c r="R1786" s="2" t="s">
        <v>1339</v>
      </c>
      <c r="S1786" s="2">
        <v>282</v>
      </c>
      <c r="T1786" s="2">
        <v>1</v>
      </c>
      <c r="U1786" s="2" t="s">
        <v>141</v>
      </c>
      <c r="Y1786" s="2">
        <v>1700</v>
      </c>
      <c r="Z1786" s="11" t="s">
        <v>54</v>
      </c>
      <c r="AA1786" s="11" t="str">
        <f t="shared" si="117"/>
        <v>1700 - TBN</v>
      </c>
      <c r="AC1786" s="2" t="s">
        <v>145</v>
      </c>
      <c r="AD1786" s="11" t="str">
        <f>IF($I1786&lt;&gt;"",VLOOKUP($AC1786,GEADRESSEERDE!$A$2:$E$4,2,),"")</f>
        <v>LUITHAGEN HAVEN 2 D</v>
      </c>
      <c r="AE1786" s="11">
        <f>IF($I1786&lt;&gt;"",VLOOKUP($AC1786,GEADRESSEERDE!$A$2:$E$4,3,),"")</f>
        <v>2030</v>
      </c>
      <c r="AF1786" s="11" t="str">
        <f>IF($I1786&lt;&gt;"",VLOOKUP($AC1786,GEADRESSEERDE!$A$2:$E$4,4,),"")</f>
        <v>ANTWERPEN</v>
      </c>
      <c r="AG1786" s="11" t="str">
        <f>IF($I1786&lt;&gt;"",VLOOKUP($AC1786,GEADRESSEERDE!$A$2:$E$4,5,),"")</f>
        <v>BE</v>
      </c>
      <c r="AH1786" s="11" t="str">
        <f>IF(I1786&lt;&gt;"",VLOOKUP(AP1786,KvB!$A$2:$B$3,2,FALSE),"")</f>
        <v>BE101000</v>
      </c>
      <c r="AI1786" s="11" t="s">
        <v>55</v>
      </c>
      <c r="AJ1786" s="11"/>
      <c r="AK1786" s="11"/>
      <c r="AL1786" s="11"/>
      <c r="AM1786" s="11"/>
      <c r="AN1786" s="11"/>
      <c r="AO1786" s="11"/>
      <c r="AP1786" s="2" t="s">
        <v>70</v>
      </c>
      <c r="AQ1786" s="11" t="str">
        <f>IF(I1786&lt;&gt;"",DATA!D1785,"")</f>
        <v>8302600090</v>
      </c>
    </row>
    <row r="1787" spans="1:43" ht="15.75" x14ac:dyDescent="0.25">
      <c r="A1787" s="11" t="s">
        <v>57</v>
      </c>
      <c r="B1787" s="11" t="s">
        <v>56</v>
      </c>
      <c r="C1787" s="22">
        <f t="shared" si="114"/>
        <v>25001620</v>
      </c>
      <c r="D1787" s="11" t="str">
        <f t="shared" si="115"/>
        <v>SKIIFM_AT</v>
      </c>
      <c r="E1787" s="11" t="str">
        <f>IF(I1787&lt;&gt;"",VLOOKUP(F1787,OPDRACHTGEVER!$A$2:$B$4,2,FALSE),"")</f>
        <v>SKIIFM_AT</v>
      </c>
      <c r="F1787" s="11" t="s">
        <v>58</v>
      </c>
      <c r="I1787" s="11" t="str">
        <f>IF(DATA!B1786&lt;&gt;"",DATA!B1786,"")</f>
        <v>MSMU4569727</v>
      </c>
      <c r="J1787" s="12">
        <v>0</v>
      </c>
      <c r="K1787" s="11" t="s">
        <v>53</v>
      </c>
      <c r="L1787" s="11" t="str">
        <f t="shared" si="116"/>
        <v>846729</v>
      </c>
      <c r="M1787" s="11" t="str">
        <f>IF(I1787&lt;&gt;"",DATA!E1786,"")</f>
        <v>DRYWALL SCREW GUN</v>
      </c>
      <c r="N1787" s="12">
        <v>0</v>
      </c>
      <c r="O1787" s="11">
        <f>IF(I1787&lt;&gt;"",DATA!C1786,"")</f>
        <v>3816</v>
      </c>
      <c r="P1787" s="2">
        <v>294094</v>
      </c>
      <c r="Q1787" s="2" t="s">
        <v>1304</v>
      </c>
      <c r="R1787" s="2" t="s">
        <v>1339</v>
      </c>
      <c r="S1787" s="2">
        <v>282</v>
      </c>
      <c r="T1787" s="2">
        <v>1</v>
      </c>
      <c r="U1787" s="2" t="s">
        <v>141</v>
      </c>
      <c r="Y1787" s="2">
        <v>1700</v>
      </c>
      <c r="Z1787" s="11" t="s">
        <v>54</v>
      </c>
      <c r="AA1787" s="11" t="str">
        <f t="shared" si="117"/>
        <v>1700 - TBN</v>
      </c>
      <c r="AC1787" s="2" t="s">
        <v>145</v>
      </c>
      <c r="AD1787" s="11" t="str">
        <f>IF($I1787&lt;&gt;"",VLOOKUP($AC1787,GEADRESSEERDE!$A$2:$E$4,2,),"")</f>
        <v>LUITHAGEN HAVEN 2 D</v>
      </c>
      <c r="AE1787" s="11">
        <f>IF($I1787&lt;&gt;"",VLOOKUP($AC1787,GEADRESSEERDE!$A$2:$E$4,3,),"")</f>
        <v>2030</v>
      </c>
      <c r="AF1787" s="11" t="str">
        <f>IF($I1787&lt;&gt;"",VLOOKUP($AC1787,GEADRESSEERDE!$A$2:$E$4,4,),"")</f>
        <v>ANTWERPEN</v>
      </c>
      <c r="AG1787" s="11" t="str">
        <f>IF($I1787&lt;&gt;"",VLOOKUP($AC1787,GEADRESSEERDE!$A$2:$E$4,5,),"")</f>
        <v>BE</v>
      </c>
      <c r="AH1787" s="11" t="str">
        <f>IF(I1787&lt;&gt;"",VLOOKUP(AP1787,KvB!$A$2:$B$3,2,FALSE),"")</f>
        <v>BE101000</v>
      </c>
      <c r="AI1787" s="11" t="s">
        <v>55</v>
      </c>
      <c r="AJ1787" s="11"/>
      <c r="AK1787" s="11"/>
      <c r="AL1787" s="11"/>
      <c r="AM1787" s="11"/>
      <c r="AN1787" s="11"/>
      <c r="AO1787" s="11"/>
      <c r="AP1787" s="2" t="s">
        <v>70</v>
      </c>
      <c r="AQ1787" s="11" t="str">
        <f>IF(I1787&lt;&gt;"",DATA!D1786,"")</f>
        <v>8467295900</v>
      </c>
    </row>
    <row r="1788" spans="1:43" ht="15.75" x14ac:dyDescent="0.25">
      <c r="A1788" s="11" t="s">
        <v>57</v>
      </c>
      <c r="B1788" s="11" t="s">
        <v>56</v>
      </c>
      <c r="C1788" s="22">
        <f t="shared" si="114"/>
        <v>25001620</v>
      </c>
      <c r="D1788" s="11" t="str">
        <f t="shared" si="115"/>
        <v>SKIIFM_AT</v>
      </c>
      <c r="E1788" s="11" t="str">
        <f>IF(I1788&lt;&gt;"",VLOOKUP(F1788,OPDRACHTGEVER!$A$2:$B$4,2,FALSE),"")</f>
        <v>SKIIFM_AT</v>
      </c>
      <c r="F1788" s="11" t="s">
        <v>58</v>
      </c>
      <c r="I1788" s="11" t="str">
        <f>IF(DATA!B1787&lt;&gt;"",DATA!B1787,"")</f>
        <v>MSMU4569727</v>
      </c>
      <c r="J1788" s="12">
        <v>0</v>
      </c>
      <c r="K1788" s="11" t="s">
        <v>53</v>
      </c>
      <c r="L1788" s="11" t="str">
        <f t="shared" si="116"/>
        <v>851660</v>
      </c>
      <c r="M1788" s="11" t="str">
        <f>IF(I1788&lt;&gt;"",DATA!E1787,"")</f>
        <v>ELECTRIC ROTISSERIE</v>
      </c>
      <c r="N1788" s="12">
        <v>0</v>
      </c>
      <c r="O1788" s="11">
        <f>IF(I1788&lt;&gt;"",DATA!C1787,"")</f>
        <v>1271.25</v>
      </c>
      <c r="P1788" s="2">
        <v>294094</v>
      </c>
      <c r="Q1788" s="2" t="s">
        <v>1304</v>
      </c>
      <c r="R1788" s="2" t="s">
        <v>1339</v>
      </c>
      <c r="S1788" s="2">
        <v>282</v>
      </c>
      <c r="T1788" s="2">
        <v>1</v>
      </c>
      <c r="U1788" s="2" t="s">
        <v>141</v>
      </c>
      <c r="Y1788" s="2">
        <v>1700</v>
      </c>
      <c r="Z1788" s="11" t="s">
        <v>54</v>
      </c>
      <c r="AA1788" s="11" t="str">
        <f t="shared" si="117"/>
        <v>1700 - TBN</v>
      </c>
      <c r="AC1788" s="2" t="s">
        <v>145</v>
      </c>
      <c r="AD1788" s="11" t="str">
        <f>IF($I1788&lt;&gt;"",VLOOKUP($AC1788,GEADRESSEERDE!$A$2:$E$4,2,),"")</f>
        <v>LUITHAGEN HAVEN 2 D</v>
      </c>
      <c r="AE1788" s="11">
        <f>IF($I1788&lt;&gt;"",VLOOKUP($AC1788,GEADRESSEERDE!$A$2:$E$4,3,),"")</f>
        <v>2030</v>
      </c>
      <c r="AF1788" s="11" t="str">
        <f>IF($I1788&lt;&gt;"",VLOOKUP($AC1788,GEADRESSEERDE!$A$2:$E$4,4,),"")</f>
        <v>ANTWERPEN</v>
      </c>
      <c r="AG1788" s="11" t="str">
        <f>IF($I1788&lt;&gt;"",VLOOKUP($AC1788,GEADRESSEERDE!$A$2:$E$4,5,),"")</f>
        <v>BE</v>
      </c>
      <c r="AH1788" s="11" t="str">
        <f>IF(I1788&lt;&gt;"",VLOOKUP(AP1788,KvB!$A$2:$B$3,2,FALSE),"")</f>
        <v>BE101000</v>
      </c>
      <c r="AI1788" s="11" t="s">
        <v>55</v>
      </c>
      <c r="AJ1788" s="11"/>
      <c r="AK1788" s="11"/>
      <c r="AL1788" s="11"/>
      <c r="AM1788" s="11"/>
      <c r="AN1788" s="11"/>
      <c r="AO1788" s="11"/>
      <c r="AP1788" s="2" t="s">
        <v>70</v>
      </c>
      <c r="AQ1788" s="11" t="str">
        <f>IF(I1788&lt;&gt;"",DATA!D1787,"")</f>
        <v>8516609000</v>
      </c>
    </row>
    <row r="1789" spans="1:43" ht="15.75" x14ac:dyDescent="0.25">
      <c r="A1789" s="11" t="s">
        <v>57</v>
      </c>
      <c r="B1789" s="11" t="s">
        <v>56</v>
      </c>
      <c r="C1789" s="22">
        <f t="shared" si="114"/>
        <v>25001620</v>
      </c>
      <c r="D1789" s="11" t="str">
        <f t="shared" si="115"/>
        <v>SKIIFM_AT</v>
      </c>
      <c r="E1789" s="11" t="str">
        <f>IF(I1789&lt;&gt;"",VLOOKUP(F1789,OPDRACHTGEVER!$A$2:$B$4,2,FALSE),"")</f>
        <v>SKIIFM_AT</v>
      </c>
      <c r="F1789" s="11" t="s">
        <v>58</v>
      </c>
      <c r="I1789" s="11" t="str">
        <f>IF(DATA!B1788&lt;&gt;"",DATA!B1788,"")</f>
        <v>MSMU4569727</v>
      </c>
      <c r="J1789" s="12">
        <v>0</v>
      </c>
      <c r="K1789" s="11" t="s">
        <v>53</v>
      </c>
      <c r="L1789" s="11" t="str">
        <f t="shared" si="116"/>
        <v>842199</v>
      </c>
      <c r="M1789" s="11" t="str">
        <f>IF(I1789&lt;&gt;"",DATA!E1788,"")</f>
        <v>FIBER FILTER BALL</v>
      </c>
      <c r="N1789" s="12">
        <v>0</v>
      </c>
      <c r="O1789" s="11">
        <f>IF(I1789&lt;&gt;"",DATA!C1788,"")</f>
        <v>3.9</v>
      </c>
      <c r="P1789" s="2">
        <v>294094</v>
      </c>
      <c r="Q1789" s="2" t="s">
        <v>1304</v>
      </c>
      <c r="R1789" s="2" t="s">
        <v>1339</v>
      </c>
      <c r="S1789" s="2">
        <v>282</v>
      </c>
      <c r="T1789" s="2">
        <v>1</v>
      </c>
      <c r="U1789" s="2" t="s">
        <v>141</v>
      </c>
      <c r="Y1789" s="2">
        <v>1700</v>
      </c>
      <c r="Z1789" s="11" t="s">
        <v>54</v>
      </c>
      <c r="AA1789" s="11" t="str">
        <f t="shared" si="117"/>
        <v>1700 - TBN</v>
      </c>
      <c r="AC1789" s="2" t="s">
        <v>145</v>
      </c>
      <c r="AD1789" s="11" t="str">
        <f>IF($I1789&lt;&gt;"",VLOOKUP($AC1789,GEADRESSEERDE!$A$2:$E$4,2,),"")</f>
        <v>LUITHAGEN HAVEN 2 D</v>
      </c>
      <c r="AE1789" s="11">
        <f>IF($I1789&lt;&gt;"",VLOOKUP($AC1789,GEADRESSEERDE!$A$2:$E$4,3,),"")</f>
        <v>2030</v>
      </c>
      <c r="AF1789" s="11" t="str">
        <f>IF($I1789&lt;&gt;"",VLOOKUP($AC1789,GEADRESSEERDE!$A$2:$E$4,4,),"")</f>
        <v>ANTWERPEN</v>
      </c>
      <c r="AG1789" s="11" t="str">
        <f>IF($I1789&lt;&gt;"",VLOOKUP($AC1789,GEADRESSEERDE!$A$2:$E$4,5,),"")</f>
        <v>BE</v>
      </c>
      <c r="AH1789" s="11" t="str">
        <f>IF(I1789&lt;&gt;"",VLOOKUP(AP1789,KvB!$A$2:$B$3,2,FALSE),"")</f>
        <v>BE101000</v>
      </c>
      <c r="AI1789" s="11" t="s">
        <v>55</v>
      </c>
      <c r="AJ1789" s="11"/>
      <c r="AK1789" s="11"/>
      <c r="AL1789" s="11"/>
      <c r="AM1789" s="11"/>
      <c r="AN1789" s="11"/>
      <c r="AO1789" s="11"/>
      <c r="AP1789" s="2" t="s">
        <v>70</v>
      </c>
      <c r="AQ1789" s="11" t="str">
        <f>IF(I1789&lt;&gt;"",DATA!D1788,"")</f>
        <v>8421999099</v>
      </c>
    </row>
    <row r="1790" spans="1:43" ht="15.75" x14ac:dyDescent="0.25">
      <c r="A1790" s="11" t="s">
        <v>57</v>
      </c>
      <c r="B1790" s="11" t="s">
        <v>56</v>
      </c>
      <c r="C1790" s="22">
        <f t="shared" si="114"/>
        <v>25001620</v>
      </c>
      <c r="D1790" s="11" t="str">
        <f t="shared" si="115"/>
        <v>SKIIFM_AT</v>
      </c>
      <c r="E1790" s="11" t="str">
        <f>IF(I1790&lt;&gt;"",VLOOKUP(F1790,OPDRACHTGEVER!$A$2:$B$4,2,FALSE),"")</f>
        <v>SKIIFM_AT</v>
      </c>
      <c r="F1790" s="11" t="s">
        <v>58</v>
      </c>
      <c r="I1790" s="11" t="str">
        <f>IF(DATA!B1789&lt;&gt;"",DATA!B1789,"")</f>
        <v>MSMU4569727</v>
      </c>
      <c r="J1790" s="12">
        <v>0</v>
      </c>
      <c r="K1790" s="11" t="s">
        <v>53</v>
      </c>
      <c r="L1790" s="11" t="str">
        <f t="shared" si="116"/>
        <v>392020</v>
      </c>
      <c r="M1790" s="11" t="str">
        <f>IF(I1790&lt;&gt;"",DATA!E1789,"")</f>
        <v>GARAGE FLOOR MATS</v>
      </c>
      <c r="N1790" s="12">
        <v>0</v>
      </c>
      <c r="O1790" s="11">
        <f>IF(I1790&lt;&gt;"",DATA!C1789,"")</f>
        <v>272.75</v>
      </c>
      <c r="P1790" s="2">
        <v>294094</v>
      </c>
      <c r="Q1790" s="2" t="s">
        <v>1304</v>
      </c>
      <c r="R1790" s="2" t="s">
        <v>1339</v>
      </c>
      <c r="S1790" s="2">
        <v>282</v>
      </c>
      <c r="T1790" s="2">
        <v>1</v>
      </c>
      <c r="U1790" s="2" t="s">
        <v>141</v>
      </c>
      <c r="Y1790" s="2">
        <v>1700</v>
      </c>
      <c r="Z1790" s="11" t="s">
        <v>54</v>
      </c>
      <c r="AA1790" s="11" t="str">
        <f t="shared" si="117"/>
        <v>1700 - TBN</v>
      </c>
      <c r="AC1790" s="2" t="s">
        <v>145</v>
      </c>
      <c r="AD1790" s="11" t="str">
        <f>IF($I1790&lt;&gt;"",VLOOKUP($AC1790,GEADRESSEERDE!$A$2:$E$4,2,),"")</f>
        <v>LUITHAGEN HAVEN 2 D</v>
      </c>
      <c r="AE1790" s="11">
        <f>IF($I1790&lt;&gt;"",VLOOKUP($AC1790,GEADRESSEERDE!$A$2:$E$4,3,),"")</f>
        <v>2030</v>
      </c>
      <c r="AF1790" s="11" t="str">
        <f>IF($I1790&lt;&gt;"",VLOOKUP($AC1790,GEADRESSEERDE!$A$2:$E$4,4,),"")</f>
        <v>ANTWERPEN</v>
      </c>
      <c r="AG1790" s="11" t="str">
        <f>IF($I1790&lt;&gt;"",VLOOKUP($AC1790,GEADRESSEERDE!$A$2:$E$4,5,),"")</f>
        <v>BE</v>
      </c>
      <c r="AH1790" s="11" t="str">
        <f>IF(I1790&lt;&gt;"",VLOOKUP(AP1790,KvB!$A$2:$B$3,2,FALSE),"")</f>
        <v>BE101000</v>
      </c>
      <c r="AI1790" s="11" t="s">
        <v>55</v>
      </c>
      <c r="AJ1790" s="11"/>
      <c r="AK1790" s="11"/>
      <c r="AL1790" s="11"/>
      <c r="AM1790" s="11"/>
      <c r="AN1790" s="11"/>
      <c r="AO1790" s="11"/>
      <c r="AP1790" s="2" t="s">
        <v>70</v>
      </c>
      <c r="AQ1790" s="11" t="str">
        <f>IF(I1790&lt;&gt;"",DATA!D1789,"")</f>
        <v>3920208090</v>
      </c>
    </row>
    <row r="1791" spans="1:43" ht="15.75" x14ac:dyDescent="0.25">
      <c r="A1791" s="11" t="s">
        <v>57</v>
      </c>
      <c r="B1791" s="11" t="s">
        <v>56</v>
      </c>
      <c r="C1791" s="22">
        <f t="shared" si="114"/>
        <v>25001620</v>
      </c>
      <c r="D1791" s="11" t="str">
        <f t="shared" si="115"/>
        <v>SKIIFM_AT</v>
      </c>
      <c r="E1791" s="11" t="str">
        <f>IF(I1791&lt;&gt;"",VLOOKUP(F1791,OPDRACHTGEVER!$A$2:$B$4,2,FALSE),"")</f>
        <v>SKIIFM_AT</v>
      </c>
      <c r="F1791" s="11" t="s">
        <v>58</v>
      </c>
      <c r="I1791" s="11" t="str">
        <f>IF(DATA!B1790&lt;&gt;"",DATA!B1790,"")</f>
        <v>MSMU4569727</v>
      </c>
      <c r="J1791" s="12">
        <v>0</v>
      </c>
      <c r="K1791" s="11" t="s">
        <v>53</v>
      </c>
      <c r="L1791" s="11" t="str">
        <f t="shared" si="116"/>
        <v>741920</v>
      </c>
      <c r="M1791" s="11" t="str">
        <f>IF(I1791&lt;&gt;"",DATA!E1790,"")</f>
        <v>HANDRAIL</v>
      </c>
      <c r="N1791" s="12">
        <v>0</v>
      </c>
      <c r="O1791" s="11">
        <f>IF(I1791&lt;&gt;"",DATA!C1790,"")</f>
        <v>1.65</v>
      </c>
      <c r="P1791" s="2">
        <v>294094</v>
      </c>
      <c r="Q1791" s="2" t="s">
        <v>1304</v>
      </c>
      <c r="R1791" s="2" t="s">
        <v>1339</v>
      </c>
      <c r="S1791" s="2">
        <v>282</v>
      </c>
      <c r="T1791" s="2">
        <v>1</v>
      </c>
      <c r="U1791" s="2" t="s">
        <v>141</v>
      </c>
      <c r="Y1791" s="2">
        <v>1700</v>
      </c>
      <c r="Z1791" s="11" t="s">
        <v>54</v>
      </c>
      <c r="AA1791" s="11" t="str">
        <f t="shared" si="117"/>
        <v>1700 - TBN</v>
      </c>
      <c r="AC1791" s="2" t="s">
        <v>145</v>
      </c>
      <c r="AD1791" s="11" t="str">
        <f>IF($I1791&lt;&gt;"",VLOOKUP($AC1791,GEADRESSEERDE!$A$2:$E$4,2,),"")</f>
        <v>LUITHAGEN HAVEN 2 D</v>
      </c>
      <c r="AE1791" s="11">
        <f>IF($I1791&lt;&gt;"",VLOOKUP($AC1791,GEADRESSEERDE!$A$2:$E$4,3,),"")</f>
        <v>2030</v>
      </c>
      <c r="AF1791" s="11" t="str">
        <f>IF($I1791&lt;&gt;"",VLOOKUP($AC1791,GEADRESSEERDE!$A$2:$E$4,4,),"")</f>
        <v>ANTWERPEN</v>
      </c>
      <c r="AG1791" s="11" t="str">
        <f>IF($I1791&lt;&gt;"",VLOOKUP($AC1791,GEADRESSEERDE!$A$2:$E$4,5,),"")</f>
        <v>BE</v>
      </c>
      <c r="AH1791" s="11" t="str">
        <f>IF(I1791&lt;&gt;"",VLOOKUP(AP1791,KvB!$A$2:$B$3,2,FALSE),"")</f>
        <v>BE101000</v>
      </c>
      <c r="AI1791" s="11" t="s">
        <v>55</v>
      </c>
      <c r="AJ1791" s="11"/>
      <c r="AK1791" s="11"/>
      <c r="AL1791" s="11"/>
      <c r="AM1791" s="11"/>
      <c r="AN1791" s="11"/>
      <c r="AO1791" s="11"/>
      <c r="AP1791" s="2" t="s">
        <v>70</v>
      </c>
      <c r="AQ1791" s="11" t="str">
        <f>IF(I1791&lt;&gt;"",DATA!D1790,"")</f>
        <v>7419200090</v>
      </c>
    </row>
    <row r="1792" spans="1:43" ht="15.75" x14ac:dyDescent="0.25">
      <c r="A1792" s="11" t="s">
        <v>57</v>
      </c>
      <c r="B1792" s="11" t="s">
        <v>56</v>
      </c>
      <c r="C1792" s="22">
        <f t="shared" si="114"/>
        <v>25001620</v>
      </c>
      <c r="D1792" s="11" t="str">
        <f t="shared" si="115"/>
        <v>SKIIFM_AT</v>
      </c>
      <c r="E1792" s="11" t="str">
        <f>IF(I1792&lt;&gt;"",VLOOKUP(F1792,OPDRACHTGEVER!$A$2:$B$4,2,FALSE),"")</f>
        <v>SKIIFM_AT</v>
      </c>
      <c r="F1792" s="11" t="s">
        <v>58</v>
      </c>
      <c r="I1792" s="11" t="str">
        <f>IF(DATA!B1791&lt;&gt;"",DATA!B1791,"")</f>
        <v>MSMU4569727</v>
      </c>
      <c r="J1792" s="12">
        <v>0</v>
      </c>
      <c r="K1792" s="11" t="s">
        <v>53</v>
      </c>
      <c r="L1792" s="11" t="str">
        <f t="shared" si="116"/>
        <v>848120</v>
      </c>
      <c r="M1792" s="11" t="str">
        <f>IF(I1792&lt;&gt;"",DATA!E1791,"")</f>
        <v>HYDRAULIC CONTROL VALVE</v>
      </c>
      <c r="N1792" s="12">
        <v>0</v>
      </c>
      <c r="O1792" s="11">
        <f>IF(I1792&lt;&gt;"",DATA!C1791,"")</f>
        <v>19.600000000000001</v>
      </c>
      <c r="P1792" s="2">
        <v>294094</v>
      </c>
      <c r="Q1792" s="2" t="s">
        <v>1304</v>
      </c>
      <c r="R1792" s="2" t="s">
        <v>1339</v>
      </c>
      <c r="S1792" s="2">
        <v>282</v>
      </c>
      <c r="T1792" s="2">
        <v>1</v>
      </c>
      <c r="U1792" s="2" t="s">
        <v>141</v>
      </c>
      <c r="Y1792" s="2">
        <v>1700</v>
      </c>
      <c r="Z1792" s="11" t="s">
        <v>54</v>
      </c>
      <c r="AA1792" s="11" t="str">
        <f t="shared" si="117"/>
        <v>1700 - TBN</v>
      </c>
      <c r="AC1792" s="2" t="s">
        <v>145</v>
      </c>
      <c r="AD1792" s="11" t="str">
        <f>IF($I1792&lt;&gt;"",VLOOKUP($AC1792,GEADRESSEERDE!$A$2:$E$4,2,),"")</f>
        <v>LUITHAGEN HAVEN 2 D</v>
      </c>
      <c r="AE1792" s="11">
        <f>IF($I1792&lt;&gt;"",VLOOKUP($AC1792,GEADRESSEERDE!$A$2:$E$4,3,),"")</f>
        <v>2030</v>
      </c>
      <c r="AF1792" s="11" t="str">
        <f>IF($I1792&lt;&gt;"",VLOOKUP($AC1792,GEADRESSEERDE!$A$2:$E$4,4,),"")</f>
        <v>ANTWERPEN</v>
      </c>
      <c r="AG1792" s="11" t="str">
        <f>IF($I1792&lt;&gt;"",VLOOKUP($AC1792,GEADRESSEERDE!$A$2:$E$4,5,),"")</f>
        <v>BE</v>
      </c>
      <c r="AH1792" s="11" t="str">
        <f>IF(I1792&lt;&gt;"",VLOOKUP(AP1792,KvB!$A$2:$B$3,2,FALSE),"")</f>
        <v>BE101000</v>
      </c>
      <c r="AI1792" s="11" t="s">
        <v>55</v>
      </c>
      <c r="AJ1792" s="11"/>
      <c r="AK1792" s="11"/>
      <c r="AL1792" s="11"/>
      <c r="AM1792" s="11"/>
      <c r="AN1792" s="11"/>
      <c r="AO1792" s="11"/>
      <c r="AP1792" s="2" t="s">
        <v>70</v>
      </c>
      <c r="AQ1792" s="11" t="str">
        <f>IF(I1792&lt;&gt;"",DATA!D1791,"")</f>
        <v>8481201090</v>
      </c>
    </row>
    <row r="1793" spans="1:43" ht="15.75" x14ac:dyDescent="0.25">
      <c r="A1793" s="11" t="s">
        <v>57</v>
      </c>
      <c r="B1793" s="11" t="s">
        <v>56</v>
      </c>
      <c r="C1793" s="22">
        <f t="shared" si="114"/>
        <v>25001620</v>
      </c>
      <c r="D1793" s="11" t="str">
        <f t="shared" si="115"/>
        <v>SKIIFM_AT</v>
      </c>
      <c r="E1793" s="11" t="str">
        <f>IF(I1793&lt;&gt;"",VLOOKUP(F1793,OPDRACHTGEVER!$A$2:$B$4,2,FALSE),"")</f>
        <v>SKIIFM_AT</v>
      </c>
      <c r="F1793" s="11" t="s">
        <v>58</v>
      </c>
      <c r="I1793" s="11" t="str">
        <f>IF(DATA!B1792&lt;&gt;"",DATA!B1792,"")</f>
        <v>MSMU4569727</v>
      </c>
      <c r="J1793" s="12">
        <v>0</v>
      </c>
      <c r="K1793" s="11" t="s">
        <v>53</v>
      </c>
      <c r="L1793" s="11" t="str">
        <f t="shared" si="116"/>
        <v>842542</v>
      </c>
      <c r="M1793" s="11" t="str">
        <f>IF(I1793&lt;&gt;"",DATA!E1792,"")</f>
        <v>HYDRAULIC JACK</v>
      </c>
      <c r="N1793" s="12">
        <v>0</v>
      </c>
      <c r="O1793" s="11">
        <f>IF(I1793&lt;&gt;"",DATA!C1792,"")</f>
        <v>109.2</v>
      </c>
      <c r="P1793" s="2">
        <v>294094</v>
      </c>
      <c r="Q1793" s="2" t="s">
        <v>1304</v>
      </c>
      <c r="R1793" s="2" t="s">
        <v>1339</v>
      </c>
      <c r="S1793" s="2">
        <v>282</v>
      </c>
      <c r="T1793" s="2">
        <v>1</v>
      </c>
      <c r="U1793" s="2" t="s">
        <v>141</v>
      </c>
      <c r="Y1793" s="2">
        <v>1700</v>
      </c>
      <c r="Z1793" s="11" t="s">
        <v>54</v>
      </c>
      <c r="AA1793" s="11" t="str">
        <f t="shared" si="117"/>
        <v>1700 - TBN</v>
      </c>
      <c r="AC1793" s="2" t="s">
        <v>145</v>
      </c>
      <c r="AD1793" s="11" t="str">
        <f>IF($I1793&lt;&gt;"",VLOOKUP($AC1793,GEADRESSEERDE!$A$2:$E$4,2,),"")</f>
        <v>LUITHAGEN HAVEN 2 D</v>
      </c>
      <c r="AE1793" s="11">
        <f>IF($I1793&lt;&gt;"",VLOOKUP($AC1793,GEADRESSEERDE!$A$2:$E$4,3,),"")</f>
        <v>2030</v>
      </c>
      <c r="AF1793" s="11" t="str">
        <f>IF($I1793&lt;&gt;"",VLOOKUP($AC1793,GEADRESSEERDE!$A$2:$E$4,4,),"")</f>
        <v>ANTWERPEN</v>
      </c>
      <c r="AG1793" s="11" t="str">
        <f>IF($I1793&lt;&gt;"",VLOOKUP($AC1793,GEADRESSEERDE!$A$2:$E$4,5,),"")</f>
        <v>BE</v>
      </c>
      <c r="AH1793" s="11" t="str">
        <f>IF(I1793&lt;&gt;"",VLOOKUP(AP1793,KvB!$A$2:$B$3,2,FALSE),"")</f>
        <v>BE101000</v>
      </c>
      <c r="AI1793" s="11" t="s">
        <v>55</v>
      </c>
      <c r="AJ1793" s="11"/>
      <c r="AK1793" s="11"/>
      <c r="AL1793" s="11"/>
      <c r="AM1793" s="11"/>
      <c r="AN1793" s="11"/>
      <c r="AO1793" s="11"/>
      <c r="AP1793" s="2" t="s">
        <v>70</v>
      </c>
      <c r="AQ1793" s="11" t="str">
        <f>IF(I1793&lt;&gt;"",DATA!D1792,"")</f>
        <v>8425420000</v>
      </c>
    </row>
    <row r="1794" spans="1:43" ht="15.75" x14ac:dyDescent="0.25">
      <c r="A1794" s="11" t="s">
        <v>57</v>
      </c>
      <c r="B1794" s="11" t="s">
        <v>56</v>
      </c>
      <c r="C1794" s="22">
        <f t="shared" si="114"/>
        <v>25001620</v>
      </c>
      <c r="D1794" s="11" t="str">
        <f t="shared" si="115"/>
        <v>SKIIFM_AT</v>
      </c>
      <c r="E1794" s="11" t="str">
        <f>IF(I1794&lt;&gt;"",VLOOKUP(F1794,OPDRACHTGEVER!$A$2:$B$4,2,FALSE),"")</f>
        <v>SKIIFM_AT</v>
      </c>
      <c r="F1794" s="11" t="s">
        <v>58</v>
      </c>
      <c r="I1794" s="11" t="str">
        <f>IF(DATA!B1793&lt;&gt;"",DATA!B1793,"")</f>
        <v>MSMU4569727</v>
      </c>
      <c r="J1794" s="12">
        <v>0</v>
      </c>
      <c r="K1794" s="11" t="s">
        <v>53</v>
      </c>
      <c r="L1794" s="11" t="str">
        <f t="shared" si="116"/>
        <v>846789</v>
      </c>
      <c r="M1794" s="11" t="str">
        <f>IF(I1794&lt;&gt;"",DATA!E1793,"")</f>
        <v>HYDRAULIC OPENING DEVICE</v>
      </c>
      <c r="N1794" s="12">
        <v>0</v>
      </c>
      <c r="O1794" s="11">
        <f>IF(I1794&lt;&gt;"",DATA!C1793,"")</f>
        <v>3.92</v>
      </c>
      <c r="P1794" s="2">
        <v>294094</v>
      </c>
      <c r="Q1794" s="2" t="s">
        <v>1304</v>
      </c>
      <c r="R1794" s="2" t="s">
        <v>1339</v>
      </c>
      <c r="S1794" s="2">
        <v>282</v>
      </c>
      <c r="T1794" s="2">
        <v>1</v>
      </c>
      <c r="U1794" s="2" t="s">
        <v>141</v>
      </c>
      <c r="Y1794" s="2">
        <v>1700</v>
      </c>
      <c r="Z1794" s="11" t="s">
        <v>54</v>
      </c>
      <c r="AA1794" s="11" t="str">
        <f t="shared" si="117"/>
        <v>1700 - TBN</v>
      </c>
      <c r="AC1794" s="2" t="s">
        <v>145</v>
      </c>
      <c r="AD1794" s="11" t="str">
        <f>IF($I1794&lt;&gt;"",VLOOKUP($AC1794,GEADRESSEERDE!$A$2:$E$4,2,),"")</f>
        <v>LUITHAGEN HAVEN 2 D</v>
      </c>
      <c r="AE1794" s="11">
        <f>IF($I1794&lt;&gt;"",VLOOKUP($AC1794,GEADRESSEERDE!$A$2:$E$4,3,),"")</f>
        <v>2030</v>
      </c>
      <c r="AF1794" s="11" t="str">
        <f>IF($I1794&lt;&gt;"",VLOOKUP($AC1794,GEADRESSEERDE!$A$2:$E$4,4,),"")</f>
        <v>ANTWERPEN</v>
      </c>
      <c r="AG1794" s="11" t="str">
        <f>IF($I1794&lt;&gt;"",VLOOKUP($AC1794,GEADRESSEERDE!$A$2:$E$4,5,),"")</f>
        <v>BE</v>
      </c>
      <c r="AH1794" s="11" t="str">
        <f>IF(I1794&lt;&gt;"",VLOOKUP(AP1794,KvB!$A$2:$B$3,2,FALSE),"")</f>
        <v>BE101000</v>
      </c>
      <c r="AI1794" s="11" t="s">
        <v>55</v>
      </c>
      <c r="AJ1794" s="11"/>
      <c r="AK1794" s="11"/>
      <c r="AL1794" s="11"/>
      <c r="AM1794" s="11"/>
      <c r="AN1794" s="11"/>
      <c r="AO1794" s="11"/>
      <c r="AP1794" s="2" t="s">
        <v>70</v>
      </c>
      <c r="AQ1794" s="11" t="str">
        <f>IF(I1794&lt;&gt;"",DATA!D1793,"")</f>
        <v>8467890000</v>
      </c>
    </row>
    <row r="1795" spans="1:43" ht="15.75" x14ac:dyDescent="0.25">
      <c r="A1795" s="11" t="s">
        <v>57</v>
      </c>
      <c r="B1795" s="11" t="s">
        <v>56</v>
      </c>
      <c r="C1795" s="22">
        <f t="shared" si="114"/>
        <v>25001620</v>
      </c>
      <c r="D1795" s="11" t="str">
        <f t="shared" si="115"/>
        <v>SKIIFM_AT</v>
      </c>
      <c r="E1795" s="11" t="str">
        <f>IF(I1795&lt;&gt;"",VLOOKUP(F1795,OPDRACHTGEVER!$A$2:$B$4,2,FALSE),"")</f>
        <v>SKIIFM_AT</v>
      </c>
      <c r="F1795" s="11" t="s">
        <v>58</v>
      </c>
      <c r="I1795" s="11" t="str">
        <f>IF(DATA!B1794&lt;&gt;"",DATA!B1794,"")</f>
        <v>MSMU4569727</v>
      </c>
      <c r="J1795" s="12">
        <v>0</v>
      </c>
      <c r="K1795" s="11" t="s">
        <v>53</v>
      </c>
      <c r="L1795" s="11" t="str">
        <f t="shared" si="116"/>
        <v>901730</v>
      </c>
      <c r="M1795" s="11" t="str">
        <f>IF(I1795&lt;&gt;"",DATA!E1794,"")</f>
        <v>IMPERIAL GRADE ROD</v>
      </c>
      <c r="N1795" s="12">
        <v>0</v>
      </c>
      <c r="O1795" s="11">
        <f>IF(I1795&lt;&gt;"",DATA!C1794,"")</f>
        <v>1.05</v>
      </c>
      <c r="P1795" s="2">
        <v>294094</v>
      </c>
      <c r="Q1795" s="2" t="s">
        <v>1304</v>
      </c>
      <c r="R1795" s="2" t="s">
        <v>1339</v>
      </c>
      <c r="S1795" s="2">
        <v>282</v>
      </c>
      <c r="T1795" s="2">
        <v>1</v>
      </c>
      <c r="U1795" s="2" t="s">
        <v>141</v>
      </c>
      <c r="Y1795" s="2">
        <v>1700</v>
      </c>
      <c r="Z1795" s="11" t="s">
        <v>54</v>
      </c>
      <c r="AA1795" s="11" t="str">
        <f t="shared" si="117"/>
        <v>1700 - TBN</v>
      </c>
      <c r="AC1795" s="2" t="s">
        <v>145</v>
      </c>
      <c r="AD1795" s="11" t="str">
        <f>IF($I1795&lt;&gt;"",VLOOKUP($AC1795,GEADRESSEERDE!$A$2:$E$4,2,),"")</f>
        <v>LUITHAGEN HAVEN 2 D</v>
      </c>
      <c r="AE1795" s="11">
        <f>IF($I1795&lt;&gt;"",VLOOKUP($AC1795,GEADRESSEERDE!$A$2:$E$4,3,),"")</f>
        <v>2030</v>
      </c>
      <c r="AF1795" s="11" t="str">
        <f>IF($I1795&lt;&gt;"",VLOOKUP($AC1795,GEADRESSEERDE!$A$2:$E$4,4,),"")</f>
        <v>ANTWERPEN</v>
      </c>
      <c r="AG1795" s="11" t="str">
        <f>IF($I1795&lt;&gt;"",VLOOKUP($AC1795,GEADRESSEERDE!$A$2:$E$4,5,),"")</f>
        <v>BE</v>
      </c>
      <c r="AH1795" s="11" t="str">
        <f>IF(I1795&lt;&gt;"",VLOOKUP(AP1795,KvB!$A$2:$B$3,2,FALSE),"")</f>
        <v>BE101000</v>
      </c>
      <c r="AI1795" s="11" t="s">
        <v>55</v>
      </c>
      <c r="AJ1795" s="11"/>
      <c r="AK1795" s="11"/>
      <c r="AL1795" s="11"/>
      <c r="AM1795" s="11"/>
      <c r="AN1795" s="11"/>
      <c r="AO1795" s="11"/>
      <c r="AP1795" s="2" t="s">
        <v>70</v>
      </c>
      <c r="AQ1795" s="11" t="str">
        <f>IF(I1795&lt;&gt;"",DATA!D1794,"")</f>
        <v>9017300000</v>
      </c>
    </row>
    <row r="1796" spans="1:43" ht="15.75" x14ac:dyDescent="0.25">
      <c r="A1796" s="11" t="s">
        <v>57</v>
      </c>
      <c r="B1796" s="11" t="s">
        <v>56</v>
      </c>
      <c r="C1796" s="22">
        <f t="shared" si="114"/>
        <v>25001620</v>
      </c>
      <c r="D1796" s="11" t="str">
        <f t="shared" si="115"/>
        <v>SKIIFM_AT</v>
      </c>
      <c r="E1796" s="11" t="str">
        <f>IF(I1796&lt;&gt;"",VLOOKUP(F1796,OPDRACHTGEVER!$A$2:$B$4,2,FALSE),"")</f>
        <v>SKIIFM_AT</v>
      </c>
      <c r="F1796" s="11" t="s">
        <v>58</v>
      </c>
      <c r="I1796" s="11" t="str">
        <f>IF(DATA!B1795&lt;&gt;"",DATA!B1795,"")</f>
        <v>MSMU4569727</v>
      </c>
      <c r="J1796" s="12">
        <v>0</v>
      </c>
      <c r="K1796" s="11" t="s">
        <v>53</v>
      </c>
      <c r="L1796" s="11" t="str">
        <f t="shared" si="116"/>
        <v>741920</v>
      </c>
      <c r="M1796" s="11" t="str">
        <f>IF(I1796&lt;&gt;"",DATA!E1795,"")</f>
        <v>IRON BRACKET</v>
      </c>
      <c r="N1796" s="12">
        <v>0</v>
      </c>
      <c r="O1796" s="11">
        <f>IF(I1796&lt;&gt;"",DATA!C1795,"")</f>
        <v>4.55</v>
      </c>
      <c r="P1796" s="2">
        <v>294094</v>
      </c>
      <c r="Q1796" s="2" t="s">
        <v>1304</v>
      </c>
      <c r="R1796" s="2" t="s">
        <v>1339</v>
      </c>
      <c r="S1796" s="2">
        <v>282</v>
      </c>
      <c r="T1796" s="2">
        <v>1</v>
      </c>
      <c r="U1796" s="2" t="s">
        <v>141</v>
      </c>
      <c r="Y1796" s="2">
        <v>1700</v>
      </c>
      <c r="Z1796" s="11" t="s">
        <v>54</v>
      </c>
      <c r="AA1796" s="11" t="str">
        <f t="shared" si="117"/>
        <v>1700 - TBN</v>
      </c>
      <c r="AC1796" s="2" t="s">
        <v>145</v>
      </c>
      <c r="AD1796" s="11" t="str">
        <f>IF($I1796&lt;&gt;"",VLOOKUP($AC1796,GEADRESSEERDE!$A$2:$E$4,2,),"")</f>
        <v>LUITHAGEN HAVEN 2 D</v>
      </c>
      <c r="AE1796" s="11">
        <f>IF($I1796&lt;&gt;"",VLOOKUP($AC1796,GEADRESSEERDE!$A$2:$E$4,3,),"")</f>
        <v>2030</v>
      </c>
      <c r="AF1796" s="11" t="str">
        <f>IF($I1796&lt;&gt;"",VLOOKUP($AC1796,GEADRESSEERDE!$A$2:$E$4,4,),"")</f>
        <v>ANTWERPEN</v>
      </c>
      <c r="AG1796" s="11" t="str">
        <f>IF($I1796&lt;&gt;"",VLOOKUP($AC1796,GEADRESSEERDE!$A$2:$E$4,5,),"")</f>
        <v>BE</v>
      </c>
      <c r="AH1796" s="11" t="str">
        <f>IF(I1796&lt;&gt;"",VLOOKUP(AP1796,KvB!$A$2:$B$3,2,FALSE),"")</f>
        <v>BE101000</v>
      </c>
      <c r="AI1796" s="11" t="s">
        <v>55</v>
      </c>
      <c r="AJ1796" s="11"/>
      <c r="AK1796" s="11"/>
      <c r="AL1796" s="11"/>
      <c r="AM1796" s="11"/>
      <c r="AN1796" s="11"/>
      <c r="AO1796" s="11"/>
      <c r="AP1796" s="2" t="s">
        <v>70</v>
      </c>
      <c r="AQ1796" s="11" t="str">
        <f>IF(I1796&lt;&gt;"",DATA!D1795,"")</f>
        <v>7419200090</v>
      </c>
    </row>
    <row r="1797" spans="1:43" ht="15.75" x14ac:dyDescent="0.25">
      <c r="A1797" s="11" t="s">
        <v>57</v>
      </c>
      <c r="B1797" s="11" t="s">
        <v>56</v>
      </c>
      <c r="C1797" s="22">
        <f t="shared" ref="C1797:C1860" si="118">C1796</f>
        <v>25001620</v>
      </c>
      <c r="D1797" s="11" t="str">
        <f t="shared" si="115"/>
        <v>SKIIFM_AT</v>
      </c>
      <c r="E1797" s="11" t="str">
        <f>IF(I1797&lt;&gt;"",VLOOKUP(F1797,OPDRACHTGEVER!$A$2:$B$4,2,FALSE),"")</f>
        <v>SKIIFM_AT</v>
      </c>
      <c r="F1797" s="11" t="s">
        <v>58</v>
      </c>
      <c r="I1797" s="11" t="str">
        <f>IF(DATA!B1796&lt;&gt;"",DATA!B1796,"")</f>
        <v>MSMU4569727</v>
      </c>
      <c r="J1797" s="12">
        <v>0</v>
      </c>
      <c r="K1797" s="11" t="s">
        <v>53</v>
      </c>
      <c r="L1797" s="11" t="str">
        <f t="shared" si="116"/>
        <v>850940</v>
      </c>
      <c r="M1797" s="11" t="str">
        <f>IF(I1797&lt;&gt;"",DATA!E1796,"")</f>
        <v>JUICER</v>
      </c>
      <c r="N1797" s="12">
        <v>0</v>
      </c>
      <c r="O1797" s="11">
        <f>IF(I1797&lt;&gt;"",DATA!C1796,"")</f>
        <v>267</v>
      </c>
      <c r="P1797" s="2">
        <v>294094</v>
      </c>
      <c r="Q1797" s="2" t="s">
        <v>1304</v>
      </c>
      <c r="R1797" s="2" t="s">
        <v>1339</v>
      </c>
      <c r="S1797" s="2">
        <v>282</v>
      </c>
      <c r="T1797" s="2">
        <v>1</v>
      </c>
      <c r="U1797" s="2" t="s">
        <v>141</v>
      </c>
      <c r="Y1797" s="2">
        <v>1700</v>
      </c>
      <c r="Z1797" s="11" t="s">
        <v>54</v>
      </c>
      <c r="AA1797" s="11" t="str">
        <f t="shared" si="117"/>
        <v>1700 - TBN</v>
      </c>
      <c r="AC1797" s="2" t="s">
        <v>145</v>
      </c>
      <c r="AD1797" s="11" t="str">
        <f>IF($I1797&lt;&gt;"",VLOOKUP($AC1797,GEADRESSEERDE!$A$2:$E$4,2,),"")</f>
        <v>LUITHAGEN HAVEN 2 D</v>
      </c>
      <c r="AE1797" s="11">
        <f>IF($I1797&lt;&gt;"",VLOOKUP($AC1797,GEADRESSEERDE!$A$2:$E$4,3,),"")</f>
        <v>2030</v>
      </c>
      <c r="AF1797" s="11" t="str">
        <f>IF($I1797&lt;&gt;"",VLOOKUP($AC1797,GEADRESSEERDE!$A$2:$E$4,4,),"")</f>
        <v>ANTWERPEN</v>
      </c>
      <c r="AG1797" s="11" t="str">
        <f>IF($I1797&lt;&gt;"",VLOOKUP($AC1797,GEADRESSEERDE!$A$2:$E$4,5,),"")</f>
        <v>BE</v>
      </c>
      <c r="AH1797" s="11" t="str">
        <f>IF(I1797&lt;&gt;"",VLOOKUP(AP1797,KvB!$A$2:$B$3,2,FALSE),"")</f>
        <v>BE101000</v>
      </c>
      <c r="AI1797" s="11" t="s">
        <v>55</v>
      </c>
      <c r="AJ1797" s="11"/>
      <c r="AK1797" s="11"/>
      <c r="AL1797" s="11"/>
      <c r="AM1797" s="11"/>
      <c r="AN1797" s="11"/>
      <c r="AO1797" s="11"/>
      <c r="AP1797" s="2" t="s">
        <v>70</v>
      </c>
      <c r="AQ1797" s="11" t="str">
        <f>IF(I1797&lt;&gt;"",DATA!D1796,"")</f>
        <v>8509400000</v>
      </c>
    </row>
    <row r="1798" spans="1:43" ht="15.75" x14ac:dyDescent="0.25">
      <c r="A1798" s="11" t="s">
        <v>57</v>
      </c>
      <c r="B1798" s="11" t="s">
        <v>56</v>
      </c>
      <c r="C1798" s="22">
        <f t="shared" si="118"/>
        <v>25001620</v>
      </c>
      <c r="D1798" s="11" t="str">
        <f t="shared" si="115"/>
        <v>SKIIFM_AT</v>
      </c>
      <c r="E1798" s="11" t="str">
        <f>IF(I1798&lt;&gt;"",VLOOKUP(F1798,OPDRACHTGEVER!$A$2:$B$4,2,FALSE),"")</f>
        <v>SKIIFM_AT</v>
      </c>
      <c r="F1798" s="11" t="s">
        <v>58</v>
      </c>
      <c r="I1798" s="11" t="str">
        <f>IF(DATA!B1797&lt;&gt;"",DATA!B1797,"")</f>
        <v>MSMU4569727</v>
      </c>
      <c r="J1798" s="12">
        <v>0</v>
      </c>
      <c r="K1798" s="11" t="s">
        <v>53</v>
      </c>
      <c r="L1798" s="11" t="str">
        <f t="shared" si="116"/>
        <v>950691</v>
      </c>
      <c r="M1798" s="11" t="str">
        <f>IF(I1798&lt;&gt;"",DATA!E1797,"")</f>
        <v>JUMPING STOOL</v>
      </c>
      <c r="N1798" s="12">
        <v>0</v>
      </c>
      <c r="O1798" s="11">
        <f>IF(I1798&lt;&gt;"",DATA!C1797,"")</f>
        <v>470.2</v>
      </c>
      <c r="P1798" s="2">
        <v>294094</v>
      </c>
      <c r="Q1798" s="2" t="s">
        <v>1304</v>
      </c>
      <c r="R1798" s="2" t="s">
        <v>1339</v>
      </c>
      <c r="S1798" s="2">
        <v>282</v>
      </c>
      <c r="T1798" s="2">
        <v>1</v>
      </c>
      <c r="U1798" s="2" t="s">
        <v>141</v>
      </c>
      <c r="Y1798" s="2">
        <v>1700</v>
      </c>
      <c r="Z1798" s="11" t="s">
        <v>54</v>
      </c>
      <c r="AA1798" s="11" t="str">
        <f t="shared" si="117"/>
        <v>1700 - TBN</v>
      </c>
      <c r="AC1798" s="2" t="s">
        <v>145</v>
      </c>
      <c r="AD1798" s="11" t="str">
        <f>IF($I1798&lt;&gt;"",VLOOKUP($AC1798,GEADRESSEERDE!$A$2:$E$4,2,),"")</f>
        <v>LUITHAGEN HAVEN 2 D</v>
      </c>
      <c r="AE1798" s="11">
        <f>IF($I1798&lt;&gt;"",VLOOKUP($AC1798,GEADRESSEERDE!$A$2:$E$4,3,),"")</f>
        <v>2030</v>
      </c>
      <c r="AF1798" s="11" t="str">
        <f>IF($I1798&lt;&gt;"",VLOOKUP($AC1798,GEADRESSEERDE!$A$2:$E$4,4,),"")</f>
        <v>ANTWERPEN</v>
      </c>
      <c r="AG1798" s="11" t="str">
        <f>IF($I1798&lt;&gt;"",VLOOKUP($AC1798,GEADRESSEERDE!$A$2:$E$4,5,),"")</f>
        <v>BE</v>
      </c>
      <c r="AH1798" s="11" t="str">
        <f>IF(I1798&lt;&gt;"",VLOOKUP(AP1798,KvB!$A$2:$B$3,2,FALSE),"")</f>
        <v>BE101000</v>
      </c>
      <c r="AI1798" s="11" t="s">
        <v>55</v>
      </c>
      <c r="AJ1798" s="11"/>
      <c r="AK1798" s="11"/>
      <c r="AL1798" s="11"/>
      <c r="AM1798" s="11"/>
      <c r="AN1798" s="11"/>
      <c r="AO1798" s="11"/>
      <c r="AP1798" s="2" t="s">
        <v>70</v>
      </c>
      <c r="AQ1798" s="11" t="str">
        <f>IF(I1798&lt;&gt;"",DATA!D1797,"")</f>
        <v>9506919000</v>
      </c>
    </row>
    <row r="1799" spans="1:43" ht="15.75" x14ac:dyDescent="0.25">
      <c r="A1799" s="11" t="s">
        <v>57</v>
      </c>
      <c r="B1799" s="11" t="s">
        <v>56</v>
      </c>
      <c r="C1799" s="22">
        <f t="shared" si="118"/>
        <v>25001620</v>
      </c>
      <c r="D1799" s="11" t="str">
        <f t="shared" si="115"/>
        <v>SKIIFM_AT</v>
      </c>
      <c r="E1799" s="11" t="str">
        <f>IF(I1799&lt;&gt;"",VLOOKUP(F1799,OPDRACHTGEVER!$A$2:$B$4,2,FALSE),"")</f>
        <v>SKIIFM_AT</v>
      </c>
      <c r="F1799" s="11" t="s">
        <v>58</v>
      </c>
      <c r="I1799" s="11" t="str">
        <f>IF(DATA!B1798&lt;&gt;"",DATA!B1798,"")</f>
        <v>MSMU4569727</v>
      </c>
      <c r="J1799" s="12">
        <v>0</v>
      </c>
      <c r="K1799" s="11" t="s">
        <v>53</v>
      </c>
      <c r="L1799" s="11" t="str">
        <f t="shared" si="116"/>
        <v>741920</v>
      </c>
      <c r="M1799" s="11" t="str">
        <f>IF(I1799&lt;&gt;"",DATA!E1798,"")</f>
        <v>LIFTING CHAIN</v>
      </c>
      <c r="N1799" s="12">
        <v>0</v>
      </c>
      <c r="O1799" s="11">
        <f>IF(I1799&lt;&gt;"",DATA!C1798,"")</f>
        <v>20.399999999999999</v>
      </c>
      <c r="P1799" s="2">
        <v>294094</v>
      </c>
      <c r="Q1799" s="2" t="s">
        <v>1304</v>
      </c>
      <c r="R1799" s="2" t="s">
        <v>1339</v>
      </c>
      <c r="S1799" s="2">
        <v>282</v>
      </c>
      <c r="T1799" s="2">
        <v>1</v>
      </c>
      <c r="U1799" s="2" t="s">
        <v>141</v>
      </c>
      <c r="Y1799" s="2">
        <v>1700</v>
      </c>
      <c r="Z1799" s="11" t="s">
        <v>54</v>
      </c>
      <c r="AA1799" s="11" t="str">
        <f t="shared" si="117"/>
        <v>1700 - TBN</v>
      </c>
      <c r="AC1799" s="2" t="s">
        <v>145</v>
      </c>
      <c r="AD1799" s="11" t="str">
        <f>IF($I1799&lt;&gt;"",VLOOKUP($AC1799,GEADRESSEERDE!$A$2:$E$4,2,),"")</f>
        <v>LUITHAGEN HAVEN 2 D</v>
      </c>
      <c r="AE1799" s="11">
        <f>IF($I1799&lt;&gt;"",VLOOKUP($AC1799,GEADRESSEERDE!$A$2:$E$4,3,),"")</f>
        <v>2030</v>
      </c>
      <c r="AF1799" s="11" t="str">
        <f>IF($I1799&lt;&gt;"",VLOOKUP($AC1799,GEADRESSEERDE!$A$2:$E$4,4,),"")</f>
        <v>ANTWERPEN</v>
      </c>
      <c r="AG1799" s="11" t="str">
        <f>IF($I1799&lt;&gt;"",VLOOKUP($AC1799,GEADRESSEERDE!$A$2:$E$4,5,),"")</f>
        <v>BE</v>
      </c>
      <c r="AH1799" s="11" t="str">
        <f>IF(I1799&lt;&gt;"",VLOOKUP(AP1799,KvB!$A$2:$B$3,2,FALSE),"")</f>
        <v>BE101000</v>
      </c>
      <c r="AI1799" s="11" t="s">
        <v>55</v>
      </c>
      <c r="AJ1799" s="11"/>
      <c r="AK1799" s="11"/>
      <c r="AL1799" s="11"/>
      <c r="AM1799" s="11"/>
      <c r="AN1799" s="11"/>
      <c r="AO1799" s="11"/>
      <c r="AP1799" s="2" t="s">
        <v>70</v>
      </c>
      <c r="AQ1799" s="11" t="str">
        <f>IF(I1799&lt;&gt;"",DATA!D1798,"")</f>
        <v>7419200090</v>
      </c>
    </row>
    <row r="1800" spans="1:43" ht="15.75" x14ac:dyDescent="0.25">
      <c r="A1800" s="11" t="s">
        <v>57</v>
      </c>
      <c r="B1800" s="11" t="s">
        <v>56</v>
      </c>
      <c r="C1800" s="22">
        <f t="shared" si="118"/>
        <v>25001620</v>
      </c>
      <c r="D1800" s="11" t="str">
        <f t="shared" si="115"/>
        <v>SKIIFM_AT</v>
      </c>
      <c r="E1800" s="11" t="str">
        <f>IF(I1800&lt;&gt;"",VLOOKUP(F1800,OPDRACHTGEVER!$A$2:$B$4,2,FALSE),"")</f>
        <v>SKIIFM_AT</v>
      </c>
      <c r="F1800" s="11" t="s">
        <v>58</v>
      </c>
      <c r="I1800" s="11" t="str">
        <f>IF(DATA!B1799&lt;&gt;"",DATA!B1799,"")</f>
        <v>MSMU4569727</v>
      </c>
      <c r="J1800" s="12">
        <v>0</v>
      </c>
      <c r="K1800" s="11" t="s">
        <v>53</v>
      </c>
      <c r="L1800" s="11" t="str">
        <f t="shared" si="116"/>
        <v>850131</v>
      </c>
      <c r="M1800" s="11" t="str">
        <f>IF(I1800&lt;&gt;"",DATA!E1799,"")</f>
        <v>LINEAR ACTUATOR</v>
      </c>
      <c r="N1800" s="12">
        <v>0</v>
      </c>
      <c r="O1800" s="11">
        <f>IF(I1800&lt;&gt;"",DATA!C1799,"")</f>
        <v>10.15</v>
      </c>
      <c r="P1800" s="2">
        <v>294094</v>
      </c>
      <c r="Q1800" s="2" t="s">
        <v>1304</v>
      </c>
      <c r="R1800" s="2" t="s">
        <v>1339</v>
      </c>
      <c r="S1800" s="2">
        <v>282</v>
      </c>
      <c r="T1800" s="2">
        <v>1</v>
      </c>
      <c r="U1800" s="2" t="s">
        <v>141</v>
      </c>
      <c r="Y1800" s="2">
        <v>1700</v>
      </c>
      <c r="Z1800" s="11" t="s">
        <v>54</v>
      </c>
      <c r="AA1800" s="11" t="str">
        <f t="shared" si="117"/>
        <v>1700 - TBN</v>
      </c>
      <c r="AC1800" s="2" t="s">
        <v>145</v>
      </c>
      <c r="AD1800" s="11" t="str">
        <f>IF($I1800&lt;&gt;"",VLOOKUP($AC1800,GEADRESSEERDE!$A$2:$E$4,2,),"")</f>
        <v>LUITHAGEN HAVEN 2 D</v>
      </c>
      <c r="AE1800" s="11">
        <f>IF($I1800&lt;&gt;"",VLOOKUP($AC1800,GEADRESSEERDE!$A$2:$E$4,3,),"")</f>
        <v>2030</v>
      </c>
      <c r="AF1800" s="11" t="str">
        <f>IF($I1800&lt;&gt;"",VLOOKUP($AC1800,GEADRESSEERDE!$A$2:$E$4,4,),"")</f>
        <v>ANTWERPEN</v>
      </c>
      <c r="AG1800" s="11" t="str">
        <f>IF($I1800&lt;&gt;"",VLOOKUP($AC1800,GEADRESSEERDE!$A$2:$E$4,5,),"")</f>
        <v>BE</v>
      </c>
      <c r="AH1800" s="11" t="str">
        <f>IF(I1800&lt;&gt;"",VLOOKUP(AP1800,KvB!$A$2:$B$3,2,FALSE),"")</f>
        <v>BE101000</v>
      </c>
      <c r="AI1800" s="11" t="s">
        <v>55</v>
      </c>
      <c r="AJ1800" s="11"/>
      <c r="AK1800" s="11"/>
      <c r="AL1800" s="11"/>
      <c r="AM1800" s="11"/>
      <c r="AN1800" s="11"/>
      <c r="AO1800" s="11"/>
      <c r="AP1800" s="2" t="s">
        <v>70</v>
      </c>
      <c r="AQ1800" s="11" t="str">
        <f>IF(I1800&lt;&gt;"",DATA!D1799,"")</f>
        <v>8501310099</v>
      </c>
    </row>
    <row r="1801" spans="1:43" ht="15.75" x14ac:dyDescent="0.25">
      <c r="A1801" s="11" t="s">
        <v>57</v>
      </c>
      <c r="B1801" s="11" t="s">
        <v>56</v>
      </c>
      <c r="C1801" s="22">
        <f t="shared" si="118"/>
        <v>25001620</v>
      </c>
      <c r="D1801" s="11" t="str">
        <f t="shared" si="115"/>
        <v>SKIIFM_AT</v>
      </c>
      <c r="E1801" s="11" t="str">
        <f>IF(I1801&lt;&gt;"",VLOOKUP(F1801,OPDRACHTGEVER!$A$2:$B$4,2,FALSE),"")</f>
        <v>SKIIFM_AT</v>
      </c>
      <c r="F1801" s="11" t="s">
        <v>58</v>
      </c>
      <c r="I1801" s="11" t="str">
        <f>IF(DATA!B1800&lt;&gt;"",DATA!B1800,"")</f>
        <v>MSMU4569727</v>
      </c>
      <c r="J1801" s="12">
        <v>0</v>
      </c>
      <c r="K1801" s="11" t="s">
        <v>53</v>
      </c>
      <c r="L1801" s="11" t="str">
        <f t="shared" si="116"/>
        <v>850980</v>
      </c>
      <c r="M1801" s="11" t="str">
        <f>IF(I1801&lt;&gt;"",DATA!E1800,"")</f>
        <v>MAGNETIC CLEANER</v>
      </c>
      <c r="N1801" s="12">
        <v>0</v>
      </c>
      <c r="O1801" s="11">
        <f>IF(I1801&lt;&gt;"",DATA!C1800,"")</f>
        <v>3.15</v>
      </c>
      <c r="P1801" s="2">
        <v>294094</v>
      </c>
      <c r="Q1801" s="2" t="s">
        <v>1304</v>
      </c>
      <c r="R1801" s="2" t="s">
        <v>1339</v>
      </c>
      <c r="S1801" s="2">
        <v>282</v>
      </c>
      <c r="T1801" s="2">
        <v>1</v>
      </c>
      <c r="U1801" s="2" t="s">
        <v>141</v>
      </c>
      <c r="Y1801" s="2">
        <v>1700</v>
      </c>
      <c r="Z1801" s="11" t="s">
        <v>54</v>
      </c>
      <c r="AA1801" s="11" t="str">
        <f t="shared" si="117"/>
        <v>1700 - TBN</v>
      </c>
      <c r="AC1801" s="2" t="s">
        <v>145</v>
      </c>
      <c r="AD1801" s="11" t="str">
        <f>IF($I1801&lt;&gt;"",VLOOKUP($AC1801,GEADRESSEERDE!$A$2:$E$4,2,),"")</f>
        <v>LUITHAGEN HAVEN 2 D</v>
      </c>
      <c r="AE1801" s="11">
        <f>IF($I1801&lt;&gt;"",VLOOKUP($AC1801,GEADRESSEERDE!$A$2:$E$4,3,),"")</f>
        <v>2030</v>
      </c>
      <c r="AF1801" s="11" t="str">
        <f>IF($I1801&lt;&gt;"",VLOOKUP($AC1801,GEADRESSEERDE!$A$2:$E$4,4,),"")</f>
        <v>ANTWERPEN</v>
      </c>
      <c r="AG1801" s="11" t="str">
        <f>IF($I1801&lt;&gt;"",VLOOKUP($AC1801,GEADRESSEERDE!$A$2:$E$4,5,),"")</f>
        <v>BE</v>
      </c>
      <c r="AH1801" s="11" t="str">
        <f>IF(I1801&lt;&gt;"",VLOOKUP(AP1801,KvB!$A$2:$B$3,2,FALSE),"")</f>
        <v>BE101000</v>
      </c>
      <c r="AI1801" s="11" t="s">
        <v>55</v>
      </c>
      <c r="AJ1801" s="11"/>
      <c r="AK1801" s="11"/>
      <c r="AL1801" s="11"/>
      <c r="AM1801" s="11"/>
      <c r="AN1801" s="11"/>
      <c r="AO1801" s="11"/>
      <c r="AP1801" s="2" t="s">
        <v>70</v>
      </c>
      <c r="AQ1801" s="11" t="str">
        <f>IF(I1801&lt;&gt;"",DATA!D1800,"")</f>
        <v>8509800000</v>
      </c>
    </row>
    <row r="1802" spans="1:43" ht="15.75" x14ac:dyDescent="0.25">
      <c r="A1802" s="11" t="s">
        <v>57</v>
      </c>
      <c r="B1802" s="11" t="s">
        <v>56</v>
      </c>
      <c r="C1802" s="22">
        <f t="shared" si="118"/>
        <v>25001620</v>
      </c>
      <c r="D1802" s="11" t="str">
        <f t="shared" si="115"/>
        <v>SKIIFM_AT</v>
      </c>
      <c r="E1802" s="11" t="str">
        <f>IF(I1802&lt;&gt;"",VLOOKUP(F1802,OPDRACHTGEVER!$A$2:$B$4,2,FALSE),"")</f>
        <v>SKIIFM_AT</v>
      </c>
      <c r="F1802" s="11" t="s">
        <v>58</v>
      </c>
      <c r="I1802" s="11" t="str">
        <f>IF(DATA!B1801&lt;&gt;"",DATA!B1801,"")</f>
        <v>MSMU4569727</v>
      </c>
      <c r="J1802" s="12">
        <v>0</v>
      </c>
      <c r="K1802" s="11" t="s">
        <v>53</v>
      </c>
      <c r="L1802" s="11" t="str">
        <f t="shared" si="116"/>
        <v>820750</v>
      </c>
      <c r="M1802" s="11" t="str">
        <f>IF(I1802&lt;&gt;"",DATA!E1801,"")</f>
        <v>MAGNETIC DRILL</v>
      </c>
      <c r="N1802" s="12">
        <v>0</v>
      </c>
      <c r="O1802" s="11">
        <f>IF(I1802&lt;&gt;"",DATA!C1801,"")</f>
        <v>1.4</v>
      </c>
      <c r="P1802" s="2">
        <v>294094</v>
      </c>
      <c r="Q1802" s="2" t="s">
        <v>1304</v>
      </c>
      <c r="R1802" s="2" t="s">
        <v>1339</v>
      </c>
      <c r="S1802" s="2">
        <v>282</v>
      </c>
      <c r="T1802" s="2">
        <v>1</v>
      </c>
      <c r="U1802" s="2" t="s">
        <v>141</v>
      </c>
      <c r="Y1802" s="2">
        <v>1700</v>
      </c>
      <c r="Z1802" s="11" t="s">
        <v>54</v>
      </c>
      <c r="AA1802" s="11" t="str">
        <f t="shared" si="117"/>
        <v>1700 - TBN</v>
      </c>
      <c r="AC1802" s="2" t="s">
        <v>145</v>
      </c>
      <c r="AD1802" s="11" t="str">
        <f>IF($I1802&lt;&gt;"",VLOOKUP($AC1802,GEADRESSEERDE!$A$2:$E$4,2,),"")</f>
        <v>LUITHAGEN HAVEN 2 D</v>
      </c>
      <c r="AE1802" s="11">
        <f>IF($I1802&lt;&gt;"",VLOOKUP($AC1802,GEADRESSEERDE!$A$2:$E$4,3,),"")</f>
        <v>2030</v>
      </c>
      <c r="AF1802" s="11" t="str">
        <f>IF($I1802&lt;&gt;"",VLOOKUP($AC1802,GEADRESSEERDE!$A$2:$E$4,4,),"")</f>
        <v>ANTWERPEN</v>
      </c>
      <c r="AG1802" s="11" t="str">
        <f>IF($I1802&lt;&gt;"",VLOOKUP($AC1802,GEADRESSEERDE!$A$2:$E$4,5,),"")</f>
        <v>BE</v>
      </c>
      <c r="AH1802" s="11" t="str">
        <f>IF(I1802&lt;&gt;"",VLOOKUP(AP1802,KvB!$A$2:$B$3,2,FALSE),"")</f>
        <v>BE101000</v>
      </c>
      <c r="AI1802" s="11" t="s">
        <v>55</v>
      </c>
      <c r="AJ1802" s="11"/>
      <c r="AK1802" s="11"/>
      <c r="AL1802" s="11"/>
      <c r="AM1802" s="11"/>
      <c r="AN1802" s="11"/>
      <c r="AO1802" s="11"/>
      <c r="AP1802" s="2" t="s">
        <v>70</v>
      </c>
      <c r="AQ1802" s="11" t="str">
        <f>IF(I1802&lt;&gt;"",DATA!D1801,"")</f>
        <v>8207509000</v>
      </c>
    </row>
    <row r="1803" spans="1:43" ht="15.75" x14ac:dyDescent="0.25">
      <c r="A1803" s="11" t="s">
        <v>57</v>
      </c>
      <c r="B1803" s="11" t="s">
        <v>56</v>
      </c>
      <c r="C1803" s="22">
        <f t="shared" si="118"/>
        <v>25001620</v>
      </c>
      <c r="D1803" s="11" t="str">
        <f t="shared" si="115"/>
        <v>SKIIFM_AT</v>
      </c>
      <c r="E1803" s="11" t="str">
        <f>IF(I1803&lt;&gt;"",VLOOKUP(F1803,OPDRACHTGEVER!$A$2:$B$4,2,FALSE),"")</f>
        <v>SKIIFM_AT</v>
      </c>
      <c r="F1803" s="11" t="s">
        <v>58</v>
      </c>
      <c r="I1803" s="11" t="str">
        <f>IF(DATA!B1802&lt;&gt;"",DATA!B1802,"")</f>
        <v>MSMU4569727</v>
      </c>
      <c r="J1803" s="12">
        <v>0</v>
      </c>
      <c r="K1803" s="11" t="s">
        <v>53</v>
      </c>
      <c r="L1803" s="11" t="str">
        <f t="shared" si="116"/>
        <v>940490</v>
      </c>
      <c r="M1803" s="11" t="str">
        <f>IF(I1803&lt;&gt;"",DATA!E1802,"")</f>
        <v>MATTRESS TOPPER</v>
      </c>
      <c r="N1803" s="12">
        <v>0</v>
      </c>
      <c r="O1803" s="11">
        <f>IF(I1803&lt;&gt;"",DATA!C1802,"")</f>
        <v>47</v>
      </c>
      <c r="P1803" s="2">
        <v>294094</v>
      </c>
      <c r="Q1803" s="2" t="s">
        <v>1304</v>
      </c>
      <c r="R1803" s="2" t="s">
        <v>1339</v>
      </c>
      <c r="S1803" s="2">
        <v>282</v>
      </c>
      <c r="T1803" s="2">
        <v>1</v>
      </c>
      <c r="U1803" s="2" t="s">
        <v>141</v>
      </c>
      <c r="Y1803" s="2">
        <v>1700</v>
      </c>
      <c r="Z1803" s="11" t="s">
        <v>54</v>
      </c>
      <c r="AA1803" s="11" t="str">
        <f t="shared" si="117"/>
        <v>1700 - TBN</v>
      </c>
      <c r="AC1803" s="2" t="s">
        <v>145</v>
      </c>
      <c r="AD1803" s="11" t="str">
        <f>IF($I1803&lt;&gt;"",VLOOKUP($AC1803,GEADRESSEERDE!$A$2:$E$4,2,),"")</f>
        <v>LUITHAGEN HAVEN 2 D</v>
      </c>
      <c r="AE1803" s="11">
        <f>IF($I1803&lt;&gt;"",VLOOKUP($AC1803,GEADRESSEERDE!$A$2:$E$4,3,),"")</f>
        <v>2030</v>
      </c>
      <c r="AF1803" s="11" t="str">
        <f>IF($I1803&lt;&gt;"",VLOOKUP($AC1803,GEADRESSEERDE!$A$2:$E$4,4,),"")</f>
        <v>ANTWERPEN</v>
      </c>
      <c r="AG1803" s="11" t="str">
        <f>IF($I1803&lt;&gt;"",VLOOKUP($AC1803,GEADRESSEERDE!$A$2:$E$4,5,),"")</f>
        <v>BE</v>
      </c>
      <c r="AH1803" s="11" t="str">
        <f>IF(I1803&lt;&gt;"",VLOOKUP(AP1803,KvB!$A$2:$B$3,2,FALSE),"")</f>
        <v>BE101000</v>
      </c>
      <c r="AI1803" s="11" t="s">
        <v>55</v>
      </c>
      <c r="AJ1803" s="11"/>
      <c r="AK1803" s="11"/>
      <c r="AL1803" s="11"/>
      <c r="AM1803" s="11"/>
      <c r="AN1803" s="11"/>
      <c r="AO1803" s="11"/>
      <c r="AP1803" s="2" t="s">
        <v>70</v>
      </c>
      <c r="AQ1803" s="11" t="str">
        <f>IF(I1803&lt;&gt;"",DATA!D1802,"")</f>
        <v>9404909000</v>
      </c>
    </row>
    <row r="1804" spans="1:43" ht="15.75" x14ac:dyDescent="0.25">
      <c r="A1804" s="11" t="s">
        <v>57</v>
      </c>
      <c r="B1804" s="11" t="s">
        <v>56</v>
      </c>
      <c r="C1804" s="22">
        <f t="shared" si="118"/>
        <v>25001620</v>
      </c>
      <c r="D1804" s="11" t="str">
        <f t="shared" si="115"/>
        <v>SKIIFM_AT</v>
      </c>
      <c r="E1804" s="11" t="str">
        <f>IF(I1804&lt;&gt;"",VLOOKUP(F1804,OPDRACHTGEVER!$A$2:$B$4,2,FALSE),"")</f>
        <v>SKIIFM_AT</v>
      </c>
      <c r="F1804" s="11" t="s">
        <v>58</v>
      </c>
      <c r="I1804" s="11" t="str">
        <f>IF(DATA!B1803&lt;&gt;"",DATA!B1803,"")</f>
        <v>MSMU4569727</v>
      </c>
      <c r="J1804" s="12">
        <v>0</v>
      </c>
      <c r="K1804" s="11" t="s">
        <v>53</v>
      </c>
      <c r="L1804" s="11" t="str">
        <f t="shared" si="116"/>
        <v>846693</v>
      </c>
      <c r="M1804" s="11" t="str">
        <f>IF(I1804&lt;&gt;"",DATA!E1803,"")</f>
        <v>MILLING MACHINE TABLE</v>
      </c>
      <c r="N1804" s="12">
        <v>0</v>
      </c>
      <c r="O1804" s="11">
        <f>IF(I1804&lt;&gt;"",DATA!C1803,"")</f>
        <v>6.6</v>
      </c>
      <c r="P1804" s="2">
        <v>294094</v>
      </c>
      <c r="Q1804" s="2" t="s">
        <v>1304</v>
      </c>
      <c r="R1804" s="2" t="s">
        <v>1339</v>
      </c>
      <c r="S1804" s="2">
        <v>282</v>
      </c>
      <c r="T1804" s="2">
        <v>1</v>
      </c>
      <c r="U1804" s="2" t="s">
        <v>141</v>
      </c>
      <c r="Y1804" s="2">
        <v>1700</v>
      </c>
      <c r="Z1804" s="11" t="s">
        <v>54</v>
      </c>
      <c r="AA1804" s="11" t="str">
        <f t="shared" si="117"/>
        <v>1700 - TBN</v>
      </c>
      <c r="AC1804" s="2" t="s">
        <v>145</v>
      </c>
      <c r="AD1804" s="11" t="str">
        <f>IF($I1804&lt;&gt;"",VLOOKUP($AC1804,GEADRESSEERDE!$A$2:$E$4,2,),"")</f>
        <v>LUITHAGEN HAVEN 2 D</v>
      </c>
      <c r="AE1804" s="11">
        <f>IF($I1804&lt;&gt;"",VLOOKUP($AC1804,GEADRESSEERDE!$A$2:$E$4,3,),"")</f>
        <v>2030</v>
      </c>
      <c r="AF1804" s="11" t="str">
        <f>IF($I1804&lt;&gt;"",VLOOKUP($AC1804,GEADRESSEERDE!$A$2:$E$4,4,),"")</f>
        <v>ANTWERPEN</v>
      </c>
      <c r="AG1804" s="11" t="str">
        <f>IF($I1804&lt;&gt;"",VLOOKUP($AC1804,GEADRESSEERDE!$A$2:$E$4,5,),"")</f>
        <v>BE</v>
      </c>
      <c r="AH1804" s="11" t="str">
        <f>IF(I1804&lt;&gt;"",VLOOKUP(AP1804,KvB!$A$2:$B$3,2,FALSE),"")</f>
        <v>BE101000</v>
      </c>
      <c r="AI1804" s="11" t="s">
        <v>55</v>
      </c>
      <c r="AJ1804" s="11"/>
      <c r="AK1804" s="11"/>
      <c r="AL1804" s="11"/>
      <c r="AM1804" s="11"/>
      <c r="AN1804" s="11"/>
      <c r="AO1804" s="11"/>
      <c r="AP1804" s="2" t="s">
        <v>70</v>
      </c>
      <c r="AQ1804" s="11" t="str">
        <f>IF(I1804&lt;&gt;"",DATA!D1803,"")</f>
        <v>8466936000</v>
      </c>
    </row>
    <row r="1805" spans="1:43" ht="15.75" x14ac:dyDescent="0.25">
      <c r="A1805" s="11" t="s">
        <v>57</v>
      </c>
      <c r="B1805" s="11" t="s">
        <v>56</v>
      </c>
      <c r="C1805" s="22">
        <f t="shared" si="118"/>
        <v>25001620</v>
      </c>
      <c r="D1805" s="11" t="str">
        <f t="shared" si="115"/>
        <v>SKIIFM_AT</v>
      </c>
      <c r="E1805" s="11" t="str">
        <f>IF(I1805&lt;&gt;"",VLOOKUP(F1805,OPDRACHTGEVER!$A$2:$B$4,2,FALSE),"")</f>
        <v>SKIIFM_AT</v>
      </c>
      <c r="F1805" s="11" t="s">
        <v>58</v>
      </c>
      <c r="I1805" s="11" t="str">
        <f>IF(DATA!B1804&lt;&gt;"",DATA!B1804,"")</f>
        <v>MSMU4569727</v>
      </c>
      <c r="J1805" s="12">
        <v>0</v>
      </c>
      <c r="K1805" s="11" t="s">
        <v>53</v>
      </c>
      <c r="L1805" s="11" t="str">
        <f t="shared" si="116"/>
        <v>820320</v>
      </c>
      <c r="M1805" s="11" t="str">
        <f>IF(I1805&lt;&gt;"",DATA!E1804,"")</f>
        <v>PIPE CLAMP</v>
      </c>
      <c r="N1805" s="12">
        <v>0</v>
      </c>
      <c r="O1805" s="11">
        <f>IF(I1805&lt;&gt;"",DATA!C1804,"")</f>
        <v>5.7</v>
      </c>
      <c r="P1805" s="2">
        <v>294094</v>
      </c>
      <c r="Q1805" s="2" t="s">
        <v>1304</v>
      </c>
      <c r="R1805" s="2" t="s">
        <v>1339</v>
      </c>
      <c r="S1805" s="2">
        <v>282</v>
      </c>
      <c r="T1805" s="2">
        <v>1</v>
      </c>
      <c r="U1805" s="2" t="s">
        <v>141</v>
      </c>
      <c r="Y1805" s="2">
        <v>1700</v>
      </c>
      <c r="Z1805" s="11" t="s">
        <v>54</v>
      </c>
      <c r="AA1805" s="11" t="str">
        <f t="shared" si="117"/>
        <v>1700 - TBN</v>
      </c>
      <c r="AC1805" s="2" t="s">
        <v>145</v>
      </c>
      <c r="AD1805" s="11" t="str">
        <f>IF($I1805&lt;&gt;"",VLOOKUP($AC1805,GEADRESSEERDE!$A$2:$E$4,2,),"")</f>
        <v>LUITHAGEN HAVEN 2 D</v>
      </c>
      <c r="AE1805" s="11">
        <f>IF($I1805&lt;&gt;"",VLOOKUP($AC1805,GEADRESSEERDE!$A$2:$E$4,3,),"")</f>
        <v>2030</v>
      </c>
      <c r="AF1805" s="11" t="str">
        <f>IF($I1805&lt;&gt;"",VLOOKUP($AC1805,GEADRESSEERDE!$A$2:$E$4,4,),"")</f>
        <v>ANTWERPEN</v>
      </c>
      <c r="AG1805" s="11" t="str">
        <f>IF($I1805&lt;&gt;"",VLOOKUP($AC1805,GEADRESSEERDE!$A$2:$E$4,5,),"")</f>
        <v>BE</v>
      </c>
      <c r="AH1805" s="11" t="str">
        <f>IF(I1805&lt;&gt;"",VLOOKUP(AP1805,KvB!$A$2:$B$3,2,FALSE),"")</f>
        <v>BE101000</v>
      </c>
      <c r="AI1805" s="11" t="s">
        <v>55</v>
      </c>
      <c r="AJ1805" s="11"/>
      <c r="AK1805" s="11"/>
      <c r="AL1805" s="11"/>
      <c r="AM1805" s="11"/>
      <c r="AN1805" s="11"/>
      <c r="AO1805" s="11"/>
      <c r="AP1805" s="2" t="s">
        <v>70</v>
      </c>
      <c r="AQ1805" s="11" t="str">
        <f>IF(I1805&lt;&gt;"",DATA!D1804,"")</f>
        <v>8203200000</v>
      </c>
    </row>
    <row r="1806" spans="1:43" ht="15.75" x14ac:dyDescent="0.25">
      <c r="A1806" s="11" t="s">
        <v>57</v>
      </c>
      <c r="B1806" s="11" t="s">
        <v>56</v>
      </c>
      <c r="C1806" s="22">
        <f t="shared" si="118"/>
        <v>25001620</v>
      </c>
      <c r="D1806" s="11" t="str">
        <f t="shared" si="115"/>
        <v>SKIIFM_AT</v>
      </c>
      <c r="E1806" s="11" t="str">
        <f>IF(I1806&lt;&gt;"",VLOOKUP(F1806,OPDRACHTGEVER!$A$2:$B$4,2,FALSE),"")</f>
        <v>SKIIFM_AT</v>
      </c>
      <c r="F1806" s="11" t="s">
        <v>58</v>
      </c>
      <c r="I1806" s="11" t="str">
        <f>IF(DATA!B1805&lt;&gt;"",DATA!B1805,"")</f>
        <v>MSMU4569727</v>
      </c>
      <c r="J1806" s="12">
        <v>0</v>
      </c>
      <c r="K1806" s="11" t="s">
        <v>53</v>
      </c>
      <c r="L1806" s="11" t="str">
        <f t="shared" si="116"/>
        <v>846150</v>
      </c>
      <c r="M1806" s="11" t="str">
        <f>IF(I1806&lt;&gt;"",DATA!E1805,"")</f>
        <v>PLASMA CUTTING EQUIPMENT</v>
      </c>
      <c r="N1806" s="12">
        <v>0</v>
      </c>
      <c r="O1806" s="11">
        <f>IF(I1806&lt;&gt;"",DATA!C1805,"")</f>
        <v>1.9</v>
      </c>
      <c r="P1806" s="2">
        <v>294094</v>
      </c>
      <c r="Q1806" s="2" t="s">
        <v>1304</v>
      </c>
      <c r="R1806" s="2" t="s">
        <v>1339</v>
      </c>
      <c r="S1806" s="2">
        <v>282</v>
      </c>
      <c r="T1806" s="2">
        <v>1</v>
      </c>
      <c r="U1806" s="2" t="s">
        <v>141</v>
      </c>
      <c r="Y1806" s="2">
        <v>1700</v>
      </c>
      <c r="Z1806" s="11" t="s">
        <v>54</v>
      </c>
      <c r="AA1806" s="11" t="str">
        <f t="shared" si="117"/>
        <v>1700 - TBN</v>
      </c>
      <c r="AC1806" s="2" t="s">
        <v>145</v>
      </c>
      <c r="AD1806" s="11" t="str">
        <f>IF($I1806&lt;&gt;"",VLOOKUP($AC1806,GEADRESSEERDE!$A$2:$E$4,2,),"")</f>
        <v>LUITHAGEN HAVEN 2 D</v>
      </c>
      <c r="AE1806" s="11">
        <f>IF($I1806&lt;&gt;"",VLOOKUP($AC1806,GEADRESSEERDE!$A$2:$E$4,3,),"")</f>
        <v>2030</v>
      </c>
      <c r="AF1806" s="11" t="str">
        <f>IF($I1806&lt;&gt;"",VLOOKUP($AC1806,GEADRESSEERDE!$A$2:$E$4,4,),"")</f>
        <v>ANTWERPEN</v>
      </c>
      <c r="AG1806" s="11" t="str">
        <f>IF($I1806&lt;&gt;"",VLOOKUP($AC1806,GEADRESSEERDE!$A$2:$E$4,5,),"")</f>
        <v>BE</v>
      </c>
      <c r="AH1806" s="11" t="str">
        <f>IF(I1806&lt;&gt;"",VLOOKUP(AP1806,KvB!$A$2:$B$3,2,FALSE),"")</f>
        <v>BE101000</v>
      </c>
      <c r="AI1806" s="11" t="s">
        <v>55</v>
      </c>
      <c r="AJ1806" s="11"/>
      <c r="AK1806" s="11"/>
      <c r="AL1806" s="11"/>
      <c r="AM1806" s="11"/>
      <c r="AN1806" s="11"/>
      <c r="AO1806" s="11"/>
      <c r="AP1806" s="2" t="s">
        <v>70</v>
      </c>
      <c r="AQ1806" s="11" t="str">
        <f>IF(I1806&lt;&gt;"",DATA!D1805,"")</f>
        <v>8461509000</v>
      </c>
    </row>
    <row r="1807" spans="1:43" ht="15.75" x14ac:dyDescent="0.25">
      <c r="A1807" s="11" t="s">
        <v>57</v>
      </c>
      <c r="B1807" s="11" t="s">
        <v>56</v>
      </c>
      <c r="C1807" s="22">
        <f t="shared" si="118"/>
        <v>25001620</v>
      </c>
      <c r="D1807" s="11" t="str">
        <f t="shared" si="115"/>
        <v>SKIIFM_AT</v>
      </c>
      <c r="E1807" s="11" t="str">
        <f>IF(I1807&lt;&gt;"",VLOOKUP(F1807,OPDRACHTGEVER!$A$2:$B$4,2,FALSE),"")</f>
        <v>SKIIFM_AT</v>
      </c>
      <c r="F1807" s="11" t="s">
        <v>58</v>
      </c>
      <c r="I1807" s="11" t="str">
        <f>IF(DATA!B1806&lt;&gt;"",DATA!B1806,"")</f>
        <v>MSMU4569727</v>
      </c>
      <c r="J1807" s="12">
        <v>0</v>
      </c>
      <c r="K1807" s="11" t="s">
        <v>53</v>
      </c>
      <c r="L1807" s="11" t="str">
        <f t="shared" si="116"/>
        <v>741920</v>
      </c>
      <c r="M1807" s="11" t="str">
        <f>IF(I1807&lt;&gt;"",DATA!E1806,"")</f>
        <v>PLASTIC SHOPPING BASKET WITH HANDLE</v>
      </c>
      <c r="N1807" s="12">
        <v>0</v>
      </c>
      <c r="O1807" s="11">
        <f>IF(I1807&lt;&gt;"",DATA!C1806,"")</f>
        <v>232.8</v>
      </c>
      <c r="P1807" s="2">
        <v>294094</v>
      </c>
      <c r="Q1807" s="2" t="s">
        <v>1304</v>
      </c>
      <c r="R1807" s="2" t="s">
        <v>1339</v>
      </c>
      <c r="S1807" s="2">
        <v>282</v>
      </c>
      <c r="T1807" s="2">
        <v>1</v>
      </c>
      <c r="U1807" s="2" t="s">
        <v>141</v>
      </c>
      <c r="Y1807" s="2">
        <v>1700</v>
      </c>
      <c r="Z1807" s="11" t="s">
        <v>54</v>
      </c>
      <c r="AA1807" s="11" t="str">
        <f t="shared" si="117"/>
        <v>1700 - TBN</v>
      </c>
      <c r="AC1807" s="2" t="s">
        <v>145</v>
      </c>
      <c r="AD1807" s="11" t="str">
        <f>IF($I1807&lt;&gt;"",VLOOKUP($AC1807,GEADRESSEERDE!$A$2:$E$4,2,),"")</f>
        <v>LUITHAGEN HAVEN 2 D</v>
      </c>
      <c r="AE1807" s="11">
        <f>IF($I1807&lt;&gt;"",VLOOKUP($AC1807,GEADRESSEERDE!$A$2:$E$4,3,),"")</f>
        <v>2030</v>
      </c>
      <c r="AF1807" s="11" t="str">
        <f>IF($I1807&lt;&gt;"",VLOOKUP($AC1807,GEADRESSEERDE!$A$2:$E$4,4,),"")</f>
        <v>ANTWERPEN</v>
      </c>
      <c r="AG1807" s="11" t="str">
        <f>IF($I1807&lt;&gt;"",VLOOKUP($AC1807,GEADRESSEERDE!$A$2:$E$4,5,),"")</f>
        <v>BE</v>
      </c>
      <c r="AH1807" s="11" t="str">
        <f>IF(I1807&lt;&gt;"",VLOOKUP(AP1807,KvB!$A$2:$B$3,2,FALSE),"")</f>
        <v>BE101000</v>
      </c>
      <c r="AI1807" s="11" t="s">
        <v>55</v>
      </c>
      <c r="AJ1807" s="11"/>
      <c r="AK1807" s="11"/>
      <c r="AL1807" s="11"/>
      <c r="AM1807" s="11"/>
      <c r="AN1807" s="11"/>
      <c r="AO1807" s="11"/>
      <c r="AP1807" s="2" t="s">
        <v>70</v>
      </c>
      <c r="AQ1807" s="11" t="str">
        <f>IF(I1807&lt;&gt;"",DATA!D1806,"")</f>
        <v>7419200090</v>
      </c>
    </row>
    <row r="1808" spans="1:43" ht="15.75" x14ac:dyDescent="0.25">
      <c r="A1808" s="11" t="s">
        <v>57</v>
      </c>
      <c r="B1808" s="11" t="s">
        <v>56</v>
      </c>
      <c r="C1808" s="22">
        <f t="shared" si="118"/>
        <v>25001620</v>
      </c>
      <c r="D1808" s="11" t="str">
        <f t="shared" si="115"/>
        <v>SKIIFM_AT</v>
      </c>
      <c r="E1808" s="11" t="str">
        <f>IF(I1808&lt;&gt;"",VLOOKUP(F1808,OPDRACHTGEVER!$A$2:$B$4,2,FALSE),"")</f>
        <v>SKIIFM_AT</v>
      </c>
      <c r="F1808" s="11" t="s">
        <v>58</v>
      </c>
      <c r="I1808" s="11" t="str">
        <f>IF(DATA!B1807&lt;&gt;"",DATA!B1807,"")</f>
        <v>MSMU4569727</v>
      </c>
      <c r="J1808" s="12">
        <v>0</v>
      </c>
      <c r="K1808" s="11" t="s">
        <v>53</v>
      </c>
      <c r="L1808" s="11" t="str">
        <f t="shared" si="116"/>
        <v>560900</v>
      </c>
      <c r="M1808" s="11" t="str">
        <f>IF(I1808&lt;&gt;"",DATA!E1807,"")</f>
        <v>POLYESTER PULL TAPES</v>
      </c>
      <c r="N1808" s="12">
        <v>0</v>
      </c>
      <c r="O1808" s="11">
        <f>IF(I1808&lt;&gt;"",DATA!C1807,"")</f>
        <v>0.9</v>
      </c>
      <c r="P1808" s="2">
        <v>294094</v>
      </c>
      <c r="Q1808" s="2" t="s">
        <v>1304</v>
      </c>
      <c r="R1808" s="2" t="s">
        <v>1339</v>
      </c>
      <c r="S1808" s="2">
        <v>282</v>
      </c>
      <c r="T1808" s="2">
        <v>1</v>
      </c>
      <c r="U1808" s="2" t="s">
        <v>141</v>
      </c>
      <c r="Y1808" s="2">
        <v>1700</v>
      </c>
      <c r="Z1808" s="11" t="s">
        <v>54</v>
      </c>
      <c r="AA1808" s="11" t="str">
        <f t="shared" si="117"/>
        <v>1700 - TBN</v>
      </c>
      <c r="AC1808" s="2" t="s">
        <v>145</v>
      </c>
      <c r="AD1808" s="11" t="str">
        <f>IF($I1808&lt;&gt;"",VLOOKUP($AC1808,GEADRESSEERDE!$A$2:$E$4,2,),"")</f>
        <v>LUITHAGEN HAVEN 2 D</v>
      </c>
      <c r="AE1808" s="11">
        <f>IF($I1808&lt;&gt;"",VLOOKUP($AC1808,GEADRESSEERDE!$A$2:$E$4,3,),"")</f>
        <v>2030</v>
      </c>
      <c r="AF1808" s="11" t="str">
        <f>IF($I1808&lt;&gt;"",VLOOKUP($AC1808,GEADRESSEERDE!$A$2:$E$4,4,),"")</f>
        <v>ANTWERPEN</v>
      </c>
      <c r="AG1808" s="11" t="str">
        <f>IF($I1808&lt;&gt;"",VLOOKUP($AC1808,GEADRESSEERDE!$A$2:$E$4,5,),"")</f>
        <v>BE</v>
      </c>
      <c r="AH1808" s="11" t="str">
        <f>IF(I1808&lt;&gt;"",VLOOKUP(AP1808,KvB!$A$2:$B$3,2,FALSE),"")</f>
        <v>BE101000</v>
      </c>
      <c r="AI1808" s="11" t="s">
        <v>55</v>
      </c>
      <c r="AJ1808" s="11"/>
      <c r="AK1808" s="11"/>
      <c r="AL1808" s="11"/>
      <c r="AM1808" s="11"/>
      <c r="AN1808" s="11"/>
      <c r="AO1808" s="11"/>
      <c r="AP1808" s="2" t="s">
        <v>70</v>
      </c>
      <c r="AQ1808" s="11" t="str">
        <f>IF(I1808&lt;&gt;"",DATA!D1807,"")</f>
        <v>5609000000</v>
      </c>
    </row>
    <row r="1809" spans="1:43" ht="15.75" x14ac:dyDescent="0.25">
      <c r="A1809" s="11" t="s">
        <v>57</v>
      </c>
      <c r="B1809" s="11" t="s">
        <v>56</v>
      </c>
      <c r="C1809" s="22">
        <f t="shared" si="118"/>
        <v>25001620</v>
      </c>
      <c r="D1809" s="11" t="str">
        <f t="shared" si="115"/>
        <v>SKIIFM_AT</v>
      </c>
      <c r="E1809" s="11" t="str">
        <f>IF(I1809&lt;&gt;"",VLOOKUP(F1809,OPDRACHTGEVER!$A$2:$B$4,2,FALSE),"")</f>
        <v>SKIIFM_AT</v>
      </c>
      <c r="F1809" s="11" t="s">
        <v>58</v>
      </c>
      <c r="I1809" s="11" t="str">
        <f>IF(DATA!B1808&lt;&gt;"",DATA!B1808,"")</f>
        <v>MSMU4569727</v>
      </c>
      <c r="J1809" s="12">
        <v>0</v>
      </c>
      <c r="K1809" s="11" t="s">
        <v>53</v>
      </c>
      <c r="L1809" s="11" t="str">
        <f t="shared" si="116"/>
        <v>848350</v>
      </c>
      <c r="M1809" s="11" t="str">
        <f>IF(I1809&lt;&gt;"",DATA!E1808,"")</f>
        <v>PULLEY</v>
      </c>
      <c r="N1809" s="12">
        <v>0</v>
      </c>
      <c r="O1809" s="11">
        <f>IF(I1809&lt;&gt;"",DATA!C1808,"")</f>
        <v>15</v>
      </c>
      <c r="P1809" s="2">
        <v>294094</v>
      </c>
      <c r="Q1809" s="2" t="s">
        <v>1304</v>
      </c>
      <c r="R1809" s="2" t="s">
        <v>1339</v>
      </c>
      <c r="S1809" s="2">
        <v>282</v>
      </c>
      <c r="T1809" s="2">
        <v>1</v>
      </c>
      <c r="U1809" s="2" t="s">
        <v>141</v>
      </c>
      <c r="Y1809" s="2">
        <v>1700</v>
      </c>
      <c r="Z1809" s="11" t="s">
        <v>54</v>
      </c>
      <c r="AA1809" s="11" t="str">
        <f t="shared" si="117"/>
        <v>1700 - TBN</v>
      </c>
      <c r="AC1809" s="2" t="s">
        <v>145</v>
      </c>
      <c r="AD1809" s="11" t="str">
        <f>IF($I1809&lt;&gt;"",VLOOKUP($AC1809,GEADRESSEERDE!$A$2:$E$4,2,),"")</f>
        <v>LUITHAGEN HAVEN 2 D</v>
      </c>
      <c r="AE1809" s="11">
        <f>IF($I1809&lt;&gt;"",VLOOKUP($AC1809,GEADRESSEERDE!$A$2:$E$4,3,),"")</f>
        <v>2030</v>
      </c>
      <c r="AF1809" s="11" t="str">
        <f>IF($I1809&lt;&gt;"",VLOOKUP($AC1809,GEADRESSEERDE!$A$2:$E$4,4,),"")</f>
        <v>ANTWERPEN</v>
      </c>
      <c r="AG1809" s="11" t="str">
        <f>IF($I1809&lt;&gt;"",VLOOKUP($AC1809,GEADRESSEERDE!$A$2:$E$4,5,),"")</f>
        <v>BE</v>
      </c>
      <c r="AH1809" s="11" t="str">
        <f>IF(I1809&lt;&gt;"",VLOOKUP(AP1809,KvB!$A$2:$B$3,2,FALSE),"")</f>
        <v>BE101000</v>
      </c>
      <c r="AI1809" s="11" t="s">
        <v>55</v>
      </c>
      <c r="AJ1809" s="11"/>
      <c r="AK1809" s="11"/>
      <c r="AL1809" s="11"/>
      <c r="AM1809" s="11"/>
      <c r="AN1809" s="11"/>
      <c r="AO1809" s="11"/>
      <c r="AP1809" s="2" t="s">
        <v>70</v>
      </c>
      <c r="AQ1809" s="11" t="str">
        <f>IF(I1809&lt;&gt;"",DATA!D1808,"")</f>
        <v>8483508090</v>
      </c>
    </row>
    <row r="1810" spans="1:43" ht="15.75" x14ac:dyDescent="0.25">
      <c r="A1810" s="11" t="s">
        <v>57</v>
      </c>
      <c r="B1810" s="11" t="s">
        <v>56</v>
      </c>
      <c r="C1810" s="22">
        <f t="shared" si="118"/>
        <v>25001620</v>
      </c>
      <c r="D1810" s="11" t="str">
        <f t="shared" si="115"/>
        <v>SKIIFM_AT</v>
      </c>
      <c r="E1810" s="11" t="str">
        <f>IF(I1810&lt;&gt;"",VLOOKUP(F1810,OPDRACHTGEVER!$A$2:$B$4,2,FALSE),"")</f>
        <v>SKIIFM_AT</v>
      </c>
      <c r="F1810" s="11" t="s">
        <v>58</v>
      </c>
      <c r="I1810" s="11" t="str">
        <f>IF(DATA!B1809&lt;&gt;"",DATA!B1809,"")</f>
        <v>MSMU4569727</v>
      </c>
      <c r="J1810" s="12">
        <v>0</v>
      </c>
      <c r="K1810" s="11" t="s">
        <v>53</v>
      </c>
      <c r="L1810" s="11" t="str">
        <f t="shared" si="116"/>
        <v>820510</v>
      </c>
      <c r="M1810" s="11" t="str">
        <f>IF(I1810&lt;&gt;"",DATA!E1809,"")</f>
        <v>PUNCH LOCATOR</v>
      </c>
      <c r="N1810" s="12">
        <v>0</v>
      </c>
      <c r="O1810" s="11">
        <f>IF(I1810&lt;&gt;"",DATA!C1809,"")</f>
        <v>3.6</v>
      </c>
      <c r="P1810" s="2">
        <v>294094</v>
      </c>
      <c r="Q1810" s="2" t="s">
        <v>1304</v>
      </c>
      <c r="R1810" s="2" t="s">
        <v>1339</v>
      </c>
      <c r="S1810" s="2">
        <v>282</v>
      </c>
      <c r="T1810" s="2">
        <v>1</v>
      </c>
      <c r="U1810" s="2" t="s">
        <v>141</v>
      </c>
      <c r="Y1810" s="2">
        <v>1700</v>
      </c>
      <c r="Z1810" s="11" t="s">
        <v>54</v>
      </c>
      <c r="AA1810" s="11" t="str">
        <f t="shared" si="117"/>
        <v>1700 - TBN</v>
      </c>
      <c r="AC1810" s="2" t="s">
        <v>145</v>
      </c>
      <c r="AD1810" s="11" t="str">
        <f>IF($I1810&lt;&gt;"",VLOOKUP($AC1810,GEADRESSEERDE!$A$2:$E$4,2,),"")</f>
        <v>LUITHAGEN HAVEN 2 D</v>
      </c>
      <c r="AE1810" s="11">
        <f>IF($I1810&lt;&gt;"",VLOOKUP($AC1810,GEADRESSEERDE!$A$2:$E$4,3,),"")</f>
        <v>2030</v>
      </c>
      <c r="AF1810" s="11" t="str">
        <f>IF($I1810&lt;&gt;"",VLOOKUP($AC1810,GEADRESSEERDE!$A$2:$E$4,4,),"")</f>
        <v>ANTWERPEN</v>
      </c>
      <c r="AG1810" s="11" t="str">
        <f>IF($I1810&lt;&gt;"",VLOOKUP($AC1810,GEADRESSEERDE!$A$2:$E$4,5,),"")</f>
        <v>BE</v>
      </c>
      <c r="AH1810" s="11" t="str">
        <f>IF(I1810&lt;&gt;"",VLOOKUP(AP1810,KvB!$A$2:$B$3,2,FALSE),"")</f>
        <v>BE101000</v>
      </c>
      <c r="AI1810" s="11" t="s">
        <v>55</v>
      </c>
      <c r="AJ1810" s="11"/>
      <c r="AK1810" s="11"/>
      <c r="AL1810" s="11"/>
      <c r="AM1810" s="11"/>
      <c r="AN1810" s="11"/>
      <c r="AO1810" s="11"/>
      <c r="AP1810" s="2" t="s">
        <v>70</v>
      </c>
      <c r="AQ1810" s="11" t="str">
        <f>IF(I1810&lt;&gt;"",DATA!D1809,"")</f>
        <v>8205100000</v>
      </c>
    </row>
    <row r="1811" spans="1:43" ht="15.75" x14ac:dyDescent="0.25">
      <c r="A1811" s="11" t="s">
        <v>57</v>
      </c>
      <c r="B1811" s="11" t="s">
        <v>56</v>
      </c>
      <c r="C1811" s="22">
        <f t="shared" si="118"/>
        <v>25001620</v>
      </c>
      <c r="D1811" s="11" t="str">
        <f t="shared" si="115"/>
        <v>SKIIFM_AT</v>
      </c>
      <c r="E1811" s="11" t="str">
        <f>IF(I1811&lt;&gt;"",VLOOKUP(F1811,OPDRACHTGEVER!$A$2:$B$4,2,FALSE),"")</f>
        <v>SKIIFM_AT</v>
      </c>
      <c r="F1811" s="11" t="s">
        <v>58</v>
      </c>
      <c r="I1811" s="11" t="str">
        <f>IF(DATA!B1810&lt;&gt;"",DATA!B1810,"")</f>
        <v>MSMU4569727</v>
      </c>
      <c r="J1811" s="12">
        <v>0</v>
      </c>
      <c r="K1811" s="11" t="s">
        <v>53</v>
      </c>
      <c r="L1811" s="11" t="str">
        <f t="shared" si="116"/>
        <v>820551</v>
      </c>
      <c r="M1811" s="11" t="str">
        <f>IF(I1811&lt;&gt;"",DATA!E1810,"")</f>
        <v>PUTTY SCRAPER</v>
      </c>
      <c r="N1811" s="12">
        <v>0</v>
      </c>
      <c r="O1811" s="11">
        <f>IF(I1811&lt;&gt;"",DATA!C1810,"")</f>
        <v>1.4</v>
      </c>
      <c r="P1811" s="2">
        <v>294094</v>
      </c>
      <c r="Q1811" s="2" t="s">
        <v>1304</v>
      </c>
      <c r="R1811" s="2" t="s">
        <v>1339</v>
      </c>
      <c r="S1811" s="2">
        <v>282</v>
      </c>
      <c r="T1811" s="2">
        <v>1</v>
      </c>
      <c r="U1811" s="2" t="s">
        <v>141</v>
      </c>
      <c r="Y1811" s="2">
        <v>1700</v>
      </c>
      <c r="Z1811" s="11" t="s">
        <v>54</v>
      </c>
      <c r="AA1811" s="11" t="str">
        <f t="shared" si="117"/>
        <v>1700 - TBN</v>
      </c>
      <c r="AC1811" s="2" t="s">
        <v>145</v>
      </c>
      <c r="AD1811" s="11" t="str">
        <f>IF($I1811&lt;&gt;"",VLOOKUP($AC1811,GEADRESSEERDE!$A$2:$E$4,2,),"")</f>
        <v>LUITHAGEN HAVEN 2 D</v>
      </c>
      <c r="AE1811" s="11">
        <f>IF($I1811&lt;&gt;"",VLOOKUP($AC1811,GEADRESSEERDE!$A$2:$E$4,3,),"")</f>
        <v>2030</v>
      </c>
      <c r="AF1811" s="11" t="str">
        <f>IF($I1811&lt;&gt;"",VLOOKUP($AC1811,GEADRESSEERDE!$A$2:$E$4,4,),"")</f>
        <v>ANTWERPEN</v>
      </c>
      <c r="AG1811" s="11" t="str">
        <f>IF($I1811&lt;&gt;"",VLOOKUP($AC1811,GEADRESSEERDE!$A$2:$E$4,5,),"")</f>
        <v>BE</v>
      </c>
      <c r="AH1811" s="11" t="str">
        <f>IF(I1811&lt;&gt;"",VLOOKUP(AP1811,KvB!$A$2:$B$3,2,FALSE),"")</f>
        <v>BE101000</v>
      </c>
      <c r="AI1811" s="11" t="s">
        <v>55</v>
      </c>
      <c r="AJ1811" s="11"/>
      <c r="AK1811" s="11"/>
      <c r="AL1811" s="11"/>
      <c r="AM1811" s="11"/>
      <c r="AN1811" s="11"/>
      <c r="AO1811" s="11"/>
      <c r="AP1811" s="2" t="s">
        <v>70</v>
      </c>
      <c r="AQ1811" s="11" t="str">
        <f>IF(I1811&lt;&gt;"",DATA!D1810,"")</f>
        <v>8205510000</v>
      </c>
    </row>
    <row r="1812" spans="1:43" ht="15.75" x14ac:dyDescent="0.25">
      <c r="A1812" s="11" t="s">
        <v>57</v>
      </c>
      <c r="B1812" s="11" t="s">
        <v>56</v>
      </c>
      <c r="C1812" s="22">
        <f t="shared" si="118"/>
        <v>25001620</v>
      </c>
      <c r="D1812" s="11" t="str">
        <f t="shared" si="115"/>
        <v>SKIIFM_AT</v>
      </c>
      <c r="E1812" s="11" t="str">
        <f>IF(I1812&lt;&gt;"",VLOOKUP(F1812,OPDRACHTGEVER!$A$2:$B$4,2,FALSE),"")</f>
        <v>SKIIFM_AT</v>
      </c>
      <c r="F1812" s="11" t="s">
        <v>58</v>
      </c>
      <c r="I1812" s="11" t="str">
        <f>IF(DATA!B1811&lt;&gt;"",DATA!B1811,"")</f>
        <v>MSMU4569727</v>
      </c>
      <c r="J1812" s="12">
        <v>0</v>
      </c>
      <c r="K1812" s="11" t="s">
        <v>53</v>
      </c>
      <c r="L1812" s="11" t="str">
        <f t="shared" si="116"/>
        <v>391810</v>
      </c>
      <c r="M1812" s="11" t="str">
        <f>IF(I1812&lt;&gt;"",DATA!E1811,"")</f>
        <v>PVC FLOOR MAT</v>
      </c>
      <c r="N1812" s="12">
        <v>0</v>
      </c>
      <c r="O1812" s="11">
        <f>IF(I1812&lt;&gt;"",DATA!C1811,"")</f>
        <v>6.55</v>
      </c>
      <c r="P1812" s="2">
        <v>294094</v>
      </c>
      <c r="Q1812" s="2" t="s">
        <v>1304</v>
      </c>
      <c r="R1812" s="2" t="s">
        <v>1339</v>
      </c>
      <c r="S1812" s="2">
        <v>282</v>
      </c>
      <c r="T1812" s="2">
        <v>1</v>
      </c>
      <c r="U1812" s="2" t="s">
        <v>141</v>
      </c>
      <c r="Y1812" s="2">
        <v>1700</v>
      </c>
      <c r="Z1812" s="11" t="s">
        <v>54</v>
      </c>
      <c r="AA1812" s="11" t="str">
        <f t="shared" si="117"/>
        <v>1700 - TBN</v>
      </c>
      <c r="AC1812" s="2" t="s">
        <v>145</v>
      </c>
      <c r="AD1812" s="11" t="str">
        <f>IF($I1812&lt;&gt;"",VLOOKUP($AC1812,GEADRESSEERDE!$A$2:$E$4,2,),"")</f>
        <v>LUITHAGEN HAVEN 2 D</v>
      </c>
      <c r="AE1812" s="11">
        <f>IF($I1812&lt;&gt;"",VLOOKUP($AC1812,GEADRESSEERDE!$A$2:$E$4,3,),"")</f>
        <v>2030</v>
      </c>
      <c r="AF1812" s="11" t="str">
        <f>IF($I1812&lt;&gt;"",VLOOKUP($AC1812,GEADRESSEERDE!$A$2:$E$4,4,),"")</f>
        <v>ANTWERPEN</v>
      </c>
      <c r="AG1812" s="11" t="str">
        <f>IF($I1812&lt;&gt;"",VLOOKUP($AC1812,GEADRESSEERDE!$A$2:$E$4,5,),"")</f>
        <v>BE</v>
      </c>
      <c r="AH1812" s="11" t="str">
        <f>IF(I1812&lt;&gt;"",VLOOKUP(AP1812,KvB!$A$2:$B$3,2,FALSE),"")</f>
        <v>BE101000</v>
      </c>
      <c r="AI1812" s="11" t="s">
        <v>55</v>
      </c>
      <c r="AJ1812" s="11"/>
      <c r="AK1812" s="11"/>
      <c r="AL1812" s="11"/>
      <c r="AM1812" s="11"/>
      <c r="AN1812" s="11"/>
      <c r="AO1812" s="11"/>
      <c r="AP1812" s="2" t="s">
        <v>70</v>
      </c>
      <c r="AQ1812" s="11" t="str">
        <f>IF(I1812&lt;&gt;"",DATA!D1811,"")</f>
        <v>3918109090</v>
      </c>
    </row>
    <row r="1813" spans="1:43" ht="15.75" x14ac:dyDescent="0.25">
      <c r="A1813" s="11" t="s">
        <v>57</v>
      </c>
      <c r="B1813" s="11" t="s">
        <v>56</v>
      </c>
      <c r="C1813" s="22">
        <f t="shared" si="118"/>
        <v>25001620</v>
      </c>
      <c r="D1813" s="11" t="str">
        <f t="shared" si="115"/>
        <v>SKIIFM_AT</v>
      </c>
      <c r="E1813" s="11" t="str">
        <f>IF(I1813&lt;&gt;"",VLOOKUP(F1813,OPDRACHTGEVER!$A$2:$B$4,2,FALSE),"")</f>
        <v>SKIIFM_AT</v>
      </c>
      <c r="F1813" s="11" t="s">
        <v>58</v>
      </c>
      <c r="I1813" s="11" t="str">
        <f>IF(DATA!B1812&lt;&gt;"",DATA!B1812,"")</f>
        <v>MSMU4569727</v>
      </c>
      <c r="J1813" s="12">
        <v>0</v>
      </c>
      <c r="K1813" s="11" t="s">
        <v>53</v>
      </c>
      <c r="L1813" s="11" t="str">
        <f t="shared" si="116"/>
        <v>842381</v>
      </c>
      <c r="M1813" s="11" t="str">
        <f>IF(I1813&lt;&gt;"",DATA!E1812,"")</f>
        <v>SCALE KIT</v>
      </c>
      <c r="N1813" s="12">
        <v>0</v>
      </c>
      <c r="O1813" s="11">
        <f>IF(I1813&lt;&gt;"",DATA!C1812,"")</f>
        <v>1.4</v>
      </c>
      <c r="P1813" s="2">
        <v>294094</v>
      </c>
      <c r="Q1813" s="2" t="s">
        <v>1304</v>
      </c>
      <c r="R1813" s="2" t="s">
        <v>1339</v>
      </c>
      <c r="S1813" s="2">
        <v>282</v>
      </c>
      <c r="T1813" s="2">
        <v>1</v>
      </c>
      <c r="U1813" s="2" t="s">
        <v>141</v>
      </c>
      <c r="Y1813" s="2">
        <v>1700</v>
      </c>
      <c r="Z1813" s="11" t="s">
        <v>54</v>
      </c>
      <c r="AA1813" s="11" t="str">
        <f t="shared" si="117"/>
        <v>1700 - TBN</v>
      </c>
      <c r="AC1813" s="2" t="s">
        <v>145</v>
      </c>
      <c r="AD1813" s="11" t="str">
        <f>IF($I1813&lt;&gt;"",VLOOKUP($AC1813,GEADRESSEERDE!$A$2:$E$4,2,),"")</f>
        <v>LUITHAGEN HAVEN 2 D</v>
      </c>
      <c r="AE1813" s="11">
        <f>IF($I1813&lt;&gt;"",VLOOKUP($AC1813,GEADRESSEERDE!$A$2:$E$4,3,),"")</f>
        <v>2030</v>
      </c>
      <c r="AF1813" s="11" t="str">
        <f>IF($I1813&lt;&gt;"",VLOOKUP($AC1813,GEADRESSEERDE!$A$2:$E$4,4,),"")</f>
        <v>ANTWERPEN</v>
      </c>
      <c r="AG1813" s="11" t="str">
        <f>IF($I1813&lt;&gt;"",VLOOKUP($AC1813,GEADRESSEERDE!$A$2:$E$4,5,),"")</f>
        <v>BE</v>
      </c>
      <c r="AH1813" s="11" t="str">
        <f>IF(I1813&lt;&gt;"",VLOOKUP(AP1813,KvB!$A$2:$B$3,2,FALSE),"")</f>
        <v>BE101000</v>
      </c>
      <c r="AI1813" s="11" t="s">
        <v>55</v>
      </c>
      <c r="AJ1813" s="11"/>
      <c r="AK1813" s="11"/>
      <c r="AL1813" s="11"/>
      <c r="AM1813" s="11"/>
      <c r="AN1813" s="11"/>
      <c r="AO1813" s="11"/>
      <c r="AP1813" s="2" t="s">
        <v>70</v>
      </c>
      <c r="AQ1813" s="11" t="str">
        <f>IF(I1813&lt;&gt;"",DATA!D1812,"")</f>
        <v>8423818000</v>
      </c>
    </row>
    <row r="1814" spans="1:43" ht="15.75" x14ac:dyDescent="0.25">
      <c r="A1814" s="11" t="s">
        <v>57</v>
      </c>
      <c r="B1814" s="11" t="s">
        <v>56</v>
      </c>
      <c r="C1814" s="22">
        <f t="shared" si="118"/>
        <v>25001620</v>
      </c>
      <c r="D1814" s="11" t="str">
        <f t="shared" si="115"/>
        <v>SKIIFM_AT</v>
      </c>
      <c r="E1814" s="11" t="str">
        <f>IF(I1814&lt;&gt;"",VLOOKUP(F1814,OPDRACHTGEVER!$A$2:$B$4,2,FALSE),"")</f>
        <v>SKIIFM_AT</v>
      </c>
      <c r="F1814" s="11" t="s">
        <v>58</v>
      </c>
      <c r="I1814" s="11" t="str">
        <f>IF(DATA!B1813&lt;&gt;"",DATA!B1813,"")</f>
        <v>MSMU4569727</v>
      </c>
      <c r="J1814" s="12">
        <v>0</v>
      </c>
      <c r="K1814" s="11" t="s">
        <v>53</v>
      </c>
      <c r="L1814" s="11" t="str">
        <f t="shared" si="116"/>
        <v>761010</v>
      </c>
      <c r="M1814" s="11" t="str">
        <f>IF(I1814&lt;&gt;"",DATA!E1813,"")</f>
        <v>SERVICE WINDOW</v>
      </c>
      <c r="N1814" s="12">
        <v>0</v>
      </c>
      <c r="O1814" s="11">
        <f>IF(I1814&lt;&gt;"",DATA!C1813,"")</f>
        <v>27.8</v>
      </c>
      <c r="P1814" s="2">
        <v>294094</v>
      </c>
      <c r="Q1814" s="2" t="s">
        <v>1304</v>
      </c>
      <c r="R1814" s="2" t="s">
        <v>1339</v>
      </c>
      <c r="S1814" s="2">
        <v>282</v>
      </c>
      <c r="T1814" s="2">
        <v>1</v>
      </c>
      <c r="U1814" s="2" t="s">
        <v>141</v>
      </c>
      <c r="Y1814" s="2">
        <v>1700</v>
      </c>
      <c r="Z1814" s="11" t="s">
        <v>54</v>
      </c>
      <c r="AA1814" s="11" t="str">
        <f t="shared" si="117"/>
        <v>1700 - TBN</v>
      </c>
      <c r="AC1814" s="2" t="s">
        <v>145</v>
      </c>
      <c r="AD1814" s="11" t="str">
        <f>IF($I1814&lt;&gt;"",VLOOKUP($AC1814,GEADRESSEERDE!$A$2:$E$4,2,),"")</f>
        <v>LUITHAGEN HAVEN 2 D</v>
      </c>
      <c r="AE1814" s="11">
        <f>IF($I1814&lt;&gt;"",VLOOKUP($AC1814,GEADRESSEERDE!$A$2:$E$4,3,),"")</f>
        <v>2030</v>
      </c>
      <c r="AF1814" s="11" t="str">
        <f>IF($I1814&lt;&gt;"",VLOOKUP($AC1814,GEADRESSEERDE!$A$2:$E$4,4,),"")</f>
        <v>ANTWERPEN</v>
      </c>
      <c r="AG1814" s="11" t="str">
        <f>IF($I1814&lt;&gt;"",VLOOKUP($AC1814,GEADRESSEERDE!$A$2:$E$4,5,),"")</f>
        <v>BE</v>
      </c>
      <c r="AH1814" s="11" t="str">
        <f>IF(I1814&lt;&gt;"",VLOOKUP(AP1814,KvB!$A$2:$B$3,2,FALSE),"")</f>
        <v>BE101000</v>
      </c>
      <c r="AI1814" s="11" t="s">
        <v>55</v>
      </c>
      <c r="AJ1814" s="11"/>
      <c r="AK1814" s="11"/>
      <c r="AL1814" s="11"/>
      <c r="AM1814" s="11"/>
      <c r="AN1814" s="11"/>
      <c r="AO1814" s="11"/>
      <c r="AP1814" s="2" t="s">
        <v>70</v>
      </c>
      <c r="AQ1814" s="11" t="str">
        <f>IF(I1814&lt;&gt;"",DATA!D1813,"")</f>
        <v>7610100000</v>
      </c>
    </row>
    <row r="1815" spans="1:43" ht="15.75" x14ac:dyDescent="0.25">
      <c r="A1815" s="11" t="s">
        <v>57</v>
      </c>
      <c r="B1815" s="11" t="s">
        <v>56</v>
      </c>
      <c r="C1815" s="22">
        <f t="shared" si="118"/>
        <v>25001620</v>
      </c>
      <c r="D1815" s="11" t="str">
        <f t="shared" si="115"/>
        <v>SKIIFM_AT</v>
      </c>
      <c r="E1815" s="11" t="str">
        <f>IF(I1815&lt;&gt;"",VLOOKUP(F1815,OPDRACHTGEVER!$A$2:$B$4,2,FALSE),"")</f>
        <v>SKIIFM_AT</v>
      </c>
      <c r="F1815" s="11" t="s">
        <v>58</v>
      </c>
      <c r="I1815" s="11" t="str">
        <f>IF(DATA!B1814&lt;&gt;"",DATA!B1814,"")</f>
        <v>MSMU4569727</v>
      </c>
      <c r="J1815" s="12">
        <v>0</v>
      </c>
      <c r="K1815" s="11" t="s">
        <v>53</v>
      </c>
      <c r="L1815" s="11" t="str">
        <f t="shared" si="116"/>
        <v>741920</v>
      </c>
      <c r="M1815" s="11" t="str">
        <f>IF(I1815&lt;&gt;"",DATA!E1814,"")</f>
        <v>BAKING PAN</v>
      </c>
      <c r="N1815" s="12">
        <v>0</v>
      </c>
      <c r="O1815" s="11">
        <f>IF(I1815&lt;&gt;"",DATA!C1814,"")</f>
        <v>6.9</v>
      </c>
      <c r="P1815" s="2">
        <v>294094</v>
      </c>
      <c r="Q1815" s="2" t="s">
        <v>1304</v>
      </c>
      <c r="R1815" s="2" t="s">
        <v>1339</v>
      </c>
      <c r="S1815" s="2">
        <v>282</v>
      </c>
      <c r="T1815" s="2">
        <v>1</v>
      </c>
      <c r="U1815" s="2" t="s">
        <v>141</v>
      </c>
      <c r="Y1815" s="2">
        <v>1700</v>
      </c>
      <c r="Z1815" s="11" t="s">
        <v>54</v>
      </c>
      <c r="AA1815" s="11" t="str">
        <f t="shared" si="117"/>
        <v>1700 - TBN</v>
      </c>
      <c r="AC1815" s="2" t="s">
        <v>145</v>
      </c>
      <c r="AD1815" s="11" t="str">
        <f>IF($I1815&lt;&gt;"",VLOOKUP($AC1815,GEADRESSEERDE!$A$2:$E$4,2,),"")</f>
        <v>LUITHAGEN HAVEN 2 D</v>
      </c>
      <c r="AE1815" s="11">
        <f>IF($I1815&lt;&gt;"",VLOOKUP($AC1815,GEADRESSEERDE!$A$2:$E$4,3,),"")</f>
        <v>2030</v>
      </c>
      <c r="AF1815" s="11" t="str">
        <f>IF($I1815&lt;&gt;"",VLOOKUP($AC1815,GEADRESSEERDE!$A$2:$E$4,4,),"")</f>
        <v>ANTWERPEN</v>
      </c>
      <c r="AG1815" s="11" t="str">
        <f>IF($I1815&lt;&gt;"",VLOOKUP($AC1815,GEADRESSEERDE!$A$2:$E$4,5,),"")</f>
        <v>BE</v>
      </c>
      <c r="AH1815" s="11" t="str">
        <f>IF(I1815&lt;&gt;"",VLOOKUP(AP1815,KvB!$A$2:$B$3,2,FALSE),"")</f>
        <v>BE101000</v>
      </c>
      <c r="AI1815" s="11" t="s">
        <v>55</v>
      </c>
      <c r="AJ1815" s="11"/>
      <c r="AK1815" s="11"/>
      <c r="AL1815" s="11"/>
      <c r="AM1815" s="11"/>
      <c r="AN1815" s="11"/>
      <c r="AO1815" s="11"/>
      <c r="AP1815" s="2" t="s">
        <v>70</v>
      </c>
      <c r="AQ1815" s="11" t="str">
        <f>IF(I1815&lt;&gt;"",DATA!D1814,"")</f>
        <v>7419200090</v>
      </c>
    </row>
    <row r="1816" spans="1:43" ht="15.75" x14ac:dyDescent="0.25">
      <c r="A1816" s="11" t="s">
        <v>57</v>
      </c>
      <c r="B1816" s="11" t="s">
        <v>56</v>
      </c>
      <c r="C1816" s="22">
        <f t="shared" si="118"/>
        <v>25001620</v>
      </c>
      <c r="D1816" s="11" t="str">
        <f t="shared" si="115"/>
        <v>SKIIFM_AT</v>
      </c>
      <c r="E1816" s="11" t="str">
        <f>IF(I1816&lt;&gt;"",VLOOKUP(F1816,OPDRACHTGEVER!$A$2:$B$4,2,FALSE),"")</f>
        <v>SKIIFM_AT</v>
      </c>
      <c r="F1816" s="11" t="s">
        <v>58</v>
      </c>
      <c r="I1816" s="11" t="str">
        <f>IF(DATA!B1815&lt;&gt;"",DATA!B1815,"")</f>
        <v>MSMU4569727</v>
      </c>
      <c r="J1816" s="12">
        <v>0</v>
      </c>
      <c r="K1816" s="11" t="s">
        <v>53</v>
      </c>
      <c r="L1816" s="11" t="str">
        <f t="shared" si="116"/>
        <v>741920</v>
      </c>
      <c r="M1816" s="11" t="str">
        <f>IF(I1816&lt;&gt;"",DATA!E1815,"")</f>
        <v>WIRE ROPE</v>
      </c>
      <c r="N1816" s="12">
        <v>0</v>
      </c>
      <c r="O1816" s="11">
        <f>IF(I1816&lt;&gt;"",DATA!C1815,"")</f>
        <v>147.55000000000001</v>
      </c>
      <c r="P1816" s="2">
        <v>294094</v>
      </c>
      <c r="Q1816" s="2" t="s">
        <v>1304</v>
      </c>
      <c r="R1816" s="2" t="s">
        <v>1339</v>
      </c>
      <c r="S1816" s="2">
        <v>282</v>
      </c>
      <c r="T1816" s="2">
        <v>1</v>
      </c>
      <c r="U1816" s="2" t="s">
        <v>141</v>
      </c>
      <c r="Y1816" s="2">
        <v>1700</v>
      </c>
      <c r="Z1816" s="11" t="s">
        <v>54</v>
      </c>
      <c r="AA1816" s="11" t="str">
        <f t="shared" si="117"/>
        <v>1700 - TBN</v>
      </c>
      <c r="AC1816" s="2" t="s">
        <v>145</v>
      </c>
      <c r="AD1816" s="11" t="str">
        <f>IF($I1816&lt;&gt;"",VLOOKUP($AC1816,GEADRESSEERDE!$A$2:$E$4,2,),"")</f>
        <v>LUITHAGEN HAVEN 2 D</v>
      </c>
      <c r="AE1816" s="11">
        <f>IF($I1816&lt;&gt;"",VLOOKUP($AC1816,GEADRESSEERDE!$A$2:$E$4,3,),"")</f>
        <v>2030</v>
      </c>
      <c r="AF1816" s="11" t="str">
        <f>IF($I1816&lt;&gt;"",VLOOKUP($AC1816,GEADRESSEERDE!$A$2:$E$4,4,),"")</f>
        <v>ANTWERPEN</v>
      </c>
      <c r="AG1816" s="11" t="str">
        <f>IF($I1816&lt;&gt;"",VLOOKUP($AC1816,GEADRESSEERDE!$A$2:$E$4,5,),"")</f>
        <v>BE</v>
      </c>
      <c r="AH1816" s="11" t="str">
        <f>IF(I1816&lt;&gt;"",VLOOKUP(AP1816,KvB!$A$2:$B$3,2,FALSE),"")</f>
        <v>BE101000</v>
      </c>
      <c r="AI1816" s="11" t="s">
        <v>55</v>
      </c>
      <c r="AJ1816" s="11"/>
      <c r="AK1816" s="11"/>
      <c r="AL1816" s="11"/>
      <c r="AM1816" s="11"/>
      <c r="AN1816" s="11"/>
      <c r="AO1816" s="11"/>
      <c r="AP1816" s="2" t="s">
        <v>70</v>
      </c>
      <c r="AQ1816" s="11" t="str">
        <f>IF(I1816&lt;&gt;"",DATA!D1815,"")</f>
        <v>7419200090</v>
      </c>
    </row>
    <row r="1817" spans="1:43" ht="15.75" x14ac:dyDescent="0.25">
      <c r="A1817" s="11" t="s">
        <v>57</v>
      </c>
      <c r="B1817" s="11" t="s">
        <v>56</v>
      </c>
      <c r="C1817" s="22">
        <f t="shared" si="118"/>
        <v>25001620</v>
      </c>
      <c r="D1817" s="11" t="str">
        <f t="shared" si="115"/>
        <v>SKIIFM_AT</v>
      </c>
      <c r="E1817" s="11" t="str">
        <f>IF(I1817&lt;&gt;"",VLOOKUP(F1817,OPDRACHTGEVER!$A$2:$B$4,2,FALSE),"")</f>
        <v>SKIIFM_AT</v>
      </c>
      <c r="F1817" s="11" t="s">
        <v>58</v>
      </c>
      <c r="I1817" s="11" t="str">
        <f>IF(DATA!B1816&lt;&gt;"",DATA!B1816,"")</f>
        <v>MSMU4569727</v>
      </c>
      <c r="J1817" s="12">
        <v>0</v>
      </c>
      <c r="K1817" s="11" t="s">
        <v>53</v>
      </c>
      <c r="L1817" s="11" t="str">
        <f t="shared" si="116"/>
        <v>870899</v>
      </c>
      <c r="M1817" s="11" t="str">
        <f>IF(I1817&lt;&gt;"",DATA!E1816,"")</f>
        <v>STRAP</v>
      </c>
      <c r="N1817" s="12">
        <v>0</v>
      </c>
      <c r="O1817" s="11">
        <f>IF(I1817&lt;&gt;"",DATA!C1816,"")</f>
        <v>296.55</v>
      </c>
      <c r="P1817" s="2">
        <v>294094</v>
      </c>
      <c r="Q1817" s="2" t="s">
        <v>1304</v>
      </c>
      <c r="R1817" s="2" t="s">
        <v>1339</v>
      </c>
      <c r="S1817" s="2">
        <v>282</v>
      </c>
      <c r="T1817" s="2">
        <v>1</v>
      </c>
      <c r="U1817" s="2" t="s">
        <v>141</v>
      </c>
      <c r="Y1817" s="2">
        <v>1700</v>
      </c>
      <c r="Z1817" s="11" t="s">
        <v>54</v>
      </c>
      <c r="AA1817" s="11" t="str">
        <f t="shared" si="117"/>
        <v>1700 - TBN</v>
      </c>
      <c r="AC1817" s="2" t="s">
        <v>145</v>
      </c>
      <c r="AD1817" s="11" t="str">
        <f>IF($I1817&lt;&gt;"",VLOOKUP($AC1817,GEADRESSEERDE!$A$2:$E$4,2,),"")</f>
        <v>LUITHAGEN HAVEN 2 D</v>
      </c>
      <c r="AE1817" s="11">
        <f>IF($I1817&lt;&gt;"",VLOOKUP($AC1817,GEADRESSEERDE!$A$2:$E$4,3,),"")</f>
        <v>2030</v>
      </c>
      <c r="AF1817" s="11" t="str">
        <f>IF($I1817&lt;&gt;"",VLOOKUP($AC1817,GEADRESSEERDE!$A$2:$E$4,4,),"")</f>
        <v>ANTWERPEN</v>
      </c>
      <c r="AG1817" s="11" t="str">
        <f>IF($I1817&lt;&gt;"",VLOOKUP($AC1817,GEADRESSEERDE!$A$2:$E$4,5,),"")</f>
        <v>BE</v>
      </c>
      <c r="AH1817" s="11" t="str">
        <f>IF(I1817&lt;&gt;"",VLOOKUP(AP1817,KvB!$A$2:$B$3,2,FALSE),"")</f>
        <v>BE101000</v>
      </c>
      <c r="AI1817" s="11" t="s">
        <v>55</v>
      </c>
      <c r="AJ1817" s="11"/>
      <c r="AK1817" s="11"/>
      <c r="AL1817" s="11"/>
      <c r="AM1817" s="11"/>
      <c r="AN1817" s="11"/>
      <c r="AO1817" s="11"/>
      <c r="AP1817" s="2" t="s">
        <v>70</v>
      </c>
      <c r="AQ1817" s="11" t="str">
        <f>IF(I1817&lt;&gt;"",DATA!D1816,"")</f>
        <v>8708999790</v>
      </c>
    </row>
    <row r="1818" spans="1:43" ht="15.75" x14ac:dyDescent="0.25">
      <c r="A1818" s="11" t="s">
        <v>57</v>
      </c>
      <c r="B1818" s="11" t="s">
        <v>56</v>
      </c>
      <c r="C1818" s="22">
        <f t="shared" si="118"/>
        <v>25001620</v>
      </c>
      <c r="D1818" s="11" t="str">
        <f t="shared" si="115"/>
        <v>SKIIFM_AT</v>
      </c>
      <c r="E1818" s="11" t="str">
        <f>IF(I1818&lt;&gt;"",VLOOKUP(F1818,OPDRACHTGEVER!$A$2:$B$4,2,FALSE),"")</f>
        <v>SKIIFM_AT</v>
      </c>
      <c r="F1818" s="11" t="s">
        <v>58</v>
      </c>
      <c r="I1818" s="11" t="str">
        <f>IF(DATA!B1817&lt;&gt;"",DATA!B1817,"")</f>
        <v>MSMU4569727</v>
      </c>
      <c r="J1818" s="12">
        <v>0</v>
      </c>
      <c r="K1818" s="11" t="s">
        <v>53</v>
      </c>
      <c r="L1818" s="11" t="str">
        <f t="shared" si="116"/>
        <v>820600</v>
      </c>
      <c r="M1818" s="11" t="str">
        <f>IF(I1818&lt;&gt;"",DATA!E1817,"")</f>
        <v>TIRE CHANGE TOOL - KIT</v>
      </c>
      <c r="N1818" s="12">
        <v>0</v>
      </c>
      <c r="O1818" s="11">
        <f>IF(I1818&lt;&gt;"",DATA!C1817,"")</f>
        <v>7.6</v>
      </c>
      <c r="P1818" s="2">
        <v>294094</v>
      </c>
      <c r="Q1818" s="2" t="s">
        <v>1304</v>
      </c>
      <c r="R1818" s="2" t="s">
        <v>1339</v>
      </c>
      <c r="S1818" s="2">
        <v>282</v>
      </c>
      <c r="T1818" s="2">
        <v>1</v>
      </c>
      <c r="U1818" s="2" t="s">
        <v>141</v>
      </c>
      <c r="Y1818" s="2">
        <v>1700</v>
      </c>
      <c r="Z1818" s="11" t="s">
        <v>54</v>
      </c>
      <c r="AA1818" s="11" t="str">
        <f t="shared" si="117"/>
        <v>1700 - TBN</v>
      </c>
      <c r="AC1818" s="2" t="s">
        <v>145</v>
      </c>
      <c r="AD1818" s="11" t="str">
        <f>IF($I1818&lt;&gt;"",VLOOKUP($AC1818,GEADRESSEERDE!$A$2:$E$4,2,),"")</f>
        <v>LUITHAGEN HAVEN 2 D</v>
      </c>
      <c r="AE1818" s="11">
        <f>IF($I1818&lt;&gt;"",VLOOKUP($AC1818,GEADRESSEERDE!$A$2:$E$4,3,),"")</f>
        <v>2030</v>
      </c>
      <c r="AF1818" s="11" t="str">
        <f>IF($I1818&lt;&gt;"",VLOOKUP($AC1818,GEADRESSEERDE!$A$2:$E$4,4,),"")</f>
        <v>ANTWERPEN</v>
      </c>
      <c r="AG1818" s="11" t="str">
        <f>IF($I1818&lt;&gt;"",VLOOKUP($AC1818,GEADRESSEERDE!$A$2:$E$4,5,),"")</f>
        <v>BE</v>
      </c>
      <c r="AH1818" s="11" t="str">
        <f>IF(I1818&lt;&gt;"",VLOOKUP(AP1818,KvB!$A$2:$B$3,2,FALSE),"")</f>
        <v>BE101000</v>
      </c>
      <c r="AI1818" s="11" t="s">
        <v>55</v>
      </c>
      <c r="AJ1818" s="11"/>
      <c r="AK1818" s="11"/>
      <c r="AL1818" s="11"/>
      <c r="AM1818" s="11"/>
      <c r="AN1818" s="11"/>
      <c r="AO1818" s="11"/>
      <c r="AP1818" s="2" t="s">
        <v>70</v>
      </c>
      <c r="AQ1818" s="11" t="str">
        <f>IF(I1818&lt;&gt;"",DATA!D1817,"")</f>
        <v>8206000000</v>
      </c>
    </row>
    <row r="1819" spans="1:43" ht="15.75" x14ac:dyDescent="0.25">
      <c r="A1819" s="11" t="s">
        <v>57</v>
      </c>
      <c r="B1819" s="11" t="s">
        <v>56</v>
      </c>
      <c r="C1819" s="22">
        <f t="shared" si="118"/>
        <v>25001620</v>
      </c>
      <c r="D1819" s="11" t="str">
        <f t="shared" si="115"/>
        <v>SKIIFM_AT</v>
      </c>
      <c r="E1819" s="11" t="str">
        <f>IF(I1819&lt;&gt;"",VLOOKUP(F1819,OPDRACHTGEVER!$A$2:$B$4,2,FALSE),"")</f>
        <v>SKIIFM_AT</v>
      </c>
      <c r="F1819" s="11" t="s">
        <v>58</v>
      </c>
      <c r="I1819" s="11" t="str">
        <f>IF(DATA!B1818&lt;&gt;"",DATA!B1818,"")</f>
        <v>MSMU4569727</v>
      </c>
      <c r="J1819" s="12">
        <v>0</v>
      </c>
      <c r="K1819" s="11" t="s">
        <v>53</v>
      </c>
      <c r="L1819" s="11" t="str">
        <f t="shared" si="116"/>
        <v>871680</v>
      </c>
      <c r="M1819" s="11" t="str">
        <f>IF(I1819&lt;&gt;"",DATA!E1818,"")</f>
        <v>TRACTOR</v>
      </c>
      <c r="N1819" s="12">
        <v>0</v>
      </c>
      <c r="O1819" s="11">
        <f>IF(I1819&lt;&gt;"",DATA!C1818,"")</f>
        <v>2149.83</v>
      </c>
      <c r="P1819" s="2">
        <v>294094</v>
      </c>
      <c r="Q1819" s="2" t="s">
        <v>1304</v>
      </c>
      <c r="R1819" s="2" t="s">
        <v>1339</v>
      </c>
      <c r="S1819" s="2">
        <v>282</v>
      </c>
      <c r="T1819" s="2">
        <v>1</v>
      </c>
      <c r="U1819" s="2" t="s">
        <v>141</v>
      </c>
      <c r="Y1819" s="2">
        <v>1700</v>
      </c>
      <c r="Z1819" s="11" t="s">
        <v>54</v>
      </c>
      <c r="AA1819" s="11" t="str">
        <f t="shared" si="117"/>
        <v>1700 - TBN</v>
      </c>
      <c r="AC1819" s="2" t="s">
        <v>145</v>
      </c>
      <c r="AD1819" s="11" t="str">
        <f>IF($I1819&lt;&gt;"",VLOOKUP($AC1819,GEADRESSEERDE!$A$2:$E$4,2,),"")</f>
        <v>LUITHAGEN HAVEN 2 D</v>
      </c>
      <c r="AE1819" s="11">
        <f>IF($I1819&lt;&gt;"",VLOOKUP($AC1819,GEADRESSEERDE!$A$2:$E$4,3,),"")</f>
        <v>2030</v>
      </c>
      <c r="AF1819" s="11" t="str">
        <f>IF($I1819&lt;&gt;"",VLOOKUP($AC1819,GEADRESSEERDE!$A$2:$E$4,4,),"")</f>
        <v>ANTWERPEN</v>
      </c>
      <c r="AG1819" s="11" t="str">
        <f>IF($I1819&lt;&gt;"",VLOOKUP($AC1819,GEADRESSEERDE!$A$2:$E$4,5,),"")</f>
        <v>BE</v>
      </c>
      <c r="AH1819" s="11" t="str">
        <f>IF(I1819&lt;&gt;"",VLOOKUP(AP1819,KvB!$A$2:$B$3,2,FALSE),"")</f>
        <v>BE101000</v>
      </c>
      <c r="AI1819" s="11" t="s">
        <v>55</v>
      </c>
      <c r="AJ1819" s="11"/>
      <c r="AK1819" s="11"/>
      <c r="AL1819" s="11"/>
      <c r="AM1819" s="11"/>
      <c r="AN1819" s="11"/>
      <c r="AO1819" s="11"/>
      <c r="AP1819" s="2" t="s">
        <v>70</v>
      </c>
      <c r="AQ1819" s="11" t="str">
        <f>IF(I1819&lt;&gt;"",DATA!D1818,"")</f>
        <v>8716800000</v>
      </c>
    </row>
    <row r="1820" spans="1:43" ht="15.75" x14ac:dyDescent="0.25">
      <c r="A1820" s="11" t="s">
        <v>57</v>
      </c>
      <c r="B1820" s="11" t="s">
        <v>56</v>
      </c>
      <c r="C1820" s="22">
        <f t="shared" si="118"/>
        <v>25001620</v>
      </c>
      <c r="D1820" s="11" t="str">
        <f t="shared" si="115"/>
        <v>SKIIFM_AT</v>
      </c>
      <c r="E1820" s="11" t="str">
        <f>IF(I1820&lt;&gt;"",VLOOKUP(F1820,OPDRACHTGEVER!$A$2:$B$4,2,FALSE),"")</f>
        <v>SKIIFM_AT</v>
      </c>
      <c r="F1820" s="11" t="s">
        <v>58</v>
      </c>
      <c r="I1820" s="11" t="str">
        <f>IF(DATA!B1819&lt;&gt;"",DATA!B1819,"")</f>
        <v>MSMU4569727</v>
      </c>
      <c r="J1820" s="12">
        <v>0</v>
      </c>
      <c r="K1820" s="11" t="s">
        <v>53</v>
      </c>
      <c r="L1820" s="11" t="str">
        <f t="shared" si="116"/>
        <v>847989</v>
      </c>
      <c r="M1820" s="11" t="str">
        <f>IF(I1820&lt;&gt;"",DATA!E1819,"")</f>
        <v>ULTRASONIC JEWELRY CLEANER</v>
      </c>
      <c r="N1820" s="12">
        <v>0</v>
      </c>
      <c r="O1820" s="11">
        <f>IF(I1820&lt;&gt;"",DATA!C1819,"")</f>
        <v>3963.11</v>
      </c>
      <c r="P1820" s="2">
        <v>294094</v>
      </c>
      <c r="Q1820" s="2" t="s">
        <v>1304</v>
      </c>
      <c r="R1820" s="2" t="s">
        <v>1339</v>
      </c>
      <c r="S1820" s="2">
        <v>282</v>
      </c>
      <c r="T1820" s="2">
        <v>1</v>
      </c>
      <c r="U1820" s="2" t="s">
        <v>141</v>
      </c>
      <c r="Y1820" s="2">
        <v>1700</v>
      </c>
      <c r="Z1820" s="11" t="s">
        <v>54</v>
      </c>
      <c r="AA1820" s="11" t="str">
        <f t="shared" si="117"/>
        <v>1700 - TBN</v>
      </c>
      <c r="AC1820" s="2" t="s">
        <v>145</v>
      </c>
      <c r="AD1820" s="11" t="str">
        <f>IF($I1820&lt;&gt;"",VLOOKUP($AC1820,GEADRESSEERDE!$A$2:$E$4,2,),"")</f>
        <v>LUITHAGEN HAVEN 2 D</v>
      </c>
      <c r="AE1820" s="11">
        <f>IF($I1820&lt;&gt;"",VLOOKUP($AC1820,GEADRESSEERDE!$A$2:$E$4,3,),"")</f>
        <v>2030</v>
      </c>
      <c r="AF1820" s="11" t="str">
        <f>IF($I1820&lt;&gt;"",VLOOKUP($AC1820,GEADRESSEERDE!$A$2:$E$4,4,),"")</f>
        <v>ANTWERPEN</v>
      </c>
      <c r="AG1820" s="11" t="str">
        <f>IF($I1820&lt;&gt;"",VLOOKUP($AC1820,GEADRESSEERDE!$A$2:$E$4,5,),"")</f>
        <v>BE</v>
      </c>
      <c r="AH1820" s="11" t="str">
        <f>IF(I1820&lt;&gt;"",VLOOKUP(AP1820,KvB!$A$2:$B$3,2,FALSE),"")</f>
        <v>BE101000</v>
      </c>
      <c r="AI1820" s="11" t="s">
        <v>55</v>
      </c>
      <c r="AJ1820" s="11"/>
      <c r="AK1820" s="11"/>
      <c r="AL1820" s="11"/>
      <c r="AM1820" s="11"/>
      <c r="AN1820" s="11"/>
      <c r="AO1820" s="11"/>
      <c r="AP1820" s="2" t="s">
        <v>70</v>
      </c>
      <c r="AQ1820" s="11" t="str">
        <f>IF(I1820&lt;&gt;"",DATA!D1819,"")</f>
        <v>8479899790</v>
      </c>
    </row>
    <row r="1821" spans="1:43" ht="15.75" x14ac:dyDescent="0.25">
      <c r="A1821" s="11" t="s">
        <v>57</v>
      </c>
      <c r="B1821" s="11" t="s">
        <v>56</v>
      </c>
      <c r="C1821" s="22">
        <f t="shared" si="118"/>
        <v>25001620</v>
      </c>
      <c r="D1821" s="11" t="str">
        <f t="shared" si="115"/>
        <v>SKIIFM_AT</v>
      </c>
      <c r="E1821" s="11" t="str">
        <f>IF(I1821&lt;&gt;"",VLOOKUP(F1821,OPDRACHTGEVER!$A$2:$B$4,2,FALSE),"")</f>
        <v>SKIIFM_AT</v>
      </c>
      <c r="F1821" s="11" t="s">
        <v>58</v>
      </c>
      <c r="I1821" s="11" t="str">
        <f>IF(DATA!B1820&lt;&gt;"",DATA!B1820,"")</f>
        <v>MSMU4569727</v>
      </c>
      <c r="J1821" s="12">
        <v>0</v>
      </c>
      <c r="K1821" s="11" t="s">
        <v>53</v>
      </c>
      <c r="L1821" s="11" t="str">
        <f t="shared" si="116"/>
        <v>846810</v>
      </c>
      <c r="M1821" s="11" t="str">
        <f>IF(I1821&lt;&gt;"",DATA!E1820,"")</f>
        <v>WELDING TORCH</v>
      </c>
      <c r="N1821" s="12">
        <v>0</v>
      </c>
      <c r="O1821" s="11">
        <f>IF(I1821&lt;&gt;"",DATA!C1820,"")</f>
        <v>8.8000000000000007</v>
      </c>
      <c r="P1821" s="2">
        <v>294094</v>
      </c>
      <c r="Q1821" s="2" t="s">
        <v>1304</v>
      </c>
      <c r="R1821" s="2" t="s">
        <v>1339</v>
      </c>
      <c r="S1821" s="2">
        <v>282</v>
      </c>
      <c r="T1821" s="2">
        <v>1</v>
      </c>
      <c r="U1821" s="2" t="s">
        <v>141</v>
      </c>
      <c r="Y1821" s="2">
        <v>1700</v>
      </c>
      <c r="Z1821" s="11" t="s">
        <v>54</v>
      </c>
      <c r="AA1821" s="11" t="str">
        <f t="shared" si="117"/>
        <v>1700 - TBN</v>
      </c>
      <c r="AC1821" s="2" t="s">
        <v>145</v>
      </c>
      <c r="AD1821" s="11" t="str">
        <f>IF($I1821&lt;&gt;"",VLOOKUP($AC1821,GEADRESSEERDE!$A$2:$E$4,2,),"")</f>
        <v>LUITHAGEN HAVEN 2 D</v>
      </c>
      <c r="AE1821" s="11">
        <f>IF($I1821&lt;&gt;"",VLOOKUP($AC1821,GEADRESSEERDE!$A$2:$E$4,3,),"")</f>
        <v>2030</v>
      </c>
      <c r="AF1821" s="11" t="str">
        <f>IF($I1821&lt;&gt;"",VLOOKUP($AC1821,GEADRESSEERDE!$A$2:$E$4,4,),"")</f>
        <v>ANTWERPEN</v>
      </c>
      <c r="AG1821" s="11" t="str">
        <f>IF($I1821&lt;&gt;"",VLOOKUP($AC1821,GEADRESSEERDE!$A$2:$E$4,5,),"")</f>
        <v>BE</v>
      </c>
      <c r="AH1821" s="11" t="str">
        <f>IF(I1821&lt;&gt;"",VLOOKUP(AP1821,KvB!$A$2:$B$3,2,FALSE),"")</f>
        <v>BE101000</v>
      </c>
      <c r="AI1821" s="11" t="s">
        <v>55</v>
      </c>
      <c r="AJ1821" s="11"/>
      <c r="AK1821" s="11"/>
      <c r="AL1821" s="11"/>
      <c r="AM1821" s="11"/>
      <c r="AN1821" s="11"/>
      <c r="AO1821" s="11"/>
      <c r="AP1821" s="2" t="s">
        <v>70</v>
      </c>
      <c r="AQ1821" s="11" t="str">
        <f>IF(I1821&lt;&gt;"",DATA!D1820,"")</f>
        <v>8468100000</v>
      </c>
    </row>
    <row r="1822" spans="1:43" ht="15.75" x14ac:dyDescent="0.25">
      <c r="A1822" s="11" t="s">
        <v>57</v>
      </c>
      <c r="B1822" s="11" t="s">
        <v>56</v>
      </c>
      <c r="C1822" s="22">
        <f t="shared" si="118"/>
        <v>25001620</v>
      </c>
      <c r="D1822" s="11" t="str">
        <f t="shared" si="115"/>
        <v>SKIIFM_AT</v>
      </c>
      <c r="E1822" s="11" t="str">
        <f>IF(I1822&lt;&gt;"",VLOOKUP(F1822,OPDRACHTGEVER!$A$2:$B$4,2,FALSE),"")</f>
        <v>SKIIFM_AT</v>
      </c>
      <c r="F1822" s="11" t="s">
        <v>58</v>
      </c>
      <c r="I1822" s="11" t="str">
        <f>IF(DATA!B1821&lt;&gt;"",DATA!B1821,"")</f>
        <v>MSMU4569727</v>
      </c>
      <c r="J1822" s="12">
        <v>0</v>
      </c>
      <c r="K1822" s="11" t="s">
        <v>53</v>
      </c>
      <c r="L1822" s="11" t="str">
        <f t="shared" si="116"/>
        <v>560790</v>
      </c>
      <c r="M1822" s="11" t="str">
        <f>IF(I1822&lt;&gt;"",DATA!E1821,"")</f>
        <v>WINCH LINE</v>
      </c>
      <c r="N1822" s="12">
        <v>0</v>
      </c>
      <c r="O1822" s="11">
        <f>IF(I1822&lt;&gt;"",DATA!C1821,"")</f>
        <v>0.95</v>
      </c>
      <c r="P1822" s="2">
        <v>294094</v>
      </c>
      <c r="Q1822" s="2" t="s">
        <v>1304</v>
      </c>
      <c r="R1822" s="2" t="s">
        <v>1339</v>
      </c>
      <c r="S1822" s="2">
        <v>282</v>
      </c>
      <c r="T1822" s="2">
        <v>1</v>
      </c>
      <c r="U1822" s="2" t="s">
        <v>141</v>
      </c>
      <c r="Y1822" s="2">
        <v>1700</v>
      </c>
      <c r="Z1822" s="11" t="s">
        <v>54</v>
      </c>
      <c r="AA1822" s="11" t="str">
        <f t="shared" si="117"/>
        <v>1700 - TBN</v>
      </c>
      <c r="AC1822" s="2" t="s">
        <v>145</v>
      </c>
      <c r="AD1822" s="11" t="str">
        <f>IF($I1822&lt;&gt;"",VLOOKUP($AC1822,GEADRESSEERDE!$A$2:$E$4,2,),"")</f>
        <v>LUITHAGEN HAVEN 2 D</v>
      </c>
      <c r="AE1822" s="11">
        <f>IF($I1822&lt;&gt;"",VLOOKUP($AC1822,GEADRESSEERDE!$A$2:$E$4,3,),"")</f>
        <v>2030</v>
      </c>
      <c r="AF1822" s="11" t="str">
        <f>IF($I1822&lt;&gt;"",VLOOKUP($AC1822,GEADRESSEERDE!$A$2:$E$4,4,),"")</f>
        <v>ANTWERPEN</v>
      </c>
      <c r="AG1822" s="11" t="str">
        <f>IF($I1822&lt;&gt;"",VLOOKUP($AC1822,GEADRESSEERDE!$A$2:$E$4,5,),"")</f>
        <v>BE</v>
      </c>
      <c r="AH1822" s="11" t="str">
        <f>IF(I1822&lt;&gt;"",VLOOKUP(AP1822,KvB!$A$2:$B$3,2,FALSE),"")</f>
        <v>BE101000</v>
      </c>
      <c r="AI1822" s="11" t="s">
        <v>55</v>
      </c>
      <c r="AJ1822" s="11"/>
      <c r="AK1822" s="11"/>
      <c r="AL1822" s="11"/>
      <c r="AM1822" s="11"/>
      <c r="AN1822" s="11"/>
      <c r="AO1822" s="11"/>
      <c r="AP1822" s="2" t="s">
        <v>70</v>
      </c>
      <c r="AQ1822" s="11" t="str">
        <f>IF(I1822&lt;&gt;"",DATA!D1821,"")</f>
        <v>5607909090</v>
      </c>
    </row>
    <row r="1823" spans="1:43" ht="15.75" x14ac:dyDescent="0.25">
      <c r="A1823" s="11" t="s">
        <v>57</v>
      </c>
      <c r="B1823" s="11" t="s">
        <v>56</v>
      </c>
      <c r="C1823" s="22">
        <f t="shared" si="118"/>
        <v>25001620</v>
      </c>
      <c r="D1823" s="11" t="str">
        <f t="shared" si="115"/>
        <v>SKIIFM_AT</v>
      </c>
      <c r="E1823" s="11" t="str">
        <f>IF(I1823&lt;&gt;"",VLOOKUP(F1823,OPDRACHTGEVER!$A$2:$B$4,2,FALSE),"")</f>
        <v>SKIIFM_AT</v>
      </c>
      <c r="F1823" s="11" t="s">
        <v>58</v>
      </c>
      <c r="I1823" s="11" t="str">
        <f>IF(DATA!B1822&lt;&gt;"",DATA!B1822,"")</f>
        <v>MSMU5266197</v>
      </c>
      <c r="J1823" s="12">
        <v>1120</v>
      </c>
      <c r="K1823" s="11" t="s">
        <v>53</v>
      </c>
      <c r="L1823" s="11" t="str">
        <f t="shared" si="116"/>
        <v>870899</v>
      </c>
      <c r="M1823" s="11" t="str">
        <f>IF(I1823&lt;&gt;"",DATA!E1822,"")</f>
        <v>BALL TO TRAILER ARM</v>
      </c>
      <c r="N1823" s="12">
        <v>16609</v>
      </c>
      <c r="O1823" s="11">
        <f>IF(I1823&lt;&gt;"",DATA!C1822,"")</f>
        <v>7.37</v>
      </c>
      <c r="P1823" s="2">
        <v>294094</v>
      </c>
      <c r="Q1823" s="2" t="s">
        <v>1304</v>
      </c>
      <c r="R1823" s="2" t="s">
        <v>1340</v>
      </c>
      <c r="S1823" s="2">
        <v>2</v>
      </c>
      <c r="T1823" s="2">
        <v>1</v>
      </c>
      <c r="U1823" s="2" t="s">
        <v>141</v>
      </c>
      <c r="Y1823" s="2">
        <v>1700</v>
      </c>
      <c r="Z1823" s="11" t="s">
        <v>54</v>
      </c>
      <c r="AA1823" s="11" t="str">
        <f t="shared" si="117"/>
        <v>1700 - TBN</v>
      </c>
      <c r="AC1823" s="2" t="s">
        <v>145</v>
      </c>
      <c r="AD1823" s="11" t="str">
        <f>IF($I1823&lt;&gt;"",VLOOKUP($AC1823,GEADRESSEERDE!$A$2:$E$4,2,),"")</f>
        <v>LUITHAGEN HAVEN 2 D</v>
      </c>
      <c r="AE1823" s="11">
        <f>IF($I1823&lt;&gt;"",VLOOKUP($AC1823,GEADRESSEERDE!$A$2:$E$4,3,),"")</f>
        <v>2030</v>
      </c>
      <c r="AF1823" s="11" t="str">
        <f>IF($I1823&lt;&gt;"",VLOOKUP($AC1823,GEADRESSEERDE!$A$2:$E$4,4,),"")</f>
        <v>ANTWERPEN</v>
      </c>
      <c r="AG1823" s="11" t="str">
        <f>IF($I1823&lt;&gt;"",VLOOKUP($AC1823,GEADRESSEERDE!$A$2:$E$4,5,),"")</f>
        <v>BE</v>
      </c>
      <c r="AH1823" s="11" t="str">
        <f>IF(I1823&lt;&gt;"",VLOOKUP(AP1823,KvB!$A$2:$B$3,2,FALSE),"")</f>
        <v>BE101000</v>
      </c>
      <c r="AI1823" s="11" t="s">
        <v>55</v>
      </c>
      <c r="AJ1823" s="11"/>
      <c r="AK1823" s="11"/>
      <c r="AL1823" s="11"/>
      <c r="AM1823" s="11"/>
      <c r="AN1823" s="11"/>
      <c r="AO1823" s="11"/>
      <c r="AP1823" s="2" t="s">
        <v>70</v>
      </c>
      <c r="AQ1823" s="11" t="str">
        <f>IF(I1823&lt;&gt;"",DATA!D1822,"")</f>
        <v>8708999790</v>
      </c>
    </row>
    <row r="1824" spans="1:43" ht="15.75" x14ac:dyDescent="0.25">
      <c r="A1824" s="11" t="s">
        <v>57</v>
      </c>
      <c r="B1824" s="11" t="s">
        <v>56</v>
      </c>
      <c r="C1824" s="22">
        <f t="shared" si="118"/>
        <v>25001620</v>
      </c>
      <c r="D1824" s="11" t="str">
        <f t="shared" si="115"/>
        <v>SKIIFM_AT</v>
      </c>
      <c r="E1824" s="11" t="str">
        <f>IF(I1824&lt;&gt;"",VLOOKUP(F1824,OPDRACHTGEVER!$A$2:$B$4,2,FALSE),"")</f>
        <v>SKIIFM_AT</v>
      </c>
      <c r="F1824" s="11" t="s">
        <v>58</v>
      </c>
      <c r="I1824" s="11" t="str">
        <f>IF(DATA!B1823&lt;&gt;"",DATA!B1823,"")</f>
        <v>MSMU5266197</v>
      </c>
      <c r="J1824" s="12">
        <v>0</v>
      </c>
      <c r="K1824" s="11" t="s">
        <v>53</v>
      </c>
      <c r="L1824" s="11" t="str">
        <f t="shared" si="116"/>
        <v>741920</v>
      </c>
      <c r="M1824" s="11" t="str">
        <f>IF(I1824&lt;&gt;"",DATA!E1823,"")</f>
        <v>BARBED WIRE MESH</v>
      </c>
      <c r="N1824" s="12">
        <v>0</v>
      </c>
      <c r="O1824" s="11">
        <f>IF(I1824&lt;&gt;"",DATA!C1823,"")</f>
        <v>100.5</v>
      </c>
      <c r="P1824" s="2">
        <v>294094</v>
      </c>
      <c r="Q1824" s="2" t="s">
        <v>1304</v>
      </c>
      <c r="R1824" s="2" t="s">
        <v>1340</v>
      </c>
      <c r="S1824" s="2">
        <v>2</v>
      </c>
      <c r="T1824" s="2">
        <v>1</v>
      </c>
      <c r="U1824" s="2" t="s">
        <v>141</v>
      </c>
      <c r="Y1824" s="2">
        <v>1700</v>
      </c>
      <c r="Z1824" s="11" t="s">
        <v>54</v>
      </c>
      <c r="AA1824" s="11" t="str">
        <f t="shared" si="117"/>
        <v>1700 - TBN</v>
      </c>
      <c r="AC1824" s="2" t="s">
        <v>145</v>
      </c>
      <c r="AD1824" s="11" t="str">
        <f>IF($I1824&lt;&gt;"",VLOOKUP($AC1824,GEADRESSEERDE!$A$2:$E$4,2,),"")</f>
        <v>LUITHAGEN HAVEN 2 D</v>
      </c>
      <c r="AE1824" s="11">
        <f>IF($I1824&lt;&gt;"",VLOOKUP($AC1824,GEADRESSEERDE!$A$2:$E$4,3,),"")</f>
        <v>2030</v>
      </c>
      <c r="AF1824" s="11" t="str">
        <f>IF($I1824&lt;&gt;"",VLOOKUP($AC1824,GEADRESSEERDE!$A$2:$E$4,4,),"")</f>
        <v>ANTWERPEN</v>
      </c>
      <c r="AG1824" s="11" t="str">
        <f>IF($I1824&lt;&gt;"",VLOOKUP($AC1824,GEADRESSEERDE!$A$2:$E$4,5,),"")</f>
        <v>BE</v>
      </c>
      <c r="AH1824" s="11" t="str">
        <f>IF(I1824&lt;&gt;"",VLOOKUP(AP1824,KvB!$A$2:$B$3,2,FALSE),"")</f>
        <v>BE101000</v>
      </c>
      <c r="AI1824" s="11" t="s">
        <v>55</v>
      </c>
      <c r="AJ1824" s="11"/>
      <c r="AK1824" s="11"/>
      <c r="AL1824" s="11"/>
      <c r="AM1824" s="11"/>
      <c r="AN1824" s="11"/>
      <c r="AO1824" s="11"/>
      <c r="AP1824" s="2" t="s">
        <v>70</v>
      </c>
      <c r="AQ1824" s="11" t="str">
        <f>IF(I1824&lt;&gt;"",DATA!D1823,"")</f>
        <v>7419200090</v>
      </c>
    </row>
    <row r="1825" spans="1:43" ht="15.75" x14ac:dyDescent="0.25">
      <c r="A1825" s="11" t="s">
        <v>57</v>
      </c>
      <c r="B1825" s="11" t="s">
        <v>56</v>
      </c>
      <c r="C1825" s="22">
        <f t="shared" si="118"/>
        <v>25001620</v>
      </c>
      <c r="D1825" s="11" t="str">
        <f t="shared" si="115"/>
        <v>SKIIFM_AT</v>
      </c>
      <c r="E1825" s="11" t="str">
        <f>IF(I1825&lt;&gt;"",VLOOKUP(F1825,OPDRACHTGEVER!$A$2:$B$4,2,FALSE),"")</f>
        <v>SKIIFM_AT</v>
      </c>
      <c r="F1825" s="11" t="s">
        <v>58</v>
      </c>
      <c r="I1825" s="11" t="str">
        <f>IF(DATA!B1824&lt;&gt;"",DATA!B1824,"")</f>
        <v>MSMU5266197</v>
      </c>
      <c r="J1825" s="12">
        <v>0</v>
      </c>
      <c r="K1825" s="11" t="s">
        <v>53</v>
      </c>
      <c r="L1825" s="11" t="str">
        <f t="shared" si="116"/>
        <v>871690</v>
      </c>
      <c r="M1825" s="11" t="str">
        <f>IF(I1825&lt;&gt;"",DATA!E1824,"")</f>
        <v>BOX TRUCK SUPPORT</v>
      </c>
      <c r="N1825" s="12">
        <v>0</v>
      </c>
      <c r="O1825" s="11">
        <f>IF(I1825&lt;&gt;"",DATA!C1824,"")</f>
        <v>12.48</v>
      </c>
      <c r="P1825" s="2">
        <v>294094</v>
      </c>
      <c r="Q1825" s="2" t="s">
        <v>1304</v>
      </c>
      <c r="R1825" s="2" t="s">
        <v>1340</v>
      </c>
      <c r="S1825" s="2">
        <v>2</v>
      </c>
      <c r="T1825" s="2">
        <v>1</v>
      </c>
      <c r="U1825" s="2" t="s">
        <v>141</v>
      </c>
      <c r="Y1825" s="2">
        <v>1700</v>
      </c>
      <c r="Z1825" s="11" t="s">
        <v>54</v>
      </c>
      <c r="AA1825" s="11" t="str">
        <f t="shared" si="117"/>
        <v>1700 - TBN</v>
      </c>
      <c r="AC1825" s="2" t="s">
        <v>145</v>
      </c>
      <c r="AD1825" s="11" t="str">
        <f>IF($I1825&lt;&gt;"",VLOOKUP($AC1825,GEADRESSEERDE!$A$2:$E$4,2,),"")</f>
        <v>LUITHAGEN HAVEN 2 D</v>
      </c>
      <c r="AE1825" s="11">
        <f>IF($I1825&lt;&gt;"",VLOOKUP($AC1825,GEADRESSEERDE!$A$2:$E$4,3,),"")</f>
        <v>2030</v>
      </c>
      <c r="AF1825" s="11" t="str">
        <f>IF($I1825&lt;&gt;"",VLOOKUP($AC1825,GEADRESSEERDE!$A$2:$E$4,4,),"")</f>
        <v>ANTWERPEN</v>
      </c>
      <c r="AG1825" s="11" t="str">
        <f>IF($I1825&lt;&gt;"",VLOOKUP($AC1825,GEADRESSEERDE!$A$2:$E$4,5,),"")</f>
        <v>BE</v>
      </c>
      <c r="AH1825" s="11" t="str">
        <f>IF(I1825&lt;&gt;"",VLOOKUP(AP1825,KvB!$A$2:$B$3,2,FALSE),"")</f>
        <v>BE101000</v>
      </c>
      <c r="AI1825" s="11" t="s">
        <v>55</v>
      </c>
      <c r="AJ1825" s="11"/>
      <c r="AK1825" s="11"/>
      <c r="AL1825" s="11"/>
      <c r="AM1825" s="11"/>
      <c r="AN1825" s="11"/>
      <c r="AO1825" s="11"/>
      <c r="AP1825" s="2" t="s">
        <v>70</v>
      </c>
      <c r="AQ1825" s="11" t="str">
        <f>IF(I1825&lt;&gt;"",DATA!D1824,"")</f>
        <v>8716909098</v>
      </c>
    </row>
    <row r="1826" spans="1:43" ht="15.75" x14ac:dyDescent="0.25">
      <c r="A1826" s="11" t="s">
        <v>57</v>
      </c>
      <c r="B1826" s="11" t="s">
        <v>56</v>
      </c>
      <c r="C1826" s="22">
        <f t="shared" si="118"/>
        <v>25001620</v>
      </c>
      <c r="D1826" s="11" t="str">
        <f t="shared" si="115"/>
        <v>SKIIFM_AT</v>
      </c>
      <c r="E1826" s="11" t="str">
        <f>IF(I1826&lt;&gt;"",VLOOKUP(F1826,OPDRACHTGEVER!$A$2:$B$4,2,FALSE),"")</f>
        <v>SKIIFM_AT</v>
      </c>
      <c r="F1826" s="11" t="s">
        <v>58</v>
      </c>
      <c r="I1826" s="11" t="str">
        <f>IF(DATA!B1825&lt;&gt;"",DATA!B1825,"")</f>
        <v>MSMU5266197</v>
      </c>
      <c r="J1826" s="12">
        <v>0</v>
      </c>
      <c r="K1826" s="11" t="s">
        <v>53</v>
      </c>
      <c r="L1826" s="11" t="str">
        <f t="shared" si="116"/>
        <v>841221</v>
      </c>
      <c r="M1826" s="11" t="str">
        <f>IF(I1826&lt;&gt;"",DATA!E1825,"")</f>
        <v>CAR LIFTER</v>
      </c>
      <c r="N1826" s="12">
        <v>0</v>
      </c>
      <c r="O1826" s="11">
        <f>IF(I1826&lt;&gt;"",DATA!C1825,"")</f>
        <v>22.8</v>
      </c>
      <c r="P1826" s="2">
        <v>294094</v>
      </c>
      <c r="Q1826" s="2" t="s">
        <v>1304</v>
      </c>
      <c r="R1826" s="2" t="s">
        <v>1340</v>
      </c>
      <c r="S1826" s="2">
        <v>2</v>
      </c>
      <c r="T1826" s="2">
        <v>1</v>
      </c>
      <c r="U1826" s="2" t="s">
        <v>141</v>
      </c>
      <c r="Y1826" s="2">
        <v>1700</v>
      </c>
      <c r="Z1826" s="11" t="s">
        <v>54</v>
      </c>
      <c r="AA1826" s="11" t="str">
        <f t="shared" si="117"/>
        <v>1700 - TBN</v>
      </c>
      <c r="AC1826" s="2" t="s">
        <v>145</v>
      </c>
      <c r="AD1826" s="11" t="str">
        <f>IF($I1826&lt;&gt;"",VLOOKUP($AC1826,GEADRESSEERDE!$A$2:$E$4,2,),"")</f>
        <v>LUITHAGEN HAVEN 2 D</v>
      </c>
      <c r="AE1826" s="11">
        <f>IF($I1826&lt;&gt;"",VLOOKUP($AC1826,GEADRESSEERDE!$A$2:$E$4,3,),"")</f>
        <v>2030</v>
      </c>
      <c r="AF1826" s="11" t="str">
        <f>IF($I1826&lt;&gt;"",VLOOKUP($AC1826,GEADRESSEERDE!$A$2:$E$4,4,),"")</f>
        <v>ANTWERPEN</v>
      </c>
      <c r="AG1826" s="11" t="str">
        <f>IF($I1826&lt;&gt;"",VLOOKUP($AC1826,GEADRESSEERDE!$A$2:$E$4,5,),"")</f>
        <v>BE</v>
      </c>
      <c r="AH1826" s="11" t="str">
        <f>IF(I1826&lt;&gt;"",VLOOKUP(AP1826,KvB!$A$2:$B$3,2,FALSE),"")</f>
        <v>BE101000</v>
      </c>
      <c r="AI1826" s="11" t="s">
        <v>55</v>
      </c>
      <c r="AJ1826" s="11"/>
      <c r="AK1826" s="11"/>
      <c r="AL1826" s="11"/>
      <c r="AM1826" s="11"/>
      <c r="AN1826" s="11"/>
      <c r="AO1826" s="11"/>
      <c r="AP1826" s="2" t="s">
        <v>70</v>
      </c>
      <c r="AQ1826" s="11" t="str">
        <f>IF(I1826&lt;&gt;"",DATA!D1825,"")</f>
        <v>8412218090</v>
      </c>
    </row>
    <row r="1827" spans="1:43" ht="15.75" x14ac:dyDescent="0.25">
      <c r="A1827" s="11" t="s">
        <v>57</v>
      </c>
      <c r="B1827" s="11" t="s">
        <v>56</v>
      </c>
      <c r="C1827" s="22">
        <f t="shared" si="118"/>
        <v>25001620</v>
      </c>
      <c r="D1827" s="11" t="str">
        <f t="shared" si="115"/>
        <v>SKIIFM_AT</v>
      </c>
      <c r="E1827" s="11" t="str">
        <f>IF(I1827&lt;&gt;"",VLOOKUP(F1827,OPDRACHTGEVER!$A$2:$B$4,2,FALSE),"")</f>
        <v>SKIIFM_AT</v>
      </c>
      <c r="F1827" s="11" t="s">
        <v>58</v>
      </c>
      <c r="I1827" s="11" t="str">
        <f>IF(DATA!B1826&lt;&gt;"",DATA!B1826,"")</f>
        <v>MSMU5266197</v>
      </c>
      <c r="J1827" s="12">
        <v>0</v>
      </c>
      <c r="K1827" s="11" t="s">
        <v>53</v>
      </c>
      <c r="L1827" s="11" t="str">
        <f t="shared" si="116"/>
        <v>391890</v>
      </c>
      <c r="M1827" s="11" t="str">
        <f>IF(I1827&lt;&gt;"",DATA!E1826,"")</f>
        <v>CAR MAT</v>
      </c>
      <c r="N1827" s="12">
        <v>0</v>
      </c>
      <c r="O1827" s="11">
        <f>IF(I1827&lt;&gt;"",DATA!C1826,"")</f>
        <v>2.92</v>
      </c>
      <c r="P1827" s="2">
        <v>294094</v>
      </c>
      <c r="Q1827" s="2" t="s">
        <v>1304</v>
      </c>
      <c r="R1827" s="2" t="s">
        <v>1340</v>
      </c>
      <c r="S1827" s="2">
        <v>2</v>
      </c>
      <c r="T1827" s="2">
        <v>1</v>
      </c>
      <c r="U1827" s="2" t="s">
        <v>141</v>
      </c>
      <c r="Y1827" s="2">
        <v>1700</v>
      </c>
      <c r="Z1827" s="11" t="s">
        <v>54</v>
      </c>
      <c r="AA1827" s="11" t="str">
        <f t="shared" si="117"/>
        <v>1700 - TBN</v>
      </c>
      <c r="AC1827" s="2" t="s">
        <v>145</v>
      </c>
      <c r="AD1827" s="11" t="str">
        <f>IF($I1827&lt;&gt;"",VLOOKUP($AC1827,GEADRESSEERDE!$A$2:$E$4,2,),"")</f>
        <v>LUITHAGEN HAVEN 2 D</v>
      </c>
      <c r="AE1827" s="11">
        <f>IF($I1827&lt;&gt;"",VLOOKUP($AC1827,GEADRESSEERDE!$A$2:$E$4,3,),"")</f>
        <v>2030</v>
      </c>
      <c r="AF1827" s="11" t="str">
        <f>IF($I1827&lt;&gt;"",VLOOKUP($AC1827,GEADRESSEERDE!$A$2:$E$4,4,),"")</f>
        <v>ANTWERPEN</v>
      </c>
      <c r="AG1827" s="11" t="str">
        <f>IF($I1827&lt;&gt;"",VLOOKUP($AC1827,GEADRESSEERDE!$A$2:$E$4,5,),"")</f>
        <v>BE</v>
      </c>
      <c r="AH1827" s="11" t="str">
        <f>IF(I1827&lt;&gt;"",VLOOKUP(AP1827,KvB!$A$2:$B$3,2,FALSE),"")</f>
        <v>BE101000</v>
      </c>
      <c r="AI1827" s="11" t="s">
        <v>55</v>
      </c>
      <c r="AJ1827" s="11"/>
      <c r="AK1827" s="11"/>
      <c r="AL1827" s="11"/>
      <c r="AM1827" s="11"/>
      <c r="AN1827" s="11"/>
      <c r="AO1827" s="11"/>
      <c r="AP1827" s="2" t="s">
        <v>70</v>
      </c>
      <c r="AQ1827" s="11" t="str">
        <f>IF(I1827&lt;&gt;"",DATA!D1826,"")</f>
        <v>3918900090</v>
      </c>
    </row>
    <row r="1828" spans="1:43" ht="15.75" x14ac:dyDescent="0.25">
      <c r="A1828" s="11" t="s">
        <v>57</v>
      </c>
      <c r="B1828" s="11" t="s">
        <v>56</v>
      </c>
      <c r="C1828" s="22">
        <f t="shared" si="118"/>
        <v>25001620</v>
      </c>
      <c r="D1828" s="11" t="str">
        <f t="shared" si="115"/>
        <v>SKIIFM_AT</v>
      </c>
      <c r="E1828" s="11" t="str">
        <f>IF(I1828&lt;&gt;"",VLOOKUP(F1828,OPDRACHTGEVER!$A$2:$B$4,2,FALSE),"")</f>
        <v>SKIIFM_AT</v>
      </c>
      <c r="F1828" s="11" t="s">
        <v>58</v>
      </c>
      <c r="I1828" s="11" t="str">
        <f>IF(DATA!B1827&lt;&gt;"",DATA!B1827,"")</f>
        <v>MSMU5266197</v>
      </c>
      <c r="J1828" s="12">
        <v>0</v>
      </c>
      <c r="K1828" s="11" t="s">
        <v>53</v>
      </c>
      <c r="L1828" s="11" t="str">
        <f t="shared" si="116"/>
        <v>870870</v>
      </c>
      <c r="M1828" s="11" t="str">
        <f>IF(I1828&lt;&gt;"",DATA!E1827,"")</f>
        <v>CAR WHEEL COVER</v>
      </c>
      <c r="N1828" s="12">
        <v>0</v>
      </c>
      <c r="O1828" s="11">
        <f>IF(I1828&lt;&gt;"",DATA!C1827,"")</f>
        <v>10.98</v>
      </c>
      <c r="P1828" s="2">
        <v>294094</v>
      </c>
      <c r="Q1828" s="2" t="s">
        <v>1304</v>
      </c>
      <c r="R1828" s="2" t="s">
        <v>1340</v>
      </c>
      <c r="S1828" s="2">
        <v>2</v>
      </c>
      <c r="T1828" s="2">
        <v>1</v>
      </c>
      <c r="U1828" s="2" t="s">
        <v>141</v>
      </c>
      <c r="Y1828" s="2">
        <v>1700</v>
      </c>
      <c r="Z1828" s="11" t="s">
        <v>54</v>
      </c>
      <c r="AA1828" s="11" t="str">
        <f t="shared" si="117"/>
        <v>1700 - TBN</v>
      </c>
      <c r="AC1828" s="2" t="s">
        <v>145</v>
      </c>
      <c r="AD1828" s="11" t="str">
        <f>IF($I1828&lt;&gt;"",VLOOKUP($AC1828,GEADRESSEERDE!$A$2:$E$4,2,),"")</f>
        <v>LUITHAGEN HAVEN 2 D</v>
      </c>
      <c r="AE1828" s="11">
        <f>IF($I1828&lt;&gt;"",VLOOKUP($AC1828,GEADRESSEERDE!$A$2:$E$4,3,),"")</f>
        <v>2030</v>
      </c>
      <c r="AF1828" s="11" t="str">
        <f>IF($I1828&lt;&gt;"",VLOOKUP($AC1828,GEADRESSEERDE!$A$2:$E$4,4,),"")</f>
        <v>ANTWERPEN</v>
      </c>
      <c r="AG1828" s="11" t="str">
        <f>IF($I1828&lt;&gt;"",VLOOKUP($AC1828,GEADRESSEERDE!$A$2:$E$4,5,),"")</f>
        <v>BE</v>
      </c>
      <c r="AH1828" s="11" t="str">
        <f>IF(I1828&lt;&gt;"",VLOOKUP(AP1828,KvB!$A$2:$B$3,2,FALSE),"")</f>
        <v>BE101000</v>
      </c>
      <c r="AI1828" s="11" t="s">
        <v>55</v>
      </c>
      <c r="AJ1828" s="11"/>
      <c r="AK1828" s="11"/>
      <c r="AL1828" s="11"/>
      <c r="AM1828" s="11"/>
      <c r="AN1828" s="11"/>
      <c r="AO1828" s="11"/>
      <c r="AP1828" s="2" t="s">
        <v>70</v>
      </c>
      <c r="AQ1828" s="11" t="str">
        <f>IF(I1828&lt;&gt;"",DATA!D1827,"")</f>
        <v>8708709985</v>
      </c>
    </row>
    <row r="1829" spans="1:43" ht="15.75" x14ac:dyDescent="0.25">
      <c r="A1829" s="11" t="s">
        <v>57</v>
      </c>
      <c r="B1829" s="11" t="s">
        <v>56</v>
      </c>
      <c r="C1829" s="22">
        <f t="shared" si="118"/>
        <v>25001620</v>
      </c>
      <c r="D1829" s="11" t="str">
        <f t="shared" si="115"/>
        <v>SKIIFM_AT</v>
      </c>
      <c r="E1829" s="11" t="str">
        <f>IF(I1829&lt;&gt;"",VLOOKUP(F1829,OPDRACHTGEVER!$A$2:$B$4,2,FALSE),"")</f>
        <v>SKIIFM_AT</v>
      </c>
      <c r="F1829" s="11" t="s">
        <v>58</v>
      </c>
      <c r="I1829" s="11" t="str">
        <f>IF(DATA!B1828&lt;&gt;"",DATA!B1828,"")</f>
        <v>MSMU5266197</v>
      </c>
      <c r="J1829" s="12">
        <v>0</v>
      </c>
      <c r="K1829" s="11" t="s">
        <v>53</v>
      </c>
      <c r="L1829" s="11" t="str">
        <f t="shared" si="116"/>
        <v>560900</v>
      </c>
      <c r="M1829" s="11" t="str">
        <f>IF(I1829&lt;&gt;"",DATA!E1828,"")</f>
        <v>CORE LANYARD</v>
      </c>
      <c r="N1829" s="12">
        <v>0</v>
      </c>
      <c r="O1829" s="11">
        <f>IF(I1829&lt;&gt;"",DATA!C1828,"")</f>
        <v>51.42</v>
      </c>
      <c r="P1829" s="2">
        <v>294094</v>
      </c>
      <c r="Q1829" s="2" t="s">
        <v>1304</v>
      </c>
      <c r="R1829" s="2" t="s">
        <v>1340</v>
      </c>
      <c r="S1829" s="2">
        <v>2</v>
      </c>
      <c r="T1829" s="2">
        <v>1</v>
      </c>
      <c r="U1829" s="2" t="s">
        <v>141</v>
      </c>
      <c r="Y1829" s="2">
        <v>1700</v>
      </c>
      <c r="Z1829" s="11" t="s">
        <v>54</v>
      </c>
      <c r="AA1829" s="11" t="str">
        <f t="shared" si="117"/>
        <v>1700 - TBN</v>
      </c>
      <c r="AC1829" s="2" t="s">
        <v>145</v>
      </c>
      <c r="AD1829" s="11" t="str">
        <f>IF($I1829&lt;&gt;"",VLOOKUP($AC1829,GEADRESSEERDE!$A$2:$E$4,2,),"")</f>
        <v>LUITHAGEN HAVEN 2 D</v>
      </c>
      <c r="AE1829" s="11">
        <f>IF($I1829&lt;&gt;"",VLOOKUP($AC1829,GEADRESSEERDE!$A$2:$E$4,3,),"")</f>
        <v>2030</v>
      </c>
      <c r="AF1829" s="11" t="str">
        <f>IF($I1829&lt;&gt;"",VLOOKUP($AC1829,GEADRESSEERDE!$A$2:$E$4,4,),"")</f>
        <v>ANTWERPEN</v>
      </c>
      <c r="AG1829" s="11" t="str">
        <f>IF($I1829&lt;&gt;"",VLOOKUP($AC1829,GEADRESSEERDE!$A$2:$E$4,5,),"")</f>
        <v>BE</v>
      </c>
      <c r="AH1829" s="11" t="str">
        <f>IF(I1829&lt;&gt;"",VLOOKUP(AP1829,KvB!$A$2:$B$3,2,FALSE),"")</f>
        <v>BE101000</v>
      </c>
      <c r="AI1829" s="11" t="s">
        <v>55</v>
      </c>
      <c r="AJ1829" s="11"/>
      <c r="AK1829" s="11"/>
      <c r="AL1829" s="11"/>
      <c r="AM1829" s="11"/>
      <c r="AN1829" s="11"/>
      <c r="AO1829" s="11"/>
      <c r="AP1829" s="2" t="s">
        <v>70</v>
      </c>
      <c r="AQ1829" s="11" t="str">
        <f>IF(I1829&lt;&gt;"",DATA!D1828,"")</f>
        <v>5609000000</v>
      </c>
    </row>
    <row r="1830" spans="1:43" ht="15.75" x14ac:dyDescent="0.25">
      <c r="A1830" s="11" t="s">
        <v>57</v>
      </c>
      <c r="B1830" s="11" t="s">
        <v>56</v>
      </c>
      <c r="C1830" s="22">
        <f t="shared" si="118"/>
        <v>25001620</v>
      </c>
      <c r="D1830" s="11" t="str">
        <f t="shared" si="115"/>
        <v>SKIIFM_AT</v>
      </c>
      <c r="E1830" s="11" t="str">
        <f>IF(I1830&lt;&gt;"",VLOOKUP(F1830,OPDRACHTGEVER!$A$2:$B$4,2,FALSE),"")</f>
        <v>SKIIFM_AT</v>
      </c>
      <c r="F1830" s="11" t="s">
        <v>58</v>
      </c>
      <c r="I1830" s="11" t="str">
        <f>IF(DATA!B1829&lt;&gt;"",DATA!B1829,"")</f>
        <v>MSMU5266197</v>
      </c>
      <c r="J1830" s="12">
        <v>0</v>
      </c>
      <c r="K1830" s="11" t="s">
        <v>53</v>
      </c>
      <c r="L1830" s="11" t="str">
        <f t="shared" si="116"/>
        <v>870892</v>
      </c>
      <c r="M1830" s="11" t="str">
        <f>IF(I1830&lt;&gt;"",DATA!E1829,"")</f>
        <v>CUSTOM EXHAUST PIPE KIT</v>
      </c>
      <c r="N1830" s="12">
        <v>0</v>
      </c>
      <c r="O1830" s="11">
        <f>IF(I1830&lt;&gt;"",DATA!C1829,"")</f>
        <v>46.6</v>
      </c>
      <c r="P1830" s="2">
        <v>294094</v>
      </c>
      <c r="Q1830" s="2" t="s">
        <v>1304</v>
      </c>
      <c r="R1830" s="2" t="s">
        <v>1340</v>
      </c>
      <c r="S1830" s="2">
        <v>2</v>
      </c>
      <c r="T1830" s="2">
        <v>1</v>
      </c>
      <c r="U1830" s="2" t="s">
        <v>141</v>
      </c>
      <c r="Y1830" s="2">
        <v>1700</v>
      </c>
      <c r="Z1830" s="11" t="s">
        <v>54</v>
      </c>
      <c r="AA1830" s="11" t="str">
        <f t="shared" si="117"/>
        <v>1700 - TBN</v>
      </c>
      <c r="AC1830" s="2" t="s">
        <v>145</v>
      </c>
      <c r="AD1830" s="11" t="str">
        <f>IF($I1830&lt;&gt;"",VLOOKUP($AC1830,GEADRESSEERDE!$A$2:$E$4,2,),"")</f>
        <v>LUITHAGEN HAVEN 2 D</v>
      </c>
      <c r="AE1830" s="11">
        <f>IF($I1830&lt;&gt;"",VLOOKUP($AC1830,GEADRESSEERDE!$A$2:$E$4,3,),"")</f>
        <v>2030</v>
      </c>
      <c r="AF1830" s="11" t="str">
        <f>IF($I1830&lt;&gt;"",VLOOKUP($AC1830,GEADRESSEERDE!$A$2:$E$4,4,),"")</f>
        <v>ANTWERPEN</v>
      </c>
      <c r="AG1830" s="11" t="str">
        <f>IF($I1830&lt;&gt;"",VLOOKUP($AC1830,GEADRESSEERDE!$A$2:$E$4,5,),"")</f>
        <v>BE</v>
      </c>
      <c r="AH1830" s="11" t="str">
        <f>IF(I1830&lt;&gt;"",VLOOKUP(AP1830,KvB!$A$2:$B$3,2,FALSE),"")</f>
        <v>BE101000</v>
      </c>
      <c r="AI1830" s="11" t="s">
        <v>55</v>
      </c>
      <c r="AJ1830" s="11"/>
      <c r="AK1830" s="11"/>
      <c r="AL1830" s="11"/>
      <c r="AM1830" s="11"/>
      <c r="AN1830" s="11"/>
      <c r="AO1830" s="11"/>
      <c r="AP1830" s="2" t="s">
        <v>70</v>
      </c>
      <c r="AQ1830" s="11" t="str">
        <f>IF(I1830&lt;&gt;"",DATA!D1829,"")</f>
        <v>8708929900</v>
      </c>
    </row>
    <row r="1831" spans="1:43" ht="15.75" x14ac:dyDescent="0.25">
      <c r="A1831" s="11" t="s">
        <v>57</v>
      </c>
      <c r="B1831" s="11" t="s">
        <v>56</v>
      </c>
      <c r="C1831" s="22">
        <f t="shared" si="118"/>
        <v>25001620</v>
      </c>
      <c r="D1831" s="11" t="str">
        <f t="shared" si="115"/>
        <v>SKIIFM_AT</v>
      </c>
      <c r="E1831" s="11" t="str">
        <f>IF(I1831&lt;&gt;"",VLOOKUP(F1831,OPDRACHTGEVER!$A$2:$B$4,2,FALSE),"")</f>
        <v>SKIIFM_AT</v>
      </c>
      <c r="F1831" s="11" t="s">
        <v>58</v>
      </c>
      <c r="I1831" s="11" t="str">
        <f>IF(DATA!B1830&lt;&gt;"",DATA!B1830,"")</f>
        <v>MSMU5266197</v>
      </c>
      <c r="J1831" s="12">
        <v>0</v>
      </c>
      <c r="K1831" s="11" t="s">
        <v>53</v>
      </c>
      <c r="L1831" s="11" t="str">
        <f t="shared" si="116"/>
        <v>691410</v>
      </c>
      <c r="M1831" s="11" t="str">
        <f>IF(I1831&lt;&gt;"",DATA!E1830,"")</f>
        <v>DEDICATED TO FIREPLACE</v>
      </c>
      <c r="N1831" s="12">
        <v>0</v>
      </c>
      <c r="O1831" s="11">
        <f>IF(I1831&lt;&gt;"",DATA!C1830,"")</f>
        <v>5.0599999999999996</v>
      </c>
      <c r="P1831" s="2">
        <v>294094</v>
      </c>
      <c r="Q1831" s="2" t="s">
        <v>1304</v>
      </c>
      <c r="R1831" s="2" t="s">
        <v>1340</v>
      </c>
      <c r="S1831" s="2">
        <v>2</v>
      </c>
      <c r="T1831" s="2">
        <v>1</v>
      </c>
      <c r="U1831" s="2" t="s">
        <v>141</v>
      </c>
      <c r="Y1831" s="2">
        <v>1700</v>
      </c>
      <c r="Z1831" s="11" t="s">
        <v>54</v>
      </c>
      <c r="AA1831" s="11" t="str">
        <f t="shared" si="117"/>
        <v>1700 - TBN</v>
      </c>
      <c r="AC1831" s="2" t="s">
        <v>145</v>
      </c>
      <c r="AD1831" s="11" t="str">
        <f>IF($I1831&lt;&gt;"",VLOOKUP($AC1831,GEADRESSEERDE!$A$2:$E$4,2,),"")</f>
        <v>LUITHAGEN HAVEN 2 D</v>
      </c>
      <c r="AE1831" s="11">
        <f>IF($I1831&lt;&gt;"",VLOOKUP($AC1831,GEADRESSEERDE!$A$2:$E$4,3,),"")</f>
        <v>2030</v>
      </c>
      <c r="AF1831" s="11" t="str">
        <f>IF($I1831&lt;&gt;"",VLOOKUP($AC1831,GEADRESSEERDE!$A$2:$E$4,4,),"")</f>
        <v>ANTWERPEN</v>
      </c>
      <c r="AG1831" s="11" t="str">
        <f>IF($I1831&lt;&gt;"",VLOOKUP($AC1831,GEADRESSEERDE!$A$2:$E$4,5,),"")</f>
        <v>BE</v>
      </c>
      <c r="AH1831" s="11" t="str">
        <f>IF(I1831&lt;&gt;"",VLOOKUP(AP1831,KvB!$A$2:$B$3,2,FALSE),"")</f>
        <v>BE101000</v>
      </c>
      <c r="AI1831" s="11" t="s">
        <v>55</v>
      </c>
      <c r="AJ1831" s="11"/>
      <c r="AK1831" s="11"/>
      <c r="AL1831" s="11"/>
      <c r="AM1831" s="11"/>
      <c r="AN1831" s="11"/>
      <c r="AO1831" s="11"/>
      <c r="AP1831" s="2" t="s">
        <v>70</v>
      </c>
      <c r="AQ1831" s="11" t="str">
        <f>IF(I1831&lt;&gt;"",DATA!D1830,"")</f>
        <v>6914100000</v>
      </c>
    </row>
    <row r="1832" spans="1:43" ht="15.75" x14ac:dyDescent="0.25">
      <c r="A1832" s="11" t="s">
        <v>57</v>
      </c>
      <c r="B1832" s="11" t="s">
        <v>56</v>
      </c>
      <c r="C1832" s="22">
        <f t="shared" si="118"/>
        <v>25001620</v>
      </c>
      <c r="D1832" s="11" t="str">
        <f t="shared" si="115"/>
        <v>SKIIFM_AT</v>
      </c>
      <c r="E1832" s="11" t="str">
        <f>IF(I1832&lt;&gt;"",VLOOKUP(F1832,OPDRACHTGEVER!$A$2:$B$4,2,FALSE),"")</f>
        <v>SKIIFM_AT</v>
      </c>
      <c r="F1832" s="11" t="s">
        <v>58</v>
      </c>
      <c r="I1832" s="11" t="str">
        <f>IF(DATA!B1831&lt;&gt;"",DATA!B1831,"")</f>
        <v>MSMU5266197</v>
      </c>
      <c r="J1832" s="12">
        <v>0</v>
      </c>
      <c r="K1832" s="11" t="s">
        <v>53</v>
      </c>
      <c r="L1832" s="11" t="str">
        <f t="shared" si="116"/>
        <v>851519</v>
      </c>
      <c r="M1832" s="11" t="str">
        <f>IF(I1832&lt;&gt;"",DATA!E1831,"")</f>
        <v>DENT REPAIR TOOL</v>
      </c>
      <c r="N1832" s="12">
        <v>0</v>
      </c>
      <c r="O1832" s="11">
        <f>IF(I1832&lt;&gt;"",DATA!C1831,"")</f>
        <v>5621.4</v>
      </c>
      <c r="P1832" s="2">
        <v>294094</v>
      </c>
      <c r="Q1832" s="2" t="s">
        <v>1304</v>
      </c>
      <c r="R1832" s="2" t="s">
        <v>1340</v>
      </c>
      <c r="S1832" s="2">
        <v>2</v>
      </c>
      <c r="T1832" s="2">
        <v>1</v>
      </c>
      <c r="U1832" s="2" t="s">
        <v>141</v>
      </c>
      <c r="Y1832" s="2">
        <v>1700</v>
      </c>
      <c r="Z1832" s="11" t="s">
        <v>54</v>
      </c>
      <c r="AA1832" s="11" t="str">
        <f t="shared" si="117"/>
        <v>1700 - TBN</v>
      </c>
      <c r="AC1832" s="2" t="s">
        <v>145</v>
      </c>
      <c r="AD1832" s="11" t="str">
        <f>IF($I1832&lt;&gt;"",VLOOKUP($AC1832,GEADRESSEERDE!$A$2:$E$4,2,),"")</f>
        <v>LUITHAGEN HAVEN 2 D</v>
      </c>
      <c r="AE1832" s="11">
        <f>IF($I1832&lt;&gt;"",VLOOKUP($AC1832,GEADRESSEERDE!$A$2:$E$4,3,),"")</f>
        <v>2030</v>
      </c>
      <c r="AF1832" s="11" t="str">
        <f>IF($I1832&lt;&gt;"",VLOOKUP($AC1832,GEADRESSEERDE!$A$2:$E$4,4,),"")</f>
        <v>ANTWERPEN</v>
      </c>
      <c r="AG1832" s="11" t="str">
        <f>IF($I1832&lt;&gt;"",VLOOKUP($AC1832,GEADRESSEERDE!$A$2:$E$4,5,),"")</f>
        <v>BE</v>
      </c>
      <c r="AH1832" s="11" t="str">
        <f>IF(I1832&lt;&gt;"",VLOOKUP(AP1832,KvB!$A$2:$B$3,2,FALSE),"")</f>
        <v>BE101000</v>
      </c>
      <c r="AI1832" s="11" t="s">
        <v>55</v>
      </c>
      <c r="AJ1832" s="11"/>
      <c r="AK1832" s="11"/>
      <c r="AL1832" s="11"/>
      <c r="AM1832" s="11"/>
      <c r="AN1832" s="11"/>
      <c r="AO1832" s="11"/>
      <c r="AP1832" s="2" t="s">
        <v>70</v>
      </c>
      <c r="AQ1832" s="11" t="str">
        <f>IF(I1832&lt;&gt;"",DATA!D1831,"")</f>
        <v>8515199000</v>
      </c>
    </row>
    <row r="1833" spans="1:43" ht="15.75" x14ac:dyDescent="0.25">
      <c r="A1833" s="11" t="s">
        <v>57</v>
      </c>
      <c r="B1833" s="11" t="s">
        <v>56</v>
      </c>
      <c r="C1833" s="22">
        <f t="shared" si="118"/>
        <v>25001620</v>
      </c>
      <c r="D1833" s="11" t="str">
        <f t="shared" si="115"/>
        <v>SKIIFM_AT</v>
      </c>
      <c r="E1833" s="11" t="str">
        <f>IF(I1833&lt;&gt;"",VLOOKUP(F1833,OPDRACHTGEVER!$A$2:$B$4,2,FALSE),"")</f>
        <v>SKIIFM_AT</v>
      </c>
      <c r="F1833" s="11" t="s">
        <v>58</v>
      </c>
      <c r="I1833" s="11" t="str">
        <f>IF(DATA!B1832&lt;&gt;"",DATA!B1832,"")</f>
        <v>MSMU5266197</v>
      </c>
      <c r="J1833" s="12">
        <v>0</v>
      </c>
      <c r="K1833" s="11" t="s">
        <v>53</v>
      </c>
      <c r="L1833" s="11" t="str">
        <f t="shared" si="116"/>
        <v>820750</v>
      </c>
      <c r="M1833" s="11" t="str">
        <f>IF(I1833&lt;&gt;"",DATA!E1832,"")</f>
        <v>DIAMOND BIT</v>
      </c>
      <c r="N1833" s="12">
        <v>0</v>
      </c>
      <c r="O1833" s="11">
        <f>IF(I1833&lt;&gt;"",DATA!C1832,"")</f>
        <v>4.78</v>
      </c>
      <c r="P1833" s="2">
        <v>294094</v>
      </c>
      <c r="Q1833" s="2" t="s">
        <v>1304</v>
      </c>
      <c r="R1833" s="2" t="s">
        <v>1340</v>
      </c>
      <c r="S1833" s="2">
        <v>2</v>
      </c>
      <c r="T1833" s="2">
        <v>1</v>
      </c>
      <c r="U1833" s="2" t="s">
        <v>141</v>
      </c>
      <c r="Y1833" s="2">
        <v>1700</v>
      </c>
      <c r="Z1833" s="11" t="s">
        <v>54</v>
      </c>
      <c r="AA1833" s="11" t="str">
        <f t="shared" si="117"/>
        <v>1700 - TBN</v>
      </c>
      <c r="AC1833" s="2" t="s">
        <v>145</v>
      </c>
      <c r="AD1833" s="11" t="str">
        <f>IF($I1833&lt;&gt;"",VLOOKUP($AC1833,GEADRESSEERDE!$A$2:$E$4,2,),"")</f>
        <v>LUITHAGEN HAVEN 2 D</v>
      </c>
      <c r="AE1833" s="11">
        <f>IF($I1833&lt;&gt;"",VLOOKUP($AC1833,GEADRESSEERDE!$A$2:$E$4,3,),"")</f>
        <v>2030</v>
      </c>
      <c r="AF1833" s="11" t="str">
        <f>IF($I1833&lt;&gt;"",VLOOKUP($AC1833,GEADRESSEERDE!$A$2:$E$4,4,),"")</f>
        <v>ANTWERPEN</v>
      </c>
      <c r="AG1833" s="11" t="str">
        <f>IF($I1833&lt;&gt;"",VLOOKUP($AC1833,GEADRESSEERDE!$A$2:$E$4,5,),"")</f>
        <v>BE</v>
      </c>
      <c r="AH1833" s="11" t="str">
        <f>IF(I1833&lt;&gt;"",VLOOKUP(AP1833,KvB!$A$2:$B$3,2,FALSE),"")</f>
        <v>BE101000</v>
      </c>
      <c r="AI1833" s="11" t="s">
        <v>55</v>
      </c>
      <c r="AJ1833" s="11"/>
      <c r="AK1833" s="11"/>
      <c r="AL1833" s="11"/>
      <c r="AM1833" s="11"/>
      <c r="AN1833" s="11"/>
      <c r="AO1833" s="11"/>
      <c r="AP1833" s="2" t="s">
        <v>70</v>
      </c>
      <c r="AQ1833" s="11" t="str">
        <f>IF(I1833&lt;&gt;"",DATA!D1832,"")</f>
        <v>8207501000</v>
      </c>
    </row>
    <row r="1834" spans="1:43" ht="15.75" x14ac:dyDescent="0.25">
      <c r="A1834" s="11" t="s">
        <v>57</v>
      </c>
      <c r="B1834" s="11" t="s">
        <v>56</v>
      </c>
      <c r="C1834" s="22">
        <f t="shared" si="118"/>
        <v>25001620</v>
      </c>
      <c r="D1834" s="11" t="str">
        <f t="shared" si="115"/>
        <v>SKIIFM_AT</v>
      </c>
      <c r="E1834" s="11" t="str">
        <f>IF(I1834&lt;&gt;"",VLOOKUP(F1834,OPDRACHTGEVER!$A$2:$B$4,2,FALSE),"")</f>
        <v>SKIIFM_AT</v>
      </c>
      <c r="F1834" s="11" t="s">
        <v>58</v>
      </c>
      <c r="I1834" s="11" t="str">
        <f>IF(DATA!B1833&lt;&gt;"",DATA!B1833,"")</f>
        <v>MSMU5266197</v>
      </c>
      <c r="J1834" s="12">
        <v>0</v>
      </c>
      <c r="K1834" s="11" t="s">
        <v>53</v>
      </c>
      <c r="L1834" s="11" t="str">
        <f t="shared" si="116"/>
        <v>820559</v>
      </c>
      <c r="M1834" s="11" t="str">
        <f>IF(I1834&lt;&gt;"",DATA!E1833,"")</f>
        <v>DOVETAIL JIG</v>
      </c>
      <c r="N1834" s="12">
        <v>0</v>
      </c>
      <c r="O1834" s="11">
        <f>IF(I1834&lt;&gt;"",DATA!C1833,"")</f>
        <v>163.78</v>
      </c>
      <c r="P1834" s="2">
        <v>294094</v>
      </c>
      <c r="Q1834" s="2" t="s">
        <v>1304</v>
      </c>
      <c r="R1834" s="2" t="s">
        <v>1340</v>
      </c>
      <c r="S1834" s="2">
        <v>2</v>
      </c>
      <c r="T1834" s="2">
        <v>1</v>
      </c>
      <c r="U1834" s="2" t="s">
        <v>141</v>
      </c>
      <c r="Y1834" s="2">
        <v>1700</v>
      </c>
      <c r="Z1834" s="11" t="s">
        <v>54</v>
      </c>
      <c r="AA1834" s="11" t="str">
        <f t="shared" si="117"/>
        <v>1700 - TBN</v>
      </c>
      <c r="AC1834" s="2" t="s">
        <v>145</v>
      </c>
      <c r="AD1834" s="11" t="str">
        <f>IF($I1834&lt;&gt;"",VLOOKUP($AC1834,GEADRESSEERDE!$A$2:$E$4,2,),"")</f>
        <v>LUITHAGEN HAVEN 2 D</v>
      </c>
      <c r="AE1834" s="11">
        <f>IF($I1834&lt;&gt;"",VLOOKUP($AC1834,GEADRESSEERDE!$A$2:$E$4,3,),"")</f>
        <v>2030</v>
      </c>
      <c r="AF1834" s="11" t="str">
        <f>IF($I1834&lt;&gt;"",VLOOKUP($AC1834,GEADRESSEERDE!$A$2:$E$4,4,),"")</f>
        <v>ANTWERPEN</v>
      </c>
      <c r="AG1834" s="11" t="str">
        <f>IF($I1834&lt;&gt;"",VLOOKUP($AC1834,GEADRESSEERDE!$A$2:$E$4,5,),"")</f>
        <v>BE</v>
      </c>
      <c r="AH1834" s="11" t="str">
        <f>IF(I1834&lt;&gt;"",VLOOKUP(AP1834,KvB!$A$2:$B$3,2,FALSE),"")</f>
        <v>BE101000</v>
      </c>
      <c r="AI1834" s="11" t="s">
        <v>55</v>
      </c>
      <c r="AJ1834" s="11"/>
      <c r="AK1834" s="11"/>
      <c r="AL1834" s="11"/>
      <c r="AM1834" s="11"/>
      <c r="AN1834" s="11"/>
      <c r="AO1834" s="11"/>
      <c r="AP1834" s="2" t="s">
        <v>70</v>
      </c>
      <c r="AQ1834" s="11" t="str">
        <f>IF(I1834&lt;&gt;"",DATA!D1833,"")</f>
        <v>8205598000</v>
      </c>
    </row>
    <row r="1835" spans="1:43" ht="15.75" x14ac:dyDescent="0.25">
      <c r="A1835" s="11" t="s">
        <v>57</v>
      </c>
      <c r="B1835" s="11" t="s">
        <v>56</v>
      </c>
      <c r="C1835" s="22">
        <f t="shared" si="118"/>
        <v>25001620</v>
      </c>
      <c r="D1835" s="11" t="str">
        <f t="shared" si="115"/>
        <v>SKIIFM_AT</v>
      </c>
      <c r="E1835" s="11" t="str">
        <f>IF(I1835&lt;&gt;"",VLOOKUP(F1835,OPDRACHTGEVER!$A$2:$B$4,2,FALSE),"")</f>
        <v>SKIIFM_AT</v>
      </c>
      <c r="F1835" s="11" t="s">
        <v>58</v>
      </c>
      <c r="I1835" s="11" t="str">
        <f>IF(DATA!B1834&lt;&gt;"",DATA!B1834,"")</f>
        <v>MSMU5266197</v>
      </c>
      <c r="J1835" s="12">
        <v>0</v>
      </c>
      <c r="K1835" s="11" t="s">
        <v>53</v>
      </c>
      <c r="L1835" s="11" t="str">
        <f t="shared" si="116"/>
        <v>392690</v>
      </c>
      <c r="M1835" s="11" t="str">
        <f>IF(I1835&lt;&gt;"",DATA!E1834,"")</f>
        <v>DRAINAGE MAT</v>
      </c>
      <c r="N1835" s="12">
        <v>0</v>
      </c>
      <c r="O1835" s="11">
        <f>IF(I1835&lt;&gt;"",DATA!C1834,"")</f>
        <v>136.87</v>
      </c>
      <c r="P1835" s="2">
        <v>294094</v>
      </c>
      <c r="Q1835" s="2" t="s">
        <v>1304</v>
      </c>
      <c r="R1835" s="2" t="s">
        <v>1340</v>
      </c>
      <c r="S1835" s="2">
        <v>2</v>
      </c>
      <c r="T1835" s="2">
        <v>1</v>
      </c>
      <c r="U1835" s="2" t="s">
        <v>141</v>
      </c>
      <c r="Y1835" s="2">
        <v>1700</v>
      </c>
      <c r="Z1835" s="11" t="s">
        <v>54</v>
      </c>
      <c r="AA1835" s="11" t="str">
        <f t="shared" si="117"/>
        <v>1700 - TBN</v>
      </c>
      <c r="AC1835" s="2" t="s">
        <v>145</v>
      </c>
      <c r="AD1835" s="11" t="str">
        <f>IF($I1835&lt;&gt;"",VLOOKUP($AC1835,GEADRESSEERDE!$A$2:$E$4,2,),"")</f>
        <v>LUITHAGEN HAVEN 2 D</v>
      </c>
      <c r="AE1835" s="11">
        <f>IF($I1835&lt;&gt;"",VLOOKUP($AC1835,GEADRESSEERDE!$A$2:$E$4,3,),"")</f>
        <v>2030</v>
      </c>
      <c r="AF1835" s="11" t="str">
        <f>IF($I1835&lt;&gt;"",VLOOKUP($AC1835,GEADRESSEERDE!$A$2:$E$4,4,),"")</f>
        <v>ANTWERPEN</v>
      </c>
      <c r="AG1835" s="11" t="str">
        <f>IF($I1835&lt;&gt;"",VLOOKUP($AC1835,GEADRESSEERDE!$A$2:$E$4,5,),"")</f>
        <v>BE</v>
      </c>
      <c r="AH1835" s="11" t="str">
        <f>IF(I1835&lt;&gt;"",VLOOKUP(AP1835,KvB!$A$2:$B$3,2,FALSE),"")</f>
        <v>BE101000</v>
      </c>
      <c r="AI1835" s="11" t="s">
        <v>55</v>
      </c>
      <c r="AJ1835" s="11"/>
      <c r="AK1835" s="11"/>
      <c r="AL1835" s="11"/>
      <c r="AM1835" s="11"/>
      <c r="AN1835" s="11"/>
      <c r="AO1835" s="11"/>
      <c r="AP1835" s="2" t="s">
        <v>70</v>
      </c>
      <c r="AQ1835" s="11" t="str">
        <f>IF(I1835&lt;&gt;"",DATA!D1834,"")</f>
        <v>3926909790</v>
      </c>
    </row>
    <row r="1836" spans="1:43" ht="15.75" x14ac:dyDescent="0.25">
      <c r="A1836" s="11" t="s">
        <v>57</v>
      </c>
      <c r="B1836" s="11" t="s">
        <v>56</v>
      </c>
      <c r="C1836" s="22">
        <f t="shared" si="118"/>
        <v>25001620</v>
      </c>
      <c r="D1836" s="11" t="str">
        <f t="shared" si="115"/>
        <v>SKIIFM_AT</v>
      </c>
      <c r="E1836" s="11" t="str">
        <f>IF(I1836&lt;&gt;"",VLOOKUP(F1836,OPDRACHTGEVER!$A$2:$B$4,2,FALSE),"")</f>
        <v>SKIIFM_AT</v>
      </c>
      <c r="F1836" s="11" t="s">
        <v>58</v>
      </c>
      <c r="I1836" s="11" t="str">
        <f>IF(DATA!B1835&lt;&gt;"",DATA!B1835,"")</f>
        <v>MSMU5266197</v>
      </c>
      <c r="J1836" s="12">
        <v>0</v>
      </c>
      <c r="K1836" s="11" t="s">
        <v>53</v>
      </c>
      <c r="L1836" s="11" t="str">
        <f t="shared" si="116"/>
        <v>847480</v>
      </c>
      <c r="M1836" s="11" t="str">
        <f>IF(I1836&lt;&gt;"",DATA!E1835,"")</f>
        <v>DRAWING MACHINE</v>
      </c>
      <c r="N1836" s="12">
        <v>0</v>
      </c>
      <c r="O1836" s="11">
        <f>IF(I1836&lt;&gt;"",DATA!C1835,"")</f>
        <v>316.89999999999998</v>
      </c>
      <c r="P1836" s="2">
        <v>294094</v>
      </c>
      <c r="Q1836" s="2" t="s">
        <v>1304</v>
      </c>
      <c r="R1836" s="2" t="s">
        <v>1340</v>
      </c>
      <c r="S1836" s="2">
        <v>2</v>
      </c>
      <c r="T1836" s="2">
        <v>1</v>
      </c>
      <c r="U1836" s="2" t="s">
        <v>141</v>
      </c>
      <c r="Y1836" s="2">
        <v>1700</v>
      </c>
      <c r="Z1836" s="11" t="s">
        <v>54</v>
      </c>
      <c r="AA1836" s="11" t="str">
        <f t="shared" si="117"/>
        <v>1700 - TBN</v>
      </c>
      <c r="AC1836" s="2" t="s">
        <v>145</v>
      </c>
      <c r="AD1836" s="11" t="str">
        <f>IF($I1836&lt;&gt;"",VLOOKUP($AC1836,GEADRESSEERDE!$A$2:$E$4,2,),"")</f>
        <v>LUITHAGEN HAVEN 2 D</v>
      </c>
      <c r="AE1836" s="11">
        <f>IF($I1836&lt;&gt;"",VLOOKUP($AC1836,GEADRESSEERDE!$A$2:$E$4,3,),"")</f>
        <v>2030</v>
      </c>
      <c r="AF1836" s="11" t="str">
        <f>IF($I1836&lt;&gt;"",VLOOKUP($AC1836,GEADRESSEERDE!$A$2:$E$4,4,),"")</f>
        <v>ANTWERPEN</v>
      </c>
      <c r="AG1836" s="11" t="str">
        <f>IF($I1836&lt;&gt;"",VLOOKUP($AC1836,GEADRESSEERDE!$A$2:$E$4,5,),"")</f>
        <v>BE</v>
      </c>
      <c r="AH1836" s="11" t="str">
        <f>IF(I1836&lt;&gt;"",VLOOKUP(AP1836,KvB!$A$2:$B$3,2,FALSE),"")</f>
        <v>BE101000</v>
      </c>
      <c r="AI1836" s="11" t="s">
        <v>55</v>
      </c>
      <c r="AJ1836" s="11"/>
      <c r="AK1836" s="11"/>
      <c r="AL1836" s="11"/>
      <c r="AM1836" s="11"/>
      <c r="AN1836" s="11"/>
      <c r="AO1836" s="11"/>
      <c r="AP1836" s="2" t="s">
        <v>70</v>
      </c>
      <c r="AQ1836" s="11" t="str">
        <f>IF(I1836&lt;&gt;"",DATA!D1835,"")</f>
        <v>8474809000</v>
      </c>
    </row>
    <row r="1837" spans="1:43" ht="15.75" x14ac:dyDescent="0.25">
      <c r="A1837" s="11" t="s">
        <v>57</v>
      </c>
      <c r="B1837" s="11" t="s">
        <v>56</v>
      </c>
      <c r="C1837" s="22">
        <f t="shared" si="118"/>
        <v>25001620</v>
      </c>
      <c r="D1837" s="11" t="str">
        <f t="shared" si="115"/>
        <v>SKIIFM_AT</v>
      </c>
      <c r="E1837" s="11" t="str">
        <f>IF(I1837&lt;&gt;"",VLOOKUP(F1837,OPDRACHTGEVER!$A$2:$B$4,2,FALSE),"")</f>
        <v>SKIIFM_AT</v>
      </c>
      <c r="F1837" s="11" t="s">
        <v>58</v>
      </c>
      <c r="I1837" s="11" t="str">
        <f>IF(DATA!B1836&lt;&gt;"",DATA!B1836,"")</f>
        <v>MSMU5266197</v>
      </c>
      <c r="J1837" s="12">
        <v>0</v>
      </c>
      <c r="K1837" s="11" t="s">
        <v>53</v>
      </c>
      <c r="L1837" s="11" t="str">
        <f t="shared" si="116"/>
        <v>842511</v>
      </c>
      <c r="M1837" s="11" t="str">
        <f>IF(I1837&lt;&gt;"",DATA!E1836,"")</f>
        <v>ELECTRIC WIRE ROPE HOIST</v>
      </c>
      <c r="N1837" s="12">
        <v>0</v>
      </c>
      <c r="O1837" s="11">
        <f>IF(I1837&lt;&gt;"",DATA!C1836,"")</f>
        <v>50.36</v>
      </c>
      <c r="P1837" s="2">
        <v>294094</v>
      </c>
      <c r="Q1837" s="2" t="s">
        <v>1304</v>
      </c>
      <c r="R1837" s="2" t="s">
        <v>1340</v>
      </c>
      <c r="S1837" s="2">
        <v>2</v>
      </c>
      <c r="T1837" s="2">
        <v>1</v>
      </c>
      <c r="U1837" s="2" t="s">
        <v>141</v>
      </c>
      <c r="Y1837" s="2">
        <v>1700</v>
      </c>
      <c r="Z1837" s="11" t="s">
        <v>54</v>
      </c>
      <c r="AA1837" s="11" t="str">
        <f t="shared" si="117"/>
        <v>1700 - TBN</v>
      </c>
      <c r="AC1837" s="2" t="s">
        <v>145</v>
      </c>
      <c r="AD1837" s="11" t="str">
        <f>IF($I1837&lt;&gt;"",VLOOKUP($AC1837,GEADRESSEERDE!$A$2:$E$4,2,),"")</f>
        <v>LUITHAGEN HAVEN 2 D</v>
      </c>
      <c r="AE1837" s="11">
        <f>IF($I1837&lt;&gt;"",VLOOKUP($AC1837,GEADRESSEERDE!$A$2:$E$4,3,),"")</f>
        <v>2030</v>
      </c>
      <c r="AF1837" s="11" t="str">
        <f>IF($I1837&lt;&gt;"",VLOOKUP($AC1837,GEADRESSEERDE!$A$2:$E$4,4,),"")</f>
        <v>ANTWERPEN</v>
      </c>
      <c r="AG1837" s="11" t="str">
        <f>IF($I1837&lt;&gt;"",VLOOKUP($AC1837,GEADRESSEERDE!$A$2:$E$4,5,),"")</f>
        <v>BE</v>
      </c>
      <c r="AH1837" s="11" t="str">
        <f>IF(I1837&lt;&gt;"",VLOOKUP(AP1837,KvB!$A$2:$B$3,2,FALSE),"")</f>
        <v>BE101000</v>
      </c>
      <c r="AI1837" s="11" t="s">
        <v>55</v>
      </c>
      <c r="AJ1837" s="11"/>
      <c r="AK1837" s="11"/>
      <c r="AL1837" s="11"/>
      <c r="AM1837" s="11"/>
      <c r="AN1837" s="11"/>
      <c r="AO1837" s="11"/>
      <c r="AP1837" s="2" t="s">
        <v>70</v>
      </c>
      <c r="AQ1837" s="11" t="str">
        <f>IF(I1837&lt;&gt;"",DATA!D1836,"")</f>
        <v>8425110000</v>
      </c>
    </row>
    <row r="1838" spans="1:43" ht="15.75" x14ac:dyDescent="0.25">
      <c r="A1838" s="11" t="s">
        <v>57</v>
      </c>
      <c r="B1838" s="11" t="s">
        <v>56</v>
      </c>
      <c r="C1838" s="22">
        <f t="shared" si="118"/>
        <v>25001620</v>
      </c>
      <c r="D1838" s="11" t="str">
        <f t="shared" si="115"/>
        <v>SKIIFM_AT</v>
      </c>
      <c r="E1838" s="11" t="str">
        <f>IF(I1838&lt;&gt;"",VLOOKUP(F1838,OPDRACHTGEVER!$A$2:$B$4,2,FALSE),"")</f>
        <v>SKIIFM_AT</v>
      </c>
      <c r="F1838" s="11" t="s">
        <v>58</v>
      </c>
      <c r="I1838" s="11" t="str">
        <f>IF(DATA!B1837&lt;&gt;"",DATA!B1837,"")</f>
        <v>MSMU5266197</v>
      </c>
      <c r="J1838" s="12">
        <v>0</v>
      </c>
      <c r="K1838" s="11" t="s">
        <v>53</v>
      </c>
      <c r="L1838" s="11" t="str">
        <f t="shared" si="116"/>
        <v>391810</v>
      </c>
      <c r="M1838" s="11" t="str">
        <f>IF(I1838&lt;&gt;"",DATA!E1837,"")</f>
        <v>FLOOR MATS</v>
      </c>
      <c r="N1838" s="12">
        <v>0</v>
      </c>
      <c r="O1838" s="11">
        <f>IF(I1838&lt;&gt;"",DATA!C1837,"")</f>
        <v>222.7</v>
      </c>
      <c r="P1838" s="2">
        <v>294094</v>
      </c>
      <c r="Q1838" s="2" t="s">
        <v>1304</v>
      </c>
      <c r="R1838" s="2" t="s">
        <v>1340</v>
      </c>
      <c r="S1838" s="2">
        <v>2</v>
      </c>
      <c r="T1838" s="2">
        <v>1</v>
      </c>
      <c r="U1838" s="2" t="s">
        <v>141</v>
      </c>
      <c r="Y1838" s="2">
        <v>1700</v>
      </c>
      <c r="Z1838" s="11" t="s">
        <v>54</v>
      </c>
      <c r="AA1838" s="11" t="str">
        <f t="shared" si="117"/>
        <v>1700 - TBN</v>
      </c>
      <c r="AC1838" s="2" t="s">
        <v>145</v>
      </c>
      <c r="AD1838" s="11" t="str">
        <f>IF($I1838&lt;&gt;"",VLOOKUP($AC1838,GEADRESSEERDE!$A$2:$E$4,2,),"")</f>
        <v>LUITHAGEN HAVEN 2 D</v>
      </c>
      <c r="AE1838" s="11">
        <f>IF($I1838&lt;&gt;"",VLOOKUP($AC1838,GEADRESSEERDE!$A$2:$E$4,3,),"")</f>
        <v>2030</v>
      </c>
      <c r="AF1838" s="11" t="str">
        <f>IF($I1838&lt;&gt;"",VLOOKUP($AC1838,GEADRESSEERDE!$A$2:$E$4,4,),"")</f>
        <v>ANTWERPEN</v>
      </c>
      <c r="AG1838" s="11" t="str">
        <f>IF($I1838&lt;&gt;"",VLOOKUP($AC1838,GEADRESSEERDE!$A$2:$E$4,5,),"")</f>
        <v>BE</v>
      </c>
      <c r="AH1838" s="11" t="str">
        <f>IF(I1838&lt;&gt;"",VLOOKUP(AP1838,KvB!$A$2:$B$3,2,FALSE),"")</f>
        <v>BE101000</v>
      </c>
      <c r="AI1838" s="11" t="s">
        <v>55</v>
      </c>
      <c r="AJ1838" s="11"/>
      <c r="AK1838" s="11"/>
      <c r="AL1838" s="11"/>
      <c r="AM1838" s="11"/>
      <c r="AN1838" s="11"/>
      <c r="AO1838" s="11"/>
      <c r="AP1838" s="2" t="s">
        <v>70</v>
      </c>
      <c r="AQ1838" s="11" t="str">
        <f>IF(I1838&lt;&gt;"",DATA!D1837,"")</f>
        <v>3918109090</v>
      </c>
    </row>
    <row r="1839" spans="1:43" ht="15.75" x14ac:dyDescent="0.25">
      <c r="A1839" s="11" t="s">
        <v>57</v>
      </c>
      <c r="B1839" s="11" t="s">
        <v>56</v>
      </c>
      <c r="C1839" s="22">
        <f t="shared" si="118"/>
        <v>25001620</v>
      </c>
      <c r="D1839" s="11" t="str">
        <f t="shared" si="115"/>
        <v>SKIIFM_AT</v>
      </c>
      <c r="E1839" s="11" t="str">
        <f>IF(I1839&lt;&gt;"",VLOOKUP(F1839,OPDRACHTGEVER!$A$2:$B$4,2,FALSE),"")</f>
        <v>SKIIFM_AT</v>
      </c>
      <c r="F1839" s="11" t="s">
        <v>58</v>
      </c>
      <c r="I1839" s="11" t="str">
        <f>IF(DATA!B1838&lt;&gt;"",DATA!B1838,"")</f>
        <v>MSMU5266197</v>
      </c>
      <c r="J1839" s="12">
        <v>0</v>
      </c>
      <c r="K1839" s="11" t="s">
        <v>53</v>
      </c>
      <c r="L1839" s="11" t="str">
        <f t="shared" si="116"/>
        <v>843860</v>
      </c>
      <c r="M1839" s="11" t="str">
        <f>IF(I1839&lt;&gt;"",DATA!E1838,"")</f>
        <v>FRENCH FRIES</v>
      </c>
      <c r="N1839" s="12">
        <v>0</v>
      </c>
      <c r="O1839" s="11">
        <f>IF(I1839&lt;&gt;"",DATA!C1838,"")</f>
        <v>2.57</v>
      </c>
      <c r="P1839" s="2">
        <v>294094</v>
      </c>
      <c r="Q1839" s="2" t="s">
        <v>1304</v>
      </c>
      <c r="R1839" s="2" t="s">
        <v>1340</v>
      </c>
      <c r="S1839" s="2">
        <v>2</v>
      </c>
      <c r="T1839" s="2">
        <v>1</v>
      </c>
      <c r="U1839" s="2" t="s">
        <v>141</v>
      </c>
      <c r="Y1839" s="2">
        <v>1700</v>
      </c>
      <c r="Z1839" s="11" t="s">
        <v>54</v>
      </c>
      <c r="AA1839" s="11" t="str">
        <f t="shared" si="117"/>
        <v>1700 - TBN</v>
      </c>
      <c r="AC1839" s="2" t="s">
        <v>145</v>
      </c>
      <c r="AD1839" s="11" t="str">
        <f>IF($I1839&lt;&gt;"",VLOOKUP($AC1839,GEADRESSEERDE!$A$2:$E$4,2,),"")</f>
        <v>LUITHAGEN HAVEN 2 D</v>
      </c>
      <c r="AE1839" s="11">
        <f>IF($I1839&lt;&gt;"",VLOOKUP($AC1839,GEADRESSEERDE!$A$2:$E$4,3,),"")</f>
        <v>2030</v>
      </c>
      <c r="AF1839" s="11" t="str">
        <f>IF($I1839&lt;&gt;"",VLOOKUP($AC1839,GEADRESSEERDE!$A$2:$E$4,4,),"")</f>
        <v>ANTWERPEN</v>
      </c>
      <c r="AG1839" s="11" t="str">
        <f>IF($I1839&lt;&gt;"",VLOOKUP($AC1839,GEADRESSEERDE!$A$2:$E$4,5,),"")</f>
        <v>BE</v>
      </c>
      <c r="AH1839" s="11" t="str">
        <f>IF(I1839&lt;&gt;"",VLOOKUP(AP1839,KvB!$A$2:$B$3,2,FALSE),"")</f>
        <v>BE101000</v>
      </c>
      <c r="AI1839" s="11" t="s">
        <v>55</v>
      </c>
      <c r="AJ1839" s="11"/>
      <c r="AK1839" s="11"/>
      <c r="AL1839" s="11"/>
      <c r="AM1839" s="11"/>
      <c r="AN1839" s="11"/>
      <c r="AO1839" s="11"/>
      <c r="AP1839" s="2" t="s">
        <v>70</v>
      </c>
      <c r="AQ1839" s="11" t="str">
        <f>IF(I1839&lt;&gt;"",DATA!D1838,"")</f>
        <v>8438600000</v>
      </c>
    </row>
    <row r="1840" spans="1:43" ht="15.75" x14ac:dyDescent="0.25">
      <c r="A1840" s="11" t="s">
        <v>57</v>
      </c>
      <c r="B1840" s="11" t="s">
        <v>56</v>
      </c>
      <c r="C1840" s="22">
        <f t="shared" si="118"/>
        <v>25001620</v>
      </c>
      <c r="D1840" s="11" t="str">
        <f t="shared" si="115"/>
        <v>SKIIFM_AT</v>
      </c>
      <c r="E1840" s="11" t="str">
        <f>IF(I1840&lt;&gt;"",VLOOKUP(F1840,OPDRACHTGEVER!$A$2:$B$4,2,FALSE),"")</f>
        <v>SKIIFM_AT</v>
      </c>
      <c r="F1840" s="11" t="s">
        <v>58</v>
      </c>
      <c r="I1840" s="11" t="str">
        <f>IF(DATA!B1839&lt;&gt;"",DATA!B1839,"")</f>
        <v>MSMU5266197</v>
      </c>
      <c r="J1840" s="12">
        <v>0</v>
      </c>
      <c r="K1840" s="11" t="s">
        <v>53</v>
      </c>
      <c r="L1840" s="11" t="str">
        <f t="shared" si="116"/>
        <v>920600</v>
      </c>
      <c r="M1840" s="11" t="str">
        <f>IF(I1840&lt;&gt;"",DATA!E1839,"")</f>
        <v>HAND DRUM</v>
      </c>
      <c r="N1840" s="12">
        <v>0</v>
      </c>
      <c r="O1840" s="11">
        <f>IF(I1840&lt;&gt;"",DATA!C1839,"")</f>
        <v>31.27</v>
      </c>
      <c r="P1840" s="2">
        <v>294094</v>
      </c>
      <c r="Q1840" s="2" t="s">
        <v>1304</v>
      </c>
      <c r="R1840" s="2" t="s">
        <v>1340</v>
      </c>
      <c r="S1840" s="2">
        <v>2</v>
      </c>
      <c r="T1840" s="2">
        <v>1</v>
      </c>
      <c r="U1840" s="2" t="s">
        <v>141</v>
      </c>
      <c r="Y1840" s="2">
        <v>1700</v>
      </c>
      <c r="Z1840" s="11" t="s">
        <v>54</v>
      </c>
      <c r="AA1840" s="11" t="str">
        <f t="shared" si="117"/>
        <v>1700 - TBN</v>
      </c>
      <c r="AC1840" s="2" t="s">
        <v>145</v>
      </c>
      <c r="AD1840" s="11" t="str">
        <f>IF($I1840&lt;&gt;"",VLOOKUP($AC1840,GEADRESSEERDE!$A$2:$E$4,2,),"")</f>
        <v>LUITHAGEN HAVEN 2 D</v>
      </c>
      <c r="AE1840" s="11">
        <f>IF($I1840&lt;&gt;"",VLOOKUP($AC1840,GEADRESSEERDE!$A$2:$E$4,3,),"")</f>
        <v>2030</v>
      </c>
      <c r="AF1840" s="11" t="str">
        <f>IF($I1840&lt;&gt;"",VLOOKUP($AC1840,GEADRESSEERDE!$A$2:$E$4,4,),"")</f>
        <v>ANTWERPEN</v>
      </c>
      <c r="AG1840" s="11" t="str">
        <f>IF($I1840&lt;&gt;"",VLOOKUP($AC1840,GEADRESSEERDE!$A$2:$E$4,5,),"")</f>
        <v>BE</v>
      </c>
      <c r="AH1840" s="11" t="str">
        <f>IF(I1840&lt;&gt;"",VLOOKUP(AP1840,KvB!$A$2:$B$3,2,FALSE),"")</f>
        <v>BE101000</v>
      </c>
      <c r="AI1840" s="11" t="s">
        <v>55</v>
      </c>
      <c r="AJ1840" s="11"/>
      <c r="AK1840" s="11"/>
      <c r="AL1840" s="11"/>
      <c r="AM1840" s="11"/>
      <c r="AN1840" s="11"/>
      <c r="AO1840" s="11"/>
      <c r="AP1840" s="2" t="s">
        <v>70</v>
      </c>
      <c r="AQ1840" s="11" t="str">
        <f>IF(I1840&lt;&gt;"",DATA!D1839,"")</f>
        <v>9206000000</v>
      </c>
    </row>
    <row r="1841" spans="1:43" ht="15.75" x14ac:dyDescent="0.25">
      <c r="A1841" s="11" t="s">
        <v>57</v>
      </c>
      <c r="B1841" s="11" t="s">
        <v>56</v>
      </c>
      <c r="C1841" s="22">
        <f t="shared" si="118"/>
        <v>25001620</v>
      </c>
      <c r="D1841" s="11" t="str">
        <f t="shared" si="115"/>
        <v>SKIIFM_AT</v>
      </c>
      <c r="E1841" s="11" t="str">
        <f>IF(I1841&lt;&gt;"",VLOOKUP(F1841,OPDRACHTGEVER!$A$2:$B$4,2,FALSE),"")</f>
        <v>SKIIFM_AT</v>
      </c>
      <c r="F1841" s="11" t="s">
        <v>58</v>
      </c>
      <c r="I1841" s="11" t="str">
        <f>IF(DATA!B1840&lt;&gt;"",DATA!B1840,"")</f>
        <v>MSMU5266197</v>
      </c>
      <c r="J1841" s="12">
        <v>0</v>
      </c>
      <c r="K1841" s="11" t="s">
        <v>53</v>
      </c>
      <c r="L1841" s="11" t="str">
        <f t="shared" si="116"/>
        <v>841989</v>
      </c>
      <c r="M1841" s="11" t="str">
        <f>IF(I1841&lt;&gt;"",DATA!E1840,"")</f>
        <v>HEATING MANTLE</v>
      </c>
      <c r="N1841" s="12">
        <v>0</v>
      </c>
      <c r="O1841" s="11">
        <f>IF(I1841&lt;&gt;"",DATA!C1840,"")</f>
        <v>31.6</v>
      </c>
      <c r="P1841" s="2">
        <v>294094</v>
      </c>
      <c r="Q1841" s="2" t="s">
        <v>1304</v>
      </c>
      <c r="R1841" s="2" t="s">
        <v>1340</v>
      </c>
      <c r="S1841" s="2">
        <v>2</v>
      </c>
      <c r="T1841" s="2">
        <v>1</v>
      </c>
      <c r="U1841" s="2" t="s">
        <v>141</v>
      </c>
      <c r="Y1841" s="2">
        <v>1700</v>
      </c>
      <c r="Z1841" s="11" t="s">
        <v>54</v>
      </c>
      <c r="AA1841" s="11" t="str">
        <f t="shared" si="117"/>
        <v>1700 - TBN</v>
      </c>
      <c r="AC1841" s="2" t="s">
        <v>145</v>
      </c>
      <c r="AD1841" s="11" t="str">
        <f>IF($I1841&lt;&gt;"",VLOOKUP($AC1841,GEADRESSEERDE!$A$2:$E$4,2,),"")</f>
        <v>LUITHAGEN HAVEN 2 D</v>
      </c>
      <c r="AE1841" s="11">
        <f>IF($I1841&lt;&gt;"",VLOOKUP($AC1841,GEADRESSEERDE!$A$2:$E$4,3,),"")</f>
        <v>2030</v>
      </c>
      <c r="AF1841" s="11" t="str">
        <f>IF($I1841&lt;&gt;"",VLOOKUP($AC1841,GEADRESSEERDE!$A$2:$E$4,4,),"")</f>
        <v>ANTWERPEN</v>
      </c>
      <c r="AG1841" s="11" t="str">
        <f>IF($I1841&lt;&gt;"",VLOOKUP($AC1841,GEADRESSEERDE!$A$2:$E$4,5,),"")</f>
        <v>BE</v>
      </c>
      <c r="AH1841" s="11" t="str">
        <f>IF(I1841&lt;&gt;"",VLOOKUP(AP1841,KvB!$A$2:$B$3,2,FALSE),"")</f>
        <v>BE101000</v>
      </c>
      <c r="AI1841" s="11" t="s">
        <v>55</v>
      </c>
      <c r="AJ1841" s="11"/>
      <c r="AK1841" s="11"/>
      <c r="AL1841" s="11"/>
      <c r="AM1841" s="11"/>
      <c r="AN1841" s="11"/>
      <c r="AO1841" s="11"/>
      <c r="AP1841" s="2" t="s">
        <v>70</v>
      </c>
      <c r="AQ1841" s="11" t="str">
        <f>IF(I1841&lt;&gt;"",DATA!D1840,"")</f>
        <v>8419899890</v>
      </c>
    </row>
    <row r="1842" spans="1:43" ht="15.75" x14ac:dyDescent="0.25">
      <c r="A1842" s="11" t="s">
        <v>57</v>
      </c>
      <c r="B1842" s="11" t="s">
        <v>56</v>
      </c>
      <c r="C1842" s="22">
        <f t="shared" si="118"/>
        <v>25001620</v>
      </c>
      <c r="D1842" s="11" t="str">
        <f t="shared" si="115"/>
        <v>SKIIFM_AT</v>
      </c>
      <c r="E1842" s="11" t="str">
        <f>IF(I1842&lt;&gt;"",VLOOKUP(F1842,OPDRACHTGEVER!$A$2:$B$4,2,FALSE),"")</f>
        <v>SKIIFM_AT</v>
      </c>
      <c r="F1842" s="11" t="s">
        <v>58</v>
      </c>
      <c r="I1842" s="11" t="str">
        <f>IF(DATA!B1841&lt;&gt;"",DATA!B1841,"")</f>
        <v>MSMU5266197</v>
      </c>
      <c r="J1842" s="12">
        <v>0</v>
      </c>
      <c r="K1842" s="11" t="s">
        <v>53</v>
      </c>
      <c r="L1842" s="11" t="str">
        <f t="shared" si="116"/>
        <v>741920</v>
      </c>
      <c r="M1842" s="11" t="str">
        <f>IF(I1842&lt;&gt;"",DATA!E1841,"")</f>
        <v>HOIST SUPPORT ARM MOUNTING ROD</v>
      </c>
      <c r="N1842" s="12">
        <v>0</v>
      </c>
      <c r="O1842" s="11">
        <f>IF(I1842&lt;&gt;"",DATA!C1841,"")</f>
        <v>14.76</v>
      </c>
      <c r="P1842" s="2">
        <v>294094</v>
      </c>
      <c r="Q1842" s="2" t="s">
        <v>1304</v>
      </c>
      <c r="R1842" s="2" t="s">
        <v>1340</v>
      </c>
      <c r="S1842" s="2">
        <v>2</v>
      </c>
      <c r="T1842" s="2">
        <v>1</v>
      </c>
      <c r="U1842" s="2" t="s">
        <v>141</v>
      </c>
      <c r="Y1842" s="2">
        <v>1700</v>
      </c>
      <c r="Z1842" s="11" t="s">
        <v>54</v>
      </c>
      <c r="AA1842" s="11" t="str">
        <f t="shared" si="117"/>
        <v>1700 - TBN</v>
      </c>
      <c r="AC1842" s="2" t="s">
        <v>145</v>
      </c>
      <c r="AD1842" s="11" t="str">
        <f>IF($I1842&lt;&gt;"",VLOOKUP($AC1842,GEADRESSEERDE!$A$2:$E$4,2,),"")</f>
        <v>LUITHAGEN HAVEN 2 D</v>
      </c>
      <c r="AE1842" s="11">
        <f>IF($I1842&lt;&gt;"",VLOOKUP($AC1842,GEADRESSEERDE!$A$2:$E$4,3,),"")</f>
        <v>2030</v>
      </c>
      <c r="AF1842" s="11" t="str">
        <f>IF($I1842&lt;&gt;"",VLOOKUP($AC1842,GEADRESSEERDE!$A$2:$E$4,4,),"")</f>
        <v>ANTWERPEN</v>
      </c>
      <c r="AG1842" s="11" t="str">
        <f>IF($I1842&lt;&gt;"",VLOOKUP($AC1842,GEADRESSEERDE!$A$2:$E$4,5,),"")</f>
        <v>BE</v>
      </c>
      <c r="AH1842" s="11" t="str">
        <f>IF(I1842&lt;&gt;"",VLOOKUP(AP1842,KvB!$A$2:$B$3,2,FALSE),"")</f>
        <v>BE101000</v>
      </c>
      <c r="AI1842" s="11" t="s">
        <v>55</v>
      </c>
      <c r="AJ1842" s="11"/>
      <c r="AK1842" s="11"/>
      <c r="AL1842" s="11"/>
      <c r="AM1842" s="11"/>
      <c r="AN1842" s="11"/>
      <c r="AO1842" s="11"/>
      <c r="AP1842" s="2" t="s">
        <v>70</v>
      </c>
      <c r="AQ1842" s="11" t="str">
        <f>IF(I1842&lt;&gt;"",DATA!D1841,"")</f>
        <v>7419200090</v>
      </c>
    </row>
    <row r="1843" spans="1:43" ht="15.75" x14ac:dyDescent="0.25">
      <c r="A1843" s="11" t="s">
        <v>57</v>
      </c>
      <c r="B1843" s="11" t="s">
        <v>56</v>
      </c>
      <c r="C1843" s="22">
        <f t="shared" si="118"/>
        <v>25001620</v>
      </c>
      <c r="D1843" s="11" t="str">
        <f t="shared" si="115"/>
        <v>SKIIFM_AT</v>
      </c>
      <c r="E1843" s="11" t="str">
        <f>IF(I1843&lt;&gt;"",VLOOKUP(F1843,OPDRACHTGEVER!$A$2:$B$4,2,FALSE),"")</f>
        <v>SKIIFM_AT</v>
      </c>
      <c r="F1843" s="11" t="s">
        <v>58</v>
      </c>
      <c r="I1843" s="11" t="str">
        <f>IF(DATA!B1842&lt;&gt;"",DATA!B1842,"")</f>
        <v>MSMU5266197</v>
      </c>
      <c r="J1843" s="12">
        <v>0</v>
      </c>
      <c r="K1843" s="11" t="s">
        <v>53</v>
      </c>
      <c r="L1843" s="11" t="str">
        <f t="shared" si="116"/>
        <v>843680</v>
      </c>
      <c r="M1843" s="11" t="str">
        <f>IF(I1843&lt;&gt;"",DATA!E1842,"")</f>
        <v>HONEY EXTRACTOR</v>
      </c>
      <c r="N1843" s="12">
        <v>0</v>
      </c>
      <c r="O1843" s="11">
        <f>IF(I1843&lt;&gt;"",DATA!C1842,"")</f>
        <v>2658.5</v>
      </c>
      <c r="P1843" s="2">
        <v>294094</v>
      </c>
      <c r="Q1843" s="2" t="s">
        <v>1304</v>
      </c>
      <c r="R1843" s="2" t="s">
        <v>1340</v>
      </c>
      <c r="S1843" s="2">
        <v>2</v>
      </c>
      <c r="T1843" s="2">
        <v>1</v>
      </c>
      <c r="U1843" s="2" t="s">
        <v>141</v>
      </c>
      <c r="Y1843" s="2">
        <v>1700</v>
      </c>
      <c r="Z1843" s="11" t="s">
        <v>54</v>
      </c>
      <c r="AA1843" s="11" t="str">
        <f t="shared" si="117"/>
        <v>1700 - TBN</v>
      </c>
      <c r="AC1843" s="2" t="s">
        <v>145</v>
      </c>
      <c r="AD1843" s="11" t="str">
        <f>IF($I1843&lt;&gt;"",VLOOKUP($AC1843,GEADRESSEERDE!$A$2:$E$4,2,),"")</f>
        <v>LUITHAGEN HAVEN 2 D</v>
      </c>
      <c r="AE1843" s="11">
        <f>IF($I1843&lt;&gt;"",VLOOKUP($AC1843,GEADRESSEERDE!$A$2:$E$4,3,),"")</f>
        <v>2030</v>
      </c>
      <c r="AF1843" s="11" t="str">
        <f>IF($I1843&lt;&gt;"",VLOOKUP($AC1843,GEADRESSEERDE!$A$2:$E$4,4,),"")</f>
        <v>ANTWERPEN</v>
      </c>
      <c r="AG1843" s="11" t="str">
        <f>IF($I1843&lt;&gt;"",VLOOKUP($AC1843,GEADRESSEERDE!$A$2:$E$4,5,),"")</f>
        <v>BE</v>
      </c>
      <c r="AH1843" s="11" t="str">
        <f>IF(I1843&lt;&gt;"",VLOOKUP(AP1843,KvB!$A$2:$B$3,2,FALSE),"")</f>
        <v>BE101000</v>
      </c>
      <c r="AI1843" s="11" t="s">
        <v>55</v>
      </c>
      <c r="AJ1843" s="11"/>
      <c r="AK1843" s="11"/>
      <c r="AL1843" s="11"/>
      <c r="AM1843" s="11"/>
      <c r="AN1843" s="11"/>
      <c r="AO1843" s="11"/>
      <c r="AP1843" s="2" t="s">
        <v>70</v>
      </c>
      <c r="AQ1843" s="11" t="str">
        <f>IF(I1843&lt;&gt;"",DATA!D1842,"")</f>
        <v>8436809000</v>
      </c>
    </row>
    <row r="1844" spans="1:43" ht="15.75" x14ac:dyDescent="0.25">
      <c r="A1844" s="11" t="s">
        <v>57</v>
      </c>
      <c r="B1844" s="11" t="s">
        <v>56</v>
      </c>
      <c r="C1844" s="22">
        <f t="shared" si="118"/>
        <v>25001620</v>
      </c>
      <c r="D1844" s="11" t="str">
        <f t="shared" ref="D1844:D1907" si="119">E1844</f>
        <v>SKIIFM_AT</v>
      </c>
      <c r="E1844" s="11" t="str">
        <f>IF(I1844&lt;&gt;"",VLOOKUP(F1844,OPDRACHTGEVER!$A$2:$B$4,2,FALSE),"")</f>
        <v>SKIIFM_AT</v>
      </c>
      <c r="F1844" s="11" t="s">
        <v>58</v>
      </c>
      <c r="I1844" s="11" t="str">
        <f>IF(DATA!B1843&lt;&gt;"",DATA!B1843,"")</f>
        <v>MSMU5266197</v>
      </c>
      <c r="J1844" s="12">
        <v>0</v>
      </c>
      <c r="K1844" s="11" t="s">
        <v>53</v>
      </c>
      <c r="L1844" s="11" t="str">
        <f t="shared" ref="L1844:L1907" si="120">LEFT(AQ1844,6)</f>
        <v>841229</v>
      </c>
      <c r="M1844" s="11" t="str">
        <f>IF(I1844&lt;&gt;"",DATA!E1843,"")</f>
        <v>HYDRAULIC POWER UNIT</v>
      </c>
      <c r="N1844" s="12">
        <v>0</v>
      </c>
      <c r="O1844" s="11">
        <f>IF(I1844&lt;&gt;"",DATA!C1843,"")</f>
        <v>170.7</v>
      </c>
      <c r="P1844" s="2">
        <v>294094</v>
      </c>
      <c r="Q1844" s="2" t="s">
        <v>1304</v>
      </c>
      <c r="R1844" s="2" t="s">
        <v>1340</v>
      </c>
      <c r="S1844" s="2">
        <v>2</v>
      </c>
      <c r="T1844" s="2">
        <v>1</v>
      </c>
      <c r="U1844" s="2" t="s">
        <v>141</v>
      </c>
      <c r="Y1844" s="2">
        <v>1700</v>
      </c>
      <c r="Z1844" s="11" t="s">
        <v>54</v>
      </c>
      <c r="AA1844" s="11" t="str">
        <f t="shared" ref="AA1844:AA1907" si="121">IF(I1844&lt;&gt;"",Y1844&amp;" - "&amp;Z1844,"")</f>
        <v>1700 - TBN</v>
      </c>
      <c r="AC1844" s="2" t="s">
        <v>145</v>
      </c>
      <c r="AD1844" s="11" t="str">
        <f>IF($I1844&lt;&gt;"",VLOOKUP($AC1844,GEADRESSEERDE!$A$2:$E$4,2,),"")</f>
        <v>LUITHAGEN HAVEN 2 D</v>
      </c>
      <c r="AE1844" s="11">
        <f>IF($I1844&lt;&gt;"",VLOOKUP($AC1844,GEADRESSEERDE!$A$2:$E$4,3,),"")</f>
        <v>2030</v>
      </c>
      <c r="AF1844" s="11" t="str">
        <f>IF($I1844&lt;&gt;"",VLOOKUP($AC1844,GEADRESSEERDE!$A$2:$E$4,4,),"")</f>
        <v>ANTWERPEN</v>
      </c>
      <c r="AG1844" s="11" t="str">
        <f>IF($I1844&lt;&gt;"",VLOOKUP($AC1844,GEADRESSEERDE!$A$2:$E$4,5,),"")</f>
        <v>BE</v>
      </c>
      <c r="AH1844" s="11" t="str">
        <f>IF(I1844&lt;&gt;"",VLOOKUP(AP1844,KvB!$A$2:$B$3,2,FALSE),"")</f>
        <v>BE101000</v>
      </c>
      <c r="AI1844" s="11" t="s">
        <v>55</v>
      </c>
      <c r="AJ1844" s="11"/>
      <c r="AK1844" s="11"/>
      <c r="AL1844" s="11"/>
      <c r="AM1844" s="11"/>
      <c r="AN1844" s="11"/>
      <c r="AO1844" s="11"/>
      <c r="AP1844" s="2" t="s">
        <v>70</v>
      </c>
      <c r="AQ1844" s="11" t="str">
        <f>IF(I1844&lt;&gt;"",DATA!D1843,"")</f>
        <v>8412298990</v>
      </c>
    </row>
    <row r="1845" spans="1:43" ht="15.75" x14ac:dyDescent="0.25">
      <c r="A1845" s="11" t="s">
        <v>57</v>
      </c>
      <c r="B1845" s="11" t="s">
        <v>56</v>
      </c>
      <c r="C1845" s="22">
        <f t="shared" si="118"/>
        <v>25001620</v>
      </c>
      <c r="D1845" s="11" t="str">
        <f t="shared" si="119"/>
        <v>SKIIFM_AT</v>
      </c>
      <c r="E1845" s="11" t="str">
        <f>IF(I1845&lt;&gt;"",VLOOKUP(F1845,OPDRACHTGEVER!$A$2:$B$4,2,FALSE),"")</f>
        <v>SKIIFM_AT</v>
      </c>
      <c r="F1845" s="11" t="s">
        <v>58</v>
      </c>
      <c r="I1845" s="11" t="str">
        <f>IF(DATA!B1844&lt;&gt;"",DATA!B1844,"")</f>
        <v>MSMU5266197</v>
      </c>
      <c r="J1845" s="12">
        <v>0</v>
      </c>
      <c r="K1845" s="11" t="s">
        <v>53</v>
      </c>
      <c r="L1845" s="11" t="str">
        <f t="shared" si="120"/>
        <v>841420</v>
      </c>
      <c r="M1845" s="11" t="str">
        <f>IF(I1845&lt;&gt;"",DATA!E1844,"")</f>
        <v>HYDRAULIC PUMP</v>
      </c>
      <c r="N1845" s="12">
        <v>0</v>
      </c>
      <c r="O1845" s="11">
        <f>IF(I1845&lt;&gt;"",DATA!C1844,"")</f>
        <v>27.69</v>
      </c>
      <c r="P1845" s="2">
        <v>294094</v>
      </c>
      <c r="Q1845" s="2" t="s">
        <v>1304</v>
      </c>
      <c r="R1845" s="2" t="s">
        <v>1340</v>
      </c>
      <c r="S1845" s="2">
        <v>2</v>
      </c>
      <c r="T1845" s="2">
        <v>1</v>
      </c>
      <c r="U1845" s="2" t="s">
        <v>141</v>
      </c>
      <c r="Y1845" s="2">
        <v>1700</v>
      </c>
      <c r="Z1845" s="11" t="s">
        <v>54</v>
      </c>
      <c r="AA1845" s="11" t="str">
        <f t="shared" si="121"/>
        <v>1700 - TBN</v>
      </c>
      <c r="AC1845" s="2" t="s">
        <v>145</v>
      </c>
      <c r="AD1845" s="11" t="str">
        <f>IF($I1845&lt;&gt;"",VLOOKUP($AC1845,GEADRESSEERDE!$A$2:$E$4,2,),"")</f>
        <v>LUITHAGEN HAVEN 2 D</v>
      </c>
      <c r="AE1845" s="11">
        <f>IF($I1845&lt;&gt;"",VLOOKUP($AC1845,GEADRESSEERDE!$A$2:$E$4,3,),"")</f>
        <v>2030</v>
      </c>
      <c r="AF1845" s="11" t="str">
        <f>IF($I1845&lt;&gt;"",VLOOKUP($AC1845,GEADRESSEERDE!$A$2:$E$4,4,),"")</f>
        <v>ANTWERPEN</v>
      </c>
      <c r="AG1845" s="11" t="str">
        <f>IF($I1845&lt;&gt;"",VLOOKUP($AC1845,GEADRESSEERDE!$A$2:$E$4,5,),"")</f>
        <v>BE</v>
      </c>
      <c r="AH1845" s="11" t="str">
        <f>IF(I1845&lt;&gt;"",VLOOKUP(AP1845,KvB!$A$2:$B$3,2,FALSE),"")</f>
        <v>BE101000</v>
      </c>
      <c r="AI1845" s="11" t="s">
        <v>55</v>
      </c>
      <c r="AJ1845" s="11"/>
      <c r="AK1845" s="11"/>
      <c r="AL1845" s="11"/>
      <c r="AM1845" s="11"/>
      <c r="AN1845" s="11"/>
      <c r="AO1845" s="11"/>
      <c r="AP1845" s="2" t="s">
        <v>70</v>
      </c>
      <c r="AQ1845" s="11" t="str">
        <f>IF(I1845&lt;&gt;"",DATA!D1844,"")</f>
        <v>8414208090</v>
      </c>
    </row>
    <row r="1846" spans="1:43" ht="15.75" x14ac:dyDescent="0.25">
      <c r="A1846" s="11" t="s">
        <v>57</v>
      </c>
      <c r="B1846" s="11" t="s">
        <v>56</v>
      </c>
      <c r="C1846" s="22">
        <f t="shared" si="118"/>
        <v>25001620</v>
      </c>
      <c r="D1846" s="11" t="str">
        <f t="shared" si="119"/>
        <v>SKIIFM_AT</v>
      </c>
      <c r="E1846" s="11" t="str">
        <f>IF(I1846&lt;&gt;"",VLOOKUP(F1846,OPDRACHTGEVER!$A$2:$B$4,2,FALSE),"")</f>
        <v>SKIIFM_AT</v>
      </c>
      <c r="F1846" s="11" t="s">
        <v>58</v>
      </c>
      <c r="I1846" s="11" t="str">
        <f>IF(DATA!B1845&lt;&gt;"",DATA!B1845,"")</f>
        <v>MSMU5266197</v>
      </c>
      <c r="J1846" s="12">
        <v>0</v>
      </c>
      <c r="K1846" s="11" t="s">
        <v>53</v>
      </c>
      <c r="L1846" s="11" t="str">
        <f t="shared" si="120"/>
        <v>846630</v>
      </c>
      <c r="M1846" s="11" t="str">
        <f>IF(I1846&lt;&gt;"",DATA!E1845,"")</f>
        <v>INDEX HEAD</v>
      </c>
      <c r="N1846" s="12">
        <v>0</v>
      </c>
      <c r="O1846" s="11">
        <f>IF(I1846&lt;&gt;"",DATA!C1845,"")</f>
        <v>40.119999999999997</v>
      </c>
      <c r="P1846" s="2">
        <v>294094</v>
      </c>
      <c r="Q1846" s="2" t="s">
        <v>1304</v>
      </c>
      <c r="R1846" s="2" t="s">
        <v>1340</v>
      </c>
      <c r="S1846" s="2">
        <v>2</v>
      </c>
      <c r="T1846" s="2">
        <v>1</v>
      </c>
      <c r="U1846" s="2" t="s">
        <v>141</v>
      </c>
      <c r="Y1846" s="2">
        <v>1700</v>
      </c>
      <c r="Z1846" s="11" t="s">
        <v>54</v>
      </c>
      <c r="AA1846" s="11" t="str">
        <f t="shared" si="121"/>
        <v>1700 - TBN</v>
      </c>
      <c r="AC1846" s="2" t="s">
        <v>145</v>
      </c>
      <c r="AD1846" s="11" t="str">
        <f>IF($I1846&lt;&gt;"",VLOOKUP($AC1846,GEADRESSEERDE!$A$2:$E$4,2,),"")</f>
        <v>LUITHAGEN HAVEN 2 D</v>
      </c>
      <c r="AE1846" s="11">
        <f>IF($I1846&lt;&gt;"",VLOOKUP($AC1846,GEADRESSEERDE!$A$2:$E$4,3,),"")</f>
        <v>2030</v>
      </c>
      <c r="AF1846" s="11" t="str">
        <f>IF($I1846&lt;&gt;"",VLOOKUP($AC1846,GEADRESSEERDE!$A$2:$E$4,4,),"")</f>
        <v>ANTWERPEN</v>
      </c>
      <c r="AG1846" s="11" t="str">
        <f>IF($I1846&lt;&gt;"",VLOOKUP($AC1846,GEADRESSEERDE!$A$2:$E$4,5,),"")</f>
        <v>BE</v>
      </c>
      <c r="AH1846" s="11" t="str">
        <f>IF(I1846&lt;&gt;"",VLOOKUP(AP1846,KvB!$A$2:$B$3,2,FALSE),"")</f>
        <v>BE101000</v>
      </c>
      <c r="AI1846" s="11" t="s">
        <v>55</v>
      </c>
      <c r="AJ1846" s="11"/>
      <c r="AK1846" s="11"/>
      <c r="AL1846" s="11"/>
      <c r="AM1846" s="11"/>
      <c r="AN1846" s="11"/>
      <c r="AO1846" s="11"/>
      <c r="AP1846" s="2" t="s">
        <v>70</v>
      </c>
      <c r="AQ1846" s="11" t="str">
        <f>IF(I1846&lt;&gt;"",DATA!D1845,"")</f>
        <v>8466300000</v>
      </c>
    </row>
    <row r="1847" spans="1:43" ht="15.75" x14ac:dyDescent="0.25">
      <c r="A1847" s="11" t="s">
        <v>57</v>
      </c>
      <c r="B1847" s="11" t="s">
        <v>56</v>
      </c>
      <c r="C1847" s="22">
        <f t="shared" si="118"/>
        <v>25001620</v>
      </c>
      <c r="D1847" s="11" t="str">
        <f t="shared" si="119"/>
        <v>SKIIFM_AT</v>
      </c>
      <c r="E1847" s="11" t="str">
        <f>IF(I1847&lt;&gt;"",VLOOKUP(F1847,OPDRACHTGEVER!$A$2:$B$4,2,FALSE),"")</f>
        <v>SKIIFM_AT</v>
      </c>
      <c r="F1847" s="11" t="s">
        <v>58</v>
      </c>
      <c r="I1847" s="11" t="str">
        <f>IF(DATA!B1846&lt;&gt;"",DATA!B1846,"")</f>
        <v>MSMU5266197</v>
      </c>
      <c r="J1847" s="12">
        <v>0</v>
      </c>
      <c r="K1847" s="11" t="s">
        <v>53</v>
      </c>
      <c r="L1847" s="11" t="str">
        <f t="shared" si="120"/>
        <v>950691</v>
      </c>
      <c r="M1847" s="11" t="str">
        <f>IF(I1847&lt;&gt;"",DATA!E1846,"")</f>
        <v>INFLATABLE FLOATING DOCK</v>
      </c>
      <c r="N1847" s="12">
        <v>0</v>
      </c>
      <c r="O1847" s="11">
        <f>IF(I1847&lt;&gt;"",DATA!C1846,"")</f>
        <v>24.82</v>
      </c>
      <c r="P1847" s="2">
        <v>294094</v>
      </c>
      <c r="Q1847" s="2" t="s">
        <v>1304</v>
      </c>
      <c r="R1847" s="2" t="s">
        <v>1340</v>
      </c>
      <c r="S1847" s="2">
        <v>2</v>
      </c>
      <c r="T1847" s="2">
        <v>1</v>
      </c>
      <c r="U1847" s="2" t="s">
        <v>141</v>
      </c>
      <c r="Y1847" s="2">
        <v>1700</v>
      </c>
      <c r="Z1847" s="11" t="s">
        <v>54</v>
      </c>
      <c r="AA1847" s="11" t="str">
        <f t="shared" si="121"/>
        <v>1700 - TBN</v>
      </c>
      <c r="AC1847" s="2" t="s">
        <v>145</v>
      </c>
      <c r="AD1847" s="11" t="str">
        <f>IF($I1847&lt;&gt;"",VLOOKUP($AC1847,GEADRESSEERDE!$A$2:$E$4,2,),"")</f>
        <v>LUITHAGEN HAVEN 2 D</v>
      </c>
      <c r="AE1847" s="11">
        <f>IF($I1847&lt;&gt;"",VLOOKUP($AC1847,GEADRESSEERDE!$A$2:$E$4,3,),"")</f>
        <v>2030</v>
      </c>
      <c r="AF1847" s="11" t="str">
        <f>IF($I1847&lt;&gt;"",VLOOKUP($AC1847,GEADRESSEERDE!$A$2:$E$4,4,),"")</f>
        <v>ANTWERPEN</v>
      </c>
      <c r="AG1847" s="11" t="str">
        <f>IF($I1847&lt;&gt;"",VLOOKUP($AC1847,GEADRESSEERDE!$A$2:$E$4,5,),"")</f>
        <v>BE</v>
      </c>
      <c r="AH1847" s="11" t="str">
        <f>IF(I1847&lt;&gt;"",VLOOKUP(AP1847,KvB!$A$2:$B$3,2,FALSE),"")</f>
        <v>BE101000</v>
      </c>
      <c r="AI1847" s="11" t="s">
        <v>55</v>
      </c>
      <c r="AJ1847" s="11"/>
      <c r="AK1847" s="11"/>
      <c r="AL1847" s="11"/>
      <c r="AM1847" s="11"/>
      <c r="AN1847" s="11"/>
      <c r="AO1847" s="11"/>
      <c r="AP1847" s="2" t="s">
        <v>70</v>
      </c>
      <c r="AQ1847" s="11" t="str">
        <f>IF(I1847&lt;&gt;"",DATA!D1846,"")</f>
        <v>9506919000</v>
      </c>
    </row>
    <row r="1848" spans="1:43" ht="15.75" x14ac:dyDescent="0.25">
      <c r="A1848" s="11" t="s">
        <v>57</v>
      </c>
      <c r="B1848" s="11" t="s">
        <v>56</v>
      </c>
      <c r="C1848" s="22">
        <f t="shared" si="118"/>
        <v>25001620</v>
      </c>
      <c r="D1848" s="11" t="str">
        <f t="shared" si="119"/>
        <v>SKIIFM_AT</v>
      </c>
      <c r="E1848" s="11" t="str">
        <f>IF(I1848&lt;&gt;"",VLOOKUP(F1848,OPDRACHTGEVER!$A$2:$B$4,2,FALSE),"")</f>
        <v>SKIIFM_AT</v>
      </c>
      <c r="F1848" s="11" t="s">
        <v>58</v>
      </c>
      <c r="I1848" s="11" t="str">
        <f>IF(DATA!B1847&lt;&gt;"",DATA!B1847,"")</f>
        <v>MSMU5266197</v>
      </c>
      <c r="J1848" s="12">
        <v>0</v>
      </c>
      <c r="K1848" s="11" t="s">
        <v>53</v>
      </c>
      <c r="L1848" s="11" t="str">
        <f t="shared" si="120"/>
        <v>741920</v>
      </c>
      <c r="M1848" s="11" t="str">
        <f>IF(I1848&lt;&gt;"",DATA!E1847,"")</f>
        <v>INNER CORE CABLE</v>
      </c>
      <c r="N1848" s="12">
        <v>0</v>
      </c>
      <c r="O1848" s="11">
        <f>IF(I1848&lt;&gt;"",DATA!C1847,"")</f>
        <v>75.36</v>
      </c>
      <c r="P1848" s="2">
        <v>294094</v>
      </c>
      <c r="Q1848" s="2" t="s">
        <v>1304</v>
      </c>
      <c r="R1848" s="2" t="s">
        <v>1340</v>
      </c>
      <c r="S1848" s="2">
        <v>2</v>
      </c>
      <c r="T1848" s="2">
        <v>1</v>
      </c>
      <c r="U1848" s="2" t="s">
        <v>141</v>
      </c>
      <c r="Y1848" s="2">
        <v>1700</v>
      </c>
      <c r="Z1848" s="11" t="s">
        <v>54</v>
      </c>
      <c r="AA1848" s="11" t="str">
        <f t="shared" si="121"/>
        <v>1700 - TBN</v>
      </c>
      <c r="AC1848" s="2" t="s">
        <v>145</v>
      </c>
      <c r="AD1848" s="11" t="str">
        <f>IF($I1848&lt;&gt;"",VLOOKUP($AC1848,GEADRESSEERDE!$A$2:$E$4,2,),"")</f>
        <v>LUITHAGEN HAVEN 2 D</v>
      </c>
      <c r="AE1848" s="11">
        <f>IF($I1848&lt;&gt;"",VLOOKUP($AC1848,GEADRESSEERDE!$A$2:$E$4,3,),"")</f>
        <v>2030</v>
      </c>
      <c r="AF1848" s="11" t="str">
        <f>IF($I1848&lt;&gt;"",VLOOKUP($AC1848,GEADRESSEERDE!$A$2:$E$4,4,),"")</f>
        <v>ANTWERPEN</v>
      </c>
      <c r="AG1848" s="11" t="str">
        <f>IF($I1848&lt;&gt;"",VLOOKUP($AC1848,GEADRESSEERDE!$A$2:$E$4,5,),"")</f>
        <v>BE</v>
      </c>
      <c r="AH1848" s="11" t="str">
        <f>IF(I1848&lt;&gt;"",VLOOKUP(AP1848,KvB!$A$2:$B$3,2,FALSE),"")</f>
        <v>BE101000</v>
      </c>
      <c r="AI1848" s="11" t="s">
        <v>55</v>
      </c>
      <c r="AJ1848" s="11"/>
      <c r="AK1848" s="11"/>
      <c r="AL1848" s="11"/>
      <c r="AM1848" s="11"/>
      <c r="AN1848" s="11"/>
      <c r="AO1848" s="11"/>
      <c r="AP1848" s="2" t="s">
        <v>70</v>
      </c>
      <c r="AQ1848" s="11" t="str">
        <f>IF(I1848&lt;&gt;"",DATA!D1847,"")</f>
        <v>7419200090</v>
      </c>
    </row>
    <row r="1849" spans="1:43" ht="15.75" x14ac:dyDescent="0.25">
      <c r="A1849" s="11" t="s">
        <v>57</v>
      </c>
      <c r="B1849" s="11" t="s">
        <v>56</v>
      </c>
      <c r="C1849" s="22">
        <f t="shared" si="118"/>
        <v>25001620</v>
      </c>
      <c r="D1849" s="11" t="str">
        <f t="shared" si="119"/>
        <v>SKIIFM_AT</v>
      </c>
      <c r="E1849" s="11" t="str">
        <f>IF(I1849&lt;&gt;"",VLOOKUP(F1849,OPDRACHTGEVER!$A$2:$B$4,2,FALSE),"")</f>
        <v>SKIIFM_AT</v>
      </c>
      <c r="F1849" s="11" t="s">
        <v>58</v>
      </c>
      <c r="I1849" s="11" t="str">
        <f>IF(DATA!B1848&lt;&gt;"",DATA!B1848,"")</f>
        <v>MSMU5266197</v>
      </c>
      <c r="J1849" s="12">
        <v>0</v>
      </c>
      <c r="K1849" s="11" t="s">
        <v>53</v>
      </c>
      <c r="L1849" s="11" t="str">
        <f t="shared" si="120"/>
        <v>842549</v>
      </c>
      <c r="M1849" s="11" t="str">
        <f>IF(I1849&lt;&gt;"",DATA!E1848,"")</f>
        <v>JACK</v>
      </c>
      <c r="N1849" s="12">
        <v>0</v>
      </c>
      <c r="O1849" s="11">
        <f>IF(I1849&lt;&gt;"",DATA!C1848,"")</f>
        <v>3683.58</v>
      </c>
      <c r="P1849" s="2">
        <v>294094</v>
      </c>
      <c r="Q1849" s="2" t="s">
        <v>1304</v>
      </c>
      <c r="R1849" s="2" t="s">
        <v>1340</v>
      </c>
      <c r="S1849" s="2">
        <v>2</v>
      </c>
      <c r="T1849" s="2">
        <v>1</v>
      </c>
      <c r="U1849" s="2" t="s">
        <v>141</v>
      </c>
      <c r="Y1849" s="2">
        <v>1700</v>
      </c>
      <c r="Z1849" s="11" t="s">
        <v>54</v>
      </c>
      <c r="AA1849" s="11" t="str">
        <f t="shared" si="121"/>
        <v>1700 - TBN</v>
      </c>
      <c r="AC1849" s="2" t="s">
        <v>145</v>
      </c>
      <c r="AD1849" s="11" t="str">
        <f>IF($I1849&lt;&gt;"",VLOOKUP($AC1849,GEADRESSEERDE!$A$2:$E$4,2,),"")</f>
        <v>LUITHAGEN HAVEN 2 D</v>
      </c>
      <c r="AE1849" s="11">
        <f>IF($I1849&lt;&gt;"",VLOOKUP($AC1849,GEADRESSEERDE!$A$2:$E$4,3,),"")</f>
        <v>2030</v>
      </c>
      <c r="AF1849" s="11" t="str">
        <f>IF($I1849&lt;&gt;"",VLOOKUP($AC1849,GEADRESSEERDE!$A$2:$E$4,4,),"")</f>
        <v>ANTWERPEN</v>
      </c>
      <c r="AG1849" s="11" t="str">
        <f>IF($I1849&lt;&gt;"",VLOOKUP($AC1849,GEADRESSEERDE!$A$2:$E$4,5,),"")</f>
        <v>BE</v>
      </c>
      <c r="AH1849" s="11" t="str">
        <f>IF(I1849&lt;&gt;"",VLOOKUP(AP1849,KvB!$A$2:$B$3,2,FALSE),"")</f>
        <v>BE101000</v>
      </c>
      <c r="AI1849" s="11" t="s">
        <v>55</v>
      </c>
      <c r="AJ1849" s="11"/>
      <c r="AK1849" s="11"/>
      <c r="AL1849" s="11"/>
      <c r="AM1849" s="11"/>
      <c r="AN1849" s="11"/>
      <c r="AO1849" s="11"/>
      <c r="AP1849" s="2" t="s">
        <v>70</v>
      </c>
      <c r="AQ1849" s="11" t="str">
        <f>IF(I1849&lt;&gt;"",DATA!D1848,"")</f>
        <v>8425490000</v>
      </c>
    </row>
    <row r="1850" spans="1:43" ht="15.75" x14ac:dyDescent="0.25">
      <c r="A1850" s="11" t="s">
        <v>57</v>
      </c>
      <c r="B1850" s="11" t="s">
        <v>56</v>
      </c>
      <c r="C1850" s="22">
        <f t="shared" si="118"/>
        <v>25001620</v>
      </c>
      <c r="D1850" s="11" t="str">
        <f t="shared" si="119"/>
        <v>SKIIFM_AT</v>
      </c>
      <c r="E1850" s="11" t="str">
        <f>IF(I1850&lt;&gt;"",VLOOKUP(F1850,OPDRACHTGEVER!$A$2:$B$4,2,FALSE),"")</f>
        <v>SKIIFM_AT</v>
      </c>
      <c r="F1850" s="11" t="s">
        <v>58</v>
      </c>
      <c r="I1850" s="11" t="str">
        <f>IF(DATA!B1849&lt;&gt;"",DATA!B1849,"")</f>
        <v>MSMU5266197</v>
      </c>
      <c r="J1850" s="12">
        <v>0</v>
      </c>
      <c r="K1850" s="11" t="s">
        <v>53</v>
      </c>
      <c r="L1850" s="11" t="str">
        <f t="shared" si="120"/>
        <v>846620</v>
      </c>
      <c r="M1850" s="11" t="str">
        <f>IF(I1850&lt;&gt;"",DATA!E1849,"")</f>
        <v>LATHE CHUCK</v>
      </c>
      <c r="N1850" s="12">
        <v>0</v>
      </c>
      <c r="O1850" s="11">
        <f>IF(I1850&lt;&gt;"",DATA!C1849,"")</f>
        <v>42.66</v>
      </c>
      <c r="P1850" s="2">
        <v>294094</v>
      </c>
      <c r="Q1850" s="2" t="s">
        <v>1304</v>
      </c>
      <c r="R1850" s="2" t="s">
        <v>1340</v>
      </c>
      <c r="S1850" s="2">
        <v>2</v>
      </c>
      <c r="T1850" s="2">
        <v>1</v>
      </c>
      <c r="U1850" s="2" t="s">
        <v>141</v>
      </c>
      <c r="Y1850" s="2">
        <v>1700</v>
      </c>
      <c r="Z1850" s="11" t="s">
        <v>54</v>
      </c>
      <c r="AA1850" s="11" t="str">
        <f t="shared" si="121"/>
        <v>1700 - TBN</v>
      </c>
      <c r="AC1850" s="2" t="s">
        <v>145</v>
      </c>
      <c r="AD1850" s="11" t="str">
        <f>IF($I1850&lt;&gt;"",VLOOKUP($AC1850,GEADRESSEERDE!$A$2:$E$4,2,),"")</f>
        <v>LUITHAGEN HAVEN 2 D</v>
      </c>
      <c r="AE1850" s="11">
        <f>IF($I1850&lt;&gt;"",VLOOKUP($AC1850,GEADRESSEERDE!$A$2:$E$4,3,),"")</f>
        <v>2030</v>
      </c>
      <c r="AF1850" s="11" t="str">
        <f>IF($I1850&lt;&gt;"",VLOOKUP($AC1850,GEADRESSEERDE!$A$2:$E$4,4,),"")</f>
        <v>ANTWERPEN</v>
      </c>
      <c r="AG1850" s="11" t="str">
        <f>IF($I1850&lt;&gt;"",VLOOKUP($AC1850,GEADRESSEERDE!$A$2:$E$4,5,),"")</f>
        <v>BE</v>
      </c>
      <c r="AH1850" s="11" t="str">
        <f>IF(I1850&lt;&gt;"",VLOOKUP(AP1850,KvB!$A$2:$B$3,2,FALSE),"")</f>
        <v>BE101000</v>
      </c>
      <c r="AI1850" s="11" t="s">
        <v>55</v>
      </c>
      <c r="AJ1850" s="11"/>
      <c r="AK1850" s="11"/>
      <c r="AL1850" s="11"/>
      <c r="AM1850" s="11"/>
      <c r="AN1850" s="11"/>
      <c r="AO1850" s="11"/>
      <c r="AP1850" s="2" t="s">
        <v>70</v>
      </c>
      <c r="AQ1850" s="11" t="str">
        <f>IF(I1850&lt;&gt;"",DATA!D1849,"")</f>
        <v>8466202000</v>
      </c>
    </row>
    <row r="1851" spans="1:43" ht="15.75" x14ac:dyDescent="0.25">
      <c r="A1851" s="11" t="s">
        <v>57</v>
      </c>
      <c r="B1851" s="11" t="s">
        <v>56</v>
      </c>
      <c r="C1851" s="22">
        <f t="shared" si="118"/>
        <v>25001620</v>
      </c>
      <c r="D1851" s="11" t="str">
        <f t="shared" si="119"/>
        <v>SKIIFM_AT</v>
      </c>
      <c r="E1851" s="11" t="str">
        <f>IF(I1851&lt;&gt;"",VLOOKUP(F1851,OPDRACHTGEVER!$A$2:$B$4,2,FALSE),"")</f>
        <v>SKIIFM_AT</v>
      </c>
      <c r="F1851" s="11" t="s">
        <v>58</v>
      </c>
      <c r="I1851" s="11" t="str">
        <f>IF(DATA!B1850&lt;&gt;"",DATA!B1850,"")</f>
        <v>MSMU5266197</v>
      </c>
      <c r="J1851" s="12">
        <v>0</v>
      </c>
      <c r="K1851" s="11" t="s">
        <v>53</v>
      </c>
      <c r="L1851" s="11" t="str">
        <f t="shared" si="120"/>
        <v>842519</v>
      </c>
      <c r="M1851" s="11" t="str">
        <f>IF(I1851&lt;&gt;"",DATA!E1850,"")</f>
        <v>LIFTING BLOCK</v>
      </c>
      <c r="N1851" s="12">
        <v>0</v>
      </c>
      <c r="O1851" s="11">
        <f>IF(I1851&lt;&gt;"",DATA!C1850,"")</f>
        <v>8.5</v>
      </c>
      <c r="P1851" s="2">
        <v>294094</v>
      </c>
      <c r="Q1851" s="2" t="s">
        <v>1304</v>
      </c>
      <c r="R1851" s="2" t="s">
        <v>1340</v>
      </c>
      <c r="S1851" s="2">
        <v>2</v>
      </c>
      <c r="T1851" s="2">
        <v>1</v>
      </c>
      <c r="U1851" s="2" t="s">
        <v>141</v>
      </c>
      <c r="Y1851" s="2">
        <v>1700</v>
      </c>
      <c r="Z1851" s="11" t="s">
        <v>54</v>
      </c>
      <c r="AA1851" s="11" t="str">
        <f t="shared" si="121"/>
        <v>1700 - TBN</v>
      </c>
      <c r="AC1851" s="2" t="s">
        <v>145</v>
      </c>
      <c r="AD1851" s="11" t="str">
        <f>IF($I1851&lt;&gt;"",VLOOKUP($AC1851,GEADRESSEERDE!$A$2:$E$4,2,),"")</f>
        <v>LUITHAGEN HAVEN 2 D</v>
      </c>
      <c r="AE1851" s="11">
        <f>IF($I1851&lt;&gt;"",VLOOKUP($AC1851,GEADRESSEERDE!$A$2:$E$4,3,),"")</f>
        <v>2030</v>
      </c>
      <c r="AF1851" s="11" t="str">
        <f>IF($I1851&lt;&gt;"",VLOOKUP($AC1851,GEADRESSEERDE!$A$2:$E$4,4,),"")</f>
        <v>ANTWERPEN</v>
      </c>
      <c r="AG1851" s="11" t="str">
        <f>IF($I1851&lt;&gt;"",VLOOKUP($AC1851,GEADRESSEERDE!$A$2:$E$4,5,),"")</f>
        <v>BE</v>
      </c>
      <c r="AH1851" s="11" t="str">
        <f>IF(I1851&lt;&gt;"",VLOOKUP(AP1851,KvB!$A$2:$B$3,2,FALSE),"")</f>
        <v>BE101000</v>
      </c>
      <c r="AI1851" s="11" t="s">
        <v>55</v>
      </c>
      <c r="AJ1851" s="11"/>
      <c r="AK1851" s="11"/>
      <c r="AL1851" s="11"/>
      <c r="AM1851" s="11"/>
      <c r="AN1851" s="11"/>
      <c r="AO1851" s="11"/>
      <c r="AP1851" s="2" t="s">
        <v>70</v>
      </c>
      <c r="AQ1851" s="11" t="str">
        <f>IF(I1851&lt;&gt;"",DATA!D1850,"")</f>
        <v>8425190000</v>
      </c>
    </row>
    <row r="1852" spans="1:43" ht="15.75" x14ac:dyDescent="0.25">
      <c r="A1852" s="11" t="s">
        <v>57</v>
      </c>
      <c r="B1852" s="11" t="s">
        <v>56</v>
      </c>
      <c r="C1852" s="22">
        <f t="shared" si="118"/>
        <v>25001620</v>
      </c>
      <c r="D1852" s="11" t="str">
        <f t="shared" si="119"/>
        <v>SKIIFM_AT</v>
      </c>
      <c r="E1852" s="11" t="str">
        <f>IF(I1852&lt;&gt;"",VLOOKUP(F1852,OPDRACHTGEVER!$A$2:$B$4,2,FALSE),"")</f>
        <v>SKIIFM_AT</v>
      </c>
      <c r="F1852" s="11" t="s">
        <v>58</v>
      </c>
      <c r="I1852" s="11" t="str">
        <f>IF(DATA!B1851&lt;&gt;"",DATA!B1851,"")</f>
        <v>MSMU5266197</v>
      </c>
      <c r="J1852" s="12">
        <v>0</v>
      </c>
      <c r="K1852" s="11" t="s">
        <v>53</v>
      </c>
      <c r="L1852" s="11" t="str">
        <f t="shared" si="120"/>
        <v>741920</v>
      </c>
      <c r="M1852" s="11" t="str">
        <f>IF(I1852&lt;&gt;"",DATA!E1851,"")</f>
        <v>LOG TONGS</v>
      </c>
      <c r="N1852" s="12">
        <v>0</v>
      </c>
      <c r="O1852" s="11">
        <f>IF(I1852&lt;&gt;"",DATA!C1851,"")</f>
        <v>407.46</v>
      </c>
      <c r="P1852" s="2">
        <v>294094</v>
      </c>
      <c r="Q1852" s="2" t="s">
        <v>1304</v>
      </c>
      <c r="R1852" s="2" t="s">
        <v>1340</v>
      </c>
      <c r="S1852" s="2">
        <v>2</v>
      </c>
      <c r="T1852" s="2">
        <v>1</v>
      </c>
      <c r="U1852" s="2" t="s">
        <v>141</v>
      </c>
      <c r="Y1852" s="2">
        <v>1700</v>
      </c>
      <c r="Z1852" s="11" t="s">
        <v>54</v>
      </c>
      <c r="AA1852" s="11" t="str">
        <f t="shared" si="121"/>
        <v>1700 - TBN</v>
      </c>
      <c r="AC1852" s="2" t="s">
        <v>145</v>
      </c>
      <c r="AD1852" s="11" t="str">
        <f>IF($I1852&lt;&gt;"",VLOOKUP($AC1852,GEADRESSEERDE!$A$2:$E$4,2,),"")</f>
        <v>LUITHAGEN HAVEN 2 D</v>
      </c>
      <c r="AE1852" s="11">
        <f>IF($I1852&lt;&gt;"",VLOOKUP($AC1852,GEADRESSEERDE!$A$2:$E$4,3,),"")</f>
        <v>2030</v>
      </c>
      <c r="AF1852" s="11" t="str">
        <f>IF($I1852&lt;&gt;"",VLOOKUP($AC1852,GEADRESSEERDE!$A$2:$E$4,4,),"")</f>
        <v>ANTWERPEN</v>
      </c>
      <c r="AG1852" s="11" t="str">
        <f>IF($I1852&lt;&gt;"",VLOOKUP($AC1852,GEADRESSEERDE!$A$2:$E$4,5,),"")</f>
        <v>BE</v>
      </c>
      <c r="AH1852" s="11" t="str">
        <f>IF(I1852&lt;&gt;"",VLOOKUP(AP1852,KvB!$A$2:$B$3,2,FALSE),"")</f>
        <v>BE101000</v>
      </c>
      <c r="AI1852" s="11" t="s">
        <v>55</v>
      </c>
      <c r="AJ1852" s="11"/>
      <c r="AK1852" s="11"/>
      <c r="AL1852" s="11"/>
      <c r="AM1852" s="11"/>
      <c r="AN1852" s="11"/>
      <c r="AO1852" s="11"/>
      <c r="AP1852" s="2" t="s">
        <v>70</v>
      </c>
      <c r="AQ1852" s="11" t="str">
        <f>IF(I1852&lt;&gt;"",DATA!D1851,"")</f>
        <v>7419200090</v>
      </c>
    </row>
    <row r="1853" spans="1:43" ht="15.75" x14ac:dyDescent="0.25">
      <c r="A1853" s="11" t="s">
        <v>57</v>
      </c>
      <c r="B1853" s="11" t="s">
        <v>56</v>
      </c>
      <c r="C1853" s="22">
        <f t="shared" si="118"/>
        <v>25001620</v>
      </c>
      <c r="D1853" s="11" t="str">
        <f t="shared" si="119"/>
        <v>SKIIFM_AT</v>
      </c>
      <c r="E1853" s="11" t="str">
        <f>IF(I1853&lt;&gt;"",VLOOKUP(F1853,OPDRACHTGEVER!$A$2:$B$4,2,FALSE),"")</f>
        <v>SKIIFM_AT</v>
      </c>
      <c r="F1853" s="11" t="s">
        <v>58</v>
      </c>
      <c r="I1853" s="11" t="str">
        <f>IF(DATA!B1852&lt;&gt;"",DATA!B1852,"")</f>
        <v>MSMU5266197</v>
      </c>
      <c r="J1853" s="12">
        <v>0</v>
      </c>
      <c r="K1853" s="11" t="s">
        <v>53</v>
      </c>
      <c r="L1853" s="11" t="str">
        <f t="shared" si="120"/>
        <v>847982</v>
      </c>
      <c r="M1853" s="11" t="str">
        <f>IF(I1853&lt;&gt;"",DATA!E1852,"")</f>
        <v>MAGNETIC STIRRER</v>
      </c>
      <c r="N1853" s="12">
        <v>0</v>
      </c>
      <c r="O1853" s="11">
        <f>IF(I1853&lt;&gt;"",DATA!C1852,"")</f>
        <v>16.84</v>
      </c>
      <c r="P1853" s="2">
        <v>294094</v>
      </c>
      <c r="Q1853" s="2" t="s">
        <v>1304</v>
      </c>
      <c r="R1853" s="2" t="s">
        <v>1340</v>
      </c>
      <c r="S1853" s="2">
        <v>2</v>
      </c>
      <c r="T1853" s="2">
        <v>1</v>
      </c>
      <c r="U1853" s="2" t="s">
        <v>141</v>
      </c>
      <c r="Y1853" s="2">
        <v>1700</v>
      </c>
      <c r="Z1853" s="11" t="s">
        <v>54</v>
      </c>
      <c r="AA1853" s="11" t="str">
        <f t="shared" si="121"/>
        <v>1700 - TBN</v>
      </c>
      <c r="AC1853" s="2" t="s">
        <v>145</v>
      </c>
      <c r="AD1853" s="11" t="str">
        <f>IF($I1853&lt;&gt;"",VLOOKUP($AC1853,GEADRESSEERDE!$A$2:$E$4,2,),"")</f>
        <v>LUITHAGEN HAVEN 2 D</v>
      </c>
      <c r="AE1853" s="11">
        <f>IF($I1853&lt;&gt;"",VLOOKUP($AC1853,GEADRESSEERDE!$A$2:$E$4,3,),"")</f>
        <v>2030</v>
      </c>
      <c r="AF1853" s="11" t="str">
        <f>IF($I1853&lt;&gt;"",VLOOKUP($AC1853,GEADRESSEERDE!$A$2:$E$4,4,),"")</f>
        <v>ANTWERPEN</v>
      </c>
      <c r="AG1853" s="11" t="str">
        <f>IF($I1853&lt;&gt;"",VLOOKUP($AC1853,GEADRESSEERDE!$A$2:$E$4,5,),"")</f>
        <v>BE</v>
      </c>
      <c r="AH1853" s="11" t="str">
        <f>IF(I1853&lt;&gt;"",VLOOKUP(AP1853,KvB!$A$2:$B$3,2,FALSE),"")</f>
        <v>BE101000</v>
      </c>
      <c r="AI1853" s="11" t="s">
        <v>55</v>
      </c>
      <c r="AJ1853" s="11"/>
      <c r="AK1853" s="11"/>
      <c r="AL1853" s="11"/>
      <c r="AM1853" s="11"/>
      <c r="AN1853" s="11"/>
      <c r="AO1853" s="11"/>
      <c r="AP1853" s="2" t="s">
        <v>70</v>
      </c>
      <c r="AQ1853" s="11" t="str">
        <f>IF(I1853&lt;&gt;"",DATA!D1852,"")</f>
        <v>8479820000</v>
      </c>
    </row>
    <row r="1854" spans="1:43" ht="15.75" x14ac:dyDescent="0.25">
      <c r="A1854" s="11" t="s">
        <v>57</v>
      </c>
      <c r="B1854" s="11" t="s">
        <v>56</v>
      </c>
      <c r="C1854" s="22">
        <f t="shared" si="118"/>
        <v>25001620</v>
      </c>
      <c r="D1854" s="11" t="str">
        <f t="shared" si="119"/>
        <v>SKIIFM_AT</v>
      </c>
      <c r="E1854" s="11" t="str">
        <f>IF(I1854&lt;&gt;"",VLOOKUP(F1854,OPDRACHTGEVER!$A$2:$B$4,2,FALSE),"")</f>
        <v>SKIIFM_AT</v>
      </c>
      <c r="F1854" s="11" t="s">
        <v>58</v>
      </c>
      <c r="I1854" s="11" t="str">
        <f>IF(DATA!B1853&lt;&gt;"",DATA!B1853,"")</f>
        <v>MSMU5266197</v>
      </c>
      <c r="J1854" s="12">
        <v>0</v>
      </c>
      <c r="K1854" s="11" t="s">
        <v>53</v>
      </c>
      <c r="L1854" s="11" t="str">
        <f t="shared" si="120"/>
        <v>846229</v>
      </c>
      <c r="M1854" s="11" t="str">
        <f>IF(I1854&lt;&gt;"",DATA!E1853,"")</f>
        <v>MANUAL PIPE BENDER</v>
      </c>
      <c r="N1854" s="12">
        <v>0</v>
      </c>
      <c r="O1854" s="11">
        <f>IF(I1854&lt;&gt;"",DATA!C1853,"")</f>
        <v>28.74</v>
      </c>
      <c r="P1854" s="2">
        <v>294094</v>
      </c>
      <c r="Q1854" s="2" t="s">
        <v>1304</v>
      </c>
      <c r="R1854" s="2" t="s">
        <v>1340</v>
      </c>
      <c r="S1854" s="2">
        <v>2</v>
      </c>
      <c r="T1854" s="2">
        <v>1</v>
      </c>
      <c r="U1854" s="2" t="s">
        <v>141</v>
      </c>
      <c r="Y1854" s="2">
        <v>1700</v>
      </c>
      <c r="Z1854" s="11" t="s">
        <v>54</v>
      </c>
      <c r="AA1854" s="11" t="str">
        <f t="shared" si="121"/>
        <v>1700 - TBN</v>
      </c>
      <c r="AC1854" s="2" t="s">
        <v>145</v>
      </c>
      <c r="AD1854" s="11" t="str">
        <f>IF($I1854&lt;&gt;"",VLOOKUP($AC1854,GEADRESSEERDE!$A$2:$E$4,2,),"")</f>
        <v>LUITHAGEN HAVEN 2 D</v>
      </c>
      <c r="AE1854" s="11">
        <f>IF($I1854&lt;&gt;"",VLOOKUP($AC1854,GEADRESSEERDE!$A$2:$E$4,3,),"")</f>
        <v>2030</v>
      </c>
      <c r="AF1854" s="11" t="str">
        <f>IF($I1854&lt;&gt;"",VLOOKUP($AC1854,GEADRESSEERDE!$A$2:$E$4,4,),"")</f>
        <v>ANTWERPEN</v>
      </c>
      <c r="AG1854" s="11" t="str">
        <f>IF($I1854&lt;&gt;"",VLOOKUP($AC1854,GEADRESSEERDE!$A$2:$E$4,5,),"")</f>
        <v>BE</v>
      </c>
      <c r="AH1854" s="11" t="str">
        <f>IF(I1854&lt;&gt;"",VLOOKUP(AP1854,KvB!$A$2:$B$3,2,FALSE),"")</f>
        <v>BE101000</v>
      </c>
      <c r="AI1854" s="11" t="s">
        <v>55</v>
      </c>
      <c r="AJ1854" s="11"/>
      <c r="AK1854" s="11"/>
      <c r="AL1854" s="11"/>
      <c r="AM1854" s="11"/>
      <c r="AN1854" s="11"/>
      <c r="AO1854" s="11"/>
      <c r="AP1854" s="2" t="s">
        <v>70</v>
      </c>
      <c r="AQ1854" s="11" t="str">
        <f>IF(I1854&lt;&gt;"",DATA!D1853,"")</f>
        <v>8462290000</v>
      </c>
    </row>
    <row r="1855" spans="1:43" ht="15.75" x14ac:dyDescent="0.25">
      <c r="A1855" s="11" t="s">
        <v>57</v>
      </c>
      <c r="B1855" s="11" t="s">
        <v>56</v>
      </c>
      <c r="C1855" s="22">
        <f t="shared" si="118"/>
        <v>25001620</v>
      </c>
      <c r="D1855" s="11" t="str">
        <f t="shared" si="119"/>
        <v>SKIIFM_AT</v>
      </c>
      <c r="E1855" s="11" t="str">
        <f>IF(I1855&lt;&gt;"",VLOOKUP(F1855,OPDRACHTGEVER!$A$2:$B$4,2,FALSE),"")</f>
        <v>SKIIFM_AT</v>
      </c>
      <c r="F1855" s="11" t="s">
        <v>58</v>
      </c>
      <c r="I1855" s="11" t="str">
        <f>IF(DATA!B1854&lt;&gt;"",DATA!B1854,"")</f>
        <v>MSMU5266197</v>
      </c>
      <c r="J1855" s="12">
        <v>0</v>
      </c>
      <c r="K1855" s="11" t="s">
        <v>53</v>
      </c>
      <c r="L1855" s="11" t="str">
        <f t="shared" si="120"/>
        <v>741920</v>
      </c>
      <c r="M1855" s="11" t="str">
        <f>IF(I1855&lt;&gt;"",DATA!E1854,"")</f>
        <v>MESH COVER</v>
      </c>
      <c r="N1855" s="12">
        <v>0</v>
      </c>
      <c r="O1855" s="11">
        <f>IF(I1855&lt;&gt;"",DATA!C1854,"")</f>
        <v>8.76</v>
      </c>
      <c r="P1855" s="2">
        <v>294094</v>
      </c>
      <c r="Q1855" s="2" t="s">
        <v>1304</v>
      </c>
      <c r="R1855" s="2" t="s">
        <v>1340</v>
      </c>
      <c r="S1855" s="2">
        <v>2</v>
      </c>
      <c r="T1855" s="2">
        <v>1</v>
      </c>
      <c r="U1855" s="2" t="s">
        <v>141</v>
      </c>
      <c r="Y1855" s="2">
        <v>1700</v>
      </c>
      <c r="Z1855" s="11" t="s">
        <v>54</v>
      </c>
      <c r="AA1855" s="11" t="str">
        <f t="shared" si="121"/>
        <v>1700 - TBN</v>
      </c>
      <c r="AC1855" s="2" t="s">
        <v>145</v>
      </c>
      <c r="AD1855" s="11" t="str">
        <f>IF($I1855&lt;&gt;"",VLOOKUP($AC1855,GEADRESSEERDE!$A$2:$E$4,2,),"")</f>
        <v>LUITHAGEN HAVEN 2 D</v>
      </c>
      <c r="AE1855" s="11">
        <f>IF($I1855&lt;&gt;"",VLOOKUP($AC1855,GEADRESSEERDE!$A$2:$E$4,3,),"")</f>
        <v>2030</v>
      </c>
      <c r="AF1855" s="11" t="str">
        <f>IF($I1855&lt;&gt;"",VLOOKUP($AC1855,GEADRESSEERDE!$A$2:$E$4,4,),"")</f>
        <v>ANTWERPEN</v>
      </c>
      <c r="AG1855" s="11" t="str">
        <f>IF($I1855&lt;&gt;"",VLOOKUP($AC1855,GEADRESSEERDE!$A$2:$E$4,5,),"")</f>
        <v>BE</v>
      </c>
      <c r="AH1855" s="11" t="str">
        <f>IF(I1855&lt;&gt;"",VLOOKUP(AP1855,KvB!$A$2:$B$3,2,FALSE),"")</f>
        <v>BE101000</v>
      </c>
      <c r="AI1855" s="11" t="s">
        <v>55</v>
      </c>
      <c r="AJ1855" s="11"/>
      <c r="AK1855" s="11"/>
      <c r="AL1855" s="11"/>
      <c r="AM1855" s="11"/>
      <c r="AN1855" s="11"/>
      <c r="AO1855" s="11"/>
      <c r="AP1855" s="2" t="s">
        <v>70</v>
      </c>
      <c r="AQ1855" s="11" t="str">
        <f>IF(I1855&lt;&gt;"",DATA!D1854,"")</f>
        <v>7419200090</v>
      </c>
    </row>
    <row r="1856" spans="1:43" ht="15.75" x14ac:dyDescent="0.25">
      <c r="A1856" s="11" t="s">
        <v>57</v>
      </c>
      <c r="B1856" s="11" t="s">
        <v>56</v>
      </c>
      <c r="C1856" s="22">
        <f t="shared" si="118"/>
        <v>25001620</v>
      </c>
      <c r="D1856" s="11" t="str">
        <f t="shared" si="119"/>
        <v>SKIIFM_AT</v>
      </c>
      <c r="E1856" s="11" t="str">
        <f>IF(I1856&lt;&gt;"",VLOOKUP(F1856,OPDRACHTGEVER!$A$2:$B$4,2,FALSE),"")</f>
        <v>SKIIFM_AT</v>
      </c>
      <c r="F1856" s="11" t="s">
        <v>58</v>
      </c>
      <c r="I1856" s="11" t="str">
        <f>IF(DATA!B1855&lt;&gt;"",DATA!B1855,"")</f>
        <v>MSMU5266197</v>
      </c>
      <c r="J1856" s="12">
        <v>0</v>
      </c>
      <c r="K1856" s="11" t="s">
        <v>53</v>
      </c>
      <c r="L1856" s="11" t="str">
        <f t="shared" si="120"/>
        <v>853890</v>
      </c>
      <c r="M1856" s="11" t="str">
        <f>IF(I1856&lt;&gt;"",DATA!E1855,"")</f>
        <v>METAL ELECTRICAL CABINET</v>
      </c>
      <c r="N1856" s="12">
        <v>0</v>
      </c>
      <c r="O1856" s="11">
        <f>IF(I1856&lt;&gt;"",DATA!C1855,"")</f>
        <v>85.43</v>
      </c>
      <c r="P1856" s="2">
        <v>294094</v>
      </c>
      <c r="Q1856" s="2" t="s">
        <v>1304</v>
      </c>
      <c r="R1856" s="2" t="s">
        <v>1340</v>
      </c>
      <c r="S1856" s="2">
        <v>2</v>
      </c>
      <c r="T1856" s="2">
        <v>1</v>
      </c>
      <c r="U1856" s="2" t="s">
        <v>141</v>
      </c>
      <c r="Y1856" s="2">
        <v>1700</v>
      </c>
      <c r="Z1856" s="11" t="s">
        <v>54</v>
      </c>
      <c r="AA1856" s="11" t="str">
        <f t="shared" si="121"/>
        <v>1700 - TBN</v>
      </c>
      <c r="AC1856" s="2" t="s">
        <v>145</v>
      </c>
      <c r="AD1856" s="11" t="str">
        <f>IF($I1856&lt;&gt;"",VLOOKUP($AC1856,GEADRESSEERDE!$A$2:$E$4,2,),"")</f>
        <v>LUITHAGEN HAVEN 2 D</v>
      </c>
      <c r="AE1856" s="11">
        <f>IF($I1856&lt;&gt;"",VLOOKUP($AC1856,GEADRESSEERDE!$A$2:$E$4,3,),"")</f>
        <v>2030</v>
      </c>
      <c r="AF1856" s="11" t="str">
        <f>IF($I1856&lt;&gt;"",VLOOKUP($AC1856,GEADRESSEERDE!$A$2:$E$4,4,),"")</f>
        <v>ANTWERPEN</v>
      </c>
      <c r="AG1856" s="11" t="str">
        <f>IF($I1856&lt;&gt;"",VLOOKUP($AC1856,GEADRESSEERDE!$A$2:$E$4,5,),"")</f>
        <v>BE</v>
      </c>
      <c r="AH1856" s="11" t="str">
        <f>IF(I1856&lt;&gt;"",VLOOKUP(AP1856,KvB!$A$2:$B$3,2,FALSE),"")</f>
        <v>BE101000</v>
      </c>
      <c r="AI1856" s="11" t="s">
        <v>55</v>
      </c>
      <c r="AJ1856" s="11"/>
      <c r="AK1856" s="11"/>
      <c r="AL1856" s="11"/>
      <c r="AM1856" s="11"/>
      <c r="AN1856" s="11"/>
      <c r="AO1856" s="11"/>
      <c r="AP1856" s="2" t="s">
        <v>70</v>
      </c>
      <c r="AQ1856" s="11" t="str">
        <f>IF(I1856&lt;&gt;"",DATA!D1855,"")</f>
        <v>8538909999</v>
      </c>
    </row>
    <row r="1857" spans="1:43" ht="15.75" x14ac:dyDescent="0.25">
      <c r="A1857" s="11" t="s">
        <v>57</v>
      </c>
      <c r="B1857" s="11" t="s">
        <v>56</v>
      </c>
      <c r="C1857" s="22">
        <f t="shared" si="118"/>
        <v>25001620</v>
      </c>
      <c r="D1857" s="11" t="str">
        <f t="shared" si="119"/>
        <v>SKIIFM_AT</v>
      </c>
      <c r="E1857" s="11" t="str">
        <f>IF(I1857&lt;&gt;"",VLOOKUP(F1857,OPDRACHTGEVER!$A$2:$B$4,2,FALSE),"")</f>
        <v>SKIIFM_AT</v>
      </c>
      <c r="F1857" s="11" t="s">
        <v>58</v>
      </c>
      <c r="I1857" s="11" t="str">
        <f>IF(DATA!B1856&lt;&gt;"",DATA!B1856,"")</f>
        <v>MSMU5266197</v>
      </c>
      <c r="J1857" s="12">
        <v>0</v>
      </c>
      <c r="K1857" s="11" t="s">
        <v>53</v>
      </c>
      <c r="L1857" s="11" t="str">
        <f t="shared" si="120"/>
        <v>741920</v>
      </c>
      <c r="M1857" s="11" t="str">
        <f>IF(I1857&lt;&gt;"",DATA!E1856,"")</f>
        <v>METAL FENCE</v>
      </c>
      <c r="N1857" s="12">
        <v>0</v>
      </c>
      <c r="O1857" s="11">
        <f>IF(I1857&lt;&gt;"",DATA!C1856,"")</f>
        <v>51.85</v>
      </c>
      <c r="P1857" s="2">
        <v>294094</v>
      </c>
      <c r="Q1857" s="2" t="s">
        <v>1304</v>
      </c>
      <c r="R1857" s="2" t="s">
        <v>1340</v>
      </c>
      <c r="S1857" s="2">
        <v>2</v>
      </c>
      <c r="T1857" s="2">
        <v>1</v>
      </c>
      <c r="U1857" s="2" t="s">
        <v>141</v>
      </c>
      <c r="Y1857" s="2">
        <v>1700</v>
      </c>
      <c r="Z1857" s="11" t="s">
        <v>54</v>
      </c>
      <c r="AA1857" s="11" t="str">
        <f t="shared" si="121"/>
        <v>1700 - TBN</v>
      </c>
      <c r="AC1857" s="2" t="s">
        <v>145</v>
      </c>
      <c r="AD1857" s="11" t="str">
        <f>IF($I1857&lt;&gt;"",VLOOKUP($AC1857,GEADRESSEERDE!$A$2:$E$4,2,),"")</f>
        <v>LUITHAGEN HAVEN 2 D</v>
      </c>
      <c r="AE1857" s="11">
        <f>IF($I1857&lt;&gt;"",VLOOKUP($AC1857,GEADRESSEERDE!$A$2:$E$4,3,),"")</f>
        <v>2030</v>
      </c>
      <c r="AF1857" s="11" t="str">
        <f>IF($I1857&lt;&gt;"",VLOOKUP($AC1857,GEADRESSEERDE!$A$2:$E$4,4,),"")</f>
        <v>ANTWERPEN</v>
      </c>
      <c r="AG1857" s="11" t="str">
        <f>IF($I1857&lt;&gt;"",VLOOKUP($AC1857,GEADRESSEERDE!$A$2:$E$4,5,),"")</f>
        <v>BE</v>
      </c>
      <c r="AH1857" s="11" t="str">
        <f>IF(I1857&lt;&gt;"",VLOOKUP(AP1857,KvB!$A$2:$B$3,2,FALSE),"")</f>
        <v>BE101000</v>
      </c>
      <c r="AI1857" s="11" t="s">
        <v>55</v>
      </c>
      <c r="AJ1857" s="11"/>
      <c r="AK1857" s="11"/>
      <c r="AL1857" s="11"/>
      <c r="AM1857" s="11"/>
      <c r="AN1857" s="11"/>
      <c r="AO1857" s="11"/>
      <c r="AP1857" s="2" t="s">
        <v>70</v>
      </c>
      <c r="AQ1857" s="11" t="str">
        <f>IF(I1857&lt;&gt;"",DATA!D1856,"")</f>
        <v>7419200090</v>
      </c>
    </row>
    <row r="1858" spans="1:43" ht="15.75" x14ac:dyDescent="0.25">
      <c r="A1858" s="11" t="s">
        <v>57</v>
      </c>
      <c r="B1858" s="11" t="s">
        <v>56</v>
      </c>
      <c r="C1858" s="22">
        <f t="shared" si="118"/>
        <v>25001620</v>
      </c>
      <c r="D1858" s="11" t="str">
        <f t="shared" si="119"/>
        <v>SKIIFM_AT</v>
      </c>
      <c r="E1858" s="11" t="str">
        <f>IF(I1858&lt;&gt;"",VLOOKUP(F1858,OPDRACHTGEVER!$A$2:$B$4,2,FALSE),"")</f>
        <v>SKIIFM_AT</v>
      </c>
      <c r="F1858" s="11" t="s">
        <v>58</v>
      </c>
      <c r="I1858" s="11" t="str">
        <f>IF(DATA!B1857&lt;&gt;"",DATA!B1857,"")</f>
        <v>MSMU5266197</v>
      </c>
      <c r="J1858" s="12">
        <v>0</v>
      </c>
      <c r="K1858" s="11" t="s">
        <v>53</v>
      </c>
      <c r="L1858" s="11" t="str">
        <f t="shared" si="120"/>
        <v>846693</v>
      </c>
      <c r="M1858" s="11" t="str">
        <f>IF(I1858&lt;&gt;"",DATA!E1857,"")</f>
        <v>MILLING MACHINE TABLE</v>
      </c>
      <c r="N1858" s="12">
        <v>0</v>
      </c>
      <c r="O1858" s="11">
        <f>IF(I1858&lt;&gt;"",DATA!C1857,"")</f>
        <v>25</v>
      </c>
      <c r="P1858" s="2">
        <v>294094</v>
      </c>
      <c r="Q1858" s="2" t="s">
        <v>1304</v>
      </c>
      <c r="R1858" s="2" t="s">
        <v>1340</v>
      </c>
      <c r="S1858" s="2">
        <v>2</v>
      </c>
      <c r="T1858" s="2">
        <v>1</v>
      </c>
      <c r="U1858" s="2" t="s">
        <v>141</v>
      </c>
      <c r="Y1858" s="2">
        <v>1700</v>
      </c>
      <c r="Z1858" s="11" t="s">
        <v>54</v>
      </c>
      <c r="AA1858" s="11" t="str">
        <f t="shared" si="121"/>
        <v>1700 - TBN</v>
      </c>
      <c r="AC1858" s="2" t="s">
        <v>145</v>
      </c>
      <c r="AD1858" s="11" t="str">
        <f>IF($I1858&lt;&gt;"",VLOOKUP($AC1858,GEADRESSEERDE!$A$2:$E$4,2,),"")</f>
        <v>LUITHAGEN HAVEN 2 D</v>
      </c>
      <c r="AE1858" s="11">
        <f>IF($I1858&lt;&gt;"",VLOOKUP($AC1858,GEADRESSEERDE!$A$2:$E$4,3,),"")</f>
        <v>2030</v>
      </c>
      <c r="AF1858" s="11" t="str">
        <f>IF($I1858&lt;&gt;"",VLOOKUP($AC1858,GEADRESSEERDE!$A$2:$E$4,4,),"")</f>
        <v>ANTWERPEN</v>
      </c>
      <c r="AG1858" s="11" t="str">
        <f>IF($I1858&lt;&gt;"",VLOOKUP($AC1858,GEADRESSEERDE!$A$2:$E$4,5,),"")</f>
        <v>BE</v>
      </c>
      <c r="AH1858" s="11" t="str">
        <f>IF(I1858&lt;&gt;"",VLOOKUP(AP1858,KvB!$A$2:$B$3,2,FALSE),"")</f>
        <v>BE101000</v>
      </c>
      <c r="AI1858" s="11" t="s">
        <v>55</v>
      </c>
      <c r="AJ1858" s="11"/>
      <c r="AK1858" s="11"/>
      <c r="AL1858" s="11"/>
      <c r="AM1858" s="11"/>
      <c r="AN1858" s="11"/>
      <c r="AO1858" s="11"/>
      <c r="AP1858" s="2" t="s">
        <v>70</v>
      </c>
      <c r="AQ1858" s="11" t="str">
        <f>IF(I1858&lt;&gt;"",DATA!D1857,"")</f>
        <v>8466936000</v>
      </c>
    </row>
    <row r="1859" spans="1:43" ht="15.75" x14ac:dyDescent="0.25">
      <c r="A1859" s="11" t="s">
        <v>57</v>
      </c>
      <c r="B1859" s="11" t="s">
        <v>56</v>
      </c>
      <c r="C1859" s="22">
        <f t="shared" si="118"/>
        <v>25001620</v>
      </c>
      <c r="D1859" s="11" t="str">
        <f t="shared" si="119"/>
        <v>SKIIFM_AT</v>
      </c>
      <c r="E1859" s="11" t="str">
        <f>IF(I1859&lt;&gt;"",VLOOKUP(F1859,OPDRACHTGEVER!$A$2:$B$4,2,FALSE),"")</f>
        <v>SKIIFM_AT</v>
      </c>
      <c r="F1859" s="11" t="s">
        <v>58</v>
      </c>
      <c r="I1859" s="11" t="str">
        <f>IF(DATA!B1858&lt;&gt;"",DATA!B1858,"")</f>
        <v>MSMU5266197</v>
      </c>
      <c r="J1859" s="12">
        <v>0</v>
      </c>
      <c r="K1859" s="11" t="s">
        <v>53</v>
      </c>
      <c r="L1859" s="11" t="str">
        <f t="shared" si="120"/>
        <v>700992</v>
      </c>
      <c r="M1859" s="11" t="str">
        <f>IF(I1859&lt;&gt;"",DATA!E1858,"")</f>
        <v>MIRROR</v>
      </c>
      <c r="N1859" s="12">
        <v>0</v>
      </c>
      <c r="O1859" s="11">
        <f>IF(I1859&lt;&gt;"",DATA!C1858,"")</f>
        <v>15.33</v>
      </c>
      <c r="P1859" s="2">
        <v>294094</v>
      </c>
      <c r="Q1859" s="2" t="s">
        <v>1304</v>
      </c>
      <c r="R1859" s="2" t="s">
        <v>1340</v>
      </c>
      <c r="S1859" s="2">
        <v>2</v>
      </c>
      <c r="T1859" s="2">
        <v>1</v>
      </c>
      <c r="U1859" s="2" t="s">
        <v>141</v>
      </c>
      <c r="Y1859" s="2">
        <v>1700</v>
      </c>
      <c r="Z1859" s="11" t="s">
        <v>54</v>
      </c>
      <c r="AA1859" s="11" t="str">
        <f t="shared" si="121"/>
        <v>1700 - TBN</v>
      </c>
      <c r="AC1859" s="2" t="s">
        <v>145</v>
      </c>
      <c r="AD1859" s="11" t="str">
        <f>IF($I1859&lt;&gt;"",VLOOKUP($AC1859,GEADRESSEERDE!$A$2:$E$4,2,),"")</f>
        <v>LUITHAGEN HAVEN 2 D</v>
      </c>
      <c r="AE1859" s="11">
        <f>IF($I1859&lt;&gt;"",VLOOKUP($AC1859,GEADRESSEERDE!$A$2:$E$4,3,),"")</f>
        <v>2030</v>
      </c>
      <c r="AF1859" s="11" t="str">
        <f>IF($I1859&lt;&gt;"",VLOOKUP($AC1859,GEADRESSEERDE!$A$2:$E$4,4,),"")</f>
        <v>ANTWERPEN</v>
      </c>
      <c r="AG1859" s="11" t="str">
        <f>IF($I1859&lt;&gt;"",VLOOKUP($AC1859,GEADRESSEERDE!$A$2:$E$4,5,),"")</f>
        <v>BE</v>
      </c>
      <c r="AH1859" s="11" t="str">
        <f>IF(I1859&lt;&gt;"",VLOOKUP(AP1859,KvB!$A$2:$B$3,2,FALSE),"")</f>
        <v>BE101000</v>
      </c>
      <c r="AI1859" s="11" t="s">
        <v>55</v>
      </c>
      <c r="AJ1859" s="11"/>
      <c r="AK1859" s="11"/>
      <c r="AL1859" s="11"/>
      <c r="AM1859" s="11"/>
      <c r="AN1859" s="11"/>
      <c r="AO1859" s="11"/>
      <c r="AP1859" s="2" t="s">
        <v>70</v>
      </c>
      <c r="AQ1859" s="11" t="str">
        <f>IF(I1859&lt;&gt;"",DATA!D1858,"")</f>
        <v>7009920000</v>
      </c>
    </row>
    <row r="1860" spans="1:43" ht="15.75" x14ac:dyDescent="0.25">
      <c r="A1860" s="11" t="s">
        <v>57</v>
      </c>
      <c r="B1860" s="11" t="s">
        <v>56</v>
      </c>
      <c r="C1860" s="22">
        <f t="shared" si="118"/>
        <v>25001620</v>
      </c>
      <c r="D1860" s="11" t="str">
        <f t="shared" si="119"/>
        <v>SKIIFM_AT</v>
      </c>
      <c r="E1860" s="11" t="str">
        <f>IF(I1860&lt;&gt;"",VLOOKUP(F1860,OPDRACHTGEVER!$A$2:$B$4,2,FALSE),"")</f>
        <v>SKIIFM_AT</v>
      </c>
      <c r="F1860" s="11" t="s">
        <v>58</v>
      </c>
      <c r="I1860" s="11" t="str">
        <f>IF(DATA!B1859&lt;&gt;"",DATA!B1859,"")</f>
        <v>MSMU5266197</v>
      </c>
      <c r="J1860" s="12">
        <v>0</v>
      </c>
      <c r="K1860" s="11" t="s">
        <v>53</v>
      </c>
      <c r="L1860" s="11" t="str">
        <f t="shared" si="120"/>
        <v>843110</v>
      </c>
      <c r="M1860" s="11" t="str">
        <f>IF(I1860&lt;&gt;"",DATA!E1859,"")</f>
        <v>MONORAIL CAR</v>
      </c>
      <c r="N1860" s="12">
        <v>0</v>
      </c>
      <c r="O1860" s="11">
        <f>IF(I1860&lt;&gt;"",DATA!C1859,"")</f>
        <v>127.84</v>
      </c>
      <c r="P1860" s="2">
        <v>294094</v>
      </c>
      <c r="Q1860" s="2" t="s">
        <v>1304</v>
      </c>
      <c r="R1860" s="2" t="s">
        <v>1340</v>
      </c>
      <c r="S1860" s="2">
        <v>2</v>
      </c>
      <c r="T1860" s="2">
        <v>1</v>
      </c>
      <c r="U1860" s="2" t="s">
        <v>141</v>
      </c>
      <c r="Y1860" s="2">
        <v>1700</v>
      </c>
      <c r="Z1860" s="11" t="s">
        <v>54</v>
      </c>
      <c r="AA1860" s="11" t="str">
        <f t="shared" si="121"/>
        <v>1700 - TBN</v>
      </c>
      <c r="AC1860" s="2" t="s">
        <v>145</v>
      </c>
      <c r="AD1860" s="11" t="str">
        <f>IF($I1860&lt;&gt;"",VLOOKUP($AC1860,GEADRESSEERDE!$A$2:$E$4,2,),"")</f>
        <v>LUITHAGEN HAVEN 2 D</v>
      </c>
      <c r="AE1860" s="11">
        <f>IF($I1860&lt;&gt;"",VLOOKUP($AC1860,GEADRESSEERDE!$A$2:$E$4,3,),"")</f>
        <v>2030</v>
      </c>
      <c r="AF1860" s="11" t="str">
        <f>IF($I1860&lt;&gt;"",VLOOKUP($AC1860,GEADRESSEERDE!$A$2:$E$4,4,),"")</f>
        <v>ANTWERPEN</v>
      </c>
      <c r="AG1860" s="11" t="str">
        <f>IF($I1860&lt;&gt;"",VLOOKUP($AC1860,GEADRESSEERDE!$A$2:$E$4,5,),"")</f>
        <v>BE</v>
      </c>
      <c r="AH1860" s="11" t="str">
        <f>IF(I1860&lt;&gt;"",VLOOKUP(AP1860,KvB!$A$2:$B$3,2,FALSE),"")</f>
        <v>BE101000</v>
      </c>
      <c r="AI1860" s="11" t="s">
        <v>55</v>
      </c>
      <c r="AJ1860" s="11"/>
      <c r="AK1860" s="11"/>
      <c r="AL1860" s="11"/>
      <c r="AM1860" s="11"/>
      <c r="AN1860" s="11"/>
      <c r="AO1860" s="11"/>
      <c r="AP1860" s="2" t="s">
        <v>70</v>
      </c>
      <c r="AQ1860" s="11" t="str">
        <f>IF(I1860&lt;&gt;"",DATA!D1859,"")</f>
        <v>8431100000</v>
      </c>
    </row>
    <row r="1861" spans="1:43" ht="15.75" x14ac:dyDescent="0.25">
      <c r="A1861" s="11" t="s">
        <v>57</v>
      </c>
      <c r="B1861" s="11" t="s">
        <v>56</v>
      </c>
      <c r="C1861" s="22">
        <f t="shared" ref="C1861:C1924" si="122">C1860</f>
        <v>25001620</v>
      </c>
      <c r="D1861" s="11" t="str">
        <f t="shared" si="119"/>
        <v>SKIIFM_AT</v>
      </c>
      <c r="E1861" s="11" t="str">
        <f>IF(I1861&lt;&gt;"",VLOOKUP(F1861,OPDRACHTGEVER!$A$2:$B$4,2,FALSE),"")</f>
        <v>SKIIFM_AT</v>
      </c>
      <c r="F1861" s="11" t="s">
        <v>58</v>
      </c>
      <c r="I1861" s="11" t="str">
        <f>IF(DATA!B1860&lt;&gt;"",DATA!B1860,"")</f>
        <v>MSMU5266197</v>
      </c>
      <c r="J1861" s="12">
        <v>0</v>
      </c>
      <c r="K1861" s="11" t="s">
        <v>53</v>
      </c>
      <c r="L1861" s="11" t="str">
        <f t="shared" si="120"/>
        <v>392510</v>
      </c>
      <c r="M1861" s="11" t="str">
        <f>IF(I1861&lt;&gt;"",DATA!E1860,"")</f>
        <v>OIL RESERVOIR TANK</v>
      </c>
      <c r="N1861" s="12">
        <v>0</v>
      </c>
      <c r="O1861" s="11">
        <f>IF(I1861&lt;&gt;"",DATA!C1860,"")</f>
        <v>79.62</v>
      </c>
      <c r="P1861" s="2">
        <v>294094</v>
      </c>
      <c r="Q1861" s="2" t="s">
        <v>1304</v>
      </c>
      <c r="R1861" s="2" t="s">
        <v>1340</v>
      </c>
      <c r="S1861" s="2">
        <v>2</v>
      </c>
      <c r="T1861" s="2">
        <v>1</v>
      </c>
      <c r="U1861" s="2" t="s">
        <v>141</v>
      </c>
      <c r="Y1861" s="2">
        <v>1700</v>
      </c>
      <c r="Z1861" s="11" t="s">
        <v>54</v>
      </c>
      <c r="AA1861" s="11" t="str">
        <f t="shared" si="121"/>
        <v>1700 - TBN</v>
      </c>
      <c r="AC1861" s="2" t="s">
        <v>145</v>
      </c>
      <c r="AD1861" s="11" t="str">
        <f>IF($I1861&lt;&gt;"",VLOOKUP($AC1861,GEADRESSEERDE!$A$2:$E$4,2,),"")</f>
        <v>LUITHAGEN HAVEN 2 D</v>
      </c>
      <c r="AE1861" s="11">
        <f>IF($I1861&lt;&gt;"",VLOOKUP($AC1861,GEADRESSEERDE!$A$2:$E$4,3,),"")</f>
        <v>2030</v>
      </c>
      <c r="AF1861" s="11" t="str">
        <f>IF($I1861&lt;&gt;"",VLOOKUP($AC1861,GEADRESSEERDE!$A$2:$E$4,4,),"")</f>
        <v>ANTWERPEN</v>
      </c>
      <c r="AG1861" s="11" t="str">
        <f>IF($I1861&lt;&gt;"",VLOOKUP($AC1861,GEADRESSEERDE!$A$2:$E$4,5,),"")</f>
        <v>BE</v>
      </c>
      <c r="AH1861" s="11" t="str">
        <f>IF(I1861&lt;&gt;"",VLOOKUP(AP1861,KvB!$A$2:$B$3,2,FALSE),"")</f>
        <v>BE101000</v>
      </c>
      <c r="AI1861" s="11" t="s">
        <v>55</v>
      </c>
      <c r="AJ1861" s="11"/>
      <c r="AK1861" s="11"/>
      <c r="AL1861" s="11"/>
      <c r="AM1861" s="11"/>
      <c r="AN1861" s="11"/>
      <c r="AO1861" s="11"/>
      <c r="AP1861" s="2" t="s">
        <v>70</v>
      </c>
      <c r="AQ1861" s="11" t="str">
        <f>IF(I1861&lt;&gt;"",DATA!D1860,"")</f>
        <v>3925100000</v>
      </c>
    </row>
    <row r="1862" spans="1:43" ht="15.75" x14ac:dyDescent="0.25">
      <c r="A1862" s="11" t="s">
        <v>57</v>
      </c>
      <c r="B1862" s="11" t="s">
        <v>56</v>
      </c>
      <c r="C1862" s="22">
        <f t="shared" si="122"/>
        <v>25001620</v>
      </c>
      <c r="D1862" s="11" t="str">
        <f t="shared" si="119"/>
        <v>SKIIFM_AT</v>
      </c>
      <c r="E1862" s="11" t="str">
        <f>IF(I1862&lt;&gt;"",VLOOKUP(F1862,OPDRACHTGEVER!$A$2:$B$4,2,FALSE),"")</f>
        <v>SKIIFM_AT</v>
      </c>
      <c r="F1862" s="11" t="s">
        <v>58</v>
      </c>
      <c r="I1862" s="11" t="str">
        <f>IF(DATA!B1861&lt;&gt;"",DATA!B1861,"")</f>
        <v>MSMU5266197</v>
      </c>
      <c r="J1862" s="12">
        <v>0</v>
      </c>
      <c r="K1862" s="11" t="s">
        <v>53</v>
      </c>
      <c r="L1862" s="11" t="str">
        <f t="shared" si="120"/>
        <v>392010</v>
      </c>
      <c r="M1862" s="11" t="str">
        <f>IF(I1862&lt;&gt;"",DATA!E1861,"")</f>
        <v>PE FILM</v>
      </c>
      <c r="N1862" s="12">
        <v>0</v>
      </c>
      <c r="O1862" s="11">
        <f>IF(I1862&lt;&gt;"",DATA!C1861,"")</f>
        <v>274.64999999999998</v>
      </c>
      <c r="P1862" s="2">
        <v>294094</v>
      </c>
      <c r="Q1862" s="2" t="s">
        <v>1304</v>
      </c>
      <c r="R1862" s="2" t="s">
        <v>1340</v>
      </c>
      <c r="S1862" s="2">
        <v>2</v>
      </c>
      <c r="T1862" s="2">
        <v>1</v>
      </c>
      <c r="U1862" s="2" t="s">
        <v>141</v>
      </c>
      <c r="Y1862" s="2">
        <v>1700</v>
      </c>
      <c r="Z1862" s="11" t="s">
        <v>54</v>
      </c>
      <c r="AA1862" s="11" t="str">
        <f t="shared" si="121"/>
        <v>1700 - TBN</v>
      </c>
      <c r="AC1862" s="2" t="s">
        <v>145</v>
      </c>
      <c r="AD1862" s="11" t="str">
        <f>IF($I1862&lt;&gt;"",VLOOKUP($AC1862,GEADRESSEERDE!$A$2:$E$4,2,),"")</f>
        <v>LUITHAGEN HAVEN 2 D</v>
      </c>
      <c r="AE1862" s="11">
        <f>IF($I1862&lt;&gt;"",VLOOKUP($AC1862,GEADRESSEERDE!$A$2:$E$4,3,),"")</f>
        <v>2030</v>
      </c>
      <c r="AF1862" s="11" t="str">
        <f>IF($I1862&lt;&gt;"",VLOOKUP($AC1862,GEADRESSEERDE!$A$2:$E$4,4,),"")</f>
        <v>ANTWERPEN</v>
      </c>
      <c r="AG1862" s="11" t="str">
        <f>IF($I1862&lt;&gt;"",VLOOKUP($AC1862,GEADRESSEERDE!$A$2:$E$4,5,),"")</f>
        <v>BE</v>
      </c>
      <c r="AH1862" s="11" t="str">
        <f>IF(I1862&lt;&gt;"",VLOOKUP(AP1862,KvB!$A$2:$B$3,2,FALSE),"")</f>
        <v>BE101000</v>
      </c>
      <c r="AI1862" s="11" t="s">
        <v>55</v>
      </c>
      <c r="AJ1862" s="11"/>
      <c r="AK1862" s="11"/>
      <c r="AL1862" s="11"/>
      <c r="AM1862" s="11"/>
      <c r="AN1862" s="11"/>
      <c r="AO1862" s="11"/>
      <c r="AP1862" s="2" t="s">
        <v>70</v>
      </c>
      <c r="AQ1862" s="11" t="str">
        <f>IF(I1862&lt;&gt;"",DATA!D1861,"")</f>
        <v>3920102490</v>
      </c>
    </row>
    <row r="1863" spans="1:43" ht="15.75" x14ac:dyDescent="0.25">
      <c r="A1863" s="11" t="s">
        <v>57</v>
      </c>
      <c r="B1863" s="11" t="s">
        <v>56</v>
      </c>
      <c r="C1863" s="22">
        <f t="shared" si="122"/>
        <v>25001620</v>
      </c>
      <c r="D1863" s="11" t="str">
        <f t="shared" si="119"/>
        <v>SKIIFM_AT</v>
      </c>
      <c r="E1863" s="11" t="str">
        <f>IF(I1863&lt;&gt;"",VLOOKUP(F1863,OPDRACHTGEVER!$A$2:$B$4,2,FALSE),"")</f>
        <v>SKIIFM_AT</v>
      </c>
      <c r="F1863" s="11" t="s">
        <v>58</v>
      </c>
      <c r="I1863" s="11" t="str">
        <f>IF(DATA!B1862&lt;&gt;"",DATA!B1862,"")</f>
        <v>MSMU5266197</v>
      </c>
      <c r="J1863" s="12">
        <v>0</v>
      </c>
      <c r="K1863" s="11" t="s">
        <v>53</v>
      </c>
      <c r="L1863" s="11" t="str">
        <f t="shared" si="120"/>
        <v>851580</v>
      </c>
      <c r="M1863" s="11" t="str">
        <f>IF(I1863&lt;&gt;"",DATA!E1862,"")</f>
        <v>PLASTIC WELDING MACHINE</v>
      </c>
      <c r="N1863" s="12">
        <v>0</v>
      </c>
      <c r="O1863" s="11">
        <f>IF(I1863&lt;&gt;"",DATA!C1862,"")</f>
        <v>64.599999999999994</v>
      </c>
      <c r="P1863" s="2">
        <v>294094</v>
      </c>
      <c r="Q1863" s="2" t="s">
        <v>1304</v>
      </c>
      <c r="R1863" s="2" t="s">
        <v>1340</v>
      </c>
      <c r="S1863" s="2">
        <v>2</v>
      </c>
      <c r="T1863" s="2">
        <v>1</v>
      </c>
      <c r="U1863" s="2" t="s">
        <v>141</v>
      </c>
      <c r="Y1863" s="2">
        <v>1700</v>
      </c>
      <c r="Z1863" s="11" t="s">
        <v>54</v>
      </c>
      <c r="AA1863" s="11" t="str">
        <f t="shared" si="121"/>
        <v>1700 - TBN</v>
      </c>
      <c r="AC1863" s="2" t="s">
        <v>145</v>
      </c>
      <c r="AD1863" s="11" t="str">
        <f>IF($I1863&lt;&gt;"",VLOOKUP($AC1863,GEADRESSEERDE!$A$2:$E$4,2,),"")</f>
        <v>LUITHAGEN HAVEN 2 D</v>
      </c>
      <c r="AE1863" s="11">
        <f>IF($I1863&lt;&gt;"",VLOOKUP($AC1863,GEADRESSEERDE!$A$2:$E$4,3,),"")</f>
        <v>2030</v>
      </c>
      <c r="AF1863" s="11" t="str">
        <f>IF($I1863&lt;&gt;"",VLOOKUP($AC1863,GEADRESSEERDE!$A$2:$E$4,4,),"")</f>
        <v>ANTWERPEN</v>
      </c>
      <c r="AG1863" s="11" t="str">
        <f>IF($I1863&lt;&gt;"",VLOOKUP($AC1863,GEADRESSEERDE!$A$2:$E$4,5,),"")</f>
        <v>BE</v>
      </c>
      <c r="AH1863" s="11" t="str">
        <f>IF(I1863&lt;&gt;"",VLOOKUP(AP1863,KvB!$A$2:$B$3,2,FALSE),"")</f>
        <v>BE101000</v>
      </c>
      <c r="AI1863" s="11" t="s">
        <v>55</v>
      </c>
      <c r="AJ1863" s="11"/>
      <c r="AK1863" s="11"/>
      <c r="AL1863" s="11"/>
      <c r="AM1863" s="11"/>
      <c r="AN1863" s="11"/>
      <c r="AO1863" s="11"/>
      <c r="AP1863" s="2" t="s">
        <v>70</v>
      </c>
      <c r="AQ1863" s="11" t="str">
        <f>IF(I1863&lt;&gt;"",DATA!D1862,"")</f>
        <v>8515809000</v>
      </c>
    </row>
    <row r="1864" spans="1:43" ht="15.75" x14ac:dyDescent="0.25">
      <c r="A1864" s="11" t="s">
        <v>57</v>
      </c>
      <c r="B1864" s="11" t="s">
        <v>56</v>
      </c>
      <c r="C1864" s="22">
        <f t="shared" si="122"/>
        <v>25001620</v>
      </c>
      <c r="D1864" s="11" t="str">
        <f t="shared" si="119"/>
        <v>SKIIFM_AT</v>
      </c>
      <c r="E1864" s="11" t="str">
        <f>IF(I1864&lt;&gt;"",VLOOKUP(F1864,OPDRACHTGEVER!$A$2:$B$4,2,FALSE),"")</f>
        <v>SKIIFM_AT</v>
      </c>
      <c r="F1864" s="11" t="s">
        <v>58</v>
      </c>
      <c r="I1864" s="11" t="str">
        <f>IF(DATA!B1863&lt;&gt;"",DATA!B1863,"")</f>
        <v>MSMU5266197</v>
      </c>
      <c r="J1864" s="12">
        <v>0</v>
      </c>
      <c r="K1864" s="11" t="s">
        <v>53</v>
      </c>
      <c r="L1864" s="11" t="str">
        <f t="shared" si="120"/>
        <v>844339</v>
      </c>
      <c r="M1864" s="11" t="str">
        <f>IF(I1864&lt;&gt;"",DATA!E1863,"")</f>
        <v>POKER MACHINE</v>
      </c>
      <c r="N1864" s="12">
        <v>0</v>
      </c>
      <c r="O1864" s="11">
        <f>IF(I1864&lt;&gt;"",DATA!C1863,"")</f>
        <v>94.72</v>
      </c>
      <c r="P1864" s="2">
        <v>294094</v>
      </c>
      <c r="Q1864" s="2" t="s">
        <v>1304</v>
      </c>
      <c r="R1864" s="2" t="s">
        <v>1340</v>
      </c>
      <c r="S1864" s="2">
        <v>2</v>
      </c>
      <c r="T1864" s="2">
        <v>1</v>
      </c>
      <c r="U1864" s="2" t="s">
        <v>141</v>
      </c>
      <c r="Y1864" s="2">
        <v>1700</v>
      </c>
      <c r="Z1864" s="11" t="s">
        <v>54</v>
      </c>
      <c r="AA1864" s="11" t="str">
        <f t="shared" si="121"/>
        <v>1700 - TBN</v>
      </c>
      <c r="AC1864" s="2" t="s">
        <v>145</v>
      </c>
      <c r="AD1864" s="11" t="str">
        <f>IF($I1864&lt;&gt;"",VLOOKUP($AC1864,GEADRESSEERDE!$A$2:$E$4,2,),"")</f>
        <v>LUITHAGEN HAVEN 2 D</v>
      </c>
      <c r="AE1864" s="11">
        <f>IF($I1864&lt;&gt;"",VLOOKUP($AC1864,GEADRESSEERDE!$A$2:$E$4,3,),"")</f>
        <v>2030</v>
      </c>
      <c r="AF1864" s="11" t="str">
        <f>IF($I1864&lt;&gt;"",VLOOKUP($AC1864,GEADRESSEERDE!$A$2:$E$4,4,),"")</f>
        <v>ANTWERPEN</v>
      </c>
      <c r="AG1864" s="11" t="str">
        <f>IF($I1864&lt;&gt;"",VLOOKUP($AC1864,GEADRESSEERDE!$A$2:$E$4,5,),"")</f>
        <v>BE</v>
      </c>
      <c r="AH1864" s="11" t="str">
        <f>IF(I1864&lt;&gt;"",VLOOKUP(AP1864,KvB!$A$2:$B$3,2,FALSE),"")</f>
        <v>BE101000</v>
      </c>
      <c r="AI1864" s="11" t="s">
        <v>55</v>
      </c>
      <c r="AJ1864" s="11"/>
      <c r="AK1864" s="11"/>
      <c r="AL1864" s="11"/>
      <c r="AM1864" s="11"/>
      <c r="AN1864" s="11"/>
      <c r="AO1864" s="11"/>
      <c r="AP1864" s="2" t="s">
        <v>70</v>
      </c>
      <c r="AQ1864" s="11" t="str">
        <f>IF(I1864&lt;&gt;"",DATA!D1863,"")</f>
        <v>8443390000</v>
      </c>
    </row>
    <row r="1865" spans="1:43" ht="15.75" x14ac:dyDescent="0.25">
      <c r="A1865" s="11" t="s">
        <v>57</v>
      </c>
      <c r="B1865" s="11" t="s">
        <v>56</v>
      </c>
      <c r="C1865" s="22">
        <f t="shared" si="122"/>
        <v>25001620</v>
      </c>
      <c r="D1865" s="11" t="str">
        <f t="shared" si="119"/>
        <v>SKIIFM_AT</v>
      </c>
      <c r="E1865" s="11" t="str">
        <f>IF(I1865&lt;&gt;"",VLOOKUP(F1865,OPDRACHTGEVER!$A$2:$B$4,2,FALSE),"")</f>
        <v>SKIIFM_AT</v>
      </c>
      <c r="F1865" s="11" t="s">
        <v>58</v>
      </c>
      <c r="I1865" s="11" t="str">
        <f>IF(DATA!B1864&lt;&gt;"",DATA!B1864,"")</f>
        <v>MSMU5266197</v>
      </c>
      <c r="J1865" s="12">
        <v>0</v>
      </c>
      <c r="K1865" s="11" t="s">
        <v>53</v>
      </c>
      <c r="L1865" s="11" t="str">
        <f t="shared" si="120"/>
        <v>392010</v>
      </c>
      <c r="M1865" s="11" t="str">
        <f>IF(I1865&lt;&gt;"",DATA!E1864,"")</f>
        <v>POND LINER</v>
      </c>
      <c r="N1865" s="12">
        <v>0</v>
      </c>
      <c r="O1865" s="11">
        <f>IF(I1865&lt;&gt;"",DATA!C1864,"")</f>
        <v>210.95</v>
      </c>
      <c r="P1865" s="2">
        <v>294094</v>
      </c>
      <c r="Q1865" s="2" t="s">
        <v>1304</v>
      </c>
      <c r="R1865" s="2" t="s">
        <v>1340</v>
      </c>
      <c r="S1865" s="2">
        <v>2</v>
      </c>
      <c r="T1865" s="2">
        <v>1</v>
      </c>
      <c r="U1865" s="2" t="s">
        <v>141</v>
      </c>
      <c r="Y1865" s="2">
        <v>1700</v>
      </c>
      <c r="Z1865" s="11" t="s">
        <v>54</v>
      </c>
      <c r="AA1865" s="11" t="str">
        <f t="shared" si="121"/>
        <v>1700 - TBN</v>
      </c>
      <c r="AC1865" s="2" t="s">
        <v>145</v>
      </c>
      <c r="AD1865" s="11" t="str">
        <f>IF($I1865&lt;&gt;"",VLOOKUP($AC1865,GEADRESSEERDE!$A$2:$E$4,2,),"")</f>
        <v>LUITHAGEN HAVEN 2 D</v>
      </c>
      <c r="AE1865" s="11">
        <f>IF($I1865&lt;&gt;"",VLOOKUP($AC1865,GEADRESSEERDE!$A$2:$E$4,3,),"")</f>
        <v>2030</v>
      </c>
      <c r="AF1865" s="11" t="str">
        <f>IF($I1865&lt;&gt;"",VLOOKUP($AC1865,GEADRESSEERDE!$A$2:$E$4,4,),"")</f>
        <v>ANTWERPEN</v>
      </c>
      <c r="AG1865" s="11" t="str">
        <f>IF($I1865&lt;&gt;"",VLOOKUP($AC1865,GEADRESSEERDE!$A$2:$E$4,5,),"")</f>
        <v>BE</v>
      </c>
      <c r="AH1865" s="11" t="str">
        <f>IF(I1865&lt;&gt;"",VLOOKUP(AP1865,KvB!$A$2:$B$3,2,FALSE),"")</f>
        <v>BE101000</v>
      </c>
      <c r="AI1865" s="11" t="s">
        <v>55</v>
      </c>
      <c r="AJ1865" s="11"/>
      <c r="AK1865" s="11"/>
      <c r="AL1865" s="11"/>
      <c r="AM1865" s="11"/>
      <c r="AN1865" s="11"/>
      <c r="AO1865" s="11"/>
      <c r="AP1865" s="2" t="s">
        <v>70</v>
      </c>
      <c r="AQ1865" s="11" t="str">
        <f>IF(I1865&lt;&gt;"",DATA!D1864,"")</f>
        <v>3920108990</v>
      </c>
    </row>
    <row r="1866" spans="1:43" ht="15.75" x14ac:dyDescent="0.25">
      <c r="A1866" s="11" t="s">
        <v>57</v>
      </c>
      <c r="B1866" s="11" t="s">
        <v>56</v>
      </c>
      <c r="C1866" s="22">
        <f t="shared" si="122"/>
        <v>25001620</v>
      </c>
      <c r="D1866" s="11" t="str">
        <f t="shared" si="119"/>
        <v>SKIIFM_AT</v>
      </c>
      <c r="E1866" s="11" t="str">
        <f>IF(I1866&lt;&gt;"",VLOOKUP(F1866,OPDRACHTGEVER!$A$2:$B$4,2,FALSE),"")</f>
        <v>SKIIFM_AT</v>
      </c>
      <c r="F1866" s="11" t="s">
        <v>58</v>
      </c>
      <c r="I1866" s="11" t="str">
        <f>IF(DATA!B1865&lt;&gt;"",DATA!B1865,"")</f>
        <v>MSMU5266197</v>
      </c>
      <c r="J1866" s="12">
        <v>0</v>
      </c>
      <c r="K1866" s="11" t="s">
        <v>53</v>
      </c>
      <c r="L1866" s="11" t="str">
        <f t="shared" si="120"/>
        <v>820190</v>
      </c>
      <c r="M1866" s="11" t="str">
        <f>IF(I1866&lt;&gt;"",DATA!E1865,"")</f>
        <v>POST HOLE DIGGER</v>
      </c>
      <c r="N1866" s="12">
        <v>0</v>
      </c>
      <c r="O1866" s="11">
        <f>IF(I1866&lt;&gt;"",DATA!C1865,"")</f>
        <v>6.4</v>
      </c>
      <c r="P1866" s="2">
        <v>294094</v>
      </c>
      <c r="Q1866" s="2" t="s">
        <v>1304</v>
      </c>
      <c r="R1866" s="2" t="s">
        <v>1340</v>
      </c>
      <c r="S1866" s="2">
        <v>2</v>
      </c>
      <c r="T1866" s="2">
        <v>1</v>
      </c>
      <c r="U1866" s="2" t="s">
        <v>141</v>
      </c>
      <c r="Y1866" s="2">
        <v>1700</v>
      </c>
      <c r="Z1866" s="11" t="s">
        <v>54</v>
      </c>
      <c r="AA1866" s="11" t="str">
        <f t="shared" si="121"/>
        <v>1700 - TBN</v>
      </c>
      <c r="AC1866" s="2" t="s">
        <v>145</v>
      </c>
      <c r="AD1866" s="11" t="str">
        <f>IF($I1866&lt;&gt;"",VLOOKUP($AC1866,GEADRESSEERDE!$A$2:$E$4,2,),"")</f>
        <v>LUITHAGEN HAVEN 2 D</v>
      </c>
      <c r="AE1866" s="11">
        <f>IF($I1866&lt;&gt;"",VLOOKUP($AC1866,GEADRESSEERDE!$A$2:$E$4,3,),"")</f>
        <v>2030</v>
      </c>
      <c r="AF1866" s="11" t="str">
        <f>IF($I1866&lt;&gt;"",VLOOKUP($AC1866,GEADRESSEERDE!$A$2:$E$4,4,),"")</f>
        <v>ANTWERPEN</v>
      </c>
      <c r="AG1866" s="11" t="str">
        <f>IF($I1866&lt;&gt;"",VLOOKUP($AC1866,GEADRESSEERDE!$A$2:$E$4,5,),"")</f>
        <v>BE</v>
      </c>
      <c r="AH1866" s="11" t="str">
        <f>IF(I1866&lt;&gt;"",VLOOKUP(AP1866,KvB!$A$2:$B$3,2,FALSE),"")</f>
        <v>BE101000</v>
      </c>
      <c r="AI1866" s="11" t="s">
        <v>55</v>
      </c>
      <c r="AJ1866" s="11"/>
      <c r="AK1866" s="11"/>
      <c r="AL1866" s="11"/>
      <c r="AM1866" s="11"/>
      <c r="AN1866" s="11"/>
      <c r="AO1866" s="11"/>
      <c r="AP1866" s="2" t="s">
        <v>70</v>
      </c>
      <c r="AQ1866" s="11" t="str">
        <f>IF(I1866&lt;&gt;"",DATA!D1865,"")</f>
        <v>8201900000</v>
      </c>
    </row>
    <row r="1867" spans="1:43" ht="15.75" x14ac:dyDescent="0.25">
      <c r="A1867" s="11" t="s">
        <v>57</v>
      </c>
      <c r="B1867" s="11" t="s">
        <v>56</v>
      </c>
      <c r="C1867" s="22">
        <f t="shared" si="122"/>
        <v>25001620</v>
      </c>
      <c r="D1867" s="11" t="str">
        <f t="shared" si="119"/>
        <v>SKIIFM_AT</v>
      </c>
      <c r="E1867" s="11" t="str">
        <f>IF(I1867&lt;&gt;"",VLOOKUP(F1867,OPDRACHTGEVER!$A$2:$B$4,2,FALSE),"")</f>
        <v>SKIIFM_AT</v>
      </c>
      <c r="F1867" s="11" t="s">
        <v>58</v>
      </c>
      <c r="I1867" s="11" t="str">
        <f>IF(DATA!B1866&lt;&gt;"",DATA!B1866,"")</f>
        <v>MSMU5266197</v>
      </c>
      <c r="J1867" s="12">
        <v>0</v>
      </c>
      <c r="K1867" s="11" t="s">
        <v>53</v>
      </c>
      <c r="L1867" s="11" t="str">
        <f t="shared" si="120"/>
        <v>761699</v>
      </c>
      <c r="M1867" s="11" t="str">
        <f>IF(I1867&lt;&gt;"",DATA!E1866,"")</f>
        <v>PUNCHING NET</v>
      </c>
      <c r="N1867" s="12">
        <v>0</v>
      </c>
      <c r="O1867" s="11">
        <f>IF(I1867&lt;&gt;"",DATA!C1866,"")</f>
        <v>140.26</v>
      </c>
      <c r="P1867" s="2">
        <v>294094</v>
      </c>
      <c r="Q1867" s="2" t="s">
        <v>1304</v>
      </c>
      <c r="R1867" s="2" t="s">
        <v>1340</v>
      </c>
      <c r="S1867" s="2">
        <v>2</v>
      </c>
      <c r="T1867" s="2">
        <v>1</v>
      </c>
      <c r="U1867" s="2" t="s">
        <v>141</v>
      </c>
      <c r="Y1867" s="2">
        <v>1700</v>
      </c>
      <c r="Z1867" s="11" t="s">
        <v>54</v>
      </c>
      <c r="AA1867" s="11" t="str">
        <f t="shared" si="121"/>
        <v>1700 - TBN</v>
      </c>
      <c r="AC1867" s="2" t="s">
        <v>145</v>
      </c>
      <c r="AD1867" s="11" t="str">
        <f>IF($I1867&lt;&gt;"",VLOOKUP($AC1867,GEADRESSEERDE!$A$2:$E$4,2,),"")</f>
        <v>LUITHAGEN HAVEN 2 D</v>
      </c>
      <c r="AE1867" s="11">
        <f>IF($I1867&lt;&gt;"",VLOOKUP($AC1867,GEADRESSEERDE!$A$2:$E$4,3,),"")</f>
        <v>2030</v>
      </c>
      <c r="AF1867" s="11" t="str">
        <f>IF($I1867&lt;&gt;"",VLOOKUP($AC1867,GEADRESSEERDE!$A$2:$E$4,4,),"")</f>
        <v>ANTWERPEN</v>
      </c>
      <c r="AG1867" s="11" t="str">
        <f>IF($I1867&lt;&gt;"",VLOOKUP($AC1867,GEADRESSEERDE!$A$2:$E$4,5,),"")</f>
        <v>BE</v>
      </c>
      <c r="AH1867" s="11" t="str">
        <f>IF(I1867&lt;&gt;"",VLOOKUP(AP1867,KvB!$A$2:$B$3,2,FALSE),"")</f>
        <v>BE101000</v>
      </c>
      <c r="AI1867" s="11" t="s">
        <v>55</v>
      </c>
      <c r="AJ1867" s="11"/>
      <c r="AK1867" s="11"/>
      <c r="AL1867" s="11"/>
      <c r="AM1867" s="11"/>
      <c r="AN1867" s="11"/>
      <c r="AO1867" s="11"/>
      <c r="AP1867" s="2" t="s">
        <v>70</v>
      </c>
      <c r="AQ1867" s="11" t="str">
        <f>IF(I1867&lt;&gt;"",DATA!D1866,"")</f>
        <v>7616991099</v>
      </c>
    </row>
    <row r="1868" spans="1:43" ht="15.75" x14ac:dyDescent="0.25">
      <c r="A1868" s="11" t="s">
        <v>57</v>
      </c>
      <c r="B1868" s="11" t="s">
        <v>56</v>
      </c>
      <c r="C1868" s="22">
        <f t="shared" si="122"/>
        <v>25001620</v>
      </c>
      <c r="D1868" s="11" t="str">
        <f t="shared" si="119"/>
        <v>SKIIFM_AT</v>
      </c>
      <c r="E1868" s="11" t="str">
        <f>IF(I1868&lt;&gt;"",VLOOKUP(F1868,OPDRACHTGEVER!$A$2:$B$4,2,FALSE),"")</f>
        <v>SKIIFM_AT</v>
      </c>
      <c r="F1868" s="11" t="s">
        <v>58</v>
      </c>
      <c r="I1868" s="11" t="str">
        <f>IF(DATA!B1867&lt;&gt;"",DATA!B1867,"")</f>
        <v>MSMU5266197</v>
      </c>
      <c r="J1868" s="12">
        <v>0</v>
      </c>
      <c r="K1868" s="11" t="s">
        <v>53</v>
      </c>
      <c r="L1868" s="11" t="str">
        <f t="shared" si="120"/>
        <v>401699</v>
      </c>
      <c r="M1868" s="11" t="str">
        <f>IF(I1868&lt;&gt;"",DATA!E1867,"")</f>
        <v>RAIN BUCKET</v>
      </c>
      <c r="N1868" s="12">
        <v>0</v>
      </c>
      <c r="O1868" s="11">
        <f>IF(I1868&lt;&gt;"",DATA!C1867,"")</f>
        <v>21.44</v>
      </c>
      <c r="P1868" s="2">
        <v>294094</v>
      </c>
      <c r="Q1868" s="2" t="s">
        <v>1304</v>
      </c>
      <c r="R1868" s="2" t="s">
        <v>1340</v>
      </c>
      <c r="S1868" s="2">
        <v>2</v>
      </c>
      <c r="T1868" s="2">
        <v>1</v>
      </c>
      <c r="U1868" s="2" t="s">
        <v>141</v>
      </c>
      <c r="Y1868" s="2">
        <v>1700</v>
      </c>
      <c r="Z1868" s="11" t="s">
        <v>54</v>
      </c>
      <c r="AA1868" s="11" t="str">
        <f t="shared" si="121"/>
        <v>1700 - TBN</v>
      </c>
      <c r="AC1868" s="2" t="s">
        <v>145</v>
      </c>
      <c r="AD1868" s="11" t="str">
        <f>IF($I1868&lt;&gt;"",VLOOKUP($AC1868,GEADRESSEERDE!$A$2:$E$4,2,),"")</f>
        <v>LUITHAGEN HAVEN 2 D</v>
      </c>
      <c r="AE1868" s="11">
        <f>IF($I1868&lt;&gt;"",VLOOKUP($AC1868,GEADRESSEERDE!$A$2:$E$4,3,),"")</f>
        <v>2030</v>
      </c>
      <c r="AF1868" s="11" t="str">
        <f>IF($I1868&lt;&gt;"",VLOOKUP($AC1868,GEADRESSEERDE!$A$2:$E$4,4,),"")</f>
        <v>ANTWERPEN</v>
      </c>
      <c r="AG1868" s="11" t="str">
        <f>IF($I1868&lt;&gt;"",VLOOKUP($AC1868,GEADRESSEERDE!$A$2:$E$4,5,),"")</f>
        <v>BE</v>
      </c>
      <c r="AH1868" s="11" t="str">
        <f>IF(I1868&lt;&gt;"",VLOOKUP(AP1868,KvB!$A$2:$B$3,2,FALSE),"")</f>
        <v>BE101000</v>
      </c>
      <c r="AI1868" s="11" t="s">
        <v>55</v>
      </c>
      <c r="AJ1868" s="11"/>
      <c r="AK1868" s="11"/>
      <c r="AL1868" s="11"/>
      <c r="AM1868" s="11"/>
      <c r="AN1868" s="11"/>
      <c r="AO1868" s="11"/>
      <c r="AP1868" s="2" t="s">
        <v>70</v>
      </c>
      <c r="AQ1868" s="11" t="str">
        <f>IF(I1868&lt;&gt;"",DATA!D1867,"")</f>
        <v>4016999790</v>
      </c>
    </row>
    <row r="1869" spans="1:43" ht="15.75" x14ac:dyDescent="0.25">
      <c r="A1869" s="11" t="s">
        <v>57</v>
      </c>
      <c r="B1869" s="11" t="s">
        <v>56</v>
      </c>
      <c r="C1869" s="22">
        <f t="shared" si="122"/>
        <v>25001620</v>
      </c>
      <c r="D1869" s="11" t="str">
        <f t="shared" si="119"/>
        <v>SKIIFM_AT</v>
      </c>
      <c r="E1869" s="11" t="str">
        <f>IF(I1869&lt;&gt;"",VLOOKUP(F1869,OPDRACHTGEVER!$A$2:$B$4,2,FALSE),"")</f>
        <v>SKIIFM_AT</v>
      </c>
      <c r="F1869" s="11" t="s">
        <v>58</v>
      </c>
      <c r="I1869" s="11" t="str">
        <f>IF(DATA!B1868&lt;&gt;"",DATA!B1868,"")</f>
        <v>MSMU5266197</v>
      </c>
      <c r="J1869" s="12">
        <v>0</v>
      </c>
      <c r="K1869" s="11" t="s">
        <v>53</v>
      </c>
      <c r="L1869" s="11" t="str">
        <f t="shared" si="120"/>
        <v>847989</v>
      </c>
      <c r="M1869" s="11" t="str">
        <f>IF(I1869&lt;&gt;"",DATA!E1868,"")</f>
        <v>ROLLING MILL</v>
      </c>
      <c r="N1869" s="12">
        <v>0</v>
      </c>
      <c r="O1869" s="11">
        <f>IF(I1869&lt;&gt;"",DATA!C1868,"")</f>
        <v>61.11</v>
      </c>
      <c r="P1869" s="2">
        <v>294094</v>
      </c>
      <c r="Q1869" s="2" t="s">
        <v>1304</v>
      </c>
      <c r="R1869" s="2" t="s">
        <v>1340</v>
      </c>
      <c r="S1869" s="2">
        <v>2</v>
      </c>
      <c r="T1869" s="2">
        <v>1</v>
      </c>
      <c r="U1869" s="2" t="s">
        <v>141</v>
      </c>
      <c r="Y1869" s="2">
        <v>1700</v>
      </c>
      <c r="Z1869" s="11" t="s">
        <v>54</v>
      </c>
      <c r="AA1869" s="11" t="str">
        <f t="shared" si="121"/>
        <v>1700 - TBN</v>
      </c>
      <c r="AC1869" s="2" t="s">
        <v>145</v>
      </c>
      <c r="AD1869" s="11" t="str">
        <f>IF($I1869&lt;&gt;"",VLOOKUP($AC1869,GEADRESSEERDE!$A$2:$E$4,2,),"")</f>
        <v>LUITHAGEN HAVEN 2 D</v>
      </c>
      <c r="AE1869" s="11">
        <f>IF($I1869&lt;&gt;"",VLOOKUP($AC1869,GEADRESSEERDE!$A$2:$E$4,3,),"")</f>
        <v>2030</v>
      </c>
      <c r="AF1869" s="11" t="str">
        <f>IF($I1869&lt;&gt;"",VLOOKUP($AC1869,GEADRESSEERDE!$A$2:$E$4,4,),"")</f>
        <v>ANTWERPEN</v>
      </c>
      <c r="AG1869" s="11" t="str">
        <f>IF($I1869&lt;&gt;"",VLOOKUP($AC1869,GEADRESSEERDE!$A$2:$E$4,5,),"")</f>
        <v>BE</v>
      </c>
      <c r="AH1869" s="11" t="str">
        <f>IF(I1869&lt;&gt;"",VLOOKUP(AP1869,KvB!$A$2:$B$3,2,FALSE),"")</f>
        <v>BE101000</v>
      </c>
      <c r="AI1869" s="11" t="s">
        <v>55</v>
      </c>
      <c r="AJ1869" s="11"/>
      <c r="AK1869" s="11"/>
      <c r="AL1869" s="11"/>
      <c r="AM1869" s="11"/>
      <c r="AN1869" s="11"/>
      <c r="AO1869" s="11"/>
      <c r="AP1869" s="2" t="s">
        <v>70</v>
      </c>
      <c r="AQ1869" s="11" t="str">
        <f>IF(I1869&lt;&gt;"",DATA!D1868,"")</f>
        <v>8479899790</v>
      </c>
    </row>
    <row r="1870" spans="1:43" ht="15.75" x14ac:dyDescent="0.25">
      <c r="A1870" s="11" t="s">
        <v>57</v>
      </c>
      <c r="B1870" s="11" t="s">
        <v>56</v>
      </c>
      <c r="C1870" s="22">
        <f t="shared" si="122"/>
        <v>25001620</v>
      </c>
      <c r="D1870" s="11" t="str">
        <f t="shared" si="119"/>
        <v>SKIIFM_AT</v>
      </c>
      <c r="E1870" s="11" t="str">
        <f>IF(I1870&lt;&gt;"",VLOOKUP(F1870,OPDRACHTGEVER!$A$2:$B$4,2,FALSE),"")</f>
        <v>SKIIFM_AT</v>
      </c>
      <c r="F1870" s="11" t="s">
        <v>58</v>
      </c>
      <c r="I1870" s="11" t="str">
        <f>IF(DATA!B1869&lt;&gt;"",DATA!B1869,"")</f>
        <v>MSMU5266197</v>
      </c>
      <c r="J1870" s="12">
        <v>0</v>
      </c>
      <c r="K1870" s="11" t="s">
        <v>53</v>
      </c>
      <c r="L1870" s="11" t="str">
        <f t="shared" si="120"/>
        <v>830300</v>
      </c>
      <c r="M1870" s="11" t="str">
        <f>IF(I1870&lt;&gt;"",DATA!E1869,"")</f>
        <v>SAFE-DEPOSIT BOX</v>
      </c>
      <c r="N1870" s="12">
        <v>0</v>
      </c>
      <c r="O1870" s="11">
        <f>IF(I1870&lt;&gt;"",DATA!C1869,"")</f>
        <v>311.36</v>
      </c>
      <c r="P1870" s="2">
        <v>294094</v>
      </c>
      <c r="Q1870" s="2" t="s">
        <v>1304</v>
      </c>
      <c r="R1870" s="2" t="s">
        <v>1340</v>
      </c>
      <c r="S1870" s="2">
        <v>2</v>
      </c>
      <c r="T1870" s="2">
        <v>1</v>
      </c>
      <c r="U1870" s="2" t="s">
        <v>141</v>
      </c>
      <c r="Y1870" s="2">
        <v>1700</v>
      </c>
      <c r="Z1870" s="11" t="s">
        <v>54</v>
      </c>
      <c r="AA1870" s="11" t="str">
        <f t="shared" si="121"/>
        <v>1700 - TBN</v>
      </c>
      <c r="AC1870" s="2" t="s">
        <v>145</v>
      </c>
      <c r="AD1870" s="11" t="str">
        <f>IF($I1870&lt;&gt;"",VLOOKUP($AC1870,GEADRESSEERDE!$A$2:$E$4,2,),"")</f>
        <v>LUITHAGEN HAVEN 2 D</v>
      </c>
      <c r="AE1870" s="11">
        <f>IF($I1870&lt;&gt;"",VLOOKUP($AC1870,GEADRESSEERDE!$A$2:$E$4,3,),"")</f>
        <v>2030</v>
      </c>
      <c r="AF1870" s="11" t="str">
        <f>IF($I1870&lt;&gt;"",VLOOKUP($AC1870,GEADRESSEERDE!$A$2:$E$4,4,),"")</f>
        <v>ANTWERPEN</v>
      </c>
      <c r="AG1870" s="11" t="str">
        <f>IF($I1870&lt;&gt;"",VLOOKUP($AC1870,GEADRESSEERDE!$A$2:$E$4,5,),"")</f>
        <v>BE</v>
      </c>
      <c r="AH1870" s="11" t="str">
        <f>IF(I1870&lt;&gt;"",VLOOKUP(AP1870,KvB!$A$2:$B$3,2,FALSE),"")</f>
        <v>BE101000</v>
      </c>
      <c r="AI1870" s="11" t="s">
        <v>55</v>
      </c>
      <c r="AJ1870" s="11"/>
      <c r="AK1870" s="11"/>
      <c r="AL1870" s="11"/>
      <c r="AM1870" s="11"/>
      <c r="AN1870" s="11"/>
      <c r="AO1870" s="11"/>
      <c r="AP1870" s="2" t="s">
        <v>70</v>
      </c>
      <c r="AQ1870" s="11" t="str">
        <f>IF(I1870&lt;&gt;"",DATA!D1869,"")</f>
        <v>8303009000</v>
      </c>
    </row>
    <row r="1871" spans="1:43" ht="15.75" x14ac:dyDescent="0.25">
      <c r="A1871" s="11" t="s">
        <v>57</v>
      </c>
      <c r="B1871" s="11" t="s">
        <v>56</v>
      </c>
      <c r="C1871" s="22">
        <f t="shared" si="122"/>
        <v>25001620</v>
      </c>
      <c r="D1871" s="11" t="str">
        <f t="shared" si="119"/>
        <v>SKIIFM_AT</v>
      </c>
      <c r="E1871" s="11" t="str">
        <f>IF(I1871&lt;&gt;"",VLOOKUP(F1871,OPDRACHTGEVER!$A$2:$B$4,2,FALSE),"")</f>
        <v>SKIIFM_AT</v>
      </c>
      <c r="F1871" s="11" t="s">
        <v>58</v>
      </c>
      <c r="I1871" s="11" t="str">
        <f>IF(DATA!B1870&lt;&gt;"",DATA!B1870,"")</f>
        <v>MSMU5266197</v>
      </c>
      <c r="J1871" s="12">
        <v>0</v>
      </c>
      <c r="K1871" s="11" t="s">
        <v>53</v>
      </c>
      <c r="L1871" s="11" t="str">
        <f t="shared" si="120"/>
        <v>854330</v>
      </c>
      <c r="M1871" s="11" t="str">
        <f>IF(I1871&lt;&gt;"",DATA!E1870,"")</f>
        <v>SALT CHLORINE GENERATOR</v>
      </c>
      <c r="N1871" s="12">
        <v>0</v>
      </c>
      <c r="O1871" s="11">
        <f>IF(I1871&lt;&gt;"",DATA!C1870,"")</f>
        <v>2.61</v>
      </c>
      <c r="P1871" s="2">
        <v>294094</v>
      </c>
      <c r="Q1871" s="2" t="s">
        <v>1304</v>
      </c>
      <c r="R1871" s="2" t="s">
        <v>1340</v>
      </c>
      <c r="S1871" s="2">
        <v>2</v>
      </c>
      <c r="T1871" s="2">
        <v>1</v>
      </c>
      <c r="U1871" s="2" t="s">
        <v>141</v>
      </c>
      <c r="Y1871" s="2">
        <v>1700</v>
      </c>
      <c r="Z1871" s="11" t="s">
        <v>54</v>
      </c>
      <c r="AA1871" s="11" t="str">
        <f t="shared" si="121"/>
        <v>1700 - TBN</v>
      </c>
      <c r="AC1871" s="2" t="s">
        <v>145</v>
      </c>
      <c r="AD1871" s="11" t="str">
        <f>IF($I1871&lt;&gt;"",VLOOKUP($AC1871,GEADRESSEERDE!$A$2:$E$4,2,),"")</f>
        <v>LUITHAGEN HAVEN 2 D</v>
      </c>
      <c r="AE1871" s="11">
        <f>IF($I1871&lt;&gt;"",VLOOKUP($AC1871,GEADRESSEERDE!$A$2:$E$4,3,),"")</f>
        <v>2030</v>
      </c>
      <c r="AF1871" s="11" t="str">
        <f>IF($I1871&lt;&gt;"",VLOOKUP($AC1871,GEADRESSEERDE!$A$2:$E$4,4,),"")</f>
        <v>ANTWERPEN</v>
      </c>
      <c r="AG1871" s="11" t="str">
        <f>IF($I1871&lt;&gt;"",VLOOKUP($AC1871,GEADRESSEERDE!$A$2:$E$4,5,),"")</f>
        <v>BE</v>
      </c>
      <c r="AH1871" s="11" t="str">
        <f>IF(I1871&lt;&gt;"",VLOOKUP(AP1871,KvB!$A$2:$B$3,2,FALSE),"")</f>
        <v>BE101000</v>
      </c>
      <c r="AI1871" s="11" t="s">
        <v>55</v>
      </c>
      <c r="AJ1871" s="11"/>
      <c r="AK1871" s="11"/>
      <c r="AL1871" s="11"/>
      <c r="AM1871" s="11"/>
      <c r="AN1871" s="11"/>
      <c r="AO1871" s="11"/>
      <c r="AP1871" s="2" t="s">
        <v>70</v>
      </c>
      <c r="AQ1871" s="11" t="str">
        <f>IF(I1871&lt;&gt;"",DATA!D1870,"")</f>
        <v>8543307000</v>
      </c>
    </row>
    <row r="1872" spans="1:43" ht="15.75" x14ac:dyDescent="0.25">
      <c r="A1872" s="11" t="s">
        <v>57</v>
      </c>
      <c r="B1872" s="11" t="s">
        <v>56</v>
      </c>
      <c r="C1872" s="22">
        <f t="shared" si="122"/>
        <v>25001620</v>
      </c>
      <c r="D1872" s="11" t="str">
        <f t="shared" si="119"/>
        <v>SKIIFM_AT</v>
      </c>
      <c r="E1872" s="11" t="str">
        <f>IF(I1872&lt;&gt;"",VLOOKUP(F1872,OPDRACHTGEVER!$A$2:$B$4,2,FALSE),"")</f>
        <v>SKIIFM_AT</v>
      </c>
      <c r="F1872" s="11" t="s">
        <v>58</v>
      </c>
      <c r="I1872" s="11" t="str">
        <f>IF(DATA!B1871&lt;&gt;"",DATA!B1871,"")</f>
        <v>MSMU5266197</v>
      </c>
      <c r="J1872" s="12">
        <v>0</v>
      </c>
      <c r="K1872" s="11" t="s">
        <v>53</v>
      </c>
      <c r="L1872" s="11" t="str">
        <f t="shared" si="120"/>
        <v>843880</v>
      </c>
      <c r="M1872" s="11" t="str">
        <f>IF(I1872&lt;&gt;"",DATA!E1871,"")</f>
        <v>SAUSAGE STUFFER</v>
      </c>
      <c r="N1872" s="12">
        <v>0</v>
      </c>
      <c r="O1872" s="11">
        <f>IF(I1872&lt;&gt;"",DATA!C1871,"")</f>
        <v>41.4</v>
      </c>
      <c r="P1872" s="2">
        <v>294094</v>
      </c>
      <c r="Q1872" s="2" t="s">
        <v>1304</v>
      </c>
      <c r="R1872" s="2" t="s">
        <v>1340</v>
      </c>
      <c r="S1872" s="2">
        <v>2</v>
      </c>
      <c r="T1872" s="2">
        <v>1</v>
      </c>
      <c r="U1872" s="2" t="s">
        <v>141</v>
      </c>
      <c r="Y1872" s="2">
        <v>1700</v>
      </c>
      <c r="Z1872" s="11" t="s">
        <v>54</v>
      </c>
      <c r="AA1872" s="11" t="str">
        <f t="shared" si="121"/>
        <v>1700 - TBN</v>
      </c>
      <c r="AC1872" s="2" t="s">
        <v>145</v>
      </c>
      <c r="AD1872" s="11" t="str">
        <f>IF($I1872&lt;&gt;"",VLOOKUP($AC1872,GEADRESSEERDE!$A$2:$E$4,2,),"")</f>
        <v>LUITHAGEN HAVEN 2 D</v>
      </c>
      <c r="AE1872" s="11">
        <f>IF($I1872&lt;&gt;"",VLOOKUP($AC1872,GEADRESSEERDE!$A$2:$E$4,3,),"")</f>
        <v>2030</v>
      </c>
      <c r="AF1872" s="11" t="str">
        <f>IF($I1872&lt;&gt;"",VLOOKUP($AC1872,GEADRESSEERDE!$A$2:$E$4,4,),"")</f>
        <v>ANTWERPEN</v>
      </c>
      <c r="AG1872" s="11" t="str">
        <f>IF($I1872&lt;&gt;"",VLOOKUP($AC1872,GEADRESSEERDE!$A$2:$E$4,5,),"")</f>
        <v>BE</v>
      </c>
      <c r="AH1872" s="11" t="str">
        <f>IF(I1872&lt;&gt;"",VLOOKUP(AP1872,KvB!$A$2:$B$3,2,FALSE),"")</f>
        <v>BE101000</v>
      </c>
      <c r="AI1872" s="11" t="s">
        <v>55</v>
      </c>
      <c r="AJ1872" s="11"/>
      <c r="AK1872" s="11"/>
      <c r="AL1872" s="11"/>
      <c r="AM1872" s="11"/>
      <c r="AN1872" s="11"/>
      <c r="AO1872" s="11"/>
      <c r="AP1872" s="2" t="s">
        <v>70</v>
      </c>
      <c r="AQ1872" s="11" t="str">
        <f>IF(I1872&lt;&gt;"",DATA!D1871,"")</f>
        <v>8438809900</v>
      </c>
    </row>
    <row r="1873" spans="1:43" ht="15.75" x14ac:dyDescent="0.25">
      <c r="A1873" s="11" t="s">
        <v>57</v>
      </c>
      <c r="B1873" s="11" t="s">
        <v>56</v>
      </c>
      <c r="C1873" s="22">
        <f t="shared" si="122"/>
        <v>25001620</v>
      </c>
      <c r="D1873" s="11" t="str">
        <f t="shared" si="119"/>
        <v>SKIIFM_AT</v>
      </c>
      <c r="E1873" s="11" t="str">
        <f>IF(I1873&lt;&gt;"",VLOOKUP(F1873,OPDRACHTGEVER!$A$2:$B$4,2,FALSE),"")</f>
        <v>SKIIFM_AT</v>
      </c>
      <c r="F1873" s="11" t="s">
        <v>58</v>
      </c>
      <c r="I1873" s="11" t="str">
        <f>IF(DATA!B1872&lt;&gt;"",DATA!B1872,"")</f>
        <v>MSMU5266197</v>
      </c>
      <c r="J1873" s="12">
        <v>0</v>
      </c>
      <c r="K1873" s="11" t="s">
        <v>53</v>
      </c>
      <c r="L1873" s="11" t="str">
        <f t="shared" si="120"/>
        <v>820299</v>
      </c>
      <c r="M1873" s="11" t="str">
        <f>IF(I1873&lt;&gt;"",DATA!E1872,"")</f>
        <v>SAW BLADE</v>
      </c>
      <c r="N1873" s="12">
        <v>0</v>
      </c>
      <c r="O1873" s="11">
        <f>IF(I1873&lt;&gt;"",DATA!C1872,"")</f>
        <v>171.18</v>
      </c>
      <c r="P1873" s="2">
        <v>294094</v>
      </c>
      <c r="Q1873" s="2" t="s">
        <v>1304</v>
      </c>
      <c r="R1873" s="2" t="s">
        <v>1340</v>
      </c>
      <c r="S1873" s="2">
        <v>2</v>
      </c>
      <c r="T1873" s="2">
        <v>1</v>
      </c>
      <c r="U1873" s="2" t="s">
        <v>141</v>
      </c>
      <c r="Y1873" s="2">
        <v>1700</v>
      </c>
      <c r="Z1873" s="11" t="s">
        <v>54</v>
      </c>
      <c r="AA1873" s="11" t="str">
        <f t="shared" si="121"/>
        <v>1700 - TBN</v>
      </c>
      <c r="AC1873" s="2" t="s">
        <v>145</v>
      </c>
      <c r="AD1873" s="11" t="str">
        <f>IF($I1873&lt;&gt;"",VLOOKUP($AC1873,GEADRESSEERDE!$A$2:$E$4,2,),"")</f>
        <v>LUITHAGEN HAVEN 2 D</v>
      </c>
      <c r="AE1873" s="11">
        <f>IF($I1873&lt;&gt;"",VLOOKUP($AC1873,GEADRESSEERDE!$A$2:$E$4,3,),"")</f>
        <v>2030</v>
      </c>
      <c r="AF1873" s="11" t="str">
        <f>IF($I1873&lt;&gt;"",VLOOKUP($AC1873,GEADRESSEERDE!$A$2:$E$4,4,),"")</f>
        <v>ANTWERPEN</v>
      </c>
      <c r="AG1873" s="11" t="str">
        <f>IF($I1873&lt;&gt;"",VLOOKUP($AC1873,GEADRESSEERDE!$A$2:$E$4,5,),"")</f>
        <v>BE</v>
      </c>
      <c r="AH1873" s="11" t="str">
        <f>IF(I1873&lt;&gt;"",VLOOKUP(AP1873,KvB!$A$2:$B$3,2,FALSE),"")</f>
        <v>BE101000</v>
      </c>
      <c r="AI1873" s="11" t="s">
        <v>55</v>
      </c>
      <c r="AJ1873" s="11"/>
      <c r="AK1873" s="11"/>
      <c r="AL1873" s="11"/>
      <c r="AM1873" s="11"/>
      <c r="AN1873" s="11"/>
      <c r="AO1873" s="11"/>
      <c r="AP1873" s="2" t="s">
        <v>70</v>
      </c>
      <c r="AQ1873" s="11" t="str">
        <f>IF(I1873&lt;&gt;"",DATA!D1872,"")</f>
        <v>8202998000</v>
      </c>
    </row>
    <row r="1874" spans="1:43" ht="15.75" x14ac:dyDescent="0.25">
      <c r="A1874" s="11" t="s">
        <v>57</v>
      </c>
      <c r="B1874" s="11" t="s">
        <v>56</v>
      </c>
      <c r="C1874" s="22">
        <f t="shared" si="122"/>
        <v>25001620</v>
      </c>
      <c r="D1874" s="11" t="str">
        <f t="shared" si="119"/>
        <v>SKIIFM_AT</v>
      </c>
      <c r="E1874" s="11" t="str">
        <f>IF(I1874&lt;&gt;"",VLOOKUP(F1874,OPDRACHTGEVER!$A$2:$B$4,2,FALSE),"")</f>
        <v>SKIIFM_AT</v>
      </c>
      <c r="F1874" s="11" t="s">
        <v>58</v>
      </c>
      <c r="I1874" s="11" t="str">
        <f>IF(DATA!B1873&lt;&gt;"",DATA!B1873,"")</f>
        <v>MSMU5266197</v>
      </c>
      <c r="J1874" s="12">
        <v>0</v>
      </c>
      <c r="K1874" s="11" t="s">
        <v>53</v>
      </c>
      <c r="L1874" s="11" t="str">
        <f t="shared" si="120"/>
        <v>391610</v>
      </c>
      <c r="M1874" s="11" t="str">
        <f>IF(I1874&lt;&gt;"",DATA!E1873,"")</f>
        <v>SEALING STRIP</v>
      </c>
      <c r="N1874" s="12">
        <v>0</v>
      </c>
      <c r="O1874" s="11">
        <f>IF(I1874&lt;&gt;"",DATA!C1873,"")</f>
        <v>34.590000000000003</v>
      </c>
      <c r="P1874" s="2">
        <v>294094</v>
      </c>
      <c r="Q1874" s="2" t="s">
        <v>1304</v>
      </c>
      <c r="R1874" s="2" t="s">
        <v>1340</v>
      </c>
      <c r="S1874" s="2">
        <v>2</v>
      </c>
      <c r="T1874" s="2">
        <v>1</v>
      </c>
      <c r="U1874" s="2" t="s">
        <v>141</v>
      </c>
      <c r="Y1874" s="2">
        <v>1700</v>
      </c>
      <c r="Z1874" s="11" t="s">
        <v>54</v>
      </c>
      <c r="AA1874" s="11" t="str">
        <f t="shared" si="121"/>
        <v>1700 - TBN</v>
      </c>
      <c r="AC1874" s="2" t="s">
        <v>145</v>
      </c>
      <c r="AD1874" s="11" t="str">
        <f>IF($I1874&lt;&gt;"",VLOOKUP($AC1874,GEADRESSEERDE!$A$2:$E$4,2,),"")</f>
        <v>LUITHAGEN HAVEN 2 D</v>
      </c>
      <c r="AE1874" s="11">
        <f>IF($I1874&lt;&gt;"",VLOOKUP($AC1874,GEADRESSEERDE!$A$2:$E$4,3,),"")</f>
        <v>2030</v>
      </c>
      <c r="AF1874" s="11" t="str">
        <f>IF($I1874&lt;&gt;"",VLOOKUP($AC1874,GEADRESSEERDE!$A$2:$E$4,4,),"")</f>
        <v>ANTWERPEN</v>
      </c>
      <c r="AG1874" s="11" t="str">
        <f>IF($I1874&lt;&gt;"",VLOOKUP($AC1874,GEADRESSEERDE!$A$2:$E$4,5,),"")</f>
        <v>BE</v>
      </c>
      <c r="AH1874" s="11" t="str">
        <f>IF(I1874&lt;&gt;"",VLOOKUP(AP1874,KvB!$A$2:$B$3,2,FALSE),"")</f>
        <v>BE101000</v>
      </c>
      <c r="AI1874" s="11" t="s">
        <v>55</v>
      </c>
      <c r="AJ1874" s="11"/>
      <c r="AK1874" s="11"/>
      <c r="AL1874" s="11"/>
      <c r="AM1874" s="11"/>
      <c r="AN1874" s="11"/>
      <c r="AO1874" s="11"/>
      <c r="AP1874" s="2" t="s">
        <v>70</v>
      </c>
      <c r="AQ1874" s="11" t="str">
        <f>IF(I1874&lt;&gt;"",DATA!D1873,"")</f>
        <v>3916100090</v>
      </c>
    </row>
    <row r="1875" spans="1:43" ht="15.75" x14ac:dyDescent="0.25">
      <c r="A1875" s="11" t="s">
        <v>57</v>
      </c>
      <c r="B1875" s="11" t="s">
        <v>56</v>
      </c>
      <c r="C1875" s="22">
        <f t="shared" si="122"/>
        <v>25001620</v>
      </c>
      <c r="D1875" s="11" t="str">
        <f t="shared" si="119"/>
        <v>SKIIFM_AT</v>
      </c>
      <c r="E1875" s="11" t="str">
        <f>IF(I1875&lt;&gt;"",VLOOKUP(F1875,OPDRACHTGEVER!$A$2:$B$4,2,FALSE),"")</f>
        <v>SKIIFM_AT</v>
      </c>
      <c r="F1875" s="11" t="s">
        <v>58</v>
      </c>
      <c r="I1875" s="11" t="str">
        <f>IF(DATA!B1874&lt;&gt;"",DATA!B1874,"")</f>
        <v>MSMU5266197</v>
      </c>
      <c r="J1875" s="12">
        <v>0</v>
      </c>
      <c r="K1875" s="11" t="s">
        <v>53</v>
      </c>
      <c r="L1875" s="11" t="str">
        <f t="shared" si="120"/>
        <v>392043</v>
      </c>
      <c r="M1875" s="11" t="str">
        <f>IF(I1875&lt;&gt;"",DATA!E1874,"")</f>
        <v>SHEET SHAPED PVC DOOR CURTAIN</v>
      </c>
      <c r="N1875" s="12">
        <v>0</v>
      </c>
      <c r="O1875" s="11">
        <f>IF(I1875&lt;&gt;"",DATA!C1874,"")</f>
        <v>72.489999999999995</v>
      </c>
      <c r="P1875" s="2">
        <v>294094</v>
      </c>
      <c r="Q1875" s="2" t="s">
        <v>1304</v>
      </c>
      <c r="R1875" s="2" t="s">
        <v>1340</v>
      </c>
      <c r="S1875" s="2">
        <v>2</v>
      </c>
      <c r="T1875" s="2">
        <v>1</v>
      </c>
      <c r="U1875" s="2" t="s">
        <v>141</v>
      </c>
      <c r="Y1875" s="2">
        <v>1700</v>
      </c>
      <c r="Z1875" s="11" t="s">
        <v>54</v>
      </c>
      <c r="AA1875" s="11" t="str">
        <f t="shared" si="121"/>
        <v>1700 - TBN</v>
      </c>
      <c r="AC1875" s="2" t="s">
        <v>145</v>
      </c>
      <c r="AD1875" s="11" t="str">
        <f>IF($I1875&lt;&gt;"",VLOOKUP($AC1875,GEADRESSEERDE!$A$2:$E$4,2,),"")</f>
        <v>LUITHAGEN HAVEN 2 D</v>
      </c>
      <c r="AE1875" s="11">
        <f>IF($I1875&lt;&gt;"",VLOOKUP($AC1875,GEADRESSEERDE!$A$2:$E$4,3,),"")</f>
        <v>2030</v>
      </c>
      <c r="AF1875" s="11" t="str">
        <f>IF($I1875&lt;&gt;"",VLOOKUP($AC1875,GEADRESSEERDE!$A$2:$E$4,4,),"")</f>
        <v>ANTWERPEN</v>
      </c>
      <c r="AG1875" s="11" t="str">
        <f>IF($I1875&lt;&gt;"",VLOOKUP($AC1875,GEADRESSEERDE!$A$2:$E$4,5,),"")</f>
        <v>BE</v>
      </c>
      <c r="AH1875" s="11" t="str">
        <f>IF(I1875&lt;&gt;"",VLOOKUP(AP1875,KvB!$A$2:$B$3,2,FALSE),"")</f>
        <v>BE101000</v>
      </c>
      <c r="AI1875" s="11" t="s">
        <v>55</v>
      </c>
      <c r="AJ1875" s="11"/>
      <c r="AK1875" s="11"/>
      <c r="AL1875" s="11"/>
      <c r="AM1875" s="11"/>
      <c r="AN1875" s="11"/>
      <c r="AO1875" s="11"/>
      <c r="AP1875" s="2" t="s">
        <v>70</v>
      </c>
      <c r="AQ1875" s="11" t="str">
        <f>IF(I1875&lt;&gt;"",DATA!D1874,"")</f>
        <v>3920439090</v>
      </c>
    </row>
    <row r="1876" spans="1:43" ht="15.75" x14ac:dyDescent="0.25">
      <c r="A1876" s="11" t="s">
        <v>57</v>
      </c>
      <c r="B1876" s="11" t="s">
        <v>56</v>
      </c>
      <c r="C1876" s="22">
        <f t="shared" si="122"/>
        <v>25001620</v>
      </c>
      <c r="D1876" s="11" t="str">
        <f t="shared" si="119"/>
        <v>SKIIFM_AT</v>
      </c>
      <c r="E1876" s="11" t="str">
        <f>IF(I1876&lt;&gt;"",VLOOKUP(F1876,OPDRACHTGEVER!$A$2:$B$4,2,FALSE),"")</f>
        <v>SKIIFM_AT</v>
      </c>
      <c r="F1876" s="11" t="s">
        <v>58</v>
      </c>
      <c r="I1876" s="11" t="str">
        <f>IF(DATA!B1875&lt;&gt;"",DATA!B1875,"")</f>
        <v>MSMU5266197</v>
      </c>
      <c r="J1876" s="12">
        <v>0</v>
      </c>
      <c r="K1876" s="11" t="s">
        <v>53</v>
      </c>
      <c r="L1876" s="11" t="str">
        <f t="shared" si="120"/>
        <v>741920</v>
      </c>
      <c r="M1876" s="11" t="str">
        <f>IF(I1876&lt;&gt;"",DATA!E1875,"")</f>
        <v>SHELVES</v>
      </c>
      <c r="N1876" s="12">
        <v>0</v>
      </c>
      <c r="O1876" s="11">
        <f>IF(I1876&lt;&gt;"",DATA!C1875,"")</f>
        <v>82.16</v>
      </c>
      <c r="P1876" s="2">
        <v>294094</v>
      </c>
      <c r="Q1876" s="2" t="s">
        <v>1304</v>
      </c>
      <c r="R1876" s="2" t="s">
        <v>1340</v>
      </c>
      <c r="S1876" s="2">
        <v>2</v>
      </c>
      <c r="T1876" s="2">
        <v>1</v>
      </c>
      <c r="U1876" s="2" t="s">
        <v>141</v>
      </c>
      <c r="Y1876" s="2">
        <v>1700</v>
      </c>
      <c r="Z1876" s="11" t="s">
        <v>54</v>
      </c>
      <c r="AA1876" s="11" t="str">
        <f t="shared" si="121"/>
        <v>1700 - TBN</v>
      </c>
      <c r="AC1876" s="2" t="s">
        <v>145</v>
      </c>
      <c r="AD1876" s="11" t="str">
        <f>IF($I1876&lt;&gt;"",VLOOKUP($AC1876,GEADRESSEERDE!$A$2:$E$4,2,),"")</f>
        <v>LUITHAGEN HAVEN 2 D</v>
      </c>
      <c r="AE1876" s="11">
        <f>IF($I1876&lt;&gt;"",VLOOKUP($AC1876,GEADRESSEERDE!$A$2:$E$4,3,),"")</f>
        <v>2030</v>
      </c>
      <c r="AF1876" s="11" t="str">
        <f>IF($I1876&lt;&gt;"",VLOOKUP($AC1876,GEADRESSEERDE!$A$2:$E$4,4,),"")</f>
        <v>ANTWERPEN</v>
      </c>
      <c r="AG1876" s="11" t="str">
        <f>IF($I1876&lt;&gt;"",VLOOKUP($AC1876,GEADRESSEERDE!$A$2:$E$4,5,),"")</f>
        <v>BE</v>
      </c>
      <c r="AH1876" s="11" t="str">
        <f>IF(I1876&lt;&gt;"",VLOOKUP(AP1876,KvB!$A$2:$B$3,2,FALSE),"")</f>
        <v>BE101000</v>
      </c>
      <c r="AI1876" s="11" t="s">
        <v>55</v>
      </c>
      <c r="AJ1876" s="11"/>
      <c r="AK1876" s="11"/>
      <c r="AL1876" s="11"/>
      <c r="AM1876" s="11"/>
      <c r="AN1876" s="11"/>
      <c r="AO1876" s="11"/>
      <c r="AP1876" s="2" t="s">
        <v>70</v>
      </c>
      <c r="AQ1876" s="11" t="str">
        <f>IF(I1876&lt;&gt;"",DATA!D1875,"")</f>
        <v>7419200090</v>
      </c>
    </row>
    <row r="1877" spans="1:43" ht="15.75" x14ac:dyDescent="0.25">
      <c r="A1877" s="11" t="s">
        <v>57</v>
      </c>
      <c r="B1877" s="11" t="s">
        <v>56</v>
      </c>
      <c r="C1877" s="22">
        <f t="shared" si="122"/>
        <v>25001620</v>
      </c>
      <c r="D1877" s="11" t="str">
        <f t="shared" si="119"/>
        <v>SKIIFM_AT</v>
      </c>
      <c r="E1877" s="11" t="str">
        <f>IF(I1877&lt;&gt;"",VLOOKUP(F1877,OPDRACHTGEVER!$A$2:$B$4,2,FALSE),"")</f>
        <v>SKIIFM_AT</v>
      </c>
      <c r="F1877" s="11" t="s">
        <v>58</v>
      </c>
      <c r="I1877" s="11" t="str">
        <f>IF(DATA!B1876&lt;&gt;"",DATA!B1876,"")</f>
        <v>MSMU5266197</v>
      </c>
      <c r="J1877" s="12">
        <v>0</v>
      </c>
      <c r="K1877" s="11" t="s">
        <v>53</v>
      </c>
      <c r="L1877" s="11" t="str">
        <f t="shared" si="120"/>
        <v>940320</v>
      </c>
      <c r="M1877" s="11" t="str">
        <f>IF(I1877&lt;&gt;"",DATA!E1876,"")</f>
        <v>SS DOOR FOR OUTDOOR KITCHEN/BBQ ISLAND</v>
      </c>
      <c r="N1877" s="12">
        <v>0</v>
      </c>
      <c r="O1877" s="11">
        <f>IF(I1877&lt;&gt;"",DATA!C1876,"")</f>
        <v>115.2</v>
      </c>
      <c r="P1877" s="2">
        <v>294094</v>
      </c>
      <c r="Q1877" s="2" t="s">
        <v>1304</v>
      </c>
      <c r="R1877" s="2" t="s">
        <v>1340</v>
      </c>
      <c r="S1877" s="2">
        <v>2</v>
      </c>
      <c r="T1877" s="2">
        <v>1</v>
      </c>
      <c r="U1877" s="2" t="s">
        <v>141</v>
      </c>
      <c r="Y1877" s="2">
        <v>1700</v>
      </c>
      <c r="Z1877" s="11" t="s">
        <v>54</v>
      </c>
      <c r="AA1877" s="11" t="str">
        <f t="shared" si="121"/>
        <v>1700 - TBN</v>
      </c>
      <c r="AC1877" s="2" t="s">
        <v>145</v>
      </c>
      <c r="AD1877" s="11" t="str">
        <f>IF($I1877&lt;&gt;"",VLOOKUP($AC1877,GEADRESSEERDE!$A$2:$E$4,2,),"")</f>
        <v>LUITHAGEN HAVEN 2 D</v>
      </c>
      <c r="AE1877" s="11">
        <f>IF($I1877&lt;&gt;"",VLOOKUP($AC1877,GEADRESSEERDE!$A$2:$E$4,3,),"")</f>
        <v>2030</v>
      </c>
      <c r="AF1877" s="11" t="str">
        <f>IF($I1877&lt;&gt;"",VLOOKUP($AC1877,GEADRESSEERDE!$A$2:$E$4,4,),"")</f>
        <v>ANTWERPEN</v>
      </c>
      <c r="AG1877" s="11" t="str">
        <f>IF($I1877&lt;&gt;"",VLOOKUP($AC1877,GEADRESSEERDE!$A$2:$E$4,5,),"")</f>
        <v>BE</v>
      </c>
      <c r="AH1877" s="11" t="str">
        <f>IF(I1877&lt;&gt;"",VLOOKUP(AP1877,KvB!$A$2:$B$3,2,FALSE),"")</f>
        <v>BE101000</v>
      </c>
      <c r="AI1877" s="11" t="s">
        <v>55</v>
      </c>
      <c r="AJ1877" s="11"/>
      <c r="AK1877" s="11"/>
      <c r="AL1877" s="11"/>
      <c r="AM1877" s="11"/>
      <c r="AN1877" s="11"/>
      <c r="AO1877" s="11"/>
      <c r="AP1877" s="2" t="s">
        <v>70</v>
      </c>
      <c r="AQ1877" s="11" t="str">
        <f>IF(I1877&lt;&gt;"",DATA!D1876,"")</f>
        <v>9403208000</v>
      </c>
    </row>
    <row r="1878" spans="1:43" ht="15.75" x14ac:dyDescent="0.25">
      <c r="A1878" s="11" t="s">
        <v>57</v>
      </c>
      <c r="B1878" s="11" t="s">
        <v>56</v>
      </c>
      <c r="C1878" s="22">
        <f t="shared" si="122"/>
        <v>25001620</v>
      </c>
      <c r="D1878" s="11" t="str">
        <f t="shared" si="119"/>
        <v>SKIIFM_AT</v>
      </c>
      <c r="E1878" s="11" t="str">
        <f>IF(I1878&lt;&gt;"",VLOOKUP(F1878,OPDRACHTGEVER!$A$2:$B$4,2,FALSE),"")</f>
        <v>SKIIFM_AT</v>
      </c>
      <c r="F1878" s="11" t="s">
        <v>58</v>
      </c>
      <c r="I1878" s="11" t="str">
        <f>IF(DATA!B1877&lt;&gt;"",DATA!B1877,"")</f>
        <v>MSMU5266197</v>
      </c>
      <c r="J1878" s="12">
        <v>0</v>
      </c>
      <c r="K1878" s="11" t="s">
        <v>53</v>
      </c>
      <c r="L1878" s="11" t="str">
        <f t="shared" si="120"/>
        <v>853890</v>
      </c>
      <c r="M1878" s="11" t="str">
        <f>IF(I1878&lt;&gt;"",DATA!E1877,"")</f>
        <v>STAINLESS ELECTRICAL ENCLOSURES</v>
      </c>
      <c r="N1878" s="12">
        <v>0</v>
      </c>
      <c r="O1878" s="11">
        <f>IF(I1878&lt;&gt;"",DATA!C1877,"")</f>
        <v>6.37</v>
      </c>
      <c r="P1878" s="2">
        <v>294094</v>
      </c>
      <c r="Q1878" s="2" t="s">
        <v>1304</v>
      </c>
      <c r="R1878" s="2" t="s">
        <v>1340</v>
      </c>
      <c r="S1878" s="2">
        <v>2</v>
      </c>
      <c r="T1878" s="2">
        <v>1</v>
      </c>
      <c r="U1878" s="2" t="s">
        <v>141</v>
      </c>
      <c r="Y1878" s="2">
        <v>1700</v>
      </c>
      <c r="Z1878" s="11" t="s">
        <v>54</v>
      </c>
      <c r="AA1878" s="11" t="str">
        <f t="shared" si="121"/>
        <v>1700 - TBN</v>
      </c>
      <c r="AC1878" s="2" t="s">
        <v>145</v>
      </c>
      <c r="AD1878" s="11" t="str">
        <f>IF($I1878&lt;&gt;"",VLOOKUP($AC1878,GEADRESSEERDE!$A$2:$E$4,2,),"")</f>
        <v>LUITHAGEN HAVEN 2 D</v>
      </c>
      <c r="AE1878" s="11">
        <f>IF($I1878&lt;&gt;"",VLOOKUP($AC1878,GEADRESSEERDE!$A$2:$E$4,3,),"")</f>
        <v>2030</v>
      </c>
      <c r="AF1878" s="11" t="str">
        <f>IF($I1878&lt;&gt;"",VLOOKUP($AC1878,GEADRESSEERDE!$A$2:$E$4,4,),"")</f>
        <v>ANTWERPEN</v>
      </c>
      <c r="AG1878" s="11" t="str">
        <f>IF($I1878&lt;&gt;"",VLOOKUP($AC1878,GEADRESSEERDE!$A$2:$E$4,5,),"")</f>
        <v>BE</v>
      </c>
      <c r="AH1878" s="11" t="str">
        <f>IF(I1878&lt;&gt;"",VLOOKUP(AP1878,KvB!$A$2:$B$3,2,FALSE),"")</f>
        <v>BE101000</v>
      </c>
      <c r="AI1878" s="11" t="s">
        <v>55</v>
      </c>
      <c r="AJ1878" s="11"/>
      <c r="AK1878" s="11"/>
      <c r="AL1878" s="11"/>
      <c r="AM1878" s="11"/>
      <c r="AN1878" s="11"/>
      <c r="AO1878" s="11"/>
      <c r="AP1878" s="2" t="s">
        <v>70</v>
      </c>
      <c r="AQ1878" s="11" t="str">
        <f>IF(I1878&lt;&gt;"",DATA!D1877,"")</f>
        <v>8538909189</v>
      </c>
    </row>
    <row r="1879" spans="1:43" ht="15.75" x14ac:dyDescent="0.25">
      <c r="A1879" s="11" t="s">
        <v>57</v>
      </c>
      <c r="B1879" s="11" t="s">
        <v>56</v>
      </c>
      <c r="C1879" s="22">
        <f t="shared" si="122"/>
        <v>25001620</v>
      </c>
      <c r="D1879" s="11" t="str">
        <f t="shared" si="119"/>
        <v>SKIIFM_AT</v>
      </c>
      <c r="E1879" s="11" t="str">
        <f>IF(I1879&lt;&gt;"",VLOOKUP(F1879,OPDRACHTGEVER!$A$2:$B$4,2,FALSE),"")</f>
        <v>SKIIFM_AT</v>
      </c>
      <c r="F1879" s="11" t="s">
        <v>58</v>
      </c>
      <c r="I1879" s="11" t="str">
        <f>IF(DATA!B1878&lt;&gt;"",DATA!B1878,"")</f>
        <v>MSMU5266197</v>
      </c>
      <c r="J1879" s="12">
        <v>0</v>
      </c>
      <c r="K1879" s="11" t="s">
        <v>53</v>
      </c>
      <c r="L1879" s="11" t="str">
        <f t="shared" si="120"/>
        <v>830120</v>
      </c>
      <c r="M1879" s="11" t="str">
        <f>IF(I1879&lt;&gt;"",DATA!E1878,"")</f>
        <v>TIRE LOCK</v>
      </c>
      <c r="N1879" s="12">
        <v>0</v>
      </c>
      <c r="O1879" s="11">
        <f>IF(I1879&lt;&gt;"",DATA!C1878,"")</f>
        <v>153.5</v>
      </c>
      <c r="P1879" s="2">
        <v>294094</v>
      </c>
      <c r="Q1879" s="2" t="s">
        <v>1304</v>
      </c>
      <c r="R1879" s="2" t="s">
        <v>1340</v>
      </c>
      <c r="S1879" s="2">
        <v>2</v>
      </c>
      <c r="T1879" s="2">
        <v>1</v>
      </c>
      <c r="U1879" s="2" t="s">
        <v>141</v>
      </c>
      <c r="Y1879" s="2">
        <v>1700</v>
      </c>
      <c r="Z1879" s="11" t="s">
        <v>54</v>
      </c>
      <c r="AA1879" s="11" t="str">
        <f t="shared" si="121"/>
        <v>1700 - TBN</v>
      </c>
      <c r="AC1879" s="2" t="s">
        <v>145</v>
      </c>
      <c r="AD1879" s="11" t="str">
        <f>IF($I1879&lt;&gt;"",VLOOKUP($AC1879,GEADRESSEERDE!$A$2:$E$4,2,),"")</f>
        <v>LUITHAGEN HAVEN 2 D</v>
      </c>
      <c r="AE1879" s="11">
        <f>IF($I1879&lt;&gt;"",VLOOKUP($AC1879,GEADRESSEERDE!$A$2:$E$4,3,),"")</f>
        <v>2030</v>
      </c>
      <c r="AF1879" s="11" t="str">
        <f>IF($I1879&lt;&gt;"",VLOOKUP($AC1879,GEADRESSEERDE!$A$2:$E$4,4,),"")</f>
        <v>ANTWERPEN</v>
      </c>
      <c r="AG1879" s="11" t="str">
        <f>IF($I1879&lt;&gt;"",VLOOKUP($AC1879,GEADRESSEERDE!$A$2:$E$4,5,),"")</f>
        <v>BE</v>
      </c>
      <c r="AH1879" s="11" t="str">
        <f>IF(I1879&lt;&gt;"",VLOOKUP(AP1879,KvB!$A$2:$B$3,2,FALSE),"")</f>
        <v>BE101000</v>
      </c>
      <c r="AI1879" s="11" t="s">
        <v>55</v>
      </c>
      <c r="AJ1879" s="11"/>
      <c r="AK1879" s="11"/>
      <c r="AL1879" s="11"/>
      <c r="AM1879" s="11"/>
      <c r="AN1879" s="11"/>
      <c r="AO1879" s="11"/>
      <c r="AP1879" s="2" t="s">
        <v>70</v>
      </c>
      <c r="AQ1879" s="11" t="str">
        <f>IF(I1879&lt;&gt;"",DATA!D1878,"")</f>
        <v>8301200000</v>
      </c>
    </row>
    <row r="1880" spans="1:43" ht="15.75" x14ac:dyDescent="0.25">
      <c r="A1880" s="11" t="s">
        <v>57</v>
      </c>
      <c r="B1880" s="11" t="s">
        <v>56</v>
      </c>
      <c r="C1880" s="22">
        <f t="shared" si="122"/>
        <v>25001620</v>
      </c>
      <c r="D1880" s="11" t="str">
        <f t="shared" si="119"/>
        <v>SKIIFM_AT</v>
      </c>
      <c r="E1880" s="11" t="str">
        <f>IF(I1880&lt;&gt;"",VLOOKUP(F1880,OPDRACHTGEVER!$A$2:$B$4,2,FALSE),"")</f>
        <v>SKIIFM_AT</v>
      </c>
      <c r="F1880" s="11" t="s">
        <v>58</v>
      </c>
      <c r="I1880" s="11" t="str">
        <f>IF(DATA!B1879&lt;&gt;"",DATA!B1879,"")</f>
        <v>MSMU5266197</v>
      </c>
      <c r="J1880" s="12">
        <v>0</v>
      </c>
      <c r="K1880" s="11" t="s">
        <v>53</v>
      </c>
      <c r="L1880" s="11" t="str">
        <f t="shared" si="120"/>
        <v>871680</v>
      </c>
      <c r="M1880" s="11" t="str">
        <f>IF(I1880&lt;&gt;"",DATA!E1879,"")</f>
        <v>TROLLEY</v>
      </c>
      <c r="N1880" s="12">
        <v>0</v>
      </c>
      <c r="O1880" s="11">
        <f>IF(I1880&lt;&gt;"",DATA!C1879,"")</f>
        <v>99.47</v>
      </c>
      <c r="P1880" s="2">
        <v>294094</v>
      </c>
      <c r="Q1880" s="2" t="s">
        <v>1304</v>
      </c>
      <c r="R1880" s="2" t="s">
        <v>1340</v>
      </c>
      <c r="S1880" s="2">
        <v>2</v>
      </c>
      <c r="T1880" s="2">
        <v>1</v>
      </c>
      <c r="U1880" s="2" t="s">
        <v>141</v>
      </c>
      <c r="Y1880" s="2">
        <v>1700</v>
      </c>
      <c r="Z1880" s="11" t="s">
        <v>54</v>
      </c>
      <c r="AA1880" s="11" t="str">
        <f t="shared" si="121"/>
        <v>1700 - TBN</v>
      </c>
      <c r="AC1880" s="2" t="s">
        <v>145</v>
      </c>
      <c r="AD1880" s="11" t="str">
        <f>IF($I1880&lt;&gt;"",VLOOKUP($AC1880,GEADRESSEERDE!$A$2:$E$4,2,),"")</f>
        <v>LUITHAGEN HAVEN 2 D</v>
      </c>
      <c r="AE1880" s="11">
        <f>IF($I1880&lt;&gt;"",VLOOKUP($AC1880,GEADRESSEERDE!$A$2:$E$4,3,),"")</f>
        <v>2030</v>
      </c>
      <c r="AF1880" s="11" t="str">
        <f>IF($I1880&lt;&gt;"",VLOOKUP($AC1880,GEADRESSEERDE!$A$2:$E$4,4,),"")</f>
        <v>ANTWERPEN</v>
      </c>
      <c r="AG1880" s="11" t="str">
        <f>IF($I1880&lt;&gt;"",VLOOKUP($AC1880,GEADRESSEERDE!$A$2:$E$4,5,),"")</f>
        <v>BE</v>
      </c>
      <c r="AH1880" s="11" t="str">
        <f>IF(I1880&lt;&gt;"",VLOOKUP(AP1880,KvB!$A$2:$B$3,2,FALSE),"")</f>
        <v>BE101000</v>
      </c>
      <c r="AI1880" s="11" t="s">
        <v>55</v>
      </c>
      <c r="AJ1880" s="11"/>
      <c r="AK1880" s="11"/>
      <c r="AL1880" s="11"/>
      <c r="AM1880" s="11"/>
      <c r="AN1880" s="11"/>
      <c r="AO1880" s="11"/>
      <c r="AP1880" s="2" t="s">
        <v>70</v>
      </c>
      <c r="AQ1880" s="11" t="str">
        <f>IF(I1880&lt;&gt;"",DATA!D1879,"")</f>
        <v>8716800000</v>
      </c>
    </row>
    <row r="1881" spans="1:43" ht="15.75" x14ac:dyDescent="0.25">
      <c r="A1881" s="11" t="s">
        <v>57</v>
      </c>
      <c r="B1881" s="11" t="s">
        <v>56</v>
      </c>
      <c r="C1881" s="22">
        <f t="shared" si="122"/>
        <v>25001620</v>
      </c>
      <c r="D1881" s="11" t="str">
        <f t="shared" si="119"/>
        <v>SKIIFM_AT</v>
      </c>
      <c r="E1881" s="11" t="str">
        <f>IF(I1881&lt;&gt;"",VLOOKUP(F1881,OPDRACHTGEVER!$A$2:$B$4,2,FALSE),"")</f>
        <v>SKIIFM_AT</v>
      </c>
      <c r="F1881" s="11" t="s">
        <v>58</v>
      </c>
      <c r="I1881" s="11" t="str">
        <f>IF(DATA!B1880&lt;&gt;"",DATA!B1880,"")</f>
        <v>MSMU5266197</v>
      </c>
      <c r="J1881" s="12">
        <v>0</v>
      </c>
      <c r="K1881" s="11" t="s">
        <v>53</v>
      </c>
      <c r="L1881" s="11" t="str">
        <f t="shared" si="120"/>
        <v>850432</v>
      </c>
      <c r="M1881" s="11" t="str">
        <f>IF(I1881&lt;&gt;"",DATA!E1880,"")</f>
        <v>VOLTAGE CONVERTER</v>
      </c>
      <c r="N1881" s="12">
        <v>0</v>
      </c>
      <c r="O1881" s="11">
        <f>IF(I1881&lt;&gt;"",DATA!C1880,"")</f>
        <v>14.82</v>
      </c>
      <c r="P1881" s="2">
        <v>294094</v>
      </c>
      <c r="Q1881" s="2" t="s">
        <v>1304</v>
      </c>
      <c r="R1881" s="2" t="s">
        <v>1340</v>
      </c>
      <c r="S1881" s="2">
        <v>2</v>
      </c>
      <c r="T1881" s="2">
        <v>1</v>
      </c>
      <c r="U1881" s="2" t="s">
        <v>141</v>
      </c>
      <c r="Y1881" s="2">
        <v>1700</v>
      </c>
      <c r="Z1881" s="11" t="s">
        <v>54</v>
      </c>
      <c r="AA1881" s="11" t="str">
        <f t="shared" si="121"/>
        <v>1700 - TBN</v>
      </c>
      <c r="AC1881" s="2" t="s">
        <v>145</v>
      </c>
      <c r="AD1881" s="11" t="str">
        <f>IF($I1881&lt;&gt;"",VLOOKUP($AC1881,GEADRESSEERDE!$A$2:$E$4,2,),"")</f>
        <v>LUITHAGEN HAVEN 2 D</v>
      </c>
      <c r="AE1881" s="11">
        <f>IF($I1881&lt;&gt;"",VLOOKUP($AC1881,GEADRESSEERDE!$A$2:$E$4,3,),"")</f>
        <v>2030</v>
      </c>
      <c r="AF1881" s="11" t="str">
        <f>IF($I1881&lt;&gt;"",VLOOKUP($AC1881,GEADRESSEERDE!$A$2:$E$4,4,),"")</f>
        <v>ANTWERPEN</v>
      </c>
      <c r="AG1881" s="11" t="str">
        <f>IF($I1881&lt;&gt;"",VLOOKUP($AC1881,GEADRESSEERDE!$A$2:$E$4,5,),"")</f>
        <v>BE</v>
      </c>
      <c r="AH1881" s="11" t="str">
        <f>IF(I1881&lt;&gt;"",VLOOKUP(AP1881,KvB!$A$2:$B$3,2,FALSE),"")</f>
        <v>BE101000</v>
      </c>
      <c r="AI1881" s="11" t="s">
        <v>55</v>
      </c>
      <c r="AJ1881" s="11"/>
      <c r="AK1881" s="11"/>
      <c r="AL1881" s="11"/>
      <c r="AM1881" s="11"/>
      <c r="AN1881" s="11"/>
      <c r="AO1881" s="11"/>
      <c r="AP1881" s="2" t="s">
        <v>70</v>
      </c>
      <c r="AQ1881" s="11" t="str">
        <f>IF(I1881&lt;&gt;"",DATA!D1880,"")</f>
        <v>8504320090</v>
      </c>
    </row>
    <row r="1882" spans="1:43" ht="15.75" x14ac:dyDescent="0.25">
      <c r="A1882" s="11" t="s">
        <v>57</v>
      </c>
      <c r="B1882" s="11" t="s">
        <v>56</v>
      </c>
      <c r="C1882" s="22">
        <f t="shared" si="122"/>
        <v>25001620</v>
      </c>
      <c r="D1882" s="11" t="str">
        <f t="shared" si="119"/>
        <v>SKIIFM_AT</v>
      </c>
      <c r="E1882" s="11" t="str">
        <f>IF(I1882&lt;&gt;"",VLOOKUP(F1882,OPDRACHTGEVER!$A$2:$B$4,2,FALSE),"")</f>
        <v>SKIIFM_AT</v>
      </c>
      <c r="F1882" s="11" t="s">
        <v>58</v>
      </c>
      <c r="I1882" s="11" t="str">
        <f>IF(DATA!B1881&lt;&gt;"",DATA!B1881,"")</f>
        <v>MSMU5266197</v>
      </c>
      <c r="J1882" s="12">
        <v>0</v>
      </c>
      <c r="K1882" s="11" t="s">
        <v>53</v>
      </c>
      <c r="L1882" s="11" t="str">
        <f t="shared" si="120"/>
        <v>741920</v>
      </c>
      <c r="M1882" s="11" t="str">
        <f>IF(I1882&lt;&gt;"",DATA!E1881,"")</f>
        <v>WATER CHANNEL</v>
      </c>
      <c r="N1882" s="12">
        <v>0</v>
      </c>
      <c r="O1882" s="11">
        <f>IF(I1882&lt;&gt;"",DATA!C1881,"")</f>
        <v>109.88</v>
      </c>
      <c r="P1882" s="2">
        <v>294094</v>
      </c>
      <c r="Q1882" s="2" t="s">
        <v>1304</v>
      </c>
      <c r="R1882" s="2" t="s">
        <v>1340</v>
      </c>
      <c r="S1882" s="2">
        <v>2</v>
      </c>
      <c r="T1882" s="2">
        <v>1</v>
      </c>
      <c r="U1882" s="2" t="s">
        <v>141</v>
      </c>
      <c r="Y1882" s="2">
        <v>1700</v>
      </c>
      <c r="Z1882" s="11" t="s">
        <v>54</v>
      </c>
      <c r="AA1882" s="11" t="str">
        <f t="shared" si="121"/>
        <v>1700 - TBN</v>
      </c>
      <c r="AC1882" s="2" t="s">
        <v>145</v>
      </c>
      <c r="AD1882" s="11" t="str">
        <f>IF($I1882&lt;&gt;"",VLOOKUP($AC1882,GEADRESSEERDE!$A$2:$E$4,2,),"")</f>
        <v>LUITHAGEN HAVEN 2 D</v>
      </c>
      <c r="AE1882" s="11">
        <f>IF($I1882&lt;&gt;"",VLOOKUP($AC1882,GEADRESSEERDE!$A$2:$E$4,3,),"")</f>
        <v>2030</v>
      </c>
      <c r="AF1882" s="11" t="str">
        <f>IF($I1882&lt;&gt;"",VLOOKUP($AC1882,GEADRESSEERDE!$A$2:$E$4,4,),"")</f>
        <v>ANTWERPEN</v>
      </c>
      <c r="AG1882" s="11" t="str">
        <f>IF($I1882&lt;&gt;"",VLOOKUP($AC1882,GEADRESSEERDE!$A$2:$E$4,5,),"")</f>
        <v>BE</v>
      </c>
      <c r="AH1882" s="11" t="str">
        <f>IF(I1882&lt;&gt;"",VLOOKUP(AP1882,KvB!$A$2:$B$3,2,FALSE),"")</f>
        <v>BE101000</v>
      </c>
      <c r="AI1882" s="11" t="s">
        <v>55</v>
      </c>
      <c r="AJ1882" s="11"/>
      <c r="AK1882" s="11"/>
      <c r="AL1882" s="11"/>
      <c r="AM1882" s="11"/>
      <c r="AN1882" s="11"/>
      <c r="AO1882" s="11"/>
      <c r="AP1882" s="2" t="s">
        <v>70</v>
      </c>
      <c r="AQ1882" s="11" t="str">
        <f>IF(I1882&lt;&gt;"",DATA!D1881,"")</f>
        <v>7419200090</v>
      </c>
    </row>
    <row r="1883" spans="1:43" ht="15.75" x14ac:dyDescent="0.25">
      <c r="A1883" s="11" t="s">
        <v>57</v>
      </c>
      <c r="B1883" s="11" t="s">
        <v>56</v>
      </c>
      <c r="C1883" s="22">
        <f t="shared" si="122"/>
        <v>25001620</v>
      </c>
      <c r="D1883" s="11" t="str">
        <f t="shared" si="119"/>
        <v>SKIIFM_AT</v>
      </c>
      <c r="E1883" s="11" t="str">
        <f>IF(I1883&lt;&gt;"",VLOOKUP(F1883,OPDRACHTGEVER!$A$2:$B$4,2,FALSE),"")</f>
        <v>SKIIFM_AT</v>
      </c>
      <c r="F1883" s="11" t="s">
        <v>58</v>
      </c>
      <c r="I1883" s="11" t="str">
        <f>IF(DATA!B1882&lt;&gt;"",DATA!B1882,"")</f>
        <v>MSMU5266197</v>
      </c>
      <c r="J1883" s="12">
        <v>0</v>
      </c>
      <c r="K1883" s="11" t="s">
        <v>53</v>
      </c>
      <c r="L1883" s="11" t="str">
        <f t="shared" si="120"/>
        <v>392329</v>
      </c>
      <c r="M1883" s="11" t="str">
        <f>IF(I1883&lt;&gt;"",DATA!E1882,"")</f>
        <v>WATER STORAGE BAG</v>
      </c>
      <c r="N1883" s="12">
        <v>0</v>
      </c>
      <c r="O1883" s="11">
        <f>IF(I1883&lt;&gt;"",DATA!C1882,"")</f>
        <v>22.76</v>
      </c>
      <c r="P1883" s="2">
        <v>294094</v>
      </c>
      <c r="Q1883" s="2" t="s">
        <v>1304</v>
      </c>
      <c r="R1883" s="2" t="s">
        <v>1340</v>
      </c>
      <c r="S1883" s="2">
        <v>2</v>
      </c>
      <c r="T1883" s="2">
        <v>1</v>
      </c>
      <c r="U1883" s="2" t="s">
        <v>141</v>
      </c>
      <c r="Y1883" s="2">
        <v>1700</v>
      </c>
      <c r="Z1883" s="11" t="s">
        <v>54</v>
      </c>
      <c r="AA1883" s="11" t="str">
        <f t="shared" si="121"/>
        <v>1700 - TBN</v>
      </c>
      <c r="AC1883" s="2" t="s">
        <v>145</v>
      </c>
      <c r="AD1883" s="11" t="str">
        <f>IF($I1883&lt;&gt;"",VLOOKUP($AC1883,GEADRESSEERDE!$A$2:$E$4,2,),"")</f>
        <v>LUITHAGEN HAVEN 2 D</v>
      </c>
      <c r="AE1883" s="11">
        <f>IF($I1883&lt;&gt;"",VLOOKUP($AC1883,GEADRESSEERDE!$A$2:$E$4,3,),"")</f>
        <v>2030</v>
      </c>
      <c r="AF1883" s="11" t="str">
        <f>IF($I1883&lt;&gt;"",VLOOKUP($AC1883,GEADRESSEERDE!$A$2:$E$4,4,),"")</f>
        <v>ANTWERPEN</v>
      </c>
      <c r="AG1883" s="11" t="str">
        <f>IF($I1883&lt;&gt;"",VLOOKUP($AC1883,GEADRESSEERDE!$A$2:$E$4,5,),"")</f>
        <v>BE</v>
      </c>
      <c r="AH1883" s="11" t="str">
        <f>IF(I1883&lt;&gt;"",VLOOKUP(AP1883,KvB!$A$2:$B$3,2,FALSE),"")</f>
        <v>BE101000</v>
      </c>
      <c r="AI1883" s="11" t="s">
        <v>55</v>
      </c>
      <c r="AJ1883" s="11"/>
      <c r="AK1883" s="11"/>
      <c r="AL1883" s="11"/>
      <c r="AM1883" s="11"/>
      <c r="AN1883" s="11"/>
      <c r="AO1883" s="11"/>
      <c r="AP1883" s="2" t="s">
        <v>70</v>
      </c>
      <c r="AQ1883" s="11" t="str">
        <f>IF(I1883&lt;&gt;"",DATA!D1882,"")</f>
        <v>3923299000</v>
      </c>
    </row>
    <row r="1884" spans="1:43" ht="15.75" x14ac:dyDescent="0.25">
      <c r="A1884" s="11" t="s">
        <v>57</v>
      </c>
      <c r="B1884" s="11" t="s">
        <v>56</v>
      </c>
      <c r="C1884" s="22">
        <f t="shared" si="122"/>
        <v>25001620</v>
      </c>
      <c r="D1884" s="11" t="str">
        <f t="shared" si="119"/>
        <v>SKIIFM_AT</v>
      </c>
      <c r="E1884" s="11" t="str">
        <f>IF(I1884&lt;&gt;"",VLOOKUP(F1884,OPDRACHTGEVER!$A$2:$B$4,2,FALSE),"")</f>
        <v>SKIIFM_AT</v>
      </c>
      <c r="F1884" s="11" t="s">
        <v>58</v>
      </c>
      <c r="I1884" s="11" t="str">
        <f>IF(DATA!B1883&lt;&gt;"",DATA!B1883,"")</f>
        <v>MSMU5266197</v>
      </c>
      <c r="J1884" s="12">
        <v>0</v>
      </c>
      <c r="K1884" s="11" t="s">
        <v>53</v>
      </c>
      <c r="L1884" s="11" t="str">
        <f t="shared" si="120"/>
        <v>700719</v>
      </c>
      <c r="M1884" s="11" t="str">
        <f>IF(I1884&lt;&gt;"",DATA!E1883,"")</f>
        <v>WINDSHIELD PANEL</v>
      </c>
      <c r="N1884" s="12">
        <v>0</v>
      </c>
      <c r="O1884" s="11">
        <f>IF(I1884&lt;&gt;"",DATA!C1883,"")</f>
        <v>51.12</v>
      </c>
      <c r="P1884" s="2">
        <v>294094</v>
      </c>
      <c r="Q1884" s="2" t="s">
        <v>1304</v>
      </c>
      <c r="R1884" s="2" t="s">
        <v>1340</v>
      </c>
      <c r="S1884" s="2">
        <v>2</v>
      </c>
      <c r="T1884" s="2">
        <v>1</v>
      </c>
      <c r="U1884" s="2" t="s">
        <v>141</v>
      </c>
      <c r="Y1884" s="2">
        <v>1700</v>
      </c>
      <c r="Z1884" s="11" t="s">
        <v>54</v>
      </c>
      <c r="AA1884" s="11" t="str">
        <f t="shared" si="121"/>
        <v>1700 - TBN</v>
      </c>
      <c r="AC1884" s="2" t="s">
        <v>145</v>
      </c>
      <c r="AD1884" s="11" t="str">
        <f>IF($I1884&lt;&gt;"",VLOOKUP($AC1884,GEADRESSEERDE!$A$2:$E$4,2,),"")</f>
        <v>LUITHAGEN HAVEN 2 D</v>
      </c>
      <c r="AE1884" s="11">
        <f>IF($I1884&lt;&gt;"",VLOOKUP($AC1884,GEADRESSEERDE!$A$2:$E$4,3,),"")</f>
        <v>2030</v>
      </c>
      <c r="AF1884" s="11" t="str">
        <f>IF($I1884&lt;&gt;"",VLOOKUP($AC1884,GEADRESSEERDE!$A$2:$E$4,4,),"")</f>
        <v>ANTWERPEN</v>
      </c>
      <c r="AG1884" s="11" t="str">
        <f>IF($I1884&lt;&gt;"",VLOOKUP($AC1884,GEADRESSEERDE!$A$2:$E$4,5,),"")</f>
        <v>BE</v>
      </c>
      <c r="AH1884" s="11" t="str">
        <f>IF(I1884&lt;&gt;"",VLOOKUP(AP1884,KvB!$A$2:$B$3,2,FALSE),"")</f>
        <v>BE101000</v>
      </c>
      <c r="AI1884" s="11" t="s">
        <v>55</v>
      </c>
      <c r="AJ1884" s="11"/>
      <c r="AK1884" s="11"/>
      <c r="AL1884" s="11"/>
      <c r="AM1884" s="11"/>
      <c r="AN1884" s="11"/>
      <c r="AO1884" s="11"/>
      <c r="AP1884" s="2" t="s">
        <v>70</v>
      </c>
      <c r="AQ1884" s="11" t="str">
        <f>IF(I1884&lt;&gt;"",DATA!D1883,"")</f>
        <v>7007198095</v>
      </c>
    </row>
    <row r="1885" spans="1:43" ht="15.75" x14ac:dyDescent="0.25">
      <c r="A1885" s="11" t="s">
        <v>57</v>
      </c>
      <c r="B1885" s="11" t="s">
        <v>56</v>
      </c>
      <c r="C1885" s="22">
        <f t="shared" si="122"/>
        <v>25001620</v>
      </c>
      <c r="D1885" s="11" t="str">
        <f t="shared" si="119"/>
        <v>SKIIFM_AT</v>
      </c>
      <c r="E1885" s="11" t="str">
        <f>IF(I1885&lt;&gt;"",VLOOKUP(F1885,OPDRACHTGEVER!$A$2:$B$4,2,FALSE),"")</f>
        <v>SKIIFM_AT</v>
      </c>
      <c r="F1885" s="11" t="s">
        <v>58</v>
      </c>
      <c r="I1885" s="11" t="str">
        <f>IF(DATA!B1884&lt;&gt;"",DATA!B1884,"")</f>
        <v>MSMU5266197</v>
      </c>
      <c r="J1885" s="12">
        <v>0</v>
      </c>
      <c r="K1885" s="11" t="s">
        <v>53</v>
      </c>
      <c r="L1885" s="11" t="str">
        <f t="shared" si="120"/>
        <v>851690</v>
      </c>
      <c r="M1885" s="11" t="str">
        <f>IF(I1885&lt;&gt;"",DATA!E1884,"")</f>
        <v>WIRE MESH</v>
      </c>
      <c r="N1885" s="12">
        <v>0</v>
      </c>
      <c r="O1885" s="11">
        <f>IF(I1885&lt;&gt;"",DATA!C1884,"")</f>
        <v>8.0299999999999994</v>
      </c>
      <c r="P1885" s="2">
        <v>294094</v>
      </c>
      <c r="Q1885" s="2" t="s">
        <v>1304</v>
      </c>
      <c r="R1885" s="2" t="s">
        <v>1340</v>
      </c>
      <c r="S1885" s="2">
        <v>2</v>
      </c>
      <c r="T1885" s="2">
        <v>1</v>
      </c>
      <c r="U1885" s="2" t="s">
        <v>141</v>
      </c>
      <c r="Y1885" s="2">
        <v>1700</v>
      </c>
      <c r="Z1885" s="11" t="s">
        <v>54</v>
      </c>
      <c r="AA1885" s="11" t="str">
        <f t="shared" si="121"/>
        <v>1700 - TBN</v>
      </c>
      <c r="AC1885" s="2" t="s">
        <v>145</v>
      </c>
      <c r="AD1885" s="11" t="str">
        <f>IF($I1885&lt;&gt;"",VLOOKUP($AC1885,GEADRESSEERDE!$A$2:$E$4,2,),"")</f>
        <v>LUITHAGEN HAVEN 2 D</v>
      </c>
      <c r="AE1885" s="11">
        <f>IF($I1885&lt;&gt;"",VLOOKUP($AC1885,GEADRESSEERDE!$A$2:$E$4,3,),"")</f>
        <v>2030</v>
      </c>
      <c r="AF1885" s="11" t="str">
        <f>IF($I1885&lt;&gt;"",VLOOKUP($AC1885,GEADRESSEERDE!$A$2:$E$4,4,),"")</f>
        <v>ANTWERPEN</v>
      </c>
      <c r="AG1885" s="11" t="str">
        <f>IF($I1885&lt;&gt;"",VLOOKUP($AC1885,GEADRESSEERDE!$A$2:$E$4,5,),"")</f>
        <v>BE</v>
      </c>
      <c r="AH1885" s="11" t="str">
        <f>IF(I1885&lt;&gt;"",VLOOKUP(AP1885,KvB!$A$2:$B$3,2,FALSE),"")</f>
        <v>BE101000</v>
      </c>
      <c r="AI1885" s="11" t="s">
        <v>55</v>
      </c>
      <c r="AJ1885" s="11"/>
      <c r="AK1885" s="11"/>
      <c r="AL1885" s="11"/>
      <c r="AM1885" s="11"/>
      <c r="AN1885" s="11"/>
      <c r="AO1885" s="11"/>
      <c r="AP1885" s="2" t="s">
        <v>70</v>
      </c>
      <c r="AQ1885" s="11" t="str">
        <f>IF(I1885&lt;&gt;"",DATA!D1884,"")</f>
        <v>8516900099</v>
      </c>
    </row>
    <row r="1886" spans="1:43" ht="15.75" x14ac:dyDescent="0.25">
      <c r="A1886" s="11" t="s">
        <v>57</v>
      </c>
      <c r="B1886" s="11" t="s">
        <v>56</v>
      </c>
      <c r="C1886" s="22">
        <f t="shared" si="122"/>
        <v>25001620</v>
      </c>
      <c r="D1886" s="11" t="str">
        <f t="shared" si="119"/>
        <v>SKIIFM_AT</v>
      </c>
      <c r="E1886" s="11" t="str">
        <f>IF(I1886&lt;&gt;"",VLOOKUP(F1886,OPDRACHTGEVER!$A$2:$B$4,2,FALSE),"")</f>
        <v>SKIIFM_AT</v>
      </c>
      <c r="F1886" s="11" t="s">
        <v>58</v>
      </c>
      <c r="I1886" s="11" t="str">
        <f>IF(DATA!B1885&lt;&gt;"",DATA!B1885,"")</f>
        <v>MSMU5266197</v>
      </c>
      <c r="J1886" s="12">
        <v>0</v>
      </c>
      <c r="K1886" s="11" t="s">
        <v>53</v>
      </c>
      <c r="L1886" s="11" t="str">
        <f t="shared" si="120"/>
        <v>961000</v>
      </c>
      <c r="M1886" s="11" t="str">
        <f>IF(I1886&lt;&gt;"",DATA!E1885,"")</f>
        <v>WORDPAD</v>
      </c>
      <c r="N1886" s="12">
        <v>0</v>
      </c>
      <c r="O1886" s="11">
        <f>IF(I1886&lt;&gt;"",DATA!C1885,"")</f>
        <v>1.7</v>
      </c>
      <c r="P1886" s="2">
        <v>294094</v>
      </c>
      <c r="Q1886" s="2" t="s">
        <v>1304</v>
      </c>
      <c r="R1886" s="2" t="s">
        <v>1340</v>
      </c>
      <c r="S1886" s="2">
        <v>2</v>
      </c>
      <c r="T1886" s="2">
        <v>1</v>
      </c>
      <c r="U1886" s="2" t="s">
        <v>141</v>
      </c>
      <c r="Y1886" s="2">
        <v>1700</v>
      </c>
      <c r="Z1886" s="11" t="s">
        <v>54</v>
      </c>
      <c r="AA1886" s="11" t="str">
        <f t="shared" si="121"/>
        <v>1700 - TBN</v>
      </c>
      <c r="AC1886" s="2" t="s">
        <v>145</v>
      </c>
      <c r="AD1886" s="11" t="str">
        <f>IF($I1886&lt;&gt;"",VLOOKUP($AC1886,GEADRESSEERDE!$A$2:$E$4,2,),"")</f>
        <v>LUITHAGEN HAVEN 2 D</v>
      </c>
      <c r="AE1886" s="11">
        <f>IF($I1886&lt;&gt;"",VLOOKUP($AC1886,GEADRESSEERDE!$A$2:$E$4,3,),"")</f>
        <v>2030</v>
      </c>
      <c r="AF1886" s="11" t="str">
        <f>IF($I1886&lt;&gt;"",VLOOKUP($AC1886,GEADRESSEERDE!$A$2:$E$4,4,),"")</f>
        <v>ANTWERPEN</v>
      </c>
      <c r="AG1886" s="11" t="str">
        <f>IF($I1886&lt;&gt;"",VLOOKUP($AC1886,GEADRESSEERDE!$A$2:$E$4,5,),"")</f>
        <v>BE</v>
      </c>
      <c r="AH1886" s="11" t="str">
        <f>IF(I1886&lt;&gt;"",VLOOKUP(AP1886,KvB!$A$2:$B$3,2,FALSE),"")</f>
        <v>BE101000</v>
      </c>
      <c r="AI1886" s="11" t="s">
        <v>55</v>
      </c>
      <c r="AJ1886" s="11"/>
      <c r="AK1886" s="11"/>
      <c r="AL1886" s="11"/>
      <c r="AM1886" s="11"/>
      <c r="AN1886" s="11"/>
      <c r="AO1886" s="11"/>
      <c r="AP1886" s="2" t="s">
        <v>70</v>
      </c>
      <c r="AQ1886" s="11" t="str">
        <f>IF(I1886&lt;&gt;"",DATA!D1885,"")</f>
        <v>9610000000</v>
      </c>
    </row>
    <row r="1887" spans="1:43" ht="15.75" x14ac:dyDescent="0.25">
      <c r="A1887" s="11" t="s">
        <v>57</v>
      </c>
      <c r="B1887" s="11" t="s">
        <v>56</v>
      </c>
      <c r="C1887" s="22">
        <f t="shared" si="122"/>
        <v>25001620</v>
      </c>
      <c r="D1887" s="11" t="str">
        <f t="shared" si="119"/>
        <v>SKIIFM_AT</v>
      </c>
      <c r="E1887" s="11" t="str">
        <f>IF(I1887&lt;&gt;"",VLOOKUP(F1887,OPDRACHTGEVER!$A$2:$B$4,2,FALSE),"")</f>
        <v>SKIIFM_AT</v>
      </c>
      <c r="F1887" s="11" t="s">
        <v>58</v>
      </c>
      <c r="I1887" s="11" t="str">
        <f>IF(DATA!B1886&lt;&gt;"",DATA!B1886,"")</f>
        <v>MSMU5767820</v>
      </c>
      <c r="J1887" s="12">
        <v>1583</v>
      </c>
      <c r="K1887" s="11" t="s">
        <v>53</v>
      </c>
      <c r="L1887" s="11" t="str">
        <f t="shared" si="120"/>
        <v>851680</v>
      </c>
      <c r="M1887" s="11" t="str">
        <f>IF(I1887&lt;&gt;"",DATA!E1886,"")</f>
        <v>220V DOUBLE HEAT PIPES LINER</v>
      </c>
      <c r="N1887" s="12">
        <v>15083</v>
      </c>
      <c r="O1887" s="11">
        <f>IF(I1887&lt;&gt;"",DATA!C1886,"")</f>
        <v>38</v>
      </c>
      <c r="P1887" s="2">
        <v>294094</v>
      </c>
      <c r="Q1887" s="2" t="s">
        <v>1304</v>
      </c>
      <c r="R1887" s="2" t="s">
        <v>1341</v>
      </c>
      <c r="S1887" s="2">
        <v>292</v>
      </c>
      <c r="T1887" s="2">
        <v>1</v>
      </c>
      <c r="U1887" s="2" t="s">
        <v>141</v>
      </c>
      <c r="Y1887" s="2">
        <v>1700</v>
      </c>
      <c r="Z1887" s="11" t="s">
        <v>54</v>
      </c>
      <c r="AA1887" s="11" t="str">
        <f t="shared" si="121"/>
        <v>1700 - TBN</v>
      </c>
      <c r="AC1887" s="2" t="s">
        <v>145</v>
      </c>
      <c r="AD1887" s="11" t="str">
        <f>IF($I1887&lt;&gt;"",VLOOKUP($AC1887,GEADRESSEERDE!$A$2:$E$4,2,),"")</f>
        <v>LUITHAGEN HAVEN 2 D</v>
      </c>
      <c r="AE1887" s="11">
        <f>IF($I1887&lt;&gt;"",VLOOKUP($AC1887,GEADRESSEERDE!$A$2:$E$4,3,),"")</f>
        <v>2030</v>
      </c>
      <c r="AF1887" s="11" t="str">
        <f>IF($I1887&lt;&gt;"",VLOOKUP($AC1887,GEADRESSEERDE!$A$2:$E$4,4,),"")</f>
        <v>ANTWERPEN</v>
      </c>
      <c r="AG1887" s="11" t="str">
        <f>IF($I1887&lt;&gt;"",VLOOKUP($AC1887,GEADRESSEERDE!$A$2:$E$4,5,),"")</f>
        <v>BE</v>
      </c>
      <c r="AH1887" s="11" t="str">
        <f>IF(I1887&lt;&gt;"",VLOOKUP(AP1887,KvB!$A$2:$B$3,2,FALSE),"")</f>
        <v>BE101000</v>
      </c>
      <c r="AI1887" s="11" t="s">
        <v>55</v>
      </c>
      <c r="AJ1887" s="11"/>
      <c r="AK1887" s="11"/>
      <c r="AL1887" s="11"/>
      <c r="AM1887" s="11"/>
      <c r="AN1887" s="11"/>
      <c r="AO1887" s="11"/>
      <c r="AP1887" s="2" t="s">
        <v>70</v>
      </c>
      <c r="AQ1887" s="11" t="str">
        <f>IF(I1887&lt;&gt;"",DATA!D1886,"")</f>
        <v>8516808000</v>
      </c>
    </row>
    <row r="1888" spans="1:43" ht="15.75" x14ac:dyDescent="0.25">
      <c r="A1888" s="11" t="s">
        <v>57</v>
      </c>
      <c r="B1888" s="11" t="s">
        <v>56</v>
      </c>
      <c r="C1888" s="22">
        <f t="shared" si="122"/>
        <v>25001620</v>
      </c>
      <c r="D1888" s="11" t="str">
        <f t="shared" si="119"/>
        <v>SKIIFM_AT</v>
      </c>
      <c r="E1888" s="11" t="str">
        <f>IF(I1888&lt;&gt;"",VLOOKUP(F1888,OPDRACHTGEVER!$A$2:$B$4,2,FALSE),"")</f>
        <v>SKIIFM_AT</v>
      </c>
      <c r="F1888" s="11" t="s">
        <v>58</v>
      </c>
      <c r="I1888" s="11" t="str">
        <f>IF(DATA!B1887&lt;&gt;"",DATA!B1887,"")</f>
        <v>MSMU5767820</v>
      </c>
      <c r="J1888" s="12">
        <v>0</v>
      </c>
      <c r="K1888" s="11" t="s">
        <v>53</v>
      </c>
      <c r="L1888" s="11" t="str">
        <f t="shared" si="120"/>
        <v>761090</v>
      </c>
      <c r="M1888" s="11" t="str">
        <f>IF(I1888&lt;&gt;"",DATA!E1887,"")</f>
        <v>ALUMINUM STAIR RAILING</v>
      </c>
      <c r="N1888" s="12">
        <v>0</v>
      </c>
      <c r="O1888" s="11">
        <f>IF(I1888&lt;&gt;"",DATA!C1887,"")</f>
        <v>50.25</v>
      </c>
      <c r="P1888" s="2">
        <v>294094</v>
      </c>
      <c r="Q1888" s="2" t="s">
        <v>1304</v>
      </c>
      <c r="R1888" s="2" t="s">
        <v>1341</v>
      </c>
      <c r="S1888" s="2">
        <v>292</v>
      </c>
      <c r="T1888" s="2">
        <v>1</v>
      </c>
      <c r="U1888" s="2" t="s">
        <v>141</v>
      </c>
      <c r="Y1888" s="2">
        <v>1700</v>
      </c>
      <c r="Z1888" s="11" t="s">
        <v>54</v>
      </c>
      <c r="AA1888" s="11" t="str">
        <f t="shared" si="121"/>
        <v>1700 - TBN</v>
      </c>
      <c r="AC1888" s="2" t="s">
        <v>145</v>
      </c>
      <c r="AD1888" s="11" t="str">
        <f>IF($I1888&lt;&gt;"",VLOOKUP($AC1888,GEADRESSEERDE!$A$2:$E$4,2,),"")</f>
        <v>LUITHAGEN HAVEN 2 D</v>
      </c>
      <c r="AE1888" s="11">
        <f>IF($I1888&lt;&gt;"",VLOOKUP($AC1888,GEADRESSEERDE!$A$2:$E$4,3,),"")</f>
        <v>2030</v>
      </c>
      <c r="AF1888" s="11" t="str">
        <f>IF($I1888&lt;&gt;"",VLOOKUP($AC1888,GEADRESSEERDE!$A$2:$E$4,4,),"")</f>
        <v>ANTWERPEN</v>
      </c>
      <c r="AG1888" s="11" t="str">
        <f>IF($I1888&lt;&gt;"",VLOOKUP($AC1888,GEADRESSEERDE!$A$2:$E$4,5,),"")</f>
        <v>BE</v>
      </c>
      <c r="AH1888" s="11" t="str">
        <f>IF(I1888&lt;&gt;"",VLOOKUP(AP1888,KvB!$A$2:$B$3,2,FALSE),"")</f>
        <v>BE101000</v>
      </c>
      <c r="AI1888" s="11" t="s">
        <v>55</v>
      </c>
      <c r="AJ1888" s="11"/>
      <c r="AK1888" s="11"/>
      <c r="AL1888" s="11"/>
      <c r="AM1888" s="11"/>
      <c r="AN1888" s="11"/>
      <c r="AO1888" s="11"/>
      <c r="AP1888" s="2" t="s">
        <v>70</v>
      </c>
      <c r="AQ1888" s="11" t="str">
        <f>IF(I1888&lt;&gt;"",DATA!D1887,"")</f>
        <v>7610909095</v>
      </c>
    </row>
    <row r="1889" spans="1:43" ht="15.75" x14ac:dyDescent="0.25">
      <c r="A1889" s="11" t="s">
        <v>57</v>
      </c>
      <c r="B1889" s="11" t="s">
        <v>56</v>
      </c>
      <c r="C1889" s="22">
        <f t="shared" si="122"/>
        <v>25001620</v>
      </c>
      <c r="D1889" s="11" t="str">
        <f t="shared" si="119"/>
        <v>SKIIFM_AT</v>
      </c>
      <c r="E1889" s="11" t="str">
        <f>IF(I1889&lt;&gt;"",VLOOKUP(F1889,OPDRACHTGEVER!$A$2:$B$4,2,FALSE),"")</f>
        <v>SKIIFM_AT</v>
      </c>
      <c r="F1889" s="11" t="s">
        <v>58</v>
      </c>
      <c r="I1889" s="11" t="str">
        <f>IF(DATA!B1888&lt;&gt;"",DATA!B1888,"")</f>
        <v>MSMU5767820</v>
      </c>
      <c r="J1889" s="12">
        <v>0</v>
      </c>
      <c r="K1889" s="11" t="s">
        <v>53</v>
      </c>
      <c r="L1889" s="11" t="str">
        <f t="shared" si="120"/>
        <v>392590</v>
      </c>
      <c r="M1889" s="11" t="str">
        <f>IF(I1889&lt;&gt;"",DATA!E1888,"")</f>
        <v>ARMREST GLOVES</v>
      </c>
      <c r="N1889" s="12">
        <v>0</v>
      </c>
      <c r="O1889" s="11">
        <f>IF(I1889&lt;&gt;"",DATA!C1888,"")</f>
        <v>0.6</v>
      </c>
      <c r="P1889" s="2">
        <v>294094</v>
      </c>
      <c r="Q1889" s="2" t="s">
        <v>1304</v>
      </c>
      <c r="R1889" s="2" t="s">
        <v>1341</v>
      </c>
      <c r="S1889" s="2">
        <v>292</v>
      </c>
      <c r="T1889" s="2">
        <v>1</v>
      </c>
      <c r="U1889" s="2" t="s">
        <v>141</v>
      </c>
      <c r="Y1889" s="2">
        <v>1700</v>
      </c>
      <c r="Z1889" s="11" t="s">
        <v>54</v>
      </c>
      <c r="AA1889" s="11" t="str">
        <f t="shared" si="121"/>
        <v>1700 - TBN</v>
      </c>
      <c r="AC1889" s="2" t="s">
        <v>145</v>
      </c>
      <c r="AD1889" s="11" t="str">
        <f>IF($I1889&lt;&gt;"",VLOOKUP($AC1889,GEADRESSEERDE!$A$2:$E$4,2,),"")</f>
        <v>LUITHAGEN HAVEN 2 D</v>
      </c>
      <c r="AE1889" s="11">
        <f>IF($I1889&lt;&gt;"",VLOOKUP($AC1889,GEADRESSEERDE!$A$2:$E$4,3,),"")</f>
        <v>2030</v>
      </c>
      <c r="AF1889" s="11" t="str">
        <f>IF($I1889&lt;&gt;"",VLOOKUP($AC1889,GEADRESSEERDE!$A$2:$E$4,4,),"")</f>
        <v>ANTWERPEN</v>
      </c>
      <c r="AG1889" s="11" t="str">
        <f>IF($I1889&lt;&gt;"",VLOOKUP($AC1889,GEADRESSEERDE!$A$2:$E$4,5,),"")</f>
        <v>BE</v>
      </c>
      <c r="AH1889" s="11" t="str">
        <f>IF(I1889&lt;&gt;"",VLOOKUP(AP1889,KvB!$A$2:$B$3,2,FALSE),"")</f>
        <v>BE101000</v>
      </c>
      <c r="AI1889" s="11" t="s">
        <v>55</v>
      </c>
      <c r="AJ1889" s="11"/>
      <c r="AK1889" s="11"/>
      <c r="AL1889" s="11"/>
      <c r="AM1889" s="11"/>
      <c r="AN1889" s="11"/>
      <c r="AO1889" s="11"/>
      <c r="AP1889" s="2" t="s">
        <v>70</v>
      </c>
      <c r="AQ1889" s="11" t="str">
        <f>IF(I1889&lt;&gt;"",DATA!D1888,"")</f>
        <v>3925908000</v>
      </c>
    </row>
    <row r="1890" spans="1:43" ht="15.75" x14ac:dyDescent="0.25">
      <c r="A1890" s="11" t="s">
        <v>57</v>
      </c>
      <c r="B1890" s="11" t="s">
        <v>56</v>
      </c>
      <c r="C1890" s="22">
        <f t="shared" si="122"/>
        <v>25001620</v>
      </c>
      <c r="D1890" s="11" t="str">
        <f t="shared" si="119"/>
        <v>SKIIFM_AT</v>
      </c>
      <c r="E1890" s="11" t="str">
        <f>IF(I1890&lt;&gt;"",VLOOKUP(F1890,OPDRACHTGEVER!$A$2:$B$4,2,FALSE),"")</f>
        <v>SKIIFM_AT</v>
      </c>
      <c r="F1890" s="11" t="s">
        <v>58</v>
      </c>
      <c r="I1890" s="11" t="str">
        <f>IF(DATA!B1889&lt;&gt;"",DATA!B1889,"")</f>
        <v>MSMU5767820</v>
      </c>
      <c r="J1890" s="12">
        <v>0</v>
      </c>
      <c r="K1890" s="11" t="s">
        <v>53</v>
      </c>
      <c r="L1890" s="11" t="str">
        <f t="shared" si="120"/>
        <v>741920</v>
      </c>
      <c r="M1890" s="11" t="str">
        <f>IF(I1890&lt;&gt;"",DATA!E1889,"")</f>
        <v>BALUSTER SCREW PACKAGE 102</v>
      </c>
      <c r="N1890" s="12">
        <v>0</v>
      </c>
      <c r="O1890" s="11">
        <f>IF(I1890&lt;&gt;"",DATA!C1889,"")</f>
        <v>7.95</v>
      </c>
      <c r="P1890" s="2">
        <v>294094</v>
      </c>
      <c r="Q1890" s="2" t="s">
        <v>1304</v>
      </c>
      <c r="R1890" s="2" t="s">
        <v>1341</v>
      </c>
      <c r="S1890" s="2">
        <v>292</v>
      </c>
      <c r="T1890" s="2">
        <v>1</v>
      </c>
      <c r="U1890" s="2" t="s">
        <v>141</v>
      </c>
      <c r="Y1890" s="2">
        <v>1700</v>
      </c>
      <c r="Z1890" s="11" t="s">
        <v>54</v>
      </c>
      <c r="AA1890" s="11" t="str">
        <f t="shared" si="121"/>
        <v>1700 - TBN</v>
      </c>
      <c r="AC1890" s="2" t="s">
        <v>145</v>
      </c>
      <c r="AD1890" s="11" t="str">
        <f>IF($I1890&lt;&gt;"",VLOOKUP($AC1890,GEADRESSEERDE!$A$2:$E$4,2,),"")</f>
        <v>LUITHAGEN HAVEN 2 D</v>
      </c>
      <c r="AE1890" s="11">
        <f>IF($I1890&lt;&gt;"",VLOOKUP($AC1890,GEADRESSEERDE!$A$2:$E$4,3,),"")</f>
        <v>2030</v>
      </c>
      <c r="AF1890" s="11" t="str">
        <f>IF($I1890&lt;&gt;"",VLOOKUP($AC1890,GEADRESSEERDE!$A$2:$E$4,4,),"")</f>
        <v>ANTWERPEN</v>
      </c>
      <c r="AG1890" s="11" t="str">
        <f>IF($I1890&lt;&gt;"",VLOOKUP($AC1890,GEADRESSEERDE!$A$2:$E$4,5,),"")</f>
        <v>BE</v>
      </c>
      <c r="AH1890" s="11" t="str">
        <f>IF(I1890&lt;&gt;"",VLOOKUP(AP1890,KvB!$A$2:$B$3,2,FALSE),"")</f>
        <v>BE101000</v>
      </c>
      <c r="AI1890" s="11" t="s">
        <v>55</v>
      </c>
      <c r="AJ1890" s="11"/>
      <c r="AK1890" s="11"/>
      <c r="AL1890" s="11"/>
      <c r="AM1890" s="11"/>
      <c r="AN1890" s="11"/>
      <c r="AO1890" s="11"/>
      <c r="AP1890" s="2" t="s">
        <v>70</v>
      </c>
      <c r="AQ1890" s="11" t="str">
        <f>IF(I1890&lt;&gt;"",DATA!D1889,"")</f>
        <v>7419200090</v>
      </c>
    </row>
    <row r="1891" spans="1:43" ht="15.75" x14ac:dyDescent="0.25">
      <c r="A1891" s="11" t="s">
        <v>57</v>
      </c>
      <c r="B1891" s="11" t="s">
        <v>56</v>
      </c>
      <c r="C1891" s="22">
        <f t="shared" si="122"/>
        <v>25001620</v>
      </c>
      <c r="D1891" s="11" t="str">
        <f t="shared" si="119"/>
        <v>SKIIFM_AT</v>
      </c>
      <c r="E1891" s="11" t="str">
        <f>IF(I1891&lt;&gt;"",VLOOKUP(F1891,OPDRACHTGEVER!$A$2:$B$4,2,FALSE),"")</f>
        <v>SKIIFM_AT</v>
      </c>
      <c r="F1891" s="11" t="s">
        <v>58</v>
      </c>
      <c r="I1891" s="11" t="str">
        <f>IF(DATA!B1890&lt;&gt;"",DATA!B1890,"")</f>
        <v>MSMU5767820</v>
      </c>
      <c r="J1891" s="12">
        <v>0</v>
      </c>
      <c r="K1891" s="11" t="s">
        <v>53</v>
      </c>
      <c r="L1891" s="11" t="str">
        <f t="shared" si="120"/>
        <v>841990</v>
      </c>
      <c r="M1891" s="11" t="str">
        <f>IF(I1891&lt;&gt;"",DATA!E1890,"")</f>
        <v>BX CIRCUIT BOARD</v>
      </c>
      <c r="N1891" s="12">
        <v>0</v>
      </c>
      <c r="O1891" s="11">
        <f>IF(I1891&lt;&gt;"",DATA!C1890,"")</f>
        <v>9.75</v>
      </c>
      <c r="P1891" s="2">
        <v>294094</v>
      </c>
      <c r="Q1891" s="2" t="s">
        <v>1304</v>
      </c>
      <c r="R1891" s="2" t="s">
        <v>1341</v>
      </c>
      <c r="S1891" s="2">
        <v>292</v>
      </c>
      <c r="T1891" s="2">
        <v>1</v>
      </c>
      <c r="U1891" s="2" t="s">
        <v>141</v>
      </c>
      <c r="Y1891" s="2">
        <v>1700</v>
      </c>
      <c r="Z1891" s="11" t="s">
        <v>54</v>
      </c>
      <c r="AA1891" s="11" t="str">
        <f t="shared" si="121"/>
        <v>1700 - TBN</v>
      </c>
      <c r="AC1891" s="2" t="s">
        <v>145</v>
      </c>
      <c r="AD1891" s="11" t="str">
        <f>IF($I1891&lt;&gt;"",VLOOKUP($AC1891,GEADRESSEERDE!$A$2:$E$4,2,),"")</f>
        <v>LUITHAGEN HAVEN 2 D</v>
      </c>
      <c r="AE1891" s="11">
        <f>IF($I1891&lt;&gt;"",VLOOKUP($AC1891,GEADRESSEERDE!$A$2:$E$4,3,),"")</f>
        <v>2030</v>
      </c>
      <c r="AF1891" s="11" t="str">
        <f>IF($I1891&lt;&gt;"",VLOOKUP($AC1891,GEADRESSEERDE!$A$2:$E$4,4,),"")</f>
        <v>ANTWERPEN</v>
      </c>
      <c r="AG1891" s="11" t="str">
        <f>IF($I1891&lt;&gt;"",VLOOKUP($AC1891,GEADRESSEERDE!$A$2:$E$4,5,),"")</f>
        <v>BE</v>
      </c>
      <c r="AH1891" s="11" t="str">
        <f>IF(I1891&lt;&gt;"",VLOOKUP(AP1891,KvB!$A$2:$B$3,2,FALSE),"")</f>
        <v>BE101000</v>
      </c>
      <c r="AI1891" s="11" t="s">
        <v>55</v>
      </c>
      <c r="AJ1891" s="11"/>
      <c r="AK1891" s="11"/>
      <c r="AL1891" s="11"/>
      <c r="AM1891" s="11"/>
      <c r="AN1891" s="11"/>
      <c r="AO1891" s="11"/>
      <c r="AP1891" s="2" t="s">
        <v>70</v>
      </c>
      <c r="AQ1891" s="11" t="str">
        <f>IF(I1891&lt;&gt;"",DATA!D1890,"")</f>
        <v>8419908540</v>
      </c>
    </row>
    <row r="1892" spans="1:43" ht="15.75" x14ac:dyDescent="0.25">
      <c r="A1892" s="11" t="s">
        <v>57</v>
      </c>
      <c r="B1892" s="11" t="s">
        <v>56</v>
      </c>
      <c r="C1892" s="22">
        <f t="shared" si="122"/>
        <v>25001620</v>
      </c>
      <c r="D1892" s="11" t="str">
        <f t="shared" si="119"/>
        <v>SKIIFM_AT</v>
      </c>
      <c r="E1892" s="11" t="str">
        <f>IF(I1892&lt;&gt;"",VLOOKUP(F1892,OPDRACHTGEVER!$A$2:$B$4,2,FALSE),"")</f>
        <v>SKIIFM_AT</v>
      </c>
      <c r="F1892" s="11" t="s">
        <v>58</v>
      </c>
      <c r="I1892" s="11" t="str">
        <f>IF(DATA!B1891&lt;&gt;"",DATA!B1891,"")</f>
        <v>MSMU5767820</v>
      </c>
      <c r="J1892" s="12">
        <v>0</v>
      </c>
      <c r="K1892" s="11" t="s">
        <v>53</v>
      </c>
      <c r="L1892" s="11" t="str">
        <f t="shared" si="120"/>
        <v>854442</v>
      </c>
      <c r="M1892" s="11" t="str">
        <f>IF(I1892&lt;&gt;"",DATA!E1891,"")</f>
        <v>CABLE WITH CONNECTOR</v>
      </c>
      <c r="N1892" s="12">
        <v>0</v>
      </c>
      <c r="O1892" s="11">
        <f>IF(I1892&lt;&gt;"",DATA!C1891,"")</f>
        <v>201.6</v>
      </c>
      <c r="P1892" s="2">
        <v>294094</v>
      </c>
      <c r="Q1892" s="2" t="s">
        <v>1304</v>
      </c>
      <c r="R1892" s="2" t="s">
        <v>1341</v>
      </c>
      <c r="S1892" s="2">
        <v>292</v>
      </c>
      <c r="T1892" s="2">
        <v>1</v>
      </c>
      <c r="U1892" s="2" t="s">
        <v>141</v>
      </c>
      <c r="Y1892" s="2">
        <v>1700</v>
      </c>
      <c r="Z1892" s="11" t="s">
        <v>54</v>
      </c>
      <c r="AA1892" s="11" t="str">
        <f t="shared" si="121"/>
        <v>1700 - TBN</v>
      </c>
      <c r="AC1892" s="2" t="s">
        <v>145</v>
      </c>
      <c r="AD1892" s="11" t="str">
        <f>IF($I1892&lt;&gt;"",VLOOKUP($AC1892,GEADRESSEERDE!$A$2:$E$4,2,),"")</f>
        <v>LUITHAGEN HAVEN 2 D</v>
      </c>
      <c r="AE1892" s="11">
        <f>IF($I1892&lt;&gt;"",VLOOKUP($AC1892,GEADRESSEERDE!$A$2:$E$4,3,),"")</f>
        <v>2030</v>
      </c>
      <c r="AF1892" s="11" t="str">
        <f>IF($I1892&lt;&gt;"",VLOOKUP($AC1892,GEADRESSEERDE!$A$2:$E$4,4,),"")</f>
        <v>ANTWERPEN</v>
      </c>
      <c r="AG1892" s="11" t="str">
        <f>IF($I1892&lt;&gt;"",VLOOKUP($AC1892,GEADRESSEERDE!$A$2:$E$4,5,),"")</f>
        <v>BE</v>
      </c>
      <c r="AH1892" s="11" t="str">
        <f>IF(I1892&lt;&gt;"",VLOOKUP(AP1892,KvB!$A$2:$B$3,2,FALSE),"")</f>
        <v>BE101000</v>
      </c>
      <c r="AI1892" s="11" t="s">
        <v>55</v>
      </c>
      <c r="AJ1892" s="11"/>
      <c r="AK1892" s="11"/>
      <c r="AL1892" s="11"/>
      <c r="AM1892" s="11"/>
      <c r="AN1892" s="11"/>
      <c r="AO1892" s="11"/>
      <c r="AP1892" s="2" t="s">
        <v>70</v>
      </c>
      <c r="AQ1892" s="11" t="str">
        <f>IF(I1892&lt;&gt;"",DATA!D1891,"")</f>
        <v>8544429090</v>
      </c>
    </row>
    <row r="1893" spans="1:43" ht="15.75" x14ac:dyDescent="0.25">
      <c r="A1893" s="11" t="s">
        <v>57</v>
      </c>
      <c r="B1893" s="11" t="s">
        <v>56</v>
      </c>
      <c r="C1893" s="22">
        <f t="shared" si="122"/>
        <v>25001620</v>
      </c>
      <c r="D1893" s="11" t="str">
        <f t="shared" si="119"/>
        <v>SKIIFM_AT</v>
      </c>
      <c r="E1893" s="11" t="str">
        <f>IF(I1893&lt;&gt;"",VLOOKUP(F1893,OPDRACHTGEVER!$A$2:$B$4,2,FALSE),"")</f>
        <v>SKIIFM_AT</v>
      </c>
      <c r="F1893" s="11" t="s">
        <v>58</v>
      </c>
      <c r="I1893" s="11" t="str">
        <f>IF(DATA!B1892&lt;&gt;"",DATA!B1892,"")</f>
        <v>MSMU5767820</v>
      </c>
      <c r="J1893" s="12">
        <v>0</v>
      </c>
      <c r="K1893" s="11" t="s">
        <v>53</v>
      </c>
      <c r="L1893" s="11" t="str">
        <f t="shared" si="120"/>
        <v>392112</v>
      </c>
      <c r="M1893" s="11" t="str">
        <f>IF(I1893&lt;&gt;"",DATA!E1892,"")</f>
        <v>CEILING TILES</v>
      </c>
      <c r="N1893" s="12">
        <v>0</v>
      </c>
      <c r="O1893" s="11">
        <f>IF(I1893&lt;&gt;"",DATA!C1892,"")</f>
        <v>247.2</v>
      </c>
      <c r="P1893" s="2">
        <v>294094</v>
      </c>
      <c r="Q1893" s="2" t="s">
        <v>1304</v>
      </c>
      <c r="R1893" s="2" t="s">
        <v>1341</v>
      </c>
      <c r="S1893" s="2">
        <v>292</v>
      </c>
      <c r="T1893" s="2">
        <v>1</v>
      </c>
      <c r="U1893" s="2" t="s">
        <v>141</v>
      </c>
      <c r="Y1893" s="2">
        <v>1700</v>
      </c>
      <c r="Z1893" s="11" t="s">
        <v>54</v>
      </c>
      <c r="AA1893" s="11" t="str">
        <f t="shared" si="121"/>
        <v>1700 - TBN</v>
      </c>
      <c r="AC1893" s="2" t="s">
        <v>145</v>
      </c>
      <c r="AD1893" s="11" t="str">
        <f>IF($I1893&lt;&gt;"",VLOOKUP($AC1893,GEADRESSEERDE!$A$2:$E$4,2,),"")</f>
        <v>LUITHAGEN HAVEN 2 D</v>
      </c>
      <c r="AE1893" s="11">
        <f>IF($I1893&lt;&gt;"",VLOOKUP($AC1893,GEADRESSEERDE!$A$2:$E$4,3,),"")</f>
        <v>2030</v>
      </c>
      <c r="AF1893" s="11" t="str">
        <f>IF($I1893&lt;&gt;"",VLOOKUP($AC1893,GEADRESSEERDE!$A$2:$E$4,4,),"")</f>
        <v>ANTWERPEN</v>
      </c>
      <c r="AG1893" s="11" t="str">
        <f>IF($I1893&lt;&gt;"",VLOOKUP($AC1893,GEADRESSEERDE!$A$2:$E$4,5,),"")</f>
        <v>BE</v>
      </c>
      <c r="AH1893" s="11" t="str">
        <f>IF(I1893&lt;&gt;"",VLOOKUP(AP1893,KvB!$A$2:$B$3,2,FALSE),"")</f>
        <v>BE101000</v>
      </c>
      <c r="AI1893" s="11" t="s">
        <v>55</v>
      </c>
      <c r="AJ1893" s="11"/>
      <c r="AK1893" s="11"/>
      <c r="AL1893" s="11"/>
      <c r="AM1893" s="11"/>
      <c r="AN1893" s="11"/>
      <c r="AO1893" s="11"/>
      <c r="AP1893" s="2" t="s">
        <v>70</v>
      </c>
      <c r="AQ1893" s="11" t="str">
        <f>IF(I1893&lt;&gt;"",DATA!D1892,"")</f>
        <v>3921120090</v>
      </c>
    </row>
    <row r="1894" spans="1:43" ht="15.75" x14ac:dyDescent="0.25">
      <c r="A1894" s="11" t="s">
        <v>57</v>
      </c>
      <c r="B1894" s="11" t="s">
        <v>56</v>
      </c>
      <c r="C1894" s="22">
        <f t="shared" si="122"/>
        <v>25001620</v>
      </c>
      <c r="D1894" s="11" t="str">
        <f t="shared" si="119"/>
        <v>SKIIFM_AT</v>
      </c>
      <c r="E1894" s="11" t="str">
        <f>IF(I1894&lt;&gt;"",VLOOKUP(F1894,OPDRACHTGEVER!$A$2:$B$4,2,FALSE),"")</f>
        <v>SKIIFM_AT</v>
      </c>
      <c r="F1894" s="11" t="s">
        <v>58</v>
      </c>
      <c r="I1894" s="11" t="str">
        <f>IF(DATA!B1893&lt;&gt;"",DATA!B1893,"")</f>
        <v>MSMU5767820</v>
      </c>
      <c r="J1894" s="12">
        <v>0</v>
      </c>
      <c r="K1894" s="11" t="s">
        <v>53</v>
      </c>
      <c r="L1894" s="11" t="str">
        <f t="shared" si="120"/>
        <v>391740</v>
      </c>
      <c r="M1894" s="11" t="str">
        <f>IF(I1894&lt;&gt;"",DATA!E1893,"")</f>
        <v>CONNECTING WATER PIPE</v>
      </c>
      <c r="N1894" s="12">
        <v>0</v>
      </c>
      <c r="O1894" s="11">
        <f>IF(I1894&lt;&gt;"",DATA!C1893,"")</f>
        <v>1.65</v>
      </c>
      <c r="P1894" s="2">
        <v>294094</v>
      </c>
      <c r="Q1894" s="2" t="s">
        <v>1304</v>
      </c>
      <c r="R1894" s="2" t="s">
        <v>1341</v>
      </c>
      <c r="S1894" s="2">
        <v>292</v>
      </c>
      <c r="T1894" s="2">
        <v>1</v>
      </c>
      <c r="U1894" s="2" t="s">
        <v>141</v>
      </c>
      <c r="Y1894" s="2">
        <v>1700</v>
      </c>
      <c r="Z1894" s="11" t="s">
        <v>54</v>
      </c>
      <c r="AA1894" s="11" t="str">
        <f t="shared" si="121"/>
        <v>1700 - TBN</v>
      </c>
      <c r="AC1894" s="2" t="s">
        <v>145</v>
      </c>
      <c r="AD1894" s="11" t="str">
        <f>IF($I1894&lt;&gt;"",VLOOKUP($AC1894,GEADRESSEERDE!$A$2:$E$4,2,),"")</f>
        <v>LUITHAGEN HAVEN 2 D</v>
      </c>
      <c r="AE1894" s="11">
        <f>IF($I1894&lt;&gt;"",VLOOKUP($AC1894,GEADRESSEERDE!$A$2:$E$4,3,),"")</f>
        <v>2030</v>
      </c>
      <c r="AF1894" s="11" t="str">
        <f>IF($I1894&lt;&gt;"",VLOOKUP($AC1894,GEADRESSEERDE!$A$2:$E$4,4,),"")</f>
        <v>ANTWERPEN</v>
      </c>
      <c r="AG1894" s="11" t="str">
        <f>IF($I1894&lt;&gt;"",VLOOKUP($AC1894,GEADRESSEERDE!$A$2:$E$4,5,),"")</f>
        <v>BE</v>
      </c>
      <c r="AH1894" s="11" t="str">
        <f>IF(I1894&lt;&gt;"",VLOOKUP(AP1894,KvB!$A$2:$B$3,2,FALSE),"")</f>
        <v>BE101000</v>
      </c>
      <c r="AI1894" s="11" t="s">
        <v>55</v>
      </c>
      <c r="AJ1894" s="11"/>
      <c r="AK1894" s="11"/>
      <c r="AL1894" s="11"/>
      <c r="AM1894" s="11"/>
      <c r="AN1894" s="11"/>
      <c r="AO1894" s="11"/>
      <c r="AP1894" s="2" t="s">
        <v>70</v>
      </c>
      <c r="AQ1894" s="11" t="str">
        <f>IF(I1894&lt;&gt;"",DATA!D1893,"")</f>
        <v>3917400099</v>
      </c>
    </row>
    <row r="1895" spans="1:43" ht="15.75" x14ac:dyDescent="0.25">
      <c r="A1895" s="11" t="s">
        <v>57</v>
      </c>
      <c r="B1895" s="11" t="s">
        <v>56</v>
      </c>
      <c r="C1895" s="22">
        <f t="shared" si="122"/>
        <v>25001620</v>
      </c>
      <c r="D1895" s="11" t="str">
        <f t="shared" si="119"/>
        <v>SKIIFM_AT</v>
      </c>
      <c r="E1895" s="11" t="str">
        <f>IF(I1895&lt;&gt;"",VLOOKUP(F1895,OPDRACHTGEVER!$A$2:$B$4,2,FALSE),"")</f>
        <v>SKIIFM_AT</v>
      </c>
      <c r="F1895" s="11" t="s">
        <v>58</v>
      </c>
      <c r="I1895" s="11" t="str">
        <f>IF(DATA!B1894&lt;&gt;"",DATA!B1894,"")</f>
        <v>MSMU5767820</v>
      </c>
      <c r="J1895" s="12">
        <v>0</v>
      </c>
      <c r="K1895" s="11" t="s">
        <v>53</v>
      </c>
      <c r="L1895" s="11" t="str">
        <f t="shared" si="120"/>
        <v>940592</v>
      </c>
      <c r="M1895" s="11" t="str">
        <f>IF(I1895&lt;&gt;"",DATA!E1894,"")</f>
        <v>CONTROL UINT-AW30</v>
      </c>
      <c r="N1895" s="12">
        <v>0</v>
      </c>
      <c r="O1895" s="11">
        <f>IF(I1895&lt;&gt;"",DATA!C1894,"")</f>
        <v>1.2</v>
      </c>
      <c r="P1895" s="2">
        <v>294094</v>
      </c>
      <c r="Q1895" s="2" t="s">
        <v>1304</v>
      </c>
      <c r="R1895" s="2" t="s">
        <v>1341</v>
      </c>
      <c r="S1895" s="2">
        <v>292</v>
      </c>
      <c r="T1895" s="2">
        <v>1</v>
      </c>
      <c r="U1895" s="2" t="s">
        <v>141</v>
      </c>
      <c r="Y1895" s="2">
        <v>1700</v>
      </c>
      <c r="Z1895" s="11" t="s">
        <v>54</v>
      </c>
      <c r="AA1895" s="11" t="str">
        <f t="shared" si="121"/>
        <v>1700 - TBN</v>
      </c>
      <c r="AC1895" s="2" t="s">
        <v>145</v>
      </c>
      <c r="AD1895" s="11" t="str">
        <f>IF($I1895&lt;&gt;"",VLOOKUP($AC1895,GEADRESSEERDE!$A$2:$E$4,2,),"")</f>
        <v>LUITHAGEN HAVEN 2 D</v>
      </c>
      <c r="AE1895" s="11">
        <f>IF($I1895&lt;&gt;"",VLOOKUP($AC1895,GEADRESSEERDE!$A$2:$E$4,3,),"")</f>
        <v>2030</v>
      </c>
      <c r="AF1895" s="11" t="str">
        <f>IF($I1895&lt;&gt;"",VLOOKUP($AC1895,GEADRESSEERDE!$A$2:$E$4,4,),"")</f>
        <v>ANTWERPEN</v>
      </c>
      <c r="AG1895" s="11" t="str">
        <f>IF($I1895&lt;&gt;"",VLOOKUP($AC1895,GEADRESSEERDE!$A$2:$E$4,5,),"")</f>
        <v>BE</v>
      </c>
      <c r="AH1895" s="11" t="str">
        <f>IF(I1895&lt;&gt;"",VLOOKUP(AP1895,KvB!$A$2:$B$3,2,FALSE),"")</f>
        <v>BE101000</v>
      </c>
      <c r="AI1895" s="11" t="s">
        <v>55</v>
      </c>
      <c r="AJ1895" s="11"/>
      <c r="AK1895" s="11"/>
      <c r="AL1895" s="11"/>
      <c r="AM1895" s="11"/>
      <c r="AN1895" s="11"/>
      <c r="AO1895" s="11"/>
      <c r="AP1895" s="2" t="s">
        <v>70</v>
      </c>
      <c r="AQ1895" s="11" t="str">
        <f>IF(I1895&lt;&gt;"",DATA!D1894,"")</f>
        <v>9405920090</v>
      </c>
    </row>
    <row r="1896" spans="1:43" ht="15.75" x14ac:dyDescent="0.25">
      <c r="A1896" s="11" t="s">
        <v>57</v>
      </c>
      <c r="B1896" s="11" t="s">
        <v>56</v>
      </c>
      <c r="C1896" s="22">
        <f t="shared" si="122"/>
        <v>25001620</v>
      </c>
      <c r="D1896" s="11" t="str">
        <f t="shared" si="119"/>
        <v>SKIIFM_AT</v>
      </c>
      <c r="E1896" s="11" t="str">
        <f>IF(I1896&lt;&gt;"",VLOOKUP(F1896,OPDRACHTGEVER!$A$2:$B$4,2,FALSE),"")</f>
        <v>SKIIFM_AT</v>
      </c>
      <c r="F1896" s="11" t="s">
        <v>58</v>
      </c>
      <c r="I1896" s="11" t="str">
        <f>IF(DATA!B1895&lt;&gt;"",DATA!B1895,"")</f>
        <v>MSMU5767820</v>
      </c>
      <c r="J1896" s="12">
        <v>0</v>
      </c>
      <c r="K1896" s="11" t="s">
        <v>53</v>
      </c>
      <c r="L1896" s="11" t="str">
        <f t="shared" si="120"/>
        <v>844399</v>
      </c>
      <c r="M1896" s="11" t="str">
        <f>IF(I1896&lt;&gt;"",DATA!E1895,"")</f>
        <v>CONTROLLER</v>
      </c>
      <c r="N1896" s="12">
        <v>0</v>
      </c>
      <c r="O1896" s="11">
        <f>IF(I1896&lt;&gt;"",DATA!C1895,"")</f>
        <v>6.5</v>
      </c>
      <c r="P1896" s="2">
        <v>294094</v>
      </c>
      <c r="Q1896" s="2" t="s">
        <v>1304</v>
      </c>
      <c r="R1896" s="2" t="s">
        <v>1341</v>
      </c>
      <c r="S1896" s="2">
        <v>292</v>
      </c>
      <c r="T1896" s="2">
        <v>1</v>
      </c>
      <c r="U1896" s="2" t="s">
        <v>141</v>
      </c>
      <c r="Y1896" s="2">
        <v>1700</v>
      </c>
      <c r="Z1896" s="11" t="s">
        <v>54</v>
      </c>
      <c r="AA1896" s="11" t="str">
        <f t="shared" si="121"/>
        <v>1700 - TBN</v>
      </c>
      <c r="AC1896" s="2" t="s">
        <v>145</v>
      </c>
      <c r="AD1896" s="11" t="str">
        <f>IF($I1896&lt;&gt;"",VLOOKUP($AC1896,GEADRESSEERDE!$A$2:$E$4,2,),"")</f>
        <v>LUITHAGEN HAVEN 2 D</v>
      </c>
      <c r="AE1896" s="11">
        <f>IF($I1896&lt;&gt;"",VLOOKUP($AC1896,GEADRESSEERDE!$A$2:$E$4,3,),"")</f>
        <v>2030</v>
      </c>
      <c r="AF1896" s="11" t="str">
        <f>IF($I1896&lt;&gt;"",VLOOKUP($AC1896,GEADRESSEERDE!$A$2:$E$4,4,),"")</f>
        <v>ANTWERPEN</v>
      </c>
      <c r="AG1896" s="11" t="str">
        <f>IF($I1896&lt;&gt;"",VLOOKUP($AC1896,GEADRESSEERDE!$A$2:$E$4,5,),"")</f>
        <v>BE</v>
      </c>
      <c r="AH1896" s="11" t="str">
        <f>IF(I1896&lt;&gt;"",VLOOKUP(AP1896,KvB!$A$2:$B$3,2,FALSE),"")</f>
        <v>BE101000</v>
      </c>
      <c r="AI1896" s="11" t="s">
        <v>55</v>
      </c>
      <c r="AJ1896" s="11"/>
      <c r="AK1896" s="11"/>
      <c r="AL1896" s="11"/>
      <c r="AM1896" s="11"/>
      <c r="AN1896" s="11"/>
      <c r="AO1896" s="11"/>
      <c r="AP1896" s="2" t="s">
        <v>70</v>
      </c>
      <c r="AQ1896" s="11" t="str">
        <f>IF(I1896&lt;&gt;"",DATA!D1895,"")</f>
        <v>8443999000</v>
      </c>
    </row>
    <row r="1897" spans="1:43" ht="15.75" x14ac:dyDescent="0.25">
      <c r="A1897" s="11" t="s">
        <v>57</v>
      </c>
      <c r="B1897" s="11" t="s">
        <v>56</v>
      </c>
      <c r="C1897" s="22">
        <f t="shared" si="122"/>
        <v>25001620</v>
      </c>
      <c r="D1897" s="11" t="str">
        <f t="shared" si="119"/>
        <v>SKIIFM_AT</v>
      </c>
      <c r="E1897" s="11" t="str">
        <f>IF(I1897&lt;&gt;"",VLOOKUP(F1897,OPDRACHTGEVER!$A$2:$B$4,2,FALSE),"")</f>
        <v>SKIIFM_AT</v>
      </c>
      <c r="F1897" s="11" t="s">
        <v>58</v>
      </c>
      <c r="I1897" s="11" t="str">
        <f>IF(DATA!B1896&lt;&gt;"",DATA!B1896,"")</f>
        <v>MSMU5767820</v>
      </c>
      <c r="J1897" s="12">
        <v>0</v>
      </c>
      <c r="K1897" s="11" t="s">
        <v>53</v>
      </c>
      <c r="L1897" s="11" t="str">
        <f t="shared" si="120"/>
        <v>842810</v>
      </c>
      <c r="M1897" s="11" t="str">
        <f>IF(I1897&lt;&gt;"",DATA!E1896,"")</f>
        <v>CRANE</v>
      </c>
      <c r="N1897" s="12">
        <v>0</v>
      </c>
      <c r="O1897" s="11">
        <f>IF(I1897&lt;&gt;"",DATA!C1896,"")</f>
        <v>296.60000000000002</v>
      </c>
      <c r="P1897" s="2">
        <v>294094</v>
      </c>
      <c r="Q1897" s="2" t="s">
        <v>1304</v>
      </c>
      <c r="R1897" s="2" t="s">
        <v>1341</v>
      </c>
      <c r="S1897" s="2">
        <v>292</v>
      </c>
      <c r="T1897" s="2">
        <v>1</v>
      </c>
      <c r="U1897" s="2" t="s">
        <v>141</v>
      </c>
      <c r="Y1897" s="2">
        <v>1700</v>
      </c>
      <c r="Z1897" s="11" t="s">
        <v>54</v>
      </c>
      <c r="AA1897" s="11" t="str">
        <f t="shared" si="121"/>
        <v>1700 - TBN</v>
      </c>
      <c r="AC1897" s="2" t="s">
        <v>145</v>
      </c>
      <c r="AD1897" s="11" t="str">
        <f>IF($I1897&lt;&gt;"",VLOOKUP($AC1897,GEADRESSEERDE!$A$2:$E$4,2,),"")</f>
        <v>LUITHAGEN HAVEN 2 D</v>
      </c>
      <c r="AE1897" s="11">
        <f>IF($I1897&lt;&gt;"",VLOOKUP($AC1897,GEADRESSEERDE!$A$2:$E$4,3,),"")</f>
        <v>2030</v>
      </c>
      <c r="AF1897" s="11" t="str">
        <f>IF($I1897&lt;&gt;"",VLOOKUP($AC1897,GEADRESSEERDE!$A$2:$E$4,4,),"")</f>
        <v>ANTWERPEN</v>
      </c>
      <c r="AG1897" s="11" t="str">
        <f>IF($I1897&lt;&gt;"",VLOOKUP($AC1897,GEADRESSEERDE!$A$2:$E$4,5,),"")</f>
        <v>BE</v>
      </c>
      <c r="AH1897" s="11" t="str">
        <f>IF(I1897&lt;&gt;"",VLOOKUP(AP1897,KvB!$A$2:$B$3,2,FALSE),"")</f>
        <v>BE101000</v>
      </c>
      <c r="AI1897" s="11" t="s">
        <v>55</v>
      </c>
      <c r="AJ1897" s="11"/>
      <c r="AK1897" s="11"/>
      <c r="AL1897" s="11"/>
      <c r="AM1897" s="11"/>
      <c r="AN1897" s="11"/>
      <c r="AO1897" s="11"/>
      <c r="AP1897" s="2" t="s">
        <v>70</v>
      </c>
      <c r="AQ1897" s="11" t="str">
        <f>IF(I1897&lt;&gt;"",DATA!D1896,"")</f>
        <v>8428102000</v>
      </c>
    </row>
    <row r="1898" spans="1:43" ht="15.75" x14ac:dyDescent="0.25">
      <c r="A1898" s="11" t="s">
        <v>57</v>
      </c>
      <c r="B1898" s="11" t="s">
        <v>56</v>
      </c>
      <c r="C1898" s="22">
        <f t="shared" si="122"/>
        <v>25001620</v>
      </c>
      <c r="D1898" s="11" t="str">
        <f t="shared" si="119"/>
        <v>SKIIFM_AT</v>
      </c>
      <c r="E1898" s="11" t="str">
        <f>IF(I1898&lt;&gt;"",VLOOKUP(F1898,OPDRACHTGEVER!$A$2:$B$4,2,FALSE),"")</f>
        <v>SKIIFM_AT</v>
      </c>
      <c r="F1898" s="11" t="s">
        <v>58</v>
      </c>
      <c r="I1898" s="11" t="str">
        <f>IF(DATA!B1897&lt;&gt;"",DATA!B1897,"")</f>
        <v>MSMU5767820</v>
      </c>
      <c r="J1898" s="12">
        <v>0</v>
      </c>
      <c r="K1898" s="11" t="s">
        <v>53</v>
      </c>
      <c r="L1898" s="11" t="str">
        <f t="shared" si="120"/>
        <v>820559</v>
      </c>
      <c r="M1898" s="11" t="str">
        <f>IF(I1898&lt;&gt;"",DATA!E1897,"")</f>
        <v>CROWBAR</v>
      </c>
      <c r="N1898" s="12">
        <v>0</v>
      </c>
      <c r="O1898" s="11">
        <f>IF(I1898&lt;&gt;"",DATA!C1897,"")</f>
        <v>96.8</v>
      </c>
      <c r="P1898" s="2">
        <v>294094</v>
      </c>
      <c r="Q1898" s="2" t="s">
        <v>1304</v>
      </c>
      <c r="R1898" s="2" t="s">
        <v>1341</v>
      </c>
      <c r="S1898" s="2">
        <v>292</v>
      </c>
      <c r="T1898" s="2">
        <v>1</v>
      </c>
      <c r="U1898" s="2" t="s">
        <v>141</v>
      </c>
      <c r="Y1898" s="2">
        <v>1700</v>
      </c>
      <c r="Z1898" s="11" t="s">
        <v>54</v>
      </c>
      <c r="AA1898" s="11" t="str">
        <f t="shared" si="121"/>
        <v>1700 - TBN</v>
      </c>
      <c r="AC1898" s="2" t="s">
        <v>145</v>
      </c>
      <c r="AD1898" s="11" t="str">
        <f>IF($I1898&lt;&gt;"",VLOOKUP($AC1898,GEADRESSEERDE!$A$2:$E$4,2,),"")</f>
        <v>LUITHAGEN HAVEN 2 D</v>
      </c>
      <c r="AE1898" s="11">
        <f>IF($I1898&lt;&gt;"",VLOOKUP($AC1898,GEADRESSEERDE!$A$2:$E$4,3,),"")</f>
        <v>2030</v>
      </c>
      <c r="AF1898" s="11" t="str">
        <f>IF($I1898&lt;&gt;"",VLOOKUP($AC1898,GEADRESSEERDE!$A$2:$E$4,4,),"")</f>
        <v>ANTWERPEN</v>
      </c>
      <c r="AG1898" s="11" t="str">
        <f>IF($I1898&lt;&gt;"",VLOOKUP($AC1898,GEADRESSEERDE!$A$2:$E$4,5,),"")</f>
        <v>BE</v>
      </c>
      <c r="AH1898" s="11" t="str">
        <f>IF(I1898&lt;&gt;"",VLOOKUP(AP1898,KvB!$A$2:$B$3,2,FALSE),"")</f>
        <v>BE101000</v>
      </c>
      <c r="AI1898" s="11" t="s">
        <v>55</v>
      </c>
      <c r="AJ1898" s="11"/>
      <c r="AK1898" s="11"/>
      <c r="AL1898" s="11"/>
      <c r="AM1898" s="11"/>
      <c r="AN1898" s="11"/>
      <c r="AO1898" s="11"/>
      <c r="AP1898" s="2" t="s">
        <v>70</v>
      </c>
      <c r="AQ1898" s="11" t="str">
        <f>IF(I1898&lt;&gt;"",DATA!D1897,"")</f>
        <v>8205598000</v>
      </c>
    </row>
    <row r="1899" spans="1:43" ht="15.75" x14ac:dyDescent="0.25">
      <c r="A1899" s="11" t="s">
        <v>57</v>
      </c>
      <c r="B1899" s="11" t="s">
        <v>56</v>
      </c>
      <c r="C1899" s="22">
        <f t="shared" si="122"/>
        <v>25001620</v>
      </c>
      <c r="D1899" s="11" t="str">
        <f t="shared" si="119"/>
        <v>SKIIFM_AT</v>
      </c>
      <c r="E1899" s="11" t="str">
        <f>IF(I1899&lt;&gt;"",VLOOKUP(F1899,OPDRACHTGEVER!$A$2:$B$4,2,FALSE),"")</f>
        <v>SKIIFM_AT</v>
      </c>
      <c r="F1899" s="11" t="s">
        <v>58</v>
      </c>
      <c r="I1899" s="11" t="str">
        <f>IF(DATA!B1898&lt;&gt;"",DATA!B1898,"")</f>
        <v>MSMU5767820</v>
      </c>
      <c r="J1899" s="12">
        <v>0</v>
      </c>
      <c r="K1899" s="11" t="s">
        <v>53</v>
      </c>
      <c r="L1899" s="11" t="str">
        <f t="shared" si="120"/>
        <v>741920</v>
      </c>
      <c r="M1899" s="11" t="str">
        <f>IF(I1899&lt;&gt;"",DATA!E1898,"")</f>
        <v>DECORATIVE COVER</v>
      </c>
      <c r="N1899" s="12">
        <v>0</v>
      </c>
      <c r="O1899" s="11">
        <f>IF(I1899&lt;&gt;"",DATA!C1898,"")</f>
        <v>1.95</v>
      </c>
      <c r="P1899" s="2">
        <v>294094</v>
      </c>
      <c r="Q1899" s="2" t="s">
        <v>1304</v>
      </c>
      <c r="R1899" s="2" t="s">
        <v>1341</v>
      </c>
      <c r="S1899" s="2">
        <v>292</v>
      </c>
      <c r="T1899" s="2">
        <v>1</v>
      </c>
      <c r="U1899" s="2" t="s">
        <v>141</v>
      </c>
      <c r="Y1899" s="2">
        <v>1700</v>
      </c>
      <c r="Z1899" s="11" t="s">
        <v>54</v>
      </c>
      <c r="AA1899" s="11" t="str">
        <f t="shared" si="121"/>
        <v>1700 - TBN</v>
      </c>
      <c r="AC1899" s="2" t="s">
        <v>145</v>
      </c>
      <c r="AD1899" s="11" t="str">
        <f>IF($I1899&lt;&gt;"",VLOOKUP($AC1899,GEADRESSEERDE!$A$2:$E$4,2,),"")</f>
        <v>LUITHAGEN HAVEN 2 D</v>
      </c>
      <c r="AE1899" s="11">
        <f>IF($I1899&lt;&gt;"",VLOOKUP($AC1899,GEADRESSEERDE!$A$2:$E$4,3,),"")</f>
        <v>2030</v>
      </c>
      <c r="AF1899" s="11" t="str">
        <f>IF($I1899&lt;&gt;"",VLOOKUP($AC1899,GEADRESSEERDE!$A$2:$E$4,4,),"")</f>
        <v>ANTWERPEN</v>
      </c>
      <c r="AG1899" s="11" t="str">
        <f>IF($I1899&lt;&gt;"",VLOOKUP($AC1899,GEADRESSEERDE!$A$2:$E$4,5,),"")</f>
        <v>BE</v>
      </c>
      <c r="AH1899" s="11" t="str">
        <f>IF(I1899&lt;&gt;"",VLOOKUP(AP1899,KvB!$A$2:$B$3,2,FALSE),"")</f>
        <v>BE101000</v>
      </c>
      <c r="AI1899" s="11" t="s">
        <v>55</v>
      </c>
      <c r="AJ1899" s="11"/>
      <c r="AK1899" s="11"/>
      <c r="AL1899" s="11"/>
      <c r="AM1899" s="11"/>
      <c r="AN1899" s="11"/>
      <c r="AO1899" s="11"/>
      <c r="AP1899" s="2" t="s">
        <v>70</v>
      </c>
      <c r="AQ1899" s="11" t="str">
        <f>IF(I1899&lt;&gt;"",DATA!D1898,"")</f>
        <v>7419200090</v>
      </c>
    </row>
    <row r="1900" spans="1:43" ht="15.75" x14ac:dyDescent="0.25">
      <c r="A1900" s="11" t="s">
        <v>57</v>
      </c>
      <c r="B1900" s="11" t="s">
        <v>56</v>
      </c>
      <c r="C1900" s="22">
        <f t="shared" si="122"/>
        <v>25001620</v>
      </c>
      <c r="D1900" s="11" t="str">
        <f t="shared" si="119"/>
        <v>SKIIFM_AT</v>
      </c>
      <c r="E1900" s="11" t="str">
        <f>IF(I1900&lt;&gt;"",VLOOKUP(F1900,OPDRACHTGEVER!$A$2:$B$4,2,FALSE),"")</f>
        <v>SKIIFM_AT</v>
      </c>
      <c r="F1900" s="11" t="s">
        <v>58</v>
      </c>
      <c r="I1900" s="11" t="str">
        <f>IF(DATA!B1899&lt;&gt;"",DATA!B1899,"")</f>
        <v>MSMU5767820</v>
      </c>
      <c r="J1900" s="12">
        <v>0</v>
      </c>
      <c r="K1900" s="11" t="s">
        <v>53</v>
      </c>
      <c r="L1900" s="11" t="str">
        <f t="shared" si="120"/>
        <v>844110</v>
      </c>
      <c r="M1900" s="11" t="str">
        <f>IF(I1900&lt;&gt;"",DATA!E1899,"")</f>
        <v>DIE-CUTTING MACHINE</v>
      </c>
      <c r="N1900" s="12">
        <v>0</v>
      </c>
      <c r="O1900" s="11">
        <f>IF(I1900&lt;&gt;"",DATA!C1899,"")</f>
        <v>109.2</v>
      </c>
      <c r="P1900" s="2">
        <v>294094</v>
      </c>
      <c r="Q1900" s="2" t="s">
        <v>1304</v>
      </c>
      <c r="R1900" s="2" t="s">
        <v>1341</v>
      </c>
      <c r="S1900" s="2">
        <v>292</v>
      </c>
      <c r="T1900" s="2">
        <v>1</v>
      </c>
      <c r="U1900" s="2" t="s">
        <v>141</v>
      </c>
      <c r="Y1900" s="2">
        <v>1700</v>
      </c>
      <c r="Z1900" s="11" t="s">
        <v>54</v>
      </c>
      <c r="AA1900" s="11" t="str">
        <f t="shared" si="121"/>
        <v>1700 - TBN</v>
      </c>
      <c r="AC1900" s="2" t="s">
        <v>145</v>
      </c>
      <c r="AD1900" s="11" t="str">
        <f>IF($I1900&lt;&gt;"",VLOOKUP($AC1900,GEADRESSEERDE!$A$2:$E$4,2,),"")</f>
        <v>LUITHAGEN HAVEN 2 D</v>
      </c>
      <c r="AE1900" s="11">
        <f>IF($I1900&lt;&gt;"",VLOOKUP($AC1900,GEADRESSEERDE!$A$2:$E$4,3,),"")</f>
        <v>2030</v>
      </c>
      <c r="AF1900" s="11" t="str">
        <f>IF($I1900&lt;&gt;"",VLOOKUP($AC1900,GEADRESSEERDE!$A$2:$E$4,4,),"")</f>
        <v>ANTWERPEN</v>
      </c>
      <c r="AG1900" s="11" t="str">
        <f>IF($I1900&lt;&gt;"",VLOOKUP($AC1900,GEADRESSEERDE!$A$2:$E$4,5,),"")</f>
        <v>BE</v>
      </c>
      <c r="AH1900" s="11" t="str">
        <f>IF(I1900&lt;&gt;"",VLOOKUP(AP1900,KvB!$A$2:$B$3,2,FALSE),"")</f>
        <v>BE101000</v>
      </c>
      <c r="AI1900" s="11" t="s">
        <v>55</v>
      </c>
      <c r="AJ1900" s="11"/>
      <c r="AK1900" s="11"/>
      <c r="AL1900" s="11"/>
      <c r="AM1900" s="11"/>
      <c r="AN1900" s="11"/>
      <c r="AO1900" s="11"/>
      <c r="AP1900" s="2" t="s">
        <v>70</v>
      </c>
      <c r="AQ1900" s="11" t="str">
        <f>IF(I1900&lt;&gt;"",DATA!D1899,"")</f>
        <v>8441107000</v>
      </c>
    </row>
    <row r="1901" spans="1:43" ht="15.75" x14ac:dyDescent="0.25">
      <c r="A1901" s="11" t="s">
        <v>57</v>
      </c>
      <c r="B1901" s="11" t="s">
        <v>56</v>
      </c>
      <c r="C1901" s="22">
        <f t="shared" si="122"/>
        <v>25001620</v>
      </c>
      <c r="D1901" s="11" t="str">
        <f t="shared" si="119"/>
        <v>SKIIFM_AT</v>
      </c>
      <c r="E1901" s="11" t="str">
        <f>IF(I1901&lt;&gt;"",VLOOKUP(F1901,OPDRACHTGEVER!$A$2:$B$4,2,FALSE),"")</f>
        <v>SKIIFM_AT</v>
      </c>
      <c r="F1901" s="11" t="s">
        <v>58</v>
      </c>
      <c r="I1901" s="11" t="str">
        <f>IF(DATA!B1900&lt;&gt;"",DATA!B1900,"")</f>
        <v>MSMU5767820</v>
      </c>
      <c r="J1901" s="12">
        <v>0</v>
      </c>
      <c r="K1901" s="11" t="s">
        <v>53</v>
      </c>
      <c r="L1901" s="11" t="str">
        <f t="shared" si="120"/>
        <v>853110</v>
      </c>
      <c r="M1901" s="11" t="str">
        <f>IF(I1901&lt;&gt;"",DATA!E1900,"")</f>
        <v>FIRE RESISTANT PAD</v>
      </c>
      <c r="N1901" s="12">
        <v>0</v>
      </c>
      <c r="O1901" s="11">
        <f>IF(I1901&lt;&gt;"",DATA!C1900,"")</f>
        <v>232.26</v>
      </c>
      <c r="P1901" s="2">
        <v>294094</v>
      </c>
      <c r="Q1901" s="2" t="s">
        <v>1304</v>
      </c>
      <c r="R1901" s="2" t="s">
        <v>1341</v>
      </c>
      <c r="S1901" s="2">
        <v>292</v>
      </c>
      <c r="T1901" s="2">
        <v>1</v>
      </c>
      <c r="U1901" s="2" t="s">
        <v>141</v>
      </c>
      <c r="Y1901" s="2">
        <v>1700</v>
      </c>
      <c r="Z1901" s="11" t="s">
        <v>54</v>
      </c>
      <c r="AA1901" s="11" t="str">
        <f t="shared" si="121"/>
        <v>1700 - TBN</v>
      </c>
      <c r="AC1901" s="2" t="s">
        <v>145</v>
      </c>
      <c r="AD1901" s="11" t="str">
        <f>IF($I1901&lt;&gt;"",VLOOKUP($AC1901,GEADRESSEERDE!$A$2:$E$4,2,),"")</f>
        <v>LUITHAGEN HAVEN 2 D</v>
      </c>
      <c r="AE1901" s="11">
        <f>IF($I1901&lt;&gt;"",VLOOKUP($AC1901,GEADRESSEERDE!$A$2:$E$4,3,),"")</f>
        <v>2030</v>
      </c>
      <c r="AF1901" s="11" t="str">
        <f>IF($I1901&lt;&gt;"",VLOOKUP($AC1901,GEADRESSEERDE!$A$2:$E$4,4,),"")</f>
        <v>ANTWERPEN</v>
      </c>
      <c r="AG1901" s="11" t="str">
        <f>IF($I1901&lt;&gt;"",VLOOKUP($AC1901,GEADRESSEERDE!$A$2:$E$4,5,),"")</f>
        <v>BE</v>
      </c>
      <c r="AH1901" s="11" t="str">
        <f>IF(I1901&lt;&gt;"",VLOOKUP(AP1901,KvB!$A$2:$B$3,2,FALSE),"")</f>
        <v>BE101000</v>
      </c>
      <c r="AI1901" s="11" t="s">
        <v>55</v>
      </c>
      <c r="AJ1901" s="11"/>
      <c r="AK1901" s="11"/>
      <c r="AL1901" s="11"/>
      <c r="AM1901" s="11"/>
      <c r="AN1901" s="11"/>
      <c r="AO1901" s="11"/>
      <c r="AP1901" s="2" t="s">
        <v>70</v>
      </c>
      <c r="AQ1901" s="11" t="str">
        <f>IF(I1901&lt;&gt;"",DATA!D1900,"")</f>
        <v>8531109590</v>
      </c>
    </row>
    <row r="1902" spans="1:43" ht="15.75" x14ac:dyDescent="0.25">
      <c r="A1902" s="11" t="s">
        <v>57</v>
      </c>
      <c r="B1902" s="11" t="s">
        <v>56</v>
      </c>
      <c r="C1902" s="22">
        <f t="shared" si="122"/>
        <v>25001620</v>
      </c>
      <c r="D1902" s="11" t="str">
        <f t="shared" si="119"/>
        <v>SKIIFM_AT</v>
      </c>
      <c r="E1902" s="11" t="str">
        <f>IF(I1902&lt;&gt;"",VLOOKUP(F1902,OPDRACHTGEVER!$A$2:$B$4,2,FALSE),"")</f>
        <v>SKIIFM_AT</v>
      </c>
      <c r="F1902" s="11" t="s">
        <v>58</v>
      </c>
      <c r="I1902" s="11" t="str">
        <f>IF(DATA!B1901&lt;&gt;"",DATA!B1901,"")</f>
        <v>MSMU5767820</v>
      </c>
      <c r="J1902" s="12">
        <v>0</v>
      </c>
      <c r="K1902" s="11" t="s">
        <v>53</v>
      </c>
      <c r="L1902" s="11" t="str">
        <f t="shared" si="120"/>
        <v>950691</v>
      </c>
      <c r="M1902" s="11" t="str">
        <f>IF(I1902&lt;&gt;"",DATA!E1901,"")</f>
        <v>FITNESS PRESS MACHINE</v>
      </c>
      <c r="N1902" s="12">
        <v>0</v>
      </c>
      <c r="O1902" s="11">
        <f>IF(I1902&lt;&gt;"",DATA!C1901,"")</f>
        <v>502.25</v>
      </c>
      <c r="P1902" s="2">
        <v>294094</v>
      </c>
      <c r="Q1902" s="2" t="s">
        <v>1304</v>
      </c>
      <c r="R1902" s="2" t="s">
        <v>1341</v>
      </c>
      <c r="S1902" s="2">
        <v>292</v>
      </c>
      <c r="T1902" s="2">
        <v>1</v>
      </c>
      <c r="U1902" s="2" t="s">
        <v>141</v>
      </c>
      <c r="Y1902" s="2">
        <v>1700</v>
      </c>
      <c r="Z1902" s="11" t="s">
        <v>54</v>
      </c>
      <c r="AA1902" s="11" t="str">
        <f t="shared" si="121"/>
        <v>1700 - TBN</v>
      </c>
      <c r="AC1902" s="2" t="s">
        <v>145</v>
      </c>
      <c r="AD1902" s="11" t="str">
        <f>IF($I1902&lt;&gt;"",VLOOKUP($AC1902,GEADRESSEERDE!$A$2:$E$4,2,),"")</f>
        <v>LUITHAGEN HAVEN 2 D</v>
      </c>
      <c r="AE1902" s="11">
        <f>IF($I1902&lt;&gt;"",VLOOKUP($AC1902,GEADRESSEERDE!$A$2:$E$4,3,),"")</f>
        <v>2030</v>
      </c>
      <c r="AF1902" s="11" t="str">
        <f>IF($I1902&lt;&gt;"",VLOOKUP($AC1902,GEADRESSEERDE!$A$2:$E$4,4,),"")</f>
        <v>ANTWERPEN</v>
      </c>
      <c r="AG1902" s="11" t="str">
        <f>IF($I1902&lt;&gt;"",VLOOKUP($AC1902,GEADRESSEERDE!$A$2:$E$4,5,),"")</f>
        <v>BE</v>
      </c>
      <c r="AH1902" s="11" t="str">
        <f>IF(I1902&lt;&gt;"",VLOOKUP(AP1902,KvB!$A$2:$B$3,2,FALSE),"")</f>
        <v>BE101000</v>
      </c>
      <c r="AI1902" s="11" t="s">
        <v>55</v>
      </c>
      <c r="AJ1902" s="11"/>
      <c r="AK1902" s="11"/>
      <c r="AL1902" s="11"/>
      <c r="AM1902" s="11"/>
      <c r="AN1902" s="11"/>
      <c r="AO1902" s="11"/>
      <c r="AP1902" s="2" t="s">
        <v>70</v>
      </c>
      <c r="AQ1902" s="11" t="str">
        <f>IF(I1902&lt;&gt;"",DATA!D1901,"")</f>
        <v>9506911000</v>
      </c>
    </row>
    <row r="1903" spans="1:43" ht="15.75" x14ac:dyDescent="0.25">
      <c r="A1903" s="11" t="s">
        <v>57</v>
      </c>
      <c r="B1903" s="11" t="s">
        <v>56</v>
      </c>
      <c r="C1903" s="22">
        <f t="shared" si="122"/>
        <v>25001620</v>
      </c>
      <c r="D1903" s="11" t="str">
        <f t="shared" si="119"/>
        <v>SKIIFM_AT</v>
      </c>
      <c r="E1903" s="11" t="str">
        <f>IF(I1903&lt;&gt;"",VLOOKUP(F1903,OPDRACHTGEVER!$A$2:$B$4,2,FALSE),"")</f>
        <v>SKIIFM_AT</v>
      </c>
      <c r="F1903" s="11" t="s">
        <v>58</v>
      </c>
      <c r="I1903" s="11" t="str">
        <f>IF(DATA!B1902&lt;&gt;"",DATA!B1902,"")</f>
        <v>MSMU5767820</v>
      </c>
      <c r="J1903" s="12">
        <v>0</v>
      </c>
      <c r="K1903" s="11" t="s">
        <v>53</v>
      </c>
      <c r="L1903" s="11" t="str">
        <f t="shared" si="120"/>
        <v>741920</v>
      </c>
      <c r="M1903" s="11" t="str">
        <f>IF(I1903&lt;&gt;"",DATA!E1902,"")</f>
        <v>FIXING STRIP</v>
      </c>
      <c r="N1903" s="12">
        <v>0</v>
      </c>
      <c r="O1903" s="11">
        <f>IF(I1903&lt;&gt;"",DATA!C1902,"")</f>
        <v>6.4</v>
      </c>
      <c r="P1903" s="2">
        <v>294094</v>
      </c>
      <c r="Q1903" s="2" t="s">
        <v>1304</v>
      </c>
      <c r="R1903" s="2" t="s">
        <v>1341</v>
      </c>
      <c r="S1903" s="2">
        <v>292</v>
      </c>
      <c r="T1903" s="2">
        <v>1</v>
      </c>
      <c r="U1903" s="2" t="s">
        <v>141</v>
      </c>
      <c r="Y1903" s="2">
        <v>1700</v>
      </c>
      <c r="Z1903" s="11" t="s">
        <v>54</v>
      </c>
      <c r="AA1903" s="11" t="str">
        <f t="shared" si="121"/>
        <v>1700 - TBN</v>
      </c>
      <c r="AC1903" s="2" t="s">
        <v>145</v>
      </c>
      <c r="AD1903" s="11" t="str">
        <f>IF($I1903&lt;&gt;"",VLOOKUP($AC1903,GEADRESSEERDE!$A$2:$E$4,2,),"")</f>
        <v>LUITHAGEN HAVEN 2 D</v>
      </c>
      <c r="AE1903" s="11">
        <f>IF($I1903&lt;&gt;"",VLOOKUP($AC1903,GEADRESSEERDE!$A$2:$E$4,3,),"")</f>
        <v>2030</v>
      </c>
      <c r="AF1903" s="11" t="str">
        <f>IF($I1903&lt;&gt;"",VLOOKUP($AC1903,GEADRESSEERDE!$A$2:$E$4,4,),"")</f>
        <v>ANTWERPEN</v>
      </c>
      <c r="AG1903" s="11" t="str">
        <f>IF($I1903&lt;&gt;"",VLOOKUP($AC1903,GEADRESSEERDE!$A$2:$E$4,5,),"")</f>
        <v>BE</v>
      </c>
      <c r="AH1903" s="11" t="str">
        <f>IF(I1903&lt;&gt;"",VLOOKUP(AP1903,KvB!$A$2:$B$3,2,FALSE),"")</f>
        <v>BE101000</v>
      </c>
      <c r="AI1903" s="11" t="s">
        <v>55</v>
      </c>
      <c r="AJ1903" s="11"/>
      <c r="AK1903" s="11"/>
      <c r="AL1903" s="11"/>
      <c r="AM1903" s="11"/>
      <c r="AN1903" s="11"/>
      <c r="AO1903" s="11"/>
      <c r="AP1903" s="2" t="s">
        <v>70</v>
      </c>
      <c r="AQ1903" s="11" t="str">
        <f>IF(I1903&lt;&gt;"",DATA!D1902,"")</f>
        <v>7419200090</v>
      </c>
    </row>
    <row r="1904" spans="1:43" ht="15.75" x14ac:dyDescent="0.25">
      <c r="A1904" s="11" t="s">
        <v>57</v>
      </c>
      <c r="B1904" s="11" t="s">
        <v>56</v>
      </c>
      <c r="C1904" s="22">
        <f t="shared" si="122"/>
        <v>25001620</v>
      </c>
      <c r="D1904" s="11" t="str">
        <f t="shared" si="119"/>
        <v>SKIIFM_AT</v>
      </c>
      <c r="E1904" s="11" t="str">
        <f>IF(I1904&lt;&gt;"",VLOOKUP(F1904,OPDRACHTGEVER!$A$2:$B$4,2,FALSE),"")</f>
        <v>SKIIFM_AT</v>
      </c>
      <c r="F1904" s="11" t="s">
        <v>58</v>
      </c>
      <c r="I1904" s="11" t="str">
        <f>IF(DATA!B1903&lt;&gt;"",DATA!B1903,"")</f>
        <v>MSMU5767820</v>
      </c>
      <c r="J1904" s="12">
        <v>0</v>
      </c>
      <c r="K1904" s="11" t="s">
        <v>53</v>
      </c>
      <c r="L1904" s="11" t="str">
        <f t="shared" si="120"/>
        <v>741920</v>
      </c>
      <c r="M1904" s="11" t="str">
        <f>IF(I1904&lt;&gt;"",DATA!E1903,"")</f>
        <v>FOLDING SAFETY DOOR</v>
      </c>
      <c r="N1904" s="12">
        <v>0</v>
      </c>
      <c r="O1904" s="11">
        <f>IF(I1904&lt;&gt;"",DATA!C1903,"")</f>
        <v>231</v>
      </c>
      <c r="P1904" s="2">
        <v>294094</v>
      </c>
      <c r="Q1904" s="2" t="s">
        <v>1304</v>
      </c>
      <c r="R1904" s="2" t="s">
        <v>1341</v>
      </c>
      <c r="S1904" s="2">
        <v>292</v>
      </c>
      <c r="T1904" s="2">
        <v>1</v>
      </c>
      <c r="U1904" s="2" t="s">
        <v>141</v>
      </c>
      <c r="Y1904" s="2">
        <v>1700</v>
      </c>
      <c r="Z1904" s="11" t="s">
        <v>54</v>
      </c>
      <c r="AA1904" s="11" t="str">
        <f t="shared" si="121"/>
        <v>1700 - TBN</v>
      </c>
      <c r="AC1904" s="2" t="s">
        <v>145</v>
      </c>
      <c r="AD1904" s="11" t="str">
        <f>IF($I1904&lt;&gt;"",VLOOKUP($AC1904,GEADRESSEERDE!$A$2:$E$4,2,),"")</f>
        <v>LUITHAGEN HAVEN 2 D</v>
      </c>
      <c r="AE1904" s="11">
        <f>IF($I1904&lt;&gt;"",VLOOKUP($AC1904,GEADRESSEERDE!$A$2:$E$4,3,),"")</f>
        <v>2030</v>
      </c>
      <c r="AF1904" s="11" t="str">
        <f>IF($I1904&lt;&gt;"",VLOOKUP($AC1904,GEADRESSEERDE!$A$2:$E$4,4,),"")</f>
        <v>ANTWERPEN</v>
      </c>
      <c r="AG1904" s="11" t="str">
        <f>IF($I1904&lt;&gt;"",VLOOKUP($AC1904,GEADRESSEERDE!$A$2:$E$4,5,),"")</f>
        <v>BE</v>
      </c>
      <c r="AH1904" s="11" t="str">
        <f>IF(I1904&lt;&gt;"",VLOOKUP(AP1904,KvB!$A$2:$B$3,2,FALSE),"")</f>
        <v>BE101000</v>
      </c>
      <c r="AI1904" s="11" t="s">
        <v>55</v>
      </c>
      <c r="AJ1904" s="11"/>
      <c r="AK1904" s="11"/>
      <c r="AL1904" s="11"/>
      <c r="AM1904" s="11"/>
      <c r="AN1904" s="11"/>
      <c r="AO1904" s="11"/>
      <c r="AP1904" s="2" t="s">
        <v>70</v>
      </c>
      <c r="AQ1904" s="11" t="str">
        <f>IF(I1904&lt;&gt;"",DATA!D1903,"")</f>
        <v>7419200090</v>
      </c>
    </row>
    <row r="1905" spans="1:43" ht="15.75" x14ac:dyDescent="0.25">
      <c r="A1905" s="11" t="s">
        <v>57</v>
      </c>
      <c r="B1905" s="11" t="s">
        <v>56</v>
      </c>
      <c r="C1905" s="22">
        <f t="shared" si="122"/>
        <v>25001620</v>
      </c>
      <c r="D1905" s="11" t="str">
        <f t="shared" si="119"/>
        <v>SKIIFM_AT</v>
      </c>
      <c r="E1905" s="11" t="str">
        <f>IF(I1905&lt;&gt;"",VLOOKUP(F1905,OPDRACHTGEVER!$A$2:$B$4,2,FALSE),"")</f>
        <v>SKIIFM_AT</v>
      </c>
      <c r="F1905" s="11" t="s">
        <v>58</v>
      </c>
      <c r="I1905" s="11" t="str">
        <f>IF(DATA!B1904&lt;&gt;"",DATA!B1904,"")</f>
        <v>MSMU5767820</v>
      </c>
      <c r="J1905" s="12">
        <v>0</v>
      </c>
      <c r="K1905" s="11" t="s">
        <v>53</v>
      </c>
      <c r="L1905" s="11" t="str">
        <f t="shared" si="120"/>
        <v>843120</v>
      </c>
      <c r="M1905" s="11" t="str">
        <f>IF(I1905&lt;&gt;"",DATA!E1904,"")</f>
        <v>FORKLIFT HOOK RACK</v>
      </c>
      <c r="N1905" s="12">
        <v>0</v>
      </c>
      <c r="O1905" s="11">
        <f>IF(I1905&lt;&gt;"",DATA!C1904,"")</f>
        <v>469.2</v>
      </c>
      <c r="P1905" s="2">
        <v>294094</v>
      </c>
      <c r="Q1905" s="2" t="s">
        <v>1304</v>
      </c>
      <c r="R1905" s="2" t="s">
        <v>1341</v>
      </c>
      <c r="S1905" s="2">
        <v>292</v>
      </c>
      <c r="T1905" s="2">
        <v>1</v>
      </c>
      <c r="U1905" s="2" t="s">
        <v>141</v>
      </c>
      <c r="Y1905" s="2">
        <v>1700</v>
      </c>
      <c r="Z1905" s="11" t="s">
        <v>54</v>
      </c>
      <c r="AA1905" s="11" t="str">
        <f t="shared" si="121"/>
        <v>1700 - TBN</v>
      </c>
      <c r="AC1905" s="2" t="s">
        <v>145</v>
      </c>
      <c r="AD1905" s="11" t="str">
        <f>IF($I1905&lt;&gt;"",VLOOKUP($AC1905,GEADRESSEERDE!$A$2:$E$4,2,),"")</f>
        <v>LUITHAGEN HAVEN 2 D</v>
      </c>
      <c r="AE1905" s="11">
        <f>IF($I1905&lt;&gt;"",VLOOKUP($AC1905,GEADRESSEERDE!$A$2:$E$4,3,),"")</f>
        <v>2030</v>
      </c>
      <c r="AF1905" s="11" t="str">
        <f>IF($I1905&lt;&gt;"",VLOOKUP($AC1905,GEADRESSEERDE!$A$2:$E$4,4,),"")</f>
        <v>ANTWERPEN</v>
      </c>
      <c r="AG1905" s="11" t="str">
        <f>IF($I1905&lt;&gt;"",VLOOKUP($AC1905,GEADRESSEERDE!$A$2:$E$4,5,),"")</f>
        <v>BE</v>
      </c>
      <c r="AH1905" s="11" t="str">
        <f>IF(I1905&lt;&gt;"",VLOOKUP(AP1905,KvB!$A$2:$B$3,2,FALSE),"")</f>
        <v>BE101000</v>
      </c>
      <c r="AI1905" s="11" t="s">
        <v>55</v>
      </c>
      <c r="AJ1905" s="11"/>
      <c r="AK1905" s="11"/>
      <c r="AL1905" s="11"/>
      <c r="AM1905" s="11"/>
      <c r="AN1905" s="11"/>
      <c r="AO1905" s="11"/>
      <c r="AP1905" s="2" t="s">
        <v>70</v>
      </c>
      <c r="AQ1905" s="11" t="str">
        <f>IF(I1905&lt;&gt;"",DATA!D1904,"")</f>
        <v>8431200080</v>
      </c>
    </row>
    <row r="1906" spans="1:43" ht="15.75" x14ac:dyDescent="0.25">
      <c r="A1906" s="11" t="s">
        <v>57</v>
      </c>
      <c r="B1906" s="11" t="s">
        <v>56</v>
      </c>
      <c r="C1906" s="22">
        <f t="shared" si="122"/>
        <v>25001620</v>
      </c>
      <c r="D1906" s="11" t="str">
        <f t="shared" si="119"/>
        <v>SKIIFM_AT</v>
      </c>
      <c r="E1906" s="11" t="str">
        <f>IF(I1906&lt;&gt;"",VLOOKUP(F1906,OPDRACHTGEVER!$A$2:$B$4,2,FALSE),"")</f>
        <v>SKIIFM_AT</v>
      </c>
      <c r="F1906" s="11" t="s">
        <v>58</v>
      </c>
      <c r="I1906" s="11" t="str">
        <f>IF(DATA!B1905&lt;&gt;"",DATA!B1905,"")</f>
        <v>MSMU5767820</v>
      </c>
      <c r="J1906" s="12">
        <v>0</v>
      </c>
      <c r="K1906" s="11" t="s">
        <v>53</v>
      </c>
      <c r="L1906" s="11" t="str">
        <f t="shared" si="120"/>
        <v>841940</v>
      </c>
      <c r="M1906" s="11" t="str">
        <f>IF(I1906&lt;&gt;"",DATA!E1905,"")</f>
        <v>HOMEMADE ESSENTIAL OIL KIT</v>
      </c>
      <c r="N1906" s="12">
        <v>0</v>
      </c>
      <c r="O1906" s="11">
        <f>IF(I1906&lt;&gt;"",DATA!C1905,"")</f>
        <v>39</v>
      </c>
      <c r="P1906" s="2">
        <v>294094</v>
      </c>
      <c r="Q1906" s="2" t="s">
        <v>1304</v>
      </c>
      <c r="R1906" s="2" t="s">
        <v>1341</v>
      </c>
      <c r="S1906" s="2">
        <v>292</v>
      </c>
      <c r="T1906" s="2">
        <v>1</v>
      </c>
      <c r="U1906" s="2" t="s">
        <v>141</v>
      </c>
      <c r="Y1906" s="2">
        <v>1700</v>
      </c>
      <c r="Z1906" s="11" t="s">
        <v>54</v>
      </c>
      <c r="AA1906" s="11" t="str">
        <f t="shared" si="121"/>
        <v>1700 - TBN</v>
      </c>
      <c r="AC1906" s="2" t="s">
        <v>145</v>
      </c>
      <c r="AD1906" s="11" t="str">
        <f>IF($I1906&lt;&gt;"",VLOOKUP($AC1906,GEADRESSEERDE!$A$2:$E$4,2,),"")</f>
        <v>LUITHAGEN HAVEN 2 D</v>
      </c>
      <c r="AE1906" s="11">
        <f>IF($I1906&lt;&gt;"",VLOOKUP($AC1906,GEADRESSEERDE!$A$2:$E$4,3,),"")</f>
        <v>2030</v>
      </c>
      <c r="AF1906" s="11" t="str">
        <f>IF($I1906&lt;&gt;"",VLOOKUP($AC1906,GEADRESSEERDE!$A$2:$E$4,4,),"")</f>
        <v>ANTWERPEN</v>
      </c>
      <c r="AG1906" s="11" t="str">
        <f>IF($I1906&lt;&gt;"",VLOOKUP($AC1906,GEADRESSEERDE!$A$2:$E$4,5,),"")</f>
        <v>BE</v>
      </c>
      <c r="AH1906" s="11" t="str">
        <f>IF(I1906&lt;&gt;"",VLOOKUP(AP1906,KvB!$A$2:$B$3,2,FALSE),"")</f>
        <v>BE101000</v>
      </c>
      <c r="AI1906" s="11" t="s">
        <v>55</v>
      </c>
      <c r="AJ1906" s="11"/>
      <c r="AK1906" s="11"/>
      <c r="AL1906" s="11"/>
      <c r="AM1906" s="11"/>
      <c r="AN1906" s="11"/>
      <c r="AO1906" s="11"/>
      <c r="AP1906" s="2" t="s">
        <v>70</v>
      </c>
      <c r="AQ1906" s="11" t="str">
        <f>IF(I1906&lt;&gt;"",DATA!D1905,"")</f>
        <v>8419400090</v>
      </c>
    </row>
    <row r="1907" spans="1:43" ht="15.75" x14ac:dyDescent="0.25">
      <c r="A1907" s="11" t="s">
        <v>57</v>
      </c>
      <c r="B1907" s="11" t="s">
        <v>56</v>
      </c>
      <c r="C1907" s="22">
        <f t="shared" si="122"/>
        <v>25001620</v>
      </c>
      <c r="D1907" s="11" t="str">
        <f t="shared" si="119"/>
        <v>SKIIFM_AT</v>
      </c>
      <c r="E1907" s="11" t="str">
        <f>IF(I1907&lt;&gt;"",VLOOKUP(F1907,OPDRACHTGEVER!$A$2:$B$4,2,FALSE),"")</f>
        <v>SKIIFM_AT</v>
      </c>
      <c r="F1907" s="11" t="s">
        <v>58</v>
      </c>
      <c r="I1907" s="11" t="str">
        <f>IF(DATA!B1906&lt;&gt;"",DATA!B1906,"")</f>
        <v>MSMU5767820</v>
      </c>
      <c r="J1907" s="12">
        <v>0</v>
      </c>
      <c r="K1907" s="11" t="s">
        <v>53</v>
      </c>
      <c r="L1907" s="11" t="str">
        <f t="shared" si="120"/>
        <v>850940</v>
      </c>
      <c r="M1907" s="11" t="str">
        <f>IF(I1907&lt;&gt;"",DATA!E1906,"")</f>
        <v>JUICER</v>
      </c>
      <c r="N1907" s="12">
        <v>0</v>
      </c>
      <c r="O1907" s="11">
        <f>IF(I1907&lt;&gt;"",DATA!C1906,"")</f>
        <v>119</v>
      </c>
      <c r="P1907" s="2">
        <v>294094</v>
      </c>
      <c r="Q1907" s="2" t="s">
        <v>1304</v>
      </c>
      <c r="R1907" s="2" t="s">
        <v>1341</v>
      </c>
      <c r="S1907" s="2">
        <v>292</v>
      </c>
      <c r="T1907" s="2">
        <v>1</v>
      </c>
      <c r="U1907" s="2" t="s">
        <v>141</v>
      </c>
      <c r="Y1907" s="2">
        <v>1700</v>
      </c>
      <c r="Z1907" s="11" t="s">
        <v>54</v>
      </c>
      <c r="AA1907" s="11" t="str">
        <f t="shared" si="121"/>
        <v>1700 - TBN</v>
      </c>
      <c r="AC1907" s="2" t="s">
        <v>145</v>
      </c>
      <c r="AD1907" s="11" t="str">
        <f>IF($I1907&lt;&gt;"",VLOOKUP($AC1907,GEADRESSEERDE!$A$2:$E$4,2,),"")</f>
        <v>LUITHAGEN HAVEN 2 D</v>
      </c>
      <c r="AE1907" s="11">
        <f>IF($I1907&lt;&gt;"",VLOOKUP($AC1907,GEADRESSEERDE!$A$2:$E$4,3,),"")</f>
        <v>2030</v>
      </c>
      <c r="AF1907" s="11" t="str">
        <f>IF($I1907&lt;&gt;"",VLOOKUP($AC1907,GEADRESSEERDE!$A$2:$E$4,4,),"")</f>
        <v>ANTWERPEN</v>
      </c>
      <c r="AG1907" s="11" t="str">
        <f>IF($I1907&lt;&gt;"",VLOOKUP($AC1907,GEADRESSEERDE!$A$2:$E$4,5,),"")</f>
        <v>BE</v>
      </c>
      <c r="AH1907" s="11" t="str">
        <f>IF(I1907&lt;&gt;"",VLOOKUP(AP1907,KvB!$A$2:$B$3,2,FALSE),"")</f>
        <v>BE101000</v>
      </c>
      <c r="AI1907" s="11" t="s">
        <v>55</v>
      </c>
      <c r="AJ1907" s="11"/>
      <c r="AK1907" s="11"/>
      <c r="AL1907" s="11"/>
      <c r="AM1907" s="11"/>
      <c r="AN1907" s="11"/>
      <c r="AO1907" s="11"/>
      <c r="AP1907" s="2" t="s">
        <v>70</v>
      </c>
      <c r="AQ1907" s="11" t="str">
        <f>IF(I1907&lt;&gt;"",DATA!D1906,"")</f>
        <v>8509400000</v>
      </c>
    </row>
    <row r="1908" spans="1:43" ht="15.75" x14ac:dyDescent="0.25">
      <c r="A1908" s="11" t="s">
        <v>57</v>
      </c>
      <c r="B1908" s="11" t="s">
        <v>56</v>
      </c>
      <c r="C1908" s="22">
        <f t="shared" si="122"/>
        <v>25001620</v>
      </c>
      <c r="D1908" s="11" t="str">
        <f t="shared" ref="D1908:D1965" si="123">E1908</f>
        <v>SKIIFM_AT</v>
      </c>
      <c r="E1908" s="11" t="str">
        <f>IF(I1908&lt;&gt;"",VLOOKUP(F1908,OPDRACHTGEVER!$A$2:$B$4,2,FALSE),"")</f>
        <v>SKIIFM_AT</v>
      </c>
      <c r="F1908" s="11" t="s">
        <v>58</v>
      </c>
      <c r="I1908" s="11" t="str">
        <f>IF(DATA!B1907&lt;&gt;"",DATA!B1907,"")</f>
        <v>MSMU5767820</v>
      </c>
      <c r="J1908" s="12">
        <v>0</v>
      </c>
      <c r="K1908" s="11" t="s">
        <v>53</v>
      </c>
      <c r="L1908" s="11" t="str">
        <f t="shared" ref="L1908:L1965" si="124">LEFT(AQ1908,6)</f>
        <v>950691</v>
      </c>
      <c r="M1908" s="11" t="str">
        <f>IF(I1908&lt;&gt;"",DATA!E1907,"")</f>
        <v>JUMPING STOOL</v>
      </c>
      <c r="N1908" s="12">
        <v>0</v>
      </c>
      <c r="O1908" s="11">
        <f>IF(I1908&lt;&gt;"",DATA!C1907,"")</f>
        <v>167.2</v>
      </c>
      <c r="P1908" s="2">
        <v>294094</v>
      </c>
      <c r="Q1908" s="2" t="s">
        <v>1304</v>
      </c>
      <c r="R1908" s="2" t="s">
        <v>1341</v>
      </c>
      <c r="S1908" s="2">
        <v>292</v>
      </c>
      <c r="T1908" s="2">
        <v>1</v>
      </c>
      <c r="U1908" s="2" t="s">
        <v>141</v>
      </c>
      <c r="Y1908" s="2">
        <v>1700</v>
      </c>
      <c r="Z1908" s="11" t="s">
        <v>54</v>
      </c>
      <c r="AA1908" s="11" t="str">
        <f t="shared" ref="AA1908:AA1965" si="125">IF(I1908&lt;&gt;"",Y1908&amp;" - "&amp;Z1908,"")</f>
        <v>1700 - TBN</v>
      </c>
      <c r="AC1908" s="2" t="s">
        <v>145</v>
      </c>
      <c r="AD1908" s="11" t="str">
        <f>IF($I1908&lt;&gt;"",VLOOKUP($AC1908,GEADRESSEERDE!$A$2:$E$4,2,),"")</f>
        <v>LUITHAGEN HAVEN 2 D</v>
      </c>
      <c r="AE1908" s="11">
        <f>IF($I1908&lt;&gt;"",VLOOKUP($AC1908,GEADRESSEERDE!$A$2:$E$4,3,),"")</f>
        <v>2030</v>
      </c>
      <c r="AF1908" s="11" t="str">
        <f>IF($I1908&lt;&gt;"",VLOOKUP($AC1908,GEADRESSEERDE!$A$2:$E$4,4,),"")</f>
        <v>ANTWERPEN</v>
      </c>
      <c r="AG1908" s="11" t="str">
        <f>IF($I1908&lt;&gt;"",VLOOKUP($AC1908,GEADRESSEERDE!$A$2:$E$4,5,),"")</f>
        <v>BE</v>
      </c>
      <c r="AH1908" s="11" t="str">
        <f>IF(I1908&lt;&gt;"",VLOOKUP(AP1908,KvB!$A$2:$B$3,2,FALSE),"")</f>
        <v>BE101000</v>
      </c>
      <c r="AI1908" s="11" t="s">
        <v>55</v>
      </c>
      <c r="AJ1908" s="11"/>
      <c r="AK1908" s="11"/>
      <c r="AL1908" s="11"/>
      <c r="AM1908" s="11"/>
      <c r="AN1908" s="11"/>
      <c r="AO1908" s="11"/>
      <c r="AP1908" s="2" t="s">
        <v>70</v>
      </c>
      <c r="AQ1908" s="11" t="str">
        <f>IF(I1908&lt;&gt;"",DATA!D1907,"")</f>
        <v>9506919000</v>
      </c>
    </row>
    <row r="1909" spans="1:43" ht="15.75" x14ac:dyDescent="0.25">
      <c r="A1909" s="11" t="s">
        <v>57</v>
      </c>
      <c r="B1909" s="11" t="s">
        <v>56</v>
      </c>
      <c r="C1909" s="22">
        <f t="shared" si="122"/>
        <v>25001620</v>
      </c>
      <c r="D1909" s="11" t="str">
        <f t="shared" si="123"/>
        <v>SKIIFM_AT</v>
      </c>
      <c r="E1909" s="11" t="str">
        <f>IF(I1909&lt;&gt;"",VLOOKUP(F1909,OPDRACHTGEVER!$A$2:$B$4,2,FALSE),"")</f>
        <v>SKIIFM_AT</v>
      </c>
      <c r="F1909" s="11" t="s">
        <v>58</v>
      </c>
      <c r="I1909" s="11" t="str">
        <f>IF(DATA!B1908&lt;&gt;"",DATA!B1908,"")</f>
        <v>MSMU5767820</v>
      </c>
      <c r="J1909" s="12">
        <v>0</v>
      </c>
      <c r="K1909" s="11" t="s">
        <v>53</v>
      </c>
      <c r="L1909" s="11" t="str">
        <f t="shared" si="124"/>
        <v>940599</v>
      </c>
      <c r="M1909" s="11" t="str">
        <f>IF(I1909&lt;&gt;"",DATA!E1908,"")</f>
        <v>LED-PQ 1200</v>
      </c>
      <c r="N1909" s="12">
        <v>0</v>
      </c>
      <c r="O1909" s="11">
        <f>IF(I1909&lt;&gt;"",DATA!C1908,"")</f>
        <v>24</v>
      </c>
      <c r="P1909" s="2">
        <v>294094</v>
      </c>
      <c r="Q1909" s="2" t="s">
        <v>1304</v>
      </c>
      <c r="R1909" s="2" t="s">
        <v>1341</v>
      </c>
      <c r="S1909" s="2">
        <v>292</v>
      </c>
      <c r="T1909" s="2">
        <v>1</v>
      </c>
      <c r="U1909" s="2" t="s">
        <v>141</v>
      </c>
      <c r="Y1909" s="2">
        <v>1700</v>
      </c>
      <c r="Z1909" s="11" t="s">
        <v>54</v>
      </c>
      <c r="AA1909" s="11" t="str">
        <f t="shared" si="125"/>
        <v>1700 - TBN</v>
      </c>
      <c r="AC1909" s="2" t="s">
        <v>145</v>
      </c>
      <c r="AD1909" s="11" t="str">
        <f>IF($I1909&lt;&gt;"",VLOOKUP($AC1909,GEADRESSEERDE!$A$2:$E$4,2,),"")</f>
        <v>LUITHAGEN HAVEN 2 D</v>
      </c>
      <c r="AE1909" s="11">
        <f>IF($I1909&lt;&gt;"",VLOOKUP($AC1909,GEADRESSEERDE!$A$2:$E$4,3,),"")</f>
        <v>2030</v>
      </c>
      <c r="AF1909" s="11" t="str">
        <f>IF($I1909&lt;&gt;"",VLOOKUP($AC1909,GEADRESSEERDE!$A$2:$E$4,4,),"")</f>
        <v>ANTWERPEN</v>
      </c>
      <c r="AG1909" s="11" t="str">
        <f>IF($I1909&lt;&gt;"",VLOOKUP($AC1909,GEADRESSEERDE!$A$2:$E$4,5,),"")</f>
        <v>BE</v>
      </c>
      <c r="AH1909" s="11" t="str">
        <f>IF(I1909&lt;&gt;"",VLOOKUP(AP1909,KvB!$A$2:$B$3,2,FALSE),"")</f>
        <v>BE101000</v>
      </c>
      <c r="AI1909" s="11" t="s">
        <v>55</v>
      </c>
      <c r="AJ1909" s="11"/>
      <c r="AK1909" s="11"/>
      <c r="AL1909" s="11"/>
      <c r="AM1909" s="11"/>
      <c r="AN1909" s="11"/>
      <c r="AO1909" s="11"/>
      <c r="AP1909" s="2" t="s">
        <v>70</v>
      </c>
      <c r="AQ1909" s="11" t="str">
        <f>IF(I1909&lt;&gt;"",DATA!D1908,"")</f>
        <v>9405990090</v>
      </c>
    </row>
    <row r="1910" spans="1:43" ht="15.75" x14ac:dyDescent="0.25">
      <c r="A1910" s="11" t="s">
        <v>57</v>
      </c>
      <c r="B1910" s="11" t="s">
        <v>56</v>
      </c>
      <c r="C1910" s="22">
        <f t="shared" si="122"/>
        <v>25001620</v>
      </c>
      <c r="D1910" s="11" t="str">
        <f t="shared" si="123"/>
        <v>SKIIFM_AT</v>
      </c>
      <c r="E1910" s="11" t="str">
        <f>IF(I1910&lt;&gt;"",VLOOKUP(F1910,OPDRACHTGEVER!$A$2:$B$4,2,FALSE),"")</f>
        <v>SKIIFM_AT</v>
      </c>
      <c r="F1910" s="11" t="s">
        <v>58</v>
      </c>
      <c r="I1910" s="11" t="str">
        <f>IF(DATA!B1909&lt;&gt;"",DATA!B1909,"")</f>
        <v>MSMU5767820</v>
      </c>
      <c r="J1910" s="12">
        <v>0</v>
      </c>
      <c r="K1910" s="11" t="s">
        <v>53</v>
      </c>
      <c r="L1910" s="11" t="str">
        <f t="shared" si="124"/>
        <v>843149</v>
      </c>
      <c r="M1910" s="11" t="str">
        <f>IF(I1910&lt;&gt;"",DATA!E1909,"")</f>
        <v>LENGTHENED FORKLIFT</v>
      </c>
      <c r="N1910" s="12">
        <v>0</v>
      </c>
      <c r="O1910" s="11">
        <f>IF(I1910&lt;&gt;"",DATA!C1909,"")</f>
        <v>5694.2</v>
      </c>
      <c r="P1910" s="2">
        <v>294094</v>
      </c>
      <c r="Q1910" s="2" t="s">
        <v>1304</v>
      </c>
      <c r="R1910" s="2" t="s">
        <v>1341</v>
      </c>
      <c r="S1910" s="2">
        <v>292</v>
      </c>
      <c r="T1910" s="2">
        <v>1</v>
      </c>
      <c r="U1910" s="2" t="s">
        <v>141</v>
      </c>
      <c r="Y1910" s="2">
        <v>1700</v>
      </c>
      <c r="Z1910" s="11" t="s">
        <v>54</v>
      </c>
      <c r="AA1910" s="11" t="str">
        <f t="shared" si="125"/>
        <v>1700 - TBN</v>
      </c>
      <c r="AC1910" s="2" t="s">
        <v>145</v>
      </c>
      <c r="AD1910" s="11" t="str">
        <f>IF($I1910&lt;&gt;"",VLOOKUP($AC1910,GEADRESSEERDE!$A$2:$E$4,2,),"")</f>
        <v>LUITHAGEN HAVEN 2 D</v>
      </c>
      <c r="AE1910" s="11">
        <f>IF($I1910&lt;&gt;"",VLOOKUP($AC1910,GEADRESSEERDE!$A$2:$E$4,3,),"")</f>
        <v>2030</v>
      </c>
      <c r="AF1910" s="11" t="str">
        <f>IF($I1910&lt;&gt;"",VLOOKUP($AC1910,GEADRESSEERDE!$A$2:$E$4,4,),"")</f>
        <v>ANTWERPEN</v>
      </c>
      <c r="AG1910" s="11" t="str">
        <f>IF($I1910&lt;&gt;"",VLOOKUP($AC1910,GEADRESSEERDE!$A$2:$E$4,5,),"")</f>
        <v>BE</v>
      </c>
      <c r="AH1910" s="11" t="str">
        <f>IF(I1910&lt;&gt;"",VLOOKUP(AP1910,KvB!$A$2:$B$3,2,FALSE),"")</f>
        <v>BE101000</v>
      </c>
      <c r="AI1910" s="11" t="s">
        <v>55</v>
      </c>
      <c r="AJ1910" s="11"/>
      <c r="AK1910" s="11"/>
      <c r="AL1910" s="11"/>
      <c r="AM1910" s="11"/>
      <c r="AN1910" s="11"/>
      <c r="AO1910" s="11"/>
      <c r="AP1910" s="2" t="s">
        <v>70</v>
      </c>
      <c r="AQ1910" s="11" t="str">
        <f>IF(I1910&lt;&gt;"",DATA!D1909,"")</f>
        <v>8431498090</v>
      </c>
    </row>
    <row r="1911" spans="1:43" ht="15.75" x14ac:dyDescent="0.25">
      <c r="A1911" s="11" t="s">
        <v>57</v>
      </c>
      <c r="B1911" s="11" t="s">
        <v>56</v>
      </c>
      <c r="C1911" s="22">
        <f t="shared" si="122"/>
        <v>25001620</v>
      </c>
      <c r="D1911" s="11" t="str">
        <f t="shared" si="123"/>
        <v>SKIIFM_AT</v>
      </c>
      <c r="E1911" s="11" t="str">
        <f>IF(I1911&lt;&gt;"",VLOOKUP(F1911,OPDRACHTGEVER!$A$2:$B$4,2,FALSE),"")</f>
        <v>SKIIFM_AT</v>
      </c>
      <c r="F1911" s="11" t="s">
        <v>58</v>
      </c>
      <c r="I1911" s="11" t="str">
        <f>IF(DATA!B1910&lt;&gt;"",DATA!B1910,"")</f>
        <v>MSMU5767820</v>
      </c>
      <c r="J1911" s="12">
        <v>0</v>
      </c>
      <c r="K1911" s="11" t="s">
        <v>53</v>
      </c>
      <c r="L1911" s="11" t="str">
        <f t="shared" si="124"/>
        <v>846721</v>
      </c>
      <c r="M1911" s="11" t="str">
        <f>IF(I1911&lt;&gt;"",DATA!E1910,"")</f>
        <v>MAGNETIC BASE DRILL</v>
      </c>
      <c r="N1911" s="12">
        <v>0</v>
      </c>
      <c r="O1911" s="11">
        <f>IF(I1911&lt;&gt;"",DATA!C1910,"")</f>
        <v>782.7</v>
      </c>
      <c r="P1911" s="2">
        <v>294094</v>
      </c>
      <c r="Q1911" s="2" t="s">
        <v>1304</v>
      </c>
      <c r="R1911" s="2" t="s">
        <v>1341</v>
      </c>
      <c r="S1911" s="2">
        <v>292</v>
      </c>
      <c r="T1911" s="2">
        <v>1</v>
      </c>
      <c r="U1911" s="2" t="s">
        <v>141</v>
      </c>
      <c r="Y1911" s="2">
        <v>1700</v>
      </c>
      <c r="Z1911" s="11" t="s">
        <v>54</v>
      </c>
      <c r="AA1911" s="11" t="str">
        <f t="shared" si="125"/>
        <v>1700 - TBN</v>
      </c>
      <c r="AC1911" s="2" t="s">
        <v>145</v>
      </c>
      <c r="AD1911" s="11" t="str">
        <f>IF($I1911&lt;&gt;"",VLOOKUP($AC1911,GEADRESSEERDE!$A$2:$E$4,2,),"")</f>
        <v>LUITHAGEN HAVEN 2 D</v>
      </c>
      <c r="AE1911" s="11">
        <f>IF($I1911&lt;&gt;"",VLOOKUP($AC1911,GEADRESSEERDE!$A$2:$E$4,3,),"")</f>
        <v>2030</v>
      </c>
      <c r="AF1911" s="11" t="str">
        <f>IF($I1911&lt;&gt;"",VLOOKUP($AC1911,GEADRESSEERDE!$A$2:$E$4,4,),"")</f>
        <v>ANTWERPEN</v>
      </c>
      <c r="AG1911" s="11" t="str">
        <f>IF($I1911&lt;&gt;"",VLOOKUP($AC1911,GEADRESSEERDE!$A$2:$E$4,5,),"")</f>
        <v>BE</v>
      </c>
      <c r="AH1911" s="11" t="str">
        <f>IF(I1911&lt;&gt;"",VLOOKUP(AP1911,KvB!$A$2:$B$3,2,FALSE),"")</f>
        <v>BE101000</v>
      </c>
      <c r="AI1911" s="11" t="s">
        <v>55</v>
      </c>
      <c r="AJ1911" s="11"/>
      <c r="AK1911" s="11"/>
      <c r="AL1911" s="11"/>
      <c r="AM1911" s="11"/>
      <c r="AN1911" s="11"/>
      <c r="AO1911" s="11"/>
      <c r="AP1911" s="2" t="s">
        <v>70</v>
      </c>
      <c r="AQ1911" s="11" t="str">
        <f>IF(I1911&lt;&gt;"",DATA!D1910,"")</f>
        <v>8467219900</v>
      </c>
    </row>
    <row r="1912" spans="1:43" ht="15.75" x14ac:dyDescent="0.25">
      <c r="A1912" s="11" t="s">
        <v>57</v>
      </c>
      <c r="B1912" s="11" t="s">
        <v>56</v>
      </c>
      <c r="C1912" s="22">
        <f t="shared" si="122"/>
        <v>25001620</v>
      </c>
      <c r="D1912" s="11" t="str">
        <f t="shared" si="123"/>
        <v>SKIIFM_AT</v>
      </c>
      <c r="E1912" s="11" t="str">
        <f>IF(I1912&lt;&gt;"",VLOOKUP(F1912,OPDRACHTGEVER!$A$2:$B$4,2,FALSE),"")</f>
        <v>SKIIFM_AT</v>
      </c>
      <c r="F1912" s="11" t="s">
        <v>58</v>
      </c>
      <c r="I1912" s="11" t="str">
        <f>IF(DATA!B1911&lt;&gt;"",DATA!B1911,"")</f>
        <v>MSMU5767820</v>
      </c>
      <c r="J1912" s="12">
        <v>0</v>
      </c>
      <c r="K1912" s="11" t="s">
        <v>53</v>
      </c>
      <c r="L1912" s="11" t="str">
        <f t="shared" si="124"/>
        <v>846693</v>
      </c>
      <c r="M1912" s="11" t="str">
        <f>IF(I1912&lt;&gt;"",DATA!E1911,"")</f>
        <v>MOTHERBOARD</v>
      </c>
      <c r="N1912" s="12">
        <v>0</v>
      </c>
      <c r="O1912" s="11">
        <f>IF(I1912&lt;&gt;"",DATA!C1911,"")</f>
        <v>1.25</v>
      </c>
      <c r="P1912" s="2">
        <v>294094</v>
      </c>
      <c r="Q1912" s="2" t="s">
        <v>1304</v>
      </c>
      <c r="R1912" s="2" t="s">
        <v>1341</v>
      </c>
      <c r="S1912" s="2">
        <v>292</v>
      </c>
      <c r="T1912" s="2">
        <v>1</v>
      </c>
      <c r="U1912" s="2" t="s">
        <v>141</v>
      </c>
      <c r="Y1912" s="2">
        <v>1700</v>
      </c>
      <c r="Z1912" s="11" t="s">
        <v>54</v>
      </c>
      <c r="AA1912" s="11" t="str">
        <f t="shared" si="125"/>
        <v>1700 - TBN</v>
      </c>
      <c r="AC1912" s="2" t="s">
        <v>145</v>
      </c>
      <c r="AD1912" s="11" t="str">
        <f>IF($I1912&lt;&gt;"",VLOOKUP($AC1912,GEADRESSEERDE!$A$2:$E$4,2,),"")</f>
        <v>LUITHAGEN HAVEN 2 D</v>
      </c>
      <c r="AE1912" s="11">
        <f>IF($I1912&lt;&gt;"",VLOOKUP($AC1912,GEADRESSEERDE!$A$2:$E$4,3,),"")</f>
        <v>2030</v>
      </c>
      <c r="AF1912" s="11" t="str">
        <f>IF($I1912&lt;&gt;"",VLOOKUP($AC1912,GEADRESSEERDE!$A$2:$E$4,4,),"")</f>
        <v>ANTWERPEN</v>
      </c>
      <c r="AG1912" s="11" t="str">
        <f>IF($I1912&lt;&gt;"",VLOOKUP($AC1912,GEADRESSEERDE!$A$2:$E$4,5,),"")</f>
        <v>BE</v>
      </c>
      <c r="AH1912" s="11" t="str">
        <f>IF(I1912&lt;&gt;"",VLOOKUP(AP1912,KvB!$A$2:$B$3,2,FALSE),"")</f>
        <v>BE101000</v>
      </c>
      <c r="AI1912" s="11" t="s">
        <v>55</v>
      </c>
      <c r="AJ1912" s="11"/>
      <c r="AK1912" s="11"/>
      <c r="AL1912" s="11"/>
      <c r="AM1912" s="11"/>
      <c r="AN1912" s="11"/>
      <c r="AO1912" s="11"/>
      <c r="AP1912" s="2" t="s">
        <v>70</v>
      </c>
      <c r="AQ1912" s="11" t="str">
        <f>IF(I1912&lt;&gt;"",DATA!D1911,"")</f>
        <v>8466936000</v>
      </c>
    </row>
    <row r="1913" spans="1:43" ht="15.75" x14ac:dyDescent="0.25">
      <c r="A1913" s="11" t="s">
        <v>57</v>
      </c>
      <c r="B1913" s="11" t="s">
        <v>56</v>
      </c>
      <c r="C1913" s="22">
        <f t="shared" si="122"/>
        <v>25001620</v>
      </c>
      <c r="D1913" s="11" t="str">
        <f t="shared" si="123"/>
        <v>SKIIFM_AT</v>
      </c>
      <c r="E1913" s="11" t="str">
        <f>IF(I1913&lt;&gt;"",VLOOKUP(F1913,OPDRACHTGEVER!$A$2:$B$4,2,FALSE),"")</f>
        <v>SKIIFM_AT</v>
      </c>
      <c r="F1913" s="11" t="s">
        <v>58</v>
      </c>
      <c r="I1913" s="11" t="str">
        <f>IF(DATA!B1912&lt;&gt;"",DATA!B1912,"")</f>
        <v>MSMU5767820</v>
      </c>
      <c r="J1913" s="12">
        <v>0</v>
      </c>
      <c r="K1913" s="11" t="s">
        <v>53</v>
      </c>
      <c r="L1913" s="11" t="str">
        <f t="shared" si="124"/>
        <v>844339</v>
      </c>
      <c r="M1913" s="11" t="str">
        <f>IF(I1913&lt;&gt;"",DATA!E1912,"")</f>
        <v>MUG HEAT PRESS AND ACCESSORIES</v>
      </c>
      <c r="N1913" s="12">
        <v>0</v>
      </c>
      <c r="O1913" s="11">
        <f>IF(I1913&lt;&gt;"",DATA!C1912,"")</f>
        <v>111.6</v>
      </c>
      <c r="P1913" s="2">
        <v>294094</v>
      </c>
      <c r="Q1913" s="2" t="s">
        <v>1304</v>
      </c>
      <c r="R1913" s="2" t="s">
        <v>1341</v>
      </c>
      <c r="S1913" s="2">
        <v>292</v>
      </c>
      <c r="T1913" s="2">
        <v>1</v>
      </c>
      <c r="U1913" s="2" t="s">
        <v>141</v>
      </c>
      <c r="Y1913" s="2">
        <v>1700</v>
      </c>
      <c r="Z1913" s="11" t="s">
        <v>54</v>
      </c>
      <c r="AA1913" s="11" t="str">
        <f t="shared" si="125"/>
        <v>1700 - TBN</v>
      </c>
      <c r="AC1913" s="2" t="s">
        <v>145</v>
      </c>
      <c r="AD1913" s="11" t="str">
        <f>IF($I1913&lt;&gt;"",VLOOKUP($AC1913,GEADRESSEERDE!$A$2:$E$4,2,),"")</f>
        <v>LUITHAGEN HAVEN 2 D</v>
      </c>
      <c r="AE1913" s="11">
        <f>IF($I1913&lt;&gt;"",VLOOKUP($AC1913,GEADRESSEERDE!$A$2:$E$4,3,),"")</f>
        <v>2030</v>
      </c>
      <c r="AF1913" s="11" t="str">
        <f>IF($I1913&lt;&gt;"",VLOOKUP($AC1913,GEADRESSEERDE!$A$2:$E$4,4,),"")</f>
        <v>ANTWERPEN</v>
      </c>
      <c r="AG1913" s="11" t="str">
        <f>IF($I1913&lt;&gt;"",VLOOKUP($AC1913,GEADRESSEERDE!$A$2:$E$4,5,),"")</f>
        <v>BE</v>
      </c>
      <c r="AH1913" s="11" t="str">
        <f>IF(I1913&lt;&gt;"",VLOOKUP(AP1913,KvB!$A$2:$B$3,2,FALSE),"")</f>
        <v>BE101000</v>
      </c>
      <c r="AI1913" s="11" t="s">
        <v>55</v>
      </c>
      <c r="AJ1913" s="11"/>
      <c r="AK1913" s="11"/>
      <c r="AL1913" s="11"/>
      <c r="AM1913" s="11"/>
      <c r="AN1913" s="11"/>
      <c r="AO1913" s="11"/>
      <c r="AP1913" s="2" t="s">
        <v>70</v>
      </c>
      <c r="AQ1913" s="11" t="str">
        <f>IF(I1913&lt;&gt;"",DATA!D1912,"")</f>
        <v>8443390000</v>
      </c>
    </row>
    <row r="1914" spans="1:43" ht="15.75" x14ac:dyDescent="0.25">
      <c r="A1914" s="11" t="s">
        <v>57</v>
      </c>
      <c r="B1914" s="11" t="s">
        <v>56</v>
      </c>
      <c r="C1914" s="22">
        <f t="shared" si="122"/>
        <v>25001620</v>
      </c>
      <c r="D1914" s="11" t="str">
        <f t="shared" si="123"/>
        <v>SKIIFM_AT</v>
      </c>
      <c r="E1914" s="11" t="str">
        <f>IF(I1914&lt;&gt;"",VLOOKUP(F1914,OPDRACHTGEVER!$A$2:$B$4,2,FALSE),"")</f>
        <v>SKIIFM_AT</v>
      </c>
      <c r="F1914" s="11" t="s">
        <v>58</v>
      </c>
      <c r="I1914" s="11" t="str">
        <f>IF(DATA!B1913&lt;&gt;"",DATA!B1913,"")</f>
        <v>MSMU5767820</v>
      </c>
      <c r="J1914" s="12">
        <v>0</v>
      </c>
      <c r="K1914" s="11" t="s">
        <v>53</v>
      </c>
      <c r="L1914" s="11" t="str">
        <f t="shared" si="124"/>
        <v>841320</v>
      </c>
      <c r="M1914" s="11" t="str">
        <f>IF(I1914&lt;&gt;"",DATA!E1913,"")</f>
        <v>OIL EXTRACTOR</v>
      </c>
      <c r="N1914" s="12">
        <v>0</v>
      </c>
      <c r="O1914" s="11">
        <f>IF(I1914&lt;&gt;"",DATA!C1913,"")</f>
        <v>93</v>
      </c>
      <c r="P1914" s="2">
        <v>294094</v>
      </c>
      <c r="Q1914" s="2" t="s">
        <v>1304</v>
      </c>
      <c r="R1914" s="2" t="s">
        <v>1341</v>
      </c>
      <c r="S1914" s="2">
        <v>292</v>
      </c>
      <c r="T1914" s="2">
        <v>1</v>
      </c>
      <c r="U1914" s="2" t="s">
        <v>141</v>
      </c>
      <c r="Y1914" s="2">
        <v>1700</v>
      </c>
      <c r="Z1914" s="11" t="s">
        <v>54</v>
      </c>
      <c r="AA1914" s="11" t="str">
        <f t="shared" si="125"/>
        <v>1700 - TBN</v>
      </c>
      <c r="AC1914" s="2" t="s">
        <v>145</v>
      </c>
      <c r="AD1914" s="11" t="str">
        <f>IF($I1914&lt;&gt;"",VLOOKUP($AC1914,GEADRESSEERDE!$A$2:$E$4,2,),"")</f>
        <v>LUITHAGEN HAVEN 2 D</v>
      </c>
      <c r="AE1914" s="11">
        <f>IF($I1914&lt;&gt;"",VLOOKUP($AC1914,GEADRESSEERDE!$A$2:$E$4,3,),"")</f>
        <v>2030</v>
      </c>
      <c r="AF1914" s="11" t="str">
        <f>IF($I1914&lt;&gt;"",VLOOKUP($AC1914,GEADRESSEERDE!$A$2:$E$4,4,),"")</f>
        <v>ANTWERPEN</v>
      </c>
      <c r="AG1914" s="11" t="str">
        <f>IF($I1914&lt;&gt;"",VLOOKUP($AC1914,GEADRESSEERDE!$A$2:$E$4,5,),"")</f>
        <v>BE</v>
      </c>
      <c r="AH1914" s="11" t="str">
        <f>IF(I1914&lt;&gt;"",VLOOKUP(AP1914,KvB!$A$2:$B$3,2,FALSE),"")</f>
        <v>BE101000</v>
      </c>
      <c r="AI1914" s="11" t="s">
        <v>55</v>
      </c>
      <c r="AJ1914" s="11"/>
      <c r="AK1914" s="11"/>
      <c r="AL1914" s="11"/>
      <c r="AM1914" s="11"/>
      <c r="AN1914" s="11"/>
      <c r="AO1914" s="11"/>
      <c r="AP1914" s="2" t="s">
        <v>70</v>
      </c>
      <c r="AQ1914" s="11" t="str">
        <f>IF(I1914&lt;&gt;"",DATA!D1913,"")</f>
        <v>8413200090</v>
      </c>
    </row>
    <row r="1915" spans="1:43" ht="15.75" x14ac:dyDescent="0.25">
      <c r="A1915" s="11" t="s">
        <v>57</v>
      </c>
      <c r="B1915" s="11" t="s">
        <v>56</v>
      </c>
      <c r="C1915" s="22">
        <f t="shared" si="122"/>
        <v>25001620</v>
      </c>
      <c r="D1915" s="11" t="str">
        <f t="shared" si="123"/>
        <v>SKIIFM_AT</v>
      </c>
      <c r="E1915" s="11" t="str">
        <f>IF(I1915&lt;&gt;"",VLOOKUP(F1915,OPDRACHTGEVER!$A$2:$B$4,2,FALSE),"")</f>
        <v>SKIIFM_AT</v>
      </c>
      <c r="F1915" s="11" t="s">
        <v>58</v>
      </c>
      <c r="I1915" s="11" t="str">
        <f>IF(DATA!B1914&lt;&gt;"",DATA!B1914,"")</f>
        <v>MSMU5767820</v>
      </c>
      <c r="J1915" s="12">
        <v>0</v>
      </c>
      <c r="K1915" s="11" t="s">
        <v>53</v>
      </c>
      <c r="L1915" s="11" t="str">
        <f t="shared" si="124"/>
        <v>392590</v>
      </c>
      <c r="M1915" s="11" t="str">
        <f>IF(I1915&lt;&gt;"",DATA!E1914,"")</f>
        <v>PLASTIC FLOOR</v>
      </c>
      <c r="N1915" s="12">
        <v>0</v>
      </c>
      <c r="O1915" s="11">
        <f>IF(I1915&lt;&gt;"",DATA!C1914,"")</f>
        <v>79</v>
      </c>
      <c r="P1915" s="2">
        <v>294094</v>
      </c>
      <c r="Q1915" s="2" t="s">
        <v>1304</v>
      </c>
      <c r="R1915" s="2" t="s">
        <v>1341</v>
      </c>
      <c r="S1915" s="2">
        <v>292</v>
      </c>
      <c r="T1915" s="2">
        <v>1</v>
      </c>
      <c r="U1915" s="2" t="s">
        <v>141</v>
      </c>
      <c r="Y1915" s="2">
        <v>1700</v>
      </c>
      <c r="Z1915" s="11" t="s">
        <v>54</v>
      </c>
      <c r="AA1915" s="11" t="str">
        <f t="shared" si="125"/>
        <v>1700 - TBN</v>
      </c>
      <c r="AC1915" s="2" t="s">
        <v>145</v>
      </c>
      <c r="AD1915" s="11" t="str">
        <f>IF($I1915&lt;&gt;"",VLOOKUP($AC1915,GEADRESSEERDE!$A$2:$E$4,2,),"")</f>
        <v>LUITHAGEN HAVEN 2 D</v>
      </c>
      <c r="AE1915" s="11">
        <f>IF($I1915&lt;&gt;"",VLOOKUP($AC1915,GEADRESSEERDE!$A$2:$E$4,3,),"")</f>
        <v>2030</v>
      </c>
      <c r="AF1915" s="11" t="str">
        <f>IF($I1915&lt;&gt;"",VLOOKUP($AC1915,GEADRESSEERDE!$A$2:$E$4,4,),"")</f>
        <v>ANTWERPEN</v>
      </c>
      <c r="AG1915" s="11" t="str">
        <f>IF($I1915&lt;&gt;"",VLOOKUP($AC1915,GEADRESSEERDE!$A$2:$E$4,5,),"")</f>
        <v>BE</v>
      </c>
      <c r="AH1915" s="11" t="str">
        <f>IF(I1915&lt;&gt;"",VLOOKUP(AP1915,KvB!$A$2:$B$3,2,FALSE),"")</f>
        <v>BE101000</v>
      </c>
      <c r="AI1915" s="11" t="s">
        <v>55</v>
      </c>
      <c r="AJ1915" s="11"/>
      <c r="AK1915" s="11"/>
      <c r="AL1915" s="11"/>
      <c r="AM1915" s="11"/>
      <c r="AN1915" s="11"/>
      <c r="AO1915" s="11"/>
      <c r="AP1915" s="2" t="s">
        <v>70</v>
      </c>
      <c r="AQ1915" s="11" t="str">
        <f>IF(I1915&lt;&gt;"",DATA!D1914,"")</f>
        <v>3925908000</v>
      </c>
    </row>
    <row r="1916" spans="1:43" ht="15.75" x14ac:dyDescent="0.25">
      <c r="A1916" s="11" t="s">
        <v>57</v>
      </c>
      <c r="B1916" s="11" t="s">
        <v>56</v>
      </c>
      <c r="C1916" s="22">
        <f t="shared" si="122"/>
        <v>25001620</v>
      </c>
      <c r="D1916" s="11" t="str">
        <f t="shared" si="123"/>
        <v>SKIIFM_AT</v>
      </c>
      <c r="E1916" s="11" t="str">
        <f>IF(I1916&lt;&gt;"",VLOOKUP(F1916,OPDRACHTGEVER!$A$2:$B$4,2,FALSE),"")</f>
        <v>SKIIFM_AT</v>
      </c>
      <c r="F1916" s="11" t="s">
        <v>58</v>
      </c>
      <c r="I1916" s="11" t="str">
        <f>IF(DATA!B1915&lt;&gt;"",DATA!B1915,"")</f>
        <v>MSMU5767820</v>
      </c>
      <c r="J1916" s="12">
        <v>0</v>
      </c>
      <c r="K1916" s="11" t="s">
        <v>53</v>
      </c>
      <c r="L1916" s="11" t="str">
        <f t="shared" si="124"/>
        <v>841350</v>
      </c>
      <c r="M1916" s="11" t="str">
        <f>IF(I1916&lt;&gt;"",DATA!E1915,"")</f>
        <v>PNEUMATIC HYDRAULIC PUMP</v>
      </c>
      <c r="N1916" s="12">
        <v>0</v>
      </c>
      <c r="O1916" s="11">
        <f>IF(I1916&lt;&gt;"",DATA!C1915,"")</f>
        <v>223.2</v>
      </c>
      <c r="P1916" s="2">
        <v>294094</v>
      </c>
      <c r="Q1916" s="2" t="s">
        <v>1304</v>
      </c>
      <c r="R1916" s="2" t="s">
        <v>1341</v>
      </c>
      <c r="S1916" s="2">
        <v>292</v>
      </c>
      <c r="T1916" s="2">
        <v>1</v>
      </c>
      <c r="U1916" s="2" t="s">
        <v>141</v>
      </c>
      <c r="Y1916" s="2">
        <v>1700</v>
      </c>
      <c r="Z1916" s="11" t="s">
        <v>54</v>
      </c>
      <c r="AA1916" s="11" t="str">
        <f t="shared" si="125"/>
        <v>1700 - TBN</v>
      </c>
      <c r="AC1916" s="2" t="s">
        <v>145</v>
      </c>
      <c r="AD1916" s="11" t="str">
        <f>IF($I1916&lt;&gt;"",VLOOKUP($AC1916,GEADRESSEERDE!$A$2:$E$4,2,),"")</f>
        <v>LUITHAGEN HAVEN 2 D</v>
      </c>
      <c r="AE1916" s="11">
        <f>IF($I1916&lt;&gt;"",VLOOKUP($AC1916,GEADRESSEERDE!$A$2:$E$4,3,),"")</f>
        <v>2030</v>
      </c>
      <c r="AF1916" s="11" t="str">
        <f>IF($I1916&lt;&gt;"",VLOOKUP($AC1916,GEADRESSEERDE!$A$2:$E$4,4,),"")</f>
        <v>ANTWERPEN</v>
      </c>
      <c r="AG1916" s="11" t="str">
        <f>IF($I1916&lt;&gt;"",VLOOKUP($AC1916,GEADRESSEERDE!$A$2:$E$4,5,),"")</f>
        <v>BE</v>
      </c>
      <c r="AH1916" s="11" t="str">
        <f>IF(I1916&lt;&gt;"",VLOOKUP(AP1916,KvB!$A$2:$B$3,2,FALSE),"")</f>
        <v>BE101000</v>
      </c>
      <c r="AI1916" s="11" t="s">
        <v>55</v>
      </c>
      <c r="AJ1916" s="11"/>
      <c r="AK1916" s="11"/>
      <c r="AL1916" s="11"/>
      <c r="AM1916" s="11"/>
      <c r="AN1916" s="11"/>
      <c r="AO1916" s="11"/>
      <c r="AP1916" s="2" t="s">
        <v>70</v>
      </c>
      <c r="AQ1916" s="11" t="str">
        <f>IF(I1916&lt;&gt;"",DATA!D1915,"")</f>
        <v>8413508090</v>
      </c>
    </row>
    <row r="1917" spans="1:43" ht="15.75" x14ac:dyDescent="0.25">
      <c r="A1917" s="11" t="s">
        <v>57</v>
      </c>
      <c r="B1917" s="11" t="s">
        <v>56</v>
      </c>
      <c r="C1917" s="22">
        <f t="shared" si="122"/>
        <v>25001620</v>
      </c>
      <c r="D1917" s="11" t="str">
        <f t="shared" si="123"/>
        <v>SKIIFM_AT</v>
      </c>
      <c r="E1917" s="11" t="str">
        <f>IF(I1917&lt;&gt;"",VLOOKUP(F1917,OPDRACHTGEVER!$A$2:$B$4,2,FALSE),"")</f>
        <v>SKIIFM_AT</v>
      </c>
      <c r="F1917" s="11" t="s">
        <v>58</v>
      </c>
      <c r="I1917" s="11" t="str">
        <f>IF(DATA!B1916&lt;&gt;"",DATA!B1916,"")</f>
        <v>MSMU5767820</v>
      </c>
      <c r="J1917" s="12">
        <v>0</v>
      </c>
      <c r="K1917" s="11" t="s">
        <v>53</v>
      </c>
      <c r="L1917" s="11" t="str">
        <f t="shared" si="124"/>
        <v>950490</v>
      </c>
      <c r="M1917" s="11" t="str">
        <f>IF(I1917&lt;&gt;"",DATA!E1916,"")</f>
        <v>POKER MAT</v>
      </c>
      <c r="N1917" s="12">
        <v>0</v>
      </c>
      <c r="O1917" s="11">
        <f>IF(I1917&lt;&gt;"",DATA!C1916,"")</f>
        <v>158.69999999999999</v>
      </c>
      <c r="P1917" s="2">
        <v>294094</v>
      </c>
      <c r="Q1917" s="2" t="s">
        <v>1304</v>
      </c>
      <c r="R1917" s="2" t="s">
        <v>1341</v>
      </c>
      <c r="S1917" s="2">
        <v>292</v>
      </c>
      <c r="T1917" s="2">
        <v>1</v>
      </c>
      <c r="U1917" s="2" t="s">
        <v>141</v>
      </c>
      <c r="Y1917" s="2">
        <v>1700</v>
      </c>
      <c r="Z1917" s="11" t="s">
        <v>54</v>
      </c>
      <c r="AA1917" s="11" t="str">
        <f t="shared" si="125"/>
        <v>1700 - TBN</v>
      </c>
      <c r="AC1917" s="2" t="s">
        <v>145</v>
      </c>
      <c r="AD1917" s="11" t="str">
        <f>IF($I1917&lt;&gt;"",VLOOKUP($AC1917,GEADRESSEERDE!$A$2:$E$4,2,),"")</f>
        <v>LUITHAGEN HAVEN 2 D</v>
      </c>
      <c r="AE1917" s="11">
        <f>IF($I1917&lt;&gt;"",VLOOKUP($AC1917,GEADRESSEERDE!$A$2:$E$4,3,),"")</f>
        <v>2030</v>
      </c>
      <c r="AF1917" s="11" t="str">
        <f>IF($I1917&lt;&gt;"",VLOOKUP($AC1917,GEADRESSEERDE!$A$2:$E$4,4,),"")</f>
        <v>ANTWERPEN</v>
      </c>
      <c r="AG1917" s="11" t="str">
        <f>IF($I1917&lt;&gt;"",VLOOKUP($AC1917,GEADRESSEERDE!$A$2:$E$4,5,),"")</f>
        <v>BE</v>
      </c>
      <c r="AH1917" s="11" t="str">
        <f>IF(I1917&lt;&gt;"",VLOOKUP(AP1917,KvB!$A$2:$B$3,2,FALSE),"")</f>
        <v>BE101000</v>
      </c>
      <c r="AI1917" s="11" t="s">
        <v>55</v>
      </c>
      <c r="AJ1917" s="11"/>
      <c r="AK1917" s="11"/>
      <c r="AL1917" s="11"/>
      <c r="AM1917" s="11"/>
      <c r="AN1917" s="11"/>
      <c r="AO1917" s="11"/>
      <c r="AP1917" s="2" t="s">
        <v>70</v>
      </c>
      <c r="AQ1917" s="11" t="str">
        <f>IF(I1917&lt;&gt;"",DATA!D1916,"")</f>
        <v>9504908000</v>
      </c>
    </row>
    <row r="1918" spans="1:43" ht="15.75" x14ac:dyDescent="0.25">
      <c r="A1918" s="11" t="s">
        <v>57</v>
      </c>
      <c r="B1918" s="11" t="s">
        <v>56</v>
      </c>
      <c r="C1918" s="22">
        <f t="shared" si="122"/>
        <v>25001620</v>
      </c>
      <c r="D1918" s="11" t="str">
        <f t="shared" si="123"/>
        <v>SKIIFM_AT</v>
      </c>
      <c r="E1918" s="11" t="str">
        <f>IF(I1918&lt;&gt;"",VLOOKUP(F1918,OPDRACHTGEVER!$A$2:$B$4,2,FALSE),"")</f>
        <v>SKIIFM_AT</v>
      </c>
      <c r="F1918" s="11" t="s">
        <v>58</v>
      </c>
      <c r="I1918" s="11" t="str">
        <f>IF(DATA!B1917&lt;&gt;"",DATA!B1917,"")</f>
        <v>MSMU5767820</v>
      </c>
      <c r="J1918" s="12">
        <v>0</v>
      </c>
      <c r="K1918" s="11" t="s">
        <v>53</v>
      </c>
      <c r="L1918" s="11" t="str">
        <f t="shared" si="124"/>
        <v>842430</v>
      </c>
      <c r="M1918" s="11" t="str">
        <f>IF(I1918&lt;&gt;"",DATA!E1917,"")</f>
        <v>POWDER COATING MACHINE</v>
      </c>
      <c r="N1918" s="12">
        <v>0</v>
      </c>
      <c r="O1918" s="11">
        <f>IF(I1918&lt;&gt;"",DATA!C1917,"")</f>
        <v>558.4</v>
      </c>
      <c r="P1918" s="2">
        <v>294094</v>
      </c>
      <c r="Q1918" s="2" t="s">
        <v>1304</v>
      </c>
      <c r="R1918" s="2" t="s">
        <v>1341</v>
      </c>
      <c r="S1918" s="2">
        <v>292</v>
      </c>
      <c r="T1918" s="2">
        <v>1</v>
      </c>
      <c r="U1918" s="2" t="s">
        <v>141</v>
      </c>
      <c r="Y1918" s="2">
        <v>1700</v>
      </c>
      <c r="Z1918" s="11" t="s">
        <v>54</v>
      </c>
      <c r="AA1918" s="11" t="str">
        <f t="shared" si="125"/>
        <v>1700 - TBN</v>
      </c>
      <c r="AC1918" s="2" t="s">
        <v>145</v>
      </c>
      <c r="AD1918" s="11" t="str">
        <f>IF($I1918&lt;&gt;"",VLOOKUP($AC1918,GEADRESSEERDE!$A$2:$E$4,2,),"")</f>
        <v>LUITHAGEN HAVEN 2 D</v>
      </c>
      <c r="AE1918" s="11">
        <f>IF($I1918&lt;&gt;"",VLOOKUP($AC1918,GEADRESSEERDE!$A$2:$E$4,3,),"")</f>
        <v>2030</v>
      </c>
      <c r="AF1918" s="11" t="str">
        <f>IF($I1918&lt;&gt;"",VLOOKUP($AC1918,GEADRESSEERDE!$A$2:$E$4,4,),"")</f>
        <v>ANTWERPEN</v>
      </c>
      <c r="AG1918" s="11" t="str">
        <f>IF($I1918&lt;&gt;"",VLOOKUP($AC1918,GEADRESSEERDE!$A$2:$E$4,5,),"")</f>
        <v>BE</v>
      </c>
      <c r="AH1918" s="11" t="str">
        <f>IF(I1918&lt;&gt;"",VLOOKUP(AP1918,KvB!$A$2:$B$3,2,FALSE),"")</f>
        <v>BE101000</v>
      </c>
      <c r="AI1918" s="11" t="s">
        <v>55</v>
      </c>
      <c r="AJ1918" s="11"/>
      <c r="AK1918" s="11"/>
      <c r="AL1918" s="11"/>
      <c r="AM1918" s="11"/>
      <c r="AN1918" s="11"/>
      <c r="AO1918" s="11"/>
      <c r="AP1918" s="2" t="s">
        <v>70</v>
      </c>
      <c r="AQ1918" s="11" t="str">
        <f>IF(I1918&lt;&gt;"",DATA!D1917,"")</f>
        <v>8424301000</v>
      </c>
    </row>
    <row r="1919" spans="1:43" ht="15.75" x14ac:dyDescent="0.25">
      <c r="A1919" s="11" t="s">
        <v>57</v>
      </c>
      <c r="B1919" s="11" t="s">
        <v>56</v>
      </c>
      <c r="C1919" s="22">
        <f t="shared" si="122"/>
        <v>25001620</v>
      </c>
      <c r="D1919" s="11" t="str">
        <f t="shared" si="123"/>
        <v>SKIIFM_AT</v>
      </c>
      <c r="E1919" s="11" t="str">
        <f>IF(I1919&lt;&gt;"",VLOOKUP(F1919,OPDRACHTGEVER!$A$2:$B$4,2,FALSE),"")</f>
        <v>SKIIFM_AT</v>
      </c>
      <c r="F1919" s="11" t="s">
        <v>58</v>
      </c>
      <c r="I1919" s="11" t="str">
        <f>IF(DATA!B1918&lt;&gt;"",DATA!B1918,"")</f>
        <v>MSMU5767820</v>
      </c>
      <c r="J1919" s="12">
        <v>0</v>
      </c>
      <c r="K1919" s="11" t="s">
        <v>53</v>
      </c>
      <c r="L1919" s="11" t="str">
        <f t="shared" si="124"/>
        <v>850440</v>
      </c>
      <c r="M1919" s="11" t="str">
        <f>IF(I1919&lt;&gt;"",DATA!E1918,"")</f>
        <v>POWER PLUG-220V</v>
      </c>
      <c r="N1919" s="12">
        <v>0</v>
      </c>
      <c r="O1919" s="11">
        <f>IF(I1919&lt;&gt;"",DATA!C1918,"")</f>
        <v>3.6</v>
      </c>
      <c r="P1919" s="2">
        <v>294094</v>
      </c>
      <c r="Q1919" s="2" t="s">
        <v>1304</v>
      </c>
      <c r="R1919" s="2" t="s">
        <v>1341</v>
      </c>
      <c r="S1919" s="2">
        <v>292</v>
      </c>
      <c r="T1919" s="2">
        <v>1</v>
      </c>
      <c r="U1919" s="2" t="s">
        <v>141</v>
      </c>
      <c r="Y1919" s="2">
        <v>1700</v>
      </c>
      <c r="Z1919" s="11" t="s">
        <v>54</v>
      </c>
      <c r="AA1919" s="11" t="str">
        <f t="shared" si="125"/>
        <v>1700 - TBN</v>
      </c>
      <c r="AC1919" s="2" t="s">
        <v>145</v>
      </c>
      <c r="AD1919" s="11" t="str">
        <f>IF($I1919&lt;&gt;"",VLOOKUP($AC1919,GEADRESSEERDE!$A$2:$E$4,2,),"")</f>
        <v>LUITHAGEN HAVEN 2 D</v>
      </c>
      <c r="AE1919" s="11">
        <f>IF($I1919&lt;&gt;"",VLOOKUP($AC1919,GEADRESSEERDE!$A$2:$E$4,3,),"")</f>
        <v>2030</v>
      </c>
      <c r="AF1919" s="11" t="str">
        <f>IF($I1919&lt;&gt;"",VLOOKUP($AC1919,GEADRESSEERDE!$A$2:$E$4,4,),"")</f>
        <v>ANTWERPEN</v>
      </c>
      <c r="AG1919" s="11" t="str">
        <f>IF($I1919&lt;&gt;"",VLOOKUP($AC1919,GEADRESSEERDE!$A$2:$E$4,5,),"")</f>
        <v>BE</v>
      </c>
      <c r="AH1919" s="11" t="str">
        <f>IF(I1919&lt;&gt;"",VLOOKUP(AP1919,KvB!$A$2:$B$3,2,FALSE),"")</f>
        <v>BE101000</v>
      </c>
      <c r="AI1919" s="11" t="s">
        <v>55</v>
      </c>
      <c r="AJ1919" s="11"/>
      <c r="AK1919" s="11"/>
      <c r="AL1919" s="11"/>
      <c r="AM1919" s="11"/>
      <c r="AN1919" s="11"/>
      <c r="AO1919" s="11"/>
      <c r="AP1919" s="2" t="s">
        <v>70</v>
      </c>
      <c r="AQ1919" s="11" t="str">
        <f>IF(I1919&lt;&gt;"",DATA!D1918,"")</f>
        <v>8504406090</v>
      </c>
    </row>
    <row r="1920" spans="1:43" ht="15.75" x14ac:dyDescent="0.25">
      <c r="A1920" s="11" t="s">
        <v>57</v>
      </c>
      <c r="B1920" s="11" t="s">
        <v>56</v>
      </c>
      <c r="C1920" s="22">
        <f t="shared" si="122"/>
        <v>25001620</v>
      </c>
      <c r="D1920" s="11" t="str">
        <f t="shared" si="123"/>
        <v>SKIIFM_AT</v>
      </c>
      <c r="E1920" s="11" t="str">
        <f>IF(I1920&lt;&gt;"",VLOOKUP(F1920,OPDRACHTGEVER!$A$2:$B$4,2,FALSE),"")</f>
        <v>SKIIFM_AT</v>
      </c>
      <c r="F1920" s="11" t="s">
        <v>58</v>
      </c>
      <c r="I1920" s="11" t="str">
        <f>IF(DATA!B1919&lt;&gt;"",DATA!B1919,"")</f>
        <v>MSMU5767820</v>
      </c>
      <c r="J1920" s="12">
        <v>0</v>
      </c>
      <c r="K1920" s="11" t="s">
        <v>53</v>
      </c>
      <c r="L1920" s="11" t="str">
        <f t="shared" si="124"/>
        <v>950691</v>
      </c>
      <c r="M1920" s="11" t="str">
        <f>IF(I1920&lt;&gt;"",DATA!E1919,"")</f>
        <v>PROFESSIONAL CLIMBING ROPE</v>
      </c>
      <c r="N1920" s="12">
        <v>0</v>
      </c>
      <c r="O1920" s="11">
        <f>IF(I1920&lt;&gt;"",DATA!C1919,"")</f>
        <v>146.25</v>
      </c>
      <c r="P1920" s="2">
        <v>294094</v>
      </c>
      <c r="Q1920" s="2" t="s">
        <v>1304</v>
      </c>
      <c r="R1920" s="2" t="s">
        <v>1341</v>
      </c>
      <c r="S1920" s="2">
        <v>292</v>
      </c>
      <c r="T1920" s="2">
        <v>1</v>
      </c>
      <c r="U1920" s="2" t="s">
        <v>141</v>
      </c>
      <c r="Y1920" s="2">
        <v>1700</v>
      </c>
      <c r="Z1920" s="11" t="s">
        <v>54</v>
      </c>
      <c r="AA1920" s="11" t="str">
        <f t="shared" si="125"/>
        <v>1700 - TBN</v>
      </c>
      <c r="AC1920" s="2" t="s">
        <v>145</v>
      </c>
      <c r="AD1920" s="11" t="str">
        <f>IF($I1920&lt;&gt;"",VLOOKUP($AC1920,GEADRESSEERDE!$A$2:$E$4,2,),"")</f>
        <v>LUITHAGEN HAVEN 2 D</v>
      </c>
      <c r="AE1920" s="11">
        <f>IF($I1920&lt;&gt;"",VLOOKUP($AC1920,GEADRESSEERDE!$A$2:$E$4,3,),"")</f>
        <v>2030</v>
      </c>
      <c r="AF1920" s="11" t="str">
        <f>IF($I1920&lt;&gt;"",VLOOKUP($AC1920,GEADRESSEERDE!$A$2:$E$4,4,),"")</f>
        <v>ANTWERPEN</v>
      </c>
      <c r="AG1920" s="11" t="str">
        <f>IF($I1920&lt;&gt;"",VLOOKUP($AC1920,GEADRESSEERDE!$A$2:$E$4,5,),"")</f>
        <v>BE</v>
      </c>
      <c r="AH1920" s="11" t="str">
        <f>IF(I1920&lt;&gt;"",VLOOKUP(AP1920,KvB!$A$2:$B$3,2,FALSE),"")</f>
        <v>BE101000</v>
      </c>
      <c r="AI1920" s="11" t="s">
        <v>55</v>
      </c>
      <c r="AJ1920" s="11"/>
      <c r="AK1920" s="11"/>
      <c r="AL1920" s="11"/>
      <c r="AM1920" s="11"/>
      <c r="AN1920" s="11"/>
      <c r="AO1920" s="11"/>
      <c r="AP1920" s="2" t="s">
        <v>70</v>
      </c>
      <c r="AQ1920" s="11" t="str">
        <f>IF(I1920&lt;&gt;"",DATA!D1919,"")</f>
        <v>9506919000</v>
      </c>
    </row>
    <row r="1921" spans="1:43" ht="15.75" x14ac:dyDescent="0.25">
      <c r="A1921" s="11" t="s">
        <v>57</v>
      </c>
      <c r="B1921" s="11" t="s">
        <v>56</v>
      </c>
      <c r="C1921" s="22">
        <f t="shared" si="122"/>
        <v>25001620</v>
      </c>
      <c r="D1921" s="11" t="str">
        <f t="shared" si="123"/>
        <v>SKIIFM_AT</v>
      </c>
      <c r="E1921" s="11" t="str">
        <f>IF(I1921&lt;&gt;"",VLOOKUP(F1921,OPDRACHTGEVER!$A$2:$B$4,2,FALSE),"")</f>
        <v>SKIIFM_AT</v>
      </c>
      <c r="F1921" s="11" t="s">
        <v>58</v>
      </c>
      <c r="I1921" s="11" t="str">
        <f>IF(DATA!B1920&lt;&gt;"",DATA!B1920,"")</f>
        <v>MSMU5767820</v>
      </c>
      <c r="J1921" s="12">
        <v>0</v>
      </c>
      <c r="K1921" s="11" t="s">
        <v>53</v>
      </c>
      <c r="L1921" s="11" t="str">
        <f t="shared" si="124"/>
        <v>820559</v>
      </c>
      <c r="M1921" s="11" t="str">
        <f>IF(I1921&lt;&gt;"",DATA!E1920,"")</f>
        <v>PUTTY SCRAPER 24INCH</v>
      </c>
      <c r="N1921" s="12">
        <v>0</v>
      </c>
      <c r="O1921" s="11">
        <f>IF(I1921&lt;&gt;"",DATA!C1920,"")</f>
        <v>48</v>
      </c>
      <c r="P1921" s="2">
        <v>294094</v>
      </c>
      <c r="Q1921" s="2" t="s">
        <v>1304</v>
      </c>
      <c r="R1921" s="2" t="s">
        <v>1341</v>
      </c>
      <c r="S1921" s="2">
        <v>292</v>
      </c>
      <c r="T1921" s="2">
        <v>1</v>
      </c>
      <c r="U1921" s="2" t="s">
        <v>141</v>
      </c>
      <c r="Y1921" s="2">
        <v>1700</v>
      </c>
      <c r="Z1921" s="11" t="s">
        <v>54</v>
      </c>
      <c r="AA1921" s="11" t="str">
        <f t="shared" si="125"/>
        <v>1700 - TBN</v>
      </c>
      <c r="AC1921" s="2" t="s">
        <v>145</v>
      </c>
      <c r="AD1921" s="11" t="str">
        <f>IF($I1921&lt;&gt;"",VLOOKUP($AC1921,GEADRESSEERDE!$A$2:$E$4,2,),"")</f>
        <v>LUITHAGEN HAVEN 2 D</v>
      </c>
      <c r="AE1921" s="11">
        <f>IF($I1921&lt;&gt;"",VLOOKUP($AC1921,GEADRESSEERDE!$A$2:$E$4,3,),"")</f>
        <v>2030</v>
      </c>
      <c r="AF1921" s="11" t="str">
        <f>IF($I1921&lt;&gt;"",VLOOKUP($AC1921,GEADRESSEERDE!$A$2:$E$4,4,),"")</f>
        <v>ANTWERPEN</v>
      </c>
      <c r="AG1921" s="11" t="str">
        <f>IF($I1921&lt;&gt;"",VLOOKUP($AC1921,GEADRESSEERDE!$A$2:$E$4,5,),"")</f>
        <v>BE</v>
      </c>
      <c r="AH1921" s="11" t="str">
        <f>IF(I1921&lt;&gt;"",VLOOKUP(AP1921,KvB!$A$2:$B$3,2,FALSE),"")</f>
        <v>BE101000</v>
      </c>
      <c r="AI1921" s="11" t="s">
        <v>55</v>
      </c>
      <c r="AJ1921" s="11"/>
      <c r="AK1921" s="11"/>
      <c r="AL1921" s="11"/>
      <c r="AM1921" s="11"/>
      <c r="AN1921" s="11"/>
      <c r="AO1921" s="11"/>
      <c r="AP1921" s="2" t="s">
        <v>70</v>
      </c>
      <c r="AQ1921" s="11" t="str">
        <f>IF(I1921&lt;&gt;"",DATA!D1920,"")</f>
        <v>8205598000</v>
      </c>
    </row>
    <row r="1922" spans="1:43" ht="15.75" x14ac:dyDescent="0.25">
      <c r="A1922" s="11" t="s">
        <v>57</v>
      </c>
      <c r="B1922" s="11" t="s">
        <v>56</v>
      </c>
      <c r="C1922" s="22">
        <f t="shared" si="122"/>
        <v>25001620</v>
      </c>
      <c r="D1922" s="11" t="str">
        <f t="shared" si="123"/>
        <v>SKIIFM_AT</v>
      </c>
      <c r="E1922" s="11" t="str">
        <f>IF(I1922&lt;&gt;"",VLOOKUP(F1922,OPDRACHTGEVER!$A$2:$B$4,2,FALSE),"")</f>
        <v>SKIIFM_AT</v>
      </c>
      <c r="F1922" s="11" t="s">
        <v>58</v>
      </c>
      <c r="I1922" s="11" t="str">
        <f>IF(DATA!B1921&lt;&gt;"",DATA!B1921,"")</f>
        <v>MSMU5767820</v>
      </c>
      <c r="J1922" s="12">
        <v>0</v>
      </c>
      <c r="K1922" s="11" t="s">
        <v>53</v>
      </c>
      <c r="L1922" s="11" t="str">
        <f t="shared" si="124"/>
        <v>852692</v>
      </c>
      <c r="M1922" s="11" t="str">
        <f>IF(I1922&lt;&gt;"",DATA!E1921,"")</f>
        <v>REMOTE CONTROL</v>
      </c>
      <c r="N1922" s="12">
        <v>0</v>
      </c>
      <c r="O1922" s="11">
        <f>IF(I1922&lt;&gt;"",DATA!C1921,"")</f>
        <v>0.3</v>
      </c>
      <c r="P1922" s="2">
        <v>294094</v>
      </c>
      <c r="Q1922" s="2" t="s">
        <v>1304</v>
      </c>
      <c r="R1922" s="2" t="s">
        <v>1341</v>
      </c>
      <c r="S1922" s="2">
        <v>292</v>
      </c>
      <c r="T1922" s="2">
        <v>1</v>
      </c>
      <c r="U1922" s="2" t="s">
        <v>141</v>
      </c>
      <c r="Y1922" s="2">
        <v>1700</v>
      </c>
      <c r="Z1922" s="11" t="s">
        <v>54</v>
      </c>
      <c r="AA1922" s="11" t="str">
        <f t="shared" si="125"/>
        <v>1700 - TBN</v>
      </c>
      <c r="AC1922" s="2" t="s">
        <v>145</v>
      </c>
      <c r="AD1922" s="11" t="str">
        <f>IF($I1922&lt;&gt;"",VLOOKUP($AC1922,GEADRESSEERDE!$A$2:$E$4,2,),"")</f>
        <v>LUITHAGEN HAVEN 2 D</v>
      </c>
      <c r="AE1922" s="11">
        <f>IF($I1922&lt;&gt;"",VLOOKUP($AC1922,GEADRESSEERDE!$A$2:$E$4,3,),"")</f>
        <v>2030</v>
      </c>
      <c r="AF1922" s="11" t="str">
        <f>IF($I1922&lt;&gt;"",VLOOKUP($AC1922,GEADRESSEERDE!$A$2:$E$4,4,),"")</f>
        <v>ANTWERPEN</v>
      </c>
      <c r="AG1922" s="11" t="str">
        <f>IF($I1922&lt;&gt;"",VLOOKUP($AC1922,GEADRESSEERDE!$A$2:$E$4,5,),"")</f>
        <v>BE</v>
      </c>
      <c r="AH1922" s="11" t="str">
        <f>IF(I1922&lt;&gt;"",VLOOKUP(AP1922,KvB!$A$2:$B$3,2,FALSE),"")</f>
        <v>BE101000</v>
      </c>
      <c r="AI1922" s="11" t="s">
        <v>55</v>
      </c>
      <c r="AJ1922" s="11"/>
      <c r="AK1922" s="11"/>
      <c r="AL1922" s="11"/>
      <c r="AM1922" s="11"/>
      <c r="AN1922" s="11"/>
      <c r="AO1922" s="11"/>
      <c r="AP1922" s="2" t="s">
        <v>70</v>
      </c>
      <c r="AQ1922" s="11" t="str">
        <f>IF(I1922&lt;&gt;"",DATA!D1921,"")</f>
        <v>8526920090</v>
      </c>
    </row>
    <row r="1923" spans="1:43" ht="15.75" x14ac:dyDescent="0.25">
      <c r="A1923" s="11" t="s">
        <v>57</v>
      </c>
      <c r="B1923" s="11" t="s">
        <v>56</v>
      </c>
      <c r="C1923" s="22">
        <f t="shared" si="122"/>
        <v>25001620</v>
      </c>
      <c r="D1923" s="11" t="str">
        <f t="shared" si="123"/>
        <v>SKIIFM_AT</v>
      </c>
      <c r="E1923" s="11" t="str">
        <f>IF(I1923&lt;&gt;"",VLOOKUP(F1923,OPDRACHTGEVER!$A$2:$B$4,2,FALSE),"")</f>
        <v>SKIIFM_AT</v>
      </c>
      <c r="F1923" s="11" t="s">
        <v>58</v>
      </c>
      <c r="I1923" s="11" t="str">
        <f>IF(DATA!B1922&lt;&gt;"",DATA!B1922,"")</f>
        <v>MSMU5767820</v>
      </c>
      <c r="J1923" s="12">
        <v>0</v>
      </c>
      <c r="K1923" s="11" t="s">
        <v>53</v>
      </c>
      <c r="L1923" s="11" t="str">
        <f t="shared" si="124"/>
        <v>392690</v>
      </c>
      <c r="M1923" s="11" t="str">
        <f>IF(I1923&lt;&gt;"",DATA!E1922,"")</f>
        <v>SEALING RING</v>
      </c>
      <c r="N1923" s="12">
        <v>0</v>
      </c>
      <c r="O1923" s="11">
        <f>IF(I1923&lt;&gt;"",DATA!C1922,"")</f>
        <v>3</v>
      </c>
      <c r="P1923" s="2">
        <v>294094</v>
      </c>
      <c r="Q1923" s="2" t="s">
        <v>1304</v>
      </c>
      <c r="R1923" s="2" t="s">
        <v>1341</v>
      </c>
      <c r="S1923" s="2">
        <v>292</v>
      </c>
      <c r="T1923" s="2">
        <v>1</v>
      </c>
      <c r="U1923" s="2" t="s">
        <v>141</v>
      </c>
      <c r="Y1923" s="2">
        <v>1700</v>
      </c>
      <c r="Z1923" s="11" t="s">
        <v>54</v>
      </c>
      <c r="AA1923" s="11" t="str">
        <f t="shared" si="125"/>
        <v>1700 - TBN</v>
      </c>
      <c r="AC1923" s="2" t="s">
        <v>145</v>
      </c>
      <c r="AD1923" s="11" t="str">
        <f>IF($I1923&lt;&gt;"",VLOOKUP($AC1923,GEADRESSEERDE!$A$2:$E$4,2,),"")</f>
        <v>LUITHAGEN HAVEN 2 D</v>
      </c>
      <c r="AE1923" s="11">
        <f>IF($I1923&lt;&gt;"",VLOOKUP($AC1923,GEADRESSEERDE!$A$2:$E$4,3,),"")</f>
        <v>2030</v>
      </c>
      <c r="AF1923" s="11" t="str">
        <f>IF($I1923&lt;&gt;"",VLOOKUP($AC1923,GEADRESSEERDE!$A$2:$E$4,4,),"")</f>
        <v>ANTWERPEN</v>
      </c>
      <c r="AG1923" s="11" t="str">
        <f>IF($I1923&lt;&gt;"",VLOOKUP($AC1923,GEADRESSEERDE!$A$2:$E$4,5,),"")</f>
        <v>BE</v>
      </c>
      <c r="AH1923" s="11" t="str">
        <f>IF(I1923&lt;&gt;"",VLOOKUP(AP1923,KvB!$A$2:$B$3,2,FALSE),"")</f>
        <v>BE101000</v>
      </c>
      <c r="AI1923" s="11" t="s">
        <v>55</v>
      </c>
      <c r="AJ1923" s="11"/>
      <c r="AK1923" s="11"/>
      <c r="AL1923" s="11"/>
      <c r="AM1923" s="11"/>
      <c r="AN1923" s="11"/>
      <c r="AO1923" s="11"/>
      <c r="AP1923" s="2" t="s">
        <v>70</v>
      </c>
      <c r="AQ1923" s="11" t="str">
        <f>IF(I1923&lt;&gt;"",DATA!D1922,"")</f>
        <v>3926909790</v>
      </c>
    </row>
    <row r="1924" spans="1:43" ht="15.75" x14ac:dyDescent="0.25">
      <c r="A1924" s="11" t="s">
        <v>57</v>
      </c>
      <c r="B1924" s="11" t="s">
        <v>56</v>
      </c>
      <c r="C1924" s="22">
        <f t="shared" si="122"/>
        <v>25001620</v>
      </c>
      <c r="D1924" s="11" t="str">
        <f t="shared" si="123"/>
        <v>SKIIFM_AT</v>
      </c>
      <c r="E1924" s="11" t="str">
        <f>IF(I1924&lt;&gt;"",VLOOKUP(F1924,OPDRACHTGEVER!$A$2:$B$4,2,FALSE),"")</f>
        <v>SKIIFM_AT</v>
      </c>
      <c r="F1924" s="11" t="s">
        <v>58</v>
      </c>
      <c r="I1924" s="11" t="str">
        <f>IF(DATA!B1923&lt;&gt;"",DATA!B1923,"")</f>
        <v>MSMU5767820</v>
      </c>
      <c r="J1924" s="12">
        <v>0</v>
      </c>
      <c r="K1924" s="11" t="s">
        <v>53</v>
      </c>
      <c r="L1924" s="11" t="str">
        <f t="shared" si="124"/>
        <v>741920</v>
      </c>
      <c r="M1924" s="11" t="str">
        <f>IF(I1924&lt;&gt;"",DATA!E1923,"")</f>
        <v>DOUBLE COLUMN HANDRAIL</v>
      </c>
      <c r="N1924" s="12">
        <v>0</v>
      </c>
      <c r="O1924" s="11">
        <f>IF(I1924&lt;&gt;"",DATA!C1923,"")</f>
        <v>254</v>
      </c>
      <c r="P1924" s="2">
        <v>294094</v>
      </c>
      <c r="Q1924" s="2" t="s">
        <v>1304</v>
      </c>
      <c r="R1924" s="2" t="s">
        <v>1341</v>
      </c>
      <c r="S1924" s="2">
        <v>292</v>
      </c>
      <c r="T1924" s="2">
        <v>1</v>
      </c>
      <c r="U1924" s="2" t="s">
        <v>141</v>
      </c>
      <c r="Y1924" s="2">
        <v>1700</v>
      </c>
      <c r="Z1924" s="11" t="s">
        <v>54</v>
      </c>
      <c r="AA1924" s="11" t="str">
        <f t="shared" si="125"/>
        <v>1700 - TBN</v>
      </c>
      <c r="AC1924" s="2" t="s">
        <v>145</v>
      </c>
      <c r="AD1924" s="11" t="str">
        <f>IF($I1924&lt;&gt;"",VLOOKUP($AC1924,GEADRESSEERDE!$A$2:$E$4,2,),"")</f>
        <v>LUITHAGEN HAVEN 2 D</v>
      </c>
      <c r="AE1924" s="11">
        <f>IF($I1924&lt;&gt;"",VLOOKUP($AC1924,GEADRESSEERDE!$A$2:$E$4,3,),"")</f>
        <v>2030</v>
      </c>
      <c r="AF1924" s="11" t="str">
        <f>IF($I1924&lt;&gt;"",VLOOKUP($AC1924,GEADRESSEERDE!$A$2:$E$4,4,),"")</f>
        <v>ANTWERPEN</v>
      </c>
      <c r="AG1924" s="11" t="str">
        <f>IF($I1924&lt;&gt;"",VLOOKUP($AC1924,GEADRESSEERDE!$A$2:$E$4,5,),"")</f>
        <v>BE</v>
      </c>
      <c r="AH1924" s="11" t="str">
        <f>IF(I1924&lt;&gt;"",VLOOKUP(AP1924,KvB!$A$2:$B$3,2,FALSE),"")</f>
        <v>BE101000</v>
      </c>
      <c r="AI1924" s="11" t="s">
        <v>55</v>
      </c>
      <c r="AJ1924" s="11"/>
      <c r="AK1924" s="11"/>
      <c r="AL1924" s="11"/>
      <c r="AM1924" s="11"/>
      <c r="AN1924" s="11"/>
      <c r="AO1924" s="11"/>
      <c r="AP1924" s="2" t="s">
        <v>70</v>
      </c>
      <c r="AQ1924" s="11" t="str">
        <f>IF(I1924&lt;&gt;"",DATA!D1923,"")</f>
        <v>7419200090</v>
      </c>
    </row>
    <row r="1925" spans="1:43" ht="15.75" x14ac:dyDescent="0.25">
      <c r="A1925" s="11" t="s">
        <v>57</v>
      </c>
      <c r="B1925" s="11" t="s">
        <v>56</v>
      </c>
      <c r="C1925" s="22">
        <f t="shared" ref="C1925:C1965" si="126">C1924</f>
        <v>25001620</v>
      </c>
      <c r="D1925" s="11" t="str">
        <f t="shared" si="123"/>
        <v>SKIIFM_AT</v>
      </c>
      <c r="E1925" s="11" t="str">
        <f>IF(I1925&lt;&gt;"",VLOOKUP(F1925,OPDRACHTGEVER!$A$2:$B$4,2,FALSE),"")</f>
        <v>SKIIFM_AT</v>
      </c>
      <c r="F1925" s="11" t="s">
        <v>58</v>
      </c>
      <c r="I1925" s="11" t="str">
        <f>IF(DATA!B1924&lt;&gt;"",DATA!B1924,"")</f>
        <v>MSMU5767820</v>
      </c>
      <c r="J1925" s="12">
        <v>0</v>
      </c>
      <c r="K1925" s="11" t="s">
        <v>53</v>
      </c>
      <c r="L1925" s="11" t="str">
        <f t="shared" si="124"/>
        <v>847989</v>
      </c>
      <c r="M1925" s="11" t="str">
        <f>IF(I1925&lt;&gt;"",DATA!E1924,"")</f>
        <v>ULTRASONIC JEWELRY CLEANER</v>
      </c>
      <c r="N1925" s="12">
        <v>0</v>
      </c>
      <c r="O1925" s="11">
        <f>IF(I1925&lt;&gt;"",DATA!C1924,"")</f>
        <v>3946.9</v>
      </c>
      <c r="P1925" s="2">
        <v>294094</v>
      </c>
      <c r="Q1925" s="2" t="s">
        <v>1304</v>
      </c>
      <c r="R1925" s="2" t="s">
        <v>1341</v>
      </c>
      <c r="S1925" s="2">
        <v>292</v>
      </c>
      <c r="T1925" s="2">
        <v>1</v>
      </c>
      <c r="U1925" s="2" t="s">
        <v>141</v>
      </c>
      <c r="Y1925" s="2">
        <v>1700</v>
      </c>
      <c r="Z1925" s="11" t="s">
        <v>54</v>
      </c>
      <c r="AA1925" s="11" t="str">
        <f t="shared" si="125"/>
        <v>1700 - TBN</v>
      </c>
      <c r="AC1925" s="2" t="s">
        <v>145</v>
      </c>
      <c r="AD1925" s="11" t="str">
        <f>IF($I1925&lt;&gt;"",VLOOKUP($AC1925,GEADRESSEERDE!$A$2:$E$4,2,),"")</f>
        <v>LUITHAGEN HAVEN 2 D</v>
      </c>
      <c r="AE1925" s="11">
        <f>IF($I1925&lt;&gt;"",VLOOKUP($AC1925,GEADRESSEERDE!$A$2:$E$4,3,),"")</f>
        <v>2030</v>
      </c>
      <c r="AF1925" s="11" t="str">
        <f>IF($I1925&lt;&gt;"",VLOOKUP($AC1925,GEADRESSEERDE!$A$2:$E$4,4,),"")</f>
        <v>ANTWERPEN</v>
      </c>
      <c r="AG1925" s="11" t="str">
        <f>IF($I1925&lt;&gt;"",VLOOKUP($AC1925,GEADRESSEERDE!$A$2:$E$4,5,),"")</f>
        <v>BE</v>
      </c>
      <c r="AH1925" s="11" t="str">
        <f>IF(I1925&lt;&gt;"",VLOOKUP(AP1925,KvB!$A$2:$B$3,2,FALSE),"")</f>
        <v>BE101000</v>
      </c>
      <c r="AI1925" s="11" t="s">
        <v>55</v>
      </c>
      <c r="AJ1925" s="11"/>
      <c r="AK1925" s="11"/>
      <c r="AL1925" s="11"/>
      <c r="AM1925" s="11"/>
      <c r="AN1925" s="11"/>
      <c r="AO1925" s="11"/>
      <c r="AP1925" s="2" t="s">
        <v>70</v>
      </c>
      <c r="AQ1925" s="11" t="str">
        <f>IF(I1925&lt;&gt;"",DATA!D1924,"")</f>
        <v>8479899790</v>
      </c>
    </row>
    <row r="1926" spans="1:43" ht="15.75" x14ac:dyDescent="0.25">
      <c r="A1926" s="11" t="s">
        <v>57</v>
      </c>
      <c r="B1926" s="11" t="s">
        <v>56</v>
      </c>
      <c r="C1926" s="22">
        <f t="shared" si="126"/>
        <v>25001620</v>
      </c>
      <c r="D1926" s="11" t="str">
        <f t="shared" si="123"/>
        <v>SKIIFM_AT</v>
      </c>
      <c r="E1926" s="11" t="str">
        <f>IF(I1926&lt;&gt;"",VLOOKUP(F1926,OPDRACHTGEVER!$A$2:$B$4,2,FALSE),"")</f>
        <v>SKIIFM_AT</v>
      </c>
      <c r="F1926" s="11" t="s">
        <v>58</v>
      </c>
      <c r="I1926" s="11" t="str">
        <f>IF(DATA!B1925&lt;&gt;"",DATA!B1925,"")</f>
        <v>MSMU5767820</v>
      </c>
      <c r="J1926" s="12">
        <v>0</v>
      </c>
      <c r="K1926" s="11" t="s">
        <v>53</v>
      </c>
      <c r="L1926" s="11" t="str">
        <f t="shared" si="124"/>
        <v>871680</v>
      </c>
      <c r="M1926" s="11" t="str">
        <f>IF(I1926&lt;&gt;"",DATA!E1925,"")</f>
        <v>WHEELBARROW</v>
      </c>
      <c r="N1926" s="12">
        <v>0</v>
      </c>
      <c r="O1926" s="11">
        <f>IF(I1926&lt;&gt;"",DATA!C1925,"")</f>
        <v>119.5</v>
      </c>
      <c r="P1926" s="2">
        <v>294094</v>
      </c>
      <c r="Q1926" s="2" t="s">
        <v>1304</v>
      </c>
      <c r="R1926" s="2" t="s">
        <v>1341</v>
      </c>
      <c r="S1926" s="2">
        <v>292</v>
      </c>
      <c r="T1926" s="2">
        <v>1</v>
      </c>
      <c r="U1926" s="2" t="s">
        <v>141</v>
      </c>
      <c r="Y1926" s="2">
        <v>1700</v>
      </c>
      <c r="Z1926" s="11" t="s">
        <v>54</v>
      </c>
      <c r="AA1926" s="11" t="str">
        <f t="shared" si="125"/>
        <v>1700 - TBN</v>
      </c>
      <c r="AC1926" s="2" t="s">
        <v>145</v>
      </c>
      <c r="AD1926" s="11" t="str">
        <f>IF($I1926&lt;&gt;"",VLOOKUP($AC1926,GEADRESSEERDE!$A$2:$E$4,2,),"")</f>
        <v>LUITHAGEN HAVEN 2 D</v>
      </c>
      <c r="AE1926" s="11">
        <f>IF($I1926&lt;&gt;"",VLOOKUP($AC1926,GEADRESSEERDE!$A$2:$E$4,3,),"")</f>
        <v>2030</v>
      </c>
      <c r="AF1926" s="11" t="str">
        <f>IF($I1926&lt;&gt;"",VLOOKUP($AC1926,GEADRESSEERDE!$A$2:$E$4,4,),"")</f>
        <v>ANTWERPEN</v>
      </c>
      <c r="AG1926" s="11" t="str">
        <f>IF($I1926&lt;&gt;"",VLOOKUP($AC1926,GEADRESSEERDE!$A$2:$E$4,5,),"")</f>
        <v>BE</v>
      </c>
      <c r="AH1926" s="11" t="str">
        <f>IF(I1926&lt;&gt;"",VLOOKUP(AP1926,KvB!$A$2:$B$3,2,FALSE),"")</f>
        <v>BE101000</v>
      </c>
      <c r="AI1926" s="11" t="s">
        <v>55</v>
      </c>
      <c r="AJ1926" s="11"/>
      <c r="AK1926" s="11"/>
      <c r="AL1926" s="11"/>
      <c r="AM1926" s="11"/>
      <c r="AN1926" s="11"/>
      <c r="AO1926" s="11"/>
      <c r="AP1926" s="2" t="s">
        <v>70</v>
      </c>
      <c r="AQ1926" s="11" t="str">
        <f>IF(I1926&lt;&gt;"",DATA!D1925,"")</f>
        <v>8716800000</v>
      </c>
    </row>
    <row r="1927" spans="1:43" ht="15.75" x14ac:dyDescent="0.25">
      <c r="A1927" s="11" t="s">
        <v>57</v>
      </c>
      <c r="B1927" s="11" t="s">
        <v>56</v>
      </c>
      <c r="C1927" s="22">
        <f t="shared" si="126"/>
        <v>25001620</v>
      </c>
      <c r="D1927" s="11" t="str">
        <f t="shared" si="123"/>
        <v>SKIIFM_AT</v>
      </c>
      <c r="E1927" s="11" t="str">
        <f>IF(I1927&lt;&gt;"",VLOOKUP(F1927,OPDRACHTGEVER!$A$2:$B$4,2,FALSE),"")</f>
        <v>SKIIFM_AT</v>
      </c>
      <c r="F1927" s="11" t="s">
        <v>58</v>
      </c>
      <c r="I1927" s="11" t="str">
        <f>IF(DATA!B1926&lt;&gt;"",DATA!B1926,"")</f>
        <v>MSMU6210269</v>
      </c>
      <c r="J1927" s="12">
        <v>2234</v>
      </c>
      <c r="K1927" s="11" t="s">
        <v>53</v>
      </c>
      <c r="L1927" s="11" t="str">
        <f t="shared" si="124"/>
        <v>847989</v>
      </c>
      <c r="M1927" s="11" t="str">
        <f>IF(I1927&lt;&gt;"",DATA!E1926,"")</f>
        <v>AUTOMOTIVE REPAIR TOOLS</v>
      </c>
      <c r="N1927" s="12">
        <v>16336</v>
      </c>
      <c r="O1927" s="11">
        <f>IF(I1927&lt;&gt;"",DATA!C1926,"")</f>
        <v>980</v>
      </c>
      <c r="P1927" s="2">
        <v>294094</v>
      </c>
      <c r="Q1927" s="2" t="s">
        <v>1304</v>
      </c>
      <c r="R1927" s="2" t="s">
        <v>1342</v>
      </c>
      <c r="S1927" s="2">
        <v>293</v>
      </c>
      <c r="T1927" s="2">
        <v>1</v>
      </c>
      <c r="U1927" s="2" t="s">
        <v>141</v>
      </c>
      <c r="Y1927" s="2">
        <v>1700</v>
      </c>
      <c r="Z1927" s="11" t="s">
        <v>54</v>
      </c>
      <c r="AA1927" s="11" t="str">
        <f t="shared" si="125"/>
        <v>1700 - TBN</v>
      </c>
      <c r="AC1927" s="2" t="s">
        <v>145</v>
      </c>
      <c r="AD1927" s="11" t="str">
        <f>IF($I1927&lt;&gt;"",VLOOKUP($AC1927,GEADRESSEERDE!$A$2:$E$4,2,),"")</f>
        <v>LUITHAGEN HAVEN 2 D</v>
      </c>
      <c r="AE1927" s="11">
        <f>IF($I1927&lt;&gt;"",VLOOKUP($AC1927,GEADRESSEERDE!$A$2:$E$4,3,),"")</f>
        <v>2030</v>
      </c>
      <c r="AF1927" s="11" t="str">
        <f>IF($I1927&lt;&gt;"",VLOOKUP($AC1927,GEADRESSEERDE!$A$2:$E$4,4,),"")</f>
        <v>ANTWERPEN</v>
      </c>
      <c r="AG1927" s="11" t="str">
        <f>IF($I1927&lt;&gt;"",VLOOKUP($AC1927,GEADRESSEERDE!$A$2:$E$4,5,),"")</f>
        <v>BE</v>
      </c>
      <c r="AH1927" s="11" t="str">
        <f>IF(I1927&lt;&gt;"",VLOOKUP(AP1927,KvB!$A$2:$B$3,2,FALSE),"")</f>
        <v>BE101000</v>
      </c>
      <c r="AI1927" s="11" t="s">
        <v>55</v>
      </c>
      <c r="AJ1927" s="11"/>
      <c r="AK1927" s="11"/>
      <c r="AL1927" s="11"/>
      <c r="AM1927" s="11"/>
      <c r="AN1927" s="11"/>
      <c r="AO1927" s="11"/>
      <c r="AP1927" s="2" t="s">
        <v>70</v>
      </c>
      <c r="AQ1927" s="11" t="str">
        <f>IF(I1927&lt;&gt;"",DATA!D1926,"")</f>
        <v>8479899790</v>
      </c>
    </row>
    <row r="1928" spans="1:43" ht="15.75" x14ac:dyDescent="0.25">
      <c r="A1928" s="11" t="s">
        <v>57</v>
      </c>
      <c r="B1928" s="11" t="s">
        <v>56</v>
      </c>
      <c r="C1928" s="22">
        <f t="shared" si="126"/>
        <v>25001620</v>
      </c>
      <c r="D1928" s="11" t="str">
        <f t="shared" si="123"/>
        <v>SKIIFM_AT</v>
      </c>
      <c r="E1928" s="11" t="str">
        <f>IF(I1928&lt;&gt;"",VLOOKUP(F1928,OPDRACHTGEVER!$A$2:$B$4,2,FALSE),"")</f>
        <v>SKIIFM_AT</v>
      </c>
      <c r="F1928" s="11" t="s">
        <v>58</v>
      </c>
      <c r="I1928" s="11" t="str">
        <f>IF(DATA!B1927&lt;&gt;"",DATA!B1927,"")</f>
        <v>MSMU6210269</v>
      </c>
      <c r="J1928" s="12">
        <v>0</v>
      </c>
      <c r="K1928" s="11" t="s">
        <v>53</v>
      </c>
      <c r="L1928" s="11" t="str">
        <f t="shared" si="124"/>
        <v>841350</v>
      </c>
      <c r="M1928" s="11" t="str">
        <f>IF(I1928&lt;&gt;"",DATA!E1927,"")</f>
        <v>CLASSIC AIR PUMP</v>
      </c>
      <c r="N1928" s="12">
        <v>0</v>
      </c>
      <c r="O1928" s="11">
        <f>IF(I1928&lt;&gt;"",DATA!C1927,"")</f>
        <v>162</v>
      </c>
      <c r="P1928" s="2">
        <v>294094</v>
      </c>
      <c r="Q1928" s="2" t="s">
        <v>1304</v>
      </c>
      <c r="R1928" s="2" t="s">
        <v>1342</v>
      </c>
      <c r="S1928" s="2">
        <v>293</v>
      </c>
      <c r="T1928" s="2">
        <v>1</v>
      </c>
      <c r="U1928" s="2" t="s">
        <v>141</v>
      </c>
      <c r="Y1928" s="2">
        <v>1700</v>
      </c>
      <c r="Z1928" s="11" t="s">
        <v>54</v>
      </c>
      <c r="AA1928" s="11" t="str">
        <f t="shared" si="125"/>
        <v>1700 - TBN</v>
      </c>
      <c r="AC1928" s="2" t="s">
        <v>145</v>
      </c>
      <c r="AD1928" s="11" t="str">
        <f>IF($I1928&lt;&gt;"",VLOOKUP($AC1928,GEADRESSEERDE!$A$2:$E$4,2,),"")</f>
        <v>LUITHAGEN HAVEN 2 D</v>
      </c>
      <c r="AE1928" s="11">
        <f>IF($I1928&lt;&gt;"",VLOOKUP($AC1928,GEADRESSEERDE!$A$2:$E$4,3,),"")</f>
        <v>2030</v>
      </c>
      <c r="AF1928" s="11" t="str">
        <f>IF($I1928&lt;&gt;"",VLOOKUP($AC1928,GEADRESSEERDE!$A$2:$E$4,4,),"")</f>
        <v>ANTWERPEN</v>
      </c>
      <c r="AG1928" s="11" t="str">
        <f>IF($I1928&lt;&gt;"",VLOOKUP($AC1928,GEADRESSEERDE!$A$2:$E$4,5,),"")</f>
        <v>BE</v>
      </c>
      <c r="AH1928" s="11" t="str">
        <f>IF(I1928&lt;&gt;"",VLOOKUP(AP1928,KvB!$A$2:$B$3,2,FALSE),"")</f>
        <v>BE101000</v>
      </c>
      <c r="AI1928" s="11" t="s">
        <v>55</v>
      </c>
      <c r="AJ1928" s="11"/>
      <c r="AK1928" s="11"/>
      <c r="AL1928" s="11"/>
      <c r="AM1928" s="11"/>
      <c r="AN1928" s="11"/>
      <c r="AO1928" s="11"/>
      <c r="AP1928" s="2" t="s">
        <v>70</v>
      </c>
      <c r="AQ1928" s="11" t="str">
        <f>IF(I1928&lt;&gt;"",DATA!D1927,"")</f>
        <v>8413508090</v>
      </c>
    </row>
    <row r="1929" spans="1:43" ht="15.75" x14ac:dyDescent="0.25">
      <c r="A1929" s="11" t="s">
        <v>57</v>
      </c>
      <c r="B1929" s="11" t="s">
        <v>56</v>
      </c>
      <c r="C1929" s="22">
        <f t="shared" si="126"/>
        <v>25001620</v>
      </c>
      <c r="D1929" s="11" t="str">
        <f t="shared" si="123"/>
        <v>SKIIFM_AT</v>
      </c>
      <c r="E1929" s="11" t="str">
        <f>IF(I1929&lt;&gt;"",VLOOKUP(F1929,OPDRACHTGEVER!$A$2:$B$4,2,FALSE),"")</f>
        <v>SKIIFM_AT</v>
      </c>
      <c r="F1929" s="11" t="s">
        <v>58</v>
      </c>
      <c r="I1929" s="11" t="str">
        <f>IF(DATA!B1928&lt;&gt;"",DATA!B1928,"")</f>
        <v>MSMU6210269</v>
      </c>
      <c r="J1929" s="12">
        <v>0</v>
      </c>
      <c r="K1929" s="11" t="s">
        <v>53</v>
      </c>
      <c r="L1929" s="11" t="str">
        <f t="shared" si="124"/>
        <v>851660</v>
      </c>
      <c r="M1929" s="11" t="str">
        <f>IF(I1929&lt;&gt;"",DATA!E1928,"")</f>
        <v>ELECTRIC ROTISSERIE</v>
      </c>
      <c r="N1929" s="12">
        <v>0</v>
      </c>
      <c r="O1929" s="11">
        <f>IF(I1929&lt;&gt;"",DATA!C1928,"")</f>
        <v>448.4</v>
      </c>
      <c r="P1929" s="2">
        <v>294094</v>
      </c>
      <c r="Q1929" s="2" t="s">
        <v>1304</v>
      </c>
      <c r="R1929" s="2" t="s">
        <v>1342</v>
      </c>
      <c r="S1929" s="2">
        <v>293</v>
      </c>
      <c r="T1929" s="2">
        <v>1</v>
      </c>
      <c r="U1929" s="2" t="s">
        <v>141</v>
      </c>
      <c r="Y1929" s="2">
        <v>1700</v>
      </c>
      <c r="Z1929" s="11" t="s">
        <v>54</v>
      </c>
      <c r="AA1929" s="11" t="str">
        <f t="shared" si="125"/>
        <v>1700 - TBN</v>
      </c>
      <c r="AC1929" s="2" t="s">
        <v>145</v>
      </c>
      <c r="AD1929" s="11" t="str">
        <f>IF($I1929&lt;&gt;"",VLOOKUP($AC1929,GEADRESSEERDE!$A$2:$E$4,2,),"")</f>
        <v>LUITHAGEN HAVEN 2 D</v>
      </c>
      <c r="AE1929" s="11">
        <f>IF($I1929&lt;&gt;"",VLOOKUP($AC1929,GEADRESSEERDE!$A$2:$E$4,3,),"")</f>
        <v>2030</v>
      </c>
      <c r="AF1929" s="11" t="str">
        <f>IF($I1929&lt;&gt;"",VLOOKUP($AC1929,GEADRESSEERDE!$A$2:$E$4,4,),"")</f>
        <v>ANTWERPEN</v>
      </c>
      <c r="AG1929" s="11" t="str">
        <f>IF($I1929&lt;&gt;"",VLOOKUP($AC1929,GEADRESSEERDE!$A$2:$E$4,5,),"")</f>
        <v>BE</v>
      </c>
      <c r="AH1929" s="11" t="str">
        <f>IF(I1929&lt;&gt;"",VLOOKUP(AP1929,KvB!$A$2:$B$3,2,FALSE),"")</f>
        <v>BE101000</v>
      </c>
      <c r="AI1929" s="11" t="s">
        <v>55</v>
      </c>
      <c r="AJ1929" s="11"/>
      <c r="AK1929" s="11"/>
      <c r="AL1929" s="11"/>
      <c r="AM1929" s="11"/>
      <c r="AN1929" s="11"/>
      <c r="AO1929" s="11"/>
      <c r="AP1929" s="2" t="s">
        <v>70</v>
      </c>
      <c r="AQ1929" s="11" t="str">
        <f>IF(I1929&lt;&gt;"",DATA!D1928,"")</f>
        <v>8516609000</v>
      </c>
    </row>
    <row r="1930" spans="1:43" ht="15.75" x14ac:dyDescent="0.25">
      <c r="A1930" s="11" t="s">
        <v>57</v>
      </c>
      <c r="B1930" s="11" t="s">
        <v>56</v>
      </c>
      <c r="C1930" s="22">
        <f t="shared" si="126"/>
        <v>25001620</v>
      </c>
      <c r="D1930" s="11" t="str">
        <f t="shared" si="123"/>
        <v>SKIIFM_AT</v>
      </c>
      <c r="E1930" s="11" t="str">
        <f>IF(I1930&lt;&gt;"",VLOOKUP(F1930,OPDRACHTGEVER!$A$2:$B$4,2,FALSE),"")</f>
        <v>SKIIFM_AT</v>
      </c>
      <c r="F1930" s="11" t="s">
        <v>58</v>
      </c>
      <c r="I1930" s="11" t="str">
        <f>IF(DATA!B1929&lt;&gt;"",DATA!B1929,"")</f>
        <v>MSMU6210269</v>
      </c>
      <c r="J1930" s="12">
        <v>0</v>
      </c>
      <c r="K1930" s="11" t="s">
        <v>53</v>
      </c>
      <c r="L1930" s="11" t="str">
        <f t="shared" si="124"/>
        <v>850231</v>
      </c>
      <c r="M1930" s="11" t="str">
        <f>IF(I1930&lt;&gt;"",DATA!E1929,"")</f>
        <v>FAN TYPE WIND TURBINE GENERATOR</v>
      </c>
      <c r="N1930" s="12">
        <v>0</v>
      </c>
      <c r="O1930" s="11">
        <f>IF(I1930&lt;&gt;"",DATA!C1929,"")</f>
        <v>237.5</v>
      </c>
      <c r="P1930" s="2">
        <v>294094</v>
      </c>
      <c r="Q1930" s="2" t="s">
        <v>1304</v>
      </c>
      <c r="R1930" s="2" t="s">
        <v>1342</v>
      </c>
      <c r="S1930" s="2">
        <v>293</v>
      </c>
      <c r="T1930" s="2">
        <v>1</v>
      </c>
      <c r="U1930" s="2" t="s">
        <v>141</v>
      </c>
      <c r="Y1930" s="2">
        <v>1700</v>
      </c>
      <c r="Z1930" s="11" t="s">
        <v>54</v>
      </c>
      <c r="AA1930" s="11" t="str">
        <f t="shared" si="125"/>
        <v>1700 - TBN</v>
      </c>
      <c r="AC1930" s="2" t="s">
        <v>145</v>
      </c>
      <c r="AD1930" s="11" t="str">
        <f>IF($I1930&lt;&gt;"",VLOOKUP($AC1930,GEADRESSEERDE!$A$2:$E$4,2,),"")</f>
        <v>LUITHAGEN HAVEN 2 D</v>
      </c>
      <c r="AE1930" s="11">
        <f>IF($I1930&lt;&gt;"",VLOOKUP($AC1930,GEADRESSEERDE!$A$2:$E$4,3,),"")</f>
        <v>2030</v>
      </c>
      <c r="AF1930" s="11" t="str">
        <f>IF($I1930&lt;&gt;"",VLOOKUP($AC1930,GEADRESSEERDE!$A$2:$E$4,4,),"")</f>
        <v>ANTWERPEN</v>
      </c>
      <c r="AG1930" s="11" t="str">
        <f>IF($I1930&lt;&gt;"",VLOOKUP($AC1930,GEADRESSEERDE!$A$2:$E$4,5,),"")</f>
        <v>BE</v>
      </c>
      <c r="AH1930" s="11" t="str">
        <f>IF(I1930&lt;&gt;"",VLOOKUP(AP1930,KvB!$A$2:$B$3,2,FALSE),"")</f>
        <v>BE101000</v>
      </c>
      <c r="AI1930" s="11" t="s">
        <v>55</v>
      </c>
      <c r="AJ1930" s="11"/>
      <c r="AK1930" s="11"/>
      <c r="AL1930" s="11"/>
      <c r="AM1930" s="11"/>
      <c r="AN1930" s="11"/>
      <c r="AO1930" s="11"/>
      <c r="AP1930" s="2" t="s">
        <v>70</v>
      </c>
      <c r="AQ1930" s="11" t="str">
        <f>IF(I1930&lt;&gt;"",DATA!D1929,"")</f>
        <v>8502310097</v>
      </c>
    </row>
    <row r="1931" spans="1:43" ht="15.75" x14ac:dyDescent="0.25">
      <c r="A1931" s="11" t="s">
        <v>57</v>
      </c>
      <c r="B1931" s="11" t="s">
        <v>56</v>
      </c>
      <c r="C1931" s="22">
        <f t="shared" si="126"/>
        <v>25001620</v>
      </c>
      <c r="D1931" s="11" t="str">
        <f t="shared" si="123"/>
        <v>SKIIFM_AT</v>
      </c>
      <c r="E1931" s="11" t="str">
        <f>IF(I1931&lt;&gt;"",VLOOKUP(F1931,OPDRACHTGEVER!$A$2:$B$4,2,FALSE),"")</f>
        <v>SKIIFM_AT</v>
      </c>
      <c r="F1931" s="11" t="s">
        <v>58</v>
      </c>
      <c r="I1931" s="11" t="str">
        <f>IF(DATA!B1930&lt;&gt;"",DATA!B1930,"")</f>
        <v>MSMU6210269</v>
      </c>
      <c r="J1931" s="12">
        <v>0</v>
      </c>
      <c r="K1931" s="11" t="s">
        <v>53</v>
      </c>
      <c r="L1931" s="11" t="str">
        <f t="shared" si="124"/>
        <v>842549</v>
      </c>
      <c r="M1931" s="11" t="str">
        <f>IF(I1931&lt;&gt;"",DATA!E1930,"")</f>
        <v>FLOOR JACKS</v>
      </c>
      <c r="N1931" s="12">
        <v>0</v>
      </c>
      <c r="O1931" s="11">
        <f>IF(I1931&lt;&gt;"",DATA!C1930,"")</f>
        <v>123.8</v>
      </c>
      <c r="P1931" s="2">
        <v>294094</v>
      </c>
      <c r="Q1931" s="2" t="s">
        <v>1304</v>
      </c>
      <c r="R1931" s="2" t="s">
        <v>1342</v>
      </c>
      <c r="S1931" s="2">
        <v>293</v>
      </c>
      <c r="T1931" s="2">
        <v>1</v>
      </c>
      <c r="U1931" s="2" t="s">
        <v>141</v>
      </c>
      <c r="Y1931" s="2">
        <v>1700</v>
      </c>
      <c r="Z1931" s="11" t="s">
        <v>54</v>
      </c>
      <c r="AA1931" s="11" t="str">
        <f t="shared" si="125"/>
        <v>1700 - TBN</v>
      </c>
      <c r="AC1931" s="2" t="s">
        <v>145</v>
      </c>
      <c r="AD1931" s="11" t="str">
        <f>IF($I1931&lt;&gt;"",VLOOKUP($AC1931,GEADRESSEERDE!$A$2:$E$4,2,),"")</f>
        <v>LUITHAGEN HAVEN 2 D</v>
      </c>
      <c r="AE1931" s="11">
        <f>IF($I1931&lt;&gt;"",VLOOKUP($AC1931,GEADRESSEERDE!$A$2:$E$4,3,),"")</f>
        <v>2030</v>
      </c>
      <c r="AF1931" s="11" t="str">
        <f>IF($I1931&lt;&gt;"",VLOOKUP($AC1931,GEADRESSEERDE!$A$2:$E$4,4,),"")</f>
        <v>ANTWERPEN</v>
      </c>
      <c r="AG1931" s="11" t="str">
        <f>IF($I1931&lt;&gt;"",VLOOKUP($AC1931,GEADRESSEERDE!$A$2:$E$4,5,),"")</f>
        <v>BE</v>
      </c>
      <c r="AH1931" s="11" t="str">
        <f>IF(I1931&lt;&gt;"",VLOOKUP(AP1931,KvB!$A$2:$B$3,2,FALSE),"")</f>
        <v>BE101000</v>
      </c>
      <c r="AI1931" s="11" t="s">
        <v>55</v>
      </c>
      <c r="AJ1931" s="11"/>
      <c r="AK1931" s="11"/>
      <c r="AL1931" s="11"/>
      <c r="AM1931" s="11"/>
      <c r="AN1931" s="11"/>
      <c r="AO1931" s="11"/>
      <c r="AP1931" s="2" t="s">
        <v>70</v>
      </c>
      <c r="AQ1931" s="11" t="str">
        <f>IF(I1931&lt;&gt;"",DATA!D1930,"")</f>
        <v>8425490000</v>
      </c>
    </row>
    <row r="1932" spans="1:43" ht="15.75" x14ac:dyDescent="0.25">
      <c r="A1932" s="11" t="s">
        <v>57</v>
      </c>
      <c r="B1932" s="11" t="s">
        <v>56</v>
      </c>
      <c r="C1932" s="22">
        <f t="shared" si="126"/>
        <v>25001620</v>
      </c>
      <c r="D1932" s="11" t="str">
        <f t="shared" si="123"/>
        <v>SKIIFM_AT</v>
      </c>
      <c r="E1932" s="11" t="str">
        <f>IF(I1932&lt;&gt;"",VLOOKUP(F1932,OPDRACHTGEVER!$A$2:$B$4,2,FALSE),"")</f>
        <v>SKIIFM_AT</v>
      </c>
      <c r="F1932" s="11" t="s">
        <v>58</v>
      </c>
      <c r="I1932" s="11" t="str">
        <f>IF(DATA!B1931&lt;&gt;"",DATA!B1931,"")</f>
        <v>MSMU6210269</v>
      </c>
      <c r="J1932" s="12">
        <v>0</v>
      </c>
      <c r="K1932" s="11" t="s">
        <v>53</v>
      </c>
      <c r="L1932" s="11" t="str">
        <f t="shared" si="124"/>
        <v>843120</v>
      </c>
      <c r="M1932" s="11" t="str">
        <f>IF(I1932&lt;&gt;"",DATA!E1931,"")</f>
        <v>FORKLIFT HOOK RACK</v>
      </c>
      <c r="N1932" s="12">
        <v>0</v>
      </c>
      <c r="O1932" s="11">
        <f>IF(I1932&lt;&gt;"",DATA!C1931,"")</f>
        <v>1186.3699999999999</v>
      </c>
      <c r="P1932" s="2">
        <v>294094</v>
      </c>
      <c r="Q1932" s="2" t="s">
        <v>1304</v>
      </c>
      <c r="R1932" s="2" t="s">
        <v>1342</v>
      </c>
      <c r="S1932" s="2">
        <v>293</v>
      </c>
      <c r="T1932" s="2">
        <v>1</v>
      </c>
      <c r="U1932" s="2" t="s">
        <v>141</v>
      </c>
      <c r="Y1932" s="2">
        <v>1700</v>
      </c>
      <c r="Z1932" s="11" t="s">
        <v>54</v>
      </c>
      <c r="AA1932" s="11" t="str">
        <f t="shared" si="125"/>
        <v>1700 - TBN</v>
      </c>
      <c r="AC1932" s="2" t="s">
        <v>145</v>
      </c>
      <c r="AD1932" s="11" t="str">
        <f>IF($I1932&lt;&gt;"",VLOOKUP($AC1932,GEADRESSEERDE!$A$2:$E$4,2,),"")</f>
        <v>LUITHAGEN HAVEN 2 D</v>
      </c>
      <c r="AE1932" s="11">
        <f>IF($I1932&lt;&gt;"",VLOOKUP($AC1932,GEADRESSEERDE!$A$2:$E$4,3,),"")</f>
        <v>2030</v>
      </c>
      <c r="AF1932" s="11" t="str">
        <f>IF($I1932&lt;&gt;"",VLOOKUP($AC1932,GEADRESSEERDE!$A$2:$E$4,4,),"")</f>
        <v>ANTWERPEN</v>
      </c>
      <c r="AG1932" s="11" t="str">
        <f>IF($I1932&lt;&gt;"",VLOOKUP($AC1932,GEADRESSEERDE!$A$2:$E$4,5,),"")</f>
        <v>BE</v>
      </c>
      <c r="AH1932" s="11" t="str">
        <f>IF(I1932&lt;&gt;"",VLOOKUP(AP1932,KvB!$A$2:$B$3,2,FALSE),"")</f>
        <v>BE101000</v>
      </c>
      <c r="AI1932" s="11" t="s">
        <v>55</v>
      </c>
      <c r="AJ1932" s="11"/>
      <c r="AK1932" s="11"/>
      <c r="AL1932" s="11"/>
      <c r="AM1932" s="11"/>
      <c r="AN1932" s="11"/>
      <c r="AO1932" s="11"/>
      <c r="AP1932" s="2" t="s">
        <v>70</v>
      </c>
      <c r="AQ1932" s="11" t="str">
        <f>IF(I1932&lt;&gt;"",DATA!D1931,"")</f>
        <v>8431200080</v>
      </c>
    </row>
    <row r="1933" spans="1:43" ht="15.75" x14ac:dyDescent="0.25">
      <c r="A1933" s="11" t="s">
        <v>57</v>
      </c>
      <c r="B1933" s="11" t="s">
        <v>56</v>
      </c>
      <c r="C1933" s="22">
        <f t="shared" si="126"/>
        <v>25001620</v>
      </c>
      <c r="D1933" s="11" t="str">
        <f t="shared" si="123"/>
        <v>SKIIFM_AT</v>
      </c>
      <c r="E1933" s="11" t="str">
        <f>IF(I1933&lt;&gt;"",VLOOKUP(F1933,OPDRACHTGEVER!$A$2:$B$4,2,FALSE),"")</f>
        <v>SKIIFM_AT</v>
      </c>
      <c r="F1933" s="11" t="s">
        <v>58</v>
      </c>
      <c r="I1933" s="11" t="str">
        <f>IF(DATA!B1932&lt;&gt;"",DATA!B1932,"")</f>
        <v>MSMU6210269</v>
      </c>
      <c r="J1933" s="12">
        <v>0</v>
      </c>
      <c r="K1933" s="11" t="s">
        <v>53</v>
      </c>
      <c r="L1933" s="11" t="str">
        <f t="shared" si="124"/>
        <v>940120</v>
      </c>
      <c r="M1933" s="11" t="str">
        <f>IF(I1933&lt;&gt;"",DATA!E1932,"")</f>
        <v>FORKLIFT SEAT</v>
      </c>
      <c r="N1933" s="12">
        <v>0</v>
      </c>
      <c r="O1933" s="11">
        <f>IF(I1933&lt;&gt;"",DATA!C1932,"")</f>
        <v>70.2</v>
      </c>
      <c r="P1933" s="2">
        <v>294094</v>
      </c>
      <c r="Q1933" s="2" t="s">
        <v>1304</v>
      </c>
      <c r="R1933" s="2" t="s">
        <v>1342</v>
      </c>
      <c r="S1933" s="2">
        <v>293</v>
      </c>
      <c r="T1933" s="2">
        <v>1</v>
      </c>
      <c r="U1933" s="2" t="s">
        <v>141</v>
      </c>
      <c r="Y1933" s="2">
        <v>1700</v>
      </c>
      <c r="Z1933" s="11" t="s">
        <v>54</v>
      </c>
      <c r="AA1933" s="11" t="str">
        <f t="shared" si="125"/>
        <v>1700 - TBN</v>
      </c>
      <c r="AC1933" s="2" t="s">
        <v>145</v>
      </c>
      <c r="AD1933" s="11" t="str">
        <f>IF($I1933&lt;&gt;"",VLOOKUP($AC1933,GEADRESSEERDE!$A$2:$E$4,2,),"")</f>
        <v>LUITHAGEN HAVEN 2 D</v>
      </c>
      <c r="AE1933" s="11">
        <f>IF($I1933&lt;&gt;"",VLOOKUP($AC1933,GEADRESSEERDE!$A$2:$E$4,3,),"")</f>
        <v>2030</v>
      </c>
      <c r="AF1933" s="11" t="str">
        <f>IF($I1933&lt;&gt;"",VLOOKUP($AC1933,GEADRESSEERDE!$A$2:$E$4,4,),"")</f>
        <v>ANTWERPEN</v>
      </c>
      <c r="AG1933" s="11" t="str">
        <f>IF($I1933&lt;&gt;"",VLOOKUP($AC1933,GEADRESSEERDE!$A$2:$E$4,5,),"")</f>
        <v>BE</v>
      </c>
      <c r="AH1933" s="11" t="str">
        <f>IF(I1933&lt;&gt;"",VLOOKUP(AP1933,KvB!$A$2:$B$3,2,FALSE),"")</f>
        <v>BE101000</v>
      </c>
      <c r="AI1933" s="11" t="s">
        <v>55</v>
      </c>
      <c r="AJ1933" s="11"/>
      <c r="AK1933" s="11"/>
      <c r="AL1933" s="11"/>
      <c r="AM1933" s="11"/>
      <c r="AN1933" s="11"/>
      <c r="AO1933" s="11"/>
      <c r="AP1933" s="2" t="s">
        <v>70</v>
      </c>
      <c r="AQ1933" s="11" t="str">
        <f>IF(I1933&lt;&gt;"",DATA!D1932,"")</f>
        <v>9401200000</v>
      </c>
    </row>
    <row r="1934" spans="1:43" ht="15.75" x14ac:dyDescent="0.25">
      <c r="A1934" s="11" t="s">
        <v>57</v>
      </c>
      <c r="B1934" s="11" t="s">
        <v>56</v>
      </c>
      <c r="C1934" s="22">
        <f t="shared" si="126"/>
        <v>25001620</v>
      </c>
      <c r="D1934" s="11" t="str">
        <f t="shared" si="123"/>
        <v>SKIIFM_AT</v>
      </c>
      <c r="E1934" s="11" t="str">
        <f>IF(I1934&lt;&gt;"",VLOOKUP(F1934,OPDRACHTGEVER!$A$2:$B$4,2,FALSE),"")</f>
        <v>SKIIFM_AT</v>
      </c>
      <c r="F1934" s="11" t="s">
        <v>58</v>
      </c>
      <c r="I1934" s="11" t="str">
        <f>IF(DATA!B1933&lt;&gt;"",DATA!B1933,"")</f>
        <v>MSMU6210269</v>
      </c>
      <c r="J1934" s="12">
        <v>0</v>
      </c>
      <c r="K1934" s="11" t="s">
        <v>53</v>
      </c>
      <c r="L1934" s="11" t="str">
        <f t="shared" si="124"/>
        <v>392020</v>
      </c>
      <c r="M1934" s="11" t="str">
        <f>IF(I1934&lt;&gt;"",DATA!E1933,"")</f>
        <v>GARAGE FLOOR MATS</v>
      </c>
      <c r="N1934" s="12">
        <v>0</v>
      </c>
      <c r="O1934" s="11">
        <f>IF(I1934&lt;&gt;"",DATA!C1933,"")</f>
        <v>371.55</v>
      </c>
      <c r="P1934" s="2">
        <v>294094</v>
      </c>
      <c r="Q1934" s="2" t="s">
        <v>1304</v>
      </c>
      <c r="R1934" s="2" t="s">
        <v>1342</v>
      </c>
      <c r="S1934" s="2">
        <v>293</v>
      </c>
      <c r="T1934" s="2">
        <v>1</v>
      </c>
      <c r="U1934" s="2" t="s">
        <v>141</v>
      </c>
      <c r="Y1934" s="2">
        <v>1700</v>
      </c>
      <c r="Z1934" s="11" t="s">
        <v>54</v>
      </c>
      <c r="AA1934" s="11" t="str">
        <f t="shared" si="125"/>
        <v>1700 - TBN</v>
      </c>
      <c r="AC1934" s="2" t="s">
        <v>145</v>
      </c>
      <c r="AD1934" s="11" t="str">
        <f>IF($I1934&lt;&gt;"",VLOOKUP($AC1934,GEADRESSEERDE!$A$2:$E$4,2,),"")</f>
        <v>LUITHAGEN HAVEN 2 D</v>
      </c>
      <c r="AE1934" s="11">
        <f>IF($I1934&lt;&gt;"",VLOOKUP($AC1934,GEADRESSEERDE!$A$2:$E$4,3,),"")</f>
        <v>2030</v>
      </c>
      <c r="AF1934" s="11" t="str">
        <f>IF($I1934&lt;&gt;"",VLOOKUP($AC1934,GEADRESSEERDE!$A$2:$E$4,4,),"")</f>
        <v>ANTWERPEN</v>
      </c>
      <c r="AG1934" s="11" t="str">
        <f>IF($I1934&lt;&gt;"",VLOOKUP($AC1934,GEADRESSEERDE!$A$2:$E$4,5,),"")</f>
        <v>BE</v>
      </c>
      <c r="AH1934" s="11" t="str">
        <f>IF(I1934&lt;&gt;"",VLOOKUP(AP1934,KvB!$A$2:$B$3,2,FALSE),"")</f>
        <v>BE101000</v>
      </c>
      <c r="AI1934" s="11" t="s">
        <v>55</v>
      </c>
      <c r="AJ1934" s="11"/>
      <c r="AK1934" s="11"/>
      <c r="AL1934" s="11"/>
      <c r="AM1934" s="11"/>
      <c r="AN1934" s="11"/>
      <c r="AO1934" s="11"/>
      <c r="AP1934" s="2" t="s">
        <v>70</v>
      </c>
      <c r="AQ1934" s="11" t="str">
        <f>IF(I1934&lt;&gt;"",DATA!D1933,"")</f>
        <v>3920208090</v>
      </c>
    </row>
    <row r="1935" spans="1:43" ht="15.75" x14ac:dyDescent="0.25">
      <c r="A1935" s="11" t="s">
        <v>57</v>
      </c>
      <c r="B1935" s="11" t="s">
        <v>56</v>
      </c>
      <c r="C1935" s="22">
        <f t="shared" si="126"/>
        <v>25001620</v>
      </c>
      <c r="D1935" s="11" t="str">
        <f t="shared" si="123"/>
        <v>SKIIFM_AT</v>
      </c>
      <c r="E1935" s="11" t="str">
        <f>IF(I1935&lt;&gt;"",VLOOKUP(F1935,OPDRACHTGEVER!$A$2:$B$4,2,FALSE),"")</f>
        <v>SKIIFM_AT</v>
      </c>
      <c r="F1935" s="11" t="s">
        <v>58</v>
      </c>
      <c r="I1935" s="11" t="str">
        <f>IF(DATA!B1934&lt;&gt;"",DATA!B1934,"")</f>
        <v>MSMU6210269</v>
      </c>
      <c r="J1935" s="12">
        <v>0</v>
      </c>
      <c r="K1935" s="11" t="s">
        <v>53</v>
      </c>
      <c r="L1935" s="11" t="str">
        <f t="shared" si="124"/>
        <v>851633</v>
      </c>
      <c r="M1935" s="11" t="str">
        <f>IF(I1935&lt;&gt;"",DATA!E1934,"")</f>
        <v>HAND DRYER</v>
      </c>
      <c r="N1935" s="12">
        <v>0</v>
      </c>
      <c r="O1935" s="11">
        <f>IF(I1935&lt;&gt;"",DATA!C1934,"")</f>
        <v>41</v>
      </c>
      <c r="P1935" s="2">
        <v>294094</v>
      </c>
      <c r="Q1935" s="2" t="s">
        <v>1304</v>
      </c>
      <c r="R1935" s="2" t="s">
        <v>1342</v>
      </c>
      <c r="S1935" s="2">
        <v>293</v>
      </c>
      <c r="T1935" s="2">
        <v>1</v>
      </c>
      <c r="U1935" s="2" t="s">
        <v>141</v>
      </c>
      <c r="Y1935" s="2">
        <v>1700</v>
      </c>
      <c r="Z1935" s="11" t="s">
        <v>54</v>
      </c>
      <c r="AA1935" s="11" t="str">
        <f t="shared" si="125"/>
        <v>1700 - TBN</v>
      </c>
      <c r="AC1935" s="2" t="s">
        <v>145</v>
      </c>
      <c r="AD1935" s="11" t="str">
        <f>IF($I1935&lt;&gt;"",VLOOKUP($AC1935,GEADRESSEERDE!$A$2:$E$4,2,),"")</f>
        <v>LUITHAGEN HAVEN 2 D</v>
      </c>
      <c r="AE1935" s="11">
        <f>IF($I1935&lt;&gt;"",VLOOKUP($AC1935,GEADRESSEERDE!$A$2:$E$4,3,),"")</f>
        <v>2030</v>
      </c>
      <c r="AF1935" s="11" t="str">
        <f>IF($I1935&lt;&gt;"",VLOOKUP($AC1935,GEADRESSEERDE!$A$2:$E$4,4,),"")</f>
        <v>ANTWERPEN</v>
      </c>
      <c r="AG1935" s="11" t="str">
        <f>IF($I1935&lt;&gt;"",VLOOKUP($AC1935,GEADRESSEERDE!$A$2:$E$4,5,),"")</f>
        <v>BE</v>
      </c>
      <c r="AH1935" s="11" t="str">
        <f>IF(I1935&lt;&gt;"",VLOOKUP(AP1935,KvB!$A$2:$B$3,2,FALSE),"")</f>
        <v>BE101000</v>
      </c>
      <c r="AI1935" s="11" t="s">
        <v>55</v>
      </c>
      <c r="AJ1935" s="11"/>
      <c r="AK1935" s="11"/>
      <c r="AL1935" s="11"/>
      <c r="AM1935" s="11"/>
      <c r="AN1935" s="11"/>
      <c r="AO1935" s="11"/>
      <c r="AP1935" s="2" t="s">
        <v>70</v>
      </c>
      <c r="AQ1935" s="11" t="str">
        <f>IF(I1935&lt;&gt;"",DATA!D1934,"")</f>
        <v>8516330000</v>
      </c>
    </row>
    <row r="1936" spans="1:43" ht="15.75" x14ac:dyDescent="0.25">
      <c r="A1936" s="11" t="s">
        <v>57</v>
      </c>
      <c r="B1936" s="11" t="s">
        <v>56</v>
      </c>
      <c r="C1936" s="22">
        <f t="shared" si="126"/>
        <v>25001620</v>
      </c>
      <c r="D1936" s="11" t="str">
        <f t="shared" si="123"/>
        <v>SKIIFM_AT</v>
      </c>
      <c r="E1936" s="11" t="str">
        <f>IF(I1936&lt;&gt;"",VLOOKUP(F1936,OPDRACHTGEVER!$A$2:$B$4,2,FALSE),"")</f>
        <v>SKIIFM_AT</v>
      </c>
      <c r="F1936" s="11" t="s">
        <v>58</v>
      </c>
      <c r="I1936" s="11" t="str">
        <f>IF(DATA!B1935&lt;&gt;"",DATA!B1935,"")</f>
        <v>MSMU6210269</v>
      </c>
      <c r="J1936" s="12">
        <v>0</v>
      </c>
      <c r="K1936" s="11" t="s">
        <v>53</v>
      </c>
      <c r="L1936" s="11" t="str">
        <f t="shared" si="124"/>
        <v>741920</v>
      </c>
      <c r="M1936" s="11" t="str">
        <f>IF(I1936&lt;&gt;"",DATA!E1935,"")</f>
        <v>HANDRAIL</v>
      </c>
      <c r="N1936" s="12">
        <v>0</v>
      </c>
      <c r="O1936" s="11">
        <f>IF(I1936&lt;&gt;"",DATA!C1935,"")</f>
        <v>37.799999999999997</v>
      </c>
      <c r="P1936" s="2">
        <v>294094</v>
      </c>
      <c r="Q1936" s="2" t="s">
        <v>1304</v>
      </c>
      <c r="R1936" s="2" t="s">
        <v>1342</v>
      </c>
      <c r="S1936" s="2">
        <v>293</v>
      </c>
      <c r="T1936" s="2">
        <v>1</v>
      </c>
      <c r="U1936" s="2" t="s">
        <v>141</v>
      </c>
      <c r="Y1936" s="2">
        <v>1700</v>
      </c>
      <c r="Z1936" s="11" t="s">
        <v>54</v>
      </c>
      <c r="AA1936" s="11" t="str">
        <f t="shared" si="125"/>
        <v>1700 - TBN</v>
      </c>
      <c r="AC1936" s="2" t="s">
        <v>145</v>
      </c>
      <c r="AD1936" s="11" t="str">
        <f>IF($I1936&lt;&gt;"",VLOOKUP($AC1936,GEADRESSEERDE!$A$2:$E$4,2,),"")</f>
        <v>LUITHAGEN HAVEN 2 D</v>
      </c>
      <c r="AE1936" s="11">
        <f>IF($I1936&lt;&gt;"",VLOOKUP($AC1936,GEADRESSEERDE!$A$2:$E$4,3,),"")</f>
        <v>2030</v>
      </c>
      <c r="AF1936" s="11" t="str">
        <f>IF($I1936&lt;&gt;"",VLOOKUP($AC1936,GEADRESSEERDE!$A$2:$E$4,4,),"")</f>
        <v>ANTWERPEN</v>
      </c>
      <c r="AG1936" s="11" t="str">
        <f>IF($I1936&lt;&gt;"",VLOOKUP($AC1936,GEADRESSEERDE!$A$2:$E$4,5,),"")</f>
        <v>BE</v>
      </c>
      <c r="AH1936" s="11" t="str">
        <f>IF(I1936&lt;&gt;"",VLOOKUP(AP1936,KvB!$A$2:$B$3,2,FALSE),"")</f>
        <v>BE101000</v>
      </c>
      <c r="AI1936" s="11" t="s">
        <v>55</v>
      </c>
      <c r="AJ1936" s="11"/>
      <c r="AK1936" s="11"/>
      <c r="AL1936" s="11"/>
      <c r="AM1936" s="11"/>
      <c r="AN1936" s="11"/>
      <c r="AO1936" s="11"/>
      <c r="AP1936" s="2" t="s">
        <v>70</v>
      </c>
      <c r="AQ1936" s="11" t="str">
        <f>IF(I1936&lt;&gt;"",DATA!D1935,"")</f>
        <v>7419200090</v>
      </c>
    </row>
    <row r="1937" spans="1:43" ht="15.75" x14ac:dyDescent="0.25">
      <c r="A1937" s="11" t="s">
        <v>57</v>
      </c>
      <c r="B1937" s="11" t="s">
        <v>56</v>
      </c>
      <c r="C1937" s="22">
        <f t="shared" si="126"/>
        <v>25001620</v>
      </c>
      <c r="D1937" s="11" t="str">
        <f t="shared" si="123"/>
        <v>SKIIFM_AT</v>
      </c>
      <c r="E1937" s="11" t="str">
        <f>IF(I1937&lt;&gt;"",VLOOKUP(F1937,OPDRACHTGEVER!$A$2:$B$4,2,FALSE),"")</f>
        <v>SKIIFM_AT</v>
      </c>
      <c r="F1937" s="11" t="s">
        <v>58</v>
      </c>
      <c r="I1937" s="11" t="str">
        <f>IF(DATA!B1936&lt;&gt;"",DATA!B1936,"")</f>
        <v>MSMU6210269</v>
      </c>
      <c r="J1937" s="12">
        <v>0</v>
      </c>
      <c r="K1937" s="11" t="s">
        <v>53</v>
      </c>
      <c r="L1937" s="11" t="str">
        <f t="shared" si="124"/>
        <v>844339</v>
      </c>
      <c r="M1937" s="11" t="str">
        <f>IF(I1937&lt;&gt;"",DATA!E1936,"")</f>
        <v>HEAT PRESS MACHINE</v>
      </c>
      <c r="N1937" s="12">
        <v>0</v>
      </c>
      <c r="O1937" s="11">
        <f>IF(I1937&lt;&gt;"",DATA!C1936,"")</f>
        <v>412.3</v>
      </c>
      <c r="P1937" s="2">
        <v>294094</v>
      </c>
      <c r="Q1937" s="2" t="s">
        <v>1304</v>
      </c>
      <c r="R1937" s="2" t="s">
        <v>1342</v>
      </c>
      <c r="S1937" s="2">
        <v>293</v>
      </c>
      <c r="T1937" s="2">
        <v>1</v>
      </c>
      <c r="U1937" s="2" t="s">
        <v>141</v>
      </c>
      <c r="Y1937" s="2">
        <v>1700</v>
      </c>
      <c r="Z1937" s="11" t="s">
        <v>54</v>
      </c>
      <c r="AA1937" s="11" t="str">
        <f t="shared" si="125"/>
        <v>1700 - TBN</v>
      </c>
      <c r="AC1937" s="2" t="s">
        <v>145</v>
      </c>
      <c r="AD1937" s="11" t="str">
        <f>IF($I1937&lt;&gt;"",VLOOKUP($AC1937,GEADRESSEERDE!$A$2:$E$4,2,),"")</f>
        <v>LUITHAGEN HAVEN 2 D</v>
      </c>
      <c r="AE1937" s="11">
        <f>IF($I1937&lt;&gt;"",VLOOKUP($AC1937,GEADRESSEERDE!$A$2:$E$4,3,),"")</f>
        <v>2030</v>
      </c>
      <c r="AF1937" s="11" t="str">
        <f>IF($I1937&lt;&gt;"",VLOOKUP($AC1937,GEADRESSEERDE!$A$2:$E$4,4,),"")</f>
        <v>ANTWERPEN</v>
      </c>
      <c r="AG1937" s="11" t="str">
        <f>IF($I1937&lt;&gt;"",VLOOKUP($AC1937,GEADRESSEERDE!$A$2:$E$4,5,),"")</f>
        <v>BE</v>
      </c>
      <c r="AH1937" s="11" t="str">
        <f>IF(I1937&lt;&gt;"",VLOOKUP(AP1937,KvB!$A$2:$B$3,2,FALSE),"")</f>
        <v>BE101000</v>
      </c>
      <c r="AI1937" s="11" t="s">
        <v>55</v>
      </c>
      <c r="AJ1937" s="11"/>
      <c r="AK1937" s="11"/>
      <c r="AL1937" s="11"/>
      <c r="AM1937" s="11"/>
      <c r="AN1937" s="11"/>
      <c r="AO1937" s="11"/>
      <c r="AP1937" s="2" t="s">
        <v>70</v>
      </c>
      <c r="AQ1937" s="11" t="str">
        <f>IF(I1937&lt;&gt;"",DATA!D1936,"")</f>
        <v>8443390000</v>
      </c>
    </row>
    <row r="1938" spans="1:43" ht="15.75" x14ac:dyDescent="0.25">
      <c r="A1938" s="11" t="s">
        <v>57</v>
      </c>
      <c r="B1938" s="11" t="s">
        <v>56</v>
      </c>
      <c r="C1938" s="22">
        <f t="shared" si="126"/>
        <v>25001620</v>
      </c>
      <c r="D1938" s="11" t="str">
        <f t="shared" si="123"/>
        <v>SKIIFM_AT</v>
      </c>
      <c r="E1938" s="11" t="str">
        <f>IF(I1938&lt;&gt;"",VLOOKUP(F1938,OPDRACHTGEVER!$A$2:$B$4,2,FALSE),"")</f>
        <v>SKIIFM_AT</v>
      </c>
      <c r="F1938" s="11" t="s">
        <v>58</v>
      </c>
      <c r="I1938" s="11" t="str">
        <f>IF(DATA!B1937&lt;&gt;"",DATA!B1937,"")</f>
        <v>MSMU6210269</v>
      </c>
      <c r="J1938" s="12">
        <v>0</v>
      </c>
      <c r="K1938" s="11" t="s">
        <v>53</v>
      </c>
      <c r="L1938" s="11" t="str">
        <f t="shared" si="124"/>
        <v>842542</v>
      </c>
      <c r="M1938" s="11" t="str">
        <f>IF(I1938&lt;&gt;"",DATA!E1937,"")</f>
        <v>HYDRAULIC JACK</v>
      </c>
      <c r="N1938" s="12">
        <v>0</v>
      </c>
      <c r="O1938" s="11">
        <f>IF(I1938&lt;&gt;"",DATA!C1937,"")</f>
        <v>291.2</v>
      </c>
      <c r="P1938" s="2">
        <v>294094</v>
      </c>
      <c r="Q1938" s="2" t="s">
        <v>1304</v>
      </c>
      <c r="R1938" s="2" t="s">
        <v>1342</v>
      </c>
      <c r="S1938" s="2">
        <v>293</v>
      </c>
      <c r="T1938" s="2">
        <v>1</v>
      </c>
      <c r="U1938" s="2" t="s">
        <v>141</v>
      </c>
      <c r="Y1938" s="2">
        <v>1700</v>
      </c>
      <c r="Z1938" s="11" t="s">
        <v>54</v>
      </c>
      <c r="AA1938" s="11" t="str">
        <f t="shared" si="125"/>
        <v>1700 - TBN</v>
      </c>
      <c r="AC1938" s="2" t="s">
        <v>145</v>
      </c>
      <c r="AD1938" s="11" t="str">
        <f>IF($I1938&lt;&gt;"",VLOOKUP($AC1938,GEADRESSEERDE!$A$2:$E$4,2,),"")</f>
        <v>LUITHAGEN HAVEN 2 D</v>
      </c>
      <c r="AE1938" s="11">
        <f>IF($I1938&lt;&gt;"",VLOOKUP($AC1938,GEADRESSEERDE!$A$2:$E$4,3,),"")</f>
        <v>2030</v>
      </c>
      <c r="AF1938" s="11" t="str">
        <f>IF($I1938&lt;&gt;"",VLOOKUP($AC1938,GEADRESSEERDE!$A$2:$E$4,4,),"")</f>
        <v>ANTWERPEN</v>
      </c>
      <c r="AG1938" s="11" t="str">
        <f>IF($I1938&lt;&gt;"",VLOOKUP($AC1938,GEADRESSEERDE!$A$2:$E$4,5,),"")</f>
        <v>BE</v>
      </c>
      <c r="AH1938" s="11" t="str">
        <f>IF(I1938&lt;&gt;"",VLOOKUP(AP1938,KvB!$A$2:$B$3,2,FALSE),"")</f>
        <v>BE101000</v>
      </c>
      <c r="AI1938" s="11" t="s">
        <v>55</v>
      </c>
      <c r="AJ1938" s="11"/>
      <c r="AK1938" s="11"/>
      <c r="AL1938" s="11"/>
      <c r="AM1938" s="11"/>
      <c r="AN1938" s="11"/>
      <c r="AO1938" s="11"/>
      <c r="AP1938" s="2" t="s">
        <v>70</v>
      </c>
      <c r="AQ1938" s="11" t="str">
        <f>IF(I1938&lt;&gt;"",DATA!D1937,"")</f>
        <v>8425420000</v>
      </c>
    </row>
    <row r="1939" spans="1:43" ht="15.75" x14ac:dyDescent="0.25">
      <c r="A1939" s="11" t="s">
        <v>57</v>
      </c>
      <c r="B1939" s="11" t="s">
        <v>56</v>
      </c>
      <c r="C1939" s="22">
        <f t="shared" si="126"/>
        <v>25001620</v>
      </c>
      <c r="D1939" s="11" t="str">
        <f t="shared" si="123"/>
        <v>SKIIFM_AT</v>
      </c>
      <c r="E1939" s="11" t="str">
        <f>IF(I1939&lt;&gt;"",VLOOKUP(F1939,OPDRACHTGEVER!$A$2:$B$4,2,FALSE),"")</f>
        <v>SKIIFM_AT</v>
      </c>
      <c r="F1939" s="11" t="s">
        <v>58</v>
      </c>
      <c r="I1939" s="11" t="str">
        <f>IF(DATA!B1938&lt;&gt;"",DATA!B1938,"")</f>
        <v>MSMU6210269</v>
      </c>
      <c r="J1939" s="12">
        <v>0</v>
      </c>
      <c r="K1939" s="11" t="s">
        <v>53</v>
      </c>
      <c r="L1939" s="11" t="str">
        <f t="shared" si="124"/>
        <v>890710</v>
      </c>
      <c r="M1939" s="11" t="str">
        <f>IF(I1939&lt;&gt;"",DATA!E1938,"")</f>
        <v>INFLATABLE BOAT</v>
      </c>
      <c r="N1939" s="12">
        <v>0</v>
      </c>
      <c r="O1939" s="11">
        <f>IF(I1939&lt;&gt;"",DATA!C1938,"")</f>
        <v>45.2</v>
      </c>
      <c r="P1939" s="2">
        <v>294094</v>
      </c>
      <c r="Q1939" s="2" t="s">
        <v>1304</v>
      </c>
      <c r="R1939" s="2" t="s">
        <v>1342</v>
      </c>
      <c r="S1939" s="2">
        <v>293</v>
      </c>
      <c r="T1939" s="2">
        <v>1</v>
      </c>
      <c r="U1939" s="2" t="s">
        <v>141</v>
      </c>
      <c r="Y1939" s="2">
        <v>1700</v>
      </c>
      <c r="Z1939" s="11" t="s">
        <v>54</v>
      </c>
      <c r="AA1939" s="11" t="str">
        <f t="shared" si="125"/>
        <v>1700 - TBN</v>
      </c>
      <c r="AC1939" s="2" t="s">
        <v>145</v>
      </c>
      <c r="AD1939" s="11" t="str">
        <f>IF($I1939&lt;&gt;"",VLOOKUP($AC1939,GEADRESSEERDE!$A$2:$E$4,2,),"")</f>
        <v>LUITHAGEN HAVEN 2 D</v>
      </c>
      <c r="AE1939" s="11">
        <f>IF($I1939&lt;&gt;"",VLOOKUP($AC1939,GEADRESSEERDE!$A$2:$E$4,3,),"")</f>
        <v>2030</v>
      </c>
      <c r="AF1939" s="11" t="str">
        <f>IF($I1939&lt;&gt;"",VLOOKUP($AC1939,GEADRESSEERDE!$A$2:$E$4,4,),"")</f>
        <v>ANTWERPEN</v>
      </c>
      <c r="AG1939" s="11" t="str">
        <f>IF($I1939&lt;&gt;"",VLOOKUP($AC1939,GEADRESSEERDE!$A$2:$E$4,5,),"")</f>
        <v>BE</v>
      </c>
      <c r="AH1939" s="11" t="str">
        <f>IF(I1939&lt;&gt;"",VLOOKUP(AP1939,KvB!$A$2:$B$3,2,FALSE),"")</f>
        <v>BE101000</v>
      </c>
      <c r="AI1939" s="11" t="s">
        <v>55</v>
      </c>
      <c r="AJ1939" s="11"/>
      <c r="AK1939" s="11"/>
      <c r="AL1939" s="11"/>
      <c r="AM1939" s="11"/>
      <c r="AN1939" s="11"/>
      <c r="AO1939" s="11"/>
      <c r="AP1939" s="2" t="s">
        <v>70</v>
      </c>
      <c r="AQ1939" s="11" t="str">
        <f>IF(I1939&lt;&gt;"",DATA!D1938,"")</f>
        <v>8907100000</v>
      </c>
    </row>
    <row r="1940" spans="1:43" ht="15.75" x14ac:dyDescent="0.25">
      <c r="A1940" s="11" t="s">
        <v>57</v>
      </c>
      <c r="B1940" s="11" t="s">
        <v>56</v>
      </c>
      <c r="C1940" s="22">
        <f t="shared" si="126"/>
        <v>25001620</v>
      </c>
      <c r="D1940" s="11" t="str">
        <f t="shared" si="123"/>
        <v>SKIIFM_AT</v>
      </c>
      <c r="E1940" s="11" t="str">
        <f>IF(I1940&lt;&gt;"",VLOOKUP(F1940,OPDRACHTGEVER!$A$2:$B$4,2,FALSE),"")</f>
        <v>SKIIFM_AT</v>
      </c>
      <c r="F1940" s="11" t="s">
        <v>58</v>
      </c>
      <c r="I1940" s="11" t="str">
        <f>IF(DATA!B1939&lt;&gt;"",DATA!B1939,"")</f>
        <v>MSMU6210269</v>
      </c>
      <c r="J1940" s="12">
        <v>0</v>
      </c>
      <c r="K1940" s="11" t="s">
        <v>53</v>
      </c>
      <c r="L1940" s="11" t="str">
        <f t="shared" si="124"/>
        <v>950691</v>
      </c>
      <c r="M1940" s="11" t="str">
        <f>IF(I1940&lt;&gt;"",DATA!E1939,"")</f>
        <v>JUMPING BOX</v>
      </c>
      <c r="N1940" s="12">
        <v>0</v>
      </c>
      <c r="O1940" s="11">
        <f>IF(I1940&lt;&gt;"",DATA!C1939,"")</f>
        <v>91.65</v>
      </c>
      <c r="P1940" s="2">
        <v>294094</v>
      </c>
      <c r="Q1940" s="2" t="s">
        <v>1304</v>
      </c>
      <c r="R1940" s="2" t="s">
        <v>1342</v>
      </c>
      <c r="S1940" s="2">
        <v>293</v>
      </c>
      <c r="T1940" s="2">
        <v>1</v>
      </c>
      <c r="U1940" s="2" t="s">
        <v>141</v>
      </c>
      <c r="Y1940" s="2">
        <v>1700</v>
      </c>
      <c r="Z1940" s="11" t="s">
        <v>54</v>
      </c>
      <c r="AA1940" s="11" t="str">
        <f t="shared" si="125"/>
        <v>1700 - TBN</v>
      </c>
      <c r="AC1940" s="2" t="s">
        <v>145</v>
      </c>
      <c r="AD1940" s="11" t="str">
        <f>IF($I1940&lt;&gt;"",VLOOKUP($AC1940,GEADRESSEERDE!$A$2:$E$4,2,),"")</f>
        <v>LUITHAGEN HAVEN 2 D</v>
      </c>
      <c r="AE1940" s="11">
        <f>IF($I1940&lt;&gt;"",VLOOKUP($AC1940,GEADRESSEERDE!$A$2:$E$4,3,),"")</f>
        <v>2030</v>
      </c>
      <c r="AF1940" s="11" t="str">
        <f>IF($I1940&lt;&gt;"",VLOOKUP($AC1940,GEADRESSEERDE!$A$2:$E$4,4,),"")</f>
        <v>ANTWERPEN</v>
      </c>
      <c r="AG1940" s="11" t="str">
        <f>IF($I1940&lt;&gt;"",VLOOKUP($AC1940,GEADRESSEERDE!$A$2:$E$4,5,),"")</f>
        <v>BE</v>
      </c>
      <c r="AH1940" s="11" t="str">
        <f>IF(I1940&lt;&gt;"",VLOOKUP(AP1940,KvB!$A$2:$B$3,2,FALSE),"")</f>
        <v>BE101000</v>
      </c>
      <c r="AI1940" s="11" t="s">
        <v>55</v>
      </c>
      <c r="AJ1940" s="11"/>
      <c r="AK1940" s="11"/>
      <c r="AL1940" s="11"/>
      <c r="AM1940" s="11"/>
      <c r="AN1940" s="11"/>
      <c r="AO1940" s="11"/>
      <c r="AP1940" s="2" t="s">
        <v>70</v>
      </c>
      <c r="AQ1940" s="11" t="str">
        <f>IF(I1940&lt;&gt;"",DATA!D1939,"")</f>
        <v>9506919000</v>
      </c>
    </row>
    <row r="1941" spans="1:43" ht="15.75" x14ac:dyDescent="0.25">
      <c r="A1941" s="11" t="s">
        <v>57</v>
      </c>
      <c r="B1941" s="11" t="s">
        <v>56</v>
      </c>
      <c r="C1941" s="22">
        <f t="shared" si="126"/>
        <v>25001620</v>
      </c>
      <c r="D1941" s="11" t="str">
        <f t="shared" si="123"/>
        <v>SKIIFM_AT</v>
      </c>
      <c r="E1941" s="11" t="str">
        <f>IF(I1941&lt;&gt;"",VLOOKUP(F1941,OPDRACHTGEVER!$A$2:$B$4,2,FALSE),"")</f>
        <v>SKIIFM_AT</v>
      </c>
      <c r="F1941" s="11" t="s">
        <v>58</v>
      </c>
      <c r="I1941" s="11" t="str">
        <f>IF(DATA!B1940&lt;&gt;"",DATA!B1940,"")</f>
        <v>MSMU6210269</v>
      </c>
      <c r="J1941" s="12">
        <v>0</v>
      </c>
      <c r="K1941" s="11" t="s">
        <v>53</v>
      </c>
      <c r="L1941" s="11" t="str">
        <f t="shared" si="124"/>
        <v>903300</v>
      </c>
      <c r="M1941" s="11" t="str">
        <f>IF(I1941&lt;&gt;"",DATA!E1940,"")</f>
        <v>LABORATORY BRACKET</v>
      </c>
      <c r="N1941" s="12">
        <v>0</v>
      </c>
      <c r="O1941" s="11">
        <f>IF(I1941&lt;&gt;"",DATA!C1940,"")</f>
        <v>46.4</v>
      </c>
      <c r="P1941" s="2">
        <v>294094</v>
      </c>
      <c r="Q1941" s="2" t="s">
        <v>1304</v>
      </c>
      <c r="R1941" s="2" t="s">
        <v>1342</v>
      </c>
      <c r="S1941" s="2">
        <v>293</v>
      </c>
      <c r="T1941" s="2">
        <v>1</v>
      </c>
      <c r="U1941" s="2" t="s">
        <v>141</v>
      </c>
      <c r="Y1941" s="2">
        <v>1700</v>
      </c>
      <c r="Z1941" s="11" t="s">
        <v>54</v>
      </c>
      <c r="AA1941" s="11" t="str">
        <f t="shared" si="125"/>
        <v>1700 - TBN</v>
      </c>
      <c r="AC1941" s="2" t="s">
        <v>145</v>
      </c>
      <c r="AD1941" s="11" t="str">
        <f>IF($I1941&lt;&gt;"",VLOOKUP($AC1941,GEADRESSEERDE!$A$2:$E$4,2,),"")</f>
        <v>LUITHAGEN HAVEN 2 D</v>
      </c>
      <c r="AE1941" s="11">
        <f>IF($I1941&lt;&gt;"",VLOOKUP($AC1941,GEADRESSEERDE!$A$2:$E$4,3,),"")</f>
        <v>2030</v>
      </c>
      <c r="AF1941" s="11" t="str">
        <f>IF($I1941&lt;&gt;"",VLOOKUP($AC1941,GEADRESSEERDE!$A$2:$E$4,4,),"")</f>
        <v>ANTWERPEN</v>
      </c>
      <c r="AG1941" s="11" t="str">
        <f>IF($I1941&lt;&gt;"",VLOOKUP($AC1941,GEADRESSEERDE!$A$2:$E$4,5,),"")</f>
        <v>BE</v>
      </c>
      <c r="AH1941" s="11" t="str">
        <f>IF(I1941&lt;&gt;"",VLOOKUP(AP1941,KvB!$A$2:$B$3,2,FALSE),"")</f>
        <v>BE101000</v>
      </c>
      <c r="AI1941" s="11" t="s">
        <v>55</v>
      </c>
      <c r="AJ1941" s="11"/>
      <c r="AK1941" s="11"/>
      <c r="AL1941" s="11"/>
      <c r="AM1941" s="11"/>
      <c r="AN1941" s="11"/>
      <c r="AO1941" s="11"/>
      <c r="AP1941" s="2" t="s">
        <v>70</v>
      </c>
      <c r="AQ1941" s="11" t="str">
        <f>IF(I1941&lt;&gt;"",DATA!D1940,"")</f>
        <v>9033009000</v>
      </c>
    </row>
    <row r="1942" spans="1:43" ht="15.75" x14ac:dyDescent="0.25">
      <c r="A1942" s="11" t="s">
        <v>57</v>
      </c>
      <c r="B1942" s="11" t="s">
        <v>56</v>
      </c>
      <c r="C1942" s="22">
        <f t="shared" si="126"/>
        <v>25001620</v>
      </c>
      <c r="D1942" s="11" t="str">
        <f t="shared" si="123"/>
        <v>SKIIFM_AT</v>
      </c>
      <c r="E1942" s="11" t="str">
        <f>IF(I1942&lt;&gt;"",VLOOKUP(F1942,OPDRACHTGEVER!$A$2:$B$4,2,FALSE),"")</f>
        <v>SKIIFM_AT</v>
      </c>
      <c r="F1942" s="11" t="s">
        <v>58</v>
      </c>
      <c r="I1942" s="11" t="str">
        <f>IF(DATA!B1941&lt;&gt;"",DATA!B1941,"")</f>
        <v>MSMU6210269</v>
      </c>
      <c r="J1942" s="12">
        <v>0</v>
      </c>
      <c r="K1942" s="11" t="s">
        <v>53</v>
      </c>
      <c r="L1942" s="11" t="str">
        <f t="shared" si="124"/>
        <v>741920</v>
      </c>
      <c r="M1942" s="11" t="str">
        <f>IF(I1942&lt;&gt;"",DATA!E1941,"")</f>
        <v>LADDER HOOK</v>
      </c>
      <c r="N1942" s="12">
        <v>0</v>
      </c>
      <c r="O1942" s="11">
        <f>IF(I1942&lt;&gt;"",DATA!C1941,"")</f>
        <v>98.7</v>
      </c>
      <c r="P1942" s="2">
        <v>294094</v>
      </c>
      <c r="Q1942" s="2" t="s">
        <v>1304</v>
      </c>
      <c r="R1942" s="2" t="s">
        <v>1342</v>
      </c>
      <c r="S1942" s="2">
        <v>293</v>
      </c>
      <c r="T1942" s="2">
        <v>1</v>
      </c>
      <c r="U1942" s="2" t="s">
        <v>141</v>
      </c>
      <c r="Y1942" s="2">
        <v>1700</v>
      </c>
      <c r="Z1942" s="11" t="s">
        <v>54</v>
      </c>
      <c r="AA1942" s="11" t="str">
        <f t="shared" si="125"/>
        <v>1700 - TBN</v>
      </c>
      <c r="AC1942" s="2" t="s">
        <v>145</v>
      </c>
      <c r="AD1942" s="11" t="str">
        <f>IF($I1942&lt;&gt;"",VLOOKUP($AC1942,GEADRESSEERDE!$A$2:$E$4,2,),"")</f>
        <v>LUITHAGEN HAVEN 2 D</v>
      </c>
      <c r="AE1942" s="11">
        <f>IF($I1942&lt;&gt;"",VLOOKUP($AC1942,GEADRESSEERDE!$A$2:$E$4,3,),"")</f>
        <v>2030</v>
      </c>
      <c r="AF1942" s="11" t="str">
        <f>IF($I1942&lt;&gt;"",VLOOKUP($AC1942,GEADRESSEERDE!$A$2:$E$4,4,),"")</f>
        <v>ANTWERPEN</v>
      </c>
      <c r="AG1942" s="11" t="str">
        <f>IF($I1942&lt;&gt;"",VLOOKUP($AC1942,GEADRESSEERDE!$A$2:$E$4,5,),"")</f>
        <v>BE</v>
      </c>
      <c r="AH1942" s="11" t="str">
        <f>IF(I1942&lt;&gt;"",VLOOKUP(AP1942,KvB!$A$2:$B$3,2,FALSE),"")</f>
        <v>BE101000</v>
      </c>
      <c r="AI1942" s="11" t="s">
        <v>55</v>
      </c>
      <c r="AJ1942" s="11"/>
      <c r="AK1942" s="11"/>
      <c r="AL1942" s="11"/>
      <c r="AM1942" s="11"/>
      <c r="AN1942" s="11"/>
      <c r="AO1942" s="11"/>
      <c r="AP1942" s="2" t="s">
        <v>70</v>
      </c>
      <c r="AQ1942" s="11" t="str">
        <f>IF(I1942&lt;&gt;"",DATA!D1941,"")</f>
        <v>7419200090</v>
      </c>
    </row>
    <row r="1943" spans="1:43" ht="15.75" x14ac:dyDescent="0.25">
      <c r="A1943" s="11" t="s">
        <v>57</v>
      </c>
      <c r="B1943" s="11" t="s">
        <v>56</v>
      </c>
      <c r="C1943" s="22">
        <f t="shared" si="126"/>
        <v>25001620</v>
      </c>
      <c r="D1943" s="11" t="str">
        <f t="shared" si="123"/>
        <v>SKIIFM_AT</v>
      </c>
      <c r="E1943" s="11" t="str">
        <f>IF(I1943&lt;&gt;"",VLOOKUP(F1943,OPDRACHTGEVER!$A$2:$B$4,2,FALSE),"")</f>
        <v>SKIIFM_AT</v>
      </c>
      <c r="F1943" s="11" t="s">
        <v>58</v>
      </c>
      <c r="I1943" s="11" t="str">
        <f>IF(DATA!B1942&lt;&gt;"",DATA!B1942,"")</f>
        <v>MSMU6210269</v>
      </c>
      <c r="J1943" s="12">
        <v>0</v>
      </c>
      <c r="K1943" s="11" t="s">
        <v>53</v>
      </c>
      <c r="L1943" s="11" t="str">
        <f t="shared" si="124"/>
        <v>901320</v>
      </c>
      <c r="M1943" s="11" t="str">
        <f>IF(I1943&lt;&gt;"",DATA!E1942,"")</f>
        <v>LASER TUBE</v>
      </c>
      <c r="N1943" s="12">
        <v>0</v>
      </c>
      <c r="O1943" s="11">
        <f>IF(I1943&lt;&gt;"",DATA!C1942,"")</f>
        <v>280.14999999999998</v>
      </c>
      <c r="P1943" s="2">
        <v>294094</v>
      </c>
      <c r="Q1943" s="2" t="s">
        <v>1304</v>
      </c>
      <c r="R1943" s="2" t="s">
        <v>1342</v>
      </c>
      <c r="S1943" s="2">
        <v>293</v>
      </c>
      <c r="T1943" s="2">
        <v>1</v>
      </c>
      <c r="U1943" s="2" t="s">
        <v>141</v>
      </c>
      <c r="Y1943" s="2">
        <v>1700</v>
      </c>
      <c r="Z1943" s="11" t="s">
        <v>54</v>
      </c>
      <c r="AA1943" s="11" t="str">
        <f t="shared" si="125"/>
        <v>1700 - TBN</v>
      </c>
      <c r="AC1943" s="2" t="s">
        <v>145</v>
      </c>
      <c r="AD1943" s="11" t="str">
        <f>IF($I1943&lt;&gt;"",VLOOKUP($AC1943,GEADRESSEERDE!$A$2:$E$4,2,),"")</f>
        <v>LUITHAGEN HAVEN 2 D</v>
      </c>
      <c r="AE1943" s="11">
        <f>IF($I1943&lt;&gt;"",VLOOKUP($AC1943,GEADRESSEERDE!$A$2:$E$4,3,),"")</f>
        <v>2030</v>
      </c>
      <c r="AF1943" s="11" t="str">
        <f>IF($I1943&lt;&gt;"",VLOOKUP($AC1943,GEADRESSEERDE!$A$2:$E$4,4,),"")</f>
        <v>ANTWERPEN</v>
      </c>
      <c r="AG1943" s="11" t="str">
        <f>IF($I1943&lt;&gt;"",VLOOKUP($AC1943,GEADRESSEERDE!$A$2:$E$4,5,),"")</f>
        <v>BE</v>
      </c>
      <c r="AH1943" s="11" t="str">
        <f>IF(I1943&lt;&gt;"",VLOOKUP(AP1943,KvB!$A$2:$B$3,2,FALSE),"")</f>
        <v>BE101000</v>
      </c>
      <c r="AI1943" s="11" t="s">
        <v>55</v>
      </c>
      <c r="AJ1943" s="11"/>
      <c r="AK1943" s="11"/>
      <c r="AL1943" s="11"/>
      <c r="AM1943" s="11"/>
      <c r="AN1943" s="11"/>
      <c r="AO1943" s="11"/>
      <c r="AP1943" s="2" t="s">
        <v>70</v>
      </c>
      <c r="AQ1943" s="11" t="str">
        <f>IF(I1943&lt;&gt;"",DATA!D1942,"")</f>
        <v>9013200000</v>
      </c>
    </row>
    <row r="1944" spans="1:43" ht="15.75" x14ac:dyDescent="0.25">
      <c r="A1944" s="11" t="s">
        <v>57</v>
      </c>
      <c r="B1944" s="11" t="s">
        <v>56</v>
      </c>
      <c r="C1944" s="22">
        <f t="shared" si="126"/>
        <v>25001620</v>
      </c>
      <c r="D1944" s="11" t="str">
        <f t="shared" si="123"/>
        <v>SKIIFM_AT</v>
      </c>
      <c r="E1944" s="11" t="str">
        <f>IF(I1944&lt;&gt;"",VLOOKUP(F1944,OPDRACHTGEVER!$A$2:$B$4,2,FALSE),"")</f>
        <v>SKIIFM_AT</v>
      </c>
      <c r="F1944" s="11" t="s">
        <v>58</v>
      </c>
      <c r="I1944" s="11" t="str">
        <f>IF(DATA!B1943&lt;&gt;"",DATA!B1943,"")</f>
        <v>MSMU6210269</v>
      </c>
      <c r="J1944" s="12">
        <v>0</v>
      </c>
      <c r="K1944" s="11" t="s">
        <v>53</v>
      </c>
      <c r="L1944" s="11" t="str">
        <f t="shared" si="124"/>
        <v>830230</v>
      </c>
      <c r="M1944" s="11" t="str">
        <f>IF(I1944&lt;&gt;"",DATA!E1943,"")</f>
        <v>LIFTING JACK</v>
      </c>
      <c r="N1944" s="12">
        <v>0</v>
      </c>
      <c r="O1944" s="11">
        <f>IF(I1944&lt;&gt;"",DATA!C1943,"")</f>
        <v>1345.45</v>
      </c>
      <c r="P1944" s="2">
        <v>294094</v>
      </c>
      <c r="Q1944" s="2" t="s">
        <v>1304</v>
      </c>
      <c r="R1944" s="2" t="s">
        <v>1342</v>
      </c>
      <c r="S1944" s="2">
        <v>293</v>
      </c>
      <c r="T1944" s="2">
        <v>1</v>
      </c>
      <c r="U1944" s="2" t="s">
        <v>141</v>
      </c>
      <c r="Y1944" s="2">
        <v>1700</v>
      </c>
      <c r="Z1944" s="11" t="s">
        <v>54</v>
      </c>
      <c r="AA1944" s="11" t="str">
        <f t="shared" si="125"/>
        <v>1700 - TBN</v>
      </c>
      <c r="AC1944" s="2" t="s">
        <v>145</v>
      </c>
      <c r="AD1944" s="11" t="str">
        <f>IF($I1944&lt;&gt;"",VLOOKUP($AC1944,GEADRESSEERDE!$A$2:$E$4,2,),"")</f>
        <v>LUITHAGEN HAVEN 2 D</v>
      </c>
      <c r="AE1944" s="11">
        <f>IF($I1944&lt;&gt;"",VLOOKUP($AC1944,GEADRESSEERDE!$A$2:$E$4,3,),"")</f>
        <v>2030</v>
      </c>
      <c r="AF1944" s="11" t="str">
        <f>IF($I1944&lt;&gt;"",VLOOKUP($AC1944,GEADRESSEERDE!$A$2:$E$4,4,),"")</f>
        <v>ANTWERPEN</v>
      </c>
      <c r="AG1944" s="11" t="str">
        <f>IF($I1944&lt;&gt;"",VLOOKUP($AC1944,GEADRESSEERDE!$A$2:$E$4,5,),"")</f>
        <v>BE</v>
      </c>
      <c r="AH1944" s="11" t="str">
        <f>IF(I1944&lt;&gt;"",VLOOKUP(AP1944,KvB!$A$2:$B$3,2,FALSE),"")</f>
        <v>BE101000</v>
      </c>
      <c r="AI1944" s="11" t="s">
        <v>55</v>
      </c>
      <c r="AJ1944" s="11"/>
      <c r="AK1944" s="11"/>
      <c r="AL1944" s="11"/>
      <c r="AM1944" s="11"/>
      <c r="AN1944" s="11"/>
      <c r="AO1944" s="11"/>
      <c r="AP1944" s="2" t="s">
        <v>70</v>
      </c>
      <c r="AQ1944" s="11" t="str">
        <f>IF(I1944&lt;&gt;"",DATA!D1943,"")</f>
        <v>8302300020</v>
      </c>
    </row>
    <row r="1945" spans="1:43" ht="15.75" x14ac:dyDescent="0.25">
      <c r="A1945" s="11" t="s">
        <v>57</v>
      </c>
      <c r="B1945" s="11" t="s">
        <v>56</v>
      </c>
      <c r="C1945" s="22">
        <f t="shared" si="126"/>
        <v>25001620</v>
      </c>
      <c r="D1945" s="11" t="str">
        <f t="shared" si="123"/>
        <v>SKIIFM_AT</v>
      </c>
      <c r="E1945" s="11" t="str">
        <f>IF(I1945&lt;&gt;"",VLOOKUP(F1945,OPDRACHTGEVER!$A$2:$B$4,2,FALSE),"")</f>
        <v>SKIIFM_AT</v>
      </c>
      <c r="F1945" s="11" t="s">
        <v>58</v>
      </c>
      <c r="I1945" s="11" t="str">
        <f>IF(DATA!B1944&lt;&gt;"",DATA!B1944,"")</f>
        <v>MSMU6210269</v>
      </c>
      <c r="J1945" s="12">
        <v>0</v>
      </c>
      <c r="K1945" s="11" t="s">
        <v>53</v>
      </c>
      <c r="L1945" s="11" t="str">
        <f t="shared" si="124"/>
        <v>850131</v>
      </c>
      <c r="M1945" s="11" t="str">
        <f>IF(I1945&lt;&gt;"",DATA!E1944,"")</f>
        <v>LINEAR ACTUATOR</v>
      </c>
      <c r="N1945" s="12">
        <v>0</v>
      </c>
      <c r="O1945" s="11">
        <f>IF(I1945&lt;&gt;"",DATA!C1944,"")</f>
        <v>1004.9</v>
      </c>
      <c r="P1945" s="2">
        <v>294094</v>
      </c>
      <c r="Q1945" s="2" t="s">
        <v>1304</v>
      </c>
      <c r="R1945" s="2" t="s">
        <v>1342</v>
      </c>
      <c r="S1945" s="2">
        <v>293</v>
      </c>
      <c r="T1945" s="2">
        <v>1</v>
      </c>
      <c r="U1945" s="2" t="s">
        <v>141</v>
      </c>
      <c r="Y1945" s="2">
        <v>1700</v>
      </c>
      <c r="Z1945" s="11" t="s">
        <v>54</v>
      </c>
      <c r="AA1945" s="11" t="str">
        <f t="shared" si="125"/>
        <v>1700 - TBN</v>
      </c>
      <c r="AC1945" s="2" t="s">
        <v>145</v>
      </c>
      <c r="AD1945" s="11" t="str">
        <f>IF($I1945&lt;&gt;"",VLOOKUP($AC1945,GEADRESSEERDE!$A$2:$E$4,2,),"")</f>
        <v>LUITHAGEN HAVEN 2 D</v>
      </c>
      <c r="AE1945" s="11">
        <f>IF($I1945&lt;&gt;"",VLOOKUP($AC1945,GEADRESSEERDE!$A$2:$E$4,3,),"")</f>
        <v>2030</v>
      </c>
      <c r="AF1945" s="11" t="str">
        <f>IF($I1945&lt;&gt;"",VLOOKUP($AC1945,GEADRESSEERDE!$A$2:$E$4,4,),"")</f>
        <v>ANTWERPEN</v>
      </c>
      <c r="AG1945" s="11" t="str">
        <f>IF($I1945&lt;&gt;"",VLOOKUP($AC1945,GEADRESSEERDE!$A$2:$E$4,5,),"")</f>
        <v>BE</v>
      </c>
      <c r="AH1945" s="11" t="str">
        <f>IF(I1945&lt;&gt;"",VLOOKUP(AP1945,KvB!$A$2:$B$3,2,FALSE),"")</f>
        <v>BE101000</v>
      </c>
      <c r="AI1945" s="11" t="s">
        <v>55</v>
      </c>
      <c r="AJ1945" s="11"/>
      <c r="AK1945" s="11"/>
      <c r="AL1945" s="11"/>
      <c r="AM1945" s="11"/>
      <c r="AN1945" s="11"/>
      <c r="AO1945" s="11"/>
      <c r="AP1945" s="2" t="s">
        <v>70</v>
      </c>
      <c r="AQ1945" s="11" t="str">
        <f>IF(I1945&lt;&gt;"",DATA!D1944,"")</f>
        <v>8501310099</v>
      </c>
    </row>
    <row r="1946" spans="1:43" ht="15.75" x14ac:dyDescent="0.25">
      <c r="A1946" s="11" t="s">
        <v>57</v>
      </c>
      <c r="B1946" s="11" t="s">
        <v>56</v>
      </c>
      <c r="C1946" s="22">
        <f t="shared" si="126"/>
        <v>25001620</v>
      </c>
      <c r="D1946" s="11" t="str">
        <f t="shared" si="123"/>
        <v>SKIIFM_AT</v>
      </c>
      <c r="E1946" s="11" t="str">
        <f>IF(I1946&lt;&gt;"",VLOOKUP(F1946,OPDRACHTGEVER!$A$2:$B$4,2,FALSE),"")</f>
        <v>SKIIFM_AT</v>
      </c>
      <c r="F1946" s="11" t="s">
        <v>58</v>
      </c>
      <c r="I1946" s="11" t="str">
        <f>IF(DATA!B1945&lt;&gt;"",DATA!B1945,"")</f>
        <v>MSMU6210269</v>
      </c>
      <c r="J1946" s="12">
        <v>0</v>
      </c>
      <c r="K1946" s="11" t="s">
        <v>53</v>
      </c>
      <c r="L1946" s="11" t="str">
        <f t="shared" si="124"/>
        <v>741920</v>
      </c>
      <c r="M1946" s="11" t="str">
        <f>IF(I1946&lt;&gt;"",DATA!E1945,"")</f>
        <v>METAL PET CAGE</v>
      </c>
      <c r="N1946" s="12">
        <v>0</v>
      </c>
      <c r="O1946" s="11">
        <f>IF(I1946&lt;&gt;"",DATA!C1945,"")</f>
        <v>417.35</v>
      </c>
      <c r="P1946" s="2">
        <v>294094</v>
      </c>
      <c r="Q1946" s="2" t="s">
        <v>1304</v>
      </c>
      <c r="R1946" s="2" t="s">
        <v>1342</v>
      </c>
      <c r="S1946" s="2">
        <v>293</v>
      </c>
      <c r="T1946" s="2">
        <v>1</v>
      </c>
      <c r="U1946" s="2" t="s">
        <v>141</v>
      </c>
      <c r="Y1946" s="2">
        <v>1700</v>
      </c>
      <c r="Z1946" s="11" t="s">
        <v>54</v>
      </c>
      <c r="AA1946" s="11" t="str">
        <f t="shared" si="125"/>
        <v>1700 - TBN</v>
      </c>
      <c r="AC1946" s="2" t="s">
        <v>145</v>
      </c>
      <c r="AD1946" s="11" t="str">
        <f>IF($I1946&lt;&gt;"",VLOOKUP($AC1946,GEADRESSEERDE!$A$2:$E$4,2,),"")</f>
        <v>LUITHAGEN HAVEN 2 D</v>
      </c>
      <c r="AE1946" s="11">
        <f>IF($I1946&lt;&gt;"",VLOOKUP($AC1946,GEADRESSEERDE!$A$2:$E$4,3,),"")</f>
        <v>2030</v>
      </c>
      <c r="AF1946" s="11" t="str">
        <f>IF($I1946&lt;&gt;"",VLOOKUP($AC1946,GEADRESSEERDE!$A$2:$E$4,4,),"")</f>
        <v>ANTWERPEN</v>
      </c>
      <c r="AG1946" s="11" t="str">
        <f>IF($I1946&lt;&gt;"",VLOOKUP($AC1946,GEADRESSEERDE!$A$2:$E$4,5,),"")</f>
        <v>BE</v>
      </c>
      <c r="AH1946" s="11" t="str">
        <f>IF(I1946&lt;&gt;"",VLOOKUP(AP1946,KvB!$A$2:$B$3,2,FALSE),"")</f>
        <v>BE101000</v>
      </c>
      <c r="AI1946" s="11" t="s">
        <v>55</v>
      </c>
      <c r="AJ1946" s="11"/>
      <c r="AK1946" s="11"/>
      <c r="AL1946" s="11"/>
      <c r="AM1946" s="11"/>
      <c r="AN1946" s="11"/>
      <c r="AO1946" s="11"/>
      <c r="AP1946" s="2" t="s">
        <v>70</v>
      </c>
      <c r="AQ1946" s="11" t="str">
        <f>IF(I1946&lt;&gt;"",DATA!D1945,"")</f>
        <v>7419200090</v>
      </c>
    </row>
    <row r="1947" spans="1:43" ht="15.75" x14ac:dyDescent="0.25">
      <c r="A1947" s="11" t="s">
        <v>57</v>
      </c>
      <c r="B1947" s="11" t="s">
        <v>56</v>
      </c>
      <c r="C1947" s="22">
        <f t="shared" si="126"/>
        <v>25001620</v>
      </c>
      <c r="D1947" s="11" t="str">
        <f t="shared" si="123"/>
        <v>SKIIFM_AT</v>
      </c>
      <c r="E1947" s="11" t="str">
        <f>IF(I1947&lt;&gt;"",VLOOKUP(F1947,OPDRACHTGEVER!$A$2:$B$4,2,FALSE),"")</f>
        <v>SKIIFM_AT</v>
      </c>
      <c r="F1947" s="11" t="s">
        <v>58</v>
      </c>
      <c r="I1947" s="11" t="str">
        <f>IF(DATA!B1946&lt;&gt;"",DATA!B1946,"")</f>
        <v>MSMU6210269</v>
      </c>
      <c r="J1947" s="12">
        <v>0</v>
      </c>
      <c r="K1947" s="11" t="s">
        <v>53</v>
      </c>
      <c r="L1947" s="11" t="str">
        <f t="shared" si="124"/>
        <v>741920</v>
      </c>
      <c r="M1947" s="11" t="str">
        <f>IF(I1947&lt;&gt;"",DATA!E1946,"")</f>
        <v>METAL TABLE LEGS</v>
      </c>
      <c r="N1947" s="12">
        <v>0</v>
      </c>
      <c r="O1947" s="11">
        <f>IF(I1947&lt;&gt;"",DATA!C1946,"")</f>
        <v>14.7</v>
      </c>
      <c r="P1947" s="2">
        <v>294094</v>
      </c>
      <c r="Q1947" s="2" t="s">
        <v>1304</v>
      </c>
      <c r="R1947" s="2" t="s">
        <v>1342</v>
      </c>
      <c r="S1947" s="2">
        <v>293</v>
      </c>
      <c r="T1947" s="2">
        <v>1</v>
      </c>
      <c r="U1947" s="2" t="s">
        <v>141</v>
      </c>
      <c r="Y1947" s="2">
        <v>1700</v>
      </c>
      <c r="Z1947" s="11" t="s">
        <v>54</v>
      </c>
      <c r="AA1947" s="11" t="str">
        <f t="shared" si="125"/>
        <v>1700 - TBN</v>
      </c>
      <c r="AC1947" s="2" t="s">
        <v>145</v>
      </c>
      <c r="AD1947" s="11" t="str">
        <f>IF($I1947&lt;&gt;"",VLOOKUP($AC1947,GEADRESSEERDE!$A$2:$E$4,2,),"")</f>
        <v>LUITHAGEN HAVEN 2 D</v>
      </c>
      <c r="AE1947" s="11">
        <f>IF($I1947&lt;&gt;"",VLOOKUP($AC1947,GEADRESSEERDE!$A$2:$E$4,3,),"")</f>
        <v>2030</v>
      </c>
      <c r="AF1947" s="11" t="str">
        <f>IF($I1947&lt;&gt;"",VLOOKUP($AC1947,GEADRESSEERDE!$A$2:$E$4,4,),"")</f>
        <v>ANTWERPEN</v>
      </c>
      <c r="AG1947" s="11" t="str">
        <f>IF($I1947&lt;&gt;"",VLOOKUP($AC1947,GEADRESSEERDE!$A$2:$E$4,5,),"")</f>
        <v>BE</v>
      </c>
      <c r="AH1947" s="11" t="str">
        <f>IF(I1947&lt;&gt;"",VLOOKUP(AP1947,KvB!$A$2:$B$3,2,FALSE),"")</f>
        <v>BE101000</v>
      </c>
      <c r="AI1947" s="11" t="s">
        <v>55</v>
      </c>
      <c r="AJ1947" s="11"/>
      <c r="AK1947" s="11"/>
      <c r="AL1947" s="11"/>
      <c r="AM1947" s="11"/>
      <c r="AN1947" s="11"/>
      <c r="AO1947" s="11"/>
      <c r="AP1947" s="2" t="s">
        <v>70</v>
      </c>
      <c r="AQ1947" s="11" t="str">
        <f>IF(I1947&lt;&gt;"",DATA!D1946,"")</f>
        <v>7419200090</v>
      </c>
    </row>
    <row r="1948" spans="1:43" ht="15.75" x14ac:dyDescent="0.25">
      <c r="A1948" s="11" t="s">
        <v>57</v>
      </c>
      <c r="B1948" s="11" t="s">
        <v>56</v>
      </c>
      <c r="C1948" s="22">
        <f t="shared" si="126"/>
        <v>25001620</v>
      </c>
      <c r="D1948" s="11" t="str">
        <f t="shared" si="123"/>
        <v>SKIIFM_AT</v>
      </c>
      <c r="E1948" s="11" t="str">
        <f>IF(I1948&lt;&gt;"",VLOOKUP(F1948,OPDRACHTGEVER!$A$2:$B$4,2,FALSE),"")</f>
        <v>SKIIFM_AT</v>
      </c>
      <c r="F1948" s="11" t="s">
        <v>58</v>
      </c>
      <c r="I1948" s="11" t="str">
        <f>IF(DATA!B1947&lt;&gt;"",DATA!B1947,"")</f>
        <v>MSMU6210269</v>
      </c>
      <c r="J1948" s="12">
        <v>0</v>
      </c>
      <c r="K1948" s="11" t="s">
        <v>53</v>
      </c>
      <c r="L1948" s="11" t="str">
        <f t="shared" si="124"/>
        <v>844339</v>
      </c>
      <c r="M1948" s="11" t="str">
        <f>IF(I1948&lt;&gt;"",DATA!E1947,"")</f>
        <v>MUG HEAT PRESS AND ACCESSORIES</v>
      </c>
      <c r="N1948" s="12">
        <v>0</v>
      </c>
      <c r="O1948" s="11">
        <f>IF(I1948&lt;&gt;"",DATA!C1947,"")</f>
        <v>365.55</v>
      </c>
      <c r="P1948" s="2">
        <v>294094</v>
      </c>
      <c r="Q1948" s="2" t="s">
        <v>1304</v>
      </c>
      <c r="R1948" s="2" t="s">
        <v>1342</v>
      </c>
      <c r="S1948" s="2">
        <v>293</v>
      </c>
      <c r="T1948" s="2">
        <v>1</v>
      </c>
      <c r="U1948" s="2" t="s">
        <v>141</v>
      </c>
      <c r="Y1948" s="2">
        <v>1700</v>
      </c>
      <c r="Z1948" s="11" t="s">
        <v>54</v>
      </c>
      <c r="AA1948" s="11" t="str">
        <f t="shared" si="125"/>
        <v>1700 - TBN</v>
      </c>
      <c r="AC1948" s="2" t="s">
        <v>145</v>
      </c>
      <c r="AD1948" s="11" t="str">
        <f>IF($I1948&lt;&gt;"",VLOOKUP($AC1948,GEADRESSEERDE!$A$2:$E$4,2,),"")</f>
        <v>LUITHAGEN HAVEN 2 D</v>
      </c>
      <c r="AE1948" s="11">
        <f>IF($I1948&lt;&gt;"",VLOOKUP($AC1948,GEADRESSEERDE!$A$2:$E$4,3,),"")</f>
        <v>2030</v>
      </c>
      <c r="AF1948" s="11" t="str">
        <f>IF($I1948&lt;&gt;"",VLOOKUP($AC1948,GEADRESSEERDE!$A$2:$E$4,4,),"")</f>
        <v>ANTWERPEN</v>
      </c>
      <c r="AG1948" s="11" t="str">
        <f>IF($I1948&lt;&gt;"",VLOOKUP($AC1948,GEADRESSEERDE!$A$2:$E$4,5,),"")</f>
        <v>BE</v>
      </c>
      <c r="AH1948" s="11" t="str">
        <f>IF(I1948&lt;&gt;"",VLOOKUP(AP1948,KvB!$A$2:$B$3,2,FALSE),"")</f>
        <v>BE101000</v>
      </c>
      <c r="AI1948" s="11" t="s">
        <v>55</v>
      </c>
      <c r="AJ1948" s="11"/>
      <c r="AK1948" s="11"/>
      <c r="AL1948" s="11"/>
      <c r="AM1948" s="11"/>
      <c r="AN1948" s="11"/>
      <c r="AO1948" s="11"/>
      <c r="AP1948" s="2" t="s">
        <v>70</v>
      </c>
      <c r="AQ1948" s="11" t="str">
        <f>IF(I1948&lt;&gt;"",DATA!D1947,"")</f>
        <v>8443390000</v>
      </c>
    </row>
    <row r="1949" spans="1:43" ht="15.75" x14ac:dyDescent="0.25">
      <c r="A1949" s="11" t="s">
        <v>57</v>
      </c>
      <c r="B1949" s="11" t="s">
        <v>56</v>
      </c>
      <c r="C1949" s="22">
        <f t="shared" si="126"/>
        <v>25001620</v>
      </c>
      <c r="D1949" s="11" t="str">
        <f t="shared" si="123"/>
        <v>SKIIFM_AT</v>
      </c>
      <c r="E1949" s="11" t="str">
        <f>IF(I1949&lt;&gt;"",VLOOKUP(F1949,OPDRACHTGEVER!$A$2:$B$4,2,FALSE),"")</f>
        <v>SKIIFM_AT</v>
      </c>
      <c r="F1949" s="11" t="s">
        <v>58</v>
      </c>
      <c r="I1949" s="11" t="str">
        <f>IF(DATA!B1948&lt;&gt;"",DATA!B1948,"")</f>
        <v>MSMU6210269</v>
      </c>
      <c r="J1949" s="12">
        <v>0</v>
      </c>
      <c r="K1949" s="11" t="s">
        <v>53</v>
      </c>
      <c r="L1949" s="11" t="str">
        <f t="shared" si="124"/>
        <v>843149</v>
      </c>
      <c r="M1949" s="11" t="str">
        <f>IF(I1949&lt;&gt;"",DATA!E1948,"")</f>
        <v>PALLET FORK</v>
      </c>
      <c r="N1949" s="12">
        <v>0</v>
      </c>
      <c r="O1949" s="11">
        <f>IF(I1949&lt;&gt;"",DATA!C1948,"")</f>
        <v>1348.75</v>
      </c>
      <c r="P1949" s="2">
        <v>294094</v>
      </c>
      <c r="Q1949" s="2" t="s">
        <v>1304</v>
      </c>
      <c r="R1949" s="2" t="s">
        <v>1342</v>
      </c>
      <c r="S1949" s="2">
        <v>293</v>
      </c>
      <c r="T1949" s="2">
        <v>1</v>
      </c>
      <c r="U1949" s="2" t="s">
        <v>141</v>
      </c>
      <c r="Y1949" s="2">
        <v>1700</v>
      </c>
      <c r="Z1949" s="11" t="s">
        <v>54</v>
      </c>
      <c r="AA1949" s="11" t="str">
        <f t="shared" si="125"/>
        <v>1700 - TBN</v>
      </c>
      <c r="AC1949" s="2" t="s">
        <v>145</v>
      </c>
      <c r="AD1949" s="11" t="str">
        <f>IF($I1949&lt;&gt;"",VLOOKUP($AC1949,GEADRESSEERDE!$A$2:$E$4,2,),"")</f>
        <v>LUITHAGEN HAVEN 2 D</v>
      </c>
      <c r="AE1949" s="11">
        <f>IF($I1949&lt;&gt;"",VLOOKUP($AC1949,GEADRESSEERDE!$A$2:$E$4,3,),"")</f>
        <v>2030</v>
      </c>
      <c r="AF1949" s="11" t="str">
        <f>IF($I1949&lt;&gt;"",VLOOKUP($AC1949,GEADRESSEERDE!$A$2:$E$4,4,),"")</f>
        <v>ANTWERPEN</v>
      </c>
      <c r="AG1949" s="11" t="str">
        <f>IF($I1949&lt;&gt;"",VLOOKUP($AC1949,GEADRESSEERDE!$A$2:$E$4,5,),"")</f>
        <v>BE</v>
      </c>
      <c r="AH1949" s="11" t="str">
        <f>IF(I1949&lt;&gt;"",VLOOKUP(AP1949,KvB!$A$2:$B$3,2,FALSE),"")</f>
        <v>BE101000</v>
      </c>
      <c r="AI1949" s="11" t="s">
        <v>55</v>
      </c>
      <c r="AJ1949" s="11"/>
      <c r="AK1949" s="11"/>
      <c r="AL1949" s="11"/>
      <c r="AM1949" s="11"/>
      <c r="AN1949" s="11"/>
      <c r="AO1949" s="11"/>
      <c r="AP1949" s="2" t="s">
        <v>70</v>
      </c>
      <c r="AQ1949" s="11" t="str">
        <f>IF(I1949&lt;&gt;"",DATA!D1948,"")</f>
        <v>8431498090</v>
      </c>
    </row>
    <row r="1950" spans="1:43" ht="15.75" x14ac:dyDescent="0.25">
      <c r="A1950" s="11" t="s">
        <v>57</v>
      </c>
      <c r="B1950" s="11" t="s">
        <v>56</v>
      </c>
      <c r="C1950" s="22">
        <f t="shared" si="126"/>
        <v>25001620</v>
      </c>
      <c r="D1950" s="11" t="str">
        <f t="shared" si="123"/>
        <v>SKIIFM_AT</v>
      </c>
      <c r="E1950" s="11" t="str">
        <f>IF(I1950&lt;&gt;"",VLOOKUP(F1950,OPDRACHTGEVER!$A$2:$B$4,2,FALSE),"")</f>
        <v>SKIIFM_AT</v>
      </c>
      <c r="F1950" s="11" t="s">
        <v>58</v>
      </c>
      <c r="I1950" s="11" t="str">
        <f>IF(DATA!B1949&lt;&gt;"",DATA!B1949,"")</f>
        <v>MSMU6210269</v>
      </c>
      <c r="J1950" s="12">
        <v>0</v>
      </c>
      <c r="K1950" s="11" t="s">
        <v>53</v>
      </c>
      <c r="L1950" s="11" t="str">
        <f t="shared" si="124"/>
        <v>851660</v>
      </c>
      <c r="M1950" s="11" t="str">
        <f>IF(I1950&lt;&gt;"",DATA!E1949,"")</f>
        <v>PIZZA OVEN</v>
      </c>
      <c r="N1950" s="12">
        <v>0</v>
      </c>
      <c r="O1950" s="11">
        <f>IF(I1950&lt;&gt;"",DATA!C1949,"")</f>
        <v>263.2</v>
      </c>
      <c r="P1950" s="2">
        <v>294094</v>
      </c>
      <c r="Q1950" s="2" t="s">
        <v>1304</v>
      </c>
      <c r="R1950" s="2" t="s">
        <v>1342</v>
      </c>
      <c r="S1950" s="2">
        <v>293</v>
      </c>
      <c r="T1950" s="2">
        <v>1</v>
      </c>
      <c r="U1950" s="2" t="s">
        <v>141</v>
      </c>
      <c r="Y1950" s="2">
        <v>1700</v>
      </c>
      <c r="Z1950" s="11" t="s">
        <v>54</v>
      </c>
      <c r="AA1950" s="11" t="str">
        <f t="shared" si="125"/>
        <v>1700 - TBN</v>
      </c>
      <c r="AC1950" s="2" t="s">
        <v>145</v>
      </c>
      <c r="AD1950" s="11" t="str">
        <f>IF($I1950&lt;&gt;"",VLOOKUP($AC1950,GEADRESSEERDE!$A$2:$E$4,2,),"")</f>
        <v>LUITHAGEN HAVEN 2 D</v>
      </c>
      <c r="AE1950" s="11">
        <f>IF($I1950&lt;&gt;"",VLOOKUP($AC1950,GEADRESSEERDE!$A$2:$E$4,3,),"")</f>
        <v>2030</v>
      </c>
      <c r="AF1950" s="11" t="str">
        <f>IF($I1950&lt;&gt;"",VLOOKUP($AC1950,GEADRESSEERDE!$A$2:$E$4,4,),"")</f>
        <v>ANTWERPEN</v>
      </c>
      <c r="AG1950" s="11" t="str">
        <f>IF($I1950&lt;&gt;"",VLOOKUP($AC1950,GEADRESSEERDE!$A$2:$E$4,5,),"")</f>
        <v>BE</v>
      </c>
      <c r="AH1950" s="11" t="str">
        <f>IF(I1950&lt;&gt;"",VLOOKUP(AP1950,KvB!$A$2:$B$3,2,FALSE),"")</f>
        <v>BE101000</v>
      </c>
      <c r="AI1950" s="11" t="s">
        <v>55</v>
      </c>
      <c r="AJ1950" s="11"/>
      <c r="AK1950" s="11"/>
      <c r="AL1950" s="11"/>
      <c r="AM1950" s="11"/>
      <c r="AN1950" s="11"/>
      <c r="AO1950" s="11"/>
      <c r="AP1950" s="2" t="s">
        <v>70</v>
      </c>
      <c r="AQ1950" s="11" t="str">
        <f>IF(I1950&lt;&gt;"",DATA!D1949,"")</f>
        <v>8516605000</v>
      </c>
    </row>
    <row r="1951" spans="1:43" ht="15.75" x14ac:dyDescent="0.25">
      <c r="A1951" s="11" t="s">
        <v>57</v>
      </c>
      <c r="B1951" s="11" t="s">
        <v>56</v>
      </c>
      <c r="C1951" s="22">
        <f t="shared" si="126"/>
        <v>25001620</v>
      </c>
      <c r="D1951" s="11" t="str">
        <f t="shared" si="123"/>
        <v>SKIIFM_AT</v>
      </c>
      <c r="E1951" s="11" t="str">
        <f>IF(I1951&lt;&gt;"",VLOOKUP(F1951,OPDRACHTGEVER!$A$2:$B$4,2,FALSE),"")</f>
        <v>SKIIFM_AT</v>
      </c>
      <c r="F1951" s="11" t="s">
        <v>58</v>
      </c>
      <c r="I1951" s="11" t="str">
        <f>IF(DATA!B1950&lt;&gt;"",DATA!B1950,"")</f>
        <v>MSMU6210269</v>
      </c>
      <c r="J1951" s="12">
        <v>0</v>
      </c>
      <c r="K1951" s="11" t="s">
        <v>53</v>
      </c>
      <c r="L1951" s="11" t="str">
        <f t="shared" si="124"/>
        <v>841350</v>
      </c>
      <c r="M1951" s="11" t="str">
        <f>IF(I1951&lt;&gt;"",DATA!E1950,"")</f>
        <v>PNEUMATIC HYDRAULIC PUMP</v>
      </c>
      <c r="N1951" s="12">
        <v>0</v>
      </c>
      <c r="O1951" s="11">
        <f>IF(I1951&lt;&gt;"",DATA!C1950,"")</f>
        <v>641.70000000000005</v>
      </c>
      <c r="P1951" s="2">
        <v>294094</v>
      </c>
      <c r="Q1951" s="2" t="s">
        <v>1304</v>
      </c>
      <c r="R1951" s="2" t="s">
        <v>1342</v>
      </c>
      <c r="S1951" s="2">
        <v>293</v>
      </c>
      <c r="T1951" s="2">
        <v>1</v>
      </c>
      <c r="U1951" s="2" t="s">
        <v>141</v>
      </c>
      <c r="Y1951" s="2">
        <v>1700</v>
      </c>
      <c r="Z1951" s="11" t="s">
        <v>54</v>
      </c>
      <c r="AA1951" s="11" t="str">
        <f t="shared" si="125"/>
        <v>1700 - TBN</v>
      </c>
      <c r="AC1951" s="2" t="s">
        <v>145</v>
      </c>
      <c r="AD1951" s="11" t="str">
        <f>IF($I1951&lt;&gt;"",VLOOKUP($AC1951,GEADRESSEERDE!$A$2:$E$4,2,),"")</f>
        <v>LUITHAGEN HAVEN 2 D</v>
      </c>
      <c r="AE1951" s="11">
        <f>IF($I1951&lt;&gt;"",VLOOKUP($AC1951,GEADRESSEERDE!$A$2:$E$4,3,),"")</f>
        <v>2030</v>
      </c>
      <c r="AF1951" s="11" t="str">
        <f>IF($I1951&lt;&gt;"",VLOOKUP($AC1951,GEADRESSEERDE!$A$2:$E$4,4,),"")</f>
        <v>ANTWERPEN</v>
      </c>
      <c r="AG1951" s="11" t="str">
        <f>IF($I1951&lt;&gt;"",VLOOKUP($AC1951,GEADRESSEERDE!$A$2:$E$4,5,),"")</f>
        <v>BE</v>
      </c>
      <c r="AH1951" s="11" t="str">
        <f>IF(I1951&lt;&gt;"",VLOOKUP(AP1951,KvB!$A$2:$B$3,2,FALSE),"")</f>
        <v>BE101000</v>
      </c>
      <c r="AI1951" s="11" t="s">
        <v>55</v>
      </c>
      <c r="AJ1951" s="11"/>
      <c r="AK1951" s="11"/>
      <c r="AL1951" s="11"/>
      <c r="AM1951" s="11"/>
      <c r="AN1951" s="11"/>
      <c r="AO1951" s="11"/>
      <c r="AP1951" s="2" t="s">
        <v>70</v>
      </c>
      <c r="AQ1951" s="11" t="str">
        <f>IF(I1951&lt;&gt;"",DATA!D1950,"")</f>
        <v>8413508090</v>
      </c>
    </row>
    <row r="1952" spans="1:43" ht="15.75" x14ac:dyDescent="0.25">
      <c r="A1952" s="11" t="s">
        <v>57</v>
      </c>
      <c r="B1952" s="11" t="s">
        <v>56</v>
      </c>
      <c r="C1952" s="22">
        <f t="shared" si="126"/>
        <v>25001620</v>
      </c>
      <c r="D1952" s="11" t="str">
        <f t="shared" si="123"/>
        <v>SKIIFM_AT</v>
      </c>
      <c r="E1952" s="11" t="str">
        <f>IF(I1952&lt;&gt;"",VLOOKUP(F1952,OPDRACHTGEVER!$A$2:$B$4,2,FALSE),"")</f>
        <v>SKIIFM_AT</v>
      </c>
      <c r="F1952" s="11" t="s">
        <v>58</v>
      </c>
      <c r="I1952" s="11" t="str">
        <f>IF(DATA!B1951&lt;&gt;"",DATA!B1951,"")</f>
        <v>MSMU6210269</v>
      </c>
      <c r="J1952" s="12">
        <v>0</v>
      </c>
      <c r="K1952" s="11" t="s">
        <v>53</v>
      </c>
      <c r="L1952" s="11" t="str">
        <f t="shared" si="124"/>
        <v>950490</v>
      </c>
      <c r="M1952" s="11" t="str">
        <f>IF(I1952&lt;&gt;"",DATA!E1951,"")</f>
        <v>POKER MAT</v>
      </c>
      <c r="N1952" s="12">
        <v>0</v>
      </c>
      <c r="O1952" s="11">
        <f>IF(I1952&lt;&gt;"",DATA!C1951,"")</f>
        <v>1024.1500000000001</v>
      </c>
      <c r="P1952" s="2">
        <v>294094</v>
      </c>
      <c r="Q1952" s="2" t="s">
        <v>1304</v>
      </c>
      <c r="R1952" s="2" t="s">
        <v>1342</v>
      </c>
      <c r="S1952" s="2">
        <v>293</v>
      </c>
      <c r="T1952" s="2">
        <v>1</v>
      </c>
      <c r="U1952" s="2" t="s">
        <v>141</v>
      </c>
      <c r="Y1952" s="2">
        <v>1700</v>
      </c>
      <c r="Z1952" s="11" t="s">
        <v>54</v>
      </c>
      <c r="AA1952" s="11" t="str">
        <f t="shared" si="125"/>
        <v>1700 - TBN</v>
      </c>
      <c r="AC1952" s="2" t="s">
        <v>145</v>
      </c>
      <c r="AD1952" s="11" t="str">
        <f>IF($I1952&lt;&gt;"",VLOOKUP($AC1952,GEADRESSEERDE!$A$2:$E$4,2,),"")</f>
        <v>LUITHAGEN HAVEN 2 D</v>
      </c>
      <c r="AE1952" s="11">
        <f>IF($I1952&lt;&gt;"",VLOOKUP($AC1952,GEADRESSEERDE!$A$2:$E$4,3,),"")</f>
        <v>2030</v>
      </c>
      <c r="AF1952" s="11" t="str">
        <f>IF($I1952&lt;&gt;"",VLOOKUP($AC1952,GEADRESSEERDE!$A$2:$E$4,4,),"")</f>
        <v>ANTWERPEN</v>
      </c>
      <c r="AG1952" s="11" t="str">
        <f>IF($I1952&lt;&gt;"",VLOOKUP($AC1952,GEADRESSEERDE!$A$2:$E$4,5,),"")</f>
        <v>BE</v>
      </c>
      <c r="AH1952" s="11" t="str">
        <f>IF(I1952&lt;&gt;"",VLOOKUP(AP1952,KvB!$A$2:$B$3,2,FALSE),"")</f>
        <v>BE101000</v>
      </c>
      <c r="AI1952" s="11" t="s">
        <v>55</v>
      </c>
      <c r="AJ1952" s="11"/>
      <c r="AK1952" s="11"/>
      <c r="AL1952" s="11"/>
      <c r="AM1952" s="11"/>
      <c r="AN1952" s="11"/>
      <c r="AO1952" s="11"/>
      <c r="AP1952" s="2" t="s">
        <v>70</v>
      </c>
      <c r="AQ1952" s="11" t="str">
        <f>IF(I1952&lt;&gt;"",DATA!D1951,"")</f>
        <v>9504908000</v>
      </c>
    </row>
    <row r="1953" spans="1:43" ht="15.75" x14ac:dyDescent="0.25">
      <c r="A1953" s="11" t="s">
        <v>57</v>
      </c>
      <c r="B1953" s="11" t="s">
        <v>56</v>
      </c>
      <c r="C1953" s="22">
        <f t="shared" si="126"/>
        <v>25001620</v>
      </c>
      <c r="D1953" s="11" t="str">
        <f t="shared" si="123"/>
        <v>SKIIFM_AT</v>
      </c>
      <c r="E1953" s="11" t="str">
        <f>IF(I1953&lt;&gt;"",VLOOKUP(F1953,OPDRACHTGEVER!$A$2:$B$4,2,FALSE),"")</f>
        <v>SKIIFM_AT</v>
      </c>
      <c r="F1953" s="11" t="s">
        <v>58</v>
      </c>
      <c r="I1953" s="11" t="str">
        <f>IF(DATA!B1952&lt;&gt;"",DATA!B1952,"")</f>
        <v>MSMU6210269</v>
      </c>
      <c r="J1953" s="12">
        <v>0</v>
      </c>
      <c r="K1953" s="11" t="s">
        <v>53</v>
      </c>
      <c r="L1953" s="11" t="str">
        <f t="shared" si="124"/>
        <v>820551</v>
      </c>
      <c r="M1953" s="11" t="str">
        <f>IF(I1953&lt;&gt;"",DATA!E1952,"")</f>
        <v>PUTTY SCRAPER</v>
      </c>
      <c r="N1953" s="12">
        <v>0</v>
      </c>
      <c r="O1953" s="11">
        <f>IF(I1953&lt;&gt;"",DATA!C1952,"")</f>
        <v>1659.4</v>
      </c>
      <c r="P1953" s="2">
        <v>294094</v>
      </c>
      <c r="Q1953" s="2" t="s">
        <v>1304</v>
      </c>
      <c r="R1953" s="2" t="s">
        <v>1342</v>
      </c>
      <c r="S1953" s="2">
        <v>293</v>
      </c>
      <c r="T1953" s="2">
        <v>1</v>
      </c>
      <c r="U1953" s="2" t="s">
        <v>141</v>
      </c>
      <c r="Y1953" s="2">
        <v>1700</v>
      </c>
      <c r="Z1953" s="11" t="s">
        <v>54</v>
      </c>
      <c r="AA1953" s="11" t="str">
        <f t="shared" si="125"/>
        <v>1700 - TBN</v>
      </c>
      <c r="AC1953" s="2" t="s">
        <v>145</v>
      </c>
      <c r="AD1953" s="11" t="str">
        <f>IF($I1953&lt;&gt;"",VLOOKUP($AC1953,GEADRESSEERDE!$A$2:$E$4,2,),"")</f>
        <v>LUITHAGEN HAVEN 2 D</v>
      </c>
      <c r="AE1953" s="11">
        <f>IF($I1953&lt;&gt;"",VLOOKUP($AC1953,GEADRESSEERDE!$A$2:$E$4,3,),"")</f>
        <v>2030</v>
      </c>
      <c r="AF1953" s="11" t="str">
        <f>IF($I1953&lt;&gt;"",VLOOKUP($AC1953,GEADRESSEERDE!$A$2:$E$4,4,),"")</f>
        <v>ANTWERPEN</v>
      </c>
      <c r="AG1953" s="11" t="str">
        <f>IF($I1953&lt;&gt;"",VLOOKUP($AC1953,GEADRESSEERDE!$A$2:$E$4,5,),"")</f>
        <v>BE</v>
      </c>
      <c r="AH1953" s="11" t="str">
        <f>IF(I1953&lt;&gt;"",VLOOKUP(AP1953,KvB!$A$2:$B$3,2,FALSE),"")</f>
        <v>BE101000</v>
      </c>
      <c r="AI1953" s="11" t="s">
        <v>55</v>
      </c>
      <c r="AJ1953" s="11"/>
      <c r="AK1953" s="11"/>
      <c r="AL1953" s="11"/>
      <c r="AM1953" s="11"/>
      <c r="AN1953" s="11"/>
      <c r="AO1953" s="11"/>
      <c r="AP1953" s="2" t="s">
        <v>70</v>
      </c>
      <c r="AQ1953" s="11" t="str">
        <f>IF(I1953&lt;&gt;"",DATA!D1952,"")</f>
        <v>8205510000</v>
      </c>
    </row>
    <row r="1954" spans="1:43" ht="15.75" x14ac:dyDescent="0.25">
      <c r="A1954" s="11" t="s">
        <v>57</v>
      </c>
      <c r="B1954" s="11" t="s">
        <v>56</v>
      </c>
      <c r="C1954" s="22">
        <f t="shared" si="126"/>
        <v>25001620</v>
      </c>
      <c r="D1954" s="11" t="str">
        <f t="shared" si="123"/>
        <v>SKIIFM_AT</v>
      </c>
      <c r="E1954" s="11" t="str">
        <f>IF(I1954&lt;&gt;"",VLOOKUP(F1954,OPDRACHTGEVER!$A$2:$B$4,2,FALSE),"")</f>
        <v>SKIIFM_AT</v>
      </c>
      <c r="F1954" s="11" t="s">
        <v>58</v>
      </c>
      <c r="I1954" s="11" t="str">
        <f>IF(DATA!B1953&lt;&gt;"",DATA!B1953,"")</f>
        <v>MSMU6210269</v>
      </c>
      <c r="J1954" s="12">
        <v>0</v>
      </c>
      <c r="K1954" s="11" t="s">
        <v>53</v>
      </c>
      <c r="L1954" s="11" t="str">
        <f t="shared" si="124"/>
        <v>842549</v>
      </c>
      <c r="M1954" s="11" t="str">
        <f>IF(I1954&lt;&gt;"",DATA!E1953,"")</f>
        <v>RESCUE JACK</v>
      </c>
      <c r="N1954" s="12">
        <v>0</v>
      </c>
      <c r="O1954" s="11">
        <f>IF(I1954&lt;&gt;"",DATA!C1953,"")</f>
        <v>367.5</v>
      </c>
      <c r="P1954" s="2">
        <v>294094</v>
      </c>
      <c r="Q1954" s="2" t="s">
        <v>1304</v>
      </c>
      <c r="R1954" s="2" t="s">
        <v>1342</v>
      </c>
      <c r="S1954" s="2">
        <v>293</v>
      </c>
      <c r="T1954" s="2">
        <v>1</v>
      </c>
      <c r="U1954" s="2" t="s">
        <v>141</v>
      </c>
      <c r="Y1954" s="2">
        <v>1700</v>
      </c>
      <c r="Z1954" s="11" t="s">
        <v>54</v>
      </c>
      <c r="AA1954" s="11" t="str">
        <f t="shared" si="125"/>
        <v>1700 - TBN</v>
      </c>
      <c r="AC1954" s="2" t="s">
        <v>145</v>
      </c>
      <c r="AD1954" s="11" t="str">
        <f>IF($I1954&lt;&gt;"",VLOOKUP($AC1954,GEADRESSEERDE!$A$2:$E$4,2,),"")</f>
        <v>LUITHAGEN HAVEN 2 D</v>
      </c>
      <c r="AE1954" s="11">
        <f>IF($I1954&lt;&gt;"",VLOOKUP($AC1954,GEADRESSEERDE!$A$2:$E$4,3,),"")</f>
        <v>2030</v>
      </c>
      <c r="AF1954" s="11" t="str">
        <f>IF($I1954&lt;&gt;"",VLOOKUP($AC1954,GEADRESSEERDE!$A$2:$E$4,4,),"")</f>
        <v>ANTWERPEN</v>
      </c>
      <c r="AG1954" s="11" t="str">
        <f>IF($I1954&lt;&gt;"",VLOOKUP($AC1954,GEADRESSEERDE!$A$2:$E$4,5,),"")</f>
        <v>BE</v>
      </c>
      <c r="AH1954" s="11" t="str">
        <f>IF(I1954&lt;&gt;"",VLOOKUP(AP1954,KvB!$A$2:$B$3,2,FALSE),"")</f>
        <v>BE101000</v>
      </c>
      <c r="AI1954" s="11" t="s">
        <v>55</v>
      </c>
      <c r="AJ1954" s="11"/>
      <c r="AK1954" s="11"/>
      <c r="AL1954" s="11"/>
      <c r="AM1954" s="11"/>
      <c r="AN1954" s="11"/>
      <c r="AO1954" s="11"/>
      <c r="AP1954" s="2" t="s">
        <v>70</v>
      </c>
      <c r="AQ1954" s="11" t="str">
        <f>IF(I1954&lt;&gt;"",DATA!D1953,"")</f>
        <v>8425490000</v>
      </c>
    </row>
    <row r="1955" spans="1:43" ht="15.75" x14ac:dyDescent="0.25">
      <c r="A1955" s="11" t="s">
        <v>57</v>
      </c>
      <c r="B1955" s="11" t="s">
        <v>56</v>
      </c>
      <c r="C1955" s="22">
        <f t="shared" si="126"/>
        <v>25001620</v>
      </c>
      <c r="D1955" s="11" t="str">
        <f t="shared" si="123"/>
        <v>SKIIFM_AT</v>
      </c>
      <c r="E1955" s="11" t="str">
        <f>IF(I1955&lt;&gt;"",VLOOKUP(F1955,OPDRACHTGEVER!$A$2:$B$4,2,FALSE),"")</f>
        <v>SKIIFM_AT</v>
      </c>
      <c r="F1955" s="11" t="s">
        <v>58</v>
      </c>
      <c r="I1955" s="11" t="str">
        <f>IF(DATA!B1954&lt;&gt;"",DATA!B1954,"")</f>
        <v>MSMU6210269</v>
      </c>
      <c r="J1955" s="12">
        <v>0</v>
      </c>
      <c r="K1955" s="11" t="s">
        <v>53</v>
      </c>
      <c r="L1955" s="11" t="str">
        <f t="shared" si="124"/>
        <v>842430</v>
      </c>
      <c r="M1955" s="11" t="str">
        <f>IF(I1955&lt;&gt;"",DATA!E1954,"")</f>
        <v>SANDBLASTING MACHINE</v>
      </c>
      <c r="N1955" s="12">
        <v>0</v>
      </c>
      <c r="O1955" s="11">
        <f>IF(I1955&lt;&gt;"",DATA!C1954,"")</f>
        <v>436.8</v>
      </c>
      <c r="P1955" s="2">
        <v>294094</v>
      </c>
      <c r="Q1955" s="2" t="s">
        <v>1304</v>
      </c>
      <c r="R1955" s="2" t="s">
        <v>1342</v>
      </c>
      <c r="S1955" s="2">
        <v>293</v>
      </c>
      <c r="T1955" s="2">
        <v>1</v>
      </c>
      <c r="U1955" s="2" t="s">
        <v>141</v>
      </c>
      <c r="Y1955" s="2">
        <v>1700</v>
      </c>
      <c r="Z1955" s="11" t="s">
        <v>54</v>
      </c>
      <c r="AA1955" s="11" t="str">
        <f t="shared" si="125"/>
        <v>1700 - TBN</v>
      </c>
      <c r="AC1955" s="2" t="s">
        <v>145</v>
      </c>
      <c r="AD1955" s="11" t="str">
        <f>IF($I1955&lt;&gt;"",VLOOKUP($AC1955,GEADRESSEERDE!$A$2:$E$4,2,),"")</f>
        <v>LUITHAGEN HAVEN 2 D</v>
      </c>
      <c r="AE1955" s="11">
        <f>IF($I1955&lt;&gt;"",VLOOKUP($AC1955,GEADRESSEERDE!$A$2:$E$4,3,),"")</f>
        <v>2030</v>
      </c>
      <c r="AF1955" s="11" t="str">
        <f>IF($I1955&lt;&gt;"",VLOOKUP($AC1955,GEADRESSEERDE!$A$2:$E$4,4,),"")</f>
        <v>ANTWERPEN</v>
      </c>
      <c r="AG1955" s="11" t="str">
        <f>IF($I1955&lt;&gt;"",VLOOKUP($AC1955,GEADRESSEERDE!$A$2:$E$4,5,),"")</f>
        <v>BE</v>
      </c>
      <c r="AH1955" s="11" t="str">
        <f>IF(I1955&lt;&gt;"",VLOOKUP(AP1955,KvB!$A$2:$B$3,2,FALSE),"")</f>
        <v>BE101000</v>
      </c>
      <c r="AI1955" s="11" t="s">
        <v>55</v>
      </c>
      <c r="AJ1955" s="11"/>
      <c r="AK1955" s="11"/>
      <c r="AL1955" s="11"/>
      <c r="AM1955" s="11"/>
      <c r="AN1955" s="11"/>
      <c r="AO1955" s="11"/>
      <c r="AP1955" s="2" t="s">
        <v>70</v>
      </c>
      <c r="AQ1955" s="11" t="str">
        <f>IF(I1955&lt;&gt;"",DATA!D1954,"")</f>
        <v>8424301000</v>
      </c>
    </row>
    <row r="1956" spans="1:43" ht="15.75" x14ac:dyDescent="0.25">
      <c r="A1956" s="11" t="s">
        <v>57</v>
      </c>
      <c r="B1956" s="11" t="s">
        <v>56</v>
      </c>
      <c r="C1956" s="22">
        <f t="shared" si="126"/>
        <v>25001620</v>
      </c>
      <c r="D1956" s="11" t="str">
        <f t="shared" si="123"/>
        <v>SKIIFM_AT</v>
      </c>
      <c r="E1956" s="11" t="str">
        <f>IF(I1956&lt;&gt;"",VLOOKUP(F1956,OPDRACHTGEVER!$A$2:$B$4,2,FALSE),"")</f>
        <v>SKIIFM_AT</v>
      </c>
      <c r="F1956" s="11" t="s">
        <v>58</v>
      </c>
      <c r="I1956" s="11" t="str">
        <f>IF(DATA!B1955&lt;&gt;"",DATA!B1955,"")</f>
        <v>MSMU6210269</v>
      </c>
      <c r="J1956" s="12">
        <v>0</v>
      </c>
      <c r="K1956" s="11" t="s">
        <v>53</v>
      </c>
      <c r="L1956" s="11" t="str">
        <f t="shared" si="124"/>
        <v>842382</v>
      </c>
      <c r="M1956" s="11" t="str">
        <f>IF(I1956&lt;&gt;"",DATA!E1955,"")</f>
        <v>SCALE KIT</v>
      </c>
      <c r="N1956" s="12">
        <v>0</v>
      </c>
      <c r="O1956" s="11">
        <f>IF(I1956&lt;&gt;"",DATA!C1955,"")</f>
        <v>577.29999999999995</v>
      </c>
      <c r="P1956" s="2">
        <v>294094</v>
      </c>
      <c r="Q1956" s="2" t="s">
        <v>1304</v>
      </c>
      <c r="R1956" s="2" t="s">
        <v>1342</v>
      </c>
      <c r="S1956" s="2">
        <v>293</v>
      </c>
      <c r="T1956" s="2">
        <v>1</v>
      </c>
      <c r="U1956" s="2" t="s">
        <v>141</v>
      </c>
      <c r="Y1956" s="2">
        <v>1700</v>
      </c>
      <c r="Z1956" s="11" t="s">
        <v>54</v>
      </c>
      <c r="AA1956" s="11" t="str">
        <f t="shared" si="125"/>
        <v>1700 - TBN</v>
      </c>
      <c r="AC1956" s="2" t="s">
        <v>145</v>
      </c>
      <c r="AD1956" s="11" t="str">
        <f>IF($I1956&lt;&gt;"",VLOOKUP($AC1956,GEADRESSEERDE!$A$2:$E$4,2,),"")</f>
        <v>LUITHAGEN HAVEN 2 D</v>
      </c>
      <c r="AE1956" s="11">
        <f>IF($I1956&lt;&gt;"",VLOOKUP($AC1956,GEADRESSEERDE!$A$2:$E$4,3,),"")</f>
        <v>2030</v>
      </c>
      <c r="AF1956" s="11" t="str">
        <f>IF($I1956&lt;&gt;"",VLOOKUP($AC1956,GEADRESSEERDE!$A$2:$E$4,4,),"")</f>
        <v>ANTWERPEN</v>
      </c>
      <c r="AG1956" s="11" t="str">
        <f>IF($I1956&lt;&gt;"",VLOOKUP($AC1956,GEADRESSEERDE!$A$2:$E$4,5,),"")</f>
        <v>BE</v>
      </c>
      <c r="AH1956" s="11" t="str">
        <f>IF(I1956&lt;&gt;"",VLOOKUP(AP1956,KvB!$A$2:$B$3,2,FALSE),"")</f>
        <v>BE101000</v>
      </c>
      <c r="AI1956" s="11" t="s">
        <v>55</v>
      </c>
      <c r="AJ1956" s="11"/>
      <c r="AK1956" s="11"/>
      <c r="AL1956" s="11"/>
      <c r="AM1956" s="11"/>
      <c r="AN1956" s="11"/>
      <c r="AO1956" s="11"/>
      <c r="AP1956" s="2" t="s">
        <v>70</v>
      </c>
      <c r="AQ1956" s="11" t="str">
        <f>IF(I1956&lt;&gt;"",DATA!D1955,"")</f>
        <v>8423822000</v>
      </c>
    </row>
    <row r="1957" spans="1:43" ht="15.75" x14ac:dyDescent="0.25">
      <c r="A1957" s="11" t="s">
        <v>57</v>
      </c>
      <c r="B1957" s="11" t="s">
        <v>56</v>
      </c>
      <c r="C1957" s="22">
        <f t="shared" si="126"/>
        <v>25001620</v>
      </c>
      <c r="D1957" s="11" t="str">
        <f t="shared" si="123"/>
        <v>SKIIFM_AT</v>
      </c>
      <c r="E1957" s="11" t="str">
        <f>IF(I1957&lt;&gt;"",VLOOKUP(F1957,OPDRACHTGEVER!$A$2:$B$4,2,FALSE),"")</f>
        <v>SKIIFM_AT</v>
      </c>
      <c r="F1957" s="11" t="s">
        <v>58</v>
      </c>
      <c r="I1957" s="11" t="str">
        <f>IF(DATA!B1956&lt;&gt;"",DATA!B1956,"")</f>
        <v>MSMU6210269</v>
      </c>
      <c r="J1957" s="12">
        <v>0</v>
      </c>
      <c r="K1957" s="11" t="s">
        <v>53</v>
      </c>
      <c r="L1957" s="11" t="str">
        <f t="shared" si="124"/>
        <v>761010</v>
      </c>
      <c r="M1957" s="11" t="str">
        <f>IF(I1957&lt;&gt;"",DATA!E1956,"")</f>
        <v>SERVING WINDOW</v>
      </c>
      <c r="N1957" s="12">
        <v>0</v>
      </c>
      <c r="O1957" s="11">
        <f>IF(I1957&lt;&gt;"",DATA!C1956,"")</f>
        <v>41.7</v>
      </c>
      <c r="P1957" s="2">
        <v>294094</v>
      </c>
      <c r="Q1957" s="2" t="s">
        <v>1304</v>
      </c>
      <c r="R1957" s="2" t="s">
        <v>1342</v>
      </c>
      <c r="S1957" s="2">
        <v>293</v>
      </c>
      <c r="T1957" s="2">
        <v>1</v>
      </c>
      <c r="U1957" s="2" t="s">
        <v>141</v>
      </c>
      <c r="Y1957" s="2">
        <v>1700</v>
      </c>
      <c r="Z1957" s="11" t="s">
        <v>54</v>
      </c>
      <c r="AA1957" s="11" t="str">
        <f t="shared" si="125"/>
        <v>1700 - TBN</v>
      </c>
      <c r="AC1957" s="2" t="s">
        <v>145</v>
      </c>
      <c r="AD1957" s="11" t="str">
        <f>IF($I1957&lt;&gt;"",VLOOKUP($AC1957,GEADRESSEERDE!$A$2:$E$4,2,),"")</f>
        <v>LUITHAGEN HAVEN 2 D</v>
      </c>
      <c r="AE1957" s="11">
        <f>IF($I1957&lt;&gt;"",VLOOKUP($AC1957,GEADRESSEERDE!$A$2:$E$4,3,),"")</f>
        <v>2030</v>
      </c>
      <c r="AF1957" s="11" t="str">
        <f>IF($I1957&lt;&gt;"",VLOOKUP($AC1957,GEADRESSEERDE!$A$2:$E$4,4,),"")</f>
        <v>ANTWERPEN</v>
      </c>
      <c r="AG1957" s="11" t="str">
        <f>IF($I1957&lt;&gt;"",VLOOKUP($AC1957,GEADRESSEERDE!$A$2:$E$4,5,),"")</f>
        <v>BE</v>
      </c>
      <c r="AH1957" s="11" t="str">
        <f>IF(I1957&lt;&gt;"",VLOOKUP(AP1957,KvB!$A$2:$B$3,2,FALSE),"")</f>
        <v>BE101000</v>
      </c>
      <c r="AI1957" s="11" t="s">
        <v>55</v>
      </c>
      <c r="AJ1957" s="11"/>
      <c r="AK1957" s="11"/>
      <c r="AL1957" s="11"/>
      <c r="AM1957" s="11"/>
      <c r="AN1957" s="11"/>
      <c r="AO1957" s="11"/>
      <c r="AP1957" s="2" t="s">
        <v>70</v>
      </c>
      <c r="AQ1957" s="11" t="str">
        <f>IF(I1957&lt;&gt;"",DATA!D1956,"")</f>
        <v>7610100000</v>
      </c>
    </row>
    <row r="1958" spans="1:43" ht="15.75" x14ac:dyDescent="0.25">
      <c r="A1958" s="11" t="s">
        <v>57</v>
      </c>
      <c r="B1958" s="11" t="s">
        <v>56</v>
      </c>
      <c r="C1958" s="22">
        <f t="shared" si="126"/>
        <v>25001620</v>
      </c>
      <c r="D1958" s="11" t="str">
        <f t="shared" si="123"/>
        <v>SKIIFM_AT</v>
      </c>
      <c r="E1958" s="11" t="str">
        <f>IF(I1958&lt;&gt;"",VLOOKUP(F1958,OPDRACHTGEVER!$A$2:$B$4,2,FALSE),"")</f>
        <v>SKIIFM_AT</v>
      </c>
      <c r="F1958" s="11" t="s">
        <v>58</v>
      </c>
      <c r="I1958" s="11" t="str">
        <f>IF(DATA!B1957&lt;&gt;"",DATA!B1957,"")</f>
        <v>MSMU6210269</v>
      </c>
      <c r="J1958" s="12">
        <v>0</v>
      </c>
      <c r="K1958" s="11" t="s">
        <v>53</v>
      </c>
      <c r="L1958" s="11" t="str">
        <f t="shared" si="124"/>
        <v>871690</v>
      </c>
      <c r="M1958" s="11" t="str">
        <f>IF(I1958&lt;&gt;"",DATA!E1957,"")</f>
        <v>SHIP TRAILER GUIDE RAIL</v>
      </c>
      <c r="N1958" s="12">
        <v>0</v>
      </c>
      <c r="O1958" s="11">
        <f>IF(I1958&lt;&gt;"",DATA!C1957,"")</f>
        <v>158.94999999999999</v>
      </c>
      <c r="P1958" s="2">
        <v>294094</v>
      </c>
      <c r="Q1958" s="2" t="s">
        <v>1304</v>
      </c>
      <c r="R1958" s="2" t="s">
        <v>1342</v>
      </c>
      <c r="S1958" s="2">
        <v>293</v>
      </c>
      <c r="T1958" s="2">
        <v>1</v>
      </c>
      <c r="U1958" s="2" t="s">
        <v>141</v>
      </c>
      <c r="Y1958" s="2">
        <v>1700</v>
      </c>
      <c r="Z1958" s="11" t="s">
        <v>54</v>
      </c>
      <c r="AA1958" s="11" t="str">
        <f t="shared" si="125"/>
        <v>1700 - TBN</v>
      </c>
      <c r="AC1958" s="2" t="s">
        <v>145</v>
      </c>
      <c r="AD1958" s="11" t="str">
        <f>IF($I1958&lt;&gt;"",VLOOKUP($AC1958,GEADRESSEERDE!$A$2:$E$4,2,),"")</f>
        <v>LUITHAGEN HAVEN 2 D</v>
      </c>
      <c r="AE1958" s="11">
        <f>IF($I1958&lt;&gt;"",VLOOKUP($AC1958,GEADRESSEERDE!$A$2:$E$4,3,),"")</f>
        <v>2030</v>
      </c>
      <c r="AF1958" s="11" t="str">
        <f>IF($I1958&lt;&gt;"",VLOOKUP($AC1958,GEADRESSEERDE!$A$2:$E$4,4,),"")</f>
        <v>ANTWERPEN</v>
      </c>
      <c r="AG1958" s="11" t="str">
        <f>IF($I1958&lt;&gt;"",VLOOKUP($AC1958,GEADRESSEERDE!$A$2:$E$4,5,),"")</f>
        <v>BE</v>
      </c>
      <c r="AH1958" s="11" t="str">
        <f>IF(I1958&lt;&gt;"",VLOOKUP(AP1958,KvB!$A$2:$B$3,2,FALSE),"")</f>
        <v>BE101000</v>
      </c>
      <c r="AI1958" s="11" t="s">
        <v>55</v>
      </c>
      <c r="AJ1958" s="11"/>
      <c r="AK1958" s="11"/>
      <c r="AL1958" s="11"/>
      <c r="AM1958" s="11"/>
      <c r="AN1958" s="11"/>
      <c r="AO1958" s="11"/>
      <c r="AP1958" s="2" t="s">
        <v>70</v>
      </c>
      <c r="AQ1958" s="11" t="str">
        <f>IF(I1958&lt;&gt;"",DATA!D1957,"")</f>
        <v>8716909098</v>
      </c>
    </row>
    <row r="1959" spans="1:43" ht="15.75" x14ac:dyDescent="0.25">
      <c r="A1959" s="11" t="s">
        <v>57</v>
      </c>
      <c r="B1959" s="11" t="s">
        <v>56</v>
      </c>
      <c r="C1959" s="22">
        <f t="shared" si="126"/>
        <v>25001620</v>
      </c>
      <c r="D1959" s="11" t="str">
        <f t="shared" si="123"/>
        <v>SKIIFM_AT</v>
      </c>
      <c r="E1959" s="11" t="str">
        <f>IF(I1959&lt;&gt;"",VLOOKUP(F1959,OPDRACHTGEVER!$A$2:$B$4,2,FALSE),"")</f>
        <v>SKIIFM_AT</v>
      </c>
      <c r="F1959" s="11" t="s">
        <v>58</v>
      </c>
      <c r="I1959" s="11" t="str">
        <f>IF(DATA!B1958&lt;&gt;"",DATA!B1958,"")</f>
        <v>MSMU6210269</v>
      </c>
      <c r="J1959" s="12">
        <v>0</v>
      </c>
      <c r="K1959" s="11" t="s">
        <v>53</v>
      </c>
      <c r="L1959" s="11" t="str">
        <f t="shared" si="124"/>
        <v>741920</v>
      </c>
      <c r="M1959" s="11" t="str">
        <f>IF(I1959&lt;&gt;"",DATA!E1958,"")</f>
        <v>CASTINGS</v>
      </c>
      <c r="N1959" s="12">
        <v>0</v>
      </c>
      <c r="O1959" s="11">
        <f>IF(I1959&lt;&gt;"",DATA!C1958,"")</f>
        <v>271.39999999999998</v>
      </c>
      <c r="P1959" s="2">
        <v>294094</v>
      </c>
      <c r="Q1959" s="2" t="s">
        <v>1304</v>
      </c>
      <c r="R1959" s="2" t="s">
        <v>1342</v>
      </c>
      <c r="S1959" s="2">
        <v>293</v>
      </c>
      <c r="T1959" s="2">
        <v>1</v>
      </c>
      <c r="U1959" s="2" t="s">
        <v>141</v>
      </c>
      <c r="Y1959" s="2">
        <v>1700</v>
      </c>
      <c r="Z1959" s="11" t="s">
        <v>54</v>
      </c>
      <c r="AA1959" s="11" t="str">
        <f t="shared" si="125"/>
        <v>1700 - TBN</v>
      </c>
      <c r="AC1959" s="2" t="s">
        <v>145</v>
      </c>
      <c r="AD1959" s="11" t="str">
        <f>IF($I1959&lt;&gt;"",VLOOKUP($AC1959,GEADRESSEERDE!$A$2:$E$4,2,),"")</f>
        <v>LUITHAGEN HAVEN 2 D</v>
      </c>
      <c r="AE1959" s="11">
        <f>IF($I1959&lt;&gt;"",VLOOKUP($AC1959,GEADRESSEERDE!$A$2:$E$4,3,),"")</f>
        <v>2030</v>
      </c>
      <c r="AF1959" s="11" t="str">
        <f>IF($I1959&lt;&gt;"",VLOOKUP($AC1959,GEADRESSEERDE!$A$2:$E$4,4,),"")</f>
        <v>ANTWERPEN</v>
      </c>
      <c r="AG1959" s="11" t="str">
        <f>IF($I1959&lt;&gt;"",VLOOKUP($AC1959,GEADRESSEERDE!$A$2:$E$4,5,),"")</f>
        <v>BE</v>
      </c>
      <c r="AH1959" s="11" t="str">
        <f>IF(I1959&lt;&gt;"",VLOOKUP(AP1959,KvB!$A$2:$B$3,2,FALSE),"")</f>
        <v>BE101000</v>
      </c>
      <c r="AI1959" s="11" t="s">
        <v>55</v>
      </c>
      <c r="AJ1959" s="11"/>
      <c r="AK1959" s="11"/>
      <c r="AL1959" s="11"/>
      <c r="AM1959" s="11"/>
      <c r="AN1959" s="11"/>
      <c r="AO1959" s="11"/>
      <c r="AP1959" s="2" t="s">
        <v>70</v>
      </c>
      <c r="AQ1959" s="11" t="str">
        <f>IF(I1959&lt;&gt;"",DATA!D1958,"")</f>
        <v>7419200090</v>
      </c>
    </row>
    <row r="1960" spans="1:43" ht="15.75" x14ac:dyDescent="0.25">
      <c r="A1960" s="11" t="s">
        <v>57</v>
      </c>
      <c r="B1960" s="11" t="s">
        <v>56</v>
      </c>
      <c r="C1960" s="22">
        <f t="shared" si="126"/>
        <v>25001620</v>
      </c>
      <c r="D1960" s="11" t="str">
        <f t="shared" si="123"/>
        <v>SKIIFM_AT</v>
      </c>
      <c r="E1960" s="11" t="str">
        <f>IF(I1960&lt;&gt;"",VLOOKUP(F1960,OPDRACHTGEVER!$A$2:$B$4,2,FALSE),"")</f>
        <v>SKIIFM_AT</v>
      </c>
      <c r="F1960" s="11" t="s">
        <v>58</v>
      </c>
      <c r="I1960" s="11" t="str">
        <f>IF(DATA!B1959&lt;&gt;"",DATA!B1959,"")</f>
        <v>MSMU6210269</v>
      </c>
      <c r="J1960" s="12">
        <v>0</v>
      </c>
      <c r="K1960" s="11" t="s">
        <v>53</v>
      </c>
      <c r="L1960" s="11" t="str">
        <f t="shared" si="124"/>
        <v>741920</v>
      </c>
      <c r="M1960" s="11" t="str">
        <f>IF(I1960&lt;&gt;"",DATA!E1959,"")</f>
        <v>DOUBLE COLUMN HANDRAIL</v>
      </c>
      <c r="N1960" s="12">
        <v>0</v>
      </c>
      <c r="O1960" s="11">
        <f>IF(I1960&lt;&gt;"",DATA!C1959,"")</f>
        <v>132.80000000000001</v>
      </c>
      <c r="P1960" s="2">
        <v>294094</v>
      </c>
      <c r="Q1960" s="2" t="s">
        <v>1304</v>
      </c>
      <c r="R1960" s="2" t="s">
        <v>1342</v>
      </c>
      <c r="S1960" s="2">
        <v>293</v>
      </c>
      <c r="T1960" s="2">
        <v>1</v>
      </c>
      <c r="U1960" s="2" t="s">
        <v>141</v>
      </c>
      <c r="Y1960" s="2">
        <v>1700</v>
      </c>
      <c r="Z1960" s="11" t="s">
        <v>54</v>
      </c>
      <c r="AA1960" s="11" t="str">
        <f t="shared" si="125"/>
        <v>1700 - TBN</v>
      </c>
      <c r="AC1960" s="2" t="s">
        <v>145</v>
      </c>
      <c r="AD1960" s="11" t="str">
        <f>IF($I1960&lt;&gt;"",VLOOKUP($AC1960,GEADRESSEERDE!$A$2:$E$4,2,),"")</f>
        <v>LUITHAGEN HAVEN 2 D</v>
      </c>
      <c r="AE1960" s="11">
        <f>IF($I1960&lt;&gt;"",VLOOKUP($AC1960,GEADRESSEERDE!$A$2:$E$4,3,),"")</f>
        <v>2030</v>
      </c>
      <c r="AF1960" s="11" t="str">
        <f>IF($I1960&lt;&gt;"",VLOOKUP($AC1960,GEADRESSEERDE!$A$2:$E$4,4,),"")</f>
        <v>ANTWERPEN</v>
      </c>
      <c r="AG1960" s="11" t="str">
        <f>IF($I1960&lt;&gt;"",VLOOKUP($AC1960,GEADRESSEERDE!$A$2:$E$4,5,),"")</f>
        <v>BE</v>
      </c>
      <c r="AH1960" s="11" t="str">
        <f>IF(I1960&lt;&gt;"",VLOOKUP(AP1960,KvB!$A$2:$B$3,2,FALSE),"")</f>
        <v>BE101000</v>
      </c>
      <c r="AI1960" s="11" t="s">
        <v>55</v>
      </c>
      <c r="AJ1960" s="11"/>
      <c r="AK1960" s="11"/>
      <c r="AL1960" s="11"/>
      <c r="AM1960" s="11"/>
      <c r="AN1960" s="11"/>
      <c r="AO1960" s="11"/>
      <c r="AP1960" s="2" t="s">
        <v>70</v>
      </c>
      <c r="AQ1960" s="11" t="str">
        <f>IF(I1960&lt;&gt;"",DATA!D1959,"")</f>
        <v>7419200090</v>
      </c>
    </row>
    <row r="1961" spans="1:43" ht="15.75" x14ac:dyDescent="0.25">
      <c r="A1961" s="11" t="s">
        <v>57</v>
      </c>
      <c r="B1961" s="11" t="s">
        <v>56</v>
      </c>
      <c r="C1961" s="22">
        <f t="shared" si="126"/>
        <v>25001620</v>
      </c>
      <c r="D1961" s="11" t="str">
        <f t="shared" si="123"/>
        <v>SKIIFM_AT</v>
      </c>
      <c r="E1961" s="11" t="str">
        <f>IF(I1961&lt;&gt;"",VLOOKUP(F1961,OPDRACHTGEVER!$A$2:$B$4,2,FALSE),"")</f>
        <v>SKIIFM_AT</v>
      </c>
      <c r="F1961" s="11" t="s">
        <v>58</v>
      </c>
      <c r="I1961" s="11" t="str">
        <f>IF(DATA!B1960&lt;&gt;"",DATA!B1960,"")</f>
        <v>MSMU6210269</v>
      </c>
      <c r="J1961" s="12">
        <v>0</v>
      </c>
      <c r="K1961" s="11" t="s">
        <v>53</v>
      </c>
      <c r="L1961" s="11" t="str">
        <f t="shared" si="124"/>
        <v>761699</v>
      </c>
      <c r="M1961" s="11" t="str">
        <f>IF(I1961&lt;&gt;"",DATA!E1960,"")</f>
        <v>TERMINAL ALUMINUM LADDER</v>
      </c>
      <c r="N1961" s="12">
        <v>0</v>
      </c>
      <c r="O1961" s="11">
        <f>IF(I1961&lt;&gt;"",DATA!C1960,"")</f>
        <v>337.5</v>
      </c>
      <c r="P1961" s="2">
        <v>294094</v>
      </c>
      <c r="Q1961" s="2" t="s">
        <v>1304</v>
      </c>
      <c r="R1961" s="2" t="s">
        <v>1342</v>
      </c>
      <c r="S1961" s="2">
        <v>293</v>
      </c>
      <c r="T1961" s="2">
        <v>1</v>
      </c>
      <c r="U1961" s="2" t="s">
        <v>141</v>
      </c>
      <c r="Y1961" s="2">
        <v>1700</v>
      </c>
      <c r="Z1961" s="11" t="s">
        <v>54</v>
      </c>
      <c r="AA1961" s="11" t="str">
        <f t="shared" si="125"/>
        <v>1700 - TBN</v>
      </c>
      <c r="AC1961" s="2" t="s">
        <v>145</v>
      </c>
      <c r="AD1961" s="11" t="str">
        <f>IF($I1961&lt;&gt;"",VLOOKUP($AC1961,GEADRESSEERDE!$A$2:$E$4,2,),"")</f>
        <v>LUITHAGEN HAVEN 2 D</v>
      </c>
      <c r="AE1961" s="11">
        <f>IF($I1961&lt;&gt;"",VLOOKUP($AC1961,GEADRESSEERDE!$A$2:$E$4,3,),"")</f>
        <v>2030</v>
      </c>
      <c r="AF1961" s="11" t="str">
        <f>IF($I1961&lt;&gt;"",VLOOKUP($AC1961,GEADRESSEERDE!$A$2:$E$4,4,),"")</f>
        <v>ANTWERPEN</v>
      </c>
      <c r="AG1961" s="11" t="str">
        <f>IF($I1961&lt;&gt;"",VLOOKUP($AC1961,GEADRESSEERDE!$A$2:$E$4,5,),"")</f>
        <v>BE</v>
      </c>
      <c r="AH1961" s="11" t="str">
        <f>IF(I1961&lt;&gt;"",VLOOKUP(AP1961,KvB!$A$2:$B$3,2,FALSE),"")</f>
        <v>BE101000</v>
      </c>
      <c r="AI1961" s="11" t="s">
        <v>55</v>
      </c>
      <c r="AJ1961" s="11"/>
      <c r="AK1961" s="11"/>
      <c r="AL1961" s="11"/>
      <c r="AM1961" s="11"/>
      <c r="AN1961" s="11"/>
      <c r="AO1961" s="11"/>
      <c r="AP1961" s="2" t="s">
        <v>70</v>
      </c>
      <c r="AQ1961" s="11" t="str">
        <f>IF(I1961&lt;&gt;"",DATA!D1960,"")</f>
        <v>7616999009</v>
      </c>
    </row>
    <row r="1962" spans="1:43" ht="15.75" x14ac:dyDescent="0.25">
      <c r="A1962" s="11" t="s">
        <v>57</v>
      </c>
      <c r="B1962" s="11" t="s">
        <v>56</v>
      </c>
      <c r="C1962" s="22">
        <f t="shared" si="126"/>
        <v>25001620</v>
      </c>
      <c r="D1962" s="11" t="str">
        <f t="shared" si="123"/>
        <v>SKIIFM_AT</v>
      </c>
      <c r="E1962" s="11" t="str">
        <f>IF(I1962&lt;&gt;"",VLOOKUP(F1962,OPDRACHTGEVER!$A$2:$B$4,2,FALSE),"")</f>
        <v>SKIIFM_AT</v>
      </c>
      <c r="F1962" s="11" t="s">
        <v>58</v>
      </c>
      <c r="I1962" s="11" t="str">
        <f>IF(DATA!B1961&lt;&gt;"",DATA!B1961,"")</f>
        <v>MSMU6210269</v>
      </c>
      <c r="J1962" s="12">
        <v>0</v>
      </c>
      <c r="K1962" s="11" t="s">
        <v>53</v>
      </c>
      <c r="L1962" s="11" t="str">
        <f t="shared" si="124"/>
        <v>901780</v>
      </c>
      <c r="M1962" s="11" t="str">
        <f>IF(I1962&lt;&gt;"",DATA!E1961,"")</f>
        <v>TIRE RULER</v>
      </c>
      <c r="N1962" s="12">
        <v>0</v>
      </c>
      <c r="O1962" s="11">
        <f>IF(I1962&lt;&gt;"",DATA!C1961,"")</f>
        <v>66.400000000000006</v>
      </c>
      <c r="P1962" s="2">
        <v>294094</v>
      </c>
      <c r="Q1962" s="2" t="s">
        <v>1304</v>
      </c>
      <c r="R1962" s="2" t="s">
        <v>1342</v>
      </c>
      <c r="S1962" s="2">
        <v>293</v>
      </c>
      <c r="T1962" s="2">
        <v>1</v>
      </c>
      <c r="U1962" s="2" t="s">
        <v>141</v>
      </c>
      <c r="Y1962" s="2">
        <v>1700</v>
      </c>
      <c r="Z1962" s="11" t="s">
        <v>54</v>
      </c>
      <c r="AA1962" s="11" t="str">
        <f t="shared" si="125"/>
        <v>1700 - TBN</v>
      </c>
      <c r="AC1962" s="2" t="s">
        <v>145</v>
      </c>
      <c r="AD1962" s="11" t="str">
        <f>IF($I1962&lt;&gt;"",VLOOKUP($AC1962,GEADRESSEERDE!$A$2:$E$4,2,),"")</f>
        <v>LUITHAGEN HAVEN 2 D</v>
      </c>
      <c r="AE1962" s="11">
        <f>IF($I1962&lt;&gt;"",VLOOKUP($AC1962,GEADRESSEERDE!$A$2:$E$4,3,),"")</f>
        <v>2030</v>
      </c>
      <c r="AF1962" s="11" t="str">
        <f>IF($I1962&lt;&gt;"",VLOOKUP($AC1962,GEADRESSEERDE!$A$2:$E$4,4,),"")</f>
        <v>ANTWERPEN</v>
      </c>
      <c r="AG1962" s="11" t="str">
        <f>IF($I1962&lt;&gt;"",VLOOKUP($AC1962,GEADRESSEERDE!$A$2:$E$4,5,),"")</f>
        <v>BE</v>
      </c>
      <c r="AH1962" s="11" t="str">
        <f>IF(I1962&lt;&gt;"",VLOOKUP(AP1962,KvB!$A$2:$B$3,2,FALSE),"")</f>
        <v>BE101000</v>
      </c>
      <c r="AI1962" s="11" t="s">
        <v>55</v>
      </c>
      <c r="AJ1962" s="11"/>
      <c r="AK1962" s="11"/>
      <c r="AL1962" s="11"/>
      <c r="AM1962" s="11"/>
      <c r="AN1962" s="11"/>
      <c r="AO1962" s="11"/>
      <c r="AP1962" s="2" t="s">
        <v>70</v>
      </c>
      <c r="AQ1962" s="11" t="str">
        <f>IF(I1962&lt;&gt;"",DATA!D1961,"")</f>
        <v>9017809000</v>
      </c>
    </row>
    <row r="1963" spans="1:43" ht="15.75" x14ac:dyDescent="0.25">
      <c r="A1963" s="11" t="s">
        <v>57</v>
      </c>
      <c r="B1963" s="11" t="s">
        <v>56</v>
      </c>
      <c r="C1963" s="22">
        <f t="shared" si="126"/>
        <v>25001620</v>
      </c>
      <c r="D1963" s="11" t="str">
        <f t="shared" si="123"/>
        <v>SKIIFM_AT</v>
      </c>
      <c r="E1963" s="11" t="str">
        <f>IF(I1963&lt;&gt;"",VLOOKUP(F1963,OPDRACHTGEVER!$A$2:$B$4,2,FALSE),"")</f>
        <v>SKIIFM_AT</v>
      </c>
      <c r="F1963" s="11" t="s">
        <v>58</v>
      </c>
      <c r="I1963" s="11" t="str">
        <f>IF(DATA!B1962&lt;&gt;"",DATA!B1962,"")</f>
        <v>MSMU6210269</v>
      </c>
      <c r="J1963" s="12">
        <v>0</v>
      </c>
      <c r="K1963" s="11" t="s">
        <v>53</v>
      </c>
      <c r="L1963" s="11" t="str">
        <f t="shared" si="124"/>
        <v>871680</v>
      </c>
      <c r="M1963" s="11" t="str">
        <f>IF(I1963&lt;&gt;"",DATA!E1962,"")</f>
        <v>TRACTOR</v>
      </c>
      <c r="N1963" s="12">
        <v>0</v>
      </c>
      <c r="O1963" s="11">
        <f>IF(I1963&lt;&gt;"",DATA!C1962,"")</f>
        <v>323.39999999999998</v>
      </c>
      <c r="P1963" s="2">
        <v>294094</v>
      </c>
      <c r="Q1963" s="2" t="s">
        <v>1304</v>
      </c>
      <c r="R1963" s="2" t="s">
        <v>1342</v>
      </c>
      <c r="S1963" s="2">
        <v>293</v>
      </c>
      <c r="T1963" s="2">
        <v>1</v>
      </c>
      <c r="U1963" s="2" t="s">
        <v>141</v>
      </c>
      <c r="Y1963" s="2">
        <v>1700</v>
      </c>
      <c r="Z1963" s="11" t="s">
        <v>54</v>
      </c>
      <c r="AA1963" s="11" t="str">
        <f t="shared" si="125"/>
        <v>1700 - TBN</v>
      </c>
      <c r="AC1963" s="2" t="s">
        <v>145</v>
      </c>
      <c r="AD1963" s="11" t="str">
        <f>IF($I1963&lt;&gt;"",VLOOKUP($AC1963,GEADRESSEERDE!$A$2:$E$4,2,),"")</f>
        <v>LUITHAGEN HAVEN 2 D</v>
      </c>
      <c r="AE1963" s="11">
        <f>IF($I1963&lt;&gt;"",VLOOKUP($AC1963,GEADRESSEERDE!$A$2:$E$4,3,),"")</f>
        <v>2030</v>
      </c>
      <c r="AF1963" s="11" t="str">
        <f>IF($I1963&lt;&gt;"",VLOOKUP($AC1963,GEADRESSEERDE!$A$2:$E$4,4,),"")</f>
        <v>ANTWERPEN</v>
      </c>
      <c r="AG1963" s="11" t="str">
        <f>IF($I1963&lt;&gt;"",VLOOKUP($AC1963,GEADRESSEERDE!$A$2:$E$4,5,),"")</f>
        <v>BE</v>
      </c>
      <c r="AH1963" s="11" t="str">
        <f>IF(I1963&lt;&gt;"",VLOOKUP(AP1963,KvB!$A$2:$B$3,2,FALSE),"")</f>
        <v>BE101000</v>
      </c>
      <c r="AI1963" s="11" t="s">
        <v>55</v>
      </c>
      <c r="AJ1963" s="11"/>
      <c r="AK1963" s="11"/>
      <c r="AL1963" s="11"/>
      <c r="AM1963" s="11"/>
      <c r="AN1963" s="11"/>
      <c r="AO1963" s="11"/>
      <c r="AP1963" s="2" t="s">
        <v>70</v>
      </c>
      <c r="AQ1963" s="11" t="str">
        <f>IF(I1963&lt;&gt;"",DATA!D1962,"")</f>
        <v>8716800000</v>
      </c>
    </row>
    <row r="1964" spans="1:43" ht="15.75" x14ac:dyDescent="0.25">
      <c r="A1964" s="11" t="s">
        <v>57</v>
      </c>
      <c r="B1964" s="11" t="s">
        <v>56</v>
      </c>
      <c r="C1964" s="22">
        <f t="shared" si="126"/>
        <v>25001620</v>
      </c>
      <c r="D1964" s="11" t="str">
        <f t="shared" si="123"/>
        <v>SKIIFM_AT</v>
      </c>
      <c r="E1964" s="11" t="str">
        <f>IF(I1964&lt;&gt;"",VLOOKUP(F1964,OPDRACHTGEVER!$A$2:$B$4,2,FALSE),"")</f>
        <v>SKIIFM_AT</v>
      </c>
      <c r="F1964" s="11" t="s">
        <v>58</v>
      </c>
      <c r="I1964" s="11" t="str">
        <f>IF(DATA!B1963&lt;&gt;"",DATA!B1963,"")</f>
        <v>MSMU6210269</v>
      </c>
      <c r="J1964" s="12">
        <v>0</v>
      </c>
      <c r="K1964" s="11" t="s">
        <v>53</v>
      </c>
      <c r="L1964" s="11" t="str">
        <f t="shared" si="124"/>
        <v>761699</v>
      </c>
      <c r="M1964" s="11" t="str">
        <f>IF(I1964&lt;&gt;"",DATA!E1963,"")</f>
        <v>TV STAND</v>
      </c>
      <c r="N1964" s="12">
        <v>0</v>
      </c>
      <c r="O1964" s="11">
        <f>IF(I1964&lt;&gt;"",DATA!C1963,"")</f>
        <v>71</v>
      </c>
      <c r="P1964" s="2">
        <v>294094</v>
      </c>
      <c r="Q1964" s="2" t="s">
        <v>1304</v>
      </c>
      <c r="R1964" s="2" t="s">
        <v>1342</v>
      </c>
      <c r="S1964" s="2">
        <v>293</v>
      </c>
      <c r="T1964" s="2">
        <v>1</v>
      </c>
      <c r="U1964" s="2" t="s">
        <v>141</v>
      </c>
      <c r="Y1964" s="2">
        <v>1700</v>
      </c>
      <c r="Z1964" s="11" t="s">
        <v>54</v>
      </c>
      <c r="AA1964" s="11" t="str">
        <f t="shared" si="125"/>
        <v>1700 - TBN</v>
      </c>
      <c r="AC1964" s="2" t="s">
        <v>145</v>
      </c>
      <c r="AD1964" s="11" t="str">
        <f>IF($I1964&lt;&gt;"",VLOOKUP($AC1964,GEADRESSEERDE!$A$2:$E$4,2,),"")</f>
        <v>LUITHAGEN HAVEN 2 D</v>
      </c>
      <c r="AE1964" s="11">
        <f>IF($I1964&lt;&gt;"",VLOOKUP($AC1964,GEADRESSEERDE!$A$2:$E$4,3,),"")</f>
        <v>2030</v>
      </c>
      <c r="AF1964" s="11" t="str">
        <f>IF($I1964&lt;&gt;"",VLOOKUP($AC1964,GEADRESSEERDE!$A$2:$E$4,4,),"")</f>
        <v>ANTWERPEN</v>
      </c>
      <c r="AG1964" s="11" t="str">
        <f>IF($I1964&lt;&gt;"",VLOOKUP($AC1964,GEADRESSEERDE!$A$2:$E$4,5,),"")</f>
        <v>BE</v>
      </c>
      <c r="AH1964" s="11" t="str">
        <f>IF(I1964&lt;&gt;"",VLOOKUP(AP1964,KvB!$A$2:$B$3,2,FALSE),"")</f>
        <v>BE101000</v>
      </c>
      <c r="AI1964" s="11" t="s">
        <v>55</v>
      </c>
      <c r="AJ1964" s="11"/>
      <c r="AK1964" s="11"/>
      <c r="AL1964" s="11"/>
      <c r="AM1964" s="11"/>
      <c r="AN1964" s="11"/>
      <c r="AO1964" s="11"/>
      <c r="AP1964" s="2" t="s">
        <v>70</v>
      </c>
      <c r="AQ1964" s="11" t="str">
        <f>IF(I1964&lt;&gt;"",DATA!D1963,"")</f>
        <v>7616999099</v>
      </c>
    </row>
    <row r="1965" spans="1:43" ht="15.75" x14ac:dyDescent="0.25">
      <c r="A1965" s="11" t="s">
        <v>57</v>
      </c>
      <c r="B1965" s="11" t="s">
        <v>56</v>
      </c>
      <c r="C1965" s="22">
        <f t="shared" si="126"/>
        <v>25001620</v>
      </c>
      <c r="D1965" s="11" t="str">
        <f t="shared" si="123"/>
        <v>SKIIFM_AT</v>
      </c>
      <c r="E1965" s="11" t="str">
        <f>IF(I1965&lt;&gt;"",VLOOKUP(F1965,OPDRACHTGEVER!$A$2:$B$4,2,FALSE),"")</f>
        <v>SKIIFM_AT</v>
      </c>
      <c r="F1965" s="11" t="s">
        <v>58</v>
      </c>
      <c r="I1965" s="11" t="str">
        <f>IF(DATA!B1964&lt;&gt;"",DATA!B1964,"")</f>
        <v>MSMU6210269</v>
      </c>
      <c r="J1965" s="12">
        <v>0</v>
      </c>
      <c r="K1965" s="11" t="s">
        <v>53</v>
      </c>
      <c r="L1965" s="11" t="str">
        <f t="shared" si="124"/>
        <v>847989</v>
      </c>
      <c r="M1965" s="11" t="str">
        <f>IF(I1965&lt;&gt;"",DATA!E1964,"")</f>
        <v>ULTRASONIC JEWELRY CLEANER</v>
      </c>
      <c r="N1965" s="12">
        <v>0</v>
      </c>
      <c r="O1965" s="11">
        <f>IF(I1965&lt;&gt;"",DATA!C1964,"")</f>
        <v>541.77</v>
      </c>
      <c r="P1965" s="2">
        <v>294094</v>
      </c>
      <c r="Q1965" s="2" t="s">
        <v>1304</v>
      </c>
      <c r="R1965" s="2" t="s">
        <v>1342</v>
      </c>
      <c r="S1965" s="2">
        <v>293</v>
      </c>
      <c r="T1965" s="2">
        <v>1</v>
      </c>
      <c r="U1965" s="2" t="s">
        <v>141</v>
      </c>
      <c r="Y1965" s="2">
        <v>1700</v>
      </c>
      <c r="Z1965" s="11" t="s">
        <v>54</v>
      </c>
      <c r="AA1965" s="11" t="str">
        <f t="shared" si="125"/>
        <v>1700 - TBN</v>
      </c>
      <c r="AC1965" s="2" t="s">
        <v>145</v>
      </c>
      <c r="AD1965" s="11" t="str">
        <f>IF($I1965&lt;&gt;"",VLOOKUP($AC1965,GEADRESSEERDE!$A$2:$E$4,2,),"")</f>
        <v>LUITHAGEN HAVEN 2 D</v>
      </c>
      <c r="AE1965" s="11">
        <f>IF($I1965&lt;&gt;"",VLOOKUP($AC1965,GEADRESSEERDE!$A$2:$E$4,3,),"")</f>
        <v>2030</v>
      </c>
      <c r="AF1965" s="11" t="str">
        <f>IF($I1965&lt;&gt;"",VLOOKUP($AC1965,GEADRESSEERDE!$A$2:$E$4,4,),"")</f>
        <v>ANTWERPEN</v>
      </c>
      <c r="AG1965" s="11" t="str">
        <f>IF($I1965&lt;&gt;"",VLOOKUP($AC1965,GEADRESSEERDE!$A$2:$E$4,5,),"")</f>
        <v>BE</v>
      </c>
      <c r="AH1965" s="11" t="str">
        <f>IF(I1965&lt;&gt;"",VLOOKUP(AP1965,KvB!$A$2:$B$3,2,FALSE),"")</f>
        <v>BE101000</v>
      </c>
      <c r="AI1965" s="11" t="s">
        <v>55</v>
      </c>
      <c r="AJ1965" s="11"/>
      <c r="AK1965" s="11"/>
      <c r="AL1965" s="11"/>
      <c r="AM1965" s="11"/>
      <c r="AN1965" s="11"/>
      <c r="AO1965" s="11"/>
      <c r="AP1965" s="2" t="s">
        <v>70</v>
      </c>
      <c r="AQ1965" s="11" t="str">
        <f>IF(I1965&lt;&gt;"",DATA!D1964,"")</f>
        <v>8479899790</v>
      </c>
    </row>
  </sheetData>
  <autoFilter ref="A2:AQ1965" xr:uid="{00000000-0001-0000-0000-000000000000}"/>
  <phoneticPr fontId="1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9935651-9FC2-4C09-99F5-AF5D797B7EC8}">
          <x14:formula1>
            <xm:f>OPDRACHTGEVER!$A$2:$A$4</xm:f>
          </x14:formula1>
          <xm:sqref>F3:F1965</xm:sqref>
        </x14:dataValidation>
        <x14:dataValidation type="list" allowBlank="1" showInputMessage="1" showErrorMessage="1" xr:uid="{B8756D35-275D-4E8A-956B-D4745A967645}">
          <x14:formula1>
            <xm:f>GEADRESSEERDE!$A$2:$A$4</xm:f>
          </x14:formula1>
          <xm:sqref>AC3:AC1965</xm:sqref>
        </x14:dataValidation>
        <x14:dataValidation type="list" allowBlank="1" showInputMessage="1" showErrorMessage="1" xr:uid="{8CBAA84C-F20D-4010-B2EA-44E6B4A30EEE}">
          <x14:formula1>
            <xm:f>KvB!$A$2:$A$34</xm:f>
          </x14:formula1>
          <xm:sqref>AP3:AP1965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65582-90A3-4CEC-B01E-3B50D4B6EDD1}">
  <dimension ref="A1:N1964"/>
  <sheetViews>
    <sheetView workbookViewId="0">
      <selection activeCell="R1952" sqref="R1952"/>
    </sheetView>
  </sheetViews>
  <sheetFormatPr defaultColWidth="9" defaultRowHeight="15" x14ac:dyDescent="0.25"/>
  <cols>
    <col min="1" max="1" width="22.7109375" style="15" customWidth="1"/>
    <col min="2" max="2" width="24.7109375" style="15" customWidth="1"/>
    <col min="3" max="3" width="19.28515625" style="16" customWidth="1"/>
    <col min="4" max="4" width="29" style="15" customWidth="1"/>
    <col min="5" max="5" width="29.42578125" style="15" customWidth="1"/>
    <col min="6" max="7" width="22.85546875" style="15" customWidth="1"/>
    <col min="8" max="10" width="9" style="15"/>
    <col min="11" max="11" width="28.85546875" style="19" customWidth="1"/>
    <col min="12" max="13" width="9" style="15"/>
    <col min="14" max="14" width="35.5703125" style="15" customWidth="1"/>
    <col min="15" max="16384" width="9" style="15"/>
  </cols>
  <sheetData>
    <row r="1" spans="1:14" x14ac:dyDescent="0.25">
      <c r="A1" s="13" t="s">
        <v>61</v>
      </c>
      <c r="B1" s="13" t="s">
        <v>62</v>
      </c>
      <c r="C1" s="14" t="s">
        <v>63</v>
      </c>
      <c r="D1" s="13" t="s">
        <v>64</v>
      </c>
      <c r="E1" s="13" t="s">
        <v>65</v>
      </c>
      <c r="F1" s="13" t="s">
        <v>66</v>
      </c>
      <c r="G1" s="13" t="s">
        <v>140</v>
      </c>
      <c r="K1" s="19" t="s">
        <v>142</v>
      </c>
      <c r="N1" s="15" t="s">
        <v>144</v>
      </c>
    </row>
    <row r="2" spans="1:14" x14ac:dyDescent="0.25">
      <c r="A2" s="15" t="s">
        <v>147</v>
      </c>
      <c r="B2" s="15" t="s">
        <v>148</v>
      </c>
      <c r="C2" s="16">
        <v>13.75</v>
      </c>
      <c r="D2" s="15" t="s">
        <v>149</v>
      </c>
      <c r="E2" s="15" t="s">
        <v>150</v>
      </c>
      <c r="F2" s="15">
        <v>11</v>
      </c>
      <c r="G2" s="15">
        <v>11</v>
      </c>
      <c r="K2" s="20">
        <v>0</v>
      </c>
      <c r="N2" s="20">
        <v>25001620</v>
      </c>
    </row>
    <row r="3" spans="1:14" x14ac:dyDescent="0.25">
      <c r="A3" s="15" t="s">
        <v>147</v>
      </c>
      <c r="B3" s="15" t="s">
        <v>148</v>
      </c>
      <c r="C3" s="16">
        <v>15</v>
      </c>
      <c r="D3" s="15" t="s">
        <v>151</v>
      </c>
      <c r="E3" s="15" t="s">
        <v>152</v>
      </c>
      <c r="F3" s="15">
        <v>2</v>
      </c>
      <c r="G3" s="15">
        <v>2</v>
      </c>
    </row>
    <row r="4" spans="1:14" x14ac:dyDescent="0.25">
      <c r="A4" s="15" t="s">
        <v>147</v>
      </c>
      <c r="B4" s="15" t="s">
        <v>148</v>
      </c>
      <c r="C4" s="16">
        <v>15.65</v>
      </c>
      <c r="D4" s="15" t="s">
        <v>80</v>
      </c>
      <c r="E4" s="15" t="s">
        <v>153</v>
      </c>
      <c r="F4" s="15">
        <v>1</v>
      </c>
      <c r="G4" s="15">
        <v>1</v>
      </c>
    </row>
    <row r="5" spans="1:14" x14ac:dyDescent="0.25">
      <c r="A5" s="15" t="s">
        <v>147</v>
      </c>
      <c r="B5" s="15" t="s">
        <v>148</v>
      </c>
      <c r="C5" s="16">
        <v>175.25</v>
      </c>
      <c r="D5" s="15" t="s">
        <v>154</v>
      </c>
      <c r="E5" s="15" t="s">
        <v>155</v>
      </c>
      <c r="F5" s="15">
        <v>11</v>
      </c>
      <c r="G5" s="15">
        <v>11</v>
      </c>
      <c r="K5" s="19" t="s">
        <v>143</v>
      </c>
    </row>
    <row r="6" spans="1:14" x14ac:dyDescent="0.25">
      <c r="A6" s="15" t="s">
        <v>147</v>
      </c>
      <c r="B6" s="15" t="s">
        <v>148</v>
      </c>
      <c r="C6" s="16">
        <v>15.55</v>
      </c>
      <c r="D6" s="15" t="s">
        <v>156</v>
      </c>
      <c r="E6" s="15" t="s">
        <v>157</v>
      </c>
      <c r="F6" s="15">
        <v>5</v>
      </c>
      <c r="G6" s="15">
        <v>5</v>
      </c>
      <c r="K6" s="20">
        <v>0</v>
      </c>
    </row>
    <row r="7" spans="1:14" x14ac:dyDescent="0.25">
      <c r="A7" s="15" t="s">
        <v>147</v>
      </c>
      <c r="B7" s="15" t="s">
        <v>148</v>
      </c>
      <c r="C7" s="16">
        <v>5.4</v>
      </c>
      <c r="D7" s="15" t="s">
        <v>158</v>
      </c>
      <c r="E7" s="15" t="s">
        <v>159</v>
      </c>
      <c r="F7" s="15">
        <v>6</v>
      </c>
      <c r="G7" s="15">
        <v>6</v>
      </c>
    </row>
    <row r="8" spans="1:14" x14ac:dyDescent="0.25">
      <c r="A8" s="15" t="s">
        <v>147</v>
      </c>
      <c r="B8" s="15" t="s">
        <v>148</v>
      </c>
      <c r="C8" s="16">
        <v>35.4</v>
      </c>
      <c r="D8" s="15" t="s">
        <v>132</v>
      </c>
      <c r="E8" s="15" t="s">
        <v>160</v>
      </c>
      <c r="F8" s="15">
        <v>3</v>
      </c>
      <c r="G8" s="15">
        <v>3</v>
      </c>
    </row>
    <row r="9" spans="1:14" x14ac:dyDescent="0.25">
      <c r="A9" s="15" t="s">
        <v>147</v>
      </c>
      <c r="B9" s="15" t="s">
        <v>148</v>
      </c>
      <c r="C9" s="16">
        <v>27</v>
      </c>
      <c r="D9" s="15" t="s">
        <v>161</v>
      </c>
      <c r="E9" s="15" t="s">
        <v>162</v>
      </c>
      <c r="F9" s="15">
        <v>4</v>
      </c>
      <c r="G9" s="15">
        <v>4</v>
      </c>
    </row>
    <row r="10" spans="1:14" x14ac:dyDescent="0.25">
      <c r="A10" s="15" t="s">
        <v>147</v>
      </c>
      <c r="B10" s="15" t="s">
        <v>148</v>
      </c>
      <c r="C10" s="16">
        <v>94</v>
      </c>
      <c r="D10" s="15" t="s">
        <v>163</v>
      </c>
      <c r="E10" s="15" t="s">
        <v>164</v>
      </c>
      <c r="F10" s="15">
        <v>13</v>
      </c>
      <c r="G10" s="15">
        <v>13</v>
      </c>
    </row>
    <row r="11" spans="1:14" x14ac:dyDescent="0.25">
      <c r="A11" s="15" t="s">
        <v>147</v>
      </c>
      <c r="B11" s="15" t="s">
        <v>148</v>
      </c>
      <c r="C11" s="16">
        <v>15.9</v>
      </c>
      <c r="D11" s="15" t="s">
        <v>80</v>
      </c>
      <c r="E11" s="15" t="s">
        <v>165</v>
      </c>
      <c r="F11" s="15">
        <v>1</v>
      </c>
      <c r="G11" s="15">
        <v>1</v>
      </c>
    </row>
    <row r="12" spans="1:14" x14ac:dyDescent="0.25">
      <c r="A12" s="15" t="s">
        <v>147</v>
      </c>
      <c r="B12" s="15" t="s">
        <v>148</v>
      </c>
      <c r="C12" s="16">
        <v>2.4</v>
      </c>
      <c r="D12" s="15" t="s">
        <v>156</v>
      </c>
      <c r="E12" s="15" t="s">
        <v>166</v>
      </c>
      <c r="F12" s="15">
        <v>1</v>
      </c>
      <c r="G12" s="15">
        <v>1</v>
      </c>
    </row>
    <row r="13" spans="1:14" x14ac:dyDescent="0.25">
      <c r="A13" s="15" t="s">
        <v>147</v>
      </c>
      <c r="B13" s="15" t="s">
        <v>148</v>
      </c>
      <c r="C13" s="16">
        <v>5.55</v>
      </c>
      <c r="D13" s="15" t="s">
        <v>167</v>
      </c>
      <c r="E13" s="15" t="s">
        <v>168</v>
      </c>
      <c r="F13" s="15">
        <v>3</v>
      </c>
      <c r="G13" s="15">
        <v>3</v>
      </c>
    </row>
    <row r="14" spans="1:14" x14ac:dyDescent="0.25">
      <c r="A14" s="15" t="s">
        <v>147</v>
      </c>
      <c r="B14" s="15" t="s">
        <v>148</v>
      </c>
      <c r="C14" s="16">
        <v>96.75</v>
      </c>
      <c r="D14" s="15" t="s">
        <v>80</v>
      </c>
      <c r="E14" s="15" t="s">
        <v>169</v>
      </c>
      <c r="F14" s="15">
        <v>5</v>
      </c>
      <c r="G14" s="15">
        <v>5</v>
      </c>
    </row>
    <row r="15" spans="1:14" x14ac:dyDescent="0.25">
      <c r="A15" s="15" t="s">
        <v>147</v>
      </c>
      <c r="B15" s="15" t="s">
        <v>148</v>
      </c>
      <c r="C15" s="16">
        <v>68.25</v>
      </c>
      <c r="D15" s="15" t="s">
        <v>170</v>
      </c>
      <c r="E15" s="15" t="s">
        <v>171</v>
      </c>
      <c r="F15" s="15">
        <v>5</v>
      </c>
      <c r="G15" s="15">
        <v>5</v>
      </c>
    </row>
    <row r="16" spans="1:14" x14ac:dyDescent="0.25">
      <c r="A16" s="15" t="s">
        <v>147</v>
      </c>
      <c r="B16" s="15" t="s">
        <v>148</v>
      </c>
      <c r="C16" s="16">
        <v>10.199999999999999</v>
      </c>
      <c r="D16" s="15" t="s">
        <v>172</v>
      </c>
      <c r="E16" s="15" t="s">
        <v>173</v>
      </c>
      <c r="F16" s="15">
        <v>6</v>
      </c>
      <c r="G16" s="15">
        <v>6</v>
      </c>
    </row>
    <row r="17" spans="1:7" x14ac:dyDescent="0.25">
      <c r="A17" s="15" t="s">
        <v>147</v>
      </c>
      <c r="B17" s="15" t="s">
        <v>148</v>
      </c>
      <c r="C17" s="16">
        <v>6.8</v>
      </c>
      <c r="D17" s="15" t="s">
        <v>174</v>
      </c>
      <c r="E17" s="15" t="s">
        <v>175</v>
      </c>
      <c r="F17" s="15">
        <v>4</v>
      </c>
      <c r="G17" s="15">
        <v>4</v>
      </c>
    </row>
    <row r="18" spans="1:7" x14ac:dyDescent="0.25">
      <c r="A18" s="15" t="s">
        <v>147</v>
      </c>
      <c r="B18" s="15" t="s">
        <v>148</v>
      </c>
      <c r="C18" s="16">
        <v>81.55</v>
      </c>
      <c r="D18" s="15" t="s">
        <v>176</v>
      </c>
      <c r="E18" s="15" t="s">
        <v>177</v>
      </c>
      <c r="F18" s="15">
        <v>5</v>
      </c>
      <c r="G18" s="15">
        <v>5</v>
      </c>
    </row>
    <row r="19" spans="1:7" x14ac:dyDescent="0.25">
      <c r="A19" s="15" t="s">
        <v>147</v>
      </c>
      <c r="B19" s="15" t="s">
        <v>148</v>
      </c>
      <c r="C19" s="16">
        <v>7.35</v>
      </c>
      <c r="D19" s="15" t="s">
        <v>80</v>
      </c>
      <c r="E19" s="15" t="s">
        <v>178</v>
      </c>
      <c r="F19" s="15">
        <v>3</v>
      </c>
      <c r="G19" s="15">
        <v>3</v>
      </c>
    </row>
    <row r="20" spans="1:7" x14ac:dyDescent="0.25">
      <c r="A20" s="15" t="s">
        <v>147</v>
      </c>
      <c r="B20" s="15" t="s">
        <v>148</v>
      </c>
      <c r="C20" s="16">
        <v>185.15</v>
      </c>
      <c r="D20" s="15" t="s">
        <v>179</v>
      </c>
      <c r="E20" s="15" t="s">
        <v>180</v>
      </c>
      <c r="F20" s="15">
        <v>8</v>
      </c>
      <c r="G20" s="15">
        <v>8</v>
      </c>
    </row>
    <row r="21" spans="1:7" x14ac:dyDescent="0.25">
      <c r="A21" s="15" t="s">
        <v>147</v>
      </c>
      <c r="B21" s="15" t="s">
        <v>148</v>
      </c>
      <c r="C21" s="16">
        <v>4.25</v>
      </c>
      <c r="D21" s="15" t="s">
        <v>181</v>
      </c>
      <c r="E21" s="15" t="s">
        <v>182</v>
      </c>
      <c r="F21" s="15">
        <v>1</v>
      </c>
      <c r="G21" s="15">
        <v>1</v>
      </c>
    </row>
    <row r="22" spans="1:7" x14ac:dyDescent="0.25">
      <c r="A22" s="15" t="s">
        <v>147</v>
      </c>
      <c r="B22" s="15" t="s">
        <v>148</v>
      </c>
      <c r="C22" s="16">
        <v>89.85</v>
      </c>
      <c r="D22" s="15" t="s">
        <v>183</v>
      </c>
      <c r="E22" s="15" t="s">
        <v>184</v>
      </c>
      <c r="F22" s="15">
        <v>9</v>
      </c>
      <c r="G22" s="15">
        <v>9</v>
      </c>
    </row>
    <row r="23" spans="1:7" x14ac:dyDescent="0.25">
      <c r="A23" s="15" t="s">
        <v>147</v>
      </c>
      <c r="B23" s="15" t="s">
        <v>148</v>
      </c>
      <c r="C23" s="16">
        <v>6.3</v>
      </c>
      <c r="D23" s="15" t="s">
        <v>185</v>
      </c>
      <c r="E23" s="15" t="s">
        <v>186</v>
      </c>
      <c r="F23" s="15">
        <v>6</v>
      </c>
      <c r="G23" s="15">
        <v>6</v>
      </c>
    </row>
    <row r="24" spans="1:7" x14ac:dyDescent="0.25">
      <c r="A24" s="15" t="s">
        <v>147</v>
      </c>
      <c r="B24" s="15" t="s">
        <v>148</v>
      </c>
      <c r="C24" s="16">
        <v>22.6</v>
      </c>
      <c r="D24" s="15" t="s">
        <v>187</v>
      </c>
      <c r="E24" s="15" t="s">
        <v>188</v>
      </c>
      <c r="F24" s="15">
        <v>2</v>
      </c>
      <c r="G24" s="15">
        <v>2</v>
      </c>
    </row>
    <row r="25" spans="1:7" x14ac:dyDescent="0.25">
      <c r="A25" s="15" t="s">
        <v>147</v>
      </c>
      <c r="B25" s="15" t="s">
        <v>148</v>
      </c>
      <c r="C25" s="16">
        <v>17.45</v>
      </c>
      <c r="D25" s="15" t="s">
        <v>80</v>
      </c>
      <c r="E25" s="15" t="s">
        <v>189</v>
      </c>
      <c r="F25" s="15">
        <v>1</v>
      </c>
      <c r="G25" s="15">
        <v>1</v>
      </c>
    </row>
    <row r="26" spans="1:7" x14ac:dyDescent="0.25">
      <c r="A26" s="15" t="s">
        <v>147</v>
      </c>
      <c r="B26" s="15" t="s">
        <v>148</v>
      </c>
      <c r="C26" s="16">
        <v>5487.7</v>
      </c>
      <c r="D26" s="15" t="s">
        <v>90</v>
      </c>
      <c r="E26" s="15" t="s">
        <v>190</v>
      </c>
      <c r="F26" s="15">
        <v>415</v>
      </c>
      <c r="G26" s="15">
        <v>415</v>
      </c>
    </row>
    <row r="27" spans="1:7" x14ac:dyDescent="0.25">
      <c r="A27" s="15" t="s">
        <v>147</v>
      </c>
      <c r="B27" s="15" t="s">
        <v>148</v>
      </c>
      <c r="C27" s="16">
        <v>26.25</v>
      </c>
      <c r="D27" s="15" t="s">
        <v>191</v>
      </c>
      <c r="E27" s="15" t="s">
        <v>192</v>
      </c>
      <c r="F27" s="15">
        <v>1</v>
      </c>
      <c r="G27" s="15">
        <v>1</v>
      </c>
    </row>
    <row r="28" spans="1:7" x14ac:dyDescent="0.25">
      <c r="A28" s="15" t="s">
        <v>147</v>
      </c>
      <c r="B28" s="15" t="s">
        <v>148</v>
      </c>
      <c r="C28" s="16">
        <v>7.9</v>
      </c>
      <c r="D28" s="15" t="s">
        <v>67</v>
      </c>
      <c r="E28" s="15" t="s">
        <v>193</v>
      </c>
      <c r="F28" s="15">
        <v>2</v>
      </c>
      <c r="G28" s="15">
        <v>2</v>
      </c>
    </row>
    <row r="29" spans="1:7" x14ac:dyDescent="0.25">
      <c r="A29" s="15" t="s">
        <v>147</v>
      </c>
      <c r="B29" s="15" t="s">
        <v>148</v>
      </c>
      <c r="C29" s="16">
        <v>355</v>
      </c>
      <c r="D29" s="15" t="s">
        <v>194</v>
      </c>
      <c r="E29" s="15" t="s">
        <v>195</v>
      </c>
      <c r="F29" s="15">
        <v>24</v>
      </c>
      <c r="G29" s="15">
        <v>24</v>
      </c>
    </row>
    <row r="30" spans="1:7" x14ac:dyDescent="0.25">
      <c r="A30" s="15" t="s">
        <v>147</v>
      </c>
      <c r="B30" s="15" t="s">
        <v>148</v>
      </c>
      <c r="C30" s="16">
        <v>36.65</v>
      </c>
      <c r="D30" s="15" t="s">
        <v>138</v>
      </c>
      <c r="E30" s="15" t="s">
        <v>196</v>
      </c>
      <c r="F30" s="15">
        <v>1</v>
      </c>
      <c r="G30" s="15">
        <v>1</v>
      </c>
    </row>
    <row r="31" spans="1:7" x14ac:dyDescent="0.25">
      <c r="A31" s="15" t="s">
        <v>197</v>
      </c>
      <c r="B31" s="15" t="s">
        <v>198</v>
      </c>
      <c r="C31" s="16">
        <v>92.7</v>
      </c>
      <c r="D31" s="15" t="s">
        <v>149</v>
      </c>
      <c r="E31" s="15" t="s">
        <v>150</v>
      </c>
      <c r="F31" s="15">
        <v>6</v>
      </c>
      <c r="G31" s="15">
        <v>6</v>
      </c>
    </row>
    <row r="32" spans="1:7" x14ac:dyDescent="0.25">
      <c r="A32" s="15" t="s">
        <v>197</v>
      </c>
      <c r="B32" s="15" t="s">
        <v>198</v>
      </c>
      <c r="C32" s="16">
        <v>96.6</v>
      </c>
      <c r="D32" s="15" t="s">
        <v>199</v>
      </c>
      <c r="E32" s="15" t="s">
        <v>200</v>
      </c>
      <c r="F32" s="15">
        <v>28</v>
      </c>
      <c r="G32" s="15">
        <v>28</v>
      </c>
    </row>
    <row r="33" spans="1:7" x14ac:dyDescent="0.25">
      <c r="A33" s="15" t="s">
        <v>197</v>
      </c>
      <c r="B33" s="15" t="s">
        <v>198</v>
      </c>
      <c r="C33" s="16">
        <v>22.5</v>
      </c>
      <c r="D33" s="15" t="s">
        <v>151</v>
      </c>
      <c r="E33" s="15" t="s">
        <v>152</v>
      </c>
      <c r="F33" s="15">
        <v>3</v>
      </c>
      <c r="G33" s="15">
        <v>3</v>
      </c>
    </row>
    <row r="34" spans="1:7" x14ac:dyDescent="0.25">
      <c r="A34" s="15" t="s">
        <v>197</v>
      </c>
      <c r="B34" s="15" t="s">
        <v>198</v>
      </c>
      <c r="C34" s="16">
        <v>4.8499999999999996</v>
      </c>
      <c r="D34" s="15" t="s">
        <v>201</v>
      </c>
      <c r="E34" s="15" t="s">
        <v>202</v>
      </c>
      <c r="F34" s="15">
        <v>1</v>
      </c>
      <c r="G34" s="15">
        <v>1</v>
      </c>
    </row>
    <row r="35" spans="1:7" x14ac:dyDescent="0.25">
      <c r="A35" s="15" t="s">
        <v>197</v>
      </c>
      <c r="B35" s="15" t="s">
        <v>198</v>
      </c>
      <c r="C35" s="16">
        <v>276.64999999999998</v>
      </c>
      <c r="D35" s="15" t="s">
        <v>80</v>
      </c>
      <c r="E35" s="15" t="s">
        <v>153</v>
      </c>
      <c r="F35" s="15">
        <v>24</v>
      </c>
      <c r="G35" s="15">
        <v>24</v>
      </c>
    </row>
    <row r="36" spans="1:7" x14ac:dyDescent="0.25">
      <c r="A36" s="15" t="s">
        <v>197</v>
      </c>
      <c r="B36" s="15" t="s">
        <v>198</v>
      </c>
      <c r="C36" s="16">
        <v>19.3</v>
      </c>
      <c r="D36" s="15" t="s">
        <v>203</v>
      </c>
      <c r="E36" s="15" t="s">
        <v>204</v>
      </c>
      <c r="F36" s="15">
        <v>1</v>
      </c>
      <c r="G36" s="15">
        <v>1</v>
      </c>
    </row>
    <row r="37" spans="1:7" x14ac:dyDescent="0.25">
      <c r="A37" s="15" t="s">
        <v>197</v>
      </c>
      <c r="B37" s="15" t="s">
        <v>198</v>
      </c>
      <c r="C37" s="16">
        <v>279.45</v>
      </c>
      <c r="D37" s="15" t="s">
        <v>205</v>
      </c>
      <c r="E37" s="15" t="s">
        <v>206</v>
      </c>
      <c r="F37" s="15">
        <v>27</v>
      </c>
      <c r="G37" s="15">
        <v>27</v>
      </c>
    </row>
    <row r="38" spans="1:7" x14ac:dyDescent="0.25">
      <c r="A38" s="15" t="s">
        <v>197</v>
      </c>
      <c r="B38" s="15" t="s">
        <v>198</v>
      </c>
      <c r="C38" s="16">
        <v>16.399999999999999</v>
      </c>
      <c r="D38" s="15" t="s">
        <v>207</v>
      </c>
      <c r="E38" s="15" t="s">
        <v>208</v>
      </c>
      <c r="F38" s="15">
        <v>8</v>
      </c>
      <c r="G38" s="15">
        <v>8</v>
      </c>
    </row>
    <row r="39" spans="1:7" x14ac:dyDescent="0.25">
      <c r="A39" s="15" t="s">
        <v>197</v>
      </c>
      <c r="B39" s="15" t="s">
        <v>198</v>
      </c>
      <c r="C39" s="16">
        <v>18.5</v>
      </c>
      <c r="D39" s="15" t="s">
        <v>209</v>
      </c>
      <c r="E39" s="15" t="s">
        <v>210</v>
      </c>
      <c r="F39" s="15">
        <v>1</v>
      </c>
      <c r="G39" s="15">
        <v>1</v>
      </c>
    </row>
    <row r="40" spans="1:7" x14ac:dyDescent="0.25">
      <c r="A40" s="15" t="s">
        <v>197</v>
      </c>
      <c r="B40" s="15" t="s">
        <v>198</v>
      </c>
      <c r="C40" s="16">
        <v>173.25</v>
      </c>
      <c r="D40" s="15" t="s">
        <v>80</v>
      </c>
      <c r="E40" s="15" t="s">
        <v>211</v>
      </c>
      <c r="F40" s="15">
        <v>29</v>
      </c>
      <c r="G40" s="15">
        <v>29</v>
      </c>
    </row>
    <row r="41" spans="1:7" x14ac:dyDescent="0.25">
      <c r="A41" s="15" t="s">
        <v>197</v>
      </c>
      <c r="B41" s="15" t="s">
        <v>198</v>
      </c>
      <c r="C41" s="16">
        <v>252.95</v>
      </c>
      <c r="D41" s="15" t="s">
        <v>90</v>
      </c>
      <c r="E41" s="15" t="s">
        <v>212</v>
      </c>
      <c r="F41" s="15">
        <v>17</v>
      </c>
      <c r="G41" s="15">
        <v>17</v>
      </c>
    </row>
    <row r="42" spans="1:7" x14ac:dyDescent="0.25">
      <c r="A42" s="15" t="s">
        <v>197</v>
      </c>
      <c r="B42" s="15" t="s">
        <v>198</v>
      </c>
      <c r="C42" s="16">
        <v>53</v>
      </c>
      <c r="D42" s="15" t="s">
        <v>213</v>
      </c>
      <c r="E42" s="15" t="s">
        <v>214</v>
      </c>
      <c r="F42" s="15">
        <v>10</v>
      </c>
      <c r="G42" s="15">
        <v>10</v>
      </c>
    </row>
    <row r="43" spans="1:7" x14ac:dyDescent="0.25">
      <c r="A43" s="15" t="s">
        <v>197</v>
      </c>
      <c r="B43" s="15" t="s">
        <v>198</v>
      </c>
      <c r="C43" s="16">
        <v>353.2</v>
      </c>
      <c r="D43" s="15" t="s">
        <v>215</v>
      </c>
      <c r="E43" s="15" t="s">
        <v>216</v>
      </c>
      <c r="F43" s="15">
        <v>36</v>
      </c>
      <c r="G43" s="15">
        <v>36</v>
      </c>
    </row>
    <row r="44" spans="1:7" x14ac:dyDescent="0.25">
      <c r="A44" s="15" t="s">
        <v>197</v>
      </c>
      <c r="B44" s="15" t="s">
        <v>198</v>
      </c>
      <c r="C44" s="16">
        <v>75.3</v>
      </c>
      <c r="D44" s="15" t="s">
        <v>217</v>
      </c>
      <c r="E44" s="15" t="s">
        <v>218</v>
      </c>
      <c r="F44" s="15">
        <v>8</v>
      </c>
      <c r="G44" s="15">
        <v>8</v>
      </c>
    </row>
    <row r="45" spans="1:7" x14ac:dyDescent="0.25">
      <c r="A45" s="15" t="s">
        <v>197</v>
      </c>
      <c r="B45" s="15" t="s">
        <v>198</v>
      </c>
      <c r="C45" s="16">
        <v>521.4</v>
      </c>
      <c r="D45" s="15" t="s">
        <v>154</v>
      </c>
      <c r="E45" s="15" t="s">
        <v>155</v>
      </c>
      <c r="F45" s="15">
        <v>26</v>
      </c>
      <c r="G45" s="15">
        <v>26</v>
      </c>
    </row>
    <row r="46" spans="1:7" x14ac:dyDescent="0.25">
      <c r="A46" s="15" t="s">
        <v>197</v>
      </c>
      <c r="B46" s="15" t="s">
        <v>198</v>
      </c>
      <c r="C46" s="16">
        <v>22.8</v>
      </c>
      <c r="D46" s="15" t="s">
        <v>80</v>
      </c>
      <c r="E46" s="15" t="s">
        <v>219</v>
      </c>
      <c r="F46" s="15">
        <v>1</v>
      </c>
      <c r="G46" s="15">
        <v>1</v>
      </c>
    </row>
    <row r="47" spans="1:7" x14ac:dyDescent="0.25">
      <c r="A47" s="15" t="s">
        <v>197</v>
      </c>
      <c r="B47" s="15" t="s">
        <v>198</v>
      </c>
      <c r="C47" s="16">
        <v>158.35</v>
      </c>
      <c r="D47" s="15" t="s">
        <v>156</v>
      </c>
      <c r="E47" s="15" t="s">
        <v>157</v>
      </c>
      <c r="F47" s="15">
        <v>25</v>
      </c>
      <c r="G47" s="15">
        <v>25</v>
      </c>
    </row>
    <row r="48" spans="1:7" x14ac:dyDescent="0.25">
      <c r="A48" s="15" t="s">
        <v>197</v>
      </c>
      <c r="B48" s="15" t="s">
        <v>198</v>
      </c>
      <c r="C48" s="16">
        <v>80.599999999999994</v>
      </c>
      <c r="D48" s="15" t="s">
        <v>220</v>
      </c>
      <c r="E48" s="15" t="s">
        <v>221</v>
      </c>
      <c r="F48" s="15">
        <v>28</v>
      </c>
      <c r="G48" s="15">
        <v>28</v>
      </c>
    </row>
    <row r="49" spans="1:7" x14ac:dyDescent="0.25">
      <c r="A49" s="15" t="s">
        <v>197</v>
      </c>
      <c r="B49" s="15" t="s">
        <v>198</v>
      </c>
      <c r="C49" s="16">
        <v>105.3</v>
      </c>
      <c r="D49" s="15" t="s">
        <v>222</v>
      </c>
      <c r="E49" s="15" t="s">
        <v>223</v>
      </c>
      <c r="F49" s="15">
        <v>6</v>
      </c>
      <c r="G49" s="15">
        <v>6</v>
      </c>
    </row>
    <row r="50" spans="1:7" x14ac:dyDescent="0.25">
      <c r="A50" s="15" t="s">
        <v>197</v>
      </c>
      <c r="B50" s="15" t="s">
        <v>198</v>
      </c>
      <c r="C50" s="16">
        <v>42.55</v>
      </c>
      <c r="D50" s="15" t="s">
        <v>161</v>
      </c>
      <c r="E50" s="15" t="s">
        <v>162</v>
      </c>
      <c r="F50" s="15">
        <v>23</v>
      </c>
      <c r="G50" s="15">
        <v>23</v>
      </c>
    </row>
    <row r="51" spans="1:7" x14ac:dyDescent="0.25">
      <c r="A51" s="15" t="s">
        <v>197</v>
      </c>
      <c r="B51" s="15" t="s">
        <v>198</v>
      </c>
      <c r="C51" s="16">
        <v>12.4</v>
      </c>
      <c r="D51" s="15" t="s">
        <v>224</v>
      </c>
      <c r="E51" s="15" t="s">
        <v>225</v>
      </c>
      <c r="F51" s="15">
        <v>2</v>
      </c>
      <c r="G51" s="15">
        <v>2</v>
      </c>
    </row>
    <row r="52" spans="1:7" x14ac:dyDescent="0.25">
      <c r="A52" s="15" t="s">
        <v>197</v>
      </c>
      <c r="B52" s="15" t="s">
        <v>198</v>
      </c>
      <c r="C52" s="16">
        <v>82.8</v>
      </c>
      <c r="D52" s="15" t="s">
        <v>226</v>
      </c>
      <c r="E52" s="15" t="s">
        <v>227</v>
      </c>
      <c r="F52" s="15">
        <v>24</v>
      </c>
      <c r="G52" s="15">
        <v>24</v>
      </c>
    </row>
    <row r="53" spans="1:7" x14ac:dyDescent="0.25">
      <c r="A53" s="15" t="s">
        <v>197</v>
      </c>
      <c r="B53" s="15" t="s">
        <v>198</v>
      </c>
      <c r="C53" s="16">
        <v>1002.8</v>
      </c>
      <c r="D53" s="15" t="s">
        <v>163</v>
      </c>
      <c r="E53" s="15" t="s">
        <v>164</v>
      </c>
      <c r="F53" s="15">
        <v>114</v>
      </c>
      <c r="G53" s="15">
        <v>114</v>
      </c>
    </row>
    <row r="54" spans="1:7" x14ac:dyDescent="0.25">
      <c r="A54" s="15" t="s">
        <v>197</v>
      </c>
      <c r="B54" s="15" t="s">
        <v>198</v>
      </c>
      <c r="C54" s="16">
        <v>26.4</v>
      </c>
      <c r="D54" s="15" t="s">
        <v>228</v>
      </c>
      <c r="E54" s="15" t="s">
        <v>229</v>
      </c>
      <c r="F54" s="15">
        <v>1</v>
      </c>
      <c r="G54" s="15">
        <v>1</v>
      </c>
    </row>
    <row r="55" spans="1:7" x14ac:dyDescent="0.25">
      <c r="A55" s="15" t="s">
        <v>197</v>
      </c>
      <c r="B55" s="15" t="s">
        <v>198</v>
      </c>
      <c r="C55" s="16">
        <v>84.5</v>
      </c>
      <c r="D55" s="15" t="s">
        <v>230</v>
      </c>
      <c r="E55" s="15" t="s">
        <v>231</v>
      </c>
      <c r="F55" s="15">
        <v>3</v>
      </c>
      <c r="G55" s="15">
        <v>3</v>
      </c>
    </row>
    <row r="56" spans="1:7" x14ac:dyDescent="0.25">
      <c r="A56" s="15" t="s">
        <v>197</v>
      </c>
      <c r="B56" s="15" t="s">
        <v>198</v>
      </c>
      <c r="C56" s="16">
        <v>55.9</v>
      </c>
      <c r="D56" s="15" t="s">
        <v>232</v>
      </c>
      <c r="E56" s="15" t="s">
        <v>233</v>
      </c>
      <c r="F56" s="15">
        <v>5</v>
      </c>
      <c r="G56" s="15">
        <v>5</v>
      </c>
    </row>
    <row r="57" spans="1:7" x14ac:dyDescent="0.25">
      <c r="A57" s="15" t="s">
        <v>197</v>
      </c>
      <c r="B57" s="15" t="s">
        <v>198</v>
      </c>
      <c r="C57" s="16">
        <v>137.55000000000001</v>
      </c>
      <c r="D57" s="15" t="s">
        <v>105</v>
      </c>
      <c r="E57" s="15" t="s">
        <v>234</v>
      </c>
      <c r="F57" s="15">
        <v>14</v>
      </c>
      <c r="G57" s="15">
        <v>14</v>
      </c>
    </row>
    <row r="58" spans="1:7" x14ac:dyDescent="0.25">
      <c r="A58" s="15" t="s">
        <v>197</v>
      </c>
      <c r="B58" s="15" t="s">
        <v>198</v>
      </c>
      <c r="C58" s="16">
        <v>1047.7</v>
      </c>
      <c r="D58" s="15" t="s">
        <v>123</v>
      </c>
      <c r="E58" s="15" t="s">
        <v>235</v>
      </c>
      <c r="F58" s="15">
        <v>80</v>
      </c>
      <c r="G58" s="15">
        <v>80</v>
      </c>
    </row>
    <row r="59" spans="1:7" x14ac:dyDescent="0.25">
      <c r="A59" s="15" t="s">
        <v>197</v>
      </c>
      <c r="B59" s="15" t="s">
        <v>198</v>
      </c>
      <c r="C59" s="16">
        <v>57.75</v>
      </c>
      <c r="D59" s="15" t="s">
        <v>82</v>
      </c>
      <c r="E59" s="15" t="s">
        <v>166</v>
      </c>
      <c r="F59" s="15">
        <v>15</v>
      </c>
      <c r="G59" s="15">
        <v>15</v>
      </c>
    </row>
    <row r="60" spans="1:7" x14ac:dyDescent="0.25">
      <c r="A60" s="15" t="s">
        <v>197</v>
      </c>
      <c r="B60" s="15" t="s">
        <v>198</v>
      </c>
      <c r="C60" s="16">
        <v>50.28</v>
      </c>
      <c r="D60" s="15" t="s">
        <v>236</v>
      </c>
      <c r="E60" s="15" t="s">
        <v>237</v>
      </c>
      <c r="F60" s="15">
        <v>12</v>
      </c>
      <c r="G60" s="15">
        <v>12</v>
      </c>
    </row>
    <row r="61" spans="1:7" x14ac:dyDescent="0.25">
      <c r="A61" s="15" t="s">
        <v>197</v>
      </c>
      <c r="B61" s="15" t="s">
        <v>198</v>
      </c>
      <c r="C61" s="16">
        <v>214.15</v>
      </c>
      <c r="D61" s="15" t="s">
        <v>238</v>
      </c>
      <c r="E61" s="15" t="s">
        <v>239</v>
      </c>
      <c r="F61" s="15">
        <v>39</v>
      </c>
      <c r="G61" s="15">
        <v>39</v>
      </c>
    </row>
    <row r="62" spans="1:7" x14ac:dyDescent="0.25">
      <c r="A62" s="15" t="s">
        <v>197</v>
      </c>
      <c r="B62" s="15" t="s">
        <v>198</v>
      </c>
      <c r="C62" s="16">
        <v>99.75</v>
      </c>
      <c r="D62" s="15" t="s">
        <v>167</v>
      </c>
      <c r="E62" s="15" t="s">
        <v>168</v>
      </c>
      <c r="F62" s="15">
        <v>21</v>
      </c>
      <c r="G62" s="15">
        <v>21</v>
      </c>
    </row>
    <row r="63" spans="1:7" x14ac:dyDescent="0.25">
      <c r="A63" s="15" t="s">
        <v>197</v>
      </c>
      <c r="B63" s="15" t="s">
        <v>198</v>
      </c>
      <c r="C63" s="16">
        <v>155</v>
      </c>
      <c r="D63" s="15" t="s">
        <v>240</v>
      </c>
      <c r="E63" s="15" t="s">
        <v>114</v>
      </c>
      <c r="F63" s="15">
        <v>25</v>
      </c>
      <c r="G63" s="15">
        <v>25</v>
      </c>
    </row>
    <row r="64" spans="1:7" x14ac:dyDescent="0.25">
      <c r="A64" s="15" t="s">
        <v>197</v>
      </c>
      <c r="B64" s="15" t="s">
        <v>198</v>
      </c>
      <c r="C64" s="16">
        <v>9.3000000000000007</v>
      </c>
      <c r="D64" s="15" t="s">
        <v>241</v>
      </c>
      <c r="E64" s="15" t="s">
        <v>242</v>
      </c>
      <c r="F64" s="15">
        <v>3</v>
      </c>
      <c r="G64" s="15">
        <v>3</v>
      </c>
    </row>
    <row r="65" spans="1:7" x14ac:dyDescent="0.25">
      <c r="A65" s="15" t="s">
        <v>197</v>
      </c>
      <c r="B65" s="15" t="s">
        <v>198</v>
      </c>
      <c r="C65" s="16">
        <v>745.5</v>
      </c>
      <c r="D65" s="15" t="s">
        <v>243</v>
      </c>
      <c r="E65" s="15" t="s">
        <v>244</v>
      </c>
      <c r="F65" s="15">
        <v>42</v>
      </c>
      <c r="G65" s="15">
        <v>42</v>
      </c>
    </row>
    <row r="66" spans="1:7" x14ac:dyDescent="0.25">
      <c r="A66" s="15" t="s">
        <v>197</v>
      </c>
      <c r="B66" s="15" t="s">
        <v>198</v>
      </c>
      <c r="C66" s="16">
        <v>15</v>
      </c>
      <c r="D66" s="15" t="s">
        <v>245</v>
      </c>
      <c r="E66" s="15" t="s">
        <v>246</v>
      </c>
      <c r="F66" s="15">
        <v>2</v>
      </c>
      <c r="G66" s="15">
        <v>2</v>
      </c>
    </row>
    <row r="67" spans="1:7" x14ac:dyDescent="0.25">
      <c r="A67" s="15" t="s">
        <v>197</v>
      </c>
      <c r="B67" s="15" t="s">
        <v>198</v>
      </c>
      <c r="C67" s="16">
        <v>303.60000000000002</v>
      </c>
      <c r="D67" s="15" t="s">
        <v>247</v>
      </c>
      <c r="E67" s="15" t="s">
        <v>169</v>
      </c>
      <c r="F67" s="15">
        <v>33</v>
      </c>
      <c r="G67" s="15">
        <v>33</v>
      </c>
    </row>
    <row r="68" spans="1:7" x14ac:dyDescent="0.25">
      <c r="A68" s="15" t="s">
        <v>197</v>
      </c>
      <c r="B68" s="15" t="s">
        <v>198</v>
      </c>
      <c r="C68" s="16">
        <v>5.9</v>
      </c>
      <c r="D68" s="15" t="s">
        <v>248</v>
      </c>
      <c r="E68" s="15" t="s">
        <v>249</v>
      </c>
      <c r="F68" s="15">
        <v>1</v>
      </c>
      <c r="G68" s="15">
        <v>1</v>
      </c>
    </row>
    <row r="69" spans="1:7" x14ac:dyDescent="0.25">
      <c r="A69" s="15" t="s">
        <v>197</v>
      </c>
      <c r="B69" s="15" t="s">
        <v>198</v>
      </c>
      <c r="C69" s="16">
        <v>730.4</v>
      </c>
      <c r="D69" s="15" t="s">
        <v>98</v>
      </c>
      <c r="E69" s="15" t="s">
        <v>250</v>
      </c>
      <c r="F69" s="15">
        <v>20</v>
      </c>
      <c r="G69" s="15">
        <v>20</v>
      </c>
    </row>
    <row r="70" spans="1:7" x14ac:dyDescent="0.25">
      <c r="A70" s="15" t="s">
        <v>197</v>
      </c>
      <c r="B70" s="15" t="s">
        <v>198</v>
      </c>
      <c r="C70" s="16">
        <v>17.850000000000001</v>
      </c>
      <c r="D70" s="15" t="s">
        <v>251</v>
      </c>
      <c r="E70" s="15" t="s">
        <v>252</v>
      </c>
      <c r="F70" s="15">
        <v>17</v>
      </c>
      <c r="G70" s="15">
        <v>17</v>
      </c>
    </row>
    <row r="71" spans="1:7" x14ac:dyDescent="0.25">
      <c r="A71" s="15" t="s">
        <v>197</v>
      </c>
      <c r="B71" s="15" t="s">
        <v>198</v>
      </c>
      <c r="C71" s="16">
        <v>54.6</v>
      </c>
      <c r="D71" s="15" t="s">
        <v>170</v>
      </c>
      <c r="E71" s="15" t="s">
        <v>171</v>
      </c>
      <c r="F71" s="15">
        <v>4</v>
      </c>
      <c r="G71" s="15">
        <v>4</v>
      </c>
    </row>
    <row r="72" spans="1:7" x14ac:dyDescent="0.25">
      <c r="A72" s="15" t="s">
        <v>197</v>
      </c>
      <c r="B72" s="15" t="s">
        <v>198</v>
      </c>
      <c r="C72" s="16">
        <v>278.3</v>
      </c>
      <c r="D72" s="15" t="s">
        <v>138</v>
      </c>
      <c r="E72" s="15" t="s">
        <v>253</v>
      </c>
      <c r="F72" s="15">
        <v>16</v>
      </c>
      <c r="G72" s="15">
        <v>16</v>
      </c>
    </row>
    <row r="73" spans="1:7" x14ac:dyDescent="0.25">
      <c r="A73" s="15" t="s">
        <v>197</v>
      </c>
      <c r="B73" s="15" t="s">
        <v>198</v>
      </c>
      <c r="C73" s="16">
        <v>34.049999999999997</v>
      </c>
      <c r="D73" s="15" t="s">
        <v>172</v>
      </c>
      <c r="E73" s="15" t="s">
        <v>173</v>
      </c>
      <c r="F73" s="15">
        <v>21</v>
      </c>
      <c r="G73" s="15">
        <v>21</v>
      </c>
    </row>
    <row r="74" spans="1:7" x14ac:dyDescent="0.25">
      <c r="A74" s="15" t="s">
        <v>197</v>
      </c>
      <c r="B74" s="15" t="s">
        <v>198</v>
      </c>
      <c r="C74" s="16">
        <v>44.55</v>
      </c>
      <c r="D74" s="15" t="s">
        <v>254</v>
      </c>
      <c r="E74" s="15" t="s">
        <v>255</v>
      </c>
      <c r="F74" s="15">
        <v>11</v>
      </c>
      <c r="G74" s="15">
        <v>11</v>
      </c>
    </row>
    <row r="75" spans="1:7" x14ac:dyDescent="0.25">
      <c r="A75" s="15" t="s">
        <v>197</v>
      </c>
      <c r="B75" s="15" t="s">
        <v>198</v>
      </c>
      <c r="C75" s="16">
        <v>367.85</v>
      </c>
      <c r="D75" s="15" t="s">
        <v>256</v>
      </c>
      <c r="E75" s="15" t="s">
        <v>257</v>
      </c>
      <c r="F75" s="15">
        <v>27</v>
      </c>
      <c r="G75" s="15">
        <v>27</v>
      </c>
    </row>
    <row r="76" spans="1:7" x14ac:dyDescent="0.25">
      <c r="A76" s="15" t="s">
        <v>197</v>
      </c>
      <c r="B76" s="15" t="s">
        <v>198</v>
      </c>
      <c r="C76" s="16">
        <v>49.3</v>
      </c>
      <c r="D76" s="15" t="s">
        <v>258</v>
      </c>
      <c r="E76" s="15" t="s">
        <v>259</v>
      </c>
      <c r="F76" s="15">
        <v>29</v>
      </c>
      <c r="G76" s="15">
        <v>29</v>
      </c>
    </row>
    <row r="77" spans="1:7" x14ac:dyDescent="0.25">
      <c r="A77" s="15" t="s">
        <v>197</v>
      </c>
      <c r="B77" s="15" t="s">
        <v>198</v>
      </c>
      <c r="C77" s="16">
        <v>89.9</v>
      </c>
      <c r="D77" s="15" t="s">
        <v>176</v>
      </c>
      <c r="E77" s="15" t="s">
        <v>260</v>
      </c>
      <c r="F77" s="15">
        <v>29</v>
      </c>
      <c r="G77" s="15">
        <v>29</v>
      </c>
    </row>
    <row r="78" spans="1:7" x14ac:dyDescent="0.25">
      <c r="A78" s="15" t="s">
        <v>197</v>
      </c>
      <c r="B78" s="15" t="s">
        <v>198</v>
      </c>
      <c r="C78" s="16">
        <v>9.15</v>
      </c>
      <c r="D78" s="15" t="s">
        <v>261</v>
      </c>
      <c r="E78" s="15" t="s">
        <v>262</v>
      </c>
      <c r="F78" s="15">
        <v>2</v>
      </c>
      <c r="G78" s="15">
        <v>2</v>
      </c>
    </row>
    <row r="79" spans="1:7" x14ac:dyDescent="0.25">
      <c r="A79" s="15" t="s">
        <v>197</v>
      </c>
      <c r="B79" s="15" t="s">
        <v>198</v>
      </c>
      <c r="C79" s="16">
        <v>4.1500000000000004</v>
      </c>
      <c r="D79" s="15" t="s">
        <v>263</v>
      </c>
      <c r="E79" s="15" t="s">
        <v>264</v>
      </c>
      <c r="F79" s="15">
        <v>1</v>
      </c>
      <c r="G79" s="15">
        <v>1</v>
      </c>
    </row>
    <row r="80" spans="1:7" x14ac:dyDescent="0.25">
      <c r="A80" s="15" t="s">
        <v>197</v>
      </c>
      <c r="B80" s="15" t="s">
        <v>198</v>
      </c>
      <c r="C80" s="16">
        <v>10.85</v>
      </c>
      <c r="D80" s="15" t="s">
        <v>265</v>
      </c>
      <c r="E80" s="15" t="s">
        <v>266</v>
      </c>
      <c r="F80" s="15">
        <v>1</v>
      </c>
      <c r="G80" s="15">
        <v>1</v>
      </c>
    </row>
    <row r="81" spans="1:7" x14ac:dyDescent="0.25">
      <c r="A81" s="15" t="s">
        <v>197</v>
      </c>
      <c r="B81" s="15" t="s">
        <v>198</v>
      </c>
      <c r="C81" s="16">
        <v>180.2</v>
      </c>
      <c r="D81" s="15" t="s">
        <v>181</v>
      </c>
      <c r="E81" s="15" t="s">
        <v>182</v>
      </c>
      <c r="F81" s="15">
        <v>55</v>
      </c>
      <c r="G81" s="15">
        <v>55</v>
      </c>
    </row>
    <row r="82" spans="1:7" x14ac:dyDescent="0.25">
      <c r="A82" s="15" t="s">
        <v>197</v>
      </c>
      <c r="B82" s="15" t="s">
        <v>198</v>
      </c>
      <c r="C82" s="16">
        <v>15.7</v>
      </c>
      <c r="D82" s="15" t="s">
        <v>267</v>
      </c>
      <c r="E82" s="15" t="s">
        <v>268</v>
      </c>
      <c r="F82" s="15">
        <v>2</v>
      </c>
      <c r="G82" s="15">
        <v>2</v>
      </c>
    </row>
    <row r="83" spans="1:7" x14ac:dyDescent="0.25">
      <c r="A83" s="15" t="s">
        <v>197</v>
      </c>
      <c r="B83" s="15" t="s">
        <v>198</v>
      </c>
      <c r="C83" s="16">
        <v>50.75</v>
      </c>
      <c r="D83" s="15" t="s">
        <v>183</v>
      </c>
      <c r="E83" s="15" t="s">
        <v>184</v>
      </c>
      <c r="F83" s="15">
        <v>5</v>
      </c>
      <c r="G83" s="15">
        <v>5</v>
      </c>
    </row>
    <row r="84" spans="1:7" x14ac:dyDescent="0.25">
      <c r="A84" s="15" t="s">
        <v>197</v>
      </c>
      <c r="B84" s="15" t="s">
        <v>198</v>
      </c>
      <c r="C84" s="16">
        <v>568.5</v>
      </c>
      <c r="D84" s="15" t="s">
        <v>269</v>
      </c>
      <c r="E84" s="15" t="s">
        <v>270</v>
      </c>
      <c r="F84" s="15">
        <v>24</v>
      </c>
      <c r="G84" s="15">
        <v>24</v>
      </c>
    </row>
    <row r="85" spans="1:7" x14ac:dyDescent="0.25">
      <c r="A85" s="15" t="s">
        <v>197</v>
      </c>
      <c r="B85" s="15" t="s">
        <v>198</v>
      </c>
      <c r="C85" s="16">
        <v>11.4</v>
      </c>
      <c r="D85" s="15" t="s">
        <v>271</v>
      </c>
      <c r="E85" s="15" t="s">
        <v>272</v>
      </c>
      <c r="F85" s="15">
        <v>4</v>
      </c>
      <c r="G85" s="15">
        <v>4</v>
      </c>
    </row>
    <row r="86" spans="1:7" x14ac:dyDescent="0.25">
      <c r="A86" s="15" t="s">
        <v>197</v>
      </c>
      <c r="B86" s="15" t="s">
        <v>198</v>
      </c>
      <c r="C86" s="16">
        <v>40.799999999999997</v>
      </c>
      <c r="D86" s="15" t="s">
        <v>273</v>
      </c>
      <c r="E86" s="15" t="s">
        <v>274</v>
      </c>
      <c r="F86" s="15">
        <v>12</v>
      </c>
      <c r="G86" s="15">
        <v>12</v>
      </c>
    </row>
    <row r="87" spans="1:7" x14ac:dyDescent="0.25">
      <c r="A87" s="15" t="s">
        <v>197</v>
      </c>
      <c r="B87" s="15" t="s">
        <v>198</v>
      </c>
      <c r="C87" s="16">
        <v>47.6</v>
      </c>
      <c r="D87" s="15" t="s">
        <v>275</v>
      </c>
      <c r="E87" s="15" t="s">
        <v>276</v>
      </c>
      <c r="F87" s="15">
        <v>17</v>
      </c>
      <c r="G87" s="15">
        <v>17</v>
      </c>
    </row>
    <row r="88" spans="1:7" x14ac:dyDescent="0.25">
      <c r="A88" s="15" t="s">
        <v>197</v>
      </c>
      <c r="B88" s="15" t="s">
        <v>198</v>
      </c>
      <c r="C88" s="16">
        <v>19.600000000000001</v>
      </c>
      <c r="D88" s="15" t="s">
        <v>136</v>
      </c>
      <c r="E88" s="15" t="s">
        <v>277</v>
      </c>
      <c r="F88" s="15">
        <v>4</v>
      </c>
      <c r="G88" s="15">
        <v>4</v>
      </c>
    </row>
    <row r="89" spans="1:7" x14ac:dyDescent="0.25">
      <c r="A89" s="15" t="s">
        <v>197</v>
      </c>
      <c r="B89" s="15" t="s">
        <v>198</v>
      </c>
      <c r="C89" s="16">
        <v>5.81</v>
      </c>
      <c r="D89" s="15" t="s">
        <v>278</v>
      </c>
      <c r="E89" s="15" t="s">
        <v>279</v>
      </c>
      <c r="F89" s="15">
        <v>1</v>
      </c>
      <c r="G89" s="15">
        <v>1</v>
      </c>
    </row>
    <row r="90" spans="1:7" x14ac:dyDescent="0.25">
      <c r="A90" s="15" t="s">
        <v>197</v>
      </c>
      <c r="B90" s="15" t="s">
        <v>198</v>
      </c>
      <c r="C90" s="16">
        <v>12.9</v>
      </c>
      <c r="D90" s="15" t="s">
        <v>97</v>
      </c>
      <c r="E90" s="15" t="s">
        <v>280</v>
      </c>
      <c r="F90" s="15">
        <v>2</v>
      </c>
      <c r="G90" s="15">
        <v>2</v>
      </c>
    </row>
    <row r="91" spans="1:7" x14ac:dyDescent="0.25">
      <c r="A91" s="15" t="s">
        <v>197</v>
      </c>
      <c r="B91" s="15" t="s">
        <v>198</v>
      </c>
      <c r="C91" s="16">
        <v>1197.5999999999999</v>
      </c>
      <c r="D91" s="15" t="s">
        <v>281</v>
      </c>
      <c r="E91" s="15" t="s">
        <v>282</v>
      </c>
      <c r="F91" s="15">
        <v>27</v>
      </c>
      <c r="G91" s="15">
        <v>27</v>
      </c>
    </row>
    <row r="92" spans="1:7" x14ac:dyDescent="0.25">
      <c r="A92" s="15" t="s">
        <v>197</v>
      </c>
      <c r="B92" s="15" t="s">
        <v>198</v>
      </c>
      <c r="C92" s="16">
        <v>1298</v>
      </c>
      <c r="D92" s="15" t="s">
        <v>283</v>
      </c>
      <c r="E92" s="15" t="s">
        <v>284</v>
      </c>
      <c r="F92" s="15">
        <v>22</v>
      </c>
      <c r="G92" s="15">
        <v>22</v>
      </c>
    </row>
    <row r="93" spans="1:7" x14ac:dyDescent="0.25">
      <c r="A93" s="15" t="s">
        <v>197</v>
      </c>
      <c r="B93" s="15" t="s">
        <v>198</v>
      </c>
      <c r="C93" s="16">
        <v>47.8</v>
      </c>
      <c r="D93" s="15" t="s">
        <v>285</v>
      </c>
      <c r="E93" s="15" t="s">
        <v>286</v>
      </c>
      <c r="F93" s="15">
        <v>20</v>
      </c>
      <c r="G93" s="15">
        <v>20</v>
      </c>
    </row>
    <row r="94" spans="1:7" x14ac:dyDescent="0.25">
      <c r="A94" s="15" t="s">
        <v>197</v>
      </c>
      <c r="B94" s="15" t="s">
        <v>198</v>
      </c>
      <c r="C94" s="16">
        <v>129</v>
      </c>
      <c r="D94" s="15" t="s">
        <v>287</v>
      </c>
      <c r="E94" s="15" t="s">
        <v>288</v>
      </c>
      <c r="F94" s="15">
        <v>30</v>
      </c>
      <c r="G94" s="15">
        <v>30</v>
      </c>
    </row>
    <row r="95" spans="1:7" x14ac:dyDescent="0.25">
      <c r="A95" s="15" t="s">
        <v>197</v>
      </c>
      <c r="B95" s="15" t="s">
        <v>198</v>
      </c>
      <c r="C95" s="16">
        <v>28.7</v>
      </c>
      <c r="D95" s="15" t="s">
        <v>289</v>
      </c>
      <c r="E95" s="15" t="s">
        <v>290</v>
      </c>
      <c r="F95" s="15">
        <v>3</v>
      </c>
      <c r="G95" s="15">
        <v>3</v>
      </c>
    </row>
    <row r="96" spans="1:7" x14ac:dyDescent="0.25">
      <c r="A96" s="15" t="s">
        <v>197</v>
      </c>
      <c r="B96" s="15" t="s">
        <v>198</v>
      </c>
      <c r="C96" s="16">
        <v>95.2</v>
      </c>
      <c r="D96" s="15" t="s">
        <v>291</v>
      </c>
      <c r="E96" s="15" t="s">
        <v>292</v>
      </c>
      <c r="F96" s="15">
        <v>29</v>
      </c>
      <c r="G96" s="15">
        <v>29</v>
      </c>
    </row>
    <row r="97" spans="1:7" x14ac:dyDescent="0.25">
      <c r="A97" s="15" t="s">
        <v>197</v>
      </c>
      <c r="B97" s="15" t="s">
        <v>198</v>
      </c>
      <c r="C97" s="16">
        <v>50.5</v>
      </c>
      <c r="D97" s="15" t="s">
        <v>293</v>
      </c>
      <c r="E97" s="15" t="s">
        <v>294</v>
      </c>
      <c r="F97" s="15">
        <v>6</v>
      </c>
      <c r="G97" s="15">
        <v>6</v>
      </c>
    </row>
    <row r="98" spans="1:7" x14ac:dyDescent="0.25">
      <c r="A98" s="15" t="s">
        <v>197</v>
      </c>
      <c r="B98" s="15" t="s">
        <v>198</v>
      </c>
      <c r="C98" s="16">
        <v>135.9</v>
      </c>
      <c r="D98" s="15" t="s">
        <v>295</v>
      </c>
      <c r="E98" s="15" t="s">
        <v>296</v>
      </c>
      <c r="F98" s="15">
        <v>13</v>
      </c>
      <c r="G98" s="15">
        <v>13</v>
      </c>
    </row>
    <row r="99" spans="1:7" x14ac:dyDescent="0.25">
      <c r="A99" s="15" t="s">
        <v>197</v>
      </c>
      <c r="B99" s="15" t="s">
        <v>198</v>
      </c>
      <c r="C99" s="16">
        <v>120.9</v>
      </c>
      <c r="D99" s="15" t="s">
        <v>80</v>
      </c>
      <c r="E99" s="15" t="s">
        <v>189</v>
      </c>
      <c r="F99" s="15">
        <v>11</v>
      </c>
      <c r="G99" s="15">
        <v>11</v>
      </c>
    </row>
    <row r="100" spans="1:7" x14ac:dyDescent="0.25">
      <c r="A100" s="15" t="s">
        <v>197</v>
      </c>
      <c r="B100" s="15" t="s">
        <v>198</v>
      </c>
      <c r="C100" s="16">
        <v>328.5</v>
      </c>
      <c r="D100" s="15" t="s">
        <v>80</v>
      </c>
      <c r="E100" s="15" t="s">
        <v>297</v>
      </c>
      <c r="F100" s="15">
        <v>28</v>
      </c>
      <c r="G100" s="15">
        <v>28</v>
      </c>
    </row>
    <row r="101" spans="1:7" x14ac:dyDescent="0.25">
      <c r="A101" s="15" t="s">
        <v>197</v>
      </c>
      <c r="B101" s="15" t="s">
        <v>198</v>
      </c>
      <c r="C101" s="16">
        <v>100.8</v>
      </c>
      <c r="D101" s="15" t="s">
        <v>298</v>
      </c>
      <c r="E101" s="15" t="s">
        <v>299</v>
      </c>
      <c r="F101" s="15">
        <v>36</v>
      </c>
      <c r="G101" s="15">
        <v>36</v>
      </c>
    </row>
    <row r="102" spans="1:7" x14ac:dyDescent="0.25">
      <c r="A102" s="15" t="s">
        <v>197</v>
      </c>
      <c r="B102" s="15" t="s">
        <v>198</v>
      </c>
      <c r="C102" s="16">
        <v>411.5</v>
      </c>
      <c r="D102" s="15" t="s">
        <v>132</v>
      </c>
      <c r="E102" s="15" t="s">
        <v>300</v>
      </c>
      <c r="F102" s="15">
        <v>52</v>
      </c>
      <c r="G102" s="15">
        <v>52</v>
      </c>
    </row>
    <row r="103" spans="1:7" x14ac:dyDescent="0.25">
      <c r="A103" s="15" t="s">
        <v>197</v>
      </c>
      <c r="B103" s="15" t="s">
        <v>198</v>
      </c>
      <c r="C103" s="16">
        <v>56.3</v>
      </c>
      <c r="D103" s="15" t="s">
        <v>67</v>
      </c>
      <c r="E103" s="15" t="s">
        <v>193</v>
      </c>
      <c r="F103" s="15">
        <v>12</v>
      </c>
      <c r="G103" s="15">
        <v>12</v>
      </c>
    </row>
    <row r="104" spans="1:7" x14ac:dyDescent="0.25">
      <c r="A104" s="15" t="s">
        <v>197</v>
      </c>
      <c r="B104" s="15" t="s">
        <v>198</v>
      </c>
      <c r="C104" s="16">
        <v>11.8</v>
      </c>
      <c r="D104" s="15" t="s">
        <v>301</v>
      </c>
      <c r="E104" s="15" t="s">
        <v>302</v>
      </c>
      <c r="F104" s="15">
        <v>2</v>
      </c>
      <c r="G104" s="15">
        <v>2</v>
      </c>
    </row>
    <row r="105" spans="1:7" x14ac:dyDescent="0.25">
      <c r="A105" s="15" t="s">
        <v>197</v>
      </c>
      <c r="B105" s="15" t="s">
        <v>198</v>
      </c>
      <c r="C105" s="16">
        <v>90.9</v>
      </c>
      <c r="D105" s="15" t="s">
        <v>303</v>
      </c>
      <c r="E105" s="15" t="s">
        <v>304</v>
      </c>
      <c r="F105" s="15">
        <v>12</v>
      </c>
      <c r="G105" s="15">
        <v>12</v>
      </c>
    </row>
    <row r="106" spans="1:7" x14ac:dyDescent="0.25">
      <c r="A106" s="15" t="s">
        <v>197</v>
      </c>
      <c r="B106" s="15" t="s">
        <v>198</v>
      </c>
      <c r="C106" s="16">
        <v>27.75</v>
      </c>
      <c r="D106" s="15" t="s">
        <v>305</v>
      </c>
      <c r="E106" s="15" t="s">
        <v>306</v>
      </c>
      <c r="F106" s="15">
        <v>5</v>
      </c>
      <c r="G106" s="15">
        <v>5</v>
      </c>
    </row>
    <row r="107" spans="1:7" x14ac:dyDescent="0.25">
      <c r="A107" s="15" t="s">
        <v>197</v>
      </c>
      <c r="B107" s="15" t="s">
        <v>198</v>
      </c>
      <c r="C107" s="16">
        <v>270.75</v>
      </c>
      <c r="D107" s="15" t="s">
        <v>307</v>
      </c>
      <c r="E107" s="15" t="s">
        <v>308</v>
      </c>
      <c r="F107" s="15">
        <v>40</v>
      </c>
      <c r="G107" s="15">
        <v>40</v>
      </c>
    </row>
    <row r="108" spans="1:7" x14ac:dyDescent="0.25">
      <c r="A108" s="15" t="s">
        <v>197</v>
      </c>
      <c r="B108" s="15" t="s">
        <v>198</v>
      </c>
      <c r="C108" s="16">
        <v>257.45</v>
      </c>
      <c r="D108" s="15" t="s">
        <v>309</v>
      </c>
      <c r="E108" s="15" t="s">
        <v>310</v>
      </c>
      <c r="F108" s="15">
        <v>36</v>
      </c>
      <c r="G108" s="15">
        <v>36</v>
      </c>
    </row>
    <row r="109" spans="1:7" x14ac:dyDescent="0.25">
      <c r="A109" s="15" t="s">
        <v>197</v>
      </c>
      <c r="B109" s="15" t="s">
        <v>198</v>
      </c>
      <c r="C109" s="16">
        <v>14.5</v>
      </c>
      <c r="D109" s="15" t="s">
        <v>311</v>
      </c>
      <c r="E109" s="15" t="s">
        <v>312</v>
      </c>
      <c r="F109" s="15">
        <v>2</v>
      </c>
      <c r="G109" s="15">
        <v>2</v>
      </c>
    </row>
    <row r="110" spans="1:7" x14ac:dyDescent="0.25">
      <c r="A110" s="15" t="s">
        <v>197</v>
      </c>
      <c r="B110" s="15" t="s">
        <v>198</v>
      </c>
      <c r="C110" s="16">
        <v>1817.1</v>
      </c>
      <c r="D110" s="15" t="s">
        <v>194</v>
      </c>
      <c r="E110" s="15" t="s">
        <v>195</v>
      </c>
      <c r="F110" s="15">
        <v>112</v>
      </c>
      <c r="G110" s="15">
        <v>112</v>
      </c>
    </row>
    <row r="111" spans="1:7" x14ac:dyDescent="0.25">
      <c r="A111" s="15" t="s">
        <v>197</v>
      </c>
      <c r="B111" s="15" t="s">
        <v>198</v>
      </c>
      <c r="C111" s="16">
        <v>10.8</v>
      </c>
      <c r="D111" s="15" t="s">
        <v>313</v>
      </c>
      <c r="E111" s="15" t="s">
        <v>314</v>
      </c>
      <c r="F111" s="15">
        <v>1</v>
      </c>
      <c r="G111" s="15">
        <v>1</v>
      </c>
    </row>
    <row r="112" spans="1:7" x14ac:dyDescent="0.25">
      <c r="A112" s="15" t="s">
        <v>315</v>
      </c>
      <c r="B112" s="15" t="s">
        <v>316</v>
      </c>
      <c r="C112" s="16">
        <v>183.95</v>
      </c>
      <c r="D112" s="15" t="s">
        <v>156</v>
      </c>
      <c r="E112" s="15" t="s">
        <v>317</v>
      </c>
      <c r="F112" s="15">
        <v>47</v>
      </c>
      <c r="G112" s="15">
        <v>47</v>
      </c>
    </row>
    <row r="113" spans="1:7" x14ac:dyDescent="0.25">
      <c r="A113" s="15" t="s">
        <v>315</v>
      </c>
      <c r="B113" s="15" t="s">
        <v>316</v>
      </c>
      <c r="C113" s="16">
        <v>360</v>
      </c>
      <c r="D113" s="15" t="s">
        <v>318</v>
      </c>
      <c r="E113" s="15" t="s">
        <v>319</v>
      </c>
      <c r="F113" s="15">
        <v>100</v>
      </c>
      <c r="G113" s="15">
        <v>100</v>
      </c>
    </row>
    <row r="114" spans="1:7" x14ac:dyDescent="0.25">
      <c r="A114" s="15" t="s">
        <v>315</v>
      </c>
      <c r="B114" s="15" t="s">
        <v>316</v>
      </c>
      <c r="C114" s="16">
        <v>269.5</v>
      </c>
      <c r="D114" s="15" t="s">
        <v>320</v>
      </c>
      <c r="E114" s="15" t="s">
        <v>321</v>
      </c>
      <c r="F114" s="15">
        <v>70</v>
      </c>
      <c r="G114" s="15">
        <v>70</v>
      </c>
    </row>
    <row r="115" spans="1:7" x14ac:dyDescent="0.25">
      <c r="A115" s="15" t="s">
        <v>315</v>
      </c>
      <c r="B115" s="15" t="s">
        <v>316</v>
      </c>
      <c r="C115" s="16">
        <v>102.5</v>
      </c>
      <c r="D115" s="15" t="s">
        <v>80</v>
      </c>
      <c r="E115" s="15" t="s">
        <v>322</v>
      </c>
      <c r="F115" s="15">
        <v>13</v>
      </c>
      <c r="G115" s="15">
        <v>13</v>
      </c>
    </row>
    <row r="116" spans="1:7" x14ac:dyDescent="0.25">
      <c r="A116" s="15" t="s">
        <v>315</v>
      </c>
      <c r="B116" s="15" t="s">
        <v>316</v>
      </c>
      <c r="C116" s="16">
        <v>2.9</v>
      </c>
      <c r="D116" s="15" t="s">
        <v>323</v>
      </c>
      <c r="E116" s="15" t="s">
        <v>324</v>
      </c>
      <c r="F116" s="15">
        <v>2</v>
      </c>
      <c r="G116" s="15">
        <v>2</v>
      </c>
    </row>
    <row r="117" spans="1:7" x14ac:dyDescent="0.25">
      <c r="A117" s="15" t="s">
        <v>315</v>
      </c>
      <c r="B117" s="15" t="s">
        <v>316</v>
      </c>
      <c r="C117" s="16">
        <v>601</v>
      </c>
      <c r="D117" s="15" t="s">
        <v>325</v>
      </c>
      <c r="E117" s="15" t="s">
        <v>326</v>
      </c>
      <c r="F117" s="15">
        <v>111</v>
      </c>
      <c r="G117" s="15">
        <v>111</v>
      </c>
    </row>
    <row r="118" spans="1:7" x14ac:dyDescent="0.25">
      <c r="A118" s="15" t="s">
        <v>315</v>
      </c>
      <c r="B118" s="15" t="s">
        <v>316</v>
      </c>
      <c r="C118" s="16">
        <v>2.75</v>
      </c>
      <c r="D118" s="15" t="s">
        <v>82</v>
      </c>
      <c r="E118" s="15" t="s">
        <v>327</v>
      </c>
      <c r="F118" s="15">
        <v>1</v>
      </c>
      <c r="G118" s="15">
        <v>1</v>
      </c>
    </row>
    <row r="119" spans="1:7" x14ac:dyDescent="0.25">
      <c r="A119" s="15" t="s">
        <v>315</v>
      </c>
      <c r="B119" s="15" t="s">
        <v>316</v>
      </c>
      <c r="C119" s="16">
        <v>1207.95</v>
      </c>
      <c r="D119" s="15" t="s">
        <v>281</v>
      </c>
      <c r="E119" s="15" t="s">
        <v>328</v>
      </c>
      <c r="F119" s="15">
        <v>57</v>
      </c>
      <c r="G119" s="15">
        <v>57</v>
      </c>
    </row>
    <row r="120" spans="1:7" x14ac:dyDescent="0.25">
      <c r="A120" s="15" t="s">
        <v>315</v>
      </c>
      <c r="B120" s="15" t="s">
        <v>316</v>
      </c>
      <c r="C120" s="16">
        <v>180.9</v>
      </c>
      <c r="D120" s="15" t="s">
        <v>329</v>
      </c>
      <c r="E120" s="15" t="s">
        <v>330</v>
      </c>
      <c r="F120" s="15">
        <v>18</v>
      </c>
      <c r="G120" s="15">
        <v>18</v>
      </c>
    </row>
    <row r="121" spans="1:7" x14ac:dyDescent="0.25">
      <c r="A121" s="15" t="s">
        <v>315</v>
      </c>
      <c r="B121" s="15" t="s">
        <v>316</v>
      </c>
      <c r="C121" s="16">
        <v>7.9</v>
      </c>
      <c r="D121" s="15" t="s">
        <v>331</v>
      </c>
      <c r="E121" s="15" t="s">
        <v>332</v>
      </c>
      <c r="F121" s="15">
        <v>2</v>
      </c>
      <c r="G121" s="15">
        <v>2</v>
      </c>
    </row>
    <row r="122" spans="1:7" x14ac:dyDescent="0.25">
      <c r="A122" s="15" t="s">
        <v>315</v>
      </c>
      <c r="B122" s="15" t="s">
        <v>316</v>
      </c>
      <c r="C122" s="16">
        <v>2.4</v>
      </c>
      <c r="D122" s="15" t="s">
        <v>333</v>
      </c>
      <c r="E122" s="15" t="s">
        <v>334</v>
      </c>
      <c r="F122" s="15">
        <v>1</v>
      </c>
      <c r="G122" s="15">
        <v>1</v>
      </c>
    </row>
    <row r="123" spans="1:7" x14ac:dyDescent="0.25">
      <c r="A123" s="15" t="s">
        <v>315</v>
      </c>
      <c r="B123" s="15" t="s">
        <v>316</v>
      </c>
      <c r="C123" s="16">
        <v>533.6</v>
      </c>
      <c r="D123" s="15" t="s">
        <v>335</v>
      </c>
      <c r="E123" s="15" t="s">
        <v>336</v>
      </c>
      <c r="F123" s="15">
        <v>23</v>
      </c>
      <c r="G123" s="15">
        <v>23</v>
      </c>
    </row>
    <row r="124" spans="1:7" x14ac:dyDescent="0.25">
      <c r="A124" s="15" t="s">
        <v>315</v>
      </c>
      <c r="B124" s="15" t="s">
        <v>316</v>
      </c>
      <c r="C124" s="16">
        <v>358.5</v>
      </c>
      <c r="D124" s="15" t="s">
        <v>80</v>
      </c>
      <c r="E124" s="15" t="s">
        <v>337</v>
      </c>
      <c r="F124" s="15">
        <v>10</v>
      </c>
      <c r="G124" s="15">
        <v>10</v>
      </c>
    </row>
    <row r="125" spans="1:7" x14ac:dyDescent="0.25">
      <c r="A125" s="15" t="s">
        <v>315</v>
      </c>
      <c r="B125" s="15" t="s">
        <v>316</v>
      </c>
      <c r="C125" s="16">
        <v>67.5</v>
      </c>
      <c r="D125" s="15" t="s">
        <v>80</v>
      </c>
      <c r="E125" s="15" t="s">
        <v>338</v>
      </c>
      <c r="F125" s="15">
        <v>15</v>
      </c>
      <c r="G125" s="15">
        <v>15</v>
      </c>
    </row>
    <row r="126" spans="1:7" x14ac:dyDescent="0.25">
      <c r="A126" s="15" t="s">
        <v>315</v>
      </c>
      <c r="B126" s="15" t="s">
        <v>316</v>
      </c>
      <c r="C126" s="16">
        <v>8.6</v>
      </c>
      <c r="D126" s="15" t="s">
        <v>339</v>
      </c>
      <c r="E126" s="15" t="s">
        <v>340</v>
      </c>
      <c r="F126" s="15">
        <v>5</v>
      </c>
      <c r="G126" s="15">
        <v>5</v>
      </c>
    </row>
    <row r="127" spans="1:7" x14ac:dyDescent="0.25">
      <c r="A127" s="15" t="s">
        <v>315</v>
      </c>
      <c r="B127" s="15" t="s">
        <v>316</v>
      </c>
      <c r="C127" s="16">
        <v>610.35</v>
      </c>
      <c r="D127" s="15" t="s">
        <v>80</v>
      </c>
      <c r="E127" s="15" t="s">
        <v>341</v>
      </c>
      <c r="F127" s="15">
        <v>81</v>
      </c>
      <c r="G127" s="15">
        <v>81</v>
      </c>
    </row>
    <row r="128" spans="1:7" x14ac:dyDescent="0.25">
      <c r="A128" s="15" t="s">
        <v>315</v>
      </c>
      <c r="B128" s="15" t="s">
        <v>316</v>
      </c>
      <c r="C128" s="16">
        <v>6</v>
      </c>
      <c r="D128" s="15" t="s">
        <v>342</v>
      </c>
      <c r="E128" s="15" t="s">
        <v>343</v>
      </c>
      <c r="F128" s="15">
        <v>8</v>
      </c>
      <c r="G128" s="15">
        <v>8</v>
      </c>
    </row>
    <row r="129" spans="1:7" x14ac:dyDescent="0.25">
      <c r="A129" s="15" t="s">
        <v>315</v>
      </c>
      <c r="B129" s="15" t="s">
        <v>316</v>
      </c>
      <c r="C129" s="16">
        <v>368.6</v>
      </c>
      <c r="D129" s="15" t="s">
        <v>344</v>
      </c>
      <c r="E129" s="15" t="s">
        <v>345</v>
      </c>
      <c r="F129" s="15">
        <v>23</v>
      </c>
      <c r="G129" s="15">
        <v>23</v>
      </c>
    </row>
    <row r="130" spans="1:7" x14ac:dyDescent="0.25">
      <c r="A130" s="15" t="s">
        <v>315</v>
      </c>
      <c r="B130" s="15" t="s">
        <v>316</v>
      </c>
      <c r="C130" s="16">
        <v>12</v>
      </c>
      <c r="D130" s="15" t="s">
        <v>346</v>
      </c>
      <c r="E130" s="15" t="s">
        <v>347</v>
      </c>
      <c r="F130" s="15">
        <v>3</v>
      </c>
      <c r="G130" s="15">
        <v>3</v>
      </c>
    </row>
    <row r="131" spans="1:7" x14ac:dyDescent="0.25">
      <c r="A131" s="15" t="s">
        <v>315</v>
      </c>
      <c r="B131" s="15" t="s">
        <v>316</v>
      </c>
      <c r="C131" s="16">
        <v>409.15</v>
      </c>
      <c r="D131" s="15" t="s">
        <v>348</v>
      </c>
      <c r="E131" s="15" t="s">
        <v>349</v>
      </c>
      <c r="F131" s="15">
        <v>49</v>
      </c>
      <c r="G131" s="15">
        <v>49</v>
      </c>
    </row>
    <row r="132" spans="1:7" x14ac:dyDescent="0.25">
      <c r="A132" s="15" t="s">
        <v>315</v>
      </c>
      <c r="B132" s="15" t="s">
        <v>316</v>
      </c>
      <c r="C132" s="16">
        <v>216</v>
      </c>
      <c r="D132" s="15" t="s">
        <v>98</v>
      </c>
      <c r="E132" s="15" t="s">
        <v>350</v>
      </c>
      <c r="F132" s="15">
        <v>2</v>
      </c>
      <c r="G132" s="15">
        <v>2</v>
      </c>
    </row>
    <row r="133" spans="1:7" x14ac:dyDescent="0.25">
      <c r="A133" s="15" t="s">
        <v>315</v>
      </c>
      <c r="B133" s="15" t="s">
        <v>316</v>
      </c>
      <c r="C133" s="16">
        <v>9.15</v>
      </c>
      <c r="D133" s="15" t="s">
        <v>351</v>
      </c>
      <c r="E133" s="15" t="s">
        <v>352</v>
      </c>
      <c r="F133" s="15">
        <v>6</v>
      </c>
      <c r="G133" s="15">
        <v>6</v>
      </c>
    </row>
    <row r="134" spans="1:7" x14ac:dyDescent="0.25">
      <c r="A134" s="15" t="s">
        <v>315</v>
      </c>
      <c r="B134" s="15" t="s">
        <v>316</v>
      </c>
      <c r="C134" s="16">
        <v>411.45</v>
      </c>
      <c r="D134" s="15" t="s">
        <v>265</v>
      </c>
      <c r="E134" s="15" t="s">
        <v>353</v>
      </c>
      <c r="F134" s="15">
        <v>40</v>
      </c>
      <c r="G134" s="15">
        <v>40</v>
      </c>
    </row>
    <row r="135" spans="1:7" x14ac:dyDescent="0.25">
      <c r="A135" s="15" t="s">
        <v>315</v>
      </c>
      <c r="B135" s="15" t="s">
        <v>316</v>
      </c>
      <c r="C135" s="16">
        <v>1.4</v>
      </c>
      <c r="D135" s="15" t="s">
        <v>67</v>
      </c>
      <c r="E135" s="15" t="s">
        <v>354</v>
      </c>
      <c r="F135" s="15">
        <v>1</v>
      </c>
      <c r="G135" s="15">
        <v>1</v>
      </c>
    </row>
    <row r="136" spans="1:7" x14ac:dyDescent="0.25">
      <c r="A136" s="15" t="s">
        <v>315</v>
      </c>
      <c r="B136" s="15" t="s">
        <v>316</v>
      </c>
      <c r="C136" s="16">
        <v>6.8</v>
      </c>
      <c r="D136" s="15" t="s">
        <v>355</v>
      </c>
      <c r="E136" s="15" t="s">
        <v>356</v>
      </c>
      <c r="F136" s="15">
        <v>3</v>
      </c>
      <c r="G136" s="15">
        <v>3</v>
      </c>
    </row>
    <row r="137" spans="1:7" x14ac:dyDescent="0.25">
      <c r="A137" s="15" t="s">
        <v>315</v>
      </c>
      <c r="B137" s="15" t="s">
        <v>316</v>
      </c>
      <c r="C137" s="16">
        <v>7.2</v>
      </c>
      <c r="D137" s="15" t="s">
        <v>248</v>
      </c>
      <c r="E137" s="15" t="s">
        <v>357</v>
      </c>
      <c r="F137" s="15">
        <v>5</v>
      </c>
      <c r="G137" s="15">
        <v>5</v>
      </c>
    </row>
    <row r="138" spans="1:7" x14ac:dyDescent="0.25">
      <c r="A138" s="15" t="s">
        <v>315</v>
      </c>
      <c r="B138" s="15" t="s">
        <v>316</v>
      </c>
      <c r="C138" s="16">
        <v>41.6</v>
      </c>
      <c r="D138" s="15" t="s">
        <v>358</v>
      </c>
      <c r="E138" s="15" t="s">
        <v>359</v>
      </c>
      <c r="F138" s="15">
        <v>4</v>
      </c>
      <c r="G138" s="15">
        <v>4</v>
      </c>
    </row>
    <row r="139" spans="1:7" x14ac:dyDescent="0.25">
      <c r="A139" s="15" t="s">
        <v>315</v>
      </c>
      <c r="B139" s="15" t="s">
        <v>316</v>
      </c>
      <c r="C139" s="16">
        <v>284.39999999999998</v>
      </c>
      <c r="D139" s="15" t="s">
        <v>360</v>
      </c>
      <c r="E139" s="15" t="s">
        <v>361</v>
      </c>
      <c r="F139" s="15">
        <v>36</v>
      </c>
      <c r="G139" s="15">
        <v>36</v>
      </c>
    </row>
    <row r="140" spans="1:7" x14ac:dyDescent="0.25">
      <c r="A140" s="15" t="s">
        <v>315</v>
      </c>
      <c r="B140" s="15" t="s">
        <v>316</v>
      </c>
      <c r="C140" s="16">
        <v>20.6</v>
      </c>
      <c r="D140" s="15" t="s">
        <v>362</v>
      </c>
      <c r="E140" s="15" t="s">
        <v>363</v>
      </c>
      <c r="F140" s="15">
        <v>4</v>
      </c>
      <c r="G140" s="15">
        <v>4</v>
      </c>
    </row>
    <row r="141" spans="1:7" x14ac:dyDescent="0.25">
      <c r="A141" s="15" t="s">
        <v>315</v>
      </c>
      <c r="B141" s="15" t="s">
        <v>316</v>
      </c>
      <c r="C141" s="16">
        <v>8329.35</v>
      </c>
      <c r="D141" s="15" t="s">
        <v>364</v>
      </c>
      <c r="E141" s="15" t="s">
        <v>365</v>
      </c>
      <c r="F141" s="15">
        <v>528</v>
      </c>
      <c r="G141" s="15">
        <v>528</v>
      </c>
    </row>
    <row r="142" spans="1:7" x14ac:dyDescent="0.25">
      <c r="A142" s="15" t="s">
        <v>315</v>
      </c>
      <c r="B142" s="15" t="s">
        <v>316</v>
      </c>
      <c r="C142" s="16">
        <v>561.6</v>
      </c>
      <c r="D142" s="15" t="s">
        <v>287</v>
      </c>
      <c r="E142" s="15" t="s">
        <v>366</v>
      </c>
      <c r="F142" s="15">
        <v>104</v>
      </c>
      <c r="G142" s="15">
        <v>104</v>
      </c>
    </row>
    <row r="143" spans="1:7" x14ac:dyDescent="0.25">
      <c r="A143" s="15" t="s">
        <v>315</v>
      </c>
      <c r="B143" s="15" t="s">
        <v>316</v>
      </c>
      <c r="C143" s="16">
        <v>4.8499999999999996</v>
      </c>
      <c r="D143" s="15" t="s">
        <v>179</v>
      </c>
      <c r="E143" s="15" t="s">
        <v>367</v>
      </c>
      <c r="F143" s="15">
        <v>1</v>
      </c>
      <c r="G143" s="15">
        <v>1</v>
      </c>
    </row>
    <row r="144" spans="1:7" x14ac:dyDescent="0.25">
      <c r="A144" s="15" t="s">
        <v>315</v>
      </c>
      <c r="B144" s="15" t="s">
        <v>316</v>
      </c>
      <c r="C144" s="16">
        <v>2.1</v>
      </c>
      <c r="D144" s="15" t="s">
        <v>368</v>
      </c>
      <c r="E144" s="15" t="s">
        <v>369</v>
      </c>
      <c r="F144" s="15">
        <v>1</v>
      </c>
      <c r="G144" s="15">
        <v>1</v>
      </c>
    </row>
    <row r="145" spans="1:7" x14ac:dyDescent="0.25">
      <c r="A145" s="15" t="s">
        <v>315</v>
      </c>
      <c r="B145" s="15" t="s">
        <v>316</v>
      </c>
      <c r="C145" s="16">
        <v>171.35</v>
      </c>
      <c r="D145" s="15" t="s">
        <v>201</v>
      </c>
      <c r="E145" s="15" t="s">
        <v>370</v>
      </c>
      <c r="F145" s="15">
        <v>26</v>
      </c>
      <c r="G145" s="15">
        <v>26</v>
      </c>
    </row>
    <row r="146" spans="1:7" x14ac:dyDescent="0.25">
      <c r="A146" s="15" t="s">
        <v>315</v>
      </c>
      <c r="B146" s="15" t="s">
        <v>316</v>
      </c>
      <c r="C146" s="16">
        <v>1.7</v>
      </c>
      <c r="D146" s="15" t="s">
        <v>67</v>
      </c>
      <c r="E146" s="15" t="s">
        <v>371</v>
      </c>
      <c r="F146" s="15">
        <v>1</v>
      </c>
      <c r="G146" s="15">
        <v>1</v>
      </c>
    </row>
    <row r="147" spans="1:7" x14ac:dyDescent="0.25">
      <c r="A147" s="15" t="s">
        <v>315</v>
      </c>
      <c r="B147" s="15" t="s">
        <v>316</v>
      </c>
      <c r="C147" s="16">
        <v>1.2</v>
      </c>
      <c r="D147" s="15" t="s">
        <v>372</v>
      </c>
      <c r="E147" s="15" t="s">
        <v>373</v>
      </c>
      <c r="F147" s="15">
        <v>1</v>
      </c>
      <c r="G147" s="15">
        <v>1</v>
      </c>
    </row>
    <row r="148" spans="1:7" x14ac:dyDescent="0.25">
      <c r="A148" s="15" t="s">
        <v>315</v>
      </c>
      <c r="B148" s="15" t="s">
        <v>316</v>
      </c>
      <c r="C148" s="16">
        <v>2.95</v>
      </c>
      <c r="D148" s="15" t="s">
        <v>374</v>
      </c>
      <c r="E148" s="15" t="s">
        <v>375</v>
      </c>
      <c r="F148" s="15">
        <v>1</v>
      </c>
      <c r="G148" s="15">
        <v>1</v>
      </c>
    </row>
    <row r="149" spans="1:7" x14ac:dyDescent="0.25">
      <c r="A149" s="15" t="s">
        <v>315</v>
      </c>
      <c r="B149" s="15" t="s">
        <v>316</v>
      </c>
      <c r="C149" s="16">
        <v>2.35</v>
      </c>
      <c r="D149" s="15" t="s">
        <v>203</v>
      </c>
      <c r="E149" s="15" t="s">
        <v>376</v>
      </c>
      <c r="F149" s="15">
        <v>1</v>
      </c>
      <c r="G149" s="15">
        <v>1</v>
      </c>
    </row>
    <row r="150" spans="1:7" x14ac:dyDescent="0.25">
      <c r="A150" s="15" t="s">
        <v>315</v>
      </c>
      <c r="B150" s="15" t="s">
        <v>316</v>
      </c>
      <c r="C150" s="16">
        <v>1305</v>
      </c>
      <c r="D150" s="15" t="s">
        <v>80</v>
      </c>
      <c r="E150" s="15" t="s">
        <v>377</v>
      </c>
      <c r="F150" s="15">
        <v>58</v>
      </c>
      <c r="G150" s="15">
        <v>58</v>
      </c>
    </row>
    <row r="151" spans="1:7" x14ac:dyDescent="0.25">
      <c r="A151" s="15" t="s">
        <v>315</v>
      </c>
      <c r="B151" s="15" t="s">
        <v>316</v>
      </c>
      <c r="C151" s="16">
        <v>193.6</v>
      </c>
      <c r="D151" s="15" t="s">
        <v>80</v>
      </c>
      <c r="E151" s="15" t="s">
        <v>378</v>
      </c>
      <c r="F151" s="15">
        <v>16</v>
      </c>
      <c r="G151" s="15">
        <v>16</v>
      </c>
    </row>
    <row r="152" spans="1:7" x14ac:dyDescent="0.25">
      <c r="A152" s="15" t="s">
        <v>315</v>
      </c>
      <c r="B152" s="15" t="s">
        <v>316</v>
      </c>
      <c r="C152" s="16">
        <v>308</v>
      </c>
      <c r="D152" s="15" t="s">
        <v>379</v>
      </c>
      <c r="E152" s="15" t="s">
        <v>380</v>
      </c>
      <c r="F152" s="15">
        <v>22</v>
      </c>
      <c r="G152" s="15">
        <v>22</v>
      </c>
    </row>
    <row r="153" spans="1:7" x14ac:dyDescent="0.25">
      <c r="A153" s="15" t="s">
        <v>315</v>
      </c>
      <c r="B153" s="15" t="s">
        <v>316</v>
      </c>
      <c r="C153" s="16">
        <v>6.1</v>
      </c>
      <c r="D153" s="15" t="s">
        <v>381</v>
      </c>
      <c r="E153" s="15" t="s">
        <v>382</v>
      </c>
      <c r="F153" s="15">
        <v>1</v>
      </c>
      <c r="G153" s="15">
        <v>1</v>
      </c>
    </row>
    <row r="154" spans="1:7" x14ac:dyDescent="0.25">
      <c r="A154" s="15" t="s">
        <v>315</v>
      </c>
      <c r="B154" s="15" t="s">
        <v>316</v>
      </c>
      <c r="C154" s="16">
        <v>662.4</v>
      </c>
      <c r="D154" s="15" t="s">
        <v>238</v>
      </c>
      <c r="E154" s="15" t="s">
        <v>383</v>
      </c>
      <c r="F154" s="15">
        <v>48</v>
      </c>
      <c r="G154" s="15">
        <v>48</v>
      </c>
    </row>
    <row r="155" spans="1:7" x14ac:dyDescent="0.25">
      <c r="A155" s="15" t="s">
        <v>315</v>
      </c>
      <c r="B155" s="15" t="s">
        <v>316</v>
      </c>
      <c r="C155" s="16">
        <v>26.3</v>
      </c>
      <c r="D155" s="15" t="s">
        <v>90</v>
      </c>
      <c r="E155" s="15" t="s">
        <v>384</v>
      </c>
      <c r="F155" s="15">
        <v>5</v>
      </c>
      <c r="G155" s="15">
        <v>5</v>
      </c>
    </row>
    <row r="156" spans="1:7" x14ac:dyDescent="0.25">
      <c r="A156" s="15" t="s">
        <v>315</v>
      </c>
      <c r="B156" s="15" t="s">
        <v>316</v>
      </c>
      <c r="C156" s="16">
        <v>4.5</v>
      </c>
      <c r="D156" s="15" t="s">
        <v>385</v>
      </c>
      <c r="E156" s="15" t="s">
        <v>386</v>
      </c>
      <c r="F156" s="15">
        <v>2</v>
      </c>
      <c r="G156" s="15">
        <v>2</v>
      </c>
    </row>
    <row r="157" spans="1:7" x14ac:dyDescent="0.25">
      <c r="A157" s="15" t="s">
        <v>315</v>
      </c>
      <c r="B157" s="15" t="s">
        <v>316</v>
      </c>
      <c r="C157" s="16">
        <v>164.76</v>
      </c>
      <c r="D157" s="15" t="s">
        <v>132</v>
      </c>
      <c r="E157" s="15" t="s">
        <v>387</v>
      </c>
      <c r="F157" s="15">
        <v>13</v>
      </c>
      <c r="G157" s="15">
        <v>13</v>
      </c>
    </row>
    <row r="158" spans="1:7" x14ac:dyDescent="0.25">
      <c r="A158" s="15" t="s">
        <v>315</v>
      </c>
      <c r="B158" s="15" t="s">
        <v>316</v>
      </c>
      <c r="C158" s="16">
        <v>96.9</v>
      </c>
      <c r="D158" s="15" t="s">
        <v>123</v>
      </c>
      <c r="E158" s="15" t="s">
        <v>388</v>
      </c>
      <c r="F158" s="15">
        <v>19</v>
      </c>
      <c r="G158" s="15">
        <v>19</v>
      </c>
    </row>
    <row r="159" spans="1:7" x14ac:dyDescent="0.25">
      <c r="A159" s="15" t="s">
        <v>315</v>
      </c>
      <c r="B159" s="15" t="s">
        <v>316</v>
      </c>
      <c r="C159" s="16">
        <v>118.8</v>
      </c>
      <c r="D159" s="15" t="s">
        <v>389</v>
      </c>
      <c r="E159" s="15" t="s">
        <v>390</v>
      </c>
      <c r="F159" s="15">
        <v>24</v>
      </c>
      <c r="G159" s="15">
        <v>24</v>
      </c>
    </row>
    <row r="160" spans="1:7" x14ac:dyDescent="0.25">
      <c r="A160" s="15" t="s">
        <v>315</v>
      </c>
      <c r="B160" s="15" t="s">
        <v>316</v>
      </c>
      <c r="C160" s="16">
        <v>12.85</v>
      </c>
      <c r="D160" s="15" t="s">
        <v>391</v>
      </c>
      <c r="E160" s="15" t="s">
        <v>392</v>
      </c>
      <c r="F160" s="15">
        <v>8</v>
      </c>
      <c r="G160" s="15">
        <v>8</v>
      </c>
    </row>
    <row r="161" spans="1:7" x14ac:dyDescent="0.25">
      <c r="A161" s="15" t="s">
        <v>315</v>
      </c>
      <c r="B161" s="15" t="s">
        <v>316</v>
      </c>
      <c r="C161" s="16">
        <v>2.4</v>
      </c>
      <c r="D161" s="15" t="s">
        <v>393</v>
      </c>
      <c r="E161" s="15" t="s">
        <v>394</v>
      </c>
      <c r="F161" s="15">
        <v>6</v>
      </c>
      <c r="G161" s="15">
        <v>6</v>
      </c>
    </row>
    <row r="162" spans="1:7" x14ac:dyDescent="0.25">
      <c r="A162" s="15" t="s">
        <v>395</v>
      </c>
      <c r="B162" s="15" t="s">
        <v>396</v>
      </c>
      <c r="C162" s="16">
        <v>54</v>
      </c>
      <c r="D162" s="15" t="s">
        <v>67</v>
      </c>
      <c r="E162" s="15" t="s">
        <v>397</v>
      </c>
      <c r="F162" s="15">
        <v>12</v>
      </c>
      <c r="G162" s="15">
        <v>12</v>
      </c>
    </row>
    <row r="163" spans="1:7" x14ac:dyDescent="0.25">
      <c r="A163" s="15" t="s">
        <v>395</v>
      </c>
      <c r="B163" s="15" t="s">
        <v>396</v>
      </c>
      <c r="C163" s="16">
        <v>3532</v>
      </c>
      <c r="D163" s="15" t="s">
        <v>226</v>
      </c>
      <c r="E163" s="15" t="s">
        <v>398</v>
      </c>
      <c r="F163" s="15">
        <v>34</v>
      </c>
      <c r="G163" s="15">
        <v>34</v>
      </c>
    </row>
    <row r="164" spans="1:7" x14ac:dyDescent="0.25">
      <c r="A164" s="15" t="s">
        <v>395</v>
      </c>
      <c r="B164" s="15" t="s">
        <v>396</v>
      </c>
      <c r="C164" s="16">
        <v>11.2</v>
      </c>
      <c r="D164" s="15" t="s">
        <v>399</v>
      </c>
      <c r="E164" s="15" t="s">
        <v>400</v>
      </c>
      <c r="F164" s="15">
        <v>16</v>
      </c>
      <c r="G164" s="15">
        <v>16</v>
      </c>
    </row>
    <row r="165" spans="1:7" x14ac:dyDescent="0.25">
      <c r="A165" s="15" t="s">
        <v>395</v>
      </c>
      <c r="B165" s="15" t="s">
        <v>396</v>
      </c>
      <c r="C165" s="16">
        <v>66.5</v>
      </c>
      <c r="D165" s="15" t="s">
        <v>90</v>
      </c>
      <c r="E165" s="15" t="s">
        <v>401</v>
      </c>
      <c r="F165" s="15">
        <v>19</v>
      </c>
      <c r="G165" s="15">
        <v>19</v>
      </c>
    </row>
    <row r="166" spans="1:7" x14ac:dyDescent="0.25">
      <c r="A166" s="15" t="s">
        <v>395</v>
      </c>
      <c r="B166" s="15" t="s">
        <v>396</v>
      </c>
      <c r="C166" s="16">
        <v>698.1</v>
      </c>
      <c r="D166" s="15" t="s">
        <v>80</v>
      </c>
      <c r="E166" s="15" t="s">
        <v>402</v>
      </c>
      <c r="F166" s="15">
        <v>58</v>
      </c>
      <c r="G166" s="15">
        <v>58</v>
      </c>
    </row>
    <row r="167" spans="1:7" x14ac:dyDescent="0.25">
      <c r="A167" s="15" t="s">
        <v>395</v>
      </c>
      <c r="B167" s="15" t="s">
        <v>396</v>
      </c>
      <c r="C167" s="16">
        <v>212.85</v>
      </c>
      <c r="D167" s="15" t="s">
        <v>287</v>
      </c>
      <c r="E167" s="15" t="s">
        <v>403</v>
      </c>
      <c r="F167" s="15">
        <v>39</v>
      </c>
      <c r="G167" s="15">
        <v>39</v>
      </c>
    </row>
    <row r="168" spans="1:7" x14ac:dyDescent="0.25">
      <c r="A168" s="15" t="s">
        <v>395</v>
      </c>
      <c r="B168" s="15" t="s">
        <v>396</v>
      </c>
      <c r="C168" s="16">
        <v>111</v>
      </c>
      <c r="D168" s="15" t="s">
        <v>224</v>
      </c>
      <c r="E168" s="15" t="s">
        <v>404</v>
      </c>
      <c r="F168" s="15">
        <v>30</v>
      </c>
      <c r="G168" s="15">
        <v>30</v>
      </c>
    </row>
    <row r="169" spans="1:7" x14ac:dyDescent="0.25">
      <c r="A169" s="15" t="s">
        <v>395</v>
      </c>
      <c r="B169" s="15" t="s">
        <v>396</v>
      </c>
      <c r="C169" s="16">
        <v>329.7</v>
      </c>
      <c r="D169" s="15" t="s">
        <v>138</v>
      </c>
      <c r="E169" s="15" t="s">
        <v>405</v>
      </c>
      <c r="F169" s="15">
        <v>21</v>
      </c>
      <c r="G169" s="15">
        <v>21</v>
      </c>
    </row>
    <row r="170" spans="1:7" x14ac:dyDescent="0.25">
      <c r="A170" s="15" t="s">
        <v>395</v>
      </c>
      <c r="B170" s="15" t="s">
        <v>396</v>
      </c>
      <c r="C170" s="16">
        <v>42.75</v>
      </c>
      <c r="D170" s="15" t="s">
        <v>293</v>
      </c>
      <c r="E170" s="15" t="s">
        <v>406</v>
      </c>
      <c r="F170" s="15">
        <v>18</v>
      </c>
      <c r="G170" s="15">
        <v>18</v>
      </c>
    </row>
    <row r="171" spans="1:7" x14ac:dyDescent="0.25">
      <c r="A171" s="15" t="s">
        <v>395</v>
      </c>
      <c r="B171" s="15" t="s">
        <v>396</v>
      </c>
      <c r="C171" s="16">
        <v>97.5</v>
      </c>
      <c r="D171" s="15" t="s">
        <v>407</v>
      </c>
      <c r="E171" s="15" t="s">
        <v>408</v>
      </c>
      <c r="F171" s="15">
        <v>13</v>
      </c>
      <c r="G171" s="15">
        <v>13</v>
      </c>
    </row>
    <row r="172" spans="1:7" x14ac:dyDescent="0.25">
      <c r="A172" s="15" t="s">
        <v>395</v>
      </c>
      <c r="B172" s="15" t="s">
        <v>396</v>
      </c>
      <c r="C172" s="16">
        <v>132.30000000000001</v>
      </c>
      <c r="D172" s="15" t="s">
        <v>149</v>
      </c>
      <c r="E172" s="15" t="s">
        <v>409</v>
      </c>
      <c r="F172" s="15">
        <v>21</v>
      </c>
      <c r="G172" s="15">
        <v>21</v>
      </c>
    </row>
    <row r="173" spans="1:7" x14ac:dyDescent="0.25">
      <c r="A173" s="15" t="s">
        <v>395</v>
      </c>
      <c r="B173" s="15" t="s">
        <v>396</v>
      </c>
      <c r="C173" s="16">
        <v>3690.8</v>
      </c>
      <c r="D173" s="15" t="s">
        <v>98</v>
      </c>
      <c r="E173" s="15" t="s">
        <v>350</v>
      </c>
      <c r="F173" s="15">
        <v>32</v>
      </c>
      <c r="G173" s="15">
        <v>32</v>
      </c>
    </row>
    <row r="174" spans="1:7" x14ac:dyDescent="0.25">
      <c r="A174" s="15" t="s">
        <v>395</v>
      </c>
      <c r="B174" s="15" t="s">
        <v>396</v>
      </c>
      <c r="C174" s="16">
        <v>72</v>
      </c>
      <c r="D174" s="15" t="s">
        <v>410</v>
      </c>
      <c r="E174" s="15" t="s">
        <v>411</v>
      </c>
      <c r="F174" s="15">
        <v>9</v>
      </c>
      <c r="G174" s="15">
        <v>9</v>
      </c>
    </row>
    <row r="175" spans="1:7" x14ac:dyDescent="0.25">
      <c r="A175" s="15" t="s">
        <v>395</v>
      </c>
      <c r="B175" s="15" t="s">
        <v>396</v>
      </c>
      <c r="C175" s="16">
        <v>28</v>
      </c>
      <c r="D175" s="15" t="s">
        <v>412</v>
      </c>
      <c r="E175" s="15" t="s">
        <v>413</v>
      </c>
      <c r="F175" s="15">
        <v>14</v>
      </c>
      <c r="G175" s="15">
        <v>14</v>
      </c>
    </row>
    <row r="176" spans="1:7" x14ac:dyDescent="0.25">
      <c r="A176" s="15" t="s">
        <v>395</v>
      </c>
      <c r="B176" s="15" t="s">
        <v>396</v>
      </c>
      <c r="C176" s="16">
        <v>54</v>
      </c>
      <c r="D176" s="15" t="s">
        <v>238</v>
      </c>
      <c r="E176" s="15" t="s">
        <v>414</v>
      </c>
      <c r="F176" s="15">
        <v>15</v>
      </c>
      <c r="G176" s="15">
        <v>15</v>
      </c>
    </row>
    <row r="177" spans="1:7" x14ac:dyDescent="0.25">
      <c r="A177" s="15" t="s">
        <v>395</v>
      </c>
      <c r="B177" s="15" t="s">
        <v>396</v>
      </c>
      <c r="C177" s="16">
        <v>88.8</v>
      </c>
      <c r="D177" s="15" t="s">
        <v>80</v>
      </c>
      <c r="E177" s="15" t="s">
        <v>415</v>
      </c>
      <c r="F177" s="15">
        <v>12</v>
      </c>
      <c r="G177" s="15">
        <v>12</v>
      </c>
    </row>
    <row r="178" spans="1:7" x14ac:dyDescent="0.25">
      <c r="A178" s="15" t="s">
        <v>395</v>
      </c>
      <c r="B178" s="15" t="s">
        <v>396</v>
      </c>
      <c r="C178" s="16">
        <v>61.6</v>
      </c>
      <c r="D178" s="15" t="s">
        <v>185</v>
      </c>
      <c r="E178" s="15" t="s">
        <v>416</v>
      </c>
      <c r="F178" s="15">
        <v>11</v>
      </c>
      <c r="G178" s="15">
        <v>11</v>
      </c>
    </row>
    <row r="179" spans="1:7" x14ac:dyDescent="0.25">
      <c r="A179" s="15" t="s">
        <v>395</v>
      </c>
      <c r="B179" s="15" t="s">
        <v>396</v>
      </c>
      <c r="C179" s="16">
        <v>337.6</v>
      </c>
      <c r="D179" s="15" t="s">
        <v>269</v>
      </c>
      <c r="E179" s="15" t="s">
        <v>270</v>
      </c>
      <c r="F179" s="15">
        <v>16</v>
      </c>
      <c r="G179" s="15">
        <v>16</v>
      </c>
    </row>
    <row r="180" spans="1:7" x14ac:dyDescent="0.25">
      <c r="A180" s="15" t="s">
        <v>395</v>
      </c>
      <c r="B180" s="15" t="s">
        <v>396</v>
      </c>
      <c r="C180" s="16">
        <v>414.4</v>
      </c>
      <c r="D180" s="15" t="s">
        <v>80</v>
      </c>
      <c r="E180" s="15" t="s">
        <v>417</v>
      </c>
      <c r="F180" s="15">
        <v>21</v>
      </c>
      <c r="G180" s="15">
        <v>21</v>
      </c>
    </row>
    <row r="181" spans="1:7" x14ac:dyDescent="0.25">
      <c r="A181" s="15" t="s">
        <v>395</v>
      </c>
      <c r="B181" s="15" t="s">
        <v>396</v>
      </c>
      <c r="C181" s="16">
        <v>44.1</v>
      </c>
      <c r="D181" s="15" t="s">
        <v>301</v>
      </c>
      <c r="E181" s="15" t="s">
        <v>418</v>
      </c>
      <c r="F181" s="15">
        <v>9</v>
      </c>
      <c r="G181" s="15">
        <v>9</v>
      </c>
    </row>
    <row r="182" spans="1:7" x14ac:dyDescent="0.25">
      <c r="A182" s="15" t="s">
        <v>395</v>
      </c>
      <c r="B182" s="15" t="s">
        <v>396</v>
      </c>
      <c r="C182" s="16">
        <v>405.9</v>
      </c>
      <c r="D182" s="15" t="s">
        <v>80</v>
      </c>
      <c r="E182" s="15" t="s">
        <v>419</v>
      </c>
      <c r="F182" s="15">
        <v>55</v>
      </c>
      <c r="G182" s="15">
        <v>55</v>
      </c>
    </row>
    <row r="183" spans="1:7" x14ac:dyDescent="0.25">
      <c r="A183" s="15" t="s">
        <v>395</v>
      </c>
      <c r="B183" s="15" t="s">
        <v>396</v>
      </c>
      <c r="C183" s="16">
        <v>58.5</v>
      </c>
      <c r="D183" s="15" t="s">
        <v>285</v>
      </c>
      <c r="E183" s="15" t="s">
        <v>420</v>
      </c>
      <c r="F183" s="15">
        <v>15</v>
      </c>
      <c r="G183" s="15">
        <v>15</v>
      </c>
    </row>
    <row r="184" spans="1:7" x14ac:dyDescent="0.25">
      <c r="A184" s="15" t="s">
        <v>395</v>
      </c>
      <c r="B184" s="15" t="s">
        <v>396</v>
      </c>
      <c r="C184" s="16">
        <v>296.2</v>
      </c>
      <c r="D184" s="15" t="s">
        <v>138</v>
      </c>
      <c r="E184" s="15" t="s">
        <v>421</v>
      </c>
      <c r="F184" s="15">
        <v>22</v>
      </c>
      <c r="G184" s="15">
        <v>22</v>
      </c>
    </row>
    <row r="185" spans="1:7" x14ac:dyDescent="0.25">
      <c r="A185" s="15" t="s">
        <v>395</v>
      </c>
      <c r="B185" s="15" t="s">
        <v>396</v>
      </c>
      <c r="C185" s="16">
        <v>40</v>
      </c>
      <c r="D185" s="15" t="s">
        <v>422</v>
      </c>
      <c r="E185" s="15" t="s">
        <v>423</v>
      </c>
      <c r="F185" s="15">
        <v>20</v>
      </c>
      <c r="G185" s="15">
        <v>20</v>
      </c>
    </row>
    <row r="186" spans="1:7" x14ac:dyDescent="0.25">
      <c r="A186" s="15" t="s">
        <v>395</v>
      </c>
      <c r="B186" s="15" t="s">
        <v>396</v>
      </c>
      <c r="C186" s="16">
        <v>1820.1</v>
      </c>
      <c r="D186" s="15" t="s">
        <v>424</v>
      </c>
      <c r="E186" s="15" t="s">
        <v>425</v>
      </c>
      <c r="F186" s="15">
        <v>116</v>
      </c>
      <c r="G186" s="15">
        <v>116</v>
      </c>
    </row>
    <row r="187" spans="1:7" x14ac:dyDescent="0.25">
      <c r="A187" s="15" t="s">
        <v>395</v>
      </c>
      <c r="B187" s="15" t="s">
        <v>396</v>
      </c>
      <c r="C187" s="16">
        <v>103</v>
      </c>
      <c r="D187" s="15" t="s">
        <v>194</v>
      </c>
      <c r="E187" s="15" t="s">
        <v>426</v>
      </c>
      <c r="F187" s="15">
        <v>48</v>
      </c>
      <c r="G187" s="15">
        <v>48</v>
      </c>
    </row>
    <row r="188" spans="1:7" x14ac:dyDescent="0.25">
      <c r="A188" s="15" t="s">
        <v>395</v>
      </c>
      <c r="B188" s="15" t="s">
        <v>396</v>
      </c>
      <c r="C188" s="16">
        <v>22</v>
      </c>
      <c r="D188" s="15" t="s">
        <v>427</v>
      </c>
      <c r="E188" s="15" t="s">
        <v>428</v>
      </c>
      <c r="F188" s="15">
        <v>10</v>
      </c>
      <c r="G188" s="15">
        <v>10</v>
      </c>
    </row>
    <row r="189" spans="1:7" x14ac:dyDescent="0.25">
      <c r="A189" s="15" t="s">
        <v>429</v>
      </c>
      <c r="B189" s="15" t="s">
        <v>430</v>
      </c>
      <c r="C189" s="16">
        <v>3688.8</v>
      </c>
      <c r="D189" s="15" t="s">
        <v>226</v>
      </c>
      <c r="E189" s="15" t="s">
        <v>398</v>
      </c>
      <c r="F189" s="15">
        <v>37</v>
      </c>
      <c r="G189" s="15">
        <v>37</v>
      </c>
    </row>
    <row r="190" spans="1:7" x14ac:dyDescent="0.25">
      <c r="A190" s="15" t="s">
        <v>429</v>
      </c>
      <c r="B190" s="15" t="s">
        <v>430</v>
      </c>
      <c r="C190" s="16">
        <v>126</v>
      </c>
      <c r="D190" s="15" t="s">
        <v>431</v>
      </c>
      <c r="E190" s="15" t="s">
        <v>432</v>
      </c>
      <c r="F190" s="15">
        <v>28</v>
      </c>
      <c r="G190" s="15">
        <v>28</v>
      </c>
    </row>
    <row r="191" spans="1:7" x14ac:dyDescent="0.25">
      <c r="A191" s="15" t="s">
        <v>429</v>
      </c>
      <c r="B191" s="15" t="s">
        <v>430</v>
      </c>
      <c r="C191" s="16">
        <v>42.65</v>
      </c>
      <c r="D191" s="15" t="s">
        <v>295</v>
      </c>
      <c r="E191" s="15" t="s">
        <v>433</v>
      </c>
      <c r="F191" s="15">
        <v>32</v>
      </c>
      <c r="G191" s="15">
        <v>32</v>
      </c>
    </row>
    <row r="192" spans="1:7" x14ac:dyDescent="0.25">
      <c r="A192" s="15" t="s">
        <v>429</v>
      </c>
      <c r="B192" s="15" t="s">
        <v>430</v>
      </c>
      <c r="C192" s="16">
        <v>188.5</v>
      </c>
      <c r="D192" s="15" t="s">
        <v>427</v>
      </c>
      <c r="E192" s="15" t="s">
        <v>434</v>
      </c>
      <c r="F192" s="15">
        <v>29</v>
      </c>
      <c r="G192" s="15">
        <v>29</v>
      </c>
    </row>
    <row r="193" spans="1:7" x14ac:dyDescent="0.25">
      <c r="A193" s="15" t="s">
        <v>429</v>
      </c>
      <c r="B193" s="15" t="s">
        <v>430</v>
      </c>
      <c r="C193" s="16">
        <v>2157.8000000000002</v>
      </c>
      <c r="D193" s="15" t="s">
        <v>80</v>
      </c>
      <c r="E193" s="15" t="s">
        <v>402</v>
      </c>
      <c r="F193" s="15">
        <v>161</v>
      </c>
      <c r="G193" s="15">
        <v>161</v>
      </c>
    </row>
    <row r="194" spans="1:7" x14ac:dyDescent="0.25">
      <c r="A194" s="15" t="s">
        <v>429</v>
      </c>
      <c r="B194" s="15" t="s">
        <v>430</v>
      </c>
      <c r="C194" s="16">
        <v>108</v>
      </c>
      <c r="D194" s="15" t="s">
        <v>325</v>
      </c>
      <c r="E194" s="15" t="s">
        <v>326</v>
      </c>
      <c r="F194" s="15">
        <v>9</v>
      </c>
      <c r="G194" s="15">
        <v>9</v>
      </c>
    </row>
    <row r="195" spans="1:7" x14ac:dyDescent="0.25">
      <c r="A195" s="15" t="s">
        <v>429</v>
      </c>
      <c r="B195" s="15" t="s">
        <v>430</v>
      </c>
      <c r="C195" s="16">
        <v>40.33</v>
      </c>
      <c r="D195" s="15" t="s">
        <v>435</v>
      </c>
      <c r="E195" s="15" t="s">
        <v>436</v>
      </c>
      <c r="F195" s="15">
        <v>4</v>
      </c>
      <c r="G195" s="15">
        <v>4</v>
      </c>
    </row>
    <row r="196" spans="1:7" x14ac:dyDescent="0.25">
      <c r="A196" s="15" t="s">
        <v>429</v>
      </c>
      <c r="B196" s="15" t="s">
        <v>430</v>
      </c>
      <c r="C196" s="16">
        <v>11.24</v>
      </c>
      <c r="D196" s="15" t="s">
        <v>437</v>
      </c>
      <c r="E196" s="15" t="s">
        <v>438</v>
      </c>
      <c r="F196" s="15">
        <v>4</v>
      </c>
      <c r="G196" s="15">
        <v>4</v>
      </c>
    </row>
    <row r="197" spans="1:7" x14ac:dyDescent="0.25">
      <c r="A197" s="15" t="s">
        <v>429</v>
      </c>
      <c r="B197" s="15" t="s">
        <v>430</v>
      </c>
      <c r="C197" s="16">
        <v>1893.5</v>
      </c>
      <c r="D197" s="15" t="s">
        <v>439</v>
      </c>
      <c r="E197" s="15" t="s">
        <v>440</v>
      </c>
      <c r="F197" s="15">
        <v>95</v>
      </c>
      <c r="G197" s="15">
        <v>95</v>
      </c>
    </row>
    <row r="198" spans="1:7" x14ac:dyDescent="0.25">
      <c r="A198" s="15" t="s">
        <v>429</v>
      </c>
      <c r="B198" s="15" t="s">
        <v>430</v>
      </c>
      <c r="C198" s="16">
        <v>1119.83</v>
      </c>
      <c r="D198" s="15" t="s">
        <v>132</v>
      </c>
      <c r="E198" s="15" t="s">
        <v>133</v>
      </c>
      <c r="F198" s="15">
        <v>103</v>
      </c>
      <c r="G198" s="15">
        <v>103</v>
      </c>
    </row>
    <row r="199" spans="1:7" x14ac:dyDescent="0.25">
      <c r="A199" s="15" t="s">
        <v>429</v>
      </c>
      <c r="B199" s="15" t="s">
        <v>430</v>
      </c>
      <c r="C199" s="16">
        <v>3.6</v>
      </c>
      <c r="D199" s="15" t="s">
        <v>441</v>
      </c>
      <c r="E199" s="15" t="s">
        <v>442</v>
      </c>
      <c r="F199" s="15">
        <v>2</v>
      </c>
      <c r="G199" s="15">
        <v>2</v>
      </c>
    </row>
    <row r="200" spans="1:7" x14ac:dyDescent="0.25">
      <c r="A200" s="15" t="s">
        <v>429</v>
      </c>
      <c r="B200" s="15" t="s">
        <v>430</v>
      </c>
      <c r="C200" s="16">
        <v>3.2</v>
      </c>
      <c r="D200" s="15" t="s">
        <v>407</v>
      </c>
      <c r="E200" s="15" t="s">
        <v>408</v>
      </c>
      <c r="F200" s="15">
        <v>2</v>
      </c>
      <c r="G200" s="15">
        <v>2</v>
      </c>
    </row>
    <row r="201" spans="1:7" x14ac:dyDescent="0.25">
      <c r="A201" s="15" t="s">
        <v>429</v>
      </c>
      <c r="B201" s="15" t="s">
        <v>430</v>
      </c>
      <c r="C201" s="16">
        <v>3.8</v>
      </c>
      <c r="D201" s="15" t="s">
        <v>243</v>
      </c>
      <c r="E201" s="15" t="s">
        <v>443</v>
      </c>
      <c r="F201" s="15">
        <v>1</v>
      </c>
      <c r="G201" s="15">
        <v>1</v>
      </c>
    </row>
    <row r="202" spans="1:7" x14ac:dyDescent="0.25">
      <c r="A202" s="15" t="s">
        <v>429</v>
      </c>
      <c r="B202" s="15" t="s">
        <v>430</v>
      </c>
      <c r="C202" s="16">
        <v>12</v>
      </c>
      <c r="D202" s="15" t="s">
        <v>228</v>
      </c>
      <c r="E202" s="15" t="s">
        <v>444</v>
      </c>
      <c r="F202" s="15">
        <v>1</v>
      </c>
      <c r="G202" s="15">
        <v>1</v>
      </c>
    </row>
    <row r="203" spans="1:7" x14ac:dyDescent="0.25">
      <c r="A203" s="15" t="s">
        <v>429</v>
      </c>
      <c r="B203" s="15" t="s">
        <v>430</v>
      </c>
      <c r="C203" s="16">
        <v>218.4</v>
      </c>
      <c r="D203" s="15" t="s">
        <v>263</v>
      </c>
      <c r="E203" s="15" t="s">
        <v>445</v>
      </c>
      <c r="F203" s="15">
        <v>56</v>
      </c>
      <c r="G203" s="15">
        <v>56</v>
      </c>
    </row>
    <row r="204" spans="1:7" x14ac:dyDescent="0.25">
      <c r="A204" s="15" t="s">
        <v>429</v>
      </c>
      <c r="B204" s="15" t="s">
        <v>430</v>
      </c>
      <c r="C204" s="16">
        <v>218.4</v>
      </c>
      <c r="D204" s="15" t="s">
        <v>258</v>
      </c>
      <c r="E204" s="15" t="s">
        <v>446</v>
      </c>
      <c r="F204" s="15">
        <v>78</v>
      </c>
      <c r="G204" s="15">
        <v>78</v>
      </c>
    </row>
    <row r="205" spans="1:7" x14ac:dyDescent="0.25">
      <c r="A205" s="15" t="s">
        <v>429</v>
      </c>
      <c r="B205" s="15" t="s">
        <v>430</v>
      </c>
      <c r="C205" s="16">
        <v>111.6</v>
      </c>
      <c r="D205" s="15" t="s">
        <v>447</v>
      </c>
      <c r="E205" s="15" t="s">
        <v>448</v>
      </c>
      <c r="F205" s="15">
        <v>36</v>
      </c>
      <c r="G205" s="15">
        <v>36</v>
      </c>
    </row>
    <row r="206" spans="1:7" x14ac:dyDescent="0.25">
      <c r="A206" s="15" t="s">
        <v>429</v>
      </c>
      <c r="B206" s="15" t="s">
        <v>430</v>
      </c>
      <c r="C206" s="16">
        <v>192.8</v>
      </c>
      <c r="D206" s="15" t="s">
        <v>80</v>
      </c>
      <c r="E206" s="15" t="s">
        <v>449</v>
      </c>
      <c r="F206" s="15">
        <v>2</v>
      </c>
      <c r="G206" s="15">
        <v>2</v>
      </c>
    </row>
    <row r="207" spans="1:7" x14ac:dyDescent="0.25">
      <c r="A207" s="15" t="s">
        <v>429</v>
      </c>
      <c r="B207" s="15" t="s">
        <v>430</v>
      </c>
      <c r="C207" s="16">
        <v>2398</v>
      </c>
      <c r="D207" s="15" t="s">
        <v>80</v>
      </c>
      <c r="E207" s="15" t="s">
        <v>450</v>
      </c>
      <c r="F207" s="15">
        <v>109</v>
      </c>
      <c r="G207" s="15">
        <v>109</v>
      </c>
    </row>
    <row r="208" spans="1:7" x14ac:dyDescent="0.25">
      <c r="A208" s="15" t="s">
        <v>429</v>
      </c>
      <c r="B208" s="15" t="s">
        <v>430</v>
      </c>
      <c r="C208" s="16">
        <v>129.5</v>
      </c>
      <c r="D208" s="15" t="s">
        <v>451</v>
      </c>
      <c r="E208" s="15" t="s">
        <v>452</v>
      </c>
      <c r="F208" s="15">
        <v>35</v>
      </c>
      <c r="G208" s="15">
        <v>35</v>
      </c>
    </row>
    <row r="209" spans="1:7" x14ac:dyDescent="0.25">
      <c r="A209" s="15" t="s">
        <v>429</v>
      </c>
      <c r="B209" s="15" t="s">
        <v>430</v>
      </c>
      <c r="C209" s="16">
        <v>1193.6099999999999</v>
      </c>
      <c r="D209" s="15" t="s">
        <v>80</v>
      </c>
      <c r="E209" s="15" t="s">
        <v>417</v>
      </c>
      <c r="F209" s="15">
        <v>49</v>
      </c>
      <c r="G209" s="15">
        <v>49</v>
      </c>
    </row>
    <row r="210" spans="1:7" x14ac:dyDescent="0.25">
      <c r="A210" s="15" t="s">
        <v>429</v>
      </c>
      <c r="B210" s="15" t="s">
        <v>430</v>
      </c>
      <c r="C210" s="16">
        <v>276</v>
      </c>
      <c r="D210" s="15" t="s">
        <v>453</v>
      </c>
      <c r="E210" s="15" t="s">
        <v>454</v>
      </c>
      <c r="F210" s="15">
        <v>46</v>
      </c>
      <c r="G210" s="15">
        <v>46</v>
      </c>
    </row>
    <row r="211" spans="1:7" x14ac:dyDescent="0.25">
      <c r="A211" s="15" t="s">
        <v>429</v>
      </c>
      <c r="B211" s="15" t="s">
        <v>430</v>
      </c>
      <c r="C211" s="16">
        <v>196.1</v>
      </c>
      <c r="D211" s="15" t="s">
        <v>455</v>
      </c>
      <c r="E211" s="15" t="s">
        <v>456</v>
      </c>
      <c r="F211" s="15">
        <v>37</v>
      </c>
      <c r="G211" s="15">
        <v>37</v>
      </c>
    </row>
    <row r="212" spans="1:7" x14ac:dyDescent="0.25">
      <c r="A212" s="15" t="s">
        <v>429</v>
      </c>
      <c r="B212" s="15" t="s">
        <v>430</v>
      </c>
      <c r="C212" s="16">
        <v>2.7</v>
      </c>
      <c r="D212" s="15" t="s">
        <v>88</v>
      </c>
      <c r="E212" s="15" t="s">
        <v>457</v>
      </c>
      <c r="F212" s="15">
        <v>1</v>
      </c>
      <c r="G212" s="15">
        <v>1</v>
      </c>
    </row>
    <row r="213" spans="1:7" x14ac:dyDescent="0.25">
      <c r="A213" s="15" t="s">
        <v>429</v>
      </c>
      <c r="B213" s="15" t="s">
        <v>430</v>
      </c>
      <c r="C213" s="16">
        <v>5</v>
      </c>
      <c r="D213" s="15" t="s">
        <v>458</v>
      </c>
      <c r="E213" s="15" t="s">
        <v>459</v>
      </c>
      <c r="F213" s="15">
        <v>1</v>
      </c>
      <c r="G213" s="15">
        <v>1</v>
      </c>
    </row>
    <row r="214" spans="1:7" x14ac:dyDescent="0.25">
      <c r="A214" s="15" t="s">
        <v>429</v>
      </c>
      <c r="B214" s="15" t="s">
        <v>430</v>
      </c>
      <c r="C214" s="16">
        <v>3.5</v>
      </c>
      <c r="D214" s="15" t="s">
        <v>179</v>
      </c>
      <c r="E214" s="15" t="s">
        <v>460</v>
      </c>
      <c r="F214" s="15">
        <v>2</v>
      </c>
      <c r="G214" s="15">
        <v>2</v>
      </c>
    </row>
    <row r="215" spans="1:7" x14ac:dyDescent="0.25">
      <c r="A215" s="15" t="s">
        <v>429</v>
      </c>
      <c r="B215" s="15" t="s">
        <v>430</v>
      </c>
      <c r="C215" s="16">
        <v>3.9</v>
      </c>
      <c r="D215" s="15" t="s">
        <v>123</v>
      </c>
      <c r="E215" s="15" t="s">
        <v>388</v>
      </c>
      <c r="F215" s="15">
        <v>5</v>
      </c>
      <c r="G215" s="15">
        <v>5</v>
      </c>
    </row>
    <row r="216" spans="1:7" x14ac:dyDescent="0.25">
      <c r="A216" s="15" t="s">
        <v>429</v>
      </c>
      <c r="B216" s="15" t="s">
        <v>430</v>
      </c>
      <c r="C216" s="16">
        <v>749.04</v>
      </c>
      <c r="D216" s="15" t="s">
        <v>424</v>
      </c>
      <c r="E216" s="15" t="s">
        <v>425</v>
      </c>
      <c r="F216" s="15">
        <v>53</v>
      </c>
      <c r="G216" s="15">
        <v>53</v>
      </c>
    </row>
    <row r="217" spans="1:7" x14ac:dyDescent="0.25">
      <c r="A217" s="15" t="s">
        <v>429</v>
      </c>
      <c r="B217" s="15" t="s">
        <v>430</v>
      </c>
      <c r="C217" s="16">
        <v>67.2</v>
      </c>
      <c r="D217" s="15" t="s">
        <v>194</v>
      </c>
      <c r="E217" s="15" t="s">
        <v>426</v>
      </c>
      <c r="F217" s="15">
        <v>32</v>
      </c>
      <c r="G217" s="15">
        <v>32</v>
      </c>
    </row>
    <row r="218" spans="1:7" x14ac:dyDescent="0.25">
      <c r="A218" s="15" t="s">
        <v>429</v>
      </c>
      <c r="B218" s="15" t="s">
        <v>430</v>
      </c>
      <c r="C218" s="16">
        <v>145.97999999999999</v>
      </c>
      <c r="D218" s="15" t="s">
        <v>256</v>
      </c>
      <c r="E218" s="15" t="s">
        <v>461</v>
      </c>
      <c r="F218" s="15">
        <v>10</v>
      </c>
      <c r="G218" s="15">
        <v>10</v>
      </c>
    </row>
    <row r="219" spans="1:7" x14ac:dyDescent="0.25">
      <c r="A219" s="15" t="s">
        <v>462</v>
      </c>
      <c r="B219" s="15" t="s">
        <v>463</v>
      </c>
      <c r="C219" s="16">
        <v>196</v>
      </c>
      <c r="D219" s="15" t="s">
        <v>156</v>
      </c>
      <c r="E219" s="15" t="s">
        <v>317</v>
      </c>
      <c r="F219" s="15">
        <v>49</v>
      </c>
      <c r="G219" s="15">
        <v>49</v>
      </c>
    </row>
    <row r="220" spans="1:7" x14ac:dyDescent="0.25">
      <c r="A220" s="15" t="s">
        <v>462</v>
      </c>
      <c r="B220" s="15" t="s">
        <v>463</v>
      </c>
      <c r="C220" s="16">
        <v>93.2</v>
      </c>
      <c r="D220" s="15" t="s">
        <v>464</v>
      </c>
      <c r="E220" s="15" t="s">
        <v>465</v>
      </c>
      <c r="F220" s="15">
        <v>8</v>
      </c>
      <c r="G220" s="15">
        <v>8</v>
      </c>
    </row>
    <row r="221" spans="1:7" x14ac:dyDescent="0.25">
      <c r="A221" s="15" t="s">
        <v>462</v>
      </c>
      <c r="B221" s="15" t="s">
        <v>463</v>
      </c>
      <c r="C221" s="16">
        <v>5.6</v>
      </c>
      <c r="D221" s="15" t="s">
        <v>466</v>
      </c>
      <c r="E221" s="15" t="s">
        <v>467</v>
      </c>
      <c r="F221" s="15">
        <v>2</v>
      </c>
      <c r="G221" s="15">
        <v>2</v>
      </c>
    </row>
    <row r="222" spans="1:7" x14ac:dyDescent="0.25">
      <c r="A222" s="15" t="s">
        <v>462</v>
      </c>
      <c r="B222" s="15" t="s">
        <v>463</v>
      </c>
      <c r="C222" s="16">
        <v>98.9</v>
      </c>
      <c r="D222" s="15" t="s">
        <v>320</v>
      </c>
      <c r="E222" s="15" t="s">
        <v>321</v>
      </c>
      <c r="F222" s="15">
        <v>23</v>
      </c>
      <c r="G222" s="15">
        <v>23</v>
      </c>
    </row>
    <row r="223" spans="1:7" x14ac:dyDescent="0.25">
      <c r="A223" s="15" t="s">
        <v>462</v>
      </c>
      <c r="B223" s="15" t="s">
        <v>463</v>
      </c>
      <c r="C223" s="16">
        <v>217.8</v>
      </c>
      <c r="D223" s="15" t="s">
        <v>468</v>
      </c>
      <c r="E223" s="15" t="s">
        <v>469</v>
      </c>
      <c r="F223" s="15">
        <v>44</v>
      </c>
      <c r="G223" s="15">
        <v>44</v>
      </c>
    </row>
    <row r="224" spans="1:7" x14ac:dyDescent="0.25">
      <c r="A224" s="15" t="s">
        <v>462</v>
      </c>
      <c r="B224" s="15" t="s">
        <v>463</v>
      </c>
      <c r="C224" s="16">
        <v>18.04</v>
      </c>
      <c r="D224" s="15" t="s">
        <v>470</v>
      </c>
      <c r="E224" s="15" t="s">
        <v>471</v>
      </c>
      <c r="F224" s="15">
        <v>2</v>
      </c>
      <c r="G224" s="15">
        <v>2</v>
      </c>
    </row>
    <row r="225" spans="1:7" x14ac:dyDescent="0.25">
      <c r="A225" s="15" t="s">
        <v>462</v>
      </c>
      <c r="B225" s="15" t="s">
        <v>463</v>
      </c>
      <c r="C225" s="16">
        <v>6.45</v>
      </c>
      <c r="D225" s="15" t="s">
        <v>132</v>
      </c>
      <c r="E225" s="15" t="s">
        <v>472</v>
      </c>
      <c r="F225" s="15">
        <v>1</v>
      </c>
      <c r="G225" s="15">
        <v>1</v>
      </c>
    </row>
    <row r="226" spans="1:7" x14ac:dyDescent="0.25">
      <c r="A226" s="15" t="s">
        <v>462</v>
      </c>
      <c r="B226" s="15" t="s">
        <v>463</v>
      </c>
      <c r="C226" s="16">
        <v>0.9</v>
      </c>
      <c r="D226" s="15" t="s">
        <v>248</v>
      </c>
      <c r="E226" s="15" t="s">
        <v>473</v>
      </c>
      <c r="F226" s="15">
        <v>1</v>
      </c>
      <c r="G226" s="15">
        <v>1</v>
      </c>
    </row>
    <row r="227" spans="1:7" x14ac:dyDescent="0.25">
      <c r="A227" s="15" t="s">
        <v>462</v>
      </c>
      <c r="B227" s="15" t="s">
        <v>463</v>
      </c>
      <c r="C227" s="16">
        <v>20.7</v>
      </c>
      <c r="D227" s="15" t="s">
        <v>80</v>
      </c>
      <c r="E227" s="15" t="s">
        <v>474</v>
      </c>
      <c r="F227" s="15">
        <v>1</v>
      </c>
      <c r="G227" s="15">
        <v>1</v>
      </c>
    </row>
    <row r="228" spans="1:7" x14ac:dyDescent="0.25">
      <c r="A228" s="15" t="s">
        <v>462</v>
      </c>
      <c r="B228" s="15" t="s">
        <v>463</v>
      </c>
      <c r="C228" s="16">
        <v>22.5</v>
      </c>
      <c r="D228" s="15" t="s">
        <v>80</v>
      </c>
      <c r="E228" s="15" t="s">
        <v>322</v>
      </c>
      <c r="F228" s="15">
        <v>3</v>
      </c>
      <c r="G228" s="15">
        <v>3</v>
      </c>
    </row>
    <row r="229" spans="1:7" x14ac:dyDescent="0.25">
      <c r="A229" s="15" t="s">
        <v>462</v>
      </c>
      <c r="B229" s="15" t="s">
        <v>463</v>
      </c>
      <c r="C229" s="16">
        <v>173.7</v>
      </c>
      <c r="D229" s="15" t="s">
        <v>90</v>
      </c>
      <c r="E229" s="15" t="s">
        <v>475</v>
      </c>
      <c r="F229" s="15">
        <v>27</v>
      </c>
      <c r="G229" s="15">
        <v>27</v>
      </c>
    </row>
    <row r="230" spans="1:7" x14ac:dyDescent="0.25">
      <c r="A230" s="15" t="s">
        <v>462</v>
      </c>
      <c r="B230" s="15" t="s">
        <v>463</v>
      </c>
      <c r="C230" s="16">
        <v>506.15</v>
      </c>
      <c r="D230" s="15" t="s">
        <v>325</v>
      </c>
      <c r="E230" s="15" t="s">
        <v>326</v>
      </c>
      <c r="F230" s="15">
        <v>89</v>
      </c>
      <c r="G230" s="15">
        <v>89</v>
      </c>
    </row>
    <row r="231" spans="1:7" x14ac:dyDescent="0.25">
      <c r="A231" s="15" t="s">
        <v>462</v>
      </c>
      <c r="B231" s="15" t="s">
        <v>463</v>
      </c>
      <c r="C231" s="16">
        <v>2.7</v>
      </c>
      <c r="D231" s="15" t="s">
        <v>109</v>
      </c>
      <c r="E231" s="15" t="s">
        <v>476</v>
      </c>
      <c r="F231" s="15">
        <v>2</v>
      </c>
      <c r="G231" s="15">
        <v>2</v>
      </c>
    </row>
    <row r="232" spans="1:7" x14ac:dyDescent="0.25">
      <c r="A232" s="15" t="s">
        <v>462</v>
      </c>
      <c r="B232" s="15" t="s">
        <v>463</v>
      </c>
      <c r="C232" s="16">
        <v>664.55</v>
      </c>
      <c r="D232" s="15" t="s">
        <v>281</v>
      </c>
      <c r="E232" s="15" t="s">
        <v>328</v>
      </c>
      <c r="F232" s="15">
        <v>33</v>
      </c>
      <c r="G232" s="15">
        <v>33</v>
      </c>
    </row>
    <row r="233" spans="1:7" x14ac:dyDescent="0.25">
      <c r="A233" s="15" t="s">
        <v>462</v>
      </c>
      <c r="B233" s="15" t="s">
        <v>463</v>
      </c>
      <c r="C233" s="16">
        <v>436.6</v>
      </c>
      <c r="D233" s="15" t="s">
        <v>466</v>
      </c>
      <c r="E233" s="15" t="s">
        <v>477</v>
      </c>
      <c r="F233" s="15">
        <v>37</v>
      </c>
      <c r="G233" s="15">
        <v>37</v>
      </c>
    </row>
    <row r="234" spans="1:7" x14ac:dyDescent="0.25">
      <c r="A234" s="15" t="s">
        <v>462</v>
      </c>
      <c r="B234" s="15" t="s">
        <v>463</v>
      </c>
      <c r="C234" s="16">
        <v>334.4</v>
      </c>
      <c r="D234" s="15" t="s">
        <v>329</v>
      </c>
      <c r="E234" s="15" t="s">
        <v>330</v>
      </c>
      <c r="F234" s="15">
        <v>27</v>
      </c>
      <c r="G234" s="15">
        <v>27</v>
      </c>
    </row>
    <row r="235" spans="1:7" x14ac:dyDescent="0.25">
      <c r="A235" s="15" t="s">
        <v>462</v>
      </c>
      <c r="B235" s="15" t="s">
        <v>463</v>
      </c>
      <c r="C235" s="16">
        <v>684.85</v>
      </c>
      <c r="D235" s="15" t="s">
        <v>335</v>
      </c>
      <c r="E235" s="15" t="s">
        <v>336</v>
      </c>
      <c r="F235" s="15">
        <v>34</v>
      </c>
      <c r="G235" s="15">
        <v>34</v>
      </c>
    </row>
    <row r="236" spans="1:7" x14ac:dyDescent="0.25">
      <c r="A236" s="15" t="s">
        <v>462</v>
      </c>
      <c r="B236" s="15" t="s">
        <v>463</v>
      </c>
      <c r="C236" s="16">
        <v>824.55</v>
      </c>
      <c r="D236" s="15" t="s">
        <v>80</v>
      </c>
      <c r="E236" s="15" t="s">
        <v>337</v>
      </c>
      <c r="F236" s="15">
        <v>23</v>
      </c>
      <c r="G236" s="15">
        <v>23</v>
      </c>
    </row>
    <row r="237" spans="1:7" x14ac:dyDescent="0.25">
      <c r="A237" s="15" t="s">
        <v>462</v>
      </c>
      <c r="B237" s="15" t="s">
        <v>463</v>
      </c>
      <c r="C237" s="16">
        <v>7</v>
      </c>
      <c r="D237" s="15" t="s">
        <v>339</v>
      </c>
      <c r="E237" s="15" t="s">
        <v>340</v>
      </c>
      <c r="F237" s="15">
        <v>3</v>
      </c>
      <c r="G237" s="15">
        <v>3</v>
      </c>
    </row>
    <row r="238" spans="1:7" x14ac:dyDescent="0.25">
      <c r="A238" s="15" t="s">
        <v>462</v>
      </c>
      <c r="B238" s="15" t="s">
        <v>463</v>
      </c>
      <c r="C238" s="16">
        <v>387</v>
      </c>
      <c r="D238" s="15" t="s">
        <v>478</v>
      </c>
      <c r="E238" s="15" t="s">
        <v>479</v>
      </c>
      <c r="F238" s="15">
        <v>34</v>
      </c>
      <c r="G238" s="15">
        <v>34</v>
      </c>
    </row>
    <row r="239" spans="1:7" x14ac:dyDescent="0.25">
      <c r="A239" s="15" t="s">
        <v>462</v>
      </c>
      <c r="B239" s="15" t="s">
        <v>463</v>
      </c>
      <c r="C239" s="16">
        <v>514.29999999999995</v>
      </c>
      <c r="D239" s="15" t="s">
        <v>80</v>
      </c>
      <c r="E239" s="15" t="s">
        <v>341</v>
      </c>
      <c r="F239" s="15">
        <v>82</v>
      </c>
      <c r="G239" s="15">
        <v>82</v>
      </c>
    </row>
    <row r="240" spans="1:7" x14ac:dyDescent="0.25">
      <c r="A240" s="15" t="s">
        <v>462</v>
      </c>
      <c r="B240" s="15" t="s">
        <v>463</v>
      </c>
      <c r="C240" s="16">
        <v>9.3000000000000007</v>
      </c>
      <c r="D240" s="15" t="s">
        <v>480</v>
      </c>
      <c r="E240" s="15" t="s">
        <v>481</v>
      </c>
      <c r="F240" s="15">
        <v>2</v>
      </c>
      <c r="G240" s="15">
        <v>2</v>
      </c>
    </row>
    <row r="241" spans="1:7" x14ac:dyDescent="0.25">
      <c r="A241" s="15" t="s">
        <v>462</v>
      </c>
      <c r="B241" s="15" t="s">
        <v>463</v>
      </c>
      <c r="C241" s="16">
        <v>22</v>
      </c>
      <c r="D241" s="15" t="s">
        <v>344</v>
      </c>
      <c r="E241" s="15" t="s">
        <v>345</v>
      </c>
      <c r="F241" s="15">
        <v>4</v>
      </c>
      <c r="G241" s="15">
        <v>4</v>
      </c>
    </row>
    <row r="242" spans="1:7" x14ac:dyDescent="0.25">
      <c r="A242" s="15" t="s">
        <v>462</v>
      </c>
      <c r="B242" s="15" t="s">
        <v>463</v>
      </c>
      <c r="C242" s="16">
        <v>5.88</v>
      </c>
      <c r="D242" s="15" t="s">
        <v>247</v>
      </c>
      <c r="E242" s="15" t="s">
        <v>169</v>
      </c>
      <c r="F242" s="15">
        <v>3</v>
      </c>
      <c r="G242" s="15">
        <v>3</v>
      </c>
    </row>
    <row r="243" spans="1:7" x14ac:dyDescent="0.25">
      <c r="A243" s="15" t="s">
        <v>462</v>
      </c>
      <c r="B243" s="15" t="s">
        <v>463</v>
      </c>
      <c r="C243" s="16">
        <v>345</v>
      </c>
      <c r="D243" s="15" t="s">
        <v>98</v>
      </c>
      <c r="E243" s="15" t="s">
        <v>350</v>
      </c>
      <c r="F243" s="15">
        <v>3</v>
      </c>
      <c r="G243" s="15">
        <v>3</v>
      </c>
    </row>
    <row r="244" spans="1:7" x14ac:dyDescent="0.25">
      <c r="A244" s="15" t="s">
        <v>462</v>
      </c>
      <c r="B244" s="15" t="s">
        <v>463</v>
      </c>
      <c r="C244" s="16">
        <v>102.9</v>
      </c>
      <c r="D244" s="15" t="s">
        <v>265</v>
      </c>
      <c r="E244" s="15" t="s">
        <v>353</v>
      </c>
      <c r="F244" s="15">
        <v>9</v>
      </c>
      <c r="G244" s="15">
        <v>9</v>
      </c>
    </row>
    <row r="245" spans="1:7" x14ac:dyDescent="0.25">
      <c r="A245" s="15" t="s">
        <v>462</v>
      </c>
      <c r="B245" s="15" t="s">
        <v>463</v>
      </c>
      <c r="C245" s="16">
        <v>3</v>
      </c>
      <c r="D245" s="15" t="s">
        <v>339</v>
      </c>
      <c r="E245" s="15" t="s">
        <v>252</v>
      </c>
      <c r="F245" s="15">
        <v>1</v>
      </c>
      <c r="G245" s="15">
        <v>1</v>
      </c>
    </row>
    <row r="246" spans="1:7" x14ac:dyDescent="0.25">
      <c r="A246" s="15" t="s">
        <v>462</v>
      </c>
      <c r="B246" s="15" t="s">
        <v>463</v>
      </c>
      <c r="C246" s="16">
        <v>105.4</v>
      </c>
      <c r="D246" s="15" t="s">
        <v>80</v>
      </c>
      <c r="E246" s="15" t="s">
        <v>482</v>
      </c>
      <c r="F246" s="15">
        <v>49</v>
      </c>
      <c r="G246" s="15">
        <v>49</v>
      </c>
    </row>
    <row r="247" spans="1:7" x14ac:dyDescent="0.25">
      <c r="A247" s="15" t="s">
        <v>462</v>
      </c>
      <c r="B247" s="15" t="s">
        <v>463</v>
      </c>
      <c r="C247" s="16">
        <v>129</v>
      </c>
      <c r="D247" s="15" t="s">
        <v>483</v>
      </c>
      <c r="E247" s="15" t="s">
        <v>484</v>
      </c>
      <c r="F247" s="15">
        <v>30</v>
      </c>
      <c r="G247" s="15">
        <v>30</v>
      </c>
    </row>
    <row r="248" spans="1:7" x14ac:dyDescent="0.25">
      <c r="A248" s="15" t="s">
        <v>462</v>
      </c>
      <c r="B248" s="15" t="s">
        <v>463</v>
      </c>
      <c r="C248" s="16">
        <v>6760.7</v>
      </c>
      <c r="D248" s="15" t="s">
        <v>364</v>
      </c>
      <c r="E248" s="15" t="s">
        <v>365</v>
      </c>
      <c r="F248" s="15">
        <v>373</v>
      </c>
      <c r="G248" s="15">
        <v>373</v>
      </c>
    </row>
    <row r="249" spans="1:7" x14ac:dyDescent="0.25">
      <c r="A249" s="15" t="s">
        <v>462</v>
      </c>
      <c r="B249" s="15" t="s">
        <v>463</v>
      </c>
      <c r="C249" s="16">
        <v>329.4</v>
      </c>
      <c r="D249" s="15" t="s">
        <v>287</v>
      </c>
      <c r="E249" s="15" t="s">
        <v>366</v>
      </c>
      <c r="F249" s="15">
        <v>61</v>
      </c>
      <c r="G249" s="15">
        <v>61</v>
      </c>
    </row>
    <row r="250" spans="1:7" x14ac:dyDescent="0.25">
      <c r="A250" s="15" t="s">
        <v>462</v>
      </c>
      <c r="B250" s="15" t="s">
        <v>463</v>
      </c>
      <c r="C250" s="16">
        <v>2104.1</v>
      </c>
      <c r="D250" s="15" t="s">
        <v>80</v>
      </c>
      <c r="E250" s="15" t="s">
        <v>485</v>
      </c>
      <c r="F250" s="15">
        <v>162</v>
      </c>
      <c r="G250" s="15">
        <v>162</v>
      </c>
    </row>
    <row r="251" spans="1:7" x14ac:dyDescent="0.25">
      <c r="A251" s="15" t="s">
        <v>462</v>
      </c>
      <c r="B251" s="15" t="s">
        <v>463</v>
      </c>
      <c r="C251" s="16">
        <v>86.8</v>
      </c>
      <c r="D251" s="15" t="s">
        <v>80</v>
      </c>
      <c r="E251" s="15" t="s">
        <v>486</v>
      </c>
      <c r="F251" s="15">
        <v>7</v>
      </c>
      <c r="G251" s="15">
        <v>7</v>
      </c>
    </row>
    <row r="252" spans="1:7" x14ac:dyDescent="0.25">
      <c r="A252" s="15" t="s">
        <v>462</v>
      </c>
      <c r="B252" s="15" t="s">
        <v>463</v>
      </c>
      <c r="C252" s="16">
        <v>7.05</v>
      </c>
      <c r="D252" s="15" t="s">
        <v>275</v>
      </c>
      <c r="E252" s="15" t="s">
        <v>487</v>
      </c>
      <c r="F252" s="15">
        <v>2</v>
      </c>
      <c r="G252" s="15">
        <v>2</v>
      </c>
    </row>
    <row r="253" spans="1:7" x14ac:dyDescent="0.25">
      <c r="A253" s="15" t="s">
        <v>462</v>
      </c>
      <c r="B253" s="15" t="s">
        <v>463</v>
      </c>
      <c r="C253" s="16">
        <v>3.9</v>
      </c>
      <c r="D253" s="15" t="s">
        <v>136</v>
      </c>
      <c r="E253" s="15" t="s">
        <v>277</v>
      </c>
      <c r="F253" s="15">
        <v>1</v>
      </c>
      <c r="G253" s="15">
        <v>1</v>
      </c>
    </row>
    <row r="254" spans="1:7" x14ac:dyDescent="0.25">
      <c r="A254" s="15" t="s">
        <v>462</v>
      </c>
      <c r="B254" s="15" t="s">
        <v>463</v>
      </c>
      <c r="C254" s="16">
        <v>929.65</v>
      </c>
      <c r="D254" s="15" t="s">
        <v>105</v>
      </c>
      <c r="E254" s="15" t="s">
        <v>488</v>
      </c>
      <c r="F254" s="15">
        <v>41</v>
      </c>
      <c r="G254" s="15">
        <v>41</v>
      </c>
    </row>
    <row r="255" spans="1:7" x14ac:dyDescent="0.25">
      <c r="A255" s="15" t="s">
        <v>462</v>
      </c>
      <c r="B255" s="15" t="s">
        <v>463</v>
      </c>
      <c r="C255" s="16">
        <v>10.65</v>
      </c>
      <c r="D255" s="15" t="s">
        <v>435</v>
      </c>
      <c r="E255" s="15" t="s">
        <v>489</v>
      </c>
      <c r="F255" s="15">
        <v>3</v>
      </c>
      <c r="G255" s="15">
        <v>3</v>
      </c>
    </row>
    <row r="256" spans="1:7" x14ac:dyDescent="0.25">
      <c r="A256" s="15" t="s">
        <v>462</v>
      </c>
      <c r="B256" s="15" t="s">
        <v>463</v>
      </c>
      <c r="C256" s="16">
        <v>4.7</v>
      </c>
      <c r="D256" s="15" t="s">
        <v>245</v>
      </c>
      <c r="E256" s="15" t="s">
        <v>490</v>
      </c>
      <c r="F256" s="15">
        <v>1</v>
      </c>
      <c r="G256" s="15">
        <v>1</v>
      </c>
    </row>
    <row r="257" spans="1:7" x14ac:dyDescent="0.25">
      <c r="A257" s="15" t="s">
        <v>462</v>
      </c>
      <c r="B257" s="15" t="s">
        <v>463</v>
      </c>
      <c r="C257" s="16">
        <v>312.85000000000002</v>
      </c>
      <c r="D257" s="15" t="s">
        <v>238</v>
      </c>
      <c r="E257" s="15" t="s">
        <v>383</v>
      </c>
      <c r="F257" s="15">
        <v>30</v>
      </c>
      <c r="G257" s="15">
        <v>30</v>
      </c>
    </row>
    <row r="258" spans="1:7" x14ac:dyDescent="0.25">
      <c r="A258" s="15" t="s">
        <v>462</v>
      </c>
      <c r="B258" s="15" t="s">
        <v>463</v>
      </c>
      <c r="C258" s="16">
        <v>2</v>
      </c>
      <c r="D258" s="15" t="s">
        <v>132</v>
      </c>
      <c r="E258" s="15" t="s">
        <v>491</v>
      </c>
      <c r="F258" s="15">
        <v>1</v>
      </c>
      <c r="G258" s="15">
        <v>1</v>
      </c>
    </row>
    <row r="259" spans="1:7" x14ac:dyDescent="0.25">
      <c r="A259" s="15" t="s">
        <v>462</v>
      </c>
      <c r="B259" s="15" t="s">
        <v>463</v>
      </c>
      <c r="C259" s="16">
        <v>175.25</v>
      </c>
      <c r="D259" s="15" t="s">
        <v>123</v>
      </c>
      <c r="E259" s="15" t="s">
        <v>388</v>
      </c>
      <c r="F259" s="15">
        <v>25</v>
      </c>
      <c r="G259" s="15">
        <v>25</v>
      </c>
    </row>
    <row r="260" spans="1:7" x14ac:dyDescent="0.25">
      <c r="A260" s="15" t="s">
        <v>462</v>
      </c>
      <c r="B260" s="15" t="s">
        <v>463</v>
      </c>
      <c r="C260" s="16">
        <v>515.52</v>
      </c>
      <c r="D260" s="15" t="s">
        <v>447</v>
      </c>
      <c r="E260" s="15" t="s">
        <v>492</v>
      </c>
      <c r="F260" s="15">
        <v>18</v>
      </c>
      <c r="G260" s="15">
        <v>18</v>
      </c>
    </row>
    <row r="261" spans="1:7" x14ac:dyDescent="0.25">
      <c r="A261" s="15" t="s">
        <v>462</v>
      </c>
      <c r="B261" s="15" t="s">
        <v>463</v>
      </c>
      <c r="C261" s="16">
        <v>242.35</v>
      </c>
      <c r="D261" s="15" t="s">
        <v>389</v>
      </c>
      <c r="E261" s="15" t="s">
        <v>390</v>
      </c>
      <c r="F261" s="15">
        <v>52</v>
      </c>
      <c r="G261" s="15">
        <v>52</v>
      </c>
    </row>
    <row r="262" spans="1:7" x14ac:dyDescent="0.25">
      <c r="A262" s="15" t="s">
        <v>493</v>
      </c>
      <c r="B262" s="15" t="s">
        <v>494</v>
      </c>
      <c r="C262" s="16">
        <v>108.8</v>
      </c>
      <c r="D262" s="15" t="s">
        <v>187</v>
      </c>
      <c r="E262" s="15" t="s">
        <v>495</v>
      </c>
      <c r="F262" s="15">
        <v>16</v>
      </c>
      <c r="G262" s="15">
        <v>16</v>
      </c>
    </row>
    <row r="263" spans="1:7" x14ac:dyDescent="0.25">
      <c r="A263" s="15" t="s">
        <v>493</v>
      </c>
      <c r="B263" s="15" t="s">
        <v>494</v>
      </c>
      <c r="C263" s="16">
        <v>1.75</v>
      </c>
      <c r="D263" s="15" t="s">
        <v>248</v>
      </c>
      <c r="E263" s="15" t="s">
        <v>496</v>
      </c>
      <c r="F263" s="15">
        <v>1</v>
      </c>
      <c r="G263" s="15">
        <v>1</v>
      </c>
    </row>
    <row r="264" spans="1:7" x14ac:dyDescent="0.25">
      <c r="A264" s="15" t="s">
        <v>493</v>
      </c>
      <c r="B264" s="15" t="s">
        <v>494</v>
      </c>
      <c r="C264" s="16">
        <v>362.1</v>
      </c>
      <c r="D264" s="15" t="s">
        <v>497</v>
      </c>
      <c r="E264" s="15" t="s">
        <v>498</v>
      </c>
      <c r="F264" s="15">
        <v>17</v>
      </c>
      <c r="G264" s="15">
        <v>17</v>
      </c>
    </row>
    <row r="265" spans="1:7" x14ac:dyDescent="0.25">
      <c r="A265" s="15" t="s">
        <v>493</v>
      </c>
      <c r="B265" s="15" t="s">
        <v>494</v>
      </c>
      <c r="C265" s="16">
        <v>89.6</v>
      </c>
      <c r="D265" s="15" t="s">
        <v>431</v>
      </c>
      <c r="E265" s="15" t="s">
        <v>432</v>
      </c>
      <c r="F265" s="15">
        <v>23</v>
      </c>
      <c r="G265" s="15">
        <v>23</v>
      </c>
    </row>
    <row r="266" spans="1:7" x14ac:dyDescent="0.25">
      <c r="A266" s="15" t="s">
        <v>493</v>
      </c>
      <c r="B266" s="15" t="s">
        <v>494</v>
      </c>
      <c r="C266" s="16">
        <v>270.2</v>
      </c>
      <c r="D266" s="15" t="s">
        <v>80</v>
      </c>
      <c r="E266" s="15" t="s">
        <v>499</v>
      </c>
      <c r="F266" s="15">
        <v>33</v>
      </c>
      <c r="G266" s="15">
        <v>33</v>
      </c>
    </row>
    <row r="267" spans="1:7" x14ac:dyDescent="0.25">
      <c r="A267" s="15" t="s">
        <v>493</v>
      </c>
      <c r="B267" s="15" t="s">
        <v>494</v>
      </c>
      <c r="C267" s="16">
        <v>1.1000000000000001</v>
      </c>
      <c r="D267" s="15" t="s">
        <v>220</v>
      </c>
      <c r="E267" s="15" t="s">
        <v>500</v>
      </c>
      <c r="F267" s="15">
        <v>1</v>
      </c>
      <c r="G267" s="15">
        <v>1</v>
      </c>
    </row>
    <row r="268" spans="1:7" x14ac:dyDescent="0.25">
      <c r="A268" s="15" t="s">
        <v>493</v>
      </c>
      <c r="B268" s="15" t="s">
        <v>494</v>
      </c>
      <c r="C268" s="16">
        <v>20.2</v>
      </c>
      <c r="D268" s="15" t="s">
        <v>67</v>
      </c>
      <c r="E268" s="15" t="s">
        <v>501</v>
      </c>
      <c r="F268" s="15">
        <v>2</v>
      </c>
      <c r="G268" s="15">
        <v>2</v>
      </c>
    </row>
    <row r="269" spans="1:7" x14ac:dyDescent="0.25">
      <c r="A269" s="15" t="s">
        <v>493</v>
      </c>
      <c r="B269" s="15" t="s">
        <v>494</v>
      </c>
      <c r="C269" s="16">
        <v>35</v>
      </c>
      <c r="D269" s="15" t="s">
        <v>80</v>
      </c>
      <c r="E269" s="15" t="s">
        <v>502</v>
      </c>
      <c r="F269" s="15">
        <v>10</v>
      </c>
      <c r="G269" s="15">
        <v>10</v>
      </c>
    </row>
    <row r="270" spans="1:7" x14ac:dyDescent="0.25">
      <c r="A270" s="15" t="s">
        <v>493</v>
      </c>
      <c r="B270" s="15" t="s">
        <v>494</v>
      </c>
      <c r="C270" s="16">
        <v>1</v>
      </c>
      <c r="D270" s="15" t="s">
        <v>503</v>
      </c>
      <c r="E270" s="15" t="s">
        <v>504</v>
      </c>
      <c r="F270" s="15">
        <v>1</v>
      </c>
      <c r="G270" s="15">
        <v>1</v>
      </c>
    </row>
    <row r="271" spans="1:7" x14ac:dyDescent="0.25">
      <c r="A271" s="15" t="s">
        <v>493</v>
      </c>
      <c r="B271" s="15" t="s">
        <v>494</v>
      </c>
      <c r="C271" s="16">
        <v>34.950000000000003</v>
      </c>
      <c r="D271" s="15" t="s">
        <v>505</v>
      </c>
      <c r="E271" s="15" t="s">
        <v>506</v>
      </c>
      <c r="F271" s="15">
        <v>15</v>
      </c>
      <c r="G271" s="15">
        <v>15</v>
      </c>
    </row>
    <row r="272" spans="1:7" x14ac:dyDescent="0.25">
      <c r="A272" s="15" t="s">
        <v>493</v>
      </c>
      <c r="B272" s="15" t="s">
        <v>494</v>
      </c>
      <c r="C272" s="16">
        <v>27.6</v>
      </c>
      <c r="D272" s="15" t="s">
        <v>217</v>
      </c>
      <c r="E272" s="15" t="s">
        <v>507</v>
      </c>
      <c r="F272" s="15">
        <v>6</v>
      </c>
      <c r="G272" s="15">
        <v>6</v>
      </c>
    </row>
    <row r="273" spans="1:7" x14ac:dyDescent="0.25">
      <c r="A273" s="15" t="s">
        <v>493</v>
      </c>
      <c r="B273" s="15" t="s">
        <v>494</v>
      </c>
      <c r="C273" s="16">
        <v>182.4</v>
      </c>
      <c r="D273" s="15" t="s">
        <v>399</v>
      </c>
      <c r="E273" s="15" t="s">
        <v>508</v>
      </c>
      <c r="F273" s="15">
        <v>26</v>
      </c>
      <c r="G273" s="15">
        <v>26</v>
      </c>
    </row>
    <row r="274" spans="1:7" x14ac:dyDescent="0.25">
      <c r="A274" s="15" t="s">
        <v>493</v>
      </c>
      <c r="B274" s="15" t="s">
        <v>494</v>
      </c>
      <c r="C274" s="16">
        <v>0.6</v>
      </c>
      <c r="D274" s="15" t="s">
        <v>509</v>
      </c>
      <c r="E274" s="15" t="s">
        <v>510</v>
      </c>
      <c r="F274" s="15">
        <v>1</v>
      </c>
      <c r="G274" s="15">
        <v>1</v>
      </c>
    </row>
    <row r="275" spans="1:7" x14ac:dyDescent="0.25">
      <c r="A275" s="15" t="s">
        <v>493</v>
      </c>
      <c r="B275" s="15" t="s">
        <v>494</v>
      </c>
      <c r="C275" s="16">
        <v>0.4</v>
      </c>
      <c r="D275" s="15" t="s">
        <v>90</v>
      </c>
      <c r="E275" s="15" t="s">
        <v>401</v>
      </c>
      <c r="F275" s="15">
        <v>1</v>
      </c>
      <c r="G275" s="15">
        <v>1</v>
      </c>
    </row>
    <row r="276" spans="1:7" x14ac:dyDescent="0.25">
      <c r="A276" s="15" t="s">
        <v>493</v>
      </c>
      <c r="B276" s="15" t="s">
        <v>494</v>
      </c>
      <c r="C276" s="16">
        <v>5.4</v>
      </c>
      <c r="D276" s="15" t="s">
        <v>511</v>
      </c>
      <c r="E276" s="15" t="s">
        <v>512</v>
      </c>
      <c r="F276" s="15">
        <v>3</v>
      </c>
      <c r="G276" s="15">
        <v>3</v>
      </c>
    </row>
    <row r="277" spans="1:7" x14ac:dyDescent="0.25">
      <c r="A277" s="15" t="s">
        <v>493</v>
      </c>
      <c r="B277" s="15" t="s">
        <v>494</v>
      </c>
      <c r="C277" s="16">
        <v>19.46</v>
      </c>
      <c r="D277" s="15" t="s">
        <v>80</v>
      </c>
      <c r="E277" s="15" t="s">
        <v>402</v>
      </c>
      <c r="F277" s="15">
        <v>2</v>
      </c>
      <c r="G277" s="15">
        <v>2</v>
      </c>
    </row>
    <row r="278" spans="1:7" x14ac:dyDescent="0.25">
      <c r="A278" s="15" t="s">
        <v>493</v>
      </c>
      <c r="B278" s="15" t="s">
        <v>494</v>
      </c>
      <c r="C278" s="16">
        <v>247.9</v>
      </c>
      <c r="D278" s="15" t="s">
        <v>325</v>
      </c>
      <c r="E278" s="15" t="s">
        <v>326</v>
      </c>
      <c r="F278" s="15">
        <v>31</v>
      </c>
      <c r="G278" s="15">
        <v>31</v>
      </c>
    </row>
    <row r="279" spans="1:7" x14ac:dyDescent="0.25">
      <c r="A279" s="15" t="s">
        <v>493</v>
      </c>
      <c r="B279" s="15" t="s">
        <v>494</v>
      </c>
      <c r="C279" s="16">
        <v>4.93</v>
      </c>
      <c r="D279" s="15" t="s">
        <v>435</v>
      </c>
      <c r="E279" s="15" t="s">
        <v>436</v>
      </c>
      <c r="F279" s="15">
        <v>2</v>
      </c>
      <c r="G279" s="15">
        <v>2</v>
      </c>
    </row>
    <row r="280" spans="1:7" x14ac:dyDescent="0.25">
      <c r="A280" s="15" t="s">
        <v>493</v>
      </c>
      <c r="B280" s="15" t="s">
        <v>494</v>
      </c>
      <c r="C280" s="16">
        <v>96.8</v>
      </c>
      <c r="D280" s="15" t="s">
        <v>513</v>
      </c>
      <c r="E280" s="15" t="s">
        <v>514</v>
      </c>
      <c r="F280" s="15">
        <v>11</v>
      </c>
      <c r="G280" s="15">
        <v>11</v>
      </c>
    </row>
    <row r="281" spans="1:7" x14ac:dyDescent="0.25">
      <c r="A281" s="15" t="s">
        <v>493</v>
      </c>
      <c r="B281" s="15" t="s">
        <v>494</v>
      </c>
      <c r="C281" s="16">
        <v>1241.92</v>
      </c>
      <c r="D281" s="15" t="s">
        <v>466</v>
      </c>
      <c r="E281" s="15" t="s">
        <v>515</v>
      </c>
      <c r="F281" s="15">
        <v>103</v>
      </c>
      <c r="G281" s="15">
        <v>103</v>
      </c>
    </row>
    <row r="282" spans="1:7" x14ac:dyDescent="0.25">
      <c r="A282" s="15" t="s">
        <v>493</v>
      </c>
      <c r="B282" s="15" t="s">
        <v>494</v>
      </c>
      <c r="C282" s="16">
        <v>675.3</v>
      </c>
      <c r="D282" s="15" t="s">
        <v>466</v>
      </c>
      <c r="E282" s="15" t="s">
        <v>516</v>
      </c>
      <c r="F282" s="15">
        <v>37</v>
      </c>
      <c r="G282" s="15">
        <v>37</v>
      </c>
    </row>
    <row r="283" spans="1:7" x14ac:dyDescent="0.25">
      <c r="A283" s="15" t="s">
        <v>493</v>
      </c>
      <c r="B283" s="15" t="s">
        <v>494</v>
      </c>
      <c r="C283" s="16">
        <v>384</v>
      </c>
      <c r="D283" s="15" t="s">
        <v>517</v>
      </c>
      <c r="E283" s="15" t="s">
        <v>518</v>
      </c>
      <c r="F283" s="15">
        <v>24</v>
      </c>
      <c r="G283" s="15">
        <v>24</v>
      </c>
    </row>
    <row r="284" spans="1:7" x14ac:dyDescent="0.25">
      <c r="A284" s="15" t="s">
        <v>493</v>
      </c>
      <c r="B284" s="15" t="s">
        <v>494</v>
      </c>
      <c r="C284" s="16">
        <v>294.8</v>
      </c>
      <c r="D284" s="15" t="s">
        <v>519</v>
      </c>
      <c r="E284" s="15" t="s">
        <v>520</v>
      </c>
      <c r="F284" s="15">
        <v>44</v>
      </c>
      <c r="G284" s="15">
        <v>44</v>
      </c>
    </row>
    <row r="285" spans="1:7" x14ac:dyDescent="0.25">
      <c r="A285" s="15" t="s">
        <v>493</v>
      </c>
      <c r="B285" s="15" t="s">
        <v>494</v>
      </c>
      <c r="C285" s="16">
        <v>219.3</v>
      </c>
      <c r="D285" s="15" t="s">
        <v>309</v>
      </c>
      <c r="E285" s="15" t="s">
        <v>521</v>
      </c>
      <c r="F285" s="15">
        <v>51</v>
      </c>
      <c r="G285" s="15">
        <v>51</v>
      </c>
    </row>
    <row r="286" spans="1:7" x14ac:dyDescent="0.25">
      <c r="A286" s="15" t="s">
        <v>493</v>
      </c>
      <c r="B286" s="15" t="s">
        <v>494</v>
      </c>
      <c r="C286" s="16">
        <v>5.7</v>
      </c>
      <c r="D286" s="15" t="s">
        <v>82</v>
      </c>
      <c r="E286" s="15" t="s">
        <v>522</v>
      </c>
      <c r="F286" s="15">
        <v>1</v>
      </c>
      <c r="G286" s="15">
        <v>1</v>
      </c>
    </row>
    <row r="287" spans="1:7" x14ac:dyDescent="0.25">
      <c r="A287" s="15" t="s">
        <v>493</v>
      </c>
      <c r="B287" s="15" t="s">
        <v>494</v>
      </c>
      <c r="C287" s="16">
        <v>55.4</v>
      </c>
      <c r="D287" s="15" t="s">
        <v>179</v>
      </c>
      <c r="E287" s="15" t="s">
        <v>523</v>
      </c>
      <c r="F287" s="15">
        <v>13</v>
      </c>
      <c r="G287" s="15">
        <v>13</v>
      </c>
    </row>
    <row r="288" spans="1:7" x14ac:dyDescent="0.25">
      <c r="A288" s="15" t="s">
        <v>493</v>
      </c>
      <c r="B288" s="15" t="s">
        <v>494</v>
      </c>
      <c r="C288" s="16">
        <v>1.65</v>
      </c>
      <c r="D288" s="15" t="s">
        <v>339</v>
      </c>
      <c r="E288" s="15" t="s">
        <v>340</v>
      </c>
      <c r="F288" s="15">
        <v>1</v>
      </c>
      <c r="G288" s="15">
        <v>1</v>
      </c>
    </row>
    <row r="289" spans="1:7" x14ac:dyDescent="0.25">
      <c r="A289" s="15" t="s">
        <v>493</v>
      </c>
      <c r="B289" s="15" t="s">
        <v>494</v>
      </c>
      <c r="C289" s="16">
        <v>40</v>
      </c>
      <c r="D289" s="15" t="s">
        <v>524</v>
      </c>
      <c r="E289" s="15" t="s">
        <v>525</v>
      </c>
      <c r="F289" s="15">
        <v>16</v>
      </c>
      <c r="G289" s="15">
        <v>16</v>
      </c>
    </row>
    <row r="290" spans="1:7" x14ac:dyDescent="0.25">
      <c r="A290" s="15" t="s">
        <v>493</v>
      </c>
      <c r="B290" s="15" t="s">
        <v>494</v>
      </c>
      <c r="C290" s="16">
        <v>38</v>
      </c>
      <c r="D290" s="15" t="s">
        <v>80</v>
      </c>
      <c r="E290" s="15" t="s">
        <v>526</v>
      </c>
      <c r="F290" s="15">
        <v>5</v>
      </c>
      <c r="G290" s="15">
        <v>5</v>
      </c>
    </row>
    <row r="291" spans="1:7" x14ac:dyDescent="0.25">
      <c r="A291" s="15" t="s">
        <v>493</v>
      </c>
      <c r="B291" s="15" t="s">
        <v>494</v>
      </c>
      <c r="C291" s="16">
        <v>24</v>
      </c>
      <c r="D291" s="15" t="s">
        <v>527</v>
      </c>
      <c r="E291" s="15" t="s">
        <v>528</v>
      </c>
      <c r="F291" s="15">
        <v>60</v>
      </c>
      <c r="G291" s="15">
        <v>60</v>
      </c>
    </row>
    <row r="292" spans="1:7" x14ac:dyDescent="0.25">
      <c r="A292" s="15" t="s">
        <v>493</v>
      </c>
      <c r="B292" s="15" t="s">
        <v>494</v>
      </c>
      <c r="C292" s="16">
        <v>54.4</v>
      </c>
      <c r="D292" s="15" t="s">
        <v>80</v>
      </c>
      <c r="E292" s="15" t="s">
        <v>341</v>
      </c>
      <c r="F292" s="15">
        <v>8</v>
      </c>
      <c r="G292" s="15">
        <v>8</v>
      </c>
    </row>
    <row r="293" spans="1:7" x14ac:dyDescent="0.25">
      <c r="A293" s="15" t="s">
        <v>493</v>
      </c>
      <c r="B293" s="15" t="s">
        <v>494</v>
      </c>
      <c r="C293" s="16">
        <v>2.3199999999999998</v>
      </c>
      <c r="D293" s="15" t="s">
        <v>529</v>
      </c>
      <c r="E293" s="15" t="s">
        <v>530</v>
      </c>
      <c r="F293" s="15">
        <v>1</v>
      </c>
      <c r="G293" s="15">
        <v>1</v>
      </c>
    </row>
    <row r="294" spans="1:7" x14ac:dyDescent="0.25">
      <c r="A294" s="15" t="s">
        <v>493</v>
      </c>
      <c r="B294" s="15" t="s">
        <v>494</v>
      </c>
      <c r="C294" s="16">
        <v>44.1</v>
      </c>
      <c r="D294" s="15" t="s">
        <v>149</v>
      </c>
      <c r="E294" s="15" t="s">
        <v>409</v>
      </c>
      <c r="F294" s="15">
        <v>7</v>
      </c>
      <c r="G294" s="15">
        <v>7</v>
      </c>
    </row>
    <row r="295" spans="1:7" x14ac:dyDescent="0.25">
      <c r="A295" s="15" t="s">
        <v>493</v>
      </c>
      <c r="B295" s="15" t="s">
        <v>494</v>
      </c>
      <c r="C295" s="16">
        <v>160</v>
      </c>
      <c r="D295" s="15" t="s">
        <v>531</v>
      </c>
      <c r="E295" s="15" t="s">
        <v>532</v>
      </c>
      <c r="F295" s="15">
        <v>25</v>
      </c>
      <c r="G295" s="15">
        <v>25</v>
      </c>
    </row>
    <row r="296" spans="1:7" x14ac:dyDescent="0.25">
      <c r="A296" s="15" t="s">
        <v>493</v>
      </c>
      <c r="B296" s="15" t="s">
        <v>494</v>
      </c>
      <c r="C296" s="16">
        <v>140.69999999999999</v>
      </c>
      <c r="D296" s="15" t="s">
        <v>247</v>
      </c>
      <c r="E296" s="15" t="s">
        <v>533</v>
      </c>
      <c r="F296" s="15">
        <v>21</v>
      </c>
      <c r="G296" s="15">
        <v>21</v>
      </c>
    </row>
    <row r="297" spans="1:7" x14ac:dyDescent="0.25">
      <c r="A297" s="15" t="s">
        <v>493</v>
      </c>
      <c r="B297" s="15" t="s">
        <v>494</v>
      </c>
      <c r="C297" s="16">
        <v>3.8</v>
      </c>
      <c r="D297" s="15" t="s">
        <v>243</v>
      </c>
      <c r="E297" s="15" t="s">
        <v>443</v>
      </c>
      <c r="F297" s="15">
        <v>1</v>
      </c>
      <c r="G297" s="15">
        <v>1</v>
      </c>
    </row>
    <row r="298" spans="1:7" x14ac:dyDescent="0.25">
      <c r="A298" s="15" t="s">
        <v>493</v>
      </c>
      <c r="B298" s="15" t="s">
        <v>494</v>
      </c>
      <c r="C298" s="16">
        <v>73.8</v>
      </c>
      <c r="D298" s="15" t="s">
        <v>67</v>
      </c>
      <c r="E298" s="15" t="s">
        <v>534</v>
      </c>
      <c r="F298" s="15">
        <v>2</v>
      </c>
      <c r="G298" s="15">
        <v>2</v>
      </c>
    </row>
    <row r="299" spans="1:7" x14ac:dyDescent="0.25">
      <c r="A299" s="15" t="s">
        <v>493</v>
      </c>
      <c r="B299" s="15" t="s">
        <v>494</v>
      </c>
      <c r="C299" s="16">
        <v>54.4</v>
      </c>
      <c r="D299" s="15" t="s">
        <v>228</v>
      </c>
      <c r="E299" s="15" t="s">
        <v>444</v>
      </c>
      <c r="F299" s="15">
        <v>17</v>
      </c>
      <c r="G299" s="15">
        <v>17</v>
      </c>
    </row>
    <row r="300" spans="1:7" x14ac:dyDescent="0.25">
      <c r="A300" s="15" t="s">
        <v>493</v>
      </c>
      <c r="B300" s="15" t="s">
        <v>494</v>
      </c>
      <c r="C300" s="16">
        <v>20.9</v>
      </c>
      <c r="D300" s="15" t="s">
        <v>412</v>
      </c>
      <c r="E300" s="15" t="s">
        <v>413</v>
      </c>
      <c r="F300" s="15">
        <v>11</v>
      </c>
      <c r="G300" s="15">
        <v>11</v>
      </c>
    </row>
    <row r="301" spans="1:7" x14ac:dyDescent="0.25">
      <c r="A301" s="15" t="s">
        <v>493</v>
      </c>
      <c r="B301" s="15" t="s">
        <v>494</v>
      </c>
      <c r="C301" s="16">
        <v>86.45</v>
      </c>
      <c r="D301" s="15" t="s">
        <v>295</v>
      </c>
      <c r="E301" s="15" t="s">
        <v>535</v>
      </c>
      <c r="F301" s="15">
        <v>19</v>
      </c>
      <c r="G301" s="15">
        <v>19</v>
      </c>
    </row>
    <row r="302" spans="1:7" x14ac:dyDescent="0.25">
      <c r="A302" s="15" t="s">
        <v>493</v>
      </c>
      <c r="B302" s="15" t="s">
        <v>494</v>
      </c>
      <c r="C302" s="16">
        <v>26.4</v>
      </c>
      <c r="D302" s="15" t="s">
        <v>536</v>
      </c>
      <c r="E302" s="15" t="s">
        <v>537</v>
      </c>
      <c r="F302" s="15">
        <v>2</v>
      </c>
      <c r="G302" s="15">
        <v>2</v>
      </c>
    </row>
    <row r="303" spans="1:7" x14ac:dyDescent="0.25">
      <c r="A303" s="15" t="s">
        <v>493</v>
      </c>
      <c r="B303" s="15" t="s">
        <v>494</v>
      </c>
      <c r="C303" s="16">
        <v>94.85</v>
      </c>
      <c r="D303" s="15" t="s">
        <v>123</v>
      </c>
      <c r="E303" s="15" t="s">
        <v>538</v>
      </c>
      <c r="F303" s="15">
        <v>13</v>
      </c>
      <c r="G303" s="15">
        <v>13</v>
      </c>
    </row>
    <row r="304" spans="1:7" x14ac:dyDescent="0.25">
      <c r="A304" s="15" t="s">
        <v>493</v>
      </c>
      <c r="B304" s="15" t="s">
        <v>494</v>
      </c>
      <c r="C304" s="16">
        <v>43.54</v>
      </c>
      <c r="D304" s="15" t="s">
        <v>539</v>
      </c>
      <c r="E304" s="15" t="s">
        <v>540</v>
      </c>
      <c r="F304" s="15">
        <v>14</v>
      </c>
      <c r="G304" s="15">
        <v>14</v>
      </c>
    </row>
    <row r="305" spans="1:7" x14ac:dyDescent="0.25">
      <c r="A305" s="15" t="s">
        <v>493</v>
      </c>
      <c r="B305" s="15" t="s">
        <v>494</v>
      </c>
      <c r="C305" s="16">
        <v>549</v>
      </c>
      <c r="D305" s="15" t="s">
        <v>258</v>
      </c>
      <c r="E305" s="15" t="s">
        <v>446</v>
      </c>
      <c r="F305" s="15">
        <v>197</v>
      </c>
      <c r="G305" s="15">
        <v>197</v>
      </c>
    </row>
    <row r="306" spans="1:7" x14ac:dyDescent="0.25">
      <c r="A306" s="15" t="s">
        <v>493</v>
      </c>
      <c r="B306" s="15" t="s">
        <v>494</v>
      </c>
      <c r="C306" s="16">
        <v>0.2</v>
      </c>
      <c r="D306" s="15" t="s">
        <v>541</v>
      </c>
      <c r="E306" s="15" t="s">
        <v>542</v>
      </c>
      <c r="F306" s="15">
        <v>1</v>
      </c>
      <c r="G306" s="15">
        <v>1</v>
      </c>
    </row>
    <row r="307" spans="1:7" x14ac:dyDescent="0.25">
      <c r="A307" s="15" t="s">
        <v>493</v>
      </c>
      <c r="B307" s="15" t="s">
        <v>494</v>
      </c>
      <c r="C307" s="16">
        <v>7.2</v>
      </c>
      <c r="D307" s="15" t="s">
        <v>80</v>
      </c>
      <c r="E307" s="15" t="s">
        <v>543</v>
      </c>
      <c r="F307" s="15">
        <v>1</v>
      </c>
      <c r="G307" s="15">
        <v>1</v>
      </c>
    </row>
    <row r="308" spans="1:7" x14ac:dyDescent="0.25">
      <c r="A308" s="15" t="s">
        <v>493</v>
      </c>
      <c r="B308" s="15" t="s">
        <v>494</v>
      </c>
      <c r="C308" s="16">
        <v>220</v>
      </c>
      <c r="D308" s="15" t="s">
        <v>80</v>
      </c>
      <c r="E308" s="15" t="s">
        <v>450</v>
      </c>
      <c r="F308" s="15">
        <v>10</v>
      </c>
      <c r="G308" s="15">
        <v>10</v>
      </c>
    </row>
    <row r="309" spans="1:7" x14ac:dyDescent="0.25">
      <c r="A309" s="15" t="s">
        <v>493</v>
      </c>
      <c r="B309" s="15" t="s">
        <v>494</v>
      </c>
      <c r="C309" s="16">
        <v>84.8</v>
      </c>
      <c r="D309" s="15" t="s">
        <v>269</v>
      </c>
      <c r="E309" s="15" t="s">
        <v>270</v>
      </c>
      <c r="F309" s="15">
        <v>4</v>
      </c>
      <c r="G309" s="15">
        <v>4</v>
      </c>
    </row>
    <row r="310" spans="1:7" x14ac:dyDescent="0.25">
      <c r="A310" s="15" t="s">
        <v>493</v>
      </c>
      <c r="B310" s="15" t="s">
        <v>494</v>
      </c>
      <c r="C310" s="16">
        <v>7.4</v>
      </c>
      <c r="D310" s="15" t="s">
        <v>451</v>
      </c>
      <c r="E310" s="15" t="s">
        <v>452</v>
      </c>
      <c r="F310" s="15">
        <v>2</v>
      </c>
      <c r="G310" s="15">
        <v>2</v>
      </c>
    </row>
    <row r="311" spans="1:7" x14ac:dyDescent="0.25">
      <c r="A311" s="15" t="s">
        <v>493</v>
      </c>
      <c r="B311" s="15" t="s">
        <v>494</v>
      </c>
      <c r="C311" s="16">
        <v>532</v>
      </c>
      <c r="D311" s="15" t="s">
        <v>80</v>
      </c>
      <c r="E311" s="15" t="s">
        <v>417</v>
      </c>
      <c r="F311" s="15">
        <v>24</v>
      </c>
      <c r="G311" s="15">
        <v>24</v>
      </c>
    </row>
    <row r="312" spans="1:7" x14ac:dyDescent="0.25">
      <c r="A312" s="15" t="s">
        <v>493</v>
      </c>
      <c r="B312" s="15" t="s">
        <v>494</v>
      </c>
      <c r="C312" s="16">
        <v>1.85</v>
      </c>
      <c r="D312" s="15" t="s">
        <v>544</v>
      </c>
      <c r="E312" s="15" t="s">
        <v>545</v>
      </c>
      <c r="F312" s="15">
        <v>1</v>
      </c>
      <c r="G312" s="15">
        <v>1</v>
      </c>
    </row>
    <row r="313" spans="1:7" x14ac:dyDescent="0.25">
      <c r="A313" s="15" t="s">
        <v>493</v>
      </c>
      <c r="B313" s="15" t="s">
        <v>494</v>
      </c>
      <c r="C313" s="16">
        <v>152.1</v>
      </c>
      <c r="D313" s="15" t="s">
        <v>546</v>
      </c>
      <c r="E313" s="15" t="s">
        <v>547</v>
      </c>
      <c r="F313" s="15">
        <v>9</v>
      </c>
      <c r="G313" s="15">
        <v>9</v>
      </c>
    </row>
    <row r="314" spans="1:7" x14ac:dyDescent="0.25">
      <c r="A314" s="15" t="s">
        <v>493</v>
      </c>
      <c r="B314" s="15" t="s">
        <v>494</v>
      </c>
      <c r="C314" s="16">
        <v>40.200000000000003</v>
      </c>
      <c r="D314" s="15" t="s">
        <v>97</v>
      </c>
      <c r="E314" s="15" t="s">
        <v>548</v>
      </c>
      <c r="F314" s="15">
        <v>6</v>
      </c>
      <c r="G314" s="15">
        <v>6</v>
      </c>
    </row>
    <row r="315" spans="1:7" x14ac:dyDescent="0.25">
      <c r="A315" s="15" t="s">
        <v>493</v>
      </c>
      <c r="B315" s="15" t="s">
        <v>494</v>
      </c>
      <c r="C315" s="16">
        <v>88.18</v>
      </c>
      <c r="D315" s="15" t="s">
        <v>549</v>
      </c>
      <c r="E315" s="15" t="s">
        <v>550</v>
      </c>
      <c r="F315" s="15">
        <v>8</v>
      </c>
      <c r="G315" s="15">
        <v>8</v>
      </c>
    </row>
    <row r="316" spans="1:7" x14ac:dyDescent="0.25">
      <c r="A316" s="15" t="s">
        <v>493</v>
      </c>
      <c r="B316" s="15" t="s">
        <v>494</v>
      </c>
      <c r="C316" s="16">
        <v>0.3</v>
      </c>
      <c r="D316" s="15" t="s">
        <v>551</v>
      </c>
      <c r="E316" s="15" t="s">
        <v>552</v>
      </c>
      <c r="F316" s="15">
        <v>1</v>
      </c>
      <c r="G316" s="15">
        <v>1</v>
      </c>
    </row>
    <row r="317" spans="1:7" x14ac:dyDescent="0.25">
      <c r="A317" s="15" t="s">
        <v>493</v>
      </c>
      <c r="B317" s="15" t="s">
        <v>494</v>
      </c>
      <c r="C317" s="16">
        <v>178.8</v>
      </c>
      <c r="D317" s="15" t="s">
        <v>453</v>
      </c>
      <c r="E317" s="15" t="s">
        <v>454</v>
      </c>
      <c r="F317" s="15">
        <v>24</v>
      </c>
      <c r="G317" s="15">
        <v>24</v>
      </c>
    </row>
    <row r="318" spans="1:7" x14ac:dyDescent="0.25">
      <c r="A318" s="15" t="s">
        <v>493</v>
      </c>
      <c r="B318" s="15" t="s">
        <v>494</v>
      </c>
      <c r="C318" s="16">
        <v>28</v>
      </c>
      <c r="D318" s="15" t="s">
        <v>553</v>
      </c>
      <c r="E318" s="15" t="s">
        <v>554</v>
      </c>
      <c r="F318" s="15">
        <v>2</v>
      </c>
      <c r="G318" s="15">
        <v>2</v>
      </c>
    </row>
    <row r="319" spans="1:7" x14ac:dyDescent="0.25">
      <c r="A319" s="15" t="s">
        <v>493</v>
      </c>
      <c r="B319" s="15" t="s">
        <v>494</v>
      </c>
      <c r="C319" s="16">
        <v>86.5</v>
      </c>
      <c r="D319" s="15" t="s">
        <v>455</v>
      </c>
      <c r="E319" s="15" t="s">
        <v>555</v>
      </c>
      <c r="F319" s="15">
        <v>17</v>
      </c>
      <c r="G319" s="15">
        <v>17</v>
      </c>
    </row>
    <row r="320" spans="1:7" x14ac:dyDescent="0.25">
      <c r="A320" s="15" t="s">
        <v>493</v>
      </c>
      <c r="B320" s="15" t="s">
        <v>494</v>
      </c>
      <c r="C320" s="16">
        <v>216.8</v>
      </c>
      <c r="D320" s="15" t="s">
        <v>556</v>
      </c>
      <c r="E320" s="15" t="s">
        <v>557</v>
      </c>
      <c r="F320" s="15">
        <v>30</v>
      </c>
      <c r="G320" s="15">
        <v>30</v>
      </c>
    </row>
    <row r="321" spans="1:7" x14ac:dyDescent="0.25">
      <c r="A321" s="15" t="s">
        <v>493</v>
      </c>
      <c r="B321" s="15" t="s">
        <v>494</v>
      </c>
      <c r="C321" s="16">
        <v>53.35</v>
      </c>
      <c r="D321" s="15" t="s">
        <v>80</v>
      </c>
      <c r="E321" s="15" t="s">
        <v>558</v>
      </c>
      <c r="F321" s="15">
        <v>7</v>
      </c>
      <c r="G321" s="15">
        <v>7</v>
      </c>
    </row>
    <row r="322" spans="1:7" x14ac:dyDescent="0.25">
      <c r="A322" s="15" t="s">
        <v>493</v>
      </c>
      <c r="B322" s="15" t="s">
        <v>494</v>
      </c>
      <c r="C322" s="16">
        <v>150.1</v>
      </c>
      <c r="D322" s="15" t="s">
        <v>132</v>
      </c>
      <c r="E322" s="15" t="s">
        <v>300</v>
      </c>
      <c r="F322" s="15">
        <v>11</v>
      </c>
      <c r="G322" s="15">
        <v>11</v>
      </c>
    </row>
    <row r="323" spans="1:7" x14ac:dyDescent="0.25">
      <c r="A323" s="15" t="s">
        <v>493</v>
      </c>
      <c r="B323" s="15" t="s">
        <v>494</v>
      </c>
      <c r="C323" s="16">
        <v>28.4</v>
      </c>
      <c r="D323" s="15" t="s">
        <v>293</v>
      </c>
      <c r="E323" s="15" t="s">
        <v>559</v>
      </c>
      <c r="F323" s="15">
        <v>7</v>
      </c>
      <c r="G323" s="15">
        <v>7</v>
      </c>
    </row>
    <row r="324" spans="1:7" x14ac:dyDescent="0.25">
      <c r="A324" s="15" t="s">
        <v>493</v>
      </c>
      <c r="B324" s="15" t="s">
        <v>494</v>
      </c>
      <c r="C324" s="16">
        <v>25.7</v>
      </c>
      <c r="D324" s="15" t="s">
        <v>458</v>
      </c>
      <c r="E324" s="15" t="s">
        <v>459</v>
      </c>
      <c r="F324" s="15">
        <v>11</v>
      </c>
      <c r="G324" s="15">
        <v>11</v>
      </c>
    </row>
    <row r="325" spans="1:7" x14ac:dyDescent="0.25">
      <c r="A325" s="15" t="s">
        <v>493</v>
      </c>
      <c r="B325" s="15" t="s">
        <v>494</v>
      </c>
      <c r="C325" s="16">
        <v>107.1</v>
      </c>
      <c r="D325" s="15" t="s">
        <v>179</v>
      </c>
      <c r="E325" s="15" t="s">
        <v>560</v>
      </c>
      <c r="F325" s="15">
        <v>5</v>
      </c>
      <c r="G325" s="15">
        <v>5</v>
      </c>
    </row>
    <row r="326" spans="1:7" x14ac:dyDescent="0.25">
      <c r="A326" s="15" t="s">
        <v>493</v>
      </c>
      <c r="B326" s="15" t="s">
        <v>494</v>
      </c>
      <c r="C326" s="16">
        <v>905.09</v>
      </c>
      <c r="D326" s="15" t="s">
        <v>424</v>
      </c>
      <c r="E326" s="15" t="s">
        <v>425</v>
      </c>
      <c r="F326" s="15">
        <v>59</v>
      </c>
      <c r="G326" s="15">
        <v>59</v>
      </c>
    </row>
    <row r="327" spans="1:7" x14ac:dyDescent="0.25">
      <c r="A327" s="15" t="s">
        <v>493</v>
      </c>
      <c r="B327" s="15" t="s">
        <v>494</v>
      </c>
      <c r="C327" s="16">
        <v>93.6</v>
      </c>
      <c r="D327" s="15" t="s">
        <v>561</v>
      </c>
      <c r="E327" s="15" t="s">
        <v>562</v>
      </c>
      <c r="F327" s="15">
        <v>9</v>
      </c>
      <c r="G327" s="15">
        <v>9</v>
      </c>
    </row>
    <row r="328" spans="1:7" x14ac:dyDescent="0.25">
      <c r="A328" s="15" t="s">
        <v>493</v>
      </c>
      <c r="B328" s="15" t="s">
        <v>494</v>
      </c>
      <c r="C328" s="16">
        <v>234</v>
      </c>
      <c r="D328" s="15" t="s">
        <v>563</v>
      </c>
      <c r="E328" s="15" t="s">
        <v>564</v>
      </c>
      <c r="F328" s="15">
        <v>90</v>
      </c>
      <c r="G328" s="15">
        <v>90</v>
      </c>
    </row>
    <row r="329" spans="1:7" x14ac:dyDescent="0.25">
      <c r="A329" s="15" t="s">
        <v>493</v>
      </c>
      <c r="B329" s="15" t="s">
        <v>494</v>
      </c>
      <c r="C329" s="16">
        <v>43.8</v>
      </c>
      <c r="D329" s="15" t="s">
        <v>256</v>
      </c>
      <c r="E329" s="15" t="s">
        <v>461</v>
      </c>
      <c r="F329" s="15">
        <v>3</v>
      </c>
      <c r="G329" s="15">
        <v>3</v>
      </c>
    </row>
    <row r="330" spans="1:7" x14ac:dyDescent="0.25">
      <c r="A330" s="15" t="s">
        <v>565</v>
      </c>
      <c r="B330" s="15" t="s">
        <v>566</v>
      </c>
      <c r="C330" s="16">
        <v>508.8</v>
      </c>
      <c r="D330" s="15" t="s">
        <v>226</v>
      </c>
      <c r="E330" s="15" t="s">
        <v>398</v>
      </c>
      <c r="F330" s="15">
        <v>3</v>
      </c>
      <c r="G330" s="15">
        <v>3</v>
      </c>
    </row>
    <row r="331" spans="1:7" x14ac:dyDescent="0.25">
      <c r="A331" s="15" t="s">
        <v>565</v>
      </c>
      <c r="B331" s="15" t="s">
        <v>566</v>
      </c>
      <c r="C331" s="16">
        <v>64</v>
      </c>
      <c r="D331" s="15" t="s">
        <v>80</v>
      </c>
      <c r="E331" s="15" t="s">
        <v>502</v>
      </c>
      <c r="F331" s="15">
        <v>15</v>
      </c>
      <c r="G331" s="15">
        <v>15</v>
      </c>
    </row>
    <row r="332" spans="1:7" x14ac:dyDescent="0.25">
      <c r="A332" s="15" t="s">
        <v>565</v>
      </c>
      <c r="B332" s="15" t="s">
        <v>566</v>
      </c>
      <c r="C332" s="16">
        <v>30.6</v>
      </c>
      <c r="D332" s="15" t="s">
        <v>399</v>
      </c>
      <c r="E332" s="15" t="s">
        <v>508</v>
      </c>
      <c r="F332" s="15">
        <v>3</v>
      </c>
      <c r="G332" s="15">
        <v>3</v>
      </c>
    </row>
    <row r="333" spans="1:7" x14ac:dyDescent="0.25">
      <c r="A333" s="15" t="s">
        <v>565</v>
      </c>
      <c r="B333" s="15" t="s">
        <v>566</v>
      </c>
      <c r="C333" s="16">
        <v>210.2</v>
      </c>
      <c r="D333" s="15" t="s">
        <v>90</v>
      </c>
      <c r="E333" s="15" t="s">
        <v>401</v>
      </c>
      <c r="F333" s="15">
        <v>94</v>
      </c>
      <c r="G333" s="15">
        <v>94</v>
      </c>
    </row>
    <row r="334" spans="1:7" x14ac:dyDescent="0.25">
      <c r="A334" s="15" t="s">
        <v>565</v>
      </c>
      <c r="B334" s="15" t="s">
        <v>566</v>
      </c>
      <c r="C334" s="16">
        <v>129.06</v>
      </c>
      <c r="D334" s="15" t="s">
        <v>80</v>
      </c>
      <c r="E334" s="15" t="s">
        <v>402</v>
      </c>
      <c r="F334" s="15">
        <v>12</v>
      </c>
      <c r="G334" s="15">
        <v>12</v>
      </c>
    </row>
    <row r="335" spans="1:7" x14ac:dyDescent="0.25">
      <c r="A335" s="15" t="s">
        <v>565</v>
      </c>
      <c r="B335" s="15" t="s">
        <v>566</v>
      </c>
      <c r="C335" s="16">
        <v>13.4</v>
      </c>
      <c r="D335" s="15" t="s">
        <v>325</v>
      </c>
      <c r="E335" s="15" t="s">
        <v>326</v>
      </c>
      <c r="F335" s="15">
        <v>2</v>
      </c>
      <c r="G335" s="15">
        <v>2</v>
      </c>
    </row>
    <row r="336" spans="1:7" x14ac:dyDescent="0.25">
      <c r="A336" s="15" t="s">
        <v>565</v>
      </c>
      <c r="B336" s="15" t="s">
        <v>566</v>
      </c>
      <c r="C336" s="16">
        <v>70.8</v>
      </c>
      <c r="D336" s="15" t="s">
        <v>567</v>
      </c>
      <c r="E336" s="15" t="s">
        <v>568</v>
      </c>
      <c r="F336" s="15">
        <v>6</v>
      </c>
      <c r="G336" s="15">
        <v>6</v>
      </c>
    </row>
    <row r="337" spans="1:7" x14ac:dyDescent="0.25">
      <c r="A337" s="15" t="s">
        <v>565</v>
      </c>
      <c r="B337" s="15" t="s">
        <v>566</v>
      </c>
      <c r="C337" s="16">
        <v>43.2</v>
      </c>
      <c r="D337" s="15" t="s">
        <v>185</v>
      </c>
      <c r="E337" s="15" t="s">
        <v>569</v>
      </c>
      <c r="F337" s="15">
        <v>2</v>
      </c>
      <c r="G337" s="15">
        <v>2</v>
      </c>
    </row>
    <row r="338" spans="1:7" x14ac:dyDescent="0.25">
      <c r="A338" s="15" t="s">
        <v>565</v>
      </c>
      <c r="B338" s="15" t="s">
        <v>566</v>
      </c>
      <c r="C338" s="16">
        <v>284.39999999999998</v>
      </c>
      <c r="D338" s="15" t="s">
        <v>439</v>
      </c>
      <c r="E338" s="15" t="s">
        <v>440</v>
      </c>
      <c r="F338" s="15">
        <v>12</v>
      </c>
      <c r="G338" s="15">
        <v>12</v>
      </c>
    </row>
    <row r="339" spans="1:7" x14ac:dyDescent="0.25">
      <c r="A339" s="15" t="s">
        <v>565</v>
      </c>
      <c r="B339" s="15" t="s">
        <v>566</v>
      </c>
      <c r="C339" s="16">
        <v>57.4</v>
      </c>
      <c r="D339" s="15" t="s">
        <v>466</v>
      </c>
      <c r="E339" s="15" t="s">
        <v>570</v>
      </c>
      <c r="F339" s="15">
        <v>4</v>
      </c>
      <c r="G339" s="15">
        <v>4</v>
      </c>
    </row>
    <row r="340" spans="1:7" x14ac:dyDescent="0.25">
      <c r="A340" s="15" t="s">
        <v>565</v>
      </c>
      <c r="B340" s="15" t="s">
        <v>566</v>
      </c>
      <c r="C340" s="16">
        <v>80.8</v>
      </c>
      <c r="D340" s="15" t="s">
        <v>80</v>
      </c>
      <c r="E340" s="15" t="s">
        <v>571</v>
      </c>
      <c r="F340" s="15">
        <v>8</v>
      </c>
      <c r="G340" s="15">
        <v>8</v>
      </c>
    </row>
    <row r="341" spans="1:7" x14ac:dyDescent="0.25">
      <c r="A341" s="15" t="s">
        <v>565</v>
      </c>
      <c r="B341" s="15" t="s">
        <v>566</v>
      </c>
      <c r="C341" s="16">
        <v>115.6</v>
      </c>
      <c r="D341" s="15" t="s">
        <v>80</v>
      </c>
      <c r="E341" s="15" t="s">
        <v>341</v>
      </c>
      <c r="F341" s="15">
        <v>17</v>
      </c>
      <c r="G341" s="15">
        <v>17</v>
      </c>
    </row>
    <row r="342" spans="1:7" x14ac:dyDescent="0.25">
      <c r="A342" s="15" t="s">
        <v>565</v>
      </c>
      <c r="B342" s="15" t="s">
        <v>566</v>
      </c>
      <c r="C342" s="16">
        <v>49.5</v>
      </c>
      <c r="D342" s="15" t="s">
        <v>529</v>
      </c>
      <c r="E342" s="15" t="s">
        <v>530</v>
      </c>
      <c r="F342" s="15">
        <v>3</v>
      </c>
      <c r="G342" s="15">
        <v>3</v>
      </c>
    </row>
    <row r="343" spans="1:7" x14ac:dyDescent="0.25">
      <c r="A343" s="15" t="s">
        <v>565</v>
      </c>
      <c r="B343" s="15" t="s">
        <v>566</v>
      </c>
      <c r="C343" s="16">
        <v>70.400000000000006</v>
      </c>
      <c r="D343" s="15" t="s">
        <v>123</v>
      </c>
      <c r="E343" s="15" t="s">
        <v>572</v>
      </c>
      <c r="F343" s="15">
        <v>8</v>
      </c>
      <c r="G343" s="15">
        <v>8</v>
      </c>
    </row>
    <row r="344" spans="1:7" x14ac:dyDescent="0.25">
      <c r="A344" s="15" t="s">
        <v>565</v>
      </c>
      <c r="B344" s="15" t="s">
        <v>566</v>
      </c>
      <c r="C344" s="16">
        <v>184.5</v>
      </c>
      <c r="D344" s="15" t="s">
        <v>228</v>
      </c>
      <c r="E344" s="15" t="s">
        <v>444</v>
      </c>
      <c r="F344" s="15">
        <v>31</v>
      </c>
      <c r="G344" s="15">
        <v>31</v>
      </c>
    </row>
    <row r="345" spans="1:7" x14ac:dyDescent="0.25">
      <c r="A345" s="15" t="s">
        <v>565</v>
      </c>
      <c r="B345" s="15" t="s">
        <v>566</v>
      </c>
      <c r="C345" s="16">
        <v>23.8</v>
      </c>
      <c r="D345" s="15" t="s">
        <v>67</v>
      </c>
      <c r="E345" s="15" t="s">
        <v>414</v>
      </c>
      <c r="F345" s="15">
        <v>14</v>
      </c>
      <c r="G345" s="15">
        <v>14</v>
      </c>
    </row>
    <row r="346" spans="1:7" x14ac:dyDescent="0.25">
      <c r="A346" s="15" t="s">
        <v>565</v>
      </c>
      <c r="B346" s="15" t="s">
        <v>566</v>
      </c>
      <c r="C346" s="16">
        <v>317.39999999999998</v>
      </c>
      <c r="D346" s="15" t="s">
        <v>80</v>
      </c>
      <c r="E346" s="15" t="s">
        <v>573</v>
      </c>
      <c r="F346" s="15">
        <v>25</v>
      </c>
      <c r="G346" s="15">
        <v>25</v>
      </c>
    </row>
    <row r="347" spans="1:7" x14ac:dyDescent="0.25">
      <c r="A347" s="15" t="s">
        <v>565</v>
      </c>
      <c r="B347" s="15" t="s">
        <v>566</v>
      </c>
      <c r="C347" s="16">
        <v>264</v>
      </c>
      <c r="D347" s="15" t="s">
        <v>80</v>
      </c>
      <c r="E347" s="15" t="s">
        <v>450</v>
      </c>
      <c r="F347" s="15">
        <v>12</v>
      </c>
      <c r="G347" s="15">
        <v>12</v>
      </c>
    </row>
    <row r="348" spans="1:7" x14ac:dyDescent="0.25">
      <c r="A348" s="15" t="s">
        <v>565</v>
      </c>
      <c r="B348" s="15" t="s">
        <v>566</v>
      </c>
      <c r="C348" s="16">
        <v>2391</v>
      </c>
      <c r="D348" s="15" t="s">
        <v>80</v>
      </c>
      <c r="E348" s="15" t="s">
        <v>417</v>
      </c>
      <c r="F348" s="15">
        <v>98</v>
      </c>
      <c r="G348" s="15">
        <v>98</v>
      </c>
    </row>
    <row r="349" spans="1:7" x14ac:dyDescent="0.25">
      <c r="A349" s="15" t="s">
        <v>565</v>
      </c>
      <c r="B349" s="15" t="s">
        <v>566</v>
      </c>
      <c r="C349" s="16">
        <v>101.2</v>
      </c>
      <c r="D349" s="15" t="s">
        <v>132</v>
      </c>
      <c r="E349" s="15" t="s">
        <v>574</v>
      </c>
      <c r="F349" s="15">
        <v>4</v>
      </c>
      <c r="G349" s="15">
        <v>4</v>
      </c>
    </row>
    <row r="350" spans="1:7" x14ac:dyDescent="0.25">
      <c r="A350" s="15" t="s">
        <v>565</v>
      </c>
      <c r="B350" s="15" t="s">
        <v>566</v>
      </c>
      <c r="C350" s="16">
        <v>155.30000000000001</v>
      </c>
      <c r="D350" s="15" t="s">
        <v>80</v>
      </c>
      <c r="E350" s="15" t="s">
        <v>575</v>
      </c>
      <c r="F350" s="15">
        <v>25</v>
      </c>
      <c r="G350" s="15">
        <v>25</v>
      </c>
    </row>
    <row r="351" spans="1:7" x14ac:dyDescent="0.25">
      <c r="A351" s="15" t="s">
        <v>565</v>
      </c>
      <c r="B351" s="15" t="s">
        <v>566</v>
      </c>
      <c r="C351" s="16">
        <v>136.72</v>
      </c>
      <c r="D351" s="15" t="s">
        <v>556</v>
      </c>
      <c r="E351" s="15" t="s">
        <v>557</v>
      </c>
      <c r="F351" s="15">
        <v>19</v>
      </c>
      <c r="G351" s="15">
        <v>19</v>
      </c>
    </row>
    <row r="352" spans="1:7" x14ac:dyDescent="0.25">
      <c r="A352" s="15" t="s">
        <v>565</v>
      </c>
      <c r="B352" s="15" t="s">
        <v>566</v>
      </c>
      <c r="C352" s="16">
        <v>138.1</v>
      </c>
      <c r="D352" s="15" t="s">
        <v>80</v>
      </c>
      <c r="E352" s="15" t="s">
        <v>576</v>
      </c>
      <c r="F352" s="15">
        <v>35</v>
      </c>
      <c r="G352" s="15">
        <v>35</v>
      </c>
    </row>
    <row r="353" spans="1:7" x14ac:dyDescent="0.25">
      <c r="A353" s="15" t="s">
        <v>565</v>
      </c>
      <c r="B353" s="15" t="s">
        <v>566</v>
      </c>
      <c r="C353" s="16">
        <v>88.3</v>
      </c>
      <c r="D353" s="15" t="s">
        <v>422</v>
      </c>
      <c r="E353" s="15" t="s">
        <v>577</v>
      </c>
      <c r="F353" s="15">
        <v>25</v>
      </c>
      <c r="G353" s="15">
        <v>25</v>
      </c>
    </row>
    <row r="354" spans="1:7" x14ac:dyDescent="0.25">
      <c r="A354" s="15" t="s">
        <v>565</v>
      </c>
      <c r="B354" s="15" t="s">
        <v>566</v>
      </c>
      <c r="C354" s="16">
        <v>221.1</v>
      </c>
      <c r="D354" s="15" t="s">
        <v>138</v>
      </c>
      <c r="E354" s="15" t="s">
        <v>421</v>
      </c>
      <c r="F354" s="15">
        <v>13</v>
      </c>
      <c r="G354" s="15">
        <v>13</v>
      </c>
    </row>
    <row r="355" spans="1:7" x14ac:dyDescent="0.25">
      <c r="A355" s="15" t="s">
        <v>565</v>
      </c>
      <c r="B355" s="15" t="s">
        <v>566</v>
      </c>
      <c r="C355" s="16">
        <v>3890.5</v>
      </c>
      <c r="D355" s="15" t="s">
        <v>424</v>
      </c>
      <c r="E355" s="15" t="s">
        <v>425</v>
      </c>
      <c r="F355" s="15">
        <v>232</v>
      </c>
      <c r="G355" s="15">
        <v>232</v>
      </c>
    </row>
    <row r="356" spans="1:7" x14ac:dyDescent="0.25">
      <c r="A356" s="15" t="s">
        <v>565</v>
      </c>
      <c r="B356" s="15" t="s">
        <v>566</v>
      </c>
      <c r="C356" s="16">
        <v>950.8</v>
      </c>
      <c r="D356" s="15" t="s">
        <v>578</v>
      </c>
      <c r="E356" s="15" t="s">
        <v>461</v>
      </c>
      <c r="F356" s="15">
        <v>82</v>
      </c>
      <c r="G356" s="15">
        <v>82</v>
      </c>
    </row>
    <row r="357" spans="1:7" x14ac:dyDescent="0.25">
      <c r="A357" s="15" t="s">
        <v>565</v>
      </c>
      <c r="B357" s="15" t="s">
        <v>566</v>
      </c>
      <c r="C357" s="16">
        <v>22.8</v>
      </c>
      <c r="D357" s="15" t="s">
        <v>579</v>
      </c>
      <c r="E357" s="15" t="s">
        <v>580</v>
      </c>
      <c r="F357" s="15">
        <v>2</v>
      </c>
      <c r="G357" s="15">
        <v>2</v>
      </c>
    </row>
    <row r="358" spans="1:7" x14ac:dyDescent="0.25">
      <c r="A358" s="15" t="s">
        <v>581</v>
      </c>
      <c r="B358" s="15" t="s">
        <v>582</v>
      </c>
      <c r="C358" s="16">
        <v>80.55</v>
      </c>
      <c r="D358" s="15" t="s">
        <v>67</v>
      </c>
      <c r="E358" s="15" t="s">
        <v>583</v>
      </c>
      <c r="F358" s="15">
        <v>9</v>
      </c>
      <c r="G358" s="15">
        <v>9</v>
      </c>
    </row>
    <row r="359" spans="1:7" x14ac:dyDescent="0.25">
      <c r="A359" s="15" t="s">
        <v>581</v>
      </c>
      <c r="B359" s="15" t="s">
        <v>582</v>
      </c>
      <c r="C359" s="16">
        <v>98.8</v>
      </c>
      <c r="D359" s="15" t="s">
        <v>156</v>
      </c>
      <c r="E359" s="15" t="s">
        <v>317</v>
      </c>
      <c r="F359" s="15">
        <v>26</v>
      </c>
      <c r="G359" s="15">
        <v>26</v>
      </c>
    </row>
    <row r="360" spans="1:7" x14ac:dyDescent="0.25">
      <c r="A360" s="15" t="s">
        <v>581</v>
      </c>
      <c r="B360" s="15" t="s">
        <v>582</v>
      </c>
      <c r="C360" s="16">
        <v>60.2</v>
      </c>
      <c r="D360" s="15" t="s">
        <v>360</v>
      </c>
      <c r="E360" s="15" t="s">
        <v>584</v>
      </c>
      <c r="F360" s="15">
        <v>14</v>
      </c>
      <c r="G360" s="15">
        <v>14</v>
      </c>
    </row>
    <row r="361" spans="1:7" x14ac:dyDescent="0.25">
      <c r="A361" s="15" t="s">
        <v>581</v>
      </c>
      <c r="B361" s="15" t="s">
        <v>582</v>
      </c>
      <c r="C361" s="16">
        <v>307.5</v>
      </c>
      <c r="D361" s="15" t="s">
        <v>123</v>
      </c>
      <c r="E361" s="15" t="s">
        <v>585</v>
      </c>
      <c r="F361" s="15">
        <v>18</v>
      </c>
      <c r="G361" s="15">
        <v>18</v>
      </c>
    </row>
    <row r="362" spans="1:7" x14ac:dyDescent="0.25">
      <c r="A362" s="15" t="s">
        <v>581</v>
      </c>
      <c r="B362" s="15" t="s">
        <v>582</v>
      </c>
      <c r="C362" s="16">
        <v>71.099999999999994</v>
      </c>
      <c r="D362" s="15" t="s">
        <v>586</v>
      </c>
      <c r="E362" s="15" t="s">
        <v>587</v>
      </c>
      <c r="F362" s="15">
        <v>9</v>
      </c>
      <c r="G362" s="15">
        <v>9</v>
      </c>
    </row>
    <row r="363" spans="1:7" x14ac:dyDescent="0.25">
      <c r="A363" s="15" t="s">
        <v>581</v>
      </c>
      <c r="B363" s="15" t="s">
        <v>582</v>
      </c>
      <c r="C363" s="16">
        <v>168</v>
      </c>
      <c r="D363" s="15" t="s">
        <v>437</v>
      </c>
      <c r="E363" s="15" t="s">
        <v>588</v>
      </c>
      <c r="F363" s="15">
        <v>20</v>
      </c>
      <c r="G363" s="15">
        <v>20</v>
      </c>
    </row>
    <row r="364" spans="1:7" x14ac:dyDescent="0.25">
      <c r="A364" s="15" t="s">
        <v>581</v>
      </c>
      <c r="B364" s="15" t="s">
        <v>582</v>
      </c>
      <c r="C364" s="16">
        <v>856.5</v>
      </c>
      <c r="D364" s="15" t="s">
        <v>82</v>
      </c>
      <c r="E364" s="15" t="s">
        <v>589</v>
      </c>
      <c r="F364" s="15">
        <v>44</v>
      </c>
      <c r="G364" s="15">
        <v>44</v>
      </c>
    </row>
    <row r="365" spans="1:7" x14ac:dyDescent="0.25">
      <c r="A365" s="15" t="s">
        <v>581</v>
      </c>
      <c r="B365" s="15" t="s">
        <v>582</v>
      </c>
      <c r="C365" s="16">
        <v>600.9</v>
      </c>
      <c r="D365" s="15" t="s">
        <v>590</v>
      </c>
      <c r="E365" s="15" t="s">
        <v>591</v>
      </c>
      <c r="F365" s="15">
        <v>36</v>
      </c>
      <c r="G365" s="15">
        <v>36</v>
      </c>
    </row>
    <row r="366" spans="1:7" x14ac:dyDescent="0.25">
      <c r="A366" s="15" t="s">
        <v>581</v>
      </c>
      <c r="B366" s="15" t="s">
        <v>582</v>
      </c>
      <c r="C366" s="16">
        <v>1112.25</v>
      </c>
      <c r="D366" s="15" t="s">
        <v>592</v>
      </c>
      <c r="E366" s="15" t="s">
        <v>593</v>
      </c>
      <c r="F366" s="15">
        <v>15</v>
      </c>
      <c r="G366" s="15">
        <v>15</v>
      </c>
    </row>
    <row r="367" spans="1:7" x14ac:dyDescent="0.25">
      <c r="A367" s="15" t="s">
        <v>581</v>
      </c>
      <c r="B367" s="15" t="s">
        <v>582</v>
      </c>
      <c r="C367" s="16">
        <v>173.55</v>
      </c>
      <c r="D367" s="15" t="s">
        <v>594</v>
      </c>
      <c r="E367" s="15" t="s">
        <v>595</v>
      </c>
      <c r="F367" s="15">
        <v>13</v>
      </c>
      <c r="G367" s="15">
        <v>13</v>
      </c>
    </row>
    <row r="368" spans="1:7" x14ac:dyDescent="0.25">
      <c r="A368" s="15" t="s">
        <v>581</v>
      </c>
      <c r="B368" s="15" t="s">
        <v>582</v>
      </c>
      <c r="C368" s="16">
        <v>252.84</v>
      </c>
      <c r="D368" s="15" t="s">
        <v>167</v>
      </c>
      <c r="E368" s="15" t="s">
        <v>596</v>
      </c>
      <c r="F368" s="15">
        <v>44</v>
      </c>
      <c r="G368" s="15">
        <v>44</v>
      </c>
    </row>
    <row r="369" spans="1:7" x14ac:dyDescent="0.25">
      <c r="A369" s="15" t="s">
        <v>581</v>
      </c>
      <c r="B369" s="15" t="s">
        <v>582</v>
      </c>
      <c r="C369" s="16">
        <v>151.5</v>
      </c>
      <c r="D369" s="15" t="s">
        <v>80</v>
      </c>
      <c r="E369" s="15" t="s">
        <v>597</v>
      </c>
      <c r="F369" s="15">
        <v>5</v>
      </c>
      <c r="G369" s="15">
        <v>5</v>
      </c>
    </row>
    <row r="370" spans="1:7" x14ac:dyDescent="0.25">
      <c r="A370" s="15" t="s">
        <v>581</v>
      </c>
      <c r="B370" s="15" t="s">
        <v>582</v>
      </c>
      <c r="C370" s="16">
        <v>717.34</v>
      </c>
      <c r="D370" s="15" t="s">
        <v>598</v>
      </c>
      <c r="E370" s="15" t="s">
        <v>599</v>
      </c>
      <c r="F370" s="15">
        <v>26</v>
      </c>
      <c r="G370" s="15">
        <v>26</v>
      </c>
    </row>
    <row r="371" spans="1:7" x14ac:dyDescent="0.25">
      <c r="A371" s="15" t="s">
        <v>581</v>
      </c>
      <c r="B371" s="15" t="s">
        <v>582</v>
      </c>
      <c r="C371" s="16">
        <v>92.75</v>
      </c>
      <c r="D371" s="15" t="s">
        <v>335</v>
      </c>
      <c r="E371" s="15" t="s">
        <v>336</v>
      </c>
      <c r="F371" s="15">
        <v>7</v>
      </c>
      <c r="G371" s="15">
        <v>7</v>
      </c>
    </row>
    <row r="372" spans="1:7" x14ac:dyDescent="0.25">
      <c r="A372" s="15" t="s">
        <v>581</v>
      </c>
      <c r="B372" s="15" t="s">
        <v>582</v>
      </c>
      <c r="C372" s="16">
        <v>178.5</v>
      </c>
      <c r="D372" s="15" t="s">
        <v>80</v>
      </c>
      <c r="E372" s="15" t="s">
        <v>600</v>
      </c>
      <c r="F372" s="15">
        <v>17</v>
      </c>
      <c r="G372" s="15">
        <v>17</v>
      </c>
    </row>
    <row r="373" spans="1:7" x14ac:dyDescent="0.25">
      <c r="A373" s="15" t="s">
        <v>581</v>
      </c>
      <c r="B373" s="15" t="s">
        <v>582</v>
      </c>
      <c r="C373" s="16">
        <v>420.6</v>
      </c>
      <c r="D373" s="15" t="s">
        <v>478</v>
      </c>
      <c r="E373" s="15" t="s">
        <v>479</v>
      </c>
      <c r="F373" s="15">
        <v>40</v>
      </c>
      <c r="G373" s="15">
        <v>40</v>
      </c>
    </row>
    <row r="374" spans="1:7" x14ac:dyDescent="0.25">
      <c r="A374" s="15" t="s">
        <v>581</v>
      </c>
      <c r="B374" s="15" t="s">
        <v>582</v>
      </c>
      <c r="C374" s="16">
        <v>278.60000000000002</v>
      </c>
      <c r="D374" s="15" t="s">
        <v>80</v>
      </c>
      <c r="E374" s="15" t="s">
        <v>341</v>
      </c>
      <c r="F374" s="15">
        <v>54</v>
      </c>
      <c r="G374" s="15">
        <v>54</v>
      </c>
    </row>
    <row r="375" spans="1:7" x14ac:dyDescent="0.25">
      <c r="A375" s="15" t="s">
        <v>581</v>
      </c>
      <c r="B375" s="15" t="s">
        <v>582</v>
      </c>
      <c r="C375" s="16">
        <v>154</v>
      </c>
      <c r="D375" s="15" t="s">
        <v>80</v>
      </c>
      <c r="E375" s="15" t="s">
        <v>601</v>
      </c>
      <c r="F375" s="15">
        <v>14</v>
      </c>
      <c r="G375" s="15">
        <v>14</v>
      </c>
    </row>
    <row r="376" spans="1:7" x14ac:dyDescent="0.25">
      <c r="A376" s="15" t="s">
        <v>581</v>
      </c>
      <c r="B376" s="15" t="s">
        <v>582</v>
      </c>
      <c r="C376" s="16">
        <v>402.25</v>
      </c>
      <c r="D376" s="15" t="s">
        <v>602</v>
      </c>
      <c r="E376" s="15" t="s">
        <v>603</v>
      </c>
      <c r="F376" s="15">
        <v>21</v>
      </c>
      <c r="G376" s="15">
        <v>21</v>
      </c>
    </row>
    <row r="377" spans="1:7" x14ac:dyDescent="0.25">
      <c r="A377" s="15" t="s">
        <v>581</v>
      </c>
      <c r="B377" s="15" t="s">
        <v>582</v>
      </c>
      <c r="C377" s="16">
        <v>61.75</v>
      </c>
      <c r="D377" s="15" t="s">
        <v>325</v>
      </c>
      <c r="E377" s="15" t="s">
        <v>604</v>
      </c>
      <c r="F377" s="15">
        <v>14</v>
      </c>
      <c r="G377" s="15">
        <v>14</v>
      </c>
    </row>
    <row r="378" spans="1:7" x14ac:dyDescent="0.25">
      <c r="A378" s="15" t="s">
        <v>581</v>
      </c>
      <c r="B378" s="15" t="s">
        <v>582</v>
      </c>
      <c r="C378" s="16">
        <v>192.05</v>
      </c>
      <c r="D378" s="15" t="s">
        <v>348</v>
      </c>
      <c r="E378" s="15" t="s">
        <v>349</v>
      </c>
      <c r="F378" s="15">
        <v>23</v>
      </c>
      <c r="G378" s="15">
        <v>23</v>
      </c>
    </row>
    <row r="379" spans="1:7" x14ac:dyDescent="0.25">
      <c r="A379" s="15" t="s">
        <v>581</v>
      </c>
      <c r="B379" s="15" t="s">
        <v>582</v>
      </c>
      <c r="C379" s="16">
        <v>238.5</v>
      </c>
      <c r="D379" s="15" t="s">
        <v>605</v>
      </c>
      <c r="E379" s="15" t="s">
        <v>606</v>
      </c>
      <c r="F379" s="15">
        <v>10</v>
      </c>
      <c r="G379" s="15">
        <v>10</v>
      </c>
    </row>
    <row r="380" spans="1:7" x14ac:dyDescent="0.25">
      <c r="A380" s="15" t="s">
        <v>581</v>
      </c>
      <c r="B380" s="15" t="s">
        <v>582</v>
      </c>
      <c r="C380" s="16">
        <v>119</v>
      </c>
      <c r="D380" s="15" t="s">
        <v>455</v>
      </c>
      <c r="E380" s="15" t="s">
        <v>607</v>
      </c>
      <c r="F380" s="15">
        <v>2</v>
      </c>
      <c r="G380" s="15">
        <v>2</v>
      </c>
    </row>
    <row r="381" spans="1:7" x14ac:dyDescent="0.25">
      <c r="A381" s="15" t="s">
        <v>581</v>
      </c>
      <c r="B381" s="15" t="s">
        <v>582</v>
      </c>
      <c r="C381" s="16">
        <v>633.6</v>
      </c>
      <c r="D381" s="15" t="s">
        <v>179</v>
      </c>
      <c r="E381" s="15" t="s">
        <v>608</v>
      </c>
      <c r="F381" s="15">
        <v>39</v>
      </c>
      <c r="G381" s="15">
        <v>39</v>
      </c>
    </row>
    <row r="382" spans="1:7" x14ac:dyDescent="0.25">
      <c r="A382" s="15" t="s">
        <v>581</v>
      </c>
      <c r="B382" s="15" t="s">
        <v>582</v>
      </c>
      <c r="C382" s="16">
        <v>33.200000000000003</v>
      </c>
      <c r="D382" s="15" t="s">
        <v>609</v>
      </c>
      <c r="E382" s="15" t="s">
        <v>610</v>
      </c>
      <c r="F382" s="15">
        <v>8</v>
      </c>
      <c r="G382" s="15">
        <v>8</v>
      </c>
    </row>
    <row r="383" spans="1:7" x14ac:dyDescent="0.25">
      <c r="A383" s="15" t="s">
        <v>581</v>
      </c>
      <c r="B383" s="15" t="s">
        <v>582</v>
      </c>
      <c r="C383" s="16">
        <v>117.5</v>
      </c>
      <c r="D383" s="15" t="s">
        <v>80</v>
      </c>
      <c r="E383" s="15" t="s">
        <v>611</v>
      </c>
      <c r="F383" s="15">
        <v>25</v>
      </c>
      <c r="G383" s="15">
        <v>25</v>
      </c>
    </row>
    <row r="384" spans="1:7" x14ac:dyDescent="0.25">
      <c r="A384" s="15" t="s">
        <v>581</v>
      </c>
      <c r="B384" s="15" t="s">
        <v>582</v>
      </c>
      <c r="C384" s="16">
        <v>73.150000000000006</v>
      </c>
      <c r="D384" s="15" t="s">
        <v>612</v>
      </c>
      <c r="E384" s="15" t="s">
        <v>613</v>
      </c>
      <c r="F384" s="15">
        <v>7</v>
      </c>
      <c r="G384" s="15">
        <v>7</v>
      </c>
    </row>
    <row r="385" spans="1:7" x14ac:dyDescent="0.25">
      <c r="A385" s="15" t="s">
        <v>581</v>
      </c>
      <c r="B385" s="15" t="s">
        <v>582</v>
      </c>
      <c r="C385" s="16">
        <v>425.7</v>
      </c>
      <c r="D385" s="15" t="s">
        <v>614</v>
      </c>
      <c r="E385" s="15" t="s">
        <v>615</v>
      </c>
      <c r="F385" s="15">
        <v>129</v>
      </c>
      <c r="G385" s="15">
        <v>129</v>
      </c>
    </row>
    <row r="386" spans="1:7" x14ac:dyDescent="0.25">
      <c r="A386" s="15" t="s">
        <v>581</v>
      </c>
      <c r="B386" s="15" t="s">
        <v>582</v>
      </c>
      <c r="C386" s="16">
        <v>123.95</v>
      </c>
      <c r="D386" s="15" t="s">
        <v>355</v>
      </c>
      <c r="E386" s="15" t="s">
        <v>356</v>
      </c>
      <c r="F386" s="15">
        <v>67</v>
      </c>
      <c r="G386" s="15">
        <v>67</v>
      </c>
    </row>
    <row r="387" spans="1:7" x14ac:dyDescent="0.25">
      <c r="A387" s="15" t="s">
        <v>581</v>
      </c>
      <c r="B387" s="15" t="s">
        <v>582</v>
      </c>
      <c r="C387" s="16">
        <v>787.8</v>
      </c>
      <c r="D387" s="15" t="s">
        <v>230</v>
      </c>
      <c r="E387" s="15" t="s">
        <v>616</v>
      </c>
      <c r="F387" s="15">
        <v>39</v>
      </c>
      <c r="G387" s="15">
        <v>39</v>
      </c>
    </row>
    <row r="388" spans="1:7" x14ac:dyDescent="0.25">
      <c r="A388" s="15" t="s">
        <v>581</v>
      </c>
      <c r="B388" s="15" t="s">
        <v>582</v>
      </c>
      <c r="C388" s="16">
        <v>200.4</v>
      </c>
      <c r="D388" s="15" t="s">
        <v>138</v>
      </c>
      <c r="E388" s="15" t="s">
        <v>617</v>
      </c>
      <c r="F388" s="15">
        <v>12</v>
      </c>
      <c r="G388" s="15">
        <v>12</v>
      </c>
    </row>
    <row r="389" spans="1:7" x14ac:dyDescent="0.25">
      <c r="A389" s="15" t="s">
        <v>581</v>
      </c>
      <c r="B389" s="15" t="s">
        <v>582</v>
      </c>
      <c r="C389" s="16">
        <v>466.15</v>
      </c>
      <c r="D389" s="15" t="s">
        <v>80</v>
      </c>
      <c r="E389" s="15" t="s">
        <v>482</v>
      </c>
      <c r="F389" s="15">
        <v>80</v>
      </c>
      <c r="G389" s="15">
        <v>80</v>
      </c>
    </row>
    <row r="390" spans="1:7" x14ac:dyDescent="0.25">
      <c r="A390" s="15" t="s">
        <v>581</v>
      </c>
      <c r="B390" s="15" t="s">
        <v>582</v>
      </c>
      <c r="C390" s="16">
        <v>128.19999999999999</v>
      </c>
      <c r="D390" s="15" t="s">
        <v>364</v>
      </c>
      <c r="E390" s="15" t="s">
        <v>365</v>
      </c>
      <c r="F390" s="15">
        <v>4</v>
      </c>
      <c r="G390" s="15">
        <v>4</v>
      </c>
    </row>
    <row r="391" spans="1:7" x14ac:dyDescent="0.25">
      <c r="A391" s="15" t="s">
        <v>581</v>
      </c>
      <c r="B391" s="15" t="s">
        <v>582</v>
      </c>
      <c r="C391" s="16">
        <v>131</v>
      </c>
      <c r="D391" s="15" t="s">
        <v>236</v>
      </c>
      <c r="E391" s="15" t="s">
        <v>618</v>
      </c>
      <c r="F391" s="15">
        <v>50</v>
      </c>
      <c r="G391" s="15">
        <v>50</v>
      </c>
    </row>
    <row r="392" spans="1:7" x14ac:dyDescent="0.25">
      <c r="A392" s="15" t="s">
        <v>581</v>
      </c>
      <c r="B392" s="15" t="s">
        <v>582</v>
      </c>
      <c r="C392" s="16">
        <v>1854.45</v>
      </c>
      <c r="D392" s="15" t="s">
        <v>109</v>
      </c>
      <c r="E392" s="15" t="s">
        <v>619</v>
      </c>
      <c r="F392" s="15">
        <v>65</v>
      </c>
      <c r="G392" s="15">
        <v>65</v>
      </c>
    </row>
    <row r="393" spans="1:7" x14ac:dyDescent="0.25">
      <c r="A393" s="15" t="s">
        <v>581</v>
      </c>
      <c r="B393" s="15" t="s">
        <v>582</v>
      </c>
      <c r="C393" s="16">
        <v>65.099999999999994</v>
      </c>
      <c r="D393" s="15" t="s">
        <v>287</v>
      </c>
      <c r="E393" s="15" t="s">
        <v>620</v>
      </c>
      <c r="F393" s="15">
        <v>6</v>
      </c>
      <c r="G393" s="15">
        <v>6</v>
      </c>
    </row>
    <row r="394" spans="1:7" x14ac:dyDescent="0.25">
      <c r="A394" s="15" t="s">
        <v>581</v>
      </c>
      <c r="B394" s="15" t="s">
        <v>582</v>
      </c>
      <c r="C394" s="16">
        <v>89.1</v>
      </c>
      <c r="D394" s="15" t="s">
        <v>293</v>
      </c>
      <c r="E394" s="15" t="s">
        <v>621</v>
      </c>
      <c r="F394" s="15">
        <v>27</v>
      </c>
      <c r="G394" s="15">
        <v>27</v>
      </c>
    </row>
    <row r="395" spans="1:7" x14ac:dyDescent="0.25">
      <c r="A395" s="15" t="s">
        <v>581</v>
      </c>
      <c r="B395" s="15" t="s">
        <v>582</v>
      </c>
      <c r="C395" s="16">
        <v>214.4</v>
      </c>
      <c r="D395" s="15" t="s">
        <v>313</v>
      </c>
      <c r="E395" s="15" t="s">
        <v>622</v>
      </c>
      <c r="F395" s="15">
        <v>4</v>
      </c>
      <c r="G395" s="15">
        <v>4</v>
      </c>
    </row>
    <row r="396" spans="1:7" x14ac:dyDescent="0.25">
      <c r="A396" s="15" t="s">
        <v>581</v>
      </c>
      <c r="B396" s="15" t="s">
        <v>582</v>
      </c>
      <c r="C396" s="16">
        <v>206.8</v>
      </c>
      <c r="D396" s="15" t="s">
        <v>623</v>
      </c>
      <c r="E396" s="15" t="s">
        <v>624</v>
      </c>
      <c r="F396" s="15">
        <v>11</v>
      </c>
      <c r="G396" s="15">
        <v>11</v>
      </c>
    </row>
    <row r="397" spans="1:7" x14ac:dyDescent="0.25">
      <c r="A397" s="15" t="s">
        <v>581</v>
      </c>
      <c r="B397" s="15" t="s">
        <v>582</v>
      </c>
      <c r="C397" s="16">
        <v>305.10000000000002</v>
      </c>
      <c r="D397" s="15" t="s">
        <v>407</v>
      </c>
      <c r="E397" s="15" t="s">
        <v>625</v>
      </c>
      <c r="F397" s="15">
        <v>22</v>
      </c>
      <c r="G397" s="15">
        <v>22</v>
      </c>
    </row>
    <row r="398" spans="1:7" x14ac:dyDescent="0.25">
      <c r="A398" s="15" t="s">
        <v>581</v>
      </c>
      <c r="B398" s="15" t="s">
        <v>582</v>
      </c>
      <c r="C398" s="16">
        <v>213.9</v>
      </c>
      <c r="D398" s="15" t="s">
        <v>626</v>
      </c>
      <c r="E398" s="15" t="s">
        <v>627</v>
      </c>
      <c r="F398" s="15">
        <v>23</v>
      </c>
      <c r="G398" s="15">
        <v>23</v>
      </c>
    </row>
    <row r="399" spans="1:7" x14ac:dyDescent="0.25">
      <c r="A399" s="15" t="s">
        <v>581</v>
      </c>
      <c r="B399" s="15" t="s">
        <v>582</v>
      </c>
      <c r="C399" s="16">
        <v>102.95</v>
      </c>
      <c r="D399" s="15" t="s">
        <v>226</v>
      </c>
      <c r="E399" s="15" t="s">
        <v>628</v>
      </c>
      <c r="F399" s="15">
        <v>29</v>
      </c>
      <c r="G399" s="15">
        <v>29</v>
      </c>
    </row>
    <row r="400" spans="1:7" x14ac:dyDescent="0.25">
      <c r="A400" s="15" t="s">
        <v>581</v>
      </c>
      <c r="B400" s="15" t="s">
        <v>582</v>
      </c>
      <c r="C400" s="16">
        <v>266.5</v>
      </c>
      <c r="D400" s="15" t="s">
        <v>238</v>
      </c>
      <c r="E400" s="15" t="s">
        <v>629</v>
      </c>
      <c r="F400" s="15">
        <v>16</v>
      </c>
      <c r="G400" s="15">
        <v>16</v>
      </c>
    </row>
    <row r="401" spans="1:7" x14ac:dyDescent="0.25">
      <c r="A401" s="15" t="s">
        <v>581</v>
      </c>
      <c r="B401" s="15" t="s">
        <v>582</v>
      </c>
      <c r="C401" s="16">
        <v>270.5</v>
      </c>
      <c r="D401" s="15" t="s">
        <v>289</v>
      </c>
      <c r="E401" s="15" t="s">
        <v>630</v>
      </c>
      <c r="F401" s="15">
        <v>15</v>
      </c>
      <c r="G401" s="15">
        <v>15</v>
      </c>
    </row>
    <row r="402" spans="1:7" x14ac:dyDescent="0.25">
      <c r="A402" s="15" t="s">
        <v>581</v>
      </c>
      <c r="B402" s="15" t="s">
        <v>582</v>
      </c>
      <c r="C402" s="16">
        <v>369.5</v>
      </c>
      <c r="D402" s="15" t="s">
        <v>179</v>
      </c>
      <c r="E402" s="15" t="s">
        <v>631</v>
      </c>
      <c r="F402" s="15">
        <v>13</v>
      </c>
      <c r="G402" s="15">
        <v>13</v>
      </c>
    </row>
    <row r="403" spans="1:7" x14ac:dyDescent="0.25">
      <c r="A403" s="15" t="s">
        <v>581</v>
      </c>
      <c r="B403" s="15" t="s">
        <v>582</v>
      </c>
      <c r="C403" s="16">
        <v>362.55</v>
      </c>
      <c r="D403" s="15" t="s">
        <v>88</v>
      </c>
      <c r="E403" s="15" t="s">
        <v>632</v>
      </c>
      <c r="F403" s="15">
        <v>42</v>
      </c>
      <c r="G403" s="15">
        <v>42</v>
      </c>
    </row>
    <row r="404" spans="1:7" x14ac:dyDescent="0.25">
      <c r="A404" s="15" t="s">
        <v>581</v>
      </c>
      <c r="B404" s="15" t="s">
        <v>582</v>
      </c>
      <c r="C404" s="16">
        <v>333.25</v>
      </c>
      <c r="D404" s="15" t="s">
        <v>132</v>
      </c>
      <c r="E404" s="15" t="s">
        <v>633</v>
      </c>
      <c r="F404" s="15">
        <v>16</v>
      </c>
      <c r="G404" s="15">
        <v>16</v>
      </c>
    </row>
    <row r="405" spans="1:7" x14ac:dyDescent="0.25">
      <c r="A405" s="15" t="s">
        <v>581</v>
      </c>
      <c r="B405" s="15" t="s">
        <v>582</v>
      </c>
      <c r="C405" s="16">
        <v>404.45</v>
      </c>
      <c r="D405" s="15" t="s">
        <v>105</v>
      </c>
      <c r="E405" s="15" t="s">
        <v>488</v>
      </c>
      <c r="F405" s="15">
        <v>22</v>
      </c>
      <c r="G405" s="15">
        <v>22</v>
      </c>
    </row>
    <row r="406" spans="1:7" x14ac:dyDescent="0.25">
      <c r="A406" s="15" t="s">
        <v>581</v>
      </c>
      <c r="B406" s="15" t="s">
        <v>582</v>
      </c>
      <c r="C406" s="16">
        <v>223.2</v>
      </c>
      <c r="D406" s="15" t="s">
        <v>358</v>
      </c>
      <c r="E406" s="15" t="s">
        <v>634</v>
      </c>
      <c r="F406" s="15">
        <v>14</v>
      </c>
      <c r="G406" s="15">
        <v>14</v>
      </c>
    </row>
    <row r="407" spans="1:7" x14ac:dyDescent="0.25">
      <c r="A407" s="15" t="s">
        <v>581</v>
      </c>
      <c r="B407" s="15" t="s">
        <v>582</v>
      </c>
      <c r="C407" s="16">
        <v>269.85000000000002</v>
      </c>
      <c r="D407" s="15" t="s">
        <v>80</v>
      </c>
      <c r="E407" s="15" t="s">
        <v>635</v>
      </c>
      <c r="F407" s="15">
        <v>33</v>
      </c>
      <c r="G407" s="15">
        <v>33</v>
      </c>
    </row>
    <row r="408" spans="1:7" x14ac:dyDescent="0.25">
      <c r="A408" s="15" t="s">
        <v>581</v>
      </c>
      <c r="B408" s="15" t="s">
        <v>582</v>
      </c>
      <c r="C408" s="16">
        <v>42</v>
      </c>
      <c r="D408" s="15" t="s">
        <v>399</v>
      </c>
      <c r="E408" s="15" t="s">
        <v>636</v>
      </c>
      <c r="F408" s="15">
        <v>6</v>
      </c>
      <c r="G408" s="15">
        <v>6</v>
      </c>
    </row>
    <row r="409" spans="1:7" x14ac:dyDescent="0.25">
      <c r="A409" s="15" t="s">
        <v>581</v>
      </c>
      <c r="B409" s="15" t="s">
        <v>582</v>
      </c>
      <c r="C409" s="16">
        <v>664.3</v>
      </c>
      <c r="D409" s="15" t="s">
        <v>80</v>
      </c>
      <c r="E409" s="15" t="s">
        <v>637</v>
      </c>
      <c r="F409" s="15">
        <v>91</v>
      </c>
      <c r="G409" s="15">
        <v>91</v>
      </c>
    </row>
    <row r="410" spans="1:7" x14ac:dyDescent="0.25">
      <c r="A410" s="15" t="s">
        <v>581</v>
      </c>
      <c r="B410" s="15" t="s">
        <v>582</v>
      </c>
      <c r="C410" s="16">
        <v>38.700000000000003</v>
      </c>
      <c r="D410" s="15" t="s">
        <v>638</v>
      </c>
      <c r="E410" s="15" t="s">
        <v>639</v>
      </c>
      <c r="F410" s="15">
        <v>3</v>
      </c>
      <c r="G410" s="15">
        <v>3</v>
      </c>
    </row>
    <row r="411" spans="1:7" x14ac:dyDescent="0.25">
      <c r="A411" s="15" t="s">
        <v>581</v>
      </c>
      <c r="B411" s="15" t="s">
        <v>582</v>
      </c>
      <c r="C411" s="16">
        <v>654.70000000000005</v>
      </c>
      <c r="D411" s="15" t="s">
        <v>245</v>
      </c>
      <c r="E411" s="15" t="s">
        <v>490</v>
      </c>
      <c r="F411" s="15">
        <v>73</v>
      </c>
      <c r="G411" s="15">
        <v>73</v>
      </c>
    </row>
    <row r="412" spans="1:7" x14ac:dyDescent="0.25">
      <c r="A412" s="15" t="s">
        <v>581</v>
      </c>
      <c r="B412" s="15" t="s">
        <v>582</v>
      </c>
      <c r="C412" s="16">
        <v>104</v>
      </c>
      <c r="D412" s="15" t="s">
        <v>379</v>
      </c>
      <c r="E412" s="15" t="s">
        <v>380</v>
      </c>
      <c r="F412" s="15">
        <v>10</v>
      </c>
      <c r="G412" s="15">
        <v>10</v>
      </c>
    </row>
    <row r="413" spans="1:7" x14ac:dyDescent="0.25">
      <c r="A413" s="15" t="s">
        <v>581</v>
      </c>
      <c r="B413" s="15" t="s">
        <v>582</v>
      </c>
      <c r="C413" s="16">
        <v>63.75</v>
      </c>
      <c r="D413" s="15" t="s">
        <v>179</v>
      </c>
      <c r="E413" s="15" t="s">
        <v>640</v>
      </c>
      <c r="F413" s="15">
        <v>17</v>
      </c>
      <c r="G413" s="15">
        <v>17</v>
      </c>
    </row>
    <row r="414" spans="1:7" x14ac:dyDescent="0.25">
      <c r="A414" s="15" t="s">
        <v>581</v>
      </c>
      <c r="B414" s="15" t="s">
        <v>582</v>
      </c>
      <c r="C414" s="16">
        <v>70</v>
      </c>
      <c r="D414" s="15" t="s">
        <v>238</v>
      </c>
      <c r="E414" s="15" t="s">
        <v>383</v>
      </c>
      <c r="F414" s="15">
        <v>14</v>
      </c>
      <c r="G414" s="15">
        <v>14</v>
      </c>
    </row>
    <row r="415" spans="1:7" x14ac:dyDescent="0.25">
      <c r="A415" s="15" t="s">
        <v>581</v>
      </c>
      <c r="B415" s="15" t="s">
        <v>582</v>
      </c>
      <c r="C415" s="16">
        <v>127.2</v>
      </c>
      <c r="D415" s="15" t="s">
        <v>179</v>
      </c>
      <c r="E415" s="15" t="s">
        <v>641</v>
      </c>
      <c r="F415" s="15">
        <v>8</v>
      </c>
      <c r="G415" s="15">
        <v>8</v>
      </c>
    </row>
    <row r="416" spans="1:7" x14ac:dyDescent="0.25">
      <c r="A416" s="15" t="s">
        <v>581</v>
      </c>
      <c r="B416" s="15" t="s">
        <v>582</v>
      </c>
      <c r="C416" s="16">
        <v>337.15</v>
      </c>
      <c r="D416" s="15" t="s">
        <v>80</v>
      </c>
      <c r="E416" s="15" t="s">
        <v>642</v>
      </c>
      <c r="F416" s="15">
        <v>27</v>
      </c>
      <c r="G416" s="15">
        <v>27</v>
      </c>
    </row>
    <row r="417" spans="1:7" x14ac:dyDescent="0.25">
      <c r="A417" s="15" t="s">
        <v>581</v>
      </c>
      <c r="B417" s="15" t="s">
        <v>582</v>
      </c>
      <c r="C417" s="16">
        <v>259</v>
      </c>
      <c r="D417" s="15" t="s">
        <v>123</v>
      </c>
      <c r="E417" s="15" t="s">
        <v>388</v>
      </c>
      <c r="F417" s="15">
        <v>61</v>
      </c>
      <c r="G417" s="15">
        <v>61</v>
      </c>
    </row>
    <row r="418" spans="1:7" x14ac:dyDescent="0.25">
      <c r="A418" s="15" t="s">
        <v>581</v>
      </c>
      <c r="B418" s="15" t="s">
        <v>582</v>
      </c>
      <c r="C418" s="16">
        <v>184</v>
      </c>
      <c r="D418" s="15" t="s">
        <v>643</v>
      </c>
      <c r="E418" s="15" t="s">
        <v>644</v>
      </c>
      <c r="F418" s="15">
        <v>2</v>
      </c>
      <c r="G418" s="15">
        <v>2</v>
      </c>
    </row>
    <row r="419" spans="1:7" x14ac:dyDescent="0.25">
      <c r="A419" s="15" t="s">
        <v>581</v>
      </c>
      <c r="B419" s="15" t="s">
        <v>582</v>
      </c>
      <c r="C419" s="16">
        <v>182.7</v>
      </c>
      <c r="D419" s="15" t="s">
        <v>194</v>
      </c>
      <c r="E419" s="15" t="s">
        <v>426</v>
      </c>
      <c r="F419" s="15">
        <v>63</v>
      </c>
      <c r="G419" s="15">
        <v>63</v>
      </c>
    </row>
    <row r="420" spans="1:7" x14ac:dyDescent="0.25">
      <c r="A420" s="15" t="s">
        <v>581</v>
      </c>
      <c r="B420" s="15" t="s">
        <v>582</v>
      </c>
      <c r="C420" s="16">
        <v>66</v>
      </c>
      <c r="D420" s="15" t="s">
        <v>220</v>
      </c>
      <c r="E420" s="15" t="s">
        <v>645</v>
      </c>
      <c r="F420" s="15">
        <v>6</v>
      </c>
      <c r="G420" s="15">
        <v>6</v>
      </c>
    </row>
    <row r="421" spans="1:7" x14ac:dyDescent="0.25">
      <c r="A421" s="15" t="s">
        <v>646</v>
      </c>
      <c r="B421" s="15" t="s">
        <v>647</v>
      </c>
      <c r="C421" s="16">
        <v>101</v>
      </c>
      <c r="D421" s="15" t="s">
        <v>407</v>
      </c>
      <c r="E421" s="15" t="s">
        <v>648</v>
      </c>
      <c r="F421" s="15">
        <v>14</v>
      </c>
      <c r="G421" s="15">
        <v>14</v>
      </c>
    </row>
    <row r="422" spans="1:7" x14ac:dyDescent="0.25">
      <c r="A422" s="15" t="s">
        <v>646</v>
      </c>
      <c r="B422" s="15" t="s">
        <v>647</v>
      </c>
      <c r="C422" s="16">
        <v>41.65</v>
      </c>
      <c r="D422" s="15" t="s">
        <v>90</v>
      </c>
      <c r="E422" s="15" t="s">
        <v>475</v>
      </c>
      <c r="F422" s="15">
        <v>7</v>
      </c>
      <c r="G422" s="15">
        <v>7</v>
      </c>
    </row>
    <row r="423" spans="1:7" x14ac:dyDescent="0.25">
      <c r="A423" s="15" t="s">
        <v>646</v>
      </c>
      <c r="B423" s="15" t="s">
        <v>647</v>
      </c>
      <c r="C423" s="16">
        <v>722.5</v>
      </c>
      <c r="D423" s="15" t="s">
        <v>466</v>
      </c>
      <c r="E423" s="15" t="s">
        <v>477</v>
      </c>
      <c r="F423" s="15">
        <v>34</v>
      </c>
      <c r="G423" s="15">
        <v>34</v>
      </c>
    </row>
    <row r="424" spans="1:7" x14ac:dyDescent="0.25">
      <c r="A424" s="15" t="s">
        <v>646</v>
      </c>
      <c r="B424" s="15" t="s">
        <v>647</v>
      </c>
      <c r="C424" s="16">
        <v>347.1</v>
      </c>
      <c r="D424" s="15" t="s">
        <v>80</v>
      </c>
      <c r="E424" s="15" t="s">
        <v>649</v>
      </c>
      <c r="F424" s="15">
        <v>31</v>
      </c>
      <c r="G424" s="15">
        <v>31</v>
      </c>
    </row>
    <row r="425" spans="1:7" x14ac:dyDescent="0.25">
      <c r="A425" s="15" t="s">
        <v>646</v>
      </c>
      <c r="B425" s="15" t="s">
        <v>647</v>
      </c>
      <c r="C425" s="16">
        <v>54</v>
      </c>
      <c r="D425" s="15" t="s">
        <v>238</v>
      </c>
      <c r="E425" s="15" t="s">
        <v>650</v>
      </c>
      <c r="F425" s="15">
        <v>12</v>
      </c>
      <c r="G425" s="15">
        <v>12</v>
      </c>
    </row>
    <row r="426" spans="1:7" x14ac:dyDescent="0.25">
      <c r="A426" s="15" t="s">
        <v>646</v>
      </c>
      <c r="B426" s="15" t="s">
        <v>647</v>
      </c>
      <c r="C426" s="16">
        <v>110</v>
      </c>
      <c r="D426" s="15" t="s">
        <v>80</v>
      </c>
      <c r="E426" s="15" t="s">
        <v>597</v>
      </c>
      <c r="F426" s="15">
        <v>10</v>
      </c>
      <c r="G426" s="15">
        <v>10</v>
      </c>
    </row>
    <row r="427" spans="1:7" x14ac:dyDescent="0.25">
      <c r="A427" s="15" t="s">
        <v>646</v>
      </c>
      <c r="B427" s="15" t="s">
        <v>647</v>
      </c>
      <c r="C427" s="16">
        <v>3679.9</v>
      </c>
      <c r="D427" s="15" t="s">
        <v>651</v>
      </c>
      <c r="E427" s="15" t="s">
        <v>652</v>
      </c>
      <c r="F427" s="15">
        <v>98</v>
      </c>
      <c r="G427" s="15">
        <v>98</v>
      </c>
    </row>
    <row r="428" spans="1:7" x14ac:dyDescent="0.25">
      <c r="A428" s="15" t="s">
        <v>646</v>
      </c>
      <c r="B428" s="15" t="s">
        <v>647</v>
      </c>
      <c r="C428" s="16">
        <v>29.1</v>
      </c>
      <c r="D428" s="15" t="s">
        <v>653</v>
      </c>
      <c r="E428" s="15" t="s">
        <v>654</v>
      </c>
      <c r="F428" s="15">
        <v>2</v>
      </c>
      <c r="G428" s="15">
        <v>2</v>
      </c>
    </row>
    <row r="429" spans="1:7" x14ac:dyDescent="0.25">
      <c r="A429" s="15" t="s">
        <v>646</v>
      </c>
      <c r="B429" s="15" t="s">
        <v>647</v>
      </c>
      <c r="C429" s="16">
        <v>26.75</v>
      </c>
      <c r="D429" s="15" t="s">
        <v>80</v>
      </c>
      <c r="E429" s="15" t="s">
        <v>341</v>
      </c>
      <c r="F429" s="15">
        <v>5</v>
      </c>
      <c r="G429" s="15">
        <v>5</v>
      </c>
    </row>
    <row r="430" spans="1:7" x14ac:dyDescent="0.25">
      <c r="A430" s="15" t="s">
        <v>646</v>
      </c>
      <c r="B430" s="15" t="s">
        <v>647</v>
      </c>
      <c r="C430" s="16">
        <v>208</v>
      </c>
      <c r="D430" s="15" t="s">
        <v>655</v>
      </c>
      <c r="E430" s="15" t="s">
        <v>656</v>
      </c>
      <c r="F430" s="15">
        <v>26</v>
      </c>
      <c r="G430" s="15">
        <v>26</v>
      </c>
    </row>
    <row r="431" spans="1:7" x14ac:dyDescent="0.25">
      <c r="A431" s="15" t="s">
        <v>646</v>
      </c>
      <c r="B431" s="15" t="s">
        <v>647</v>
      </c>
      <c r="C431" s="16">
        <v>154.4</v>
      </c>
      <c r="D431" s="15" t="s">
        <v>348</v>
      </c>
      <c r="E431" s="15" t="s">
        <v>657</v>
      </c>
      <c r="F431" s="15">
        <v>16</v>
      </c>
      <c r="G431" s="15">
        <v>16</v>
      </c>
    </row>
    <row r="432" spans="1:7" x14ac:dyDescent="0.25">
      <c r="A432" s="15" t="s">
        <v>646</v>
      </c>
      <c r="B432" s="15" t="s">
        <v>647</v>
      </c>
      <c r="C432" s="16">
        <v>84.1</v>
      </c>
      <c r="D432" s="15" t="s">
        <v>360</v>
      </c>
      <c r="E432" s="15" t="s">
        <v>658</v>
      </c>
      <c r="F432" s="15">
        <v>10</v>
      </c>
      <c r="G432" s="15">
        <v>10</v>
      </c>
    </row>
    <row r="433" spans="1:7" x14ac:dyDescent="0.25">
      <c r="A433" s="15" t="s">
        <v>646</v>
      </c>
      <c r="B433" s="15" t="s">
        <v>647</v>
      </c>
      <c r="C433" s="16">
        <v>266.35000000000002</v>
      </c>
      <c r="D433" s="15" t="s">
        <v>179</v>
      </c>
      <c r="E433" s="15" t="s">
        <v>659</v>
      </c>
      <c r="F433" s="15">
        <v>23</v>
      </c>
      <c r="G433" s="15">
        <v>23</v>
      </c>
    </row>
    <row r="434" spans="1:7" x14ac:dyDescent="0.25">
      <c r="A434" s="15" t="s">
        <v>646</v>
      </c>
      <c r="B434" s="15" t="s">
        <v>647</v>
      </c>
      <c r="C434" s="16">
        <v>122.2</v>
      </c>
      <c r="D434" s="15" t="s">
        <v>80</v>
      </c>
      <c r="E434" s="15" t="s">
        <v>611</v>
      </c>
      <c r="F434" s="15">
        <v>26</v>
      </c>
      <c r="G434" s="15">
        <v>26</v>
      </c>
    </row>
    <row r="435" spans="1:7" x14ac:dyDescent="0.25">
      <c r="A435" s="15" t="s">
        <v>646</v>
      </c>
      <c r="B435" s="15" t="s">
        <v>647</v>
      </c>
      <c r="C435" s="16">
        <v>112</v>
      </c>
      <c r="D435" s="15" t="s">
        <v>660</v>
      </c>
      <c r="E435" s="15" t="s">
        <v>661</v>
      </c>
      <c r="F435" s="15">
        <v>2</v>
      </c>
      <c r="G435" s="15">
        <v>2</v>
      </c>
    </row>
    <row r="436" spans="1:7" x14ac:dyDescent="0.25">
      <c r="A436" s="15" t="s">
        <v>646</v>
      </c>
      <c r="B436" s="15" t="s">
        <v>647</v>
      </c>
      <c r="C436" s="16">
        <v>577.79999999999995</v>
      </c>
      <c r="D436" s="15" t="s">
        <v>355</v>
      </c>
      <c r="E436" s="15" t="s">
        <v>356</v>
      </c>
      <c r="F436" s="15">
        <v>134</v>
      </c>
      <c r="G436" s="15">
        <v>134</v>
      </c>
    </row>
    <row r="437" spans="1:7" x14ac:dyDescent="0.25">
      <c r="A437" s="15" t="s">
        <v>646</v>
      </c>
      <c r="B437" s="15" t="s">
        <v>647</v>
      </c>
      <c r="C437" s="16">
        <v>4464.2</v>
      </c>
      <c r="D437" s="15" t="s">
        <v>230</v>
      </c>
      <c r="E437" s="15" t="s">
        <v>616</v>
      </c>
      <c r="F437" s="15">
        <v>221</v>
      </c>
      <c r="G437" s="15">
        <v>221</v>
      </c>
    </row>
    <row r="438" spans="1:7" x14ac:dyDescent="0.25">
      <c r="A438" s="15" t="s">
        <v>646</v>
      </c>
      <c r="B438" s="15" t="s">
        <v>647</v>
      </c>
      <c r="C438" s="16">
        <v>199</v>
      </c>
      <c r="D438" s="15" t="s">
        <v>80</v>
      </c>
      <c r="E438" s="15" t="s">
        <v>662</v>
      </c>
      <c r="F438" s="15">
        <v>15</v>
      </c>
      <c r="G438" s="15">
        <v>15</v>
      </c>
    </row>
    <row r="439" spans="1:7" x14ac:dyDescent="0.25">
      <c r="A439" s="15" t="s">
        <v>646</v>
      </c>
      <c r="B439" s="15" t="s">
        <v>647</v>
      </c>
      <c r="C439" s="16">
        <v>131</v>
      </c>
      <c r="D439" s="15" t="s">
        <v>80</v>
      </c>
      <c r="E439" s="15" t="s">
        <v>482</v>
      </c>
      <c r="F439" s="15">
        <v>20</v>
      </c>
      <c r="G439" s="15">
        <v>20</v>
      </c>
    </row>
    <row r="440" spans="1:7" x14ac:dyDescent="0.25">
      <c r="A440" s="15" t="s">
        <v>646</v>
      </c>
      <c r="B440" s="15" t="s">
        <v>647</v>
      </c>
      <c r="C440" s="16">
        <v>48.6</v>
      </c>
      <c r="D440" s="15" t="s">
        <v>287</v>
      </c>
      <c r="E440" s="15" t="s">
        <v>366</v>
      </c>
      <c r="F440" s="15">
        <v>9</v>
      </c>
      <c r="G440" s="15">
        <v>9</v>
      </c>
    </row>
    <row r="441" spans="1:7" x14ac:dyDescent="0.25">
      <c r="A441" s="15" t="s">
        <v>646</v>
      </c>
      <c r="B441" s="15" t="s">
        <v>647</v>
      </c>
      <c r="C441" s="16">
        <v>162.44999999999999</v>
      </c>
      <c r="D441" s="15" t="s">
        <v>109</v>
      </c>
      <c r="E441" s="15" t="s">
        <v>619</v>
      </c>
      <c r="F441" s="15">
        <v>9</v>
      </c>
      <c r="G441" s="15">
        <v>9</v>
      </c>
    </row>
    <row r="442" spans="1:7" x14ac:dyDescent="0.25">
      <c r="A442" s="15" t="s">
        <v>646</v>
      </c>
      <c r="B442" s="15" t="s">
        <v>647</v>
      </c>
      <c r="C442" s="16">
        <v>3602.2</v>
      </c>
      <c r="D442" s="15" t="s">
        <v>289</v>
      </c>
      <c r="E442" s="15" t="s">
        <v>630</v>
      </c>
      <c r="F442" s="15">
        <v>238</v>
      </c>
      <c r="G442" s="15">
        <v>238</v>
      </c>
    </row>
    <row r="443" spans="1:7" x14ac:dyDescent="0.25">
      <c r="A443" s="15" t="s">
        <v>646</v>
      </c>
      <c r="B443" s="15" t="s">
        <v>647</v>
      </c>
      <c r="C443" s="16">
        <v>77</v>
      </c>
      <c r="D443" s="15" t="s">
        <v>179</v>
      </c>
      <c r="E443" s="15" t="s">
        <v>663</v>
      </c>
      <c r="F443" s="15">
        <v>22</v>
      </c>
      <c r="G443" s="15">
        <v>22</v>
      </c>
    </row>
    <row r="444" spans="1:7" x14ac:dyDescent="0.25">
      <c r="A444" s="15" t="s">
        <v>646</v>
      </c>
      <c r="B444" s="15" t="s">
        <v>647</v>
      </c>
      <c r="C444" s="16">
        <v>1232.5</v>
      </c>
      <c r="D444" s="15" t="s">
        <v>132</v>
      </c>
      <c r="E444" s="15" t="s">
        <v>633</v>
      </c>
      <c r="F444" s="15">
        <v>85</v>
      </c>
      <c r="G444" s="15">
        <v>85</v>
      </c>
    </row>
    <row r="445" spans="1:7" x14ac:dyDescent="0.25">
      <c r="A445" s="15" t="s">
        <v>646</v>
      </c>
      <c r="B445" s="15" t="s">
        <v>647</v>
      </c>
      <c r="C445" s="16">
        <v>1359.4</v>
      </c>
      <c r="D445" s="15" t="s">
        <v>123</v>
      </c>
      <c r="E445" s="15" t="s">
        <v>664</v>
      </c>
      <c r="F445" s="15">
        <v>85</v>
      </c>
      <c r="G445" s="15">
        <v>85</v>
      </c>
    </row>
    <row r="446" spans="1:7" x14ac:dyDescent="0.25">
      <c r="A446" s="15" t="s">
        <v>646</v>
      </c>
      <c r="B446" s="15" t="s">
        <v>647</v>
      </c>
      <c r="C446" s="16">
        <v>143.1</v>
      </c>
      <c r="D446" s="15" t="s">
        <v>313</v>
      </c>
      <c r="E446" s="15" t="s">
        <v>665</v>
      </c>
      <c r="F446" s="15">
        <v>7</v>
      </c>
      <c r="G446" s="15">
        <v>7</v>
      </c>
    </row>
    <row r="447" spans="1:7" x14ac:dyDescent="0.25">
      <c r="A447" s="15" t="s">
        <v>646</v>
      </c>
      <c r="B447" s="15" t="s">
        <v>647</v>
      </c>
      <c r="C447" s="16">
        <v>51.4</v>
      </c>
      <c r="D447" s="15" t="s">
        <v>666</v>
      </c>
      <c r="E447" s="15" t="s">
        <v>667</v>
      </c>
      <c r="F447" s="15">
        <v>4</v>
      </c>
      <c r="G447" s="15">
        <v>4</v>
      </c>
    </row>
    <row r="448" spans="1:7" x14ac:dyDescent="0.25">
      <c r="A448" s="15" t="s">
        <v>646</v>
      </c>
      <c r="B448" s="15" t="s">
        <v>647</v>
      </c>
      <c r="C448" s="16">
        <v>120.9</v>
      </c>
      <c r="D448" s="15" t="s">
        <v>80</v>
      </c>
      <c r="E448" s="15" t="s">
        <v>635</v>
      </c>
      <c r="F448" s="15">
        <v>13</v>
      </c>
      <c r="G448" s="15">
        <v>13</v>
      </c>
    </row>
    <row r="449" spans="1:7" x14ac:dyDescent="0.25">
      <c r="A449" s="15" t="s">
        <v>646</v>
      </c>
      <c r="B449" s="15" t="s">
        <v>647</v>
      </c>
      <c r="C449" s="16">
        <v>432.3</v>
      </c>
      <c r="D449" s="15" t="s">
        <v>80</v>
      </c>
      <c r="E449" s="15" t="s">
        <v>637</v>
      </c>
      <c r="F449" s="15">
        <v>48</v>
      </c>
      <c r="G449" s="15">
        <v>48</v>
      </c>
    </row>
    <row r="450" spans="1:7" x14ac:dyDescent="0.25">
      <c r="A450" s="15" t="s">
        <v>646</v>
      </c>
      <c r="B450" s="15" t="s">
        <v>647</v>
      </c>
      <c r="C450" s="16">
        <v>38.700000000000003</v>
      </c>
      <c r="D450" s="15" t="s">
        <v>638</v>
      </c>
      <c r="E450" s="15" t="s">
        <v>639</v>
      </c>
      <c r="F450" s="15">
        <v>3</v>
      </c>
      <c r="G450" s="15">
        <v>3</v>
      </c>
    </row>
    <row r="451" spans="1:7" x14ac:dyDescent="0.25">
      <c r="A451" s="15" t="s">
        <v>646</v>
      </c>
      <c r="B451" s="15" t="s">
        <v>647</v>
      </c>
      <c r="C451" s="16">
        <v>56</v>
      </c>
      <c r="D451" s="15" t="s">
        <v>379</v>
      </c>
      <c r="E451" s="15" t="s">
        <v>380</v>
      </c>
      <c r="F451" s="15">
        <v>4</v>
      </c>
      <c r="G451" s="15">
        <v>4</v>
      </c>
    </row>
    <row r="452" spans="1:7" x14ac:dyDescent="0.25">
      <c r="A452" s="15" t="s">
        <v>646</v>
      </c>
      <c r="B452" s="15" t="s">
        <v>647</v>
      </c>
      <c r="C452" s="16">
        <v>157.5</v>
      </c>
      <c r="D452" s="15" t="s">
        <v>88</v>
      </c>
      <c r="E452" s="15" t="s">
        <v>668</v>
      </c>
      <c r="F452" s="15">
        <v>15</v>
      </c>
      <c r="G452" s="15">
        <v>15</v>
      </c>
    </row>
    <row r="453" spans="1:7" x14ac:dyDescent="0.25">
      <c r="A453" s="15" t="s">
        <v>646</v>
      </c>
      <c r="B453" s="15" t="s">
        <v>647</v>
      </c>
      <c r="C453" s="16">
        <v>42.5</v>
      </c>
      <c r="D453" s="15" t="s">
        <v>82</v>
      </c>
      <c r="E453" s="15" t="s">
        <v>669</v>
      </c>
      <c r="F453" s="15">
        <v>5</v>
      </c>
      <c r="G453" s="15">
        <v>5</v>
      </c>
    </row>
    <row r="454" spans="1:7" x14ac:dyDescent="0.25">
      <c r="A454" s="15" t="s">
        <v>670</v>
      </c>
      <c r="B454" s="15" t="s">
        <v>671</v>
      </c>
      <c r="C454" s="16">
        <v>666.5</v>
      </c>
      <c r="D454" s="15" t="s">
        <v>360</v>
      </c>
      <c r="E454" s="15" t="s">
        <v>584</v>
      </c>
      <c r="F454" s="15">
        <v>155</v>
      </c>
      <c r="G454" s="15">
        <v>155</v>
      </c>
    </row>
    <row r="455" spans="1:7" x14ac:dyDescent="0.25">
      <c r="A455" s="15" t="s">
        <v>670</v>
      </c>
      <c r="B455" s="15" t="s">
        <v>671</v>
      </c>
      <c r="C455" s="16">
        <v>7.35</v>
      </c>
      <c r="D455" s="15" t="s">
        <v>80</v>
      </c>
      <c r="E455" s="15" t="s">
        <v>672</v>
      </c>
      <c r="F455" s="15">
        <v>2</v>
      </c>
      <c r="G455" s="15">
        <v>2</v>
      </c>
    </row>
    <row r="456" spans="1:7" x14ac:dyDescent="0.25">
      <c r="A456" s="15" t="s">
        <v>670</v>
      </c>
      <c r="B456" s="15" t="s">
        <v>671</v>
      </c>
      <c r="C456" s="16">
        <v>20.350000000000001</v>
      </c>
      <c r="D456" s="15" t="s">
        <v>90</v>
      </c>
      <c r="E456" s="15" t="s">
        <v>673</v>
      </c>
      <c r="F456" s="15">
        <v>2</v>
      </c>
      <c r="G456" s="15">
        <v>2</v>
      </c>
    </row>
    <row r="457" spans="1:7" x14ac:dyDescent="0.25">
      <c r="A457" s="15" t="s">
        <v>670</v>
      </c>
      <c r="B457" s="15" t="s">
        <v>671</v>
      </c>
      <c r="C457" s="16">
        <v>11.2</v>
      </c>
      <c r="D457" s="15" t="s">
        <v>80</v>
      </c>
      <c r="E457" s="15" t="s">
        <v>322</v>
      </c>
      <c r="F457" s="15">
        <v>2</v>
      </c>
      <c r="G457" s="15">
        <v>2</v>
      </c>
    </row>
    <row r="458" spans="1:7" x14ac:dyDescent="0.25">
      <c r="A458" s="15" t="s">
        <v>670</v>
      </c>
      <c r="B458" s="15" t="s">
        <v>671</v>
      </c>
      <c r="C458" s="16">
        <v>843.7</v>
      </c>
      <c r="D458" s="15" t="s">
        <v>466</v>
      </c>
      <c r="E458" s="15" t="s">
        <v>477</v>
      </c>
      <c r="F458" s="15">
        <v>26</v>
      </c>
      <c r="G458" s="15">
        <v>26</v>
      </c>
    </row>
    <row r="459" spans="1:7" x14ac:dyDescent="0.25">
      <c r="A459" s="15" t="s">
        <v>670</v>
      </c>
      <c r="B459" s="15" t="s">
        <v>671</v>
      </c>
      <c r="C459" s="16">
        <v>176</v>
      </c>
      <c r="D459" s="15" t="s">
        <v>80</v>
      </c>
      <c r="E459" s="15" t="s">
        <v>601</v>
      </c>
      <c r="F459" s="15">
        <v>16</v>
      </c>
      <c r="G459" s="15">
        <v>16</v>
      </c>
    </row>
    <row r="460" spans="1:7" x14ac:dyDescent="0.25">
      <c r="A460" s="15" t="s">
        <v>670</v>
      </c>
      <c r="B460" s="15" t="s">
        <v>671</v>
      </c>
      <c r="C460" s="16">
        <v>1012.8</v>
      </c>
      <c r="D460" s="15" t="s">
        <v>602</v>
      </c>
      <c r="E460" s="15" t="s">
        <v>603</v>
      </c>
      <c r="F460" s="15">
        <v>52</v>
      </c>
      <c r="G460" s="15">
        <v>52</v>
      </c>
    </row>
    <row r="461" spans="1:7" x14ac:dyDescent="0.25">
      <c r="A461" s="15" t="s">
        <v>670</v>
      </c>
      <c r="B461" s="15" t="s">
        <v>671</v>
      </c>
      <c r="C461" s="16">
        <v>236.3</v>
      </c>
      <c r="D461" s="15" t="s">
        <v>325</v>
      </c>
      <c r="E461" s="15" t="s">
        <v>604</v>
      </c>
      <c r="F461" s="15">
        <v>34</v>
      </c>
      <c r="G461" s="15">
        <v>34</v>
      </c>
    </row>
    <row r="462" spans="1:7" x14ac:dyDescent="0.25">
      <c r="A462" s="15" t="s">
        <v>670</v>
      </c>
      <c r="B462" s="15" t="s">
        <v>671</v>
      </c>
      <c r="C462" s="16">
        <v>2051.1</v>
      </c>
      <c r="D462" s="15" t="s">
        <v>605</v>
      </c>
      <c r="E462" s="15" t="s">
        <v>606</v>
      </c>
      <c r="F462" s="15">
        <v>86</v>
      </c>
      <c r="G462" s="15">
        <v>86</v>
      </c>
    </row>
    <row r="463" spans="1:7" x14ac:dyDescent="0.25">
      <c r="A463" s="15" t="s">
        <v>670</v>
      </c>
      <c r="B463" s="15" t="s">
        <v>671</v>
      </c>
      <c r="C463" s="16">
        <v>1071</v>
      </c>
      <c r="D463" s="15" t="s">
        <v>455</v>
      </c>
      <c r="E463" s="15" t="s">
        <v>607</v>
      </c>
      <c r="F463" s="15">
        <v>18</v>
      </c>
      <c r="G463" s="15">
        <v>18</v>
      </c>
    </row>
    <row r="464" spans="1:7" x14ac:dyDescent="0.25">
      <c r="A464" s="15" t="s">
        <v>670</v>
      </c>
      <c r="B464" s="15" t="s">
        <v>671</v>
      </c>
      <c r="C464" s="16">
        <v>1.4</v>
      </c>
      <c r="D464" s="15" t="s">
        <v>674</v>
      </c>
      <c r="E464" s="15" t="s">
        <v>675</v>
      </c>
      <c r="F464" s="15">
        <v>4</v>
      </c>
      <c r="G464" s="15">
        <v>4</v>
      </c>
    </row>
    <row r="465" spans="1:7" x14ac:dyDescent="0.25">
      <c r="A465" s="15" t="s">
        <v>670</v>
      </c>
      <c r="B465" s="15" t="s">
        <v>671</v>
      </c>
      <c r="C465" s="16">
        <v>20.399999999999999</v>
      </c>
      <c r="D465" s="15" t="s">
        <v>80</v>
      </c>
      <c r="E465" s="15" t="s">
        <v>676</v>
      </c>
      <c r="F465" s="15">
        <v>2</v>
      </c>
      <c r="G465" s="15">
        <v>2</v>
      </c>
    </row>
    <row r="466" spans="1:7" x14ac:dyDescent="0.25">
      <c r="A466" s="15" t="s">
        <v>670</v>
      </c>
      <c r="B466" s="15" t="s">
        <v>671</v>
      </c>
      <c r="C466" s="16">
        <v>5.6</v>
      </c>
      <c r="D466" s="15" t="s">
        <v>362</v>
      </c>
      <c r="E466" s="15" t="s">
        <v>363</v>
      </c>
      <c r="F466" s="15">
        <v>2</v>
      </c>
      <c r="G466" s="15">
        <v>2</v>
      </c>
    </row>
    <row r="467" spans="1:7" x14ac:dyDescent="0.25">
      <c r="A467" s="15" t="s">
        <v>670</v>
      </c>
      <c r="B467" s="15" t="s">
        <v>671</v>
      </c>
      <c r="C467" s="16">
        <v>4.95</v>
      </c>
      <c r="D467" s="15" t="s">
        <v>86</v>
      </c>
      <c r="E467" s="15" t="s">
        <v>677</v>
      </c>
      <c r="F467" s="15">
        <v>2</v>
      </c>
      <c r="G467" s="15">
        <v>2</v>
      </c>
    </row>
    <row r="468" spans="1:7" x14ac:dyDescent="0.25">
      <c r="A468" s="15" t="s">
        <v>670</v>
      </c>
      <c r="B468" s="15" t="s">
        <v>671</v>
      </c>
      <c r="C468" s="16">
        <v>430.1</v>
      </c>
      <c r="D468" s="15" t="s">
        <v>289</v>
      </c>
      <c r="E468" s="15" t="s">
        <v>630</v>
      </c>
      <c r="F468" s="15">
        <v>23</v>
      </c>
      <c r="G468" s="15">
        <v>23</v>
      </c>
    </row>
    <row r="469" spans="1:7" x14ac:dyDescent="0.25">
      <c r="A469" s="15" t="s">
        <v>670</v>
      </c>
      <c r="B469" s="15" t="s">
        <v>671</v>
      </c>
      <c r="C469" s="16">
        <v>1.65</v>
      </c>
      <c r="D469" s="15" t="s">
        <v>678</v>
      </c>
      <c r="E469" s="15" t="s">
        <v>679</v>
      </c>
      <c r="F469" s="15">
        <v>2</v>
      </c>
      <c r="G469" s="15">
        <v>2</v>
      </c>
    </row>
    <row r="470" spans="1:7" x14ac:dyDescent="0.25">
      <c r="A470" s="15" t="s">
        <v>670</v>
      </c>
      <c r="B470" s="15" t="s">
        <v>671</v>
      </c>
      <c r="C470" s="16">
        <v>2.35</v>
      </c>
      <c r="D470" s="15" t="s">
        <v>680</v>
      </c>
      <c r="E470" s="15" t="s">
        <v>681</v>
      </c>
      <c r="F470" s="15">
        <v>1</v>
      </c>
      <c r="G470" s="15">
        <v>1</v>
      </c>
    </row>
    <row r="471" spans="1:7" x14ac:dyDescent="0.25">
      <c r="A471" s="15" t="s">
        <v>670</v>
      </c>
      <c r="B471" s="15" t="s">
        <v>671</v>
      </c>
      <c r="C471" s="16">
        <v>5.25</v>
      </c>
      <c r="D471" s="15" t="s">
        <v>80</v>
      </c>
      <c r="E471" s="15" t="s">
        <v>637</v>
      </c>
      <c r="F471" s="15">
        <v>2</v>
      </c>
      <c r="G471" s="15">
        <v>2</v>
      </c>
    </row>
    <row r="472" spans="1:7" x14ac:dyDescent="0.25">
      <c r="A472" s="15" t="s">
        <v>670</v>
      </c>
      <c r="B472" s="15" t="s">
        <v>671</v>
      </c>
      <c r="C472" s="16">
        <v>314.60000000000002</v>
      </c>
      <c r="D472" s="15" t="s">
        <v>238</v>
      </c>
      <c r="E472" s="15" t="s">
        <v>383</v>
      </c>
      <c r="F472" s="15">
        <v>29</v>
      </c>
      <c r="G472" s="15">
        <v>29</v>
      </c>
    </row>
    <row r="473" spans="1:7" x14ac:dyDescent="0.25">
      <c r="A473" s="15" t="s">
        <v>670</v>
      </c>
      <c r="B473" s="15" t="s">
        <v>671</v>
      </c>
      <c r="C473" s="16">
        <v>0.8</v>
      </c>
      <c r="D473" s="15" t="s">
        <v>381</v>
      </c>
      <c r="E473" s="15" t="s">
        <v>682</v>
      </c>
      <c r="F473" s="15">
        <v>1</v>
      </c>
      <c r="G473" s="15">
        <v>1</v>
      </c>
    </row>
    <row r="474" spans="1:7" x14ac:dyDescent="0.25">
      <c r="A474" s="15" t="s">
        <v>670</v>
      </c>
      <c r="B474" s="15" t="s">
        <v>671</v>
      </c>
      <c r="C474" s="16">
        <v>1278.9000000000001</v>
      </c>
      <c r="D474" s="15" t="s">
        <v>132</v>
      </c>
      <c r="E474" s="15" t="s">
        <v>387</v>
      </c>
      <c r="F474" s="15">
        <v>87</v>
      </c>
      <c r="G474" s="15">
        <v>87</v>
      </c>
    </row>
    <row r="475" spans="1:7" x14ac:dyDescent="0.25">
      <c r="A475" s="15" t="s">
        <v>670</v>
      </c>
      <c r="B475" s="15" t="s">
        <v>671</v>
      </c>
      <c r="C475" s="16">
        <v>546</v>
      </c>
      <c r="D475" s="15" t="s">
        <v>80</v>
      </c>
      <c r="E475" s="15" t="s">
        <v>642</v>
      </c>
      <c r="F475" s="15">
        <v>120</v>
      </c>
      <c r="G475" s="15">
        <v>120</v>
      </c>
    </row>
    <row r="476" spans="1:7" x14ac:dyDescent="0.25">
      <c r="A476" s="15" t="s">
        <v>670</v>
      </c>
      <c r="B476" s="15" t="s">
        <v>671</v>
      </c>
      <c r="C476" s="16">
        <v>527</v>
      </c>
      <c r="D476" s="15" t="s">
        <v>82</v>
      </c>
      <c r="E476" s="15" t="s">
        <v>669</v>
      </c>
      <c r="F476" s="15">
        <v>62</v>
      </c>
      <c r="G476" s="15">
        <v>62</v>
      </c>
    </row>
    <row r="477" spans="1:7" x14ac:dyDescent="0.25">
      <c r="A477" s="15" t="s">
        <v>670</v>
      </c>
      <c r="B477" s="15" t="s">
        <v>671</v>
      </c>
      <c r="C477" s="16">
        <v>2463.71</v>
      </c>
      <c r="D477" s="15" t="s">
        <v>123</v>
      </c>
      <c r="E477" s="15" t="s">
        <v>388</v>
      </c>
      <c r="F477" s="15">
        <v>482</v>
      </c>
      <c r="G477" s="15">
        <v>482</v>
      </c>
    </row>
    <row r="478" spans="1:7" x14ac:dyDescent="0.25">
      <c r="A478" s="15" t="s">
        <v>670</v>
      </c>
      <c r="B478" s="15" t="s">
        <v>671</v>
      </c>
      <c r="C478" s="16">
        <v>1123.5</v>
      </c>
      <c r="D478" s="15" t="s">
        <v>132</v>
      </c>
      <c r="E478" s="15" t="s">
        <v>683</v>
      </c>
      <c r="F478" s="15">
        <v>70</v>
      </c>
      <c r="G478" s="15">
        <v>70</v>
      </c>
    </row>
    <row r="479" spans="1:7" x14ac:dyDescent="0.25">
      <c r="A479" s="15" t="s">
        <v>670</v>
      </c>
      <c r="B479" s="15" t="s">
        <v>671</v>
      </c>
      <c r="C479" s="16">
        <v>0.3</v>
      </c>
      <c r="D479" s="15" t="s">
        <v>393</v>
      </c>
      <c r="E479" s="15" t="s">
        <v>394</v>
      </c>
      <c r="F479" s="15">
        <v>1</v>
      </c>
      <c r="G479" s="15">
        <v>1</v>
      </c>
    </row>
    <row r="480" spans="1:7" x14ac:dyDescent="0.25">
      <c r="A480" s="15" t="s">
        <v>684</v>
      </c>
      <c r="B480" s="15" t="s">
        <v>685</v>
      </c>
      <c r="C480" s="16">
        <v>24.93</v>
      </c>
      <c r="D480" s="15" t="s">
        <v>151</v>
      </c>
      <c r="E480" s="15" t="s">
        <v>152</v>
      </c>
      <c r="F480" s="15">
        <v>3</v>
      </c>
      <c r="G480" s="15">
        <v>3</v>
      </c>
    </row>
    <row r="481" spans="1:7" x14ac:dyDescent="0.25">
      <c r="A481" s="15" t="s">
        <v>684</v>
      </c>
      <c r="B481" s="15" t="s">
        <v>685</v>
      </c>
      <c r="C481" s="16">
        <v>347.75</v>
      </c>
      <c r="D481" s="15" t="s">
        <v>80</v>
      </c>
      <c r="E481" s="15" t="s">
        <v>153</v>
      </c>
      <c r="F481" s="15">
        <v>25</v>
      </c>
      <c r="G481" s="15">
        <v>25</v>
      </c>
    </row>
    <row r="482" spans="1:7" x14ac:dyDescent="0.25">
      <c r="A482" s="15" t="s">
        <v>684</v>
      </c>
      <c r="B482" s="15" t="s">
        <v>685</v>
      </c>
      <c r="C482" s="16">
        <v>31.8</v>
      </c>
      <c r="D482" s="15" t="s">
        <v>213</v>
      </c>
      <c r="E482" s="15" t="s">
        <v>214</v>
      </c>
      <c r="F482" s="15">
        <v>6</v>
      </c>
      <c r="G482" s="15">
        <v>6</v>
      </c>
    </row>
    <row r="483" spans="1:7" x14ac:dyDescent="0.25">
      <c r="A483" s="15" t="s">
        <v>684</v>
      </c>
      <c r="B483" s="15" t="s">
        <v>685</v>
      </c>
      <c r="C483" s="16">
        <v>45.75</v>
      </c>
      <c r="D483" s="15" t="s">
        <v>217</v>
      </c>
      <c r="E483" s="15" t="s">
        <v>218</v>
      </c>
      <c r="F483" s="15">
        <v>5</v>
      </c>
      <c r="G483" s="15">
        <v>5</v>
      </c>
    </row>
    <row r="484" spans="1:7" x14ac:dyDescent="0.25">
      <c r="A484" s="15" t="s">
        <v>684</v>
      </c>
      <c r="B484" s="15" t="s">
        <v>685</v>
      </c>
      <c r="C484" s="16">
        <v>1099.81</v>
      </c>
      <c r="D484" s="15" t="s">
        <v>154</v>
      </c>
      <c r="E484" s="15" t="s">
        <v>155</v>
      </c>
      <c r="F484" s="15">
        <v>68</v>
      </c>
      <c r="G484" s="15">
        <v>68</v>
      </c>
    </row>
    <row r="485" spans="1:7" x14ac:dyDescent="0.25">
      <c r="A485" s="15" t="s">
        <v>684</v>
      </c>
      <c r="B485" s="15" t="s">
        <v>685</v>
      </c>
      <c r="C485" s="16">
        <v>53.8</v>
      </c>
      <c r="D485" s="15" t="s">
        <v>123</v>
      </c>
      <c r="E485" s="15" t="s">
        <v>686</v>
      </c>
      <c r="F485" s="15">
        <v>11</v>
      </c>
      <c r="G485" s="15">
        <v>11</v>
      </c>
    </row>
    <row r="486" spans="1:7" x14ac:dyDescent="0.25">
      <c r="A486" s="15" t="s">
        <v>684</v>
      </c>
      <c r="B486" s="15" t="s">
        <v>685</v>
      </c>
      <c r="C486" s="16">
        <v>23.8</v>
      </c>
      <c r="D486" s="15" t="s">
        <v>156</v>
      </c>
      <c r="E486" s="15" t="s">
        <v>157</v>
      </c>
      <c r="F486" s="15">
        <v>3</v>
      </c>
      <c r="G486" s="15">
        <v>3</v>
      </c>
    </row>
    <row r="487" spans="1:7" x14ac:dyDescent="0.25">
      <c r="A487" s="15" t="s">
        <v>684</v>
      </c>
      <c r="B487" s="15" t="s">
        <v>685</v>
      </c>
      <c r="C487" s="16">
        <v>62.45</v>
      </c>
      <c r="D487" s="15" t="s">
        <v>220</v>
      </c>
      <c r="E487" s="15" t="s">
        <v>221</v>
      </c>
      <c r="F487" s="15">
        <v>4</v>
      </c>
      <c r="G487" s="15">
        <v>4</v>
      </c>
    </row>
    <row r="488" spans="1:7" x14ac:dyDescent="0.25">
      <c r="A488" s="15" t="s">
        <v>684</v>
      </c>
      <c r="B488" s="15" t="s">
        <v>685</v>
      </c>
      <c r="C488" s="16">
        <v>489.5</v>
      </c>
      <c r="D488" s="15" t="s">
        <v>222</v>
      </c>
      <c r="E488" s="15" t="s">
        <v>223</v>
      </c>
      <c r="F488" s="15">
        <v>42</v>
      </c>
      <c r="G488" s="15">
        <v>42</v>
      </c>
    </row>
    <row r="489" spans="1:7" x14ac:dyDescent="0.25">
      <c r="A489" s="15" t="s">
        <v>684</v>
      </c>
      <c r="B489" s="15" t="s">
        <v>685</v>
      </c>
      <c r="C489" s="16">
        <v>5.5</v>
      </c>
      <c r="D489" s="15" t="s">
        <v>224</v>
      </c>
      <c r="E489" s="15" t="s">
        <v>225</v>
      </c>
      <c r="F489" s="15">
        <v>2</v>
      </c>
      <c r="G489" s="15">
        <v>2</v>
      </c>
    </row>
    <row r="490" spans="1:7" x14ac:dyDescent="0.25">
      <c r="A490" s="15" t="s">
        <v>684</v>
      </c>
      <c r="B490" s="15" t="s">
        <v>685</v>
      </c>
      <c r="C490" s="16">
        <v>201.5</v>
      </c>
      <c r="D490" s="15" t="s">
        <v>163</v>
      </c>
      <c r="E490" s="15" t="s">
        <v>164</v>
      </c>
      <c r="F490" s="15">
        <v>20</v>
      </c>
      <c r="G490" s="15">
        <v>20</v>
      </c>
    </row>
    <row r="491" spans="1:7" x14ac:dyDescent="0.25">
      <c r="A491" s="15" t="s">
        <v>684</v>
      </c>
      <c r="B491" s="15" t="s">
        <v>685</v>
      </c>
      <c r="C491" s="16">
        <v>1392.25</v>
      </c>
      <c r="D491" s="15" t="s">
        <v>149</v>
      </c>
      <c r="E491" s="15" t="s">
        <v>687</v>
      </c>
      <c r="F491" s="15">
        <v>160</v>
      </c>
      <c r="G491" s="15">
        <v>160</v>
      </c>
    </row>
    <row r="492" spans="1:7" x14ac:dyDescent="0.25">
      <c r="A492" s="15" t="s">
        <v>684</v>
      </c>
      <c r="B492" s="15" t="s">
        <v>685</v>
      </c>
      <c r="C492" s="16">
        <v>51.5</v>
      </c>
      <c r="D492" s="15" t="s">
        <v>80</v>
      </c>
      <c r="E492" s="15" t="s">
        <v>688</v>
      </c>
      <c r="F492" s="15">
        <v>3</v>
      </c>
      <c r="G492" s="15">
        <v>3</v>
      </c>
    </row>
    <row r="493" spans="1:7" x14ac:dyDescent="0.25">
      <c r="A493" s="15" t="s">
        <v>684</v>
      </c>
      <c r="B493" s="15" t="s">
        <v>685</v>
      </c>
      <c r="C493" s="16">
        <v>25.8</v>
      </c>
      <c r="D493" s="15" t="s">
        <v>232</v>
      </c>
      <c r="E493" s="15" t="s">
        <v>233</v>
      </c>
      <c r="F493" s="15">
        <v>2</v>
      </c>
      <c r="G493" s="15">
        <v>2</v>
      </c>
    </row>
    <row r="494" spans="1:7" x14ac:dyDescent="0.25">
      <c r="A494" s="15" t="s">
        <v>684</v>
      </c>
      <c r="B494" s="15" t="s">
        <v>685</v>
      </c>
      <c r="C494" s="16">
        <v>437.15</v>
      </c>
      <c r="D494" s="15" t="s">
        <v>105</v>
      </c>
      <c r="E494" s="15" t="s">
        <v>234</v>
      </c>
      <c r="F494" s="15">
        <v>53</v>
      </c>
      <c r="G494" s="15">
        <v>53</v>
      </c>
    </row>
    <row r="495" spans="1:7" x14ac:dyDescent="0.25">
      <c r="A495" s="15" t="s">
        <v>684</v>
      </c>
      <c r="B495" s="15" t="s">
        <v>685</v>
      </c>
      <c r="C495" s="16">
        <v>23.8</v>
      </c>
      <c r="D495" s="15" t="s">
        <v>209</v>
      </c>
      <c r="E495" s="15" t="s">
        <v>689</v>
      </c>
      <c r="F495" s="15">
        <v>7</v>
      </c>
      <c r="G495" s="15">
        <v>7</v>
      </c>
    </row>
    <row r="496" spans="1:7" x14ac:dyDescent="0.25">
      <c r="A496" s="15" t="s">
        <v>684</v>
      </c>
      <c r="B496" s="15" t="s">
        <v>685</v>
      </c>
      <c r="C496" s="16">
        <v>49.85</v>
      </c>
      <c r="D496" s="15" t="s">
        <v>82</v>
      </c>
      <c r="E496" s="15" t="s">
        <v>166</v>
      </c>
      <c r="F496" s="15">
        <v>11</v>
      </c>
      <c r="G496" s="15">
        <v>11</v>
      </c>
    </row>
    <row r="497" spans="1:7" x14ac:dyDescent="0.25">
      <c r="A497" s="15" t="s">
        <v>684</v>
      </c>
      <c r="B497" s="15" t="s">
        <v>685</v>
      </c>
      <c r="C497" s="16">
        <v>22.5</v>
      </c>
      <c r="D497" s="15" t="s">
        <v>355</v>
      </c>
      <c r="E497" s="15" t="s">
        <v>690</v>
      </c>
      <c r="F497" s="15">
        <v>2</v>
      </c>
      <c r="G497" s="15">
        <v>2</v>
      </c>
    </row>
    <row r="498" spans="1:7" x14ac:dyDescent="0.25">
      <c r="A498" s="15" t="s">
        <v>684</v>
      </c>
      <c r="B498" s="15" t="s">
        <v>685</v>
      </c>
      <c r="C498" s="16">
        <v>70.3</v>
      </c>
      <c r="D498" s="15" t="s">
        <v>287</v>
      </c>
      <c r="E498" s="15" t="s">
        <v>691</v>
      </c>
      <c r="F498" s="15">
        <v>12</v>
      </c>
      <c r="G498" s="15">
        <v>12</v>
      </c>
    </row>
    <row r="499" spans="1:7" x14ac:dyDescent="0.25">
      <c r="A499" s="15" t="s">
        <v>684</v>
      </c>
      <c r="B499" s="15" t="s">
        <v>685</v>
      </c>
      <c r="C499" s="16">
        <v>149.4</v>
      </c>
      <c r="D499" s="15" t="s">
        <v>125</v>
      </c>
      <c r="E499" s="15" t="s">
        <v>692</v>
      </c>
      <c r="F499" s="15">
        <v>5</v>
      </c>
      <c r="G499" s="15">
        <v>5</v>
      </c>
    </row>
    <row r="500" spans="1:7" x14ac:dyDescent="0.25">
      <c r="A500" s="15" t="s">
        <v>684</v>
      </c>
      <c r="B500" s="15" t="s">
        <v>685</v>
      </c>
      <c r="C500" s="16">
        <v>56.8</v>
      </c>
      <c r="D500" s="15" t="s">
        <v>161</v>
      </c>
      <c r="E500" s="15" t="s">
        <v>693</v>
      </c>
      <c r="F500" s="15">
        <v>4</v>
      </c>
      <c r="G500" s="15">
        <v>4</v>
      </c>
    </row>
    <row r="501" spans="1:7" x14ac:dyDescent="0.25">
      <c r="A501" s="15" t="s">
        <v>684</v>
      </c>
      <c r="B501" s="15" t="s">
        <v>685</v>
      </c>
      <c r="C501" s="16">
        <v>27.9</v>
      </c>
      <c r="D501" s="15" t="s">
        <v>241</v>
      </c>
      <c r="E501" s="15" t="s">
        <v>242</v>
      </c>
      <c r="F501" s="15">
        <v>9</v>
      </c>
      <c r="G501" s="15">
        <v>9</v>
      </c>
    </row>
    <row r="502" spans="1:7" x14ac:dyDescent="0.25">
      <c r="A502" s="15" t="s">
        <v>684</v>
      </c>
      <c r="B502" s="15" t="s">
        <v>685</v>
      </c>
      <c r="C502" s="16">
        <v>143.35</v>
      </c>
      <c r="D502" s="15" t="s">
        <v>602</v>
      </c>
      <c r="E502" s="15" t="s">
        <v>603</v>
      </c>
      <c r="F502" s="15">
        <v>5</v>
      </c>
      <c r="G502" s="15">
        <v>5</v>
      </c>
    </row>
    <row r="503" spans="1:7" x14ac:dyDescent="0.25">
      <c r="A503" s="15" t="s">
        <v>684</v>
      </c>
      <c r="B503" s="15" t="s">
        <v>685</v>
      </c>
      <c r="C503" s="16">
        <v>27.6</v>
      </c>
      <c r="D503" s="15" t="s">
        <v>247</v>
      </c>
      <c r="E503" s="15" t="s">
        <v>169</v>
      </c>
      <c r="F503" s="15">
        <v>3</v>
      </c>
      <c r="G503" s="15">
        <v>3</v>
      </c>
    </row>
    <row r="504" spans="1:7" x14ac:dyDescent="0.25">
      <c r="A504" s="15" t="s">
        <v>684</v>
      </c>
      <c r="B504" s="15" t="s">
        <v>685</v>
      </c>
      <c r="C504" s="16">
        <v>5.9</v>
      </c>
      <c r="D504" s="15" t="s">
        <v>248</v>
      </c>
      <c r="E504" s="15" t="s">
        <v>249</v>
      </c>
      <c r="F504" s="15">
        <v>1</v>
      </c>
      <c r="G504" s="15">
        <v>1</v>
      </c>
    </row>
    <row r="505" spans="1:7" x14ac:dyDescent="0.25">
      <c r="A505" s="15" t="s">
        <v>684</v>
      </c>
      <c r="B505" s="15" t="s">
        <v>685</v>
      </c>
      <c r="C505" s="16">
        <v>2026.37</v>
      </c>
      <c r="D505" s="15" t="s">
        <v>455</v>
      </c>
      <c r="E505" s="15" t="s">
        <v>694</v>
      </c>
      <c r="F505" s="15">
        <v>87</v>
      </c>
      <c r="G505" s="15">
        <v>87</v>
      </c>
    </row>
    <row r="506" spans="1:7" x14ac:dyDescent="0.25">
      <c r="A506" s="15" t="s">
        <v>684</v>
      </c>
      <c r="B506" s="15" t="s">
        <v>685</v>
      </c>
      <c r="C506" s="16">
        <v>32.200000000000003</v>
      </c>
      <c r="D506" s="15" t="s">
        <v>138</v>
      </c>
      <c r="E506" s="15" t="s">
        <v>253</v>
      </c>
      <c r="F506" s="15">
        <v>3</v>
      </c>
      <c r="G506" s="15">
        <v>3</v>
      </c>
    </row>
    <row r="507" spans="1:7" x14ac:dyDescent="0.25">
      <c r="A507" s="15" t="s">
        <v>684</v>
      </c>
      <c r="B507" s="15" t="s">
        <v>685</v>
      </c>
      <c r="C507" s="16">
        <v>45.35</v>
      </c>
      <c r="D507" s="15" t="s">
        <v>309</v>
      </c>
      <c r="E507" s="15" t="s">
        <v>695</v>
      </c>
      <c r="F507" s="15">
        <v>5</v>
      </c>
      <c r="G507" s="15">
        <v>5</v>
      </c>
    </row>
    <row r="508" spans="1:7" x14ac:dyDescent="0.25">
      <c r="A508" s="15" t="s">
        <v>684</v>
      </c>
      <c r="B508" s="15" t="s">
        <v>685</v>
      </c>
      <c r="C508" s="16">
        <v>15.6</v>
      </c>
      <c r="D508" s="15" t="s">
        <v>678</v>
      </c>
      <c r="E508" s="15" t="s">
        <v>696</v>
      </c>
      <c r="F508" s="15">
        <v>4</v>
      </c>
      <c r="G508" s="15">
        <v>4</v>
      </c>
    </row>
    <row r="509" spans="1:7" x14ac:dyDescent="0.25">
      <c r="A509" s="15" t="s">
        <v>684</v>
      </c>
      <c r="B509" s="15" t="s">
        <v>685</v>
      </c>
      <c r="C509" s="16">
        <v>87.45</v>
      </c>
      <c r="D509" s="15" t="s">
        <v>256</v>
      </c>
      <c r="E509" s="15" t="s">
        <v>257</v>
      </c>
      <c r="F509" s="15">
        <v>7</v>
      </c>
      <c r="G509" s="15">
        <v>7</v>
      </c>
    </row>
    <row r="510" spans="1:7" x14ac:dyDescent="0.25">
      <c r="A510" s="15" t="s">
        <v>684</v>
      </c>
      <c r="B510" s="15" t="s">
        <v>685</v>
      </c>
      <c r="C510" s="16">
        <v>145.55000000000001</v>
      </c>
      <c r="D510" s="15" t="s">
        <v>176</v>
      </c>
      <c r="E510" s="15" t="s">
        <v>177</v>
      </c>
      <c r="F510" s="15">
        <v>9</v>
      </c>
      <c r="G510" s="15">
        <v>9</v>
      </c>
    </row>
    <row r="511" spans="1:7" x14ac:dyDescent="0.25">
      <c r="A511" s="15" t="s">
        <v>684</v>
      </c>
      <c r="B511" s="15" t="s">
        <v>685</v>
      </c>
      <c r="C511" s="16">
        <v>33</v>
      </c>
      <c r="D511" s="15" t="s">
        <v>176</v>
      </c>
      <c r="E511" s="15" t="s">
        <v>260</v>
      </c>
      <c r="F511" s="15">
        <v>9</v>
      </c>
      <c r="G511" s="15">
        <v>9</v>
      </c>
    </row>
    <row r="512" spans="1:7" x14ac:dyDescent="0.25">
      <c r="A512" s="15" t="s">
        <v>684</v>
      </c>
      <c r="B512" s="15" t="s">
        <v>685</v>
      </c>
      <c r="C512" s="16">
        <v>69</v>
      </c>
      <c r="D512" s="15" t="s">
        <v>95</v>
      </c>
      <c r="E512" s="15" t="s">
        <v>697</v>
      </c>
      <c r="F512" s="15">
        <v>3</v>
      </c>
      <c r="G512" s="15">
        <v>3</v>
      </c>
    </row>
    <row r="513" spans="1:7" x14ac:dyDescent="0.25">
      <c r="A513" s="15" t="s">
        <v>684</v>
      </c>
      <c r="B513" s="15" t="s">
        <v>685</v>
      </c>
      <c r="C513" s="16">
        <v>48.8</v>
      </c>
      <c r="D513" s="15" t="s">
        <v>698</v>
      </c>
      <c r="E513" s="15" t="s">
        <v>699</v>
      </c>
      <c r="F513" s="15">
        <v>8</v>
      </c>
      <c r="G513" s="15">
        <v>8</v>
      </c>
    </row>
    <row r="514" spans="1:7" x14ac:dyDescent="0.25">
      <c r="A514" s="15" t="s">
        <v>684</v>
      </c>
      <c r="B514" s="15" t="s">
        <v>685</v>
      </c>
      <c r="C514" s="16">
        <v>38</v>
      </c>
      <c r="D514" s="15" t="s">
        <v>303</v>
      </c>
      <c r="E514" s="15" t="s">
        <v>700</v>
      </c>
      <c r="F514" s="15">
        <v>3</v>
      </c>
      <c r="G514" s="15">
        <v>3</v>
      </c>
    </row>
    <row r="515" spans="1:7" x14ac:dyDescent="0.25">
      <c r="A515" s="15" t="s">
        <v>684</v>
      </c>
      <c r="B515" s="15" t="s">
        <v>685</v>
      </c>
      <c r="C515" s="16">
        <v>197.3</v>
      </c>
      <c r="D515" s="15" t="s">
        <v>653</v>
      </c>
      <c r="E515" s="15" t="s">
        <v>701</v>
      </c>
      <c r="F515" s="15">
        <v>22</v>
      </c>
      <c r="G515" s="15">
        <v>22</v>
      </c>
    </row>
    <row r="516" spans="1:7" x14ac:dyDescent="0.25">
      <c r="A516" s="15" t="s">
        <v>684</v>
      </c>
      <c r="B516" s="15" t="s">
        <v>685</v>
      </c>
      <c r="C516" s="16">
        <v>14.1</v>
      </c>
      <c r="D516" s="15" t="s">
        <v>80</v>
      </c>
      <c r="E516" s="15" t="s">
        <v>702</v>
      </c>
      <c r="F516" s="15">
        <v>2</v>
      </c>
      <c r="G516" s="15">
        <v>2</v>
      </c>
    </row>
    <row r="517" spans="1:7" x14ac:dyDescent="0.25">
      <c r="A517" s="15" t="s">
        <v>684</v>
      </c>
      <c r="B517" s="15" t="s">
        <v>685</v>
      </c>
      <c r="C517" s="16">
        <v>33.799999999999997</v>
      </c>
      <c r="D517" s="15" t="s">
        <v>313</v>
      </c>
      <c r="E517" s="15" t="s">
        <v>180</v>
      </c>
      <c r="F517" s="15">
        <v>1</v>
      </c>
      <c r="G517" s="15">
        <v>1</v>
      </c>
    </row>
    <row r="518" spans="1:7" x14ac:dyDescent="0.25">
      <c r="A518" s="15" t="s">
        <v>684</v>
      </c>
      <c r="B518" s="15" t="s">
        <v>685</v>
      </c>
      <c r="C518" s="16">
        <v>10.85</v>
      </c>
      <c r="D518" s="15" t="s">
        <v>265</v>
      </c>
      <c r="E518" s="15" t="s">
        <v>266</v>
      </c>
      <c r="F518" s="15">
        <v>1</v>
      </c>
      <c r="G518" s="15">
        <v>1</v>
      </c>
    </row>
    <row r="519" spans="1:7" x14ac:dyDescent="0.25">
      <c r="A519" s="15" t="s">
        <v>684</v>
      </c>
      <c r="B519" s="15" t="s">
        <v>685</v>
      </c>
      <c r="C519" s="16">
        <v>44</v>
      </c>
      <c r="D519" s="15" t="s">
        <v>513</v>
      </c>
      <c r="E519" s="15" t="s">
        <v>703</v>
      </c>
      <c r="F519" s="15">
        <v>5</v>
      </c>
      <c r="G519" s="15">
        <v>5</v>
      </c>
    </row>
    <row r="520" spans="1:7" x14ac:dyDescent="0.25">
      <c r="A520" s="15" t="s">
        <v>684</v>
      </c>
      <c r="B520" s="15" t="s">
        <v>685</v>
      </c>
      <c r="C520" s="16">
        <v>17.5</v>
      </c>
      <c r="D520" s="15" t="s">
        <v>704</v>
      </c>
      <c r="E520" s="15" t="s">
        <v>705</v>
      </c>
      <c r="F520" s="15">
        <v>10</v>
      </c>
      <c r="G520" s="15">
        <v>10</v>
      </c>
    </row>
    <row r="521" spans="1:7" x14ac:dyDescent="0.25">
      <c r="A521" s="15" t="s">
        <v>684</v>
      </c>
      <c r="B521" s="15" t="s">
        <v>685</v>
      </c>
      <c r="C521" s="16">
        <v>48.5</v>
      </c>
      <c r="D521" s="15" t="s">
        <v>183</v>
      </c>
      <c r="E521" s="15" t="s">
        <v>184</v>
      </c>
      <c r="F521" s="15">
        <v>5</v>
      </c>
      <c r="G521" s="15">
        <v>5</v>
      </c>
    </row>
    <row r="522" spans="1:7" x14ac:dyDescent="0.25">
      <c r="A522" s="15" t="s">
        <v>684</v>
      </c>
      <c r="B522" s="15" t="s">
        <v>685</v>
      </c>
      <c r="C522" s="16">
        <v>8.9499999999999993</v>
      </c>
      <c r="D522" s="15" t="s">
        <v>269</v>
      </c>
      <c r="E522" s="15" t="s">
        <v>270</v>
      </c>
      <c r="F522" s="15">
        <v>2</v>
      </c>
      <c r="G522" s="15">
        <v>2</v>
      </c>
    </row>
    <row r="523" spans="1:7" x14ac:dyDescent="0.25">
      <c r="A523" s="15" t="s">
        <v>684</v>
      </c>
      <c r="B523" s="15" t="s">
        <v>685</v>
      </c>
      <c r="C523" s="16">
        <v>8.5500000000000007</v>
      </c>
      <c r="D523" s="15" t="s">
        <v>271</v>
      </c>
      <c r="E523" s="15" t="s">
        <v>272</v>
      </c>
      <c r="F523" s="15">
        <v>3</v>
      </c>
      <c r="G523" s="15">
        <v>3</v>
      </c>
    </row>
    <row r="524" spans="1:7" x14ac:dyDescent="0.25">
      <c r="A524" s="15" t="s">
        <v>684</v>
      </c>
      <c r="B524" s="15" t="s">
        <v>685</v>
      </c>
      <c r="C524" s="16">
        <v>5.7</v>
      </c>
      <c r="D524" s="15" t="s">
        <v>706</v>
      </c>
      <c r="E524" s="15" t="s">
        <v>707</v>
      </c>
      <c r="F524" s="15">
        <v>2</v>
      </c>
      <c r="G524" s="15">
        <v>2</v>
      </c>
    </row>
    <row r="525" spans="1:7" x14ac:dyDescent="0.25">
      <c r="A525" s="15" t="s">
        <v>684</v>
      </c>
      <c r="B525" s="15" t="s">
        <v>685</v>
      </c>
      <c r="C525" s="16">
        <v>23.8</v>
      </c>
      <c r="D525" s="15" t="s">
        <v>273</v>
      </c>
      <c r="E525" s="15" t="s">
        <v>274</v>
      </c>
      <c r="F525" s="15">
        <v>7</v>
      </c>
      <c r="G525" s="15">
        <v>7</v>
      </c>
    </row>
    <row r="526" spans="1:7" x14ac:dyDescent="0.25">
      <c r="A526" s="15" t="s">
        <v>684</v>
      </c>
      <c r="B526" s="15" t="s">
        <v>685</v>
      </c>
      <c r="C526" s="16">
        <v>76.7</v>
      </c>
      <c r="D526" s="15" t="s">
        <v>123</v>
      </c>
      <c r="E526" s="15" t="s">
        <v>708</v>
      </c>
      <c r="F526" s="15">
        <v>5</v>
      </c>
      <c r="G526" s="15">
        <v>5</v>
      </c>
    </row>
    <row r="527" spans="1:7" x14ac:dyDescent="0.25">
      <c r="A527" s="15" t="s">
        <v>684</v>
      </c>
      <c r="B527" s="15" t="s">
        <v>685</v>
      </c>
      <c r="C527" s="16">
        <v>1206.7</v>
      </c>
      <c r="D527" s="15" t="s">
        <v>97</v>
      </c>
      <c r="E527" s="15" t="s">
        <v>280</v>
      </c>
      <c r="F527" s="15">
        <v>200</v>
      </c>
      <c r="G527" s="15">
        <v>200</v>
      </c>
    </row>
    <row r="528" spans="1:7" x14ac:dyDescent="0.25">
      <c r="A528" s="15" t="s">
        <v>684</v>
      </c>
      <c r="B528" s="15" t="s">
        <v>685</v>
      </c>
      <c r="C528" s="16">
        <v>47</v>
      </c>
      <c r="D528" s="15" t="s">
        <v>285</v>
      </c>
      <c r="E528" s="15" t="s">
        <v>286</v>
      </c>
      <c r="F528" s="15">
        <v>18</v>
      </c>
      <c r="G528" s="15">
        <v>18</v>
      </c>
    </row>
    <row r="529" spans="1:7" x14ac:dyDescent="0.25">
      <c r="A529" s="15" t="s">
        <v>684</v>
      </c>
      <c r="B529" s="15" t="s">
        <v>685</v>
      </c>
      <c r="C529" s="16">
        <v>2847.2</v>
      </c>
      <c r="D529" s="15" t="s">
        <v>98</v>
      </c>
      <c r="E529" s="15" t="s">
        <v>709</v>
      </c>
      <c r="F529" s="15">
        <v>40</v>
      </c>
      <c r="G529" s="15">
        <v>40</v>
      </c>
    </row>
    <row r="530" spans="1:7" x14ac:dyDescent="0.25">
      <c r="A530" s="15" t="s">
        <v>684</v>
      </c>
      <c r="B530" s="15" t="s">
        <v>685</v>
      </c>
      <c r="C530" s="16">
        <v>32.450000000000003</v>
      </c>
      <c r="D530" s="15" t="s">
        <v>293</v>
      </c>
      <c r="E530" s="15" t="s">
        <v>294</v>
      </c>
      <c r="F530" s="15">
        <v>4</v>
      </c>
      <c r="G530" s="15">
        <v>4</v>
      </c>
    </row>
    <row r="531" spans="1:7" x14ac:dyDescent="0.25">
      <c r="A531" s="15" t="s">
        <v>684</v>
      </c>
      <c r="B531" s="15" t="s">
        <v>685</v>
      </c>
      <c r="C531" s="16">
        <v>33.200000000000003</v>
      </c>
      <c r="D531" s="15" t="s">
        <v>295</v>
      </c>
      <c r="E531" s="15" t="s">
        <v>296</v>
      </c>
      <c r="F531" s="15">
        <v>2</v>
      </c>
      <c r="G531" s="15">
        <v>2</v>
      </c>
    </row>
    <row r="532" spans="1:7" x14ac:dyDescent="0.25">
      <c r="A532" s="15" t="s">
        <v>684</v>
      </c>
      <c r="B532" s="15" t="s">
        <v>685</v>
      </c>
      <c r="C532" s="16">
        <v>61.95</v>
      </c>
      <c r="D532" s="15" t="s">
        <v>80</v>
      </c>
      <c r="E532" s="15" t="s">
        <v>189</v>
      </c>
      <c r="F532" s="15">
        <v>6</v>
      </c>
      <c r="G532" s="15">
        <v>6</v>
      </c>
    </row>
    <row r="533" spans="1:7" x14ac:dyDescent="0.25">
      <c r="A533" s="15" t="s">
        <v>684</v>
      </c>
      <c r="B533" s="15" t="s">
        <v>685</v>
      </c>
      <c r="C533" s="16">
        <v>740.45</v>
      </c>
      <c r="D533" s="15" t="s">
        <v>80</v>
      </c>
      <c r="E533" s="15" t="s">
        <v>297</v>
      </c>
      <c r="F533" s="15">
        <v>69</v>
      </c>
      <c r="G533" s="15">
        <v>69</v>
      </c>
    </row>
    <row r="534" spans="1:7" x14ac:dyDescent="0.25">
      <c r="A534" s="15" t="s">
        <v>684</v>
      </c>
      <c r="B534" s="15" t="s">
        <v>685</v>
      </c>
      <c r="C534" s="16">
        <v>51.7</v>
      </c>
      <c r="D534" s="15" t="s">
        <v>298</v>
      </c>
      <c r="E534" s="15" t="s">
        <v>299</v>
      </c>
      <c r="F534" s="15">
        <v>11</v>
      </c>
      <c r="G534" s="15">
        <v>11</v>
      </c>
    </row>
    <row r="535" spans="1:7" x14ac:dyDescent="0.25">
      <c r="A535" s="15" t="s">
        <v>684</v>
      </c>
      <c r="B535" s="15" t="s">
        <v>685</v>
      </c>
      <c r="C535" s="16">
        <v>27.6</v>
      </c>
      <c r="D535" s="15" t="s">
        <v>123</v>
      </c>
      <c r="E535" s="15" t="s">
        <v>710</v>
      </c>
      <c r="F535" s="15">
        <v>2</v>
      </c>
      <c r="G535" s="15">
        <v>2</v>
      </c>
    </row>
    <row r="536" spans="1:7" x14ac:dyDescent="0.25">
      <c r="A536" s="15" t="s">
        <v>684</v>
      </c>
      <c r="B536" s="15" t="s">
        <v>685</v>
      </c>
      <c r="C536" s="16">
        <v>37</v>
      </c>
      <c r="D536" s="15" t="s">
        <v>90</v>
      </c>
      <c r="E536" s="15" t="s">
        <v>711</v>
      </c>
      <c r="F536" s="15">
        <v>5</v>
      </c>
      <c r="G536" s="15">
        <v>5</v>
      </c>
    </row>
    <row r="537" spans="1:7" x14ac:dyDescent="0.25">
      <c r="A537" s="15" t="s">
        <v>684</v>
      </c>
      <c r="B537" s="15" t="s">
        <v>685</v>
      </c>
      <c r="C537" s="16">
        <v>434.4</v>
      </c>
      <c r="D537" s="15" t="s">
        <v>90</v>
      </c>
      <c r="E537" s="15" t="s">
        <v>190</v>
      </c>
      <c r="F537" s="15">
        <v>32</v>
      </c>
      <c r="G537" s="15">
        <v>32</v>
      </c>
    </row>
    <row r="538" spans="1:7" x14ac:dyDescent="0.25">
      <c r="A538" s="15" t="s">
        <v>684</v>
      </c>
      <c r="B538" s="15" t="s">
        <v>685</v>
      </c>
      <c r="C538" s="16">
        <v>8.1</v>
      </c>
      <c r="D538" s="15" t="s">
        <v>191</v>
      </c>
      <c r="E538" s="15" t="s">
        <v>192</v>
      </c>
      <c r="F538" s="15">
        <v>1</v>
      </c>
      <c r="G538" s="15">
        <v>1</v>
      </c>
    </row>
    <row r="539" spans="1:7" x14ac:dyDescent="0.25">
      <c r="A539" s="15" t="s">
        <v>684</v>
      </c>
      <c r="B539" s="15" t="s">
        <v>685</v>
      </c>
      <c r="C539" s="16">
        <v>159.5</v>
      </c>
      <c r="D539" s="15" t="s">
        <v>132</v>
      </c>
      <c r="E539" s="15" t="s">
        <v>712</v>
      </c>
      <c r="F539" s="15">
        <v>15</v>
      </c>
      <c r="G539" s="15">
        <v>15</v>
      </c>
    </row>
    <row r="540" spans="1:7" x14ac:dyDescent="0.25">
      <c r="A540" s="15" t="s">
        <v>684</v>
      </c>
      <c r="B540" s="15" t="s">
        <v>685</v>
      </c>
      <c r="C540" s="16">
        <v>28.13</v>
      </c>
      <c r="D540" s="15" t="s">
        <v>67</v>
      </c>
      <c r="E540" s="15" t="s">
        <v>193</v>
      </c>
      <c r="F540" s="15">
        <v>10</v>
      </c>
      <c r="G540" s="15">
        <v>10</v>
      </c>
    </row>
    <row r="541" spans="1:7" x14ac:dyDescent="0.25">
      <c r="A541" s="15" t="s">
        <v>684</v>
      </c>
      <c r="B541" s="15" t="s">
        <v>685</v>
      </c>
      <c r="C541" s="16">
        <v>14.9</v>
      </c>
      <c r="D541" s="15" t="s">
        <v>238</v>
      </c>
      <c r="E541" s="15" t="s">
        <v>713</v>
      </c>
      <c r="F541" s="15">
        <v>2</v>
      </c>
      <c r="G541" s="15">
        <v>2</v>
      </c>
    </row>
    <row r="542" spans="1:7" x14ac:dyDescent="0.25">
      <c r="A542" s="15" t="s">
        <v>684</v>
      </c>
      <c r="B542" s="15" t="s">
        <v>685</v>
      </c>
      <c r="C542" s="16">
        <v>42.2</v>
      </c>
      <c r="D542" s="15" t="s">
        <v>305</v>
      </c>
      <c r="E542" s="15" t="s">
        <v>306</v>
      </c>
      <c r="F542" s="15">
        <v>7</v>
      </c>
      <c r="G542" s="15">
        <v>7</v>
      </c>
    </row>
    <row r="543" spans="1:7" x14ac:dyDescent="0.25">
      <c r="A543" s="15" t="s">
        <v>684</v>
      </c>
      <c r="B543" s="15" t="s">
        <v>685</v>
      </c>
      <c r="C543" s="16">
        <v>424.56</v>
      </c>
      <c r="D543" s="15" t="s">
        <v>307</v>
      </c>
      <c r="E543" s="15" t="s">
        <v>714</v>
      </c>
      <c r="F543" s="15">
        <v>48</v>
      </c>
      <c r="G543" s="15">
        <v>48</v>
      </c>
    </row>
    <row r="544" spans="1:7" x14ac:dyDescent="0.25">
      <c r="A544" s="15" t="s">
        <v>684</v>
      </c>
      <c r="B544" s="15" t="s">
        <v>685</v>
      </c>
      <c r="C544" s="16">
        <v>9.3000000000000007</v>
      </c>
      <c r="D544" s="15" t="s">
        <v>311</v>
      </c>
      <c r="E544" s="15" t="s">
        <v>312</v>
      </c>
      <c r="F544" s="15">
        <v>1</v>
      </c>
      <c r="G544" s="15">
        <v>1</v>
      </c>
    </row>
    <row r="545" spans="1:7" x14ac:dyDescent="0.25">
      <c r="A545" s="15" t="s">
        <v>684</v>
      </c>
      <c r="B545" s="15" t="s">
        <v>685</v>
      </c>
      <c r="C545" s="16">
        <v>410.65</v>
      </c>
      <c r="D545" s="15" t="s">
        <v>194</v>
      </c>
      <c r="E545" s="15" t="s">
        <v>195</v>
      </c>
      <c r="F545" s="15">
        <v>28</v>
      </c>
      <c r="G545" s="15">
        <v>28</v>
      </c>
    </row>
    <row r="546" spans="1:7" x14ac:dyDescent="0.25">
      <c r="A546" s="15" t="s">
        <v>684</v>
      </c>
      <c r="B546" s="15" t="s">
        <v>685</v>
      </c>
      <c r="C546" s="16">
        <v>20.95</v>
      </c>
      <c r="D546" s="15" t="s">
        <v>138</v>
      </c>
      <c r="E546" s="15" t="s">
        <v>196</v>
      </c>
      <c r="F546" s="15">
        <v>1</v>
      </c>
      <c r="G546" s="15">
        <v>1</v>
      </c>
    </row>
    <row r="547" spans="1:7" x14ac:dyDescent="0.25">
      <c r="A547" s="15" t="s">
        <v>715</v>
      </c>
      <c r="B547" s="15" t="s">
        <v>716</v>
      </c>
      <c r="C547" s="16">
        <v>901.6</v>
      </c>
      <c r="D547" s="15" t="s">
        <v>187</v>
      </c>
      <c r="E547" s="15" t="s">
        <v>495</v>
      </c>
      <c r="F547" s="15">
        <v>181</v>
      </c>
      <c r="G547" s="15">
        <v>181</v>
      </c>
    </row>
    <row r="548" spans="1:7" x14ac:dyDescent="0.25">
      <c r="A548" s="15" t="s">
        <v>715</v>
      </c>
      <c r="B548" s="15" t="s">
        <v>716</v>
      </c>
      <c r="C548" s="16">
        <v>102.4</v>
      </c>
      <c r="D548" s="15" t="s">
        <v>248</v>
      </c>
      <c r="E548" s="15" t="s">
        <v>496</v>
      </c>
      <c r="F548" s="15">
        <v>32</v>
      </c>
      <c r="G548" s="15">
        <v>32</v>
      </c>
    </row>
    <row r="549" spans="1:7" x14ac:dyDescent="0.25">
      <c r="A549" s="15" t="s">
        <v>715</v>
      </c>
      <c r="B549" s="15" t="s">
        <v>716</v>
      </c>
      <c r="C549" s="16">
        <v>1615.55</v>
      </c>
      <c r="D549" s="15" t="s">
        <v>295</v>
      </c>
      <c r="E549" s="15" t="s">
        <v>433</v>
      </c>
      <c r="F549" s="15">
        <v>407</v>
      </c>
      <c r="G549" s="15">
        <v>407</v>
      </c>
    </row>
    <row r="550" spans="1:7" x14ac:dyDescent="0.25">
      <c r="A550" s="15" t="s">
        <v>715</v>
      </c>
      <c r="B550" s="15" t="s">
        <v>716</v>
      </c>
      <c r="C550" s="16">
        <v>321.3</v>
      </c>
      <c r="D550" s="15" t="s">
        <v>717</v>
      </c>
      <c r="E550" s="15" t="s">
        <v>718</v>
      </c>
      <c r="F550" s="15">
        <v>153</v>
      </c>
      <c r="G550" s="15">
        <v>153</v>
      </c>
    </row>
    <row r="551" spans="1:7" x14ac:dyDescent="0.25">
      <c r="A551" s="15" t="s">
        <v>715</v>
      </c>
      <c r="B551" s="15" t="s">
        <v>716</v>
      </c>
      <c r="C551" s="16">
        <v>59.25</v>
      </c>
      <c r="D551" s="15" t="s">
        <v>399</v>
      </c>
      <c r="E551" s="15" t="s">
        <v>508</v>
      </c>
      <c r="F551" s="15">
        <v>6</v>
      </c>
      <c r="G551" s="15">
        <v>6</v>
      </c>
    </row>
    <row r="552" spans="1:7" x14ac:dyDescent="0.25">
      <c r="A552" s="15" t="s">
        <v>715</v>
      </c>
      <c r="B552" s="15" t="s">
        <v>716</v>
      </c>
      <c r="C552" s="16">
        <v>2.8</v>
      </c>
      <c r="D552" s="15" t="s">
        <v>511</v>
      </c>
      <c r="E552" s="15" t="s">
        <v>512</v>
      </c>
      <c r="F552" s="15">
        <v>2</v>
      </c>
      <c r="G552" s="15">
        <v>2</v>
      </c>
    </row>
    <row r="553" spans="1:7" x14ac:dyDescent="0.25">
      <c r="A553" s="15" t="s">
        <v>715</v>
      </c>
      <c r="B553" s="15" t="s">
        <v>716</v>
      </c>
      <c r="C553" s="16">
        <v>26.45</v>
      </c>
      <c r="D553" s="15" t="s">
        <v>719</v>
      </c>
      <c r="E553" s="15" t="s">
        <v>720</v>
      </c>
      <c r="F553" s="15">
        <v>8</v>
      </c>
      <c r="G553" s="15">
        <v>8</v>
      </c>
    </row>
    <row r="554" spans="1:7" x14ac:dyDescent="0.25">
      <c r="A554" s="15" t="s">
        <v>715</v>
      </c>
      <c r="B554" s="15" t="s">
        <v>716</v>
      </c>
      <c r="C554" s="16">
        <v>2.3199999999999998</v>
      </c>
      <c r="D554" s="15" t="s">
        <v>435</v>
      </c>
      <c r="E554" s="15" t="s">
        <v>436</v>
      </c>
      <c r="F554" s="15">
        <v>1</v>
      </c>
      <c r="G554" s="15">
        <v>1</v>
      </c>
    </row>
    <row r="555" spans="1:7" x14ac:dyDescent="0.25">
      <c r="A555" s="15" t="s">
        <v>715</v>
      </c>
      <c r="B555" s="15" t="s">
        <v>716</v>
      </c>
      <c r="C555" s="16">
        <v>176.4</v>
      </c>
      <c r="D555" s="15" t="s">
        <v>458</v>
      </c>
      <c r="E555" s="15" t="s">
        <v>721</v>
      </c>
      <c r="F555" s="15">
        <v>42</v>
      </c>
      <c r="G555" s="15">
        <v>42</v>
      </c>
    </row>
    <row r="556" spans="1:7" x14ac:dyDescent="0.25">
      <c r="A556" s="15" t="s">
        <v>715</v>
      </c>
      <c r="B556" s="15" t="s">
        <v>716</v>
      </c>
      <c r="C556" s="16">
        <v>1.77</v>
      </c>
      <c r="D556" s="15" t="s">
        <v>437</v>
      </c>
      <c r="E556" s="15" t="s">
        <v>438</v>
      </c>
      <c r="F556" s="15">
        <v>1</v>
      </c>
      <c r="G556" s="15">
        <v>1</v>
      </c>
    </row>
    <row r="557" spans="1:7" x14ac:dyDescent="0.25">
      <c r="A557" s="15" t="s">
        <v>715</v>
      </c>
      <c r="B557" s="15" t="s">
        <v>716</v>
      </c>
      <c r="C557" s="16">
        <v>950.3</v>
      </c>
      <c r="D557" s="15" t="s">
        <v>309</v>
      </c>
      <c r="E557" s="15" t="s">
        <v>521</v>
      </c>
      <c r="F557" s="15">
        <v>221</v>
      </c>
      <c r="G557" s="15">
        <v>221</v>
      </c>
    </row>
    <row r="558" spans="1:7" x14ac:dyDescent="0.25">
      <c r="A558" s="15" t="s">
        <v>715</v>
      </c>
      <c r="B558" s="15" t="s">
        <v>716</v>
      </c>
      <c r="C558" s="16">
        <v>151.5</v>
      </c>
      <c r="D558" s="15" t="s">
        <v>339</v>
      </c>
      <c r="E558" s="15" t="s">
        <v>340</v>
      </c>
      <c r="F558" s="15">
        <v>101</v>
      </c>
      <c r="G558" s="15">
        <v>101</v>
      </c>
    </row>
    <row r="559" spans="1:7" x14ac:dyDescent="0.25">
      <c r="A559" s="15" t="s">
        <v>715</v>
      </c>
      <c r="B559" s="15" t="s">
        <v>716</v>
      </c>
      <c r="C559" s="16">
        <v>367.2</v>
      </c>
      <c r="D559" s="15" t="s">
        <v>722</v>
      </c>
      <c r="E559" s="15" t="s">
        <v>723</v>
      </c>
      <c r="F559" s="15">
        <v>225</v>
      </c>
      <c r="G559" s="15">
        <v>225</v>
      </c>
    </row>
    <row r="560" spans="1:7" x14ac:dyDescent="0.25">
      <c r="A560" s="15" t="s">
        <v>715</v>
      </c>
      <c r="B560" s="15" t="s">
        <v>716</v>
      </c>
      <c r="C560" s="16">
        <v>8.24</v>
      </c>
      <c r="D560" s="15" t="s">
        <v>529</v>
      </c>
      <c r="E560" s="15" t="s">
        <v>530</v>
      </c>
      <c r="F560" s="15">
        <v>3</v>
      </c>
      <c r="G560" s="15">
        <v>3</v>
      </c>
    </row>
    <row r="561" spans="1:7" x14ac:dyDescent="0.25">
      <c r="A561" s="15" t="s">
        <v>715</v>
      </c>
      <c r="B561" s="15" t="s">
        <v>716</v>
      </c>
      <c r="C561" s="16">
        <v>0.25</v>
      </c>
      <c r="D561" s="15" t="s">
        <v>724</v>
      </c>
      <c r="E561" s="15" t="s">
        <v>725</v>
      </c>
      <c r="F561" s="15">
        <v>1</v>
      </c>
      <c r="G561" s="15">
        <v>1</v>
      </c>
    </row>
    <row r="562" spans="1:7" x14ac:dyDescent="0.25">
      <c r="A562" s="15" t="s">
        <v>715</v>
      </c>
      <c r="B562" s="15" t="s">
        <v>716</v>
      </c>
      <c r="C562" s="16">
        <v>0.6</v>
      </c>
      <c r="D562" s="15" t="s">
        <v>412</v>
      </c>
      <c r="E562" s="15" t="s">
        <v>413</v>
      </c>
      <c r="F562" s="15">
        <v>1</v>
      </c>
      <c r="G562" s="15">
        <v>1</v>
      </c>
    </row>
    <row r="563" spans="1:7" x14ac:dyDescent="0.25">
      <c r="A563" s="15" t="s">
        <v>715</v>
      </c>
      <c r="B563" s="15" t="s">
        <v>716</v>
      </c>
      <c r="C563" s="16">
        <v>5.9</v>
      </c>
      <c r="D563" s="15" t="s">
        <v>80</v>
      </c>
      <c r="E563" s="15" t="s">
        <v>543</v>
      </c>
      <c r="F563" s="15">
        <v>1</v>
      </c>
      <c r="G563" s="15">
        <v>1</v>
      </c>
    </row>
    <row r="564" spans="1:7" x14ac:dyDescent="0.25">
      <c r="A564" s="15" t="s">
        <v>715</v>
      </c>
      <c r="B564" s="15" t="s">
        <v>716</v>
      </c>
      <c r="C564" s="16">
        <v>2213.9699999999998</v>
      </c>
      <c r="D564" s="15" t="s">
        <v>549</v>
      </c>
      <c r="E564" s="15" t="s">
        <v>550</v>
      </c>
      <c r="F564" s="15">
        <v>204</v>
      </c>
      <c r="G564" s="15">
        <v>204</v>
      </c>
    </row>
    <row r="565" spans="1:7" x14ac:dyDescent="0.25">
      <c r="A565" s="15" t="s">
        <v>715</v>
      </c>
      <c r="B565" s="15" t="s">
        <v>716</v>
      </c>
      <c r="C565" s="16">
        <v>1.65</v>
      </c>
      <c r="D565" s="15" t="s">
        <v>726</v>
      </c>
      <c r="E565" s="15" t="s">
        <v>727</v>
      </c>
      <c r="F565" s="15">
        <v>1</v>
      </c>
      <c r="G565" s="15">
        <v>1</v>
      </c>
    </row>
    <row r="566" spans="1:7" x14ac:dyDescent="0.25">
      <c r="A566" s="15" t="s">
        <v>715</v>
      </c>
      <c r="B566" s="15" t="s">
        <v>716</v>
      </c>
      <c r="C566" s="16">
        <v>0.9</v>
      </c>
      <c r="D566" s="15" t="s">
        <v>293</v>
      </c>
      <c r="E566" s="15" t="s">
        <v>728</v>
      </c>
      <c r="F566" s="15">
        <v>1</v>
      </c>
      <c r="G566" s="15">
        <v>1</v>
      </c>
    </row>
    <row r="567" spans="1:7" x14ac:dyDescent="0.25">
      <c r="A567" s="15" t="s">
        <v>715</v>
      </c>
      <c r="B567" s="15" t="s">
        <v>716</v>
      </c>
      <c r="C567" s="16">
        <v>2.4</v>
      </c>
      <c r="D567" s="15" t="s">
        <v>285</v>
      </c>
      <c r="E567" s="15" t="s">
        <v>420</v>
      </c>
      <c r="F567" s="15">
        <v>1</v>
      </c>
      <c r="G567" s="15">
        <v>1</v>
      </c>
    </row>
    <row r="568" spans="1:7" x14ac:dyDescent="0.25">
      <c r="A568" s="15" t="s">
        <v>715</v>
      </c>
      <c r="B568" s="15" t="s">
        <v>716</v>
      </c>
      <c r="C568" s="16">
        <v>1.1000000000000001</v>
      </c>
      <c r="D568" s="15" t="s">
        <v>88</v>
      </c>
      <c r="E568" s="15" t="s">
        <v>457</v>
      </c>
      <c r="F568" s="15">
        <v>1</v>
      </c>
      <c r="G568" s="15">
        <v>1</v>
      </c>
    </row>
    <row r="569" spans="1:7" x14ac:dyDescent="0.25">
      <c r="A569" s="15" t="s">
        <v>715</v>
      </c>
      <c r="B569" s="15" t="s">
        <v>716</v>
      </c>
      <c r="C569" s="16">
        <v>199.5</v>
      </c>
      <c r="D569" s="15" t="s">
        <v>90</v>
      </c>
      <c r="E569" s="15" t="s">
        <v>729</v>
      </c>
      <c r="F569" s="15">
        <v>95</v>
      </c>
      <c r="G569" s="15">
        <v>95</v>
      </c>
    </row>
    <row r="570" spans="1:7" x14ac:dyDescent="0.25">
      <c r="A570" s="15" t="s">
        <v>715</v>
      </c>
      <c r="B570" s="15" t="s">
        <v>716</v>
      </c>
      <c r="C570" s="16">
        <v>184.9</v>
      </c>
      <c r="D570" s="15" t="s">
        <v>123</v>
      </c>
      <c r="E570" s="15" t="s">
        <v>388</v>
      </c>
      <c r="F570" s="15">
        <v>81</v>
      </c>
      <c r="G570" s="15">
        <v>81</v>
      </c>
    </row>
    <row r="571" spans="1:7" x14ac:dyDescent="0.25">
      <c r="A571" s="15" t="s">
        <v>715</v>
      </c>
      <c r="B571" s="15" t="s">
        <v>716</v>
      </c>
      <c r="C571" s="16">
        <v>2.2999999999999998</v>
      </c>
      <c r="D571" s="15" t="s">
        <v>80</v>
      </c>
      <c r="E571" s="15" t="s">
        <v>730</v>
      </c>
      <c r="F571" s="15">
        <v>1</v>
      </c>
      <c r="G571" s="15">
        <v>1</v>
      </c>
    </row>
    <row r="572" spans="1:7" x14ac:dyDescent="0.25">
      <c r="A572" s="15" t="s">
        <v>715</v>
      </c>
      <c r="B572" s="15" t="s">
        <v>716</v>
      </c>
      <c r="C572" s="16">
        <v>528</v>
      </c>
      <c r="D572" s="15" t="s">
        <v>424</v>
      </c>
      <c r="E572" s="15" t="s">
        <v>425</v>
      </c>
      <c r="F572" s="15">
        <v>32</v>
      </c>
      <c r="G572" s="15">
        <v>32</v>
      </c>
    </row>
    <row r="573" spans="1:7" x14ac:dyDescent="0.25">
      <c r="A573" s="15" t="s">
        <v>715</v>
      </c>
      <c r="B573" s="15" t="s">
        <v>716</v>
      </c>
      <c r="C573" s="16">
        <v>383.2</v>
      </c>
      <c r="D573" s="15" t="s">
        <v>561</v>
      </c>
      <c r="E573" s="15" t="s">
        <v>731</v>
      </c>
      <c r="F573" s="15">
        <v>40</v>
      </c>
      <c r="G573" s="15">
        <v>40</v>
      </c>
    </row>
    <row r="574" spans="1:7" x14ac:dyDescent="0.25">
      <c r="A574" s="15" t="s">
        <v>715</v>
      </c>
      <c r="B574" s="15" t="s">
        <v>716</v>
      </c>
      <c r="C574" s="16">
        <v>901.2</v>
      </c>
      <c r="D574" s="15" t="s">
        <v>179</v>
      </c>
      <c r="E574" s="15" t="s">
        <v>732</v>
      </c>
      <c r="F574" s="15">
        <v>101</v>
      </c>
      <c r="G574" s="15">
        <v>101</v>
      </c>
    </row>
    <row r="575" spans="1:7" x14ac:dyDescent="0.25">
      <c r="A575" s="15" t="s">
        <v>715</v>
      </c>
      <c r="B575" s="15" t="s">
        <v>716</v>
      </c>
      <c r="C575" s="16">
        <v>0.66</v>
      </c>
      <c r="D575" s="15" t="s">
        <v>183</v>
      </c>
      <c r="E575" s="15" t="s">
        <v>195</v>
      </c>
      <c r="F575" s="15">
        <v>1</v>
      </c>
      <c r="G575" s="15">
        <v>1</v>
      </c>
    </row>
    <row r="576" spans="1:7" x14ac:dyDescent="0.25">
      <c r="A576" s="15" t="s">
        <v>715</v>
      </c>
      <c r="B576" s="15" t="s">
        <v>716</v>
      </c>
      <c r="C576" s="16">
        <v>352.8</v>
      </c>
      <c r="D576" s="15" t="s">
        <v>67</v>
      </c>
      <c r="E576" s="15" t="s">
        <v>733</v>
      </c>
      <c r="F576" s="15">
        <v>84</v>
      </c>
      <c r="G576" s="15">
        <v>84</v>
      </c>
    </row>
    <row r="577" spans="1:7" x14ac:dyDescent="0.25">
      <c r="A577" s="15" t="s">
        <v>734</v>
      </c>
      <c r="B577" s="15" t="s">
        <v>735</v>
      </c>
      <c r="C577" s="16">
        <v>317.45</v>
      </c>
      <c r="D577" s="15" t="s">
        <v>187</v>
      </c>
      <c r="E577" s="15" t="s">
        <v>495</v>
      </c>
      <c r="F577" s="15">
        <v>54</v>
      </c>
      <c r="G577" s="15">
        <v>54</v>
      </c>
    </row>
    <row r="578" spans="1:7" x14ac:dyDescent="0.25">
      <c r="A578" s="15" t="s">
        <v>734</v>
      </c>
      <c r="B578" s="15" t="s">
        <v>735</v>
      </c>
      <c r="C578" s="16">
        <v>117.2</v>
      </c>
      <c r="D578" s="15" t="s">
        <v>248</v>
      </c>
      <c r="E578" s="15" t="s">
        <v>496</v>
      </c>
      <c r="F578" s="15">
        <v>43</v>
      </c>
      <c r="G578" s="15">
        <v>43</v>
      </c>
    </row>
    <row r="579" spans="1:7" x14ac:dyDescent="0.25">
      <c r="A579" s="15" t="s">
        <v>734</v>
      </c>
      <c r="B579" s="15" t="s">
        <v>735</v>
      </c>
      <c r="C579" s="16">
        <v>244.8</v>
      </c>
      <c r="D579" s="15" t="s">
        <v>80</v>
      </c>
      <c r="E579" s="15" t="s">
        <v>736</v>
      </c>
      <c r="F579" s="15">
        <v>16</v>
      </c>
      <c r="G579" s="15">
        <v>16</v>
      </c>
    </row>
    <row r="580" spans="1:7" x14ac:dyDescent="0.25">
      <c r="A580" s="15" t="s">
        <v>734</v>
      </c>
      <c r="B580" s="15" t="s">
        <v>735</v>
      </c>
      <c r="C580" s="16">
        <v>110.5</v>
      </c>
      <c r="D580" s="15" t="s">
        <v>138</v>
      </c>
      <c r="E580" s="15" t="s">
        <v>737</v>
      </c>
      <c r="F580" s="15">
        <v>17</v>
      </c>
      <c r="G580" s="15">
        <v>17</v>
      </c>
    </row>
    <row r="581" spans="1:7" x14ac:dyDescent="0.25">
      <c r="A581" s="15" t="s">
        <v>734</v>
      </c>
      <c r="B581" s="15" t="s">
        <v>735</v>
      </c>
      <c r="C581" s="16">
        <v>141.85</v>
      </c>
      <c r="D581" s="15" t="s">
        <v>220</v>
      </c>
      <c r="E581" s="15" t="s">
        <v>500</v>
      </c>
      <c r="F581" s="15">
        <v>66</v>
      </c>
      <c r="G581" s="15">
        <v>66</v>
      </c>
    </row>
    <row r="582" spans="1:7" x14ac:dyDescent="0.25">
      <c r="A582" s="15" t="s">
        <v>734</v>
      </c>
      <c r="B582" s="15" t="s">
        <v>735</v>
      </c>
      <c r="C582" s="16">
        <v>86.8</v>
      </c>
      <c r="D582" s="15" t="s">
        <v>529</v>
      </c>
      <c r="E582" s="15" t="s">
        <v>738</v>
      </c>
      <c r="F582" s="15">
        <v>31</v>
      </c>
      <c r="G582" s="15">
        <v>31</v>
      </c>
    </row>
    <row r="583" spans="1:7" x14ac:dyDescent="0.25">
      <c r="A583" s="15" t="s">
        <v>734</v>
      </c>
      <c r="B583" s="15" t="s">
        <v>735</v>
      </c>
      <c r="C583" s="16">
        <v>180.7</v>
      </c>
      <c r="D583" s="15" t="s">
        <v>80</v>
      </c>
      <c r="E583" s="15" t="s">
        <v>502</v>
      </c>
      <c r="F583" s="15">
        <v>40</v>
      </c>
      <c r="G583" s="15">
        <v>40</v>
      </c>
    </row>
    <row r="584" spans="1:7" x14ac:dyDescent="0.25">
      <c r="A584" s="15" t="s">
        <v>734</v>
      </c>
      <c r="B584" s="15" t="s">
        <v>735</v>
      </c>
      <c r="C584" s="16">
        <v>225.5</v>
      </c>
      <c r="D584" s="15" t="s">
        <v>579</v>
      </c>
      <c r="E584" s="15" t="s">
        <v>739</v>
      </c>
      <c r="F584" s="15">
        <v>11</v>
      </c>
      <c r="G584" s="15">
        <v>11</v>
      </c>
    </row>
    <row r="585" spans="1:7" x14ac:dyDescent="0.25">
      <c r="A585" s="15" t="s">
        <v>734</v>
      </c>
      <c r="B585" s="15" t="s">
        <v>735</v>
      </c>
      <c r="C585" s="16">
        <v>21</v>
      </c>
      <c r="D585" s="15" t="s">
        <v>717</v>
      </c>
      <c r="E585" s="15" t="s">
        <v>718</v>
      </c>
      <c r="F585" s="15">
        <v>10</v>
      </c>
      <c r="G585" s="15">
        <v>10</v>
      </c>
    </row>
    <row r="586" spans="1:7" x14ac:dyDescent="0.25">
      <c r="A586" s="15" t="s">
        <v>734</v>
      </c>
      <c r="B586" s="15" t="s">
        <v>735</v>
      </c>
      <c r="C586" s="16">
        <v>46.8</v>
      </c>
      <c r="D586" s="15" t="s">
        <v>238</v>
      </c>
      <c r="E586" s="15" t="s">
        <v>740</v>
      </c>
      <c r="F586" s="15">
        <v>26</v>
      </c>
      <c r="G586" s="15">
        <v>26</v>
      </c>
    </row>
    <row r="587" spans="1:7" x14ac:dyDescent="0.25">
      <c r="A587" s="15" t="s">
        <v>734</v>
      </c>
      <c r="B587" s="15" t="s">
        <v>735</v>
      </c>
      <c r="C587" s="16">
        <v>130</v>
      </c>
      <c r="D587" s="15" t="s">
        <v>741</v>
      </c>
      <c r="E587" s="15" t="s">
        <v>742</v>
      </c>
      <c r="F587" s="15">
        <v>13</v>
      </c>
      <c r="G587" s="15">
        <v>13</v>
      </c>
    </row>
    <row r="588" spans="1:7" x14ac:dyDescent="0.25">
      <c r="A588" s="15" t="s">
        <v>734</v>
      </c>
      <c r="B588" s="15" t="s">
        <v>735</v>
      </c>
      <c r="C588" s="16">
        <v>69.599999999999994</v>
      </c>
      <c r="D588" s="15" t="s">
        <v>90</v>
      </c>
      <c r="E588" s="15" t="s">
        <v>401</v>
      </c>
      <c r="F588" s="15">
        <v>29</v>
      </c>
      <c r="G588" s="15">
        <v>29</v>
      </c>
    </row>
    <row r="589" spans="1:7" x14ac:dyDescent="0.25">
      <c r="A589" s="15" t="s">
        <v>734</v>
      </c>
      <c r="B589" s="15" t="s">
        <v>735</v>
      </c>
      <c r="C589" s="16">
        <v>184.8</v>
      </c>
      <c r="D589" s="15" t="s">
        <v>201</v>
      </c>
      <c r="E589" s="15" t="s">
        <v>743</v>
      </c>
      <c r="F589" s="15">
        <v>32</v>
      </c>
      <c r="G589" s="15">
        <v>32</v>
      </c>
    </row>
    <row r="590" spans="1:7" x14ac:dyDescent="0.25">
      <c r="A590" s="15" t="s">
        <v>734</v>
      </c>
      <c r="B590" s="15" t="s">
        <v>735</v>
      </c>
      <c r="C590" s="16">
        <v>550.91999999999996</v>
      </c>
      <c r="D590" s="15" t="s">
        <v>80</v>
      </c>
      <c r="E590" s="15" t="s">
        <v>402</v>
      </c>
      <c r="F590" s="15">
        <v>44</v>
      </c>
      <c r="G590" s="15">
        <v>44</v>
      </c>
    </row>
    <row r="591" spans="1:7" x14ac:dyDescent="0.25">
      <c r="A591" s="15" t="s">
        <v>734</v>
      </c>
      <c r="B591" s="15" t="s">
        <v>735</v>
      </c>
      <c r="C591" s="16">
        <v>41.01</v>
      </c>
      <c r="D591" s="15" t="s">
        <v>744</v>
      </c>
      <c r="E591" s="15" t="s">
        <v>745</v>
      </c>
      <c r="F591" s="15">
        <v>17</v>
      </c>
      <c r="G591" s="15">
        <v>17</v>
      </c>
    </row>
    <row r="592" spans="1:7" x14ac:dyDescent="0.25">
      <c r="A592" s="15" t="s">
        <v>734</v>
      </c>
      <c r="B592" s="15" t="s">
        <v>735</v>
      </c>
      <c r="C592" s="16">
        <v>513.58000000000004</v>
      </c>
      <c r="D592" s="15" t="s">
        <v>466</v>
      </c>
      <c r="E592" s="15" t="s">
        <v>515</v>
      </c>
      <c r="F592" s="15">
        <v>58</v>
      </c>
      <c r="G592" s="15">
        <v>58</v>
      </c>
    </row>
    <row r="593" spans="1:7" x14ac:dyDescent="0.25">
      <c r="A593" s="15" t="s">
        <v>734</v>
      </c>
      <c r="B593" s="15" t="s">
        <v>735</v>
      </c>
      <c r="C593" s="16">
        <v>232.5</v>
      </c>
      <c r="D593" s="15" t="s">
        <v>513</v>
      </c>
      <c r="E593" s="15" t="s">
        <v>514</v>
      </c>
      <c r="F593" s="15">
        <v>25</v>
      </c>
      <c r="G593" s="15">
        <v>25</v>
      </c>
    </row>
    <row r="594" spans="1:7" x14ac:dyDescent="0.25">
      <c r="A594" s="15" t="s">
        <v>734</v>
      </c>
      <c r="B594" s="15" t="s">
        <v>735</v>
      </c>
      <c r="C594" s="16">
        <v>256.7</v>
      </c>
      <c r="D594" s="15" t="s">
        <v>80</v>
      </c>
      <c r="E594" s="15" t="s">
        <v>746</v>
      </c>
      <c r="F594" s="15">
        <v>17</v>
      </c>
      <c r="G594" s="15">
        <v>17</v>
      </c>
    </row>
    <row r="595" spans="1:7" x14ac:dyDescent="0.25">
      <c r="A595" s="15" t="s">
        <v>734</v>
      </c>
      <c r="B595" s="15" t="s">
        <v>735</v>
      </c>
      <c r="C595" s="16">
        <v>108</v>
      </c>
      <c r="D595" s="15" t="s">
        <v>179</v>
      </c>
      <c r="E595" s="15" t="s">
        <v>523</v>
      </c>
      <c r="F595" s="15">
        <v>24</v>
      </c>
      <c r="G595" s="15">
        <v>24</v>
      </c>
    </row>
    <row r="596" spans="1:7" x14ac:dyDescent="0.25">
      <c r="A596" s="15" t="s">
        <v>734</v>
      </c>
      <c r="B596" s="15" t="s">
        <v>735</v>
      </c>
      <c r="C596" s="16">
        <v>40.799999999999997</v>
      </c>
      <c r="D596" s="15" t="s">
        <v>224</v>
      </c>
      <c r="E596" s="15" t="s">
        <v>404</v>
      </c>
      <c r="F596" s="15">
        <v>12</v>
      </c>
      <c r="G596" s="15">
        <v>12</v>
      </c>
    </row>
    <row r="597" spans="1:7" x14ac:dyDescent="0.25">
      <c r="A597" s="15" t="s">
        <v>734</v>
      </c>
      <c r="B597" s="15" t="s">
        <v>735</v>
      </c>
      <c r="C597" s="16">
        <v>442.9</v>
      </c>
      <c r="D597" s="15" t="s">
        <v>138</v>
      </c>
      <c r="E597" s="15" t="s">
        <v>405</v>
      </c>
      <c r="F597" s="15">
        <v>27</v>
      </c>
      <c r="G597" s="15">
        <v>27</v>
      </c>
    </row>
    <row r="598" spans="1:7" x14ac:dyDescent="0.25">
      <c r="A598" s="15" t="s">
        <v>734</v>
      </c>
      <c r="B598" s="15" t="s">
        <v>735</v>
      </c>
      <c r="C598" s="16">
        <v>65.8</v>
      </c>
      <c r="D598" s="15" t="s">
        <v>747</v>
      </c>
      <c r="E598" s="15" t="s">
        <v>442</v>
      </c>
      <c r="F598" s="15">
        <v>14</v>
      </c>
      <c r="G598" s="15">
        <v>14</v>
      </c>
    </row>
    <row r="599" spans="1:7" x14ac:dyDescent="0.25">
      <c r="A599" s="15" t="s">
        <v>734</v>
      </c>
      <c r="B599" s="15" t="s">
        <v>735</v>
      </c>
      <c r="C599" s="16">
        <v>29</v>
      </c>
      <c r="D599" s="15" t="s">
        <v>293</v>
      </c>
      <c r="E599" s="15" t="s">
        <v>406</v>
      </c>
      <c r="F599" s="15">
        <v>10</v>
      </c>
      <c r="G599" s="15">
        <v>10</v>
      </c>
    </row>
    <row r="600" spans="1:7" x14ac:dyDescent="0.25">
      <c r="A600" s="15" t="s">
        <v>734</v>
      </c>
      <c r="B600" s="15" t="s">
        <v>735</v>
      </c>
      <c r="C600" s="16">
        <v>37.5</v>
      </c>
      <c r="D600" s="15" t="s">
        <v>524</v>
      </c>
      <c r="E600" s="15" t="s">
        <v>525</v>
      </c>
      <c r="F600" s="15">
        <v>15</v>
      </c>
      <c r="G600" s="15">
        <v>15</v>
      </c>
    </row>
    <row r="601" spans="1:7" x14ac:dyDescent="0.25">
      <c r="A601" s="15" t="s">
        <v>734</v>
      </c>
      <c r="B601" s="15" t="s">
        <v>735</v>
      </c>
      <c r="C601" s="16">
        <v>105.7</v>
      </c>
      <c r="D601" s="15" t="s">
        <v>80</v>
      </c>
      <c r="E601" s="15" t="s">
        <v>748</v>
      </c>
      <c r="F601" s="15">
        <v>46</v>
      </c>
      <c r="G601" s="15">
        <v>46</v>
      </c>
    </row>
    <row r="602" spans="1:7" x14ac:dyDescent="0.25">
      <c r="A602" s="15" t="s">
        <v>734</v>
      </c>
      <c r="B602" s="15" t="s">
        <v>735</v>
      </c>
      <c r="C602" s="16">
        <v>161.1</v>
      </c>
      <c r="D602" s="15" t="s">
        <v>80</v>
      </c>
      <c r="E602" s="15" t="s">
        <v>341</v>
      </c>
      <c r="F602" s="15">
        <v>18</v>
      </c>
      <c r="G602" s="15">
        <v>18</v>
      </c>
    </row>
    <row r="603" spans="1:7" x14ac:dyDescent="0.25">
      <c r="A603" s="15" t="s">
        <v>734</v>
      </c>
      <c r="B603" s="15" t="s">
        <v>735</v>
      </c>
      <c r="C603" s="16">
        <v>76.7</v>
      </c>
      <c r="D603" s="15" t="s">
        <v>67</v>
      </c>
      <c r="E603" s="15" t="s">
        <v>749</v>
      </c>
      <c r="F603" s="15">
        <v>19</v>
      </c>
      <c r="G603" s="15">
        <v>19</v>
      </c>
    </row>
    <row r="604" spans="1:7" x14ac:dyDescent="0.25">
      <c r="A604" s="15" t="s">
        <v>734</v>
      </c>
      <c r="B604" s="15" t="s">
        <v>735</v>
      </c>
      <c r="C604" s="16">
        <v>53.4</v>
      </c>
      <c r="D604" s="15" t="s">
        <v>123</v>
      </c>
      <c r="E604" s="15" t="s">
        <v>750</v>
      </c>
      <c r="F604" s="15">
        <v>22</v>
      </c>
      <c r="G604" s="15">
        <v>22</v>
      </c>
    </row>
    <row r="605" spans="1:7" x14ac:dyDescent="0.25">
      <c r="A605" s="15" t="s">
        <v>734</v>
      </c>
      <c r="B605" s="15" t="s">
        <v>735</v>
      </c>
      <c r="C605" s="16">
        <v>213.6</v>
      </c>
      <c r="D605" s="15" t="s">
        <v>209</v>
      </c>
      <c r="E605" s="15" t="s">
        <v>751</v>
      </c>
      <c r="F605" s="15">
        <v>24</v>
      </c>
      <c r="G605" s="15">
        <v>24</v>
      </c>
    </row>
    <row r="606" spans="1:7" x14ac:dyDescent="0.25">
      <c r="A606" s="15" t="s">
        <v>734</v>
      </c>
      <c r="B606" s="15" t="s">
        <v>735</v>
      </c>
      <c r="C606" s="16">
        <v>1258</v>
      </c>
      <c r="D606" s="15" t="s">
        <v>67</v>
      </c>
      <c r="E606" s="15" t="s">
        <v>534</v>
      </c>
      <c r="F606" s="15">
        <v>32</v>
      </c>
      <c r="G606" s="15">
        <v>32</v>
      </c>
    </row>
    <row r="607" spans="1:7" x14ac:dyDescent="0.25">
      <c r="A607" s="15" t="s">
        <v>734</v>
      </c>
      <c r="B607" s="15" t="s">
        <v>735</v>
      </c>
      <c r="C607" s="16">
        <v>252</v>
      </c>
      <c r="D607" s="15" t="s">
        <v>228</v>
      </c>
      <c r="E607" s="15" t="s">
        <v>444</v>
      </c>
      <c r="F607" s="15">
        <v>21</v>
      </c>
      <c r="G607" s="15">
        <v>21</v>
      </c>
    </row>
    <row r="608" spans="1:7" x14ac:dyDescent="0.25">
      <c r="A608" s="15" t="s">
        <v>734</v>
      </c>
      <c r="B608" s="15" t="s">
        <v>735</v>
      </c>
      <c r="C608" s="16">
        <v>17.600000000000001</v>
      </c>
      <c r="D608" s="15" t="s">
        <v>412</v>
      </c>
      <c r="E608" s="15" t="s">
        <v>413</v>
      </c>
      <c r="F608" s="15">
        <v>8</v>
      </c>
      <c r="G608" s="15">
        <v>8</v>
      </c>
    </row>
    <row r="609" spans="1:7" x14ac:dyDescent="0.25">
      <c r="A609" s="15" t="s">
        <v>734</v>
      </c>
      <c r="B609" s="15" t="s">
        <v>735</v>
      </c>
      <c r="C609" s="16">
        <v>212.85</v>
      </c>
      <c r="D609" s="15" t="s">
        <v>295</v>
      </c>
      <c r="E609" s="15" t="s">
        <v>535</v>
      </c>
      <c r="F609" s="15">
        <v>48</v>
      </c>
      <c r="G609" s="15">
        <v>48</v>
      </c>
    </row>
    <row r="610" spans="1:7" x14ac:dyDescent="0.25">
      <c r="A610" s="15" t="s">
        <v>734</v>
      </c>
      <c r="B610" s="15" t="s">
        <v>735</v>
      </c>
      <c r="C610" s="16">
        <v>120.8</v>
      </c>
      <c r="D610" s="15" t="s">
        <v>132</v>
      </c>
      <c r="E610" s="15" t="s">
        <v>752</v>
      </c>
      <c r="F610" s="15">
        <v>8</v>
      </c>
      <c r="G610" s="15">
        <v>8</v>
      </c>
    </row>
    <row r="611" spans="1:7" x14ac:dyDescent="0.25">
      <c r="A611" s="15" t="s">
        <v>734</v>
      </c>
      <c r="B611" s="15" t="s">
        <v>735</v>
      </c>
      <c r="C611" s="16">
        <v>22.5</v>
      </c>
      <c r="D611" s="15" t="s">
        <v>67</v>
      </c>
      <c r="E611" s="15" t="s">
        <v>414</v>
      </c>
      <c r="F611" s="15">
        <v>15</v>
      </c>
      <c r="G611" s="15">
        <v>15</v>
      </c>
    </row>
    <row r="612" spans="1:7" x14ac:dyDescent="0.25">
      <c r="A612" s="15" t="s">
        <v>734</v>
      </c>
      <c r="B612" s="15" t="s">
        <v>735</v>
      </c>
      <c r="C612" s="16">
        <v>65.099999999999994</v>
      </c>
      <c r="D612" s="15" t="s">
        <v>539</v>
      </c>
      <c r="E612" s="15" t="s">
        <v>540</v>
      </c>
      <c r="F612" s="15">
        <v>7</v>
      </c>
      <c r="G612" s="15">
        <v>7</v>
      </c>
    </row>
    <row r="613" spans="1:7" x14ac:dyDescent="0.25">
      <c r="A613" s="15" t="s">
        <v>734</v>
      </c>
      <c r="B613" s="15" t="s">
        <v>735</v>
      </c>
      <c r="C613" s="16">
        <v>186.3</v>
      </c>
      <c r="D613" s="15" t="s">
        <v>80</v>
      </c>
      <c r="E613" s="15" t="s">
        <v>753</v>
      </c>
      <c r="F613" s="15">
        <v>23</v>
      </c>
      <c r="G613" s="15">
        <v>23</v>
      </c>
    </row>
    <row r="614" spans="1:7" x14ac:dyDescent="0.25">
      <c r="A614" s="15" t="s">
        <v>734</v>
      </c>
      <c r="B614" s="15" t="s">
        <v>735</v>
      </c>
      <c r="C614" s="16">
        <v>494.5</v>
      </c>
      <c r="D614" s="15" t="s">
        <v>754</v>
      </c>
      <c r="E614" s="15" t="s">
        <v>755</v>
      </c>
      <c r="F614" s="15">
        <v>37</v>
      </c>
      <c r="G614" s="15">
        <v>37</v>
      </c>
    </row>
    <row r="615" spans="1:7" x14ac:dyDescent="0.25">
      <c r="A615" s="15" t="s">
        <v>734</v>
      </c>
      <c r="B615" s="15" t="s">
        <v>735</v>
      </c>
      <c r="C615" s="16">
        <v>71.400000000000006</v>
      </c>
      <c r="D615" s="15" t="s">
        <v>265</v>
      </c>
      <c r="E615" s="15" t="s">
        <v>756</v>
      </c>
      <c r="F615" s="15">
        <v>17</v>
      </c>
      <c r="G615" s="15">
        <v>17</v>
      </c>
    </row>
    <row r="616" spans="1:7" x14ac:dyDescent="0.25">
      <c r="A616" s="15" t="s">
        <v>734</v>
      </c>
      <c r="B616" s="15" t="s">
        <v>735</v>
      </c>
      <c r="C616" s="16">
        <v>196.8</v>
      </c>
      <c r="D616" s="15" t="s">
        <v>757</v>
      </c>
      <c r="E616" s="15" t="s">
        <v>758</v>
      </c>
      <c r="F616" s="15">
        <v>12</v>
      </c>
      <c r="G616" s="15">
        <v>12</v>
      </c>
    </row>
    <row r="617" spans="1:7" x14ac:dyDescent="0.25">
      <c r="A617" s="15" t="s">
        <v>734</v>
      </c>
      <c r="B617" s="15" t="s">
        <v>735</v>
      </c>
      <c r="C617" s="16">
        <v>152.69999999999999</v>
      </c>
      <c r="D617" s="15" t="s">
        <v>80</v>
      </c>
      <c r="E617" s="15" t="s">
        <v>759</v>
      </c>
      <c r="F617" s="15">
        <v>27</v>
      </c>
      <c r="G617" s="15">
        <v>27</v>
      </c>
    </row>
    <row r="618" spans="1:7" x14ac:dyDescent="0.25">
      <c r="A618" s="15" t="s">
        <v>734</v>
      </c>
      <c r="B618" s="15" t="s">
        <v>735</v>
      </c>
      <c r="C618" s="16">
        <v>363.26</v>
      </c>
      <c r="D618" s="15" t="s">
        <v>549</v>
      </c>
      <c r="E618" s="15" t="s">
        <v>550</v>
      </c>
      <c r="F618" s="15">
        <v>34</v>
      </c>
      <c r="G618" s="15">
        <v>34</v>
      </c>
    </row>
    <row r="619" spans="1:7" x14ac:dyDescent="0.25">
      <c r="A619" s="15" t="s">
        <v>734</v>
      </c>
      <c r="B619" s="15" t="s">
        <v>735</v>
      </c>
      <c r="C619" s="16">
        <v>105.6</v>
      </c>
      <c r="D619" s="15" t="s">
        <v>760</v>
      </c>
      <c r="E619" s="15" t="s">
        <v>761</v>
      </c>
      <c r="F619" s="15">
        <v>22</v>
      </c>
      <c r="G619" s="15">
        <v>22</v>
      </c>
    </row>
    <row r="620" spans="1:7" x14ac:dyDescent="0.25">
      <c r="A620" s="15" t="s">
        <v>734</v>
      </c>
      <c r="B620" s="15" t="s">
        <v>735</v>
      </c>
      <c r="C620" s="16">
        <v>348.2</v>
      </c>
      <c r="D620" s="15" t="s">
        <v>453</v>
      </c>
      <c r="E620" s="15" t="s">
        <v>762</v>
      </c>
      <c r="F620" s="15">
        <v>58</v>
      </c>
      <c r="G620" s="15">
        <v>58</v>
      </c>
    </row>
    <row r="621" spans="1:7" x14ac:dyDescent="0.25">
      <c r="A621" s="15" t="s">
        <v>734</v>
      </c>
      <c r="B621" s="15" t="s">
        <v>735</v>
      </c>
      <c r="C621" s="16">
        <v>35.700000000000003</v>
      </c>
      <c r="D621" s="15" t="s">
        <v>763</v>
      </c>
      <c r="E621" s="15" t="s">
        <v>764</v>
      </c>
      <c r="F621" s="15">
        <v>21</v>
      </c>
      <c r="G621" s="15">
        <v>21</v>
      </c>
    </row>
    <row r="622" spans="1:7" x14ac:dyDescent="0.25">
      <c r="A622" s="15" t="s">
        <v>734</v>
      </c>
      <c r="B622" s="15" t="s">
        <v>735</v>
      </c>
      <c r="C622" s="16">
        <v>15.6</v>
      </c>
      <c r="D622" s="15" t="s">
        <v>726</v>
      </c>
      <c r="E622" s="15" t="s">
        <v>727</v>
      </c>
      <c r="F622" s="15">
        <v>12</v>
      </c>
      <c r="G622" s="15">
        <v>12</v>
      </c>
    </row>
    <row r="623" spans="1:7" x14ac:dyDescent="0.25">
      <c r="A623" s="15" t="s">
        <v>734</v>
      </c>
      <c r="B623" s="15" t="s">
        <v>735</v>
      </c>
      <c r="C623" s="16">
        <v>35</v>
      </c>
      <c r="D623" s="15" t="s">
        <v>765</v>
      </c>
      <c r="E623" s="15" t="s">
        <v>766</v>
      </c>
      <c r="F623" s="15">
        <v>35</v>
      </c>
      <c r="G623" s="15">
        <v>35</v>
      </c>
    </row>
    <row r="624" spans="1:7" x14ac:dyDescent="0.25">
      <c r="A624" s="15" t="s">
        <v>734</v>
      </c>
      <c r="B624" s="15" t="s">
        <v>735</v>
      </c>
      <c r="C624" s="16">
        <v>114.2</v>
      </c>
      <c r="D624" s="15" t="s">
        <v>80</v>
      </c>
      <c r="E624" s="15" t="s">
        <v>767</v>
      </c>
      <c r="F624" s="15">
        <v>55</v>
      </c>
      <c r="G624" s="15">
        <v>55</v>
      </c>
    </row>
    <row r="625" spans="1:7" x14ac:dyDescent="0.25">
      <c r="A625" s="15" t="s">
        <v>734</v>
      </c>
      <c r="B625" s="15" t="s">
        <v>735</v>
      </c>
      <c r="C625" s="16">
        <v>42</v>
      </c>
      <c r="D625" s="15" t="s">
        <v>427</v>
      </c>
      <c r="E625" s="15" t="s">
        <v>559</v>
      </c>
      <c r="F625" s="15">
        <v>10</v>
      </c>
      <c r="G625" s="15">
        <v>10</v>
      </c>
    </row>
    <row r="626" spans="1:7" x14ac:dyDescent="0.25">
      <c r="A626" s="15" t="s">
        <v>734</v>
      </c>
      <c r="B626" s="15" t="s">
        <v>735</v>
      </c>
      <c r="C626" s="16">
        <v>43.7</v>
      </c>
      <c r="D626" s="15" t="s">
        <v>90</v>
      </c>
      <c r="E626" s="15" t="s">
        <v>729</v>
      </c>
      <c r="F626" s="15">
        <v>19</v>
      </c>
      <c r="G626" s="15">
        <v>19</v>
      </c>
    </row>
    <row r="627" spans="1:7" x14ac:dyDescent="0.25">
      <c r="A627" s="15" t="s">
        <v>734</v>
      </c>
      <c r="B627" s="15" t="s">
        <v>735</v>
      </c>
      <c r="C627" s="16">
        <v>175.2</v>
      </c>
      <c r="D627" s="15" t="s">
        <v>179</v>
      </c>
      <c r="E627" s="15" t="s">
        <v>560</v>
      </c>
      <c r="F627" s="15">
        <v>12</v>
      </c>
      <c r="G627" s="15">
        <v>12</v>
      </c>
    </row>
    <row r="628" spans="1:7" x14ac:dyDescent="0.25">
      <c r="A628" s="15" t="s">
        <v>734</v>
      </c>
      <c r="B628" s="15" t="s">
        <v>735</v>
      </c>
      <c r="C628" s="16">
        <v>979.6</v>
      </c>
      <c r="D628" s="15" t="s">
        <v>424</v>
      </c>
      <c r="E628" s="15" t="s">
        <v>425</v>
      </c>
      <c r="F628" s="15">
        <v>77</v>
      </c>
      <c r="G628" s="15">
        <v>77</v>
      </c>
    </row>
    <row r="629" spans="1:7" x14ac:dyDescent="0.25">
      <c r="A629" s="15" t="s">
        <v>734</v>
      </c>
      <c r="B629" s="15" t="s">
        <v>735</v>
      </c>
      <c r="C629" s="16">
        <v>353.6</v>
      </c>
      <c r="D629" s="15" t="s">
        <v>561</v>
      </c>
      <c r="E629" s="15" t="s">
        <v>562</v>
      </c>
      <c r="F629" s="15">
        <v>34</v>
      </c>
      <c r="G629" s="15">
        <v>34</v>
      </c>
    </row>
    <row r="630" spans="1:7" x14ac:dyDescent="0.25">
      <c r="A630" s="15" t="s">
        <v>734</v>
      </c>
      <c r="B630" s="15" t="s">
        <v>735</v>
      </c>
      <c r="C630" s="16">
        <v>91.3</v>
      </c>
      <c r="D630" s="15" t="s">
        <v>194</v>
      </c>
      <c r="E630" s="15" t="s">
        <v>426</v>
      </c>
      <c r="F630" s="15">
        <v>41</v>
      </c>
      <c r="G630" s="15">
        <v>41</v>
      </c>
    </row>
    <row r="631" spans="1:7" x14ac:dyDescent="0.25">
      <c r="A631" s="15" t="s">
        <v>734</v>
      </c>
      <c r="B631" s="15" t="s">
        <v>735</v>
      </c>
      <c r="C631" s="16">
        <v>66</v>
      </c>
      <c r="D631" s="15" t="s">
        <v>768</v>
      </c>
      <c r="E631" s="15" t="s">
        <v>428</v>
      </c>
      <c r="F631" s="15">
        <v>11</v>
      </c>
      <c r="G631" s="15">
        <v>11</v>
      </c>
    </row>
    <row r="632" spans="1:7" x14ac:dyDescent="0.25">
      <c r="A632" s="15" t="s">
        <v>734</v>
      </c>
      <c r="B632" s="15" t="s">
        <v>735</v>
      </c>
      <c r="C632" s="16">
        <v>96.6</v>
      </c>
      <c r="D632" s="15" t="s">
        <v>67</v>
      </c>
      <c r="E632" s="15" t="s">
        <v>733</v>
      </c>
      <c r="F632" s="15">
        <v>23</v>
      </c>
      <c r="G632" s="15">
        <v>23</v>
      </c>
    </row>
    <row r="633" spans="1:7" x14ac:dyDescent="0.25">
      <c r="A633" s="15" t="s">
        <v>769</v>
      </c>
      <c r="B633" s="15" t="s">
        <v>770</v>
      </c>
      <c r="C633" s="16">
        <v>171.1</v>
      </c>
      <c r="D633" s="15" t="s">
        <v>407</v>
      </c>
      <c r="E633" s="15" t="s">
        <v>771</v>
      </c>
      <c r="F633" s="15">
        <v>17</v>
      </c>
      <c r="G633" s="15">
        <v>17</v>
      </c>
    </row>
    <row r="634" spans="1:7" x14ac:dyDescent="0.25">
      <c r="A634" s="15" t="s">
        <v>769</v>
      </c>
      <c r="B634" s="15" t="s">
        <v>770</v>
      </c>
      <c r="C634" s="16">
        <v>2.2000000000000002</v>
      </c>
      <c r="D634" s="15" t="s">
        <v>772</v>
      </c>
      <c r="E634" s="15" t="s">
        <v>773</v>
      </c>
      <c r="F634" s="15">
        <v>1</v>
      </c>
      <c r="G634" s="15">
        <v>1</v>
      </c>
    </row>
    <row r="635" spans="1:7" x14ac:dyDescent="0.25">
      <c r="A635" s="15" t="s">
        <v>769</v>
      </c>
      <c r="B635" s="15" t="s">
        <v>770</v>
      </c>
      <c r="C635" s="16">
        <v>509.5</v>
      </c>
      <c r="D635" s="15" t="s">
        <v>466</v>
      </c>
      <c r="E635" s="15" t="s">
        <v>467</v>
      </c>
      <c r="F635" s="15">
        <v>87</v>
      </c>
      <c r="G635" s="15">
        <v>87</v>
      </c>
    </row>
    <row r="636" spans="1:7" x14ac:dyDescent="0.25">
      <c r="A636" s="15" t="s">
        <v>769</v>
      </c>
      <c r="B636" s="15" t="s">
        <v>770</v>
      </c>
      <c r="C636" s="16">
        <v>209.65</v>
      </c>
      <c r="D636" s="15" t="s">
        <v>666</v>
      </c>
      <c r="E636" s="15" t="s">
        <v>774</v>
      </c>
      <c r="F636" s="15">
        <v>63</v>
      </c>
      <c r="G636" s="15">
        <v>63</v>
      </c>
    </row>
    <row r="637" spans="1:7" x14ac:dyDescent="0.25">
      <c r="A637" s="15" t="s">
        <v>769</v>
      </c>
      <c r="B637" s="15" t="s">
        <v>770</v>
      </c>
      <c r="C637" s="16">
        <v>0.7</v>
      </c>
      <c r="D637" s="15" t="s">
        <v>775</v>
      </c>
      <c r="E637" s="15" t="s">
        <v>776</v>
      </c>
      <c r="F637" s="15">
        <v>2</v>
      </c>
      <c r="G637" s="15">
        <v>2</v>
      </c>
    </row>
    <row r="638" spans="1:7" x14ac:dyDescent="0.25">
      <c r="A638" s="15" t="s">
        <v>769</v>
      </c>
      <c r="B638" s="15" t="s">
        <v>770</v>
      </c>
      <c r="C638" s="16">
        <v>252</v>
      </c>
      <c r="D638" s="15" t="s">
        <v>437</v>
      </c>
      <c r="E638" s="15" t="s">
        <v>588</v>
      </c>
      <c r="F638" s="15">
        <v>30</v>
      </c>
      <c r="G638" s="15">
        <v>30</v>
      </c>
    </row>
    <row r="639" spans="1:7" x14ac:dyDescent="0.25">
      <c r="A639" s="15" t="s">
        <v>769</v>
      </c>
      <c r="B639" s="15" t="s">
        <v>770</v>
      </c>
      <c r="C639" s="16">
        <v>0.9</v>
      </c>
      <c r="D639" s="15" t="s">
        <v>248</v>
      </c>
      <c r="E639" s="15" t="s">
        <v>473</v>
      </c>
      <c r="F639" s="15">
        <v>1</v>
      </c>
      <c r="G639" s="15">
        <v>1</v>
      </c>
    </row>
    <row r="640" spans="1:7" x14ac:dyDescent="0.25">
      <c r="A640" s="15" t="s">
        <v>769</v>
      </c>
      <c r="B640" s="15" t="s">
        <v>770</v>
      </c>
      <c r="C640" s="16">
        <v>14.4</v>
      </c>
      <c r="D640" s="15" t="s">
        <v>777</v>
      </c>
      <c r="E640" s="15" t="s">
        <v>778</v>
      </c>
      <c r="F640" s="15">
        <v>24</v>
      </c>
      <c r="G640" s="15">
        <v>24</v>
      </c>
    </row>
    <row r="641" spans="1:7" x14ac:dyDescent="0.25">
      <c r="A641" s="15" t="s">
        <v>769</v>
      </c>
      <c r="B641" s="15" t="s">
        <v>770</v>
      </c>
      <c r="C641" s="16">
        <v>30.25</v>
      </c>
      <c r="D641" s="15" t="s">
        <v>80</v>
      </c>
      <c r="E641" s="15" t="s">
        <v>322</v>
      </c>
      <c r="F641" s="15">
        <v>3</v>
      </c>
      <c r="G641" s="15">
        <v>3</v>
      </c>
    </row>
    <row r="642" spans="1:7" x14ac:dyDescent="0.25">
      <c r="A642" s="15" t="s">
        <v>769</v>
      </c>
      <c r="B642" s="15" t="s">
        <v>770</v>
      </c>
      <c r="C642" s="16">
        <v>1.45</v>
      </c>
      <c r="D642" s="15" t="s">
        <v>323</v>
      </c>
      <c r="E642" s="15" t="s">
        <v>324</v>
      </c>
      <c r="F642" s="15">
        <v>1</v>
      </c>
      <c r="G642" s="15">
        <v>1</v>
      </c>
    </row>
    <row r="643" spans="1:7" x14ac:dyDescent="0.25">
      <c r="A643" s="15" t="s">
        <v>769</v>
      </c>
      <c r="B643" s="15" t="s">
        <v>770</v>
      </c>
      <c r="C643" s="16">
        <v>1.7</v>
      </c>
      <c r="D643" s="15" t="s">
        <v>238</v>
      </c>
      <c r="E643" s="15" t="s">
        <v>779</v>
      </c>
      <c r="F643" s="15">
        <v>1</v>
      </c>
      <c r="G643" s="15">
        <v>1</v>
      </c>
    </row>
    <row r="644" spans="1:7" x14ac:dyDescent="0.25">
      <c r="A644" s="15" t="s">
        <v>769</v>
      </c>
      <c r="B644" s="15" t="s">
        <v>770</v>
      </c>
      <c r="C644" s="16">
        <v>370.75</v>
      </c>
      <c r="D644" s="15" t="s">
        <v>592</v>
      </c>
      <c r="E644" s="15" t="s">
        <v>593</v>
      </c>
      <c r="F644" s="15">
        <v>5</v>
      </c>
      <c r="G644" s="15">
        <v>5</v>
      </c>
    </row>
    <row r="645" spans="1:7" x14ac:dyDescent="0.25">
      <c r="A645" s="15" t="s">
        <v>769</v>
      </c>
      <c r="B645" s="15" t="s">
        <v>770</v>
      </c>
      <c r="C645" s="16">
        <v>227.5</v>
      </c>
      <c r="D645" s="15" t="s">
        <v>780</v>
      </c>
      <c r="E645" s="15" t="s">
        <v>781</v>
      </c>
      <c r="F645" s="15">
        <v>26</v>
      </c>
      <c r="G645" s="15">
        <v>26</v>
      </c>
    </row>
    <row r="646" spans="1:7" x14ac:dyDescent="0.25">
      <c r="A646" s="15" t="s">
        <v>769</v>
      </c>
      <c r="B646" s="15" t="s">
        <v>770</v>
      </c>
      <c r="C646" s="16">
        <v>149</v>
      </c>
      <c r="D646" s="15" t="s">
        <v>594</v>
      </c>
      <c r="E646" s="15" t="s">
        <v>595</v>
      </c>
      <c r="F646" s="15">
        <v>20</v>
      </c>
      <c r="G646" s="15">
        <v>20</v>
      </c>
    </row>
    <row r="647" spans="1:7" x14ac:dyDescent="0.25">
      <c r="A647" s="15" t="s">
        <v>769</v>
      </c>
      <c r="B647" s="15" t="s">
        <v>770</v>
      </c>
      <c r="C647" s="16">
        <v>2.5</v>
      </c>
      <c r="D647" s="15" t="s">
        <v>333</v>
      </c>
      <c r="E647" s="15" t="s">
        <v>334</v>
      </c>
      <c r="F647" s="15">
        <v>2</v>
      </c>
      <c r="G647" s="15">
        <v>2</v>
      </c>
    </row>
    <row r="648" spans="1:7" x14ac:dyDescent="0.25">
      <c r="A648" s="15" t="s">
        <v>769</v>
      </c>
      <c r="B648" s="15" t="s">
        <v>770</v>
      </c>
      <c r="C648" s="16">
        <v>731.75</v>
      </c>
      <c r="D648" s="15" t="s">
        <v>313</v>
      </c>
      <c r="E648" s="15" t="s">
        <v>782</v>
      </c>
      <c r="F648" s="15">
        <v>20</v>
      </c>
      <c r="G648" s="15">
        <v>20</v>
      </c>
    </row>
    <row r="649" spans="1:7" x14ac:dyDescent="0.25">
      <c r="A649" s="15" t="s">
        <v>769</v>
      </c>
      <c r="B649" s="15" t="s">
        <v>770</v>
      </c>
      <c r="C649" s="16">
        <v>186.6</v>
      </c>
      <c r="D649" s="15" t="s">
        <v>80</v>
      </c>
      <c r="E649" s="15" t="s">
        <v>337</v>
      </c>
      <c r="F649" s="15">
        <v>3</v>
      </c>
      <c r="G649" s="15">
        <v>3</v>
      </c>
    </row>
    <row r="650" spans="1:7" x14ac:dyDescent="0.25">
      <c r="A650" s="15" t="s">
        <v>769</v>
      </c>
      <c r="B650" s="15" t="s">
        <v>770</v>
      </c>
      <c r="C650" s="16">
        <v>137.69999999999999</v>
      </c>
      <c r="D650" s="15" t="s">
        <v>478</v>
      </c>
      <c r="E650" s="15" t="s">
        <v>479</v>
      </c>
      <c r="F650" s="15">
        <v>18</v>
      </c>
      <c r="G650" s="15">
        <v>18</v>
      </c>
    </row>
    <row r="651" spans="1:7" x14ac:dyDescent="0.25">
      <c r="A651" s="15" t="s">
        <v>769</v>
      </c>
      <c r="B651" s="15" t="s">
        <v>770</v>
      </c>
      <c r="C651" s="16">
        <v>110.6</v>
      </c>
      <c r="D651" s="15" t="s">
        <v>651</v>
      </c>
      <c r="E651" s="15" t="s">
        <v>652</v>
      </c>
      <c r="F651" s="15">
        <v>79</v>
      </c>
      <c r="G651" s="15">
        <v>79</v>
      </c>
    </row>
    <row r="652" spans="1:7" x14ac:dyDescent="0.25">
      <c r="A652" s="15" t="s">
        <v>769</v>
      </c>
      <c r="B652" s="15" t="s">
        <v>770</v>
      </c>
      <c r="C652" s="16">
        <v>137.69999999999999</v>
      </c>
      <c r="D652" s="15" t="s">
        <v>80</v>
      </c>
      <c r="E652" s="15" t="s">
        <v>341</v>
      </c>
      <c r="F652" s="15">
        <v>26</v>
      </c>
      <c r="G652" s="15">
        <v>26</v>
      </c>
    </row>
    <row r="653" spans="1:7" x14ac:dyDescent="0.25">
      <c r="A653" s="15" t="s">
        <v>769</v>
      </c>
      <c r="B653" s="15" t="s">
        <v>770</v>
      </c>
      <c r="C653" s="16">
        <v>570.70000000000005</v>
      </c>
      <c r="D653" s="15" t="s">
        <v>602</v>
      </c>
      <c r="E653" s="15" t="s">
        <v>603</v>
      </c>
      <c r="F653" s="15">
        <v>27</v>
      </c>
      <c r="G653" s="15">
        <v>27</v>
      </c>
    </row>
    <row r="654" spans="1:7" x14ac:dyDescent="0.25">
      <c r="A654" s="15" t="s">
        <v>769</v>
      </c>
      <c r="B654" s="15" t="s">
        <v>770</v>
      </c>
      <c r="C654" s="16">
        <v>4.9000000000000004</v>
      </c>
      <c r="D654" s="15" t="s">
        <v>346</v>
      </c>
      <c r="E654" s="15" t="s">
        <v>347</v>
      </c>
      <c r="F654" s="15">
        <v>1</v>
      </c>
      <c r="G654" s="15">
        <v>1</v>
      </c>
    </row>
    <row r="655" spans="1:7" x14ac:dyDescent="0.25">
      <c r="A655" s="15" t="s">
        <v>769</v>
      </c>
      <c r="B655" s="15" t="s">
        <v>770</v>
      </c>
      <c r="C655" s="16">
        <v>310.05</v>
      </c>
      <c r="D655" s="15" t="s">
        <v>605</v>
      </c>
      <c r="E655" s="15" t="s">
        <v>606</v>
      </c>
      <c r="F655" s="15">
        <v>13</v>
      </c>
      <c r="G655" s="15">
        <v>13</v>
      </c>
    </row>
    <row r="656" spans="1:7" x14ac:dyDescent="0.25">
      <c r="A656" s="15" t="s">
        <v>769</v>
      </c>
      <c r="B656" s="15" t="s">
        <v>770</v>
      </c>
      <c r="C656" s="16">
        <v>1.6</v>
      </c>
      <c r="D656" s="15" t="s">
        <v>351</v>
      </c>
      <c r="E656" s="15" t="s">
        <v>352</v>
      </c>
      <c r="F656" s="15">
        <v>1</v>
      </c>
      <c r="G656" s="15">
        <v>1</v>
      </c>
    </row>
    <row r="657" spans="1:7" x14ac:dyDescent="0.25">
      <c r="A657" s="15" t="s">
        <v>769</v>
      </c>
      <c r="B657" s="15" t="s">
        <v>770</v>
      </c>
      <c r="C657" s="16">
        <v>133.5</v>
      </c>
      <c r="D657" s="15" t="s">
        <v>455</v>
      </c>
      <c r="E657" s="15" t="s">
        <v>607</v>
      </c>
      <c r="F657" s="15">
        <v>3</v>
      </c>
      <c r="G657" s="15">
        <v>3</v>
      </c>
    </row>
    <row r="658" spans="1:7" x14ac:dyDescent="0.25">
      <c r="A658" s="15" t="s">
        <v>769</v>
      </c>
      <c r="B658" s="15" t="s">
        <v>770</v>
      </c>
      <c r="C658" s="16">
        <v>124.55</v>
      </c>
      <c r="D658" s="15" t="s">
        <v>674</v>
      </c>
      <c r="E658" s="15" t="s">
        <v>675</v>
      </c>
      <c r="F658" s="15">
        <v>29</v>
      </c>
      <c r="G658" s="15">
        <v>29</v>
      </c>
    </row>
    <row r="659" spans="1:7" x14ac:dyDescent="0.25">
      <c r="A659" s="15" t="s">
        <v>769</v>
      </c>
      <c r="B659" s="15" t="s">
        <v>770</v>
      </c>
      <c r="C659" s="16">
        <v>20.399999999999999</v>
      </c>
      <c r="D659" s="15" t="s">
        <v>80</v>
      </c>
      <c r="E659" s="15" t="s">
        <v>676</v>
      </c>
      <c r="F659" s="15">
        <v>2</v>
      </c>
      <c r="G659" s="15">
        <v>2</v>
      </c>
    </row>
    <row r="660" spans="1:7" x14ac:dyDescent="0.25">
      <c r="A660" s="15" t="s">
        <v>769</v>
      </c>
      <c r="B660" s="15" t="s">
        <v>770</v>
      </c>
      <c r="C660" s="16">
        <v>359.7</v>
      </c>
      <c r="D660" s="15" t="s">
        <v>614</v>
      </c>
      <c r="E660" s="15" t="s">
        <v>615</v>
      </c>
      <c r="F660" s="15">
        <v>109</v>
      </c>
      <c r="G660" s="15">
        <v>109</v>
      </c>
    </row>
    <row r="661" spans="1:7" x14ac:dyDescent="0.25">
      <c r="A661" s="15" t="s">
        <v>769</v>
      </c>
      <c r="B661" s="15" t="s">
        <v>770</v>
      </c>
      <c r="C661" s="16">
        <v>1.8</v>
      </c>
      <c r="D661" s="15" t="s">
        <v>355</v>
      </c>
      <c r="E661" s="15" t="s">
        <v>356</v>
      </c>
      <c r="F661" s="15">
        <v>1</v>
      </c>
      <c r="G661" s="15">
        <v>1</v>
      </c>
    </row>
    <row r="662" spans="1:7" x14ac:dyDescent="0.25">
      <c r="A662" s="15" t="s">
        <v>769</v>
      </c>
      <c r="B662" s="15" t="s">
        <v>770</v>
      </c>
      <c r="C662" s="16">
        <v>1.4</v>
      </c>
      <c r="D662" s="15" t="s">
        <v>232</v>
      </c>
      <c r="E662" s="15" t="s">
        <v>783</v>
      </c>
      <c r="F662" s="15">
        <v>1</v>
      </c>
      <c r="G662" s="15">
        <v>1</v>
      </c>
    </row>
    <row r="663" spans="1:7" x14ac:dyDescent="0.25">
      <c r="A663" s="15" t="s">
        <v>769</v>
      </c>
      <c r="B663" s="15" t="s">
        <v>770</v>
      </c>
      <c r="C663" s="16">
        <v>24.45</v>
      </c>
      <c r="D663" s="15" t="s">
        <v>90</v>
      </c>
      <c r="E663" s="15" t="s">
        <v>784</v>
      </c>
      <c r="F663" s="15">
        <v>4</v>
      </c>
      <c r="G663" s="15">
        <v>4</v>
      </c>
    </row>
    <row r="664" spans="1:7" x14ac:dyDescent="0.25">
      <c r="A664" s="15" t="s">
        <v>769</v>
      </c>
      <c r="B664" s="15" t="s">
        <v>770</v>
      </c>
      <c r="C664" s="16">
        <v>6.6</v>
      </c>
      <c r="D664" s="15" t="s">
        <v>119</v>
      </c>
      <c r="E664" s="15" t="s">
        <v>120</v>
      </c>
      <c r="F664" s="15">
        <v>1</v>
      </c>
      <c r="G664" s="15">
        <v>1</v>
      </c>
    </row>
    <row r="665" spans="1:7" x14ac:dyDescent="0.25">
      <c r="A665" s="15" t="s">
        <v>769</v>
      </c>
      <c r="B665" s="15" t="s">
        <v>770</v>
      </c>
      <c r="C665" s="16">
        <v>288.45</v>
      </c>
      <c r="D665" s="15" t="s">
        <v>364</v>
      </c>
      <c r="E665" s="15" t="s">
        <v>365</v>
      </c>
      <c r="F665" s="15">
        <v>9</v>
      </c>
      <c r="G665" s="15">
        <v>9</v>
      </c>
    </row>
    <row r="666" spans="1:7" x14ac:dyDescent="0.25">
      <c r="A666" s="15" t="s">
        <v>769</v>
      </c>
      <c r="B666" s="15" t="s">
        <v>770</v>
      </c>
      <c r="C666" s="16">
        <v>192</v>
      </c>
      <c r="D666" s="15" t="s">
        <v>176</v>
      </c>
      <c r="E666" s="15" t="s">
        <v>785</v>
      </c>
      <c r="F666" s="15">
        <v>96</v>
      </c>
      <c r="G666" s="15">
        <v>96</v>
      </c>
    </row>
    <row r="667" spans="1:7" x14ac:dyDescent="0.25">
      <c r="A667" s="15" t="s">
        <v>769</v>
      </c>
      <c r="B667" s="15" t="s">
        <v>770</v>
      </c>
      <c r="C667" s="16">
        <v>90.3</v>
      </c>
      <c r="D667" s="15" t="s">
        <v>293</v>
      </c>
      <c r="E667" s="15" t="s">
        <v>621</v>
      </c>
      <c r="F667" s="15">
        <v>21</v>
      </c>
      <c r="G667" s="15">
        <v>21</v>
      </c>
    </row>
    <row r="668" spans="1:7" x14ac:dyDescent="0.25">
      <c r="A668" s="15" t="s">
        <v>769</v>
      </c>
      <c r="B668" s="15" t="s">
        <v>770</v>
      </c>
      <c r="C668" s="16">
        <v>10.45</v>
      </c>
      <c r="D668" s="15" t="s">
        <v>86</v>
      </c>
      <c r="E668" s="15" t="s">
        <v>677</v>
      </c>
      <c r="F668" s="15">
        <v>7</v>
      </c>
      <c r="G668" s="15">
        <v>7</v>
      </c>
    </row>
    <row r="669" spans="1:7" x14ac:dyDescent="0.25">
      <c r="A669" s="15" t="s">
        <v>769</v>
      </c>
      <c r="B669" s="15" t="s">
        <v>770</v>
      </c>
      <c r="C669" s="16">
        <v>188</v>
      </c>
      <c r="D669" s="15" t="s">
        <v>623</v>
      </c>
      <c r="E669" s="15" t="s">
        <v>624</v>
      </c>
      <c r="F669" s="15">
        <v>10</v>
      </c>
      <c r="G669" s="15">
        <v>10</v>
      </c>
    </row>
    <row r="670" spans="1:7" x14ac:dyDescent="0.25">
      <c r="A670" s="15" t="s">
        <v>769</v>
      </c>
      <c r="B670" s="15" t="s">
        <v>770</v>
      </c>
      <c r="C670" s="16">
        <v>380.4</v>
      </c>
      <c r="D670" s="15" t="s">
        <v>407</v>
      </c>
      <c r="E670" s="15" t="s">
        <v>625</v>
      </c>
      <c r="F670" s="15">
        <v>27</v>
      </c>
      <c r="G670" s="15">
        <v>27</v>
      </c>
    </row>
    <row r="671" spans="1:7" x14ac:dyDescent="0.25">
      <c r="A671" s="15" t="s">
        <v>769</v>
      </c>
      <c r="B671" s="15" t="s">
        <v>770</v>
      </c>
      <c r="C671" s="16">
        <v>3444.85</v>
      </c>
      <c r="D671" s="15" t="s">
        <v>289</v>
      </c>
      <c r="E671" s="15" t="s">
        <v>630</v>
      </c>
      <c r="F671" s="15">
        <v>179</v>
      </c>
      <c r="G671" s="15">
        <v>179</v>
      </c>
    </row>
    <row r="672" spans="1:7" x14ac:dyDescent="0.25">
      <c r="A672" s="15" t="s">
        <v>769</v>
      </c>
      <c r="B672" s="15" t="s">
        <v>770</v>
      </c>
      <c r="C672" s="16">
        <v>30.45</v>
      </c>
      <c r="D672" s="15" t="s">
        <v>179</v>
      </c>
      <c r="E672" s="15" t="s">
        <v>663</v>
      </c>
      <c r="F672" s="15">
        <v>7</v>
      </c>
      <c r="G672" s="15">
        <v>7</v>
      </c>
    </row>
    <row r="673" spans="1:7" x14ac:dyDescent="0.25">
      <c r="A673" s="15" t="s">
        <v>769</v>
      </c>
      <c r="B673" s="15" t="s">
        <v>770</v>
      </c>
      <c r="C673" s="16">
        <v>11.25</v>
      </c>
      <c r="D673" s="15" t="s">
        <v>786</v>
      </c>
      <c r="E673" s="15" t="s">
        <v>787</v>
      </c>
      <c r="F673" s="15">
        <v>3</v>
      </c>
      <c r="G673" s="15">
        <v>3</v>
      </c>
    </row>
    <row r="674" spans="1:7" x14ac:dyDescent="0.25">
      <c r="A674" s="15" t="s">
        <v>769</v>
      </c>
      <c r="B674" s="15" t="s">
        <v>770</v>
      </c>
      <c r="C674" s="16">
        <v>1.65</v>
      </c>
      <c r="D674" s="15" t="s">
        <v>678</v>
      </c>
      <c r="E674" s="15" t="s">
        <v>679</v>
      </c>
      <c r="F674" s="15">
        <v>2</v>
      </c>
      <c r="G674" s="15">
        <v>2</v>
      </c>
    </row>
    <row r="675" spans="1:7" x14ac:dyDescent="0.25">
      <c r="A675" s="15" t="s">
        <v>769</v>
      </c>
      <c r="B675" s="15" t="s">
        <v>770</v>
      </c>
      <c r="C675" s="16">
        <v>114.4</v>
      </c>
      <c r="D675" s="15" t="s">
        <v>741</v>
      </c>
      <c r="E675" s="15" t="s">
        <v>788</v>
      </c>
      <c r="F675" s="15">
        <v>22</v>
      </c>
      <c r="G675" s="15">
        <v>22</v>
      </c>
    </row>
    <row r="676" spans="1:7" x14ac:dyDescent="0.25">
      <c r="A676" s="15" t="s">
        <v>769</v>
      </c>
      <c r="B676" s="15" t="s">
        <v>770</v>
      </c>
      <c r="C676" s="16">
        <v>161.05000000000001</v>
      </c>
      <c r="D676" s="15" t="s">
        <v>132</v>
      </c>
      <c r="E676" s="15" t="s">
        <v>633</v>
      </c>
      <c r="F676" s="15">
        <v>12</v>
      </c>
      <c r="G676" s="15">
        <v>12</v>
      </c>
    </row>
    <row r="677" spans="1:7" x14ac:dyDescent="0.25">
      <c r="A677" s="15" t="s">
        <v>769</v>
      </c>
      <c r="B677" s="15" t="s">
        <v>770</v>
      </c>
      <c r="C677" s="16">
        <v>5.5</v>
      </c>
      <c r="D677" s="15" t="s">
        <v>435</v>
      </c>
      <c r="E677" s="15" t="s">
        <v>489</v>
      </c>
      <c r="F677" s="15">
        <v>2</v>
      </c>
      <c r="G677" s="15">
        <v>2</v>
      </c>
    </row>
    <row r="678" spans="1:7" x14ac:dyDescent="0.25">
      <c r="A678" s="15" t="s">
        <v>769</v>
      </c>
      <c r="B678" s="15" t="s">
        <v>770</v>
      </c>
      <c r="C678" s="16">
        <v>3.45</v>
      </c>
      <c r="D678" s="15" t="s">
        <v>80</v>
      </c>
      <c r="E678" s="15" t="s">
        <v>789</v>
      </c>
      <c r="F678" s="15">
        <v>1</v>
      </c>
      <c r="G678" s="15">
        <v>1</v>
      </c>
    </row>
    <row r="679" spans="1:7" x14ac:dyDescent="0.25">
      <c r="A679" s="15" t="s">
        <v>769</v>
      </c>
      <c r="B679" s="15" t="s">
        <v>770</v>
      </c>
      <c r="C679" s="16">
        <v>757.3</v>
      </c>
      <c r="D679" s="15" t="s">
        <v>80</v>
      </c>
      <c r="E679" s="15" t="s">
        <v>790</v>
      </c>
      <c r="F679" s="15">
        <v>127</v>
      </c>
      <c r="G679" s="15">
        <v>127</v>
      </c>
    </row>
    <row r="680" spans="1:7" x14ac:dyDescent="0.25">
      <c r="A680" s="15" t="s">
        <v>769</v>
      </c>
      <c r="B680" s="15" t="s">
        <v>770</v>
      </c>
      <c r="C680" s="16">
        <v>5.45</v>
      </c>
      <c r="D680" s="15" t="s">
        <v>80</v>
      </c>
      <c r="E680" s="15" t="s">
        <v>637</v>
      </c>
      <c r="F680" s="15">
        <v>2</v>
      </c>
      <c r="G680" s="15">
        <v>2</v>
      </c>
    </row>
    <row r="681" spans="1:7" x14ac:dyDescent="0.25">
      <c r="A681" s="15" t="s">
        <v>769</v>
      </c>
      <c r="B681" s="15" t="s">
        <v>770</v>
      </c>
      <c r="C681" s="16">
        <v>76.8</v>
      </c>
      <c r="D681" s="15" t="s">
        <v>638</v>
      </c>
      <c r="E681" s="15" t="s">
        <v>639</v>
      </c>
      <c r="F681" s="15">
        <v>8</v>
      </c>
      <c r="G681" s="15">
        <v>8</v>
      </c>
    </row>
    <row r="682" spans="1:7" x14ac:dyDescent="0.25">
      <c r="A682" s="15" t="s">
        <v>769</v>
      </c>
      <c r="B682" s="15" t="s">
        <v>770</v>
      </c>
      <c r="C682" s="16">
        <v>338.4</v>
      </c>
      <c r="D682" s="15" t="s">
        <v>245</v>
      </c>
      <c r="E682" s="15" t="s">
        <v>490</v>
      </c>
      <c r="F682" s="15">
        <v>72</v>
      </c>
      <c r="G682" s="15">
        <v>72</v>
      </c>
    </row>
    <row r="683" spans="1:7" x14ac:dyDescent="0.25">
      <c r="A683" s="15" t="s">
        <v>769</v>
      </c>
      <c r="B683" s="15" t="s">
        <v>770</v>
      </c>
      <c r="C683" s="16">
        <v>3.05</v>
      </c>
      <c r="D683" s="15" t="s">
        <v>381</v>
      </c>
      <c r="E683" s="15" t="s">
        <v>382</v>
      </c>
      <c r="F683" s="15">
        <v>3</v>
      </c>
      <c r="G683" s="15">
        <v>3</v>
      </c>
    </row>
    <row r="684" spans="1:7" x14ac:dyDescent="0.25">
      <c r="A684" s="15" t="s">
        <v>769</v>
      </c>
      <c r="B684" s="15" t="s">
        <v>770</v>
      </c>
      <c r="C684" s="16">
        <v>137.25</v>
      </c>
      <c r="D684" s="15" t="s">
        <v>80</v>
      </c>
      <c r="E684" s="15" t="s">
        <v>791</v>
      </c>
      <c r="F684" s="15">
        <v>15</v>
      </c>
      <c r="G684" s="15">
        <v>15</v>
      </c>
    </row>
    <row r="685" spans="1:7" x14ac:dyDescent="0.25">
      <c r="A685" s="15" t="s">
        <v>769</v>
      </c>
      <c r="B685" s="15" t="s">
        <v>770</v>
      </c>
      <c r="C685" s="16">
        <v>1367.1</v>
      </c>
      <c r="D685" s="15" t="s">
        <v>132</v>
      </c>
      <c r="E685" s="15" t="s">
        <v>387</v>
      </c>
      <c r="F685" s="15">
        <v>93</v>
      </c>
      <c r="G685" s="15">
        <v>93</v>
      </c>
    </row>
    <row r="686" spans="1:7" x14ac:dyDescent="0.25">
      <c r="A686" s="15" t="s">
        <v>769</v>
      </c>
      <c r="B686" s="15" t="s">
        <v>770</v>
      </c>
      <c r="C686" s="16">
        <v>1144.6600000000001</v>
      </c>
      <c r="D686" s="15" t="s">
        <v>123</v>
      </c>
      <c r="E686" s="15" t="s">
        <v>388</v>
      </c>
      <c r="F686" s="15">
        <v>151</v>
      </c>
      <c r="G686" s="15">
        <v>151</v>
      </c>
    </row>
    <row r="687" spans="1:7" x14ac:dyDescent="0.25">
      <c r="A687" s="15" t="s">
        <v>769</v>
      </c>
      <c r="B687" s="15" t="s">
        <v>770</v>
      </c>
      <c r="C687" s="16">
        <v>2.15</v>
      </c>
      <c r="D687" s="15" t="s">
        <v>194</v>
      </c>
      <c r="E687" s="15" t="s">
        <v>426</v>
      </c>
      <c r="F687" s="15">
        <v>1</v>
      </c>
      <c r="G687" s="15">
        <v>1</v>
      </c>
    </row>
    <row r="688" spans="1:7" x14ac:dyDescent="0.25">
      <c r="A688" s="15" t="s">
        <v>769</v>
      </c>
      <c r="B688" s="15" t="s">
        <v>770</v>
      </c>
      <c r="C688" s="16">
        <v>1.9</v>
      </c>
      <c r="D688" s="15" t="s">
        <v>391</v>
      </c>
      <c r="E688" s="15" t="s">
        <v>392</v>
      </c>
      <c r="F688" s="15">
        <v>2</v>
      </c>
      <c r="G688" s="15">
        <v>2</v>
      </c>
    </row>
    <row r="689" spans="1:7" x14ac:dyDescent="0.25">
      <c r="A689" s="15" t="s">
        <v>769</v>
      </c>
      <c r="B689" s="15" t="s">
        <v>770</v>
      </c>
      <c r="C689" s="16">
        <v>2.15</v>
      </c>
      <c r="D689" s="15" t="s">
        <v>393</v>
      </c>
      <c r="E689" s="15" t="s">
        <v>394</v>
      </c>
      <c r="F689" s="15">
        <v>6</v>
      </c>
      <c r="G689" s="15">
        <v>6</v>
      </c>
    </row>
    <row r="690" spans="1:7" x14ac:dyDescent="0.25">
      <c r="A690" s="15" t="s">
        <v>792</v>
      </c>
      <c r="B690" s="15" t="s">
        <v>793</v>
      </c>
      <c r="C690" s="16">
        <v>30</v>
      </c>
      <c r="D690" s="15" t="s">
        <v>80</v>
      </c>
      <c r="E690" s="15" t="s">
        <v>794</v>
      </c>
      <c r="F690" s="15">
        <v>12</v>
      </c>
      <c r="G690" s="15">
        <v>12</v>
      </c>
    </row>
    <row r="691" spans="1:7" x14ac:dyDescent="0.25">
      <c r="A691" s="15" t="s">
        <v>792</v>
      </c>
      <c r="B691" s="15" t="s">
        <v>793</v>
      </c>
      <c r="C691" s="16">
        <v>2119.5</v>
      </c>
      <c r="D691" s="15" t="s">
        <v>226</v>
      </c>
      <c r="E691" s="15" t="s">
        <v>398</v>
      </c>
      <c r="F691" s="15">
        <v>18</v>
      </c>
      <c r="G691" s="15">
        <v>18</v>
      </c>
    </row>
    <row r="692" spans="1:7" x14ac:dyDescent="0.25">
      <c r="A692" s="15" t="s">
        <v>792</v>
      </c>
      <c r="B692" s="15" t="s">
        <v>793</v>
      </c>
      <c r="C692" s="16">
        <v>66.75</v>
      </c>
      <c r="D692" s="15" t="s">
        <v>187</v>
      </c>
      <c r="E692" s="15" t="s">
        <v>495</v>
      </c>
      <c r="F692" s="15">
        <v>15</v>
      </c>
      <c r="G692" s="15">
        <v>15</v>
      </c>
    </row>
    <row r="693" spans="1:7" x14ac:dyDescent="0.25">
      <c r="A693" s="15" t="s">
        <v>792</v>
      </c>
      <c r="B693" s="15" t="s">
        <v>793</v>
      </c>
      <c r="C693" s="16">
        <v>575.1</v>
      </c>
      <c r="D693" s="15" t="s">
        <v>497</v>
      </c>
      <c r="E693" s="15" t="s">
        <v>498</v>
      </c>
      <c r="F693" s="15">
        <v>27</v>
      </c>
      <c r="G693" s="15">
        <v>27</v>
      </c>
    </row>
    <row r="694" spans="1:7" x14ac:dyDescent="0.25">
      <c r="A694" s="15" t="s">
        <v>792</v>
      </c>
      <c r="B694" s="15" t="s">
        <v>793</v>
      </c>
      <c r="C694" s="16">
        <v>82.3</v>
      </c>
      <c r="D694" s="15" t="s">
        <v>431</v>
      </c>
      <c r="E694" s="15" t="s">
        <v>432</v>
      </c>
      <c r="F694" s="15">
        <v>19</v>
      </c>
      <c r="G694" s="15">
        <v>19</v>
      </c>
    </row>
    <row r="695" spans="1:7" x14ac:dyDescent="0.25">
      <c r="A695" s="15" t="s">
        <v>792</v>
      </c>
      <c r="B695" s="15" t="s">
        <v>793</v>
      </c>
      <c r="C695" s="16">
        <v>159.30000000000001</v>
      </c>
      <c r="D695" s="15" t="s">
        <v>80</v>
      </c>
      <c r="E695" s="15" t="s">
        <v>795</v>
      </c>
      <c r="F695" s="15">
        <v>17</v>
      </c>
      <c r="G695" s="15">
        <v>17</v>
      </c>
    </row>
    <row r="696" spans="1:7" x14ac:dyDescent="0.25">
      <c r="A696" s="15" t="s">
        <v>792</v>
      </c>
      <c r="B696" s="15" t="s">
        <v>793</v>
      </c>
      <c r="C696" s="16">
        <v>64.7</v>
      </c>
      <c r="D696" s="15" t="s">
        <v>220</v>
      </c>
      <c r="E696" s="15" t="s">
        <v>500</v>
      </c>
      <c r="F696" s="15">
        <v>37</v>
      </c>
      <c r="G696" s="15">
        <v>37</v>
      </c>
    </row>
    <row r="697" spans="1:7" x14ac:dyDescent="0.25">
      <c r="A697" s="15" t="s">
        <v>792</v>
      </c>
      <c r="B697" s="15" t="s">
        <v>793</v>
      </c>
      <c r="C697" s="16">
        <v>33.6</v>
      </c>
      <c r="D697" s="15" t="s">
        <v>529</v>
      </c>
      <c r="E697" s="15" t="s">
        <v>738</v>
      </c>
      <c r="F697" s="15">
        <v>12</v>
      </c>
      <c r="G697" s="15">
        <v>12</v>
      </c>
    </row>
    <row r="698" spans="1:7" x14ac:dyDescent="0.25">
      <c r="A698" s="15" t="s">
        <v>792</v>
      </c>
      <c r="B698" s="15" t="s">
        <v>793</v>
      </c>
      <c r="C698" s="16">
        <v>45.1</v>
      </c>
      <c r="D698" s="15" t="s">
        <v>80</v>
      </c>
      <c r="E698" s="15" t="s">
        <v>502</v>
      </c>
      <c r="F698" s="15">
        <v>11</v>
      </c>
      <c r="G698" s="15">
        <v>11</v>
      </c>
    </row>
    <row r="699" spans="1:7" x14ac:dyDescent="0.25">
      <c r="A699" s="15" t="s">
        <v>792</v>
      </c>
      <c r="B699" s="15" t="s">
        <v>793</v>
      </c>
      <c r="C699" s="16">
        <v>18.64</v>
      </c>
      <c r="D699" s="15" t="s">
        <v>505</v>
      </c>
      <c r="E699" s="15" t="s">
        <v>506</v>
      </c>
      <c r="F699" s="15">
        <v>8</v>
      </c>
      <c r="G699" s="15">
        <v>8</v>
      </c>
    </row>
    <row r="700" spans="1:7" x14ac:dyDescent="0.25">
      <c r="A700" s="15" t="s">
        <v>792</v>
      </c>
      <c r="B700" s="15" t="s">
        <v>793</v>
      </c>
      <c r="C700" s="16">
        <v>98.75</v>
      </c>
      <c r="D700" s="15" t="s">
        <v>399</v>
      </c>
      <c r="E700" s="15" t="s">
        <v>508</v>
      </c>
      <c r="F700" s="15">
        <v>10</v>
      </c>
      <c r="G700" s="15">
        <v>10</v>
      </c>
    </row>
    <row r="701" spans="1:7" x14ac:dyDescent="0.25">
      <c r="A701" s="15" t="s">
        <v>792</v>
      </c>
      <c r="B701" s="15" t="s">
        <v>793</v>
      </c>
      <c r="C701" s="16">
        <v>91</v>
      </c>
      <c r="D701" s="15" t="s">
        <v>90</v>
      </c>
      <c r="E701" s="15" t="s">
        <v>401</v>
      </c>
      <c r="F701" s="15">
        <v>22</v>
      </c>
      <c r="G701" s="15">
        <v>22</v>
      </c>
    </row>
    <row r="702" spans="1:7" x14ac:dyDescent="0.25">
      <c r="A702" s="15" t="s">
        <v>792</v>
      </c>
      <c r="B702" s="15" t="s">
        <v>793</v>
      </c>
      <c r="C702" s="16">
        <v>30.6</v>
      </c>
      <c r="D702" s="15" t="s">
        <v>511</v>
      </c>
      <c r="E702" s="15" t="s">
        <v>512</v>
      </c>
      <c r="F702" s="15">
        <v>17</v>
      </c>
      <c r="G702" s="15">
        <v>17</v>
      </c>
    </row>
    <row r="703" spans="1:7" x14ac:dyDescent="0.25">
      <c r="A703" s="15" t="s">
        <v>792</v>
      </c>
      <c r="B703" s="15" t="s">
        <v>793</v>
      </c>
      <c r="C703" s="16">
        <v>11.9</v>
      </c>
      <c r="D703" s="15" t="s">
        <v>342</v>
      </c>
      <c r="E703" s="15" t="s">
        <v>796</v>
      </c>
      <c r="F703" s="15">
        <v>7</v>
      </c>
      <c r="G703" s="15">
        <v>7</v>
      </c>
    </row>
    <row r="704" spans="1:7" x14ac:dyDescent="0.25">
      <c r="A704" s="15" t="s">
        <v>792</v>
      </c>
      <c r="B704" s="15" t="s">
        <v>793</v>
      </c>
      <c r="C704" s="16">
        <v>36.25</v>
      </c>
      <c r="D704" s="15" t="s">
        <v>719</v>
      </c>
      <c r="E704" s="15" t="s">
        <v>720</v>
      </c>
      <c r="F704" s="15">
        <v>11</v>
      </c>
      <c r="G704" s="15">
        <v>11</v>
      </c>
    </row>
    <row r="705" spans="1:7" x14ac:dyDescent="0.25">
      <c r="A705" s="15" t="s">
        <v>792</v>
      </c>
      <c r="B705" s="15" t="s">
        <v>793</v>
      </c>
      <c r="C705" s="16">
        <v>97</v>
      </c>
      <c r="D705" s="15" t="s">
        <v>80</v>
      </c>
      <c r="E705" s="15" t="s">
        <v>402</v>
      </c>
      <c r="F705" s="15">
        <v>10</v>
      </c>
      <c r="G705" s="15">
        <v>10</v>
      </c>
    </row>
    <row r="706" spans="1:7" x14ac:dyDescent="0.25">
      <c r="A706" s="15" t="s">
        <v>792</v>
      </c>
      <c r="B706" s="15" t="s">
        <v>793</v>
      </c>
      <c r="C706" s="16">
        <v>308.39999999999998</v>
      </c>
      <c r="D706" s="15" t="s">
        <v>325</v>
      </c>
      <c r="E706" s="15" t="s">
        <v>326</v>
      </c>
      <c r="F706" s="15">
        <v>39</v>
      </c>
      <c r="G706" s="15">
        <v>39</v>
      </c>
    </row>
    <row r="707" spans="1:7" x14ac:dyDescent="0.25">
      <c r="A707" s="15" t="s">
        <v>792</v>
      </c>
      <c r="B707" s="15" t="s">
        <v>793</v>
      </c>
      <c r="C707" s="16">
        <v>656.26</v>
      </c>
      <c r="D707" s="15" t="s">
        <v>509</v>
      </c>
      <c r="E707" s="15" t="s">
        <v>797</v>
      </c>
      <c r="F707" s="15">
        <v>53</v>
      </c>
      <c r="G707" s="15">
        <v>53</v>
      </c>
    </row>
    <row r="708" spans="1:7" x14ac:dyDescent="0.25">
      <c r="A708" s="15" t="s">
        <v>792</v>
      </c>
      <c r="B708" s="15" t="s">
        <v>793</v>
      </c>
      <c r="C708" s="16">
        <v>558</v>
      </c>
      <c r="D708" s="15" t="s">
        <v>435</v>
      </c>
      <c r="E708" s="15" t="s">
        <v>436</v>
      </c>
      <c r="F708" s="15">
        <v>78</v>
      </c>
      <c r="G708" s="15">
        <v>78</v>
      </c>
    </row>
    <row r="709" spans="1:7" x14ac:dyDescent="0.25">
      <c r="A709" s="15" t="s">
        <v>792</v>
      </c>
      <c r="B709" s="15" t="s">
        <v>793</v>
      </c>
      <c r="C709" s="16">
        <v>160.80000000000001</v>
      </c>
      <c r="D709" s="15" t="s">
        <v>519</v>
      </c>
      <c r="E709" s="15" t="s">
        <v>520</v>
      </c>
      <c r="F709" s="15">
        <v>24</v>
      </c>
      <c r="G709" s="15">
        <v>24</v>
      </c>
    </row>
    <row r="710" spans="1:7" x14ac:dyDescent="0.25">
      <c r="A710" s="15" t="s">
        <v>792</v>
      </c>
      <c r="B710" s="15" t="s">
        <v>793</v>
      </c>
      <c r="C710" s="16">
        <v>65.88</v>
      </c>
      <c r="D710" s="15" t="s">
        <v>437</v>
      </c>
      <c r="E710" s="15" t="s">
        <v>438</v>
      </c>
      <c r="F710" s="15">
        <v>12</v>
      </c>
      <c r="G710" s="15">
        <v>12</v>
      </c>
    </row>
    <row r="711" spans="1:7" x14ac:dyDescent="0.25">
      <c r="A711" s="15" t="s">
        <v>792</v>
      </c>
      <c r="B711" s="15" t="s">
        <v>793</v>
      </c>
      <c r="C711" s="16">
        <v>139.5</v>
      </c>
      <c r="D711" s="15" t="s">
        <v>80</v>
      </c>
      <c r="E711" s="15" t="s">
        <v>746</v>
      </c>
      <c r="F711" s="15">
        <v>15</v>
      </c>
      <c r="G711" s="15">
        <v>15</v>
      </c>
    </row>
    <row r="712" spans="1:7" x14ac:dyDescent="0.25">
      <c r="A712" s="15" t="s">
        <v>792</v>
      </c>
      <c r="B712" s="15" t="s">
        <v>793</v>
      </c>
      <c r="C712" s="16">
        <v>23.1</v>
      </c>
      <c r="D712" s="15" t="s">
        <v>185</v>
      </c>
      <c r="E712" s="15" t="s">
        <v>569</v>
      </c>
      <c r="F712" s="15">
        <v>7</v>
      </c>
      <c r="G712" s="15">
        <v>7</v>
      </c>
    </row>
    <row r="713" spans="1:7" x14ac:dyDescent="0.25">
      <c r="A713" s="15" t="s">
        <v>792</v>
      </c>
      <c r="B713" s="15" t="s">
        <v>793</v>
      </c>
      <c r="C713" s="16">
        <v>93.6</v>
      </c>
      <c r="D713" s="15" t="s">
        <v>355</v>
      </c>
      <c r="E713" s="15" t="s">
        <v>798</v>
      </c>
      <c r="F713" s="15">
        <v>6</v>
      </c>
      <c r="G713" s="15">
        <v>6</v>
      </c>
    </row>
    <row r="714" spans="1:7" x14ac:dyDescent="0.25">
      <c r="A714" s="15" t="s">
        <v>792</v>
      </c>
      <c r="B714" s="15" t="s">
        <v>793</v>
      </c>
      <c r="C714" s="16">
        <v>46.89</v>
      </c>
      <c r="D714" s="15" t="s">
        <v>132</v>
      </c>
      <c r="E714" s="15" t="s">
        <v>133</v>
      </c>
      <c r="F714" s="15">
        <v>9</v>
      </c>
      <c r="G714" s="15">
        <v>9</v>
      </c>
    </row>
    <row r="715" spans="1:7" x14ac:dyDescent="0.25">
      <c r="A715" s="15" t="s">
        <v>792</v>
      </c>
      <c r="B715" s="15" t="s">
        <v>793</v>
      </c>
      <c r="C715" s="16">
        <v>312</v>
      </c>
      <c r="D715" s="15" t="s">
        <v>80</v>
      </c>
      <c r="E715" s="15" t="s">
        <v>799</v>
      </c>
      <c r="F715" s="15">
        <v>20</v>
      </c>
      <c r="G715" s="15">
        <v>20</v>
      </c>
    </row>
    <row r="716" spans="1:7" x14ac:dyDescent="0.25">
      <c r="A716" s="15" t="s">
        <v>792</v>
      </c>
      <c r="B716" s="15" t="s">
        <v>793</v>
      </c>
      <c r="C716" s="16">
        <v>63.95</v>
      </c>
      <c r="D716" s="15" t="s">
        <v>293</v>
      </c>
      <c r="E716" s="15" t="s">
        <v>406</v>
      </c>
      <c r="F716" s="15">
        <v>23</v>
      </c>
      <c r="G716" s="15">
        <v>23</v>
      </c>
    </row>
    <row r="717" spans="1:7" x14ac:dyDescent="0.25">
      <c r="A717" s="15" t="s">
        <v>792</v>
      </c>
      <c r="B717" s="15" t="s">
        <v>793</v>
      </c>
      <c r="C717" s="16">
        <v>37.5</v>
      </c>
      <c r="D717" s="15" t="s">
        <v>524</v>
      </c>
      <c r="E717" s="15" t="s">
        <v>525</v>
      </c>
      <c r="F717" s="15">
        <v>15</v>
      </c>
      <c r="G717" s="15">
        <v>15</v>
      </c>
    </row>
    <row r="718" spans="1:7" x14ac:dyDescent="0.25">
      <c r="A718" s="15" t="s">
        <v>792</v>
      </c>
      <c r="B718" s="15" t="s">
        <v>793</v>
      </c>
      <c r="C718" s="16">
        <v>24</v>
      </c>
      <c r="D718" s="15" t="s">
        <v>80</v>
      </c>
      <c r="E718" s="15" t="s">
        <v>748</v>
      </c>
      <c r="F718" s="15">
        <v>8</v>
      </c>
      <c r="G718" s="15">
        <v>8</v>
      </c>
    </row>
    <row r="719" spans="1:7" x14ac:dyDescent="0.25">
      <c r="A719" s="15" t="s">
        <v>792</v>
      </c>
      <c r="B719" s="15" t="s">
        <v>793</v>
      </c>
      <c r="C719" s="16">
        <v>133.80000000000001</v>
      </c>
      <c r="D719" s="15" t="s">
        <v>80</v>
      </c>
      <c r="E719" s="15" t="s">
        <v>341</v>
      </c>
      <c r="F719" s="15">
        <v>12</v>
      </c>
      <c r="G719" s="15">
        <v>12</v>
      </c>
    </row>
    <row r="720" spans="1:7" x14ac:dyDescent="0.25">
      <c r="A720" s="15" t="s">
        <v>792</v>
      </c>
      <c r="B720" s="15" t="s">
        <v>793</v>
      </c>
      <c r="C720" s="16">
        <v>275.3</v>
      </c>
      <c r="D720" s="15" t="s">
        <v>179</v>
      </c>
      <c r="E720" s="15" t="s">
        <v>800</v>
      </c>
      <c r="F720" s="15">
        <v>39</v>
      </c>
      <c r="G720" s="15">
        <v>39</v>
      </c>
    </row>
    <row r="721" spans="1:7" x14ac:dyDescent="0.25">
      <c r="A721" s="15" t="s">
        <v>792</v>
      </c>
      <c r="B721" s="15" t="s">
        <v>793</v>
      </c>
      <c r="C721" s="16">
        <v>199.9</v>
      </c>
      <c r="D721" s="15" t="s">
        <v>209</v>
      </c>
      <c r="E721" s="15" t="s">
        <v>751</v>
      </c>
      <c r="F721" s="15">
        <v>39</v>
      </c>
      <c r="G721" s="15">
        <v>39</v>
      </c>
    </row>
    <row r="722" spans="1:7" x14ac:dyDescent="0.25">
      <c r="A722" s="15" t="s">
        <v>792</v>
      </c>
      <c r="B722" s="15" t="s">
        <v>793</v>
      </c>
      <c r="C722" s="16">
        <v>72</v>
      </c>
      <c r="D722" s="15" t="s">
        <v>228</v>
      </c>
      <c r="E722" s="15" t="s">
        <v>444</v>
      </c>
      <c r="F722" s="15">
        <v>6</v>
      </c>
      <c r="G722" s="15">
        <v>6</v>
      </c>
    </row>
    <row r="723" spans="1:7" x14ac:dyDescent="0.25">
      <c r="A723" s="15" t="s">
        <v>792</v>
      </c>
      <c r="B723" s="15" t="s">
        <v>793</v>
      </c>
      <c r="C723" s="16">
        <v>49.5</v>
      </c>
      <c r="D723" s="15" t="s">
        <v>295</v>
      </c>
      <c r="E723" s="15" t="s">
        <v>535</v>
      </c>
      <c r="F723" s="15">
        <v>10</v>
      </c>
      <c r="G723" s="15">
        <v>10</v>
      </c>
    </row>
    <row r="724" spans="1:7" x14ac:dyDescent="0.25">
      <c r="A724" s="15" t="s">
        <v>792</v>
      </c>
      <c r="B724" s="15" t="s">
        <v>793</v>
      </c>
      <c r="C724" s="16">
        <v>20.65</v>
      </c>
      <c r="D724" s="15" t="s">
        <v>801</v>
      </c>
      <c r="E724" s="15" t="s">
        <v>802</v>
      </c>
      <c r="F724" s="15">
        <v>7</v>
      </c>
      <c r="G724" s="15">
        <v>7</v>
      </c>
    </row>
    <row r="725" spans="1:7" x14ac:dyDescent="0.25">
      <c r="A725" s="15" t="s">
        <v>792</v>
      </c>
      <c r="B725" s="15" t="s">
        <v>793</v>
      </c>
      <c r="C725" s="16">
        <v>132.30000000000001</v>
      </c>
      <c r="D725" s="15" t="s">
        <v>90</v>
      </c>
      <c r="E725" s="15" t="s">
        <v>803</v>
      </c>
      <c r="F725" s="15">
        <v>7</v>
      </c>
      <c r="G725" s="15">
        <v>7</v>
      </c>
    </row>
    <row r="726" spans="1:7" x14ac:dyDescent="0.25">
      <c r="A726" s="15" t="s">
        <v>792</v>
      </c>
      <c r="B726" s="15" t="s">
        <v>793</v>
      </c>
      <c r="C726" s="16">
        <v>80.400000000000006</v>
      </c>
      <c r="D726" s="15" t="s">
        <v>238</v>
      </c>
      <c r="E726" s="15" t="s">
        <v>804</v>
      </c>
      <c r="F726" s="15">
        <v>12</v>
      </c>
      <c r="G726" s="15">
        <v>12</v>
      </c>
    </row>
    <row r="727" spans="1:7" x14ac:dyDescent="0.25">
      <c r="A727" s="15" t="s">
        <v>792</v>
      </c>
      <c r="B727" s="15" t="s">
        <v>793</v>
      </c>
      <c r="C727" s="16">
        <v>57</v>
      </c>
      <c r="D727" s="15" t="s">
        <v>539</v>
      </c>
      <c r="E727" s="15" t="s">
        <v>540</v>
      </c>
      <c r="F727" s="15">
        <v>6</v>
      </c>
      <c r="G727" s="15">
        <v>6</v>
      </c>
    </row>
    <row r="728" spans="1:7" x14ac:dyDescent="0.25">
      <c r="A728" s="15" t="s">
        <v>792</v>
      </c>
      <c r="B728" s="15" t="s">
        <v>793</v>
      </c>
      <c r="C728" s="16">
        <v>93.6</v>
      </c>
      <c r="D728" s="15" t="s">
        <v>805</v>
      </c>
      <c r="E728" s="15" t="s">
        <v>806</v>
      </c>
      <c r="F728" s="15">
        <v>8</v>
      </c>
      <c r="G728" s="15">
        <v>8</v>
      </c>
    </row>
    <row r="729" spans="1:7" x14ac:dyDescent="0.25">
      <c r="A729" s="15" t="s">
        <v>792</v>
      </c>
      <c r="B729" s="15" t="s">
        <v>793</v>
      </c>
      <c r="C729" s="16">
        <v>53.1</v>
      </c>
      <c r="D729" s="15" t="s">
        <v>80</v>
      </c>
      <c r="E729" s="15" t="s">
        <v>415</v>
      </c>
      <c r="F729" s="15">
        <v>9</v>
      </c>
      <c r="G729" s="15">
        <v>9</v>
      </c>
    </row>
    <row r="730" spans="1:7" x14ac:dyDescent="0.25">
      <c r="A730" s="15" t="s">
        <v>792</v>
      </c>
      <c r="B730" s="15" t="s">
        <v>793</v>
      </c>
      <c r="C730" s="16">
        <v>78</v>
      </c>
      <c r="D730" s="15" t="s">
        <v>80</v>
      </c>
      <c r="E730" s="15" t="s">
        <v>807</v>
      </c>
      <c r="F730" s="15">
        <v>20</v>
      </c>
      <c r="G730" s="15">
        <v>20</v>
      </c>
    </row>
    <row r="731" spans="1:7" x14ac:dyDescent="0.25">
      <c r="A731" s="15" t="s">
        <v>792</v>
      </c>
      <c r="B731" s="15" t="s">
        <v>793</v>
      </c>
      <c r="C731" s="16">
        <v>59.5</v>
      </c>
      <c r="D731" s="15" t="s">
        <v>123</v>
      </c>
      <c r="E731" s="15" t="s">
        <v>808</v>
      </c>
      <c r="F731" s="15">
        <v>7</v>
      </c>
      <c r="G731" s="15">
        <v>7</v>
      </c>
    </row>
    <row r="732" spans="1:7" x14ac:dyDescent="0.25">
      <c r="A732" s="15" t="s">
        <v>792</v>
      </c>
      <c r="B732" s="15" t="s">
        <v>793</v>
      </c>
      <c r="C732" s="16">
        <v>60.5</v>
      </c>
      <c r="D732" s="15" t="s">
        <v>483</v>
      </c>
      <c r="E732" s="15" t="s">
        <v>484</v>
      </c>
      <c r="F732" s="15">
        <v>11</v>
      </c>
      <c r="G732" s="15">
        <v>11</v>
      </c>
    </row>
    <row r="733" spans="1:7" x14ac:dyDescent="0.25">
      <c r="A733" s="15" t="s">
        <v>792</v>
      </c>
      <c r="B733" s="15" t="s">
        <v>793</v>
      </c>
      <c r="C733" s="16">
        <v>71.3</v>
      </c>
      <c r="D733" s="15" t="s">
        <v>447</v>
      </c>
      <c r="E733" s="15" t="s">
        <v>448</v>
      </c>
      <c r="F733" s="15">
        <v>23</v>
      </c>
      <c r="G733" s="15">
        <v>23</v>
      </c>
    </row>
    <row r="734" spans="1:7" x14ac:dyDescent="0.25">
      <c r="A734" s="15" t="s">
        <v>792</v>
      </c>
      <c r="B734" s="15" t="s">
        <v>793</v>
      </c>
      <c r="C734" s="16">
        <v>30.06</v>
      </c>
      <c r="D734" s="15" t="s">
        <v>455</v>
      </c>
      <c r="E734" s="15" t="s">
        <v>809</v>
      </c>
      <c r="F734" s="15">
        <v>6</v>
      </c>
      <c r="G734" s="15">
        <v>6</v>
      </c>
    </row>
    <row r="735" spans="1:7" x14ac:dyDescent="0.25">
      <c r="A735" s="15" t="s">
        <v>792</v>
      </c>
      <c r="B735" s="15" t="s">
        <v>793</v>
      </c>
      <c r="C735" s="16">
        <v>20.7</v>
      </c>
      <c r="D735" s="15" t="s">
        <v>245</v>
      </c>
      <c r="E735" s="15" t="s">
        <v>810</v>
      </c>
      <c r="F735" s="15">
        <v>9</v>
      </c>
      <c r="G735" s="15">
        <v>9</v>
      </c>
    </row>
    <row r="736" spans="1:7" x14ac:dyDescent="0.25">
      <c r="A736" s="15" t="s">
        <v>792</v>
      </c>
      <c r="B736" s="15" t="s">
        <v>793</v>
      </c>
      <c r="C736" s="16">
        <v>478.2</v>
      </c>
      <c r="D736" s="15" t="s">
        <v>132</v>
      </c>
      <c r="E736" s="15" t="s">
        <v>811</v>
      </c>
      <c r="F736" s="15">
        <v>45</v>
      </c>
      <c r="G736" s="15">
        <v>45</v>
      </c>
    </row>
    <row r="737" spans="1:7" x14ac:dyDescent="0.25">
      <c r="A737" s="15" t="s">
        <v>792</v>
      </c>
      <c r="B737" s="15" t="s">
        <v>793</v>
      </c>
      <c r="C737" s="16">
        <v>308.7</v>
      </c>
      <c r="D737" s="15" t="s">
        <v>780</v>
      </c>
      <c r="E737" s="15" t="s">
        <v>812</v>
      </c>
      <c r="F737" s="15">
        <v>21</v>
      </c>
      <c r="G737" s="15">
        <v>21</v>
      </c>
    </row>
    <row r="738" spans="1:7" x14ac:dyDescent="0.25">
      <c r="A738" s="15" t="s">
        <v>792</v>
      </c>
      <c r="B738" s="15" t="s">
        <v>793</v>
      </c>
      <c r="C738" s="16">
        <v>38.700000000000003</v>
      </c>
      <c r="D738" s="15" t="s">
        <v>67</v>
      </c>
      <c r="E738" s="15" t="s">
        <v>813</v>
      </c>
      <c r="F738" s="15">
        <v>9</v>
      </c>
      <c r="G738" s="15">
        <v>9</v>
      </c>
    </row>
    <row r="739" spans="1:7" x14ac:dyDescent="0.25">
      <c r="A739" s="15" t="s">
        <v>792</v>
      </c>
      <c r="B739" s="15" t="s">
        <v>793</v>
      </c>
      <c r="C739" s="16">
        <v>76.5</v>
      </c>
      <c r="D739" s="15" t="s">
        <v>90</v>
      </c>
      <c r="E739" s="15" t="s">
        <v>814</v>
      </c>
      <c r="F739" s="15">
        <v>15</v>
      </c>
      <c r="G739" s="15">
        <v>15</v>
      </c>
    </row>
    <row r="740" spans="1:7" x14ac:dyDescent="0.25">
      <c r="A740" s="15" t="s">
        <v>792</v>
      </c>
      <c r="B740" s="15" t="s">
        <v>793</v>
      </c>
      <c r="C740" s="16">
        <v>14.1</v>
      </c>
      <c r="D740" s="15" t="s">
        <v>348</v>
      </c>
      <c r="E740" s="15" t="s">
        <v>815</v>
      </c>
      <c r="F740" s="15">
        <v>6</v>
      </c>
      <c r="G740" s="15">
        <v>6</v>
      </c>
    </row>
    <row r="741" spans="1:7" x14ac:dyDescent="0.25">
      <c r="A741" s="15" t="s">
        <v>792</v>
      </c>
      <c r="B741" s="15" t="s">
        <v>793</v>
      </c>
      <c r="C741" s="16">
        <v>832.6</v>
      </c>
      <c r="D741" s="15" t="s">
        <v>80</v>
      </c>
      <c r="E741" s="15" t="s">
        <v>417</v>
      </c>
      <c r="F741" s="15">
        <v>40</v>
      </c>
      <c r="G741" s="15">
        <v>40</v>
      </c>
    </row>
    <row r="742" spans="1:7" x14ac:dyDescent="0.25">
      <c r="A742" s="15" t="s">
        <v>792</v>
      </c>
      <c r="B742" s="15" t="s">
        <v>793</v>
      </c>
      <c r="C742" s="16">
        <v>12</v>
      </c>
      <c r="D742" s="15" t="s">
        <v>301</v>
      </c>
      <c r="E742" s="15" t="s">
        <v>816</v>
      </c>
      <c r="F742" s="15">
        <v>6</v>
      </c>
      <c r="G742" s="15">
        <v>6</v>
      </c>
    </row>
    <row r="743" spans="1:7" x14ac:dyDescent="0.25">
      <c r="A743" s="15" t="s">
        <v>792</v>
      </c>
      <c r="B743" s="15" t="s">
        <v>793</v>
      </c>
      <c r="C743" s="16">
        <v>70.8</v>
      </c>
      <c r="D743" s="15" t="s">
        <v>201</v>
      </c>
      <c r="E743" s="15" t="s">
        <v>817</v>
      </c>
      <c r="F743" s="15">
        <v>12</v>
      </c>
      <c r="G743" s="15">
        <v>12</v>
      </c>
    </row>
    <row r="744" spans="1:7" x14ac:dyDescent="0.25">
      <c r="A744" s="15" t="s">
        <v>792</v>
      </c>
      <c r="B744" s="15" t="s">
        <v>793</v>
      </c>
      <c r="C744" s="16">
        <v>144.6</v>
      </c>
      <c r="D744" s="15" t="s">
        <v>80</v>
      </c>
      <c r="E744" s="15" t="s">
        <v>419</v>
      </c>
      <c r="F744" s="15">
        <v>22</v>
      </c>
      <c r="G744" s="15">
        <v>22</v>
      </c>
    </row>
    <row r="745" spans="1:7" x14ac:dyDescent="0.25">
      <c r="A745" s="15" t="s">
        <v>792</v>
      </c>
      <c r="B745" s="15" t="s">
        <v>793</v>
      </c>
      <c r="C745" s="16">
        <v>12.8</v>
      </c>
      <c r="D745" s="15" t="s">
        <v>818</v>
      </c>
      <c r="E745" s="15" t="s">
        <v>819</v>
      </c>
      <c r="F745" s="15">
        <v>8</v>
      </c>
      <c r="G745" s="15">
        <v>8</v>
      </c>
    </row>
    <row r="746" spans="1:7" x14ac:dyDescent="0.25">
      <c r="A746" s="15" t="s">
        <v>792</v>
      </c>
      <c r="B746" s="15" t="s">
        <v>793</v>
      </c>
      <c r="C746" s="16">
        <v>39.6</v>
      </c>
      <c r="D746" s="15" t="s">
        <v>760</v>
      </c>
      <c r="E746" s="15" t="s">
        <v>761</v>
      </c>
      <c r="F746" s="15">
        <v>12</v>
      </c>
      <c r="G746" s="15">
        <v>12</v>
      </c>
    </row>
    <row r="747" spans="1:7" x14ac:dyDescent="0.25">
      <c r="A747" s="15" t="s">
        <v>792</v>
      </c>
      <c r="B747" s="15" t="s">
        <v>793</v>
      </c>
      <c r="C747" s="16">
        <v>24.85</v>
      </c>
      <c r="D747" s="15" t="s">
        <v>123</v>
      </c>
      <c r="E747" s="15" t="s">
        <v>820</v>
      </c>
      <c r="F747" s="15">
        <v>7</v>
      </c>
      <c r="G747" s="15">
        <v>7</v>
      </c>
    </row>
    <row r="748" spans="1:7" x14ac:dyDescent="0.25">
      <c r="A748" s="15" t="s">
        <v>792</v>
      </c>
      <c r="B748" s="15" t="s">
        <v>793</v>
      </c>
      <c r="C748" s="16">
        <v>3.2</v>
      </c>
      <c r="D748" s="15" t="s">
        <v>821</v>
      </c>
      <c r="E748" s="15" t="s">
        <v>822</v>
      </c>
      <c r="F748" s="15">
        <v>8</v>
      </c>
      <c r="G748" s="15">
        <v>8</v>
      </c>
    </row>
    <row r="749" spans="1:7" x14ac:dyDescent="0.25">
      <c r="A749" s="15" t="s">
        <v>792</v>
      </c>
      <c r="B749" s="15" t="s">
        <v>793</v>
      </c>
      <c r="C749" s="16">
        <v>65.099999999999994</v>
      </c>
      <c r="D749" s="15" t="s">
        <v>765</v>
      </c>
      <c r="E749" s="15" t="s">
        <v>766</v>
      </c>
      <c r="F749" s="15">
        <v>7</v>
      </c>
      <c r="G749" s="15">
        <v>7</v>
      </c>
    </row>
    <row r="750" spans="1:7" x14ac:dyDescent="0.25">
      <c r="A750" s="15" t="s">
        <v>792</v>
      </c>
      <c r="B750" s="15" t="s">
        <v>793</v>
      </c>
      <c r="C750" s="16">
        <v>465.5</v>
      </c>
      <c r="D750" s="15" t="s">
        <v>138</v>
      </c>
      <c r="E750" s="15" t="s">
        <v>823</v>
      </c>
      <c r="F750" s="15">
        <v>25</v>
      </c>
      <c r="G750" s="15">
        <v>25</v>
      </c>
    </row>
    <row r="751" spans="1:7" x14ac:dyDescent="0.25">
      <c r="A751" s="15" t="s">
        <v>792</v>
      </c>
      <c r="B751" s="15" t="s">
        <v>793</v>
      </c>
      <c r="C751" s="16">
        <v>128.4</v>
      </c>
      <c r="D751" s="15" t="s">
        <v>556</v>
      </c>
      <c r="E751" s="15" t="s">
        <v>557</v>
      </c>
      <c r="F751" s="15">
        <v>21</v>
      </c>
      <c r="G751" s="15">
        <v>21</v>
      </c>
    </row>
    <row r="752" spans="1:7" x14ac:dyDescent="0.25">
      <c r="A752" s="15" t="s">
        <v>792</v>
      </c>
      <c r="B752" s="15" t="s">
        <v>793</v>
      </c>
      <c r="C752" s="16">
        <v>470.6</v>
      </c>
      <c r="D752" s="15" t="s">
        <v>80</v>
      </c>
      <c r="E752" s="15" t="s">
        <v>377</v>
      </c>
      <c r="F752" s="15">
        <v>26</v>
      </c>
      <c r="G752" s="15">
        <v>26</v>
      </c>
    </row>
    <row r="753" spans="1:7" x14ac:dyDescent="0.25">
      <c r="A753" s="15" t="s">
        <v>792</v>
      </c>
      <c r="B753" s="15" t="s">
        <v>793</v>
      </c>
      <c r="C753" s="16">
        <v>103.11</v>
      </c>
      <c r="D753" s="15" t="s">
        <v>80</v>
      </c>
      <c r="E753" s="15" t="s">
        <v>767</v>
      </c>
      <c r="F753" s="15">
        <v>27</v>
      </c>
      <c r="G753" s="15">
        <v>27</v>
      </c>
    </row>
    <row r="754" spans="1:7" x14ac:dyDescent="0.25">
      <c r="A754" s="15" t="s">
        <v>792</v>
      </c>
      <c r="B754" s="15" t="s">
        <v>793</v>
      </c>
      <c r="C754" s="16">
        <v>115</v>
      </c>
      <c r="D754" s="15" t="s">
        <v>80</v>
      </c>
      <c r="E754" s="15" t="s">
        <v>824</v>
      </c>
      <c r="F754" s="15">
        <v>10</v>
      </c>
      <c r="G754" s="15">
        <v>10</v>
      </c>
    </row>
    <row r="755" spans="1:7" x14ac:dyDescent="0.25">
      <c r="A755" s="15" t="s">
        <v>792</v>
      </c>
      <c r="B755" s="15" t="s">
        <v>793</v>
      </c>
      <c r="C755" s="16">
        <v>93.1</v>
      </c>
      <c r="D755" s="15" t="s">
        <v>88</v>
      </c>
      <c r="E755" s="15" t="s">
        <v>825</v>
      </c>
      <c r="F755" s="15">
        <v>35</v>
      </c>
      <c r="G755" s="15">
        <v>35</v>
      </c>
    </row>
    <row r="756" spans="1:7" x14ac:dyDescent="0.25">
      <c r="A756" s="15" t="s">
        <v>792</v>
      </c>
      <c r="B756" s="15" t="s">
        <v>793</v>
      </c>
      <c r="C756" s="16">
        <v>25.3</v>
      </c>
      <c r="D756" s="15" t="s">
        <v>90</v>
      </c>
      <c r="E756" s="15" t="s">
        <v>729</v>
      </c>
      <c r="F756" s="15">
        <v>11</v>
      </c>
      <c r="G756" s="15">
        <v>11</v>
      </c>
    </row>
    <row r="757" spans="1:7" x14ac:dyDescent="0.25">
      <c r="A757" s="15" t="s">
        <v>792</v>
      </c>
      <c r="B757" s="15" t="s">
        <v>793</v>
      </c>
      <c r="C757" s="16">
        <v>137.69999999999999</v>
      </c>
      <c r="D757" s="15" t="s">
        <v>179</v>
      </c>
      <c r="E757" s="15" t="s">
        <v>640</v>
      </c>
      <c r="F757" s="15">
        <v>34</v>
      </c>
      <c r="G757" s="15">
        <v>34</v>
      </c>
    </row>
    <row r="758" spans="1:7" x14ac:dyDescent="0.25">
      <c r="A758" s="15" t="s">
        <v>792</v>
      </c>
      <c r="B758" s="15" t="s">
        <v>793</v>
      </c>
      <c r="C758" s="16">
        <v>16.8</v>
      </c>
      <c r="D758" s="15" t="s">
        <v>826</v>
      </c>
      <c r="E758" s="15" t="s">
        <v>827</v>
      </c>
      <c r="F758" s="15">
        <v>8</v>
      </c>
      <c r="G758" s="15">
        <v>8</v>
      </c>
    </row>
    <row r="759" spans="1:7" x14ac:dyDescent="0.25">
      <c r="A759" s="15" t="s">
        <v>792</v>
      </c>
      <c r="B759" s="15" t="s">
        <v>793</v>
      </c>
      <c r="C759" s="16">
        <v>28</v>
      </c>
      <c r="D759" s="15" t="s">
        <v>422</v>
      </c>
      <c r="E759" s="15" t="s">
        <v>577</v>
      </c>
      <c r="F759" s="15">
        <v>7</v>
      </c>
      <c r="G759" s="15">
        <v>7</v>
      </c>
    </row>
    <row r="760" spans="1:7" x14ac:dyDescent="0.25">
      <c r="A760" s="15" t="s">
        <v>792</v>
      </c>
      <c r="B760" s="15" t="s">
        <v>793</v>
      </c>
      <c r="C760" s="16">
        <v>102</v>
      </c>
      <c r="D760" s="15" t="s">
        <v>138</v>
      </c>
      <c r="E760" s="15" t="s">
        <v>421</v>
      </c>
      <c r="F760" s="15">
        <v>12</v>
      </c>
      <c r="G760" s="15">
        <v>12</v>
      </c>
    </row>
    <row r="761" spans="1:7" x14ac:dyDescent="0.25">
      <c r="A761" s="15" t="s">
        <v>792</v>
      </c>
      <c r="B761" s="15" t="s">
        <v>793</v>
      </c>
      <c r="C761" s="16">
        <v>41.3</v>
      </c>
      <c r="D761" s="15" t="s">
        <v>513</v>
      </c>
      <c r="E761" s="15" t="s">
        <v>828</v>
      </c>
      <c r="F761" s="15">
        <v>11</v>
      </c>
      <c r="G761" s="15">
        <v>11</v>
      </c>
    </row>
    <row r="762" spans="1:7" x14ac:dyDescent="0.25">
      <c r="A762" s="15" t="s">
        <v>792</v>
      </c>
      <c r="B762" s="15" t="s">
        <v>793</v>
      </c>
      <c r="C762" s="16">
        <v>113.5</v>
      </c>
      <c r="D762" s="15" t="s">
        <v>123</v>
      </c>
      <c r="E762" s="15" t="s">
        <v>388</v>
      </c>
      <c r="F762" s="15">
        <v>26</v>
      </c>
      <c r="G762" s="15">
        <v>26</v>
      </c>
    </row>
    <row r="763" spans="1:7" x14ac:dyDescent="0.25">
      <c r="A763" s="15" t="s">
        <v>792</v>
      </c>
      <c r="B763" s="15" t="s">
        <v>793</v>
      </c>
      <c r="C763" s="16">
        <v>156</v>
      </c>
      <c r="D763" s="15" t="s">
        <v>561</v>
      </c>
      <c r="E763" s="15" t="s">
        <v>562</v>
      </c>
      <c r="F763" s="15">
        <v>15</v>
      </c>
      <c r="G763" s="15">
        <v>15</v>
      </c>
    </row>
    <row r="764" spans="1:7" x14ac:dyDescent="0.25">
      <c r="A764" s="15" t="s">
        <v>792</v>
      </c>
      <c r="B764" s="15" t="s">
        <v>793</v>
      </c>
      <c r="C764" s="16">
        <v>112.1</v>
      </c>
      <c r="D764" s="15" t="s">
        <v>179</v>
      </c>
      <c r="E764" s="15" t="s">
        <v>732</v>
      </c>
      <c r="F764" s="15">
        <v>19</v>
      </c>
      <c r="G764" s="15">
        <v>19</v>
      </c>
    </row>
    <row r="765" spans="1:7" x14ac:dyDescent="0.25">
      <c r="A765" s="15" t="s">
        <v>792</v>
      </c>
      <c r="B765" s="15" t="s">
        <v>793</v>
      </c>
      <c r="C765" s="16">
        <v>209.9</v>
      </c>
      <c r="D765" s="15" t="s">
        <v>829</v>
      </c>
      <c r="E765" s="15" t="s">
        <v>830</v>
      </c>
      <c r="F765" s="15">
        <v>24</v>
      </c>
      <c r="G765" s="15">
        <v>24</v>
      </c>
    </row>
    <row r="766" spans="1:7" x14ac:dyDescent="0.25">
      <c r="A766" s="15" t="s">
        <v>792</v>
      </c>
      <c r="B766" s="15" t="s">
        <v>793</v>
      </c>
      <c r="C766" s="16">
        <v>112.95</v>
      </c>
      <c r="D766" s="15" t="s">
        <v>194</v>
      </c>
      <c r="E766" s="15" t="s">
        <v>426</v>
      </c>
      <c r="F766" s="15">
        <v>35</v>
      </c>
      <c r="G766" s="15">
        <v>35</v>
      </c>
    </row>
    <row r="767" spans="1:7" x14ac:dyDescent="0.25">
      <c r="A767" s="15" t="s">
        <v>792</v>
      </c>
      <c r="B767" s="15" t="s">
        <v>793</v>
      </c>
      <c r="C767" s="16">
        <v>170.9</v>
      </c>
      <c r="D767" s="15" t="s">
        <v>100</v>
      </c>
      <c r="E767" s="15" t="s">
        <v>831</v>
      </c>
      <c r="F767" s="15">
        <v>45</v>
      </c>
      <c r="G767" s="15">
        <v>45</v>
      </c>
    </row>
    <row r="768" spans="1:7" x14ac:dyDescent="0.25">
      <c r="A768" s="15" t="s">
        <v>792</v>
      </c>
      <c r="B768" s="15" t="s">
        <v>793</v>
      </c>
      <c r="C768" s="16">
        <v>163.4</v>
      </c>
      <c r="D768" s="15" t="s">
        <v>832</v>
      </c>
      <c r="E768" s="15" t="s">
        <v>833</v>
      </c>
      <c r="F768" s="15">
        <v>49</v>
      </c>
      <c r="G768" s="15">
        <v>49</v>
      </c>
    </row>
    <row r="769" spans="1:7" x14ac:dyDescent="0.25">
      <c r="A769" s="15" t="s">
        <v>792</v>
      </c>
      <c r="B769" s="15" t="s">
        <v>793</v>
      </c>
      <c r="C769" s="16">
        <v>277.8</v>
      </c>
      <c r="D769" s="15" t="s">
        <v>256</v>
      </c>
      <c r="E769" s="15" t="s">
        <v>461</v>
      </c>
      <c r="F769" s="15">
        <v>29</v>
      </c>
      <c r="G769" s="15">
        <v>29</v>
      </c>
    </row>
    <row r="770" spans="1:7" x14ac:dyDescent="0.25">
      <c r="A770" s="15" t="s">
        <v>792</v>
      </c>
      <c r="B770" s="15" t="s">
        <v>793</v>
      </c>
      <c r="C770" s="16">
        <v>102.6</v>
      </c>
      <c r="D770" s="15" t="s">
        <v>579</v>
      </c>
      <c r="E770" s="15" t="s">
        <v>580</v>
      </c>
      <c r="F770" s="15">
        <v>9</v>
      </c>
      <c r="G770" s="15">
        <v>9</v>
      </c>
    </row>
    <row r="771" spans="1:7" x14ac:dyDescent="0.25">
      <c r="A771" s="15" t="s">
        <v>792</v>
      </c>
      <c r="B771" s="15" t="s">
        <v>793</v>
      </c>
      <c r="C771" s="16">
        <v>105.3</v>
      </c>
      <c r="D771" s="15" t="s">
        <v>123</v>
      </c>
      <c r="E771" s="15" t="s">
        <v>834</v>
      </c>
      <c r="F771" s="15">
        <v>13</v>
      </c>
      <c r="G771" s="15">
        <v>13</v>
      </c>
    </row>
    <row r="772" spans="1:7" x14ac:dyDescent="0.25">
      <c r="A772" s="15" t="s">
        <v>835</v>
      </c>
      <c r="B772" s="15" t="s">
        <v>836</v>
      </c>
      <c r="C772" s="16">
        <v>253.7</v>
      </c>
      <c r="D772" s="15" t="s">
        <v>360</v>
      </c>
      <c r="E772" s="15" t="s">
        <v>584</v>
      </c>
      <c r="F772" s="15">
        <v>59</v>
      </c>
      <c r="G772" s="15">
        <v>59</v>
      </c>
    </row>
    <row r="773" spans="1:7" x14ac:dyDescent="0.25">
      <c r="A773" s="15" t="s">
        <v>835</v>
      </c>
      <c r="B773" s="15" t="s">
        <v>836</v>
      </c>
      <c r="C773" s="16">
        <v>1295.8</v>
      </c>
      <c r="D773" s="15" t="s">
        <v>837</v>
      </c>
      <c r="E773" s="15" t="s">
        <v>838</v>
      </c>
      <c r="F773" s="15">
        <v>31</v>
      </c>
      <c r="G773" s="15">
        <v>31</v>
      </c>
    </row>
    <row r="774" spans="1:7" x14ac:dyDescent="0.25">
      <c r="A774" s="15" t="s">
        <v>835</v>
      </c>
      <c r="B774" s="15" t="s">
        <v>836</v>
      </c>
      <c r="C774" s="16">
        <v>83.95</v>
      </c>
      <c r="D774" s="15" t="s">
        <v>80</v>
      </c>
      <c r="E774" s="15" t="s">
        <v>322</v>
      </c>
      <c r="F774" s="15">
        <v>12</v>
      </c>
      <c r="G774" s="15">
        <v>12</v>
      </c>
    </row>
    <row r="775" spans="1:7" x14ac:dyDescent="0.25">
      <c r="A775" s="15" t="s">
        <v>835</v>
      </c>
      <c r="B775" s="15" t="s">
        <v>836</v>
      </c>
      <c r="C775" s="16">
        <v>790.85</v>
      </c>
      <c r="D775" s="15" t="s">
        <v>407</v>
      </c>
      <c r="E775" s="15" t="s">
        <v>839</v>
      </c>
      <c r="F775" s="15">
        <v>76</v>
      </c>
      <c r="G775" s="15">
        <v>76</v>
      </c>
    </row>
    <row r="776" spans="1:7" x14ac:dyDescent="0.25">
      <c r="A776" s="15" t="s">
        <v>835</v>
      </c>
      <c r="B776" s="15" t="s">
        <v>836</v>
      </c>
      <c r="C776" s="16">
        <v>691.8</v>
      </c>
      <c r="D776" s="15" t="s">
        <v>780</v>
      </c>
      <c r="E776" s="15" t="s">
        <v>781</v>
      </c>
      <c r="F776" s="15">
        <v>136</v>
      </c>
      <c r="G776" s="15">
        <v>136</v>
      </c>
    </row>
    <row r="777" spans="1:7" x14ac:dyDescent="0.25">
      <c r="A777" s="15" t="s">
        <v>835</v>
      </c>
      <c r="B777" s="15" t="s">
        <v>836</v>
      </c>
      <c r="C777" s="16">
        <v>5.25</v>
      </c>
      <c r="D777" s="15" t="s">
        <v>497</v>
      </c>
      <c r="E777" s="15" t="s">
        <v>840</v>
      </c>
      <c r="F777" s="15">
        <v>3</v>
      </c>
      <c r="G777" s="15">
        <v>3</v>
      </c>
    </row>
    <row r="778" spans="1:7" x14ac:dyDescent="0.25">
      <c r="A778" s="15" t="s">
        <v>835</v>
      </c>
      <c r="B778" s="15" t="s">
        <v>836</v>
      </c>
      <c r="C778" s="16">
        <v>1363.05</v>
      </c>
      <c r="D778" s="15" t="s">
        <v>466</v>
      </c>
      <c r="E778" s="15" t="s">
        <v>477</v>
      </c>
      <c r="F778" s="15">
        <v>123</v>
      </c>
      <c r="G778" s="15">
        <v>123</v>
      </c>
    </row>
    <row r="779" spans="1:7" x14ac:dyDescent="0.25">
      <c r="A779" s="15" t="s">
        <v>835</v>
      </c>
      <c r="B779" s="15" t="s">
        <v>836</v>
      </c>
      <c r="C779" s="16">
        <v>305.45</v>
      </c>
      <c r="D779" s="15" t="s">
        <v>594</v>
      </c>
      <c r="E779" s="15" t="s">
        <v>595</v>
      </c>
      <c r="F779" s="15">
        <v>41</v>
      </c>
      <c r="G779" s="15">
        <v>41</v>
      </c>
    </row>
    <row r="780" spans="1:7" x14ac:dyDescent="0.25">
      <c r="A780" s="15" t="s">
        <v>835</v>
      </c>
      <c r="B780" s="15" t="s">
        <v>836</v>
      </c>
      <c r="C780" s="16">
        <v>42.6</v>
      </c>
      <c r="D780" s="15" t="s">
        <v>90</v>
      </c>
      <c r="E780" s="15" t="s">
        <v>841</v>
      </c>
      <c r="F780" s="15">
        <v>4</v>
      </c>
      <c r="G780" s="15">
        <v>4</v>
      </c>
    </row>
    <row r="781" spans="1:7" x14ac:dyDescent="0.25">
      <c r="A781" s="15" t="s">
        <v>835</v>
      </c>
      <c r="B781" s="15" t="s">
        <v>836</v>
      </c>
      <c r="C781" s="16">
        <v>3.45</v>
      </c>
      <c r="D781" s="15" t="s">
        <v>333</v>
      </c>
      <c r="E781" s="15" t="s">
        <v>334</v>
      </c>
      <c r="F781" s="15">
        <v>2</v>
      </c>
      <c r="G781" s="15">
        <v>2</v>
      </c>
    </row>
    <row r="782" spans="1:7" x14ac:dyDescent="0.25">
      <c r="A782" s="15" t="s">
        <v>835</v>
      </c>
      <c r="B782" s="15" t="s">
        <v>836</v>
      </c>
      <c r="C782" s="16">
        <v>1237.2</v>
      </c>
      <c r="D782" s="15" t="s">
        <v>167</v>
      </c>
      <c r="E782" s="15" t="s">
        <v>596</v>
      </c>
      <c r="F782" s="15">
        <v>232</v>
      </c>
      <c r="G782" s="15">
        <v>232</v>
      </c>
    </row>
    <row r="783" spans="1:7" x14ac:dyDescent="0.25">
      <c r="A783" s="15" t="s">
        <v>835</v>
      </c>
      <c r="B783" s="15" t="s">
        <v>836</v>
      </c>
      <c r="C783" s="16">
        <v>562.45000000000005</v>
      </c>
      <c r="D783" s="15" t="s">
        <v>80</v>
      </c>
      <c r="E783" s="15" t="s">
        <v>600</v>
      </c>
      <c r="F783" s="15">
        <v>54</v>
      </c>
      <c r="G783" s="15">
        <v>54</v>
      </c>
    </row>
    <row r="784" spans="1:7" x14ac:dyDescent="0.25">
      <c r="A784" s="15" t="s">
        <v>835</v>
      </c>
      <c r="B784" s="15" t="s">
        <v>836</v>
      </c>
      <c r="C784" s="16">
        <v>161.1</v>
      </c>
      <c r="D784" s="15" t="s">
        <v>80</v>
      </c>
      <c r="E784" s="15" t="s">
        <v>341</v>
      </c>
      <c r="F784" s="15">
        <v>18</v>
      </c>
      <c r="G784" s="15">
        <v>18</v>
      </c>
    </row>
    <row r="785" spans="1:7" x14ac:dyDescent="0.25">
      <c r="A785" s="15" t="s">
        <v>835</v>
      </c>
      <c r="B785" s="15" t="s">
        <v>836</v>
      </c>
      <c r="C785" s="16">
        <v>4.5</v>
      </c>
      <c r="D785" s="15" t="s">
        <v>342</v>
      </c>
      <c r="E785" s="15" t="s">
        <v>343</v>
      </c>
      <c r="F785" s="15">
        <v>6</v>
      </c>
      <c r="G785" s="15">
        <v>6</v>
      </c>
    </row>
    <row r="786" spans="1:7" x14ac:dyDescent="0.25">
      <c r="A786" s="15" t="s">
        <v>835</v>
      </c>
      <c r="B786" s="15" t="s">
        <v>836</v>
      </c>
      <c r="C786" s="16">
        <v>3.2</v>
      </c>
      <c r="D786" s="15" t="s">
        <v>351</v>
      </c>
      <c r="E786" s="15" t="s">
        <v>352</v>
      </c>
      <c r="F786" s="15">
        <v>2</v>
      </c>
      <c r="G786" s="15">
        <v>2</v>
      </c>
    </row>
    <row r="787" spans="1:7" x14ac:dyDescent="0.25">
      <c r="A787" s="15" t="s">
        <v>835</v>
      </c>
      <c r="B787" s="15" t="s">
        <v>836</v>
      </c>
      <c r="C787" s="16">
        <v>232.95</v>
      </c>
      <c r="D787" s="15" t="s">
        <v>612</v>
      </c>
      <c r="E787" s="15" t="s">
        <v>613</v>
      </c>
      <c r="F787" s="15">
        <v>23</v>
      </c>
      <c r="G787" s="15">
        <v>23</v>
      </c>
    </row>
    <row r="788" spans="1:7" x14ac:dyDescent="0.25">
      <c r="A788" s="15" t="s">
        <v>835</v>
      </c>
      <c r="B788" s="15" t="s">
        <v>836</v>
      </c>
      <c r="C788" s="16">
        <v>1176</v>
      </c>
      <c r="D788" s="15" t="s">
        <v>660</v>
      </c>
      <c r="E788" s="15" t="s">
        <v>661</v>
      </c>
      <c r="F788" s="15">
        <v>21</v>
      </c>
      <c r="G788" s="15">
        <v>21</v>
      </c>
    </row>
    <row r="789" spans="1:7" x14ac:dyDescent="0.25">
      <c r="A789" s="15" t="s">
        <v>835</v>
      </c>
      <c r="B789" s="15" t="s">
        <v>836</v>
      </c>
      <c r="C789" s="16">
        <v>1378.15</v>
      </c>
      <c r="D789" s="15" t="s">
        <v>364</v>
      </c>
      <c r="E789" s="15" t="s">
        <v>365</v>
      </c>
      <c r="F789" s="15">
        <v>43</v>
      </c>
      <c r="G789" s="15">
        <v>43</v>
      </c>
    </row>
    <row r="790" spans="1:7" x14ac:dyDescent="0.25">
      <c r="A790" s="15" t="s">
        <v>835</v>
      </c>
      <c r="B790" s="15" t="s">
        <v>836</v>
      </c>
      <c r="C790" s="16">
        <v>1432.4</v>
      </c>
      <c r="D790" s="15" t="s">
        <v>602</v>
      </c>
      <c r="E790" s="15" t="s">
        <v>842</v>
      </c>
      <c r="F790" s="15">
        <v>72</v>
      </c>
      <c r="G790" s="15">
        <v>72</v>
      </c>
    </row>
    <row r="791" spans="1:7" x14ac:dyDescent="0.25">
      <c r="A791" s="15" t="s">
        <v>835</v>
      </c>
      <c r="B791" s="15" t="s">
        <v>836</v>
      </c>
      <c r="C791" s="16">
        <v>778.1</v>
      </c>
      <c r="D791" s="15" t="s">
        <v>88</v>
      </c>
      <c r="E791" s="15" t="s">
        <v>632</v>
      </c>
      <c r="F791" s="15">
        <v>86</v>
      </c>
      <c r="G791" s="15">
        <v>86</v>
      </c>
    </row>
    <row r="792" spans="1:7" x14ac:dyDescent="0.25">
      <c r="A792" s="15" t="s">
        <v>835</v>
      </c>
      <c r="B792" s="15" t="s">
        <v>836</v>
      </c>
      <c r="C792" s="16">
        <v>20.85</v>
      </c>
      <c r="D792" s="15" t="s">
        <v>179</v>
      </c>
      <c r="E792" s="15" t="s">
        <v>843</v>
      </c>
      <c r="F792" s="15">
        <v>1</v>
      </c>
      <c r="G792" s="15">
        <v>1</v>
      </c>
    </row>
    <row r="793" spans="1:7" x14ac:dyDescent="0.25">
      <c r="A793" s="15" t="s">
        <v>835</v>
      </c>
      <c r="B793" s="15" t="s">
        <v>836</v>
      </c>
      <c r="C793" s="16">
        <v>4.1500000000000004</v>
      </c>
      <c r="D793" s="15" t="s">
        <v>626</v>
      </c>
      <c r="E793" s="15" t="s">
        <v>844</v>
      </c>
      <c r="F793" s="15">
        <v>1</v>
      </c>
      <c r="G793" s="15">
        <v>1</v>
      </c>
    </row>
    <row r="794" spans="1:7" x14ac:dyDescent="0.25">
      <c r="A794" s="15" t="s">
        <v>835</v>
      </c>
      <c r="B794" s="15" t="s">
        <v>836</v>
      </c>
      <c r="C794" s="16">
        <v>2.9</v>
      </c>
      <c r="D794" s="15" t="s">
        <v>381</v>
      </c>
      <c r="E794" s="15" t="s">
        <v>382</v>
      </c>
      <c r="F794" s="15">
        <v>2</v>
      </c>
      <c r="G794" s="15">
        <v>2</v>
      </c>
    </row>
    <row r="795" spans="1:7" x14ac:dyDescent="0.25">
      <c r="A795" s="15" t="s">
        <v>835</v>
      </c>
      <c r="B795" s="15" t="s">
        <v>836</v>
      </c>
      <c r="C795" s="16">
        <v>1255.7</v>
      </c>
      <c r="D795" s="15" t="s">
        <v>238</v>
      </c>
      <c r="E795" s="15" t="s">
        <v>383</v>
      </c>
      <c r="F795" s="15">
        <v>116</v>
      </c>
      <c r="G795" s="15">
        <v>116</v>
      </c>
    </row>
    <row r="796" spans="1:7" x14ac:dyDescent="0.25">
      <c r="A796" s="15" t="s">
        <v>835</v>
      </c>
      <c r="B796" s="15" t="s">
        <v>836</v>
      </c>
      <c r="C796" s="16">
        <v>944.25</v>
      </c>
      <c r="D796" s="15" t="s">
        <v>123</v>
      </c>
      <c r="E796" s="15" t="s">
        <v>388</v>
      </c>
      <c r="F796" s="15">
        <v>128</v>
      </c>
      <c r="G796" s="15">
        <v>128</v>
      </c>
    </row>
    <row r="797" spans="1:7" x14ac:dyDescent="0.25">
      <c r="A797" s="15" t="s">
        <v>835</v>
      </c>
      <c r="B797" s="15" t="s">
        <v>836</v>
      </c>
      <c r="C797" s="16">
        <v>2.15</v>
      </c>
      <c r="D797" s="15" t="s">
        <v>194</v>
      </c>
      <c r="E797" s="15" t="s">
        <v>426</v>
      </c>
      <c r="F797" s="15">
        <v>1</v>
      </c>
      <c r="G797" s="15">
        <v>1</v>
      </c>
    </row>
    <row r="798" spans="1:7" x14ac:dyDescent="0.25">
      <c r="A798" s="15" t="s">
        <v>835</v>
      </c>
      <c r="B798" s="15" t="s">
        <v>836</v>
      </c>
      <c r="C798" s="16">
        <v>3.2</v>
      </c>
      <c r="D798" s="15" t="s">
        <v>125</v>
      </c>
      <c r="E798" s="15" t="s">
        <v>126</v>
      </c>
      <c r="F798" s="15">
        <v>1</v>
      </c>
      <c r="G798" s="15">
        <v>1</v>
      </c>
    </row>
    <row r="799" spans="1:7" x14ac:dyDescent="0.25">
      <c r="A799" s="15" t="s">
        <v>835</v>
      </c>
      <c r="B799" s="15" t="s">
        <v>836</v>
      </c>
      <c r="C799" s="16">
        <v>4.3499999999999996</v>
      </c>
      <c r="D799" s="15" t="s">
        <v>393</v>
      </c>
      <c r="E799" s="15" t="s">
        <v>394</v>
      </c>
      <c r="F799" s="15">
        <v>9</v>
      </c>
      <c r="G799" s="15">
        <v>9</v>
      </c>
    </row>
    <row r="800" spans="1:7" x14ac:dyDescent="0.25">
      <c r="A800" s="15" t="s">
        <v>845</v>
      </c>
      <c r="B800" s="15" t="s">
        <v>846</v>
      </c>
      <c r="C800" s="16">
        <v>39.299999999999997</v>
      </c>
      <c r="D800" s="15" t="s">
        <v>226</v>
      </c>
      <c r="E800" s="15" t="s">
        <v>398</v>
      </c>
      <c r="F800" s="15">
        <v>3</v>
      </c>
      <c r="G800" s="15">
        <v>3</v>
      </c>
    </row>
    <row r="801" spans="1:7" x14ac:dyDescent="0.25">
      <c r="A801" s="15" t="s">
        <v>845</v>
      </c>
      <c r="B801" s="15" t="s">
        <v>846</v>
      </c>
      <c r="C801" s="16">
        <v>108.8</v>
      </c>
      <c r="D801" s="15" t="s">
        <v>187</v>
      </c>
      <c r="E801" s="15" t="s">
        <v>495</v>
      </c>
      <c r="F801" s="15">
        <v>16</v>
      </c>
      <c r="G801" s="15">
        <v>16</v>
      </c>
    </row>
    <row r="802" spans="1:7" x14ac:dyDescent="0.25">
      <c r="A802" s="15" t="s">
        <v>845</v>
      </c>
      <c r="B802" s="15" t="s">
        <v>846</v>
      </c>
      <c r="C802" s="16">
        <v>937.2</v>
      </c>
      <c r="D802" s="15" t="s">
        <v>497</v>
      </c>
      <c r="E802" s="15" t="s">
        <v>498</v>
      </c>
      <c r="F802" s="15">
        <v>44</v>
      </c>
      <c r="G802" s="15">
        <v>44</v>
      </c>
    </row>
    <row r="803" spans="1:7" x14ac:dyDescent="0.25">
      <c r="A803" s="15" t="s">
        <v>845</v>
      </c>
      <c r="B803" s="15" t="s">
        <v>846</v>
      </c>
      <c r="C803" s="16">
        <v>227.5</v>
      </c>
      <c r="D803" s="15" t="s">
        <v>123</v>
      </c>
      <c r="E803" s="15" t="s">
        <v>847</v>
      </c>
      <c r="F803" s="15">
        <v>7</v>
      </c>
      <c r="G803" s="15">
        <v>7</v>
      </c>
    </row>
    <row r="804" spans="1:7" x14ac:dyDescent="0.25">
      <c r="A804" s="15" t="s">
        <v>845</v>
      </c>
      <c r="B804" s="15" t="s">
        <v>846</v>
      </c>
      <c r="C804" s="16">
        <v>64.7</v>
      </c>
      <c r="D804" s="15" t="s">
        <v>80</v>
      </c>
      <c r="E804" s="15" t="s">
        <v>502</v>
      </c>
      <c r="F804" s="15">
        <v>18</v>
      </c>
      <c r="G804" s="15">
        <v>18</v>
      </c>
    </row>
    <row r="805" spans="1:7" x14ac:dyDescent="0.25">
      <c r="A805" s="15" t="s">
        <v>845</v>
      </c>
      <c r="B805" s="15" t="s">
        <v>846</v>
      </c>
      <c r="C805" s="16">
        <v>26.4</v>
      </c>
      <c r="D805" s="15" t="s">
        <v>399</v>
      </c>
      <c r="E805" s="15" t="s">
        <v>508</v>
      </c>
      <c r="F805" s="15">
        <v>11</v>
      </c>
      <c r="G805" s="15">
        <v>11</v>
      </c>
    </row>
    <row r="806" spans="1:7" x14ac:dyDescent="0.25">
      <c r="A806" s="15" t="s">
        <v>845</v>
      </c>
      <c r="B806" s="15" t="s">
        <v>846</v>
      </c>
      <c r="C806" s="16">
        <v>108</v>
      </c>
      <c r="D806" s="15" t="s">
        <v>80</v>
      </c>
      <c r="E806" s="15" t="s">
        <v>848</v>
      </c>
      <c r="F806" s="15">
        <v>4</v>
      </c>
      <c r="G806" s="15">
        <v>4</v>
      </c>
    </row>
    <row r="807" spans="1:7" x14ac:dyDescent="0.25">
      <c r="A807" s="15" t="s">
        <v>845</v>
      </c>
      <c r="B807" s="15" t="s">
        <v>846</v>
      </c>
      <c r="C807" s="16">
        <v>26.7</v>
      </c>
      <c r="D807" s="15" t="s">
        <v>719</v>
      </c>
      <c r="E807" s="15" t="s">
        <v>720</v>
      </c>
      <c r="F807" s="15">
        <v>8</v>
      </c>
      <c r="G807" s="15">
        <v>8</v>
      </c>
    </row>
    <row r="808" spans="1:7" x14ac:dyDescent="0.25">
      <c r="A808" s="15" t="s">
        <v>845</v>
      </c>
      <c r="B808" s="15" t="s">
        <v>846</v>
      </c>
      <c r="C808" s="16">
        <v>15.3</v>
      </c>
      <c r="D808" s="15" t="s">
        <v>80</v>
      </c>
      <c r="E808" s="15" t="s">
        <v>402</v>
      </c>
      <c r="F808" s="15">
        <v>1</v>
      </c>
      <c r="G808" s="15">
        <v>1</v>
      </c>
    </row>
    <row r="809" spans="1:7" x14ac:dyDescent="0.25">
      <c r="A809" s="15" t="s">
        <v>845</v>
      </c>
      <c r="B809" s="15" t="s">
        <v>846</v>
      </c>
      <c r="C809" s="16">
        <v>83.8</v>
      </c>
      <c r="D809" s="15" t="s">
        <v>325</v>
      </c>
      <c r="E809" s="15" t="s">
        <v>326</v>
      </c>
      <c r="F809" s="15">
        <v>9</v>
      </c>
      <c r="G809" s="15">
        <v>9</v>
      </c>
    </row>
    <row r="810" spans="1:7" x14ac:dyDescent="0.25">
      <c r="A810" s="15" t="s">
        <v>845</v>
      </c>
      <c r="B810" s="15" t="s">
        <v>846</v>
      </c>
      <c r="C810" s="16">
        <v>30.2</v>
      </c>
      <c r="D810" s="15" t="s">
        <v>744</v>
      </c>
      <c r="E810" s="15" t="s">
        <v>745</v>
      </c>
      <c r="F810" s="15">
        <v>5</v>
      </c>
      <c r="G810" s="15">
        <v>5</v>
      </c>
    </row>
    <row r="811" spans="1:7" x14ac:dyDescent="0.25">
      <c r="A811" s="15" t="s">
        <v>845</v>
      </c>
      <c r="B811" s="15" t="s">
        <v>846</v>
      </c>
      <c r="C811" s="16">
        <v>426.07</v>
      </c>
      <c r="D811" s="15" t="s">
        <v>466</v>
      </c>
      <c r="E811" s="15" t="s">
        <v>849</v>
      </c>
      <c r="F811" s="15">
        <v>29</v>
      </c>
      <c r="G811" s="15">
        <v>29</v>
      </c>
    </row>
    <row r="812" spans="1:7" x14ac:dyDescent="0.25">
      <c r="A812" s="15" t="s">
        <v>845</v>
      </c>
      <c r="B812" s="15" t="s">
        <v>846</v>
      </c>
      <c r="C812" s="16">
        <v>25.2</v>
      </c>
      <c r="D812" s="15" t="s">
        <v>458</v>
      </c>
      <c r="E812" s="15" t="s">
        <v>721</v>
      </c>
      <c r="F812" s="15">
        <v>6</v>
      </c>
      <c r="G812" s="15">
        <v>6</v>
      </c>
    </row>
    <row r="813" spans="1:7" x14ac:dyDescent="0.25">
      <c r="A813" s="15" t="s">
        <v>845</v>
      </c>
      <c r="B813" s="15" t="s">
        <v>846</v>
      </c>
      <c r="C813" s="16">
        <v>111.8</v>
      </c>
      <c r="D813" s="15" t="s">
        <v>309</v>
      </c>
      <c r="E813" s="15" t="s">
        <v>521</v>
      </c>
      <c r="F813" s="15">
        <v>26</v>
      </c>
      <c r="G813" s="15">
        <v>26</v>
      </c>
    </row>
    <row r="814" spans="1:7" x14ac:dyDescent="0.25">
      <c r="A814" s="15" t="s">
        <v>845</v>
      </c>
      <c r="B814" s="15" t="s">
        <v>846</v>
      </c>
      <c r="C814" s="16">
        <v>49.2</v>
      </c>
      <c r="D814" s="15" t="s">
        <v>287</v>
      </c>
      <c r="E814" s="15" t="s">
        <v>403</v>
      </c>
      <c r="F814" s="15">
        <v>7</v>
      </c>
      <c r="G814" s="15">
        <v>7</v>
      </c>
    </row>
    <row r="815" spans="1:7" x14ac:dyDescent="0.25">
      <c r="A815" s="15" t="s">
        <v>845</v>
      </c>
      <c r="B815" s="15" t="s">
        <v>846</v>
      </c>
      <c r="C815" s="16">
        <v>20.100000000000001</v>
      </c>
      <c r="D815" s="15" t="s">
        <v>407</v>
      </c>
      <c r="E815" s="15" t="s">
        <v>850</v>
      </c>
      <c r="F815" s="15">
        <v>1</v>
      </c>
      <c r="G815" s="15">
        <v>1</v>
      </c>
    </row>
    <row r="816" spans="1:7" x14ac:dyDescent="0.25">
      <c r="A816" s="15" t="s">
        <v>845</v>
      </c>
      <c r="B816" s="15" t="s">
        <v>846</v>
      </c>
      <c r="C816" s="16">
        <v>625.5</v>
      </c>
      <c r="D816" s="15" t="s">
        <v>179</v>
      </c>
      <c r="E816" s="15" t="s">
        <v>523</v>
      </c>
      <c r="F816" s="15">
        <v>129</v>
      </c>
      <c r="G816" s="15">
        <v>129</v>
      </c>
    </row>
    <row r="817" spans="1:7" x14ac:dyDescent="0.25">
      <c r="A817" s="15" t="s">
        <v>845</v>
      </c>
      <c r="B817" s="15" t="s">
        <v>846</v>
      </c>
      <c r="C817" s="16">
        <v>78</v>
      </c>
      <c r="D817" s="15" t="s">
        <v>355</v>
      </c>
      <c r="E817" s="15" t="s">
        <v>798</v>
      </c>
      <c r="F817" s="15">
        <v>5</v>
      </c>
      <c r="G817" s="15">
        <v>5</v>
      </c>
    </row>
    <row r="818" spans="1:7" x14ac:dyDescent="0.25">
      <c r="A818" s="15" t="s">
        <v>845</v>
      </c>
      <c r="B818" s="15" t="s">
        <v>846</v>
      </c>
      <c r="C818" s="16">
        <v>50.4</v>
      </c>
      <c r="D818" s="15" t="s">
        <v>80</v>
      </c>
      <c r="E818" s="15" t="s">
        <v>799</v>
      </c>
      <c r="F818" s="15">
        <v>3</v>
      </c>
      <c r="G818" s="15">
        <v>3</v>
      </c>
    </row>
    <row r="819" spans="1:7" x14ac:dyDescent="0.25">
      <c r="A819" s="15" t="s">
        <v>845</v>
      </c>
      <c r="B819" s="15" t="s">
        <v>846</v>
      </c>
      <c r="C819" s="16">
        <v>44.2</v>
      </c>
      <c r="D819" s="15" t="s">
        <v>722</v>
      </c>
      <c r="E819" s="15" t="s">
        <v>723</v>
      </c>
      <c r="F819" s="15">
        <v>13</v>
      </c>
      <c r="G819" s="15">
        <v>13</v>
      </c>
    </row>
    <row r="820" spans="1:7" x14ac:dyDescent="0.25">
      <c r="A820" s="15" t="s">
        <v>845</v>
      </c>
      <c r="B820" s="15" t="s">
        <v>846</v>
      </c>
      <c r="C820" s="16">
        <v>44</v>
      </c>
      <c r="D820" s="15" t="s">
        <v>125</v>
      </c>
      <c r="E820" s="15" t="s">
        <v>851</v>
      </c>
      <c r="F820" s="15">
        <v>20</v>
      </c>
      <c r="G820" s="15">
        <v>20</v>
      </c>
    </row>
    <row r="821" spans="1:7" x14ac:dyDescent="0.25">
      <c r="A821" s="15" t="s">
        <v>845</v>
      </c>
      <c r="B821" s="15" t="s">
        <v>846</v>
      </c>
      <c r="C821" s="16">
        <v>121.3</v>
      </c>
      <c r="D821" s="15" t="s">
        <v>98</v>
      </c>
      <c r="E821" s="15" t="s">
        <v>852</v>
      </c>
      <c r="F821" s="15">
        <v>2</v>
      </c>
      <c r="G821" s="15">
        <v>2</v>
      </c>
    </row>
    <row r="822" spans="1:7" x14ac:dyDescent="0.25">
      <c r="A822" s="15" t="s">
        <v>845</v>
      </c>
      <c r="B822" s="15" t="s">
        <v>846</v>
      </c>
      <c r="C822" s="16">
        <v>40</v>
      </c>
      <c r="D822" s="15" t="s">
        <v>67</v>
      </c>
      <c r="E822" s="15" t="s">
        <v>534</v>
      </c>
      <c r="F822" s="15">
        <v>1</v>
      </c>
      <c r="G822" s="15">
        <v>1</v>
      </c>
    </row>
    <row r="823" spans="1:7" x14ac:dyDescent="0.25">
      <c r="A823" s="15" t="s">
        <v>845</v>
      </c>
      <c r="B823" s="15" t="s">
        <v>846</v>
      </c>
      <c r="C823" s="16">
        <v>144</v>
      </c>
      <c r="D823" s="15" t="s">
        <v>228</v>
      </c>
      <c r="E823" s="15" t="s">
        <v>444</v>
      </c>
      <c r="F823" s="15">
        <v>15</v>
      </c>
      <c r="G823" s="15">
        <v>15</v>
      </c>
    </row>
    <row r="824" spans="1:7" x14ac:dyDescent="0.25">
      <c r="A824" s="15" t="s">
        <v>845</v>
      </c>
      <c r="B824" s="15" t="s">
        <v>846</v>
      </c>
      <c r="C824" s="16">
        <v>60.5</v>
      </c>
      <c r="D824" s="15" t="s">
        <v>513</v>
      </c>
      <c r="E824" s="15" t="s">
        <v>853</v>
      </c>
      <c r="F824" s="15">
        <v>7</v>
      </c>
      <c r="G824" s="15">
        <v>7</v>
      </c>
    </row>
    <row r="825" spans="1:7" x14ac:dyDescent="0.25">
      <c r="A825" s="15" t="s">
        <v>845</v>
      </c>
      <c r="B825" s="15" t="s">
        <v>846</v>
      </c>
      <c r="C825" s="16">
        <v>64</v>
      </c>
      <c r="D825" s="15" t="s">
        <v>339</v>
      </c>
      <c r="E825" s="15" t="s">
        <v>252</v>
      </c>
      <c r="F825" s="15">
        <v>14</v>
      </c>
      <c r="G825" s="15">
        <v>14</v>
      </c>
    </row>
    <row r="826" spans="1:7" x14ac:dyDescent="0.25">
      <c r="A826" s="15" t="s">
        <v>845</v>
      </c>
      <c r="B826" s="15" t="s">
        <v>846</v>
      </c>
      <c r="C826" s="16">
        <v>206.7</v>
      </c>
      <c r="D826" s="15" t="s">
        <v>80</v>
      </c>
      <c r="E826" s="15" t="s">
        <v>854</v>
      </c>
      <c r="F826" s="15">
        <v>43</v>
      </c>
      <c r="G826" s="15">
        <v>43</v>
      </c>
    </row>
    <row r="827" spans="1:7" x14ac:dyDescent="0.25">
      <c r="A827" s="15" t="s">
        <v>845</v>
      </c>
      <c r="B827" s="15" t="s">
        <v>846</v>
      </c>
      <c r="C827" s="16">
        <v>56.7</v>
      </c>
      <c r="D827" s="15" t="s">
        <v>90</v>
      </c>
      <c r="E827" s="15" t="s">
        <v>803</v>
      </c>
      <c r="F827" s="15">
        <v>3</v>
      </c>
      <c r="G827" s="15">
        <v>3</v>
      </c>
    </row>
    <row r="828" spans="1:7" x14ac:dyDescent="0.25">
      <c r="A828" s="15" t="s">
        <v>845</v>
      </c>
      <c r="B828" s="15" t="s">
        <v>846</v>
      </c>
      <c r="C828" s="16">
        <v>48.6</v>
      </c>
      <c r="D828" s="15" t="s">
        <v>80</v>
      </c>
      <c r="E828" s="15" t="s">
        <v>753</v>
      </c>
      <c r="F828" s="15">
        <v>6</v>
      </c>
      <c r="G828" s="15">
        <v>6</v>
      </c>
    </row>
    <row r="829" spans="1:7" x14ac:dyDescent="0.25">
      <c r="A829" s="15" t="s">
        <v>845</v>
      </c>
      <c r="B829" s="15" t="s">
        <v>846</v>
      </c>
      <c r="C829" s="16">
        <v>632.79999999999995</v>
      </c>
      <c r="D829" s="15" t="s">
        <v>258</v>
      </c>
      <c r="E829" s="15" t="s">
        <v>446</v>
      </c>
      <c r="F829" s="15">
        <v>227</v>
      </c>
      <c r="G829" s="15">
        <v>227</v>
      </c>
    </row>
    <row r="830" spans="1:7" x14ac:dyDescent="0.25">
      <c r="A830" s="15" t="s">
        <v>845</v>
      </c>
      <c r="B830" s="15" t="s">
        <v>846</v>
      </c>
      <c r="C830" s="16">
        <v>60.12</v>
      </c>
      <c r="D830" s="15" t="s">
        <v>455</v>
      </c>
      <c r="E830" s="15" t="s">
        <v>809</v>
      </c>
      <c r="F830" s="15">
        <v>12</v>
      </c>
      <c r="G830" s="15">
        <v>12</v>
      </c>
    </row>
    <row r="831" spans="1:7" x14ac:dyDescent="0.25">
      <c r="A831" s="15" t="s">
        <v>845</v>
      </c>
      <c r="B831" s="15" t="s">
        <v>846</v>
      </c>
      <c r="C831" s="16">
        <v>25</v>
      </c>
      <c r="D831" s="15" t="s">
        <v>224</v>
      </c>
      <c r="E831" s="15" t="s">
        <v>855</v>
      </c>
      <c r="F831" s="15">
        <v>1</v>
      </c>
      <c r="G831" s="15">
        <v>1</v>
      </c>
    </row>
    <row r="832" spans="1:7" x14ac:dyDescent="0.25">
      <c r="A832" s="15" t="s">
        <v>845</v>
      </c>
      <c r="B832" s="15" t="s">
        <v>846</v>
      </c>
      <c r="C832" s="16">
        <v>101.7</v>
      </c>
      <c r="D832" s="15" t="s">
        <v>80</v>
      </c>
      <c r="E832" s="15" t="s">
        <v>449</v>
      </c>
      <c r="F832" s="15">
        <v>2</v>
      </c>
      <c r="G832" s="15">
        <v>2</v>
      </c>
    </row>
    <row r="833" spans="1:7" x14ac:dyDescent="0.25">
      <c r="A833" s="15" t="s">
        <v>845</v>
      </c>
      <c r="B833" s="15" t="s">
        <v>846</v>
      </c>
      <c r="C833" s="16">
        <v>49.8</v>
      </c>
      <c r="D833" s="15" t="s">
        <v>176</v>
      </c>
      <c r="E833" s="15" t="s">
        <v>856</v>
      </c>
      <c r="F833" s="15">
        <v>3</v>
      </c>
      <c r="G833" s="15">
        <v>3</v>
      </c>
    </row>
    <row r="834" spans="1:7" x14ac:dyDescent="0.25">
      <c r="A834" s="15" t="s">
        <v>845</v>
      </c>
      <c r="B834" s="15" t="s">
        <v>846</v>
      </c>
      <c r="C834" s="16">
        <v>220</v>
      </c>
      <c r="D834" s="15" t="s">
        <v>80</v>
      </c>
      <c r="E834" s="15" t="s">
        <v>450</v>
      </c>
      <c r="F834" s="15">
        <v>10</v>
      </c>
      <c r="G834" s="15">
        <v>10</v>
      </c>
    </row>
    <row r="835" spans="1:7" x14ac:dyDescent="0.25">
      <c r="A835" s="15" t="s">
        <v>845</v>
      </c>
      <c r="B835" s="15" t="s">
        <v>846</v>
      </c>
      <c r="C835" s="16">
        <v>188.5</v>
      </c>
      <c r="D835" s="15" t="s">
        <v>269</v>
      </c>
      <c r="E835" s="15" t="s">
        <v>270</v>
      </c>
      <c r="F835" s="15">
        <v>13</v>
      </c>
      <c r="G835" s="15">
        <v>13</v>
      </c>
    </row>
    <row r="836" spans="1:7" x14ac:dyDescent="0.25">
      <c r="A836" s="15" t="s">
        <v>845</v>
      </c>
      <c r="B836" s="15" t="s">
        <v>846</v>
      </c>
      <c r="C836" s="16">
        <v>917.5</v>
      </c>
      <c r="D836" s="15" t="s">
        <v>439</v>
      </c>
      <c r="E836" s="15" t="s">
        <v>857</v>
      </c>
      <c r="F836" s="15">
        <v>53</v>
      </c>
      <c r="G836" s="15">
        <v>53</v>
      </c>
    </row>
    <row r="837" spans="1:7" x14ac:dyDescent="0.25">
      <c r="A837" s="15" t="s">
        <v>845</v>
      </c>
      <c r="B837" s="15" t="s">
        <v>846</v>
      </c>
      <c r="C837" s="16">
        <v>91</v>
      </c>
      <c r="D837" s="15" t="s">
        <v>858</v>
      </c>
      <c r="E837" s="15" t="s">
        <v>859</v>
      </c>
      <c r="F837" s="15">
        <v>1</v>
      </c>
      <c r="G837" s="15">
        <v>1</v>
      </c>
    </row>
    <row r="838" spans="1:7" x14ac:dyDescent="0.25">
      <c r="A838" s="15" t="s">
        <v>845</v>
      </c>
      <c r="B838" s="15" t="s">
        <v>846</v>
      </c>
      <c r="C838" s="16">
        <v>1404.1</v>
      </c>
      <c r="D838" s="15" t="s">
        <v>80</v>
      </c>
      <c r="E838" s="15" t="s">
        <v>417</v>
      </c>
      <c r="F838" s="15">
        <v>53</v>
      </c>
      <c r="G838" s="15">
        <v>53</v>
      </c>
    </row>
    <row r="839" spans="1:7" x14ac:dyDescent="0.25">
      <c r="A839" s="15" t="s">
        <v>845</v>
      </c>
      <c r="B839" s="15" t="s">
        <v>846</v>
      </c>
      <c r="C839" s="16">
        <v>17.7</v>
      </c>
      <c r="D839" s="15" t="s">
        <v>201</v>
      </c>
      <c r="E839" s="15" t="s">
        <v>817</v>
      </c>
      <c r="F839" s="15">
        <v>3</v>
      </c>
      <c r="G839" s="15">
        <v>3</v>
      </c>
    </row>
    <row r="840" spans="1:7" x14ac:dyDescent="0.25">
      <c r="A840" s="15" t="s">
        <v>845</v>
      </c>
      <c r="B840" s="15" t="s">
        <v>846</v>
      </c>
      <c r="C840" s="16">
        <v>74.8</v>
      </c>
      <c r="D840" s="15" t="s">
        <v>453</v>
      </c>
      <c r="E840" s="15" t="s">
        <v>454</v>
      </c>
      <c r="F840" s="15">
        <v>15</v>
      </c>
      <c r="G840" s="15">
        <v>15</v>
      </c>
    </row>
    <row r="841" spans="1:7" x14ac:dyDescent="0.25">
      <c r="A841" s="15" t="s">
        <v>845</v>
      </c>
      <c r="B841" s="15" t="s">
        <v>846</v>
      </c>
      <c r="C841" s="16">
        <v>59.8</v>
      </c>
      <c r="D841" s="15" t="s">
        <v>75</v>
      </c>
      <c r="E841" s="15" t="s">
        <v>860</v>
      </c>
      <c r="F841" s="15">
        <v>6</v>
      </c>
      <c r="G841" s="15">
        <v>6</v>
      </c>
    </row>
    <row r="842" spans="1:7" x14ac:dyDescent="0.25">
      <c r="A842" s="15" t="s">
        <v>845</v>
      </c>
      <c r="B842" s="15" t="s">
        <v>846</v>
      </c>
      <c r="C842" s="16">
        <v>187.8</v>
      </c>
      <c r="D842" s="15" t="s">
        <v>556</v>
      </c>
      <c r="E842" s="15" t="s">
        <v>557</v>
      </c>
      <c r="F842" s="15">
        <v>29</v>
      </c>
      <c r="G842" s="15">
        <v>29</v>
      </c>
    </row>
    <row r="843" spans="1:7" x14ac:dyDescent="0.25">
      <c r="A843" s="15" t="s">
        <v>845</v>
      </c>
      <c r="B843" s="15" t="s">
        <v>846</v>
      </c>
      <c r="C843" s="16">
        <v>41.7</v>
      </c>
      <c r="D843" s="15" t="s">
        <v>80</v>
      </c>
      <c r="E843" s="15" t="s">
        <v>377</v>
      </c>
      <c r="F843" s="15">
        <v>3</v>
      </c>
      <c r="G843" s="15">
        <v>3</v>
      </c>
    </row>
    <row r="844" spans="1:7" x14ac:dyDescent="0.25">
      <c r="A844" s="15" t="s">
        <v>845</v>
      </c>
      <c r="B844" s="15" t="s">
        <v>846</v>
      </c>
      <c r="C844" s="16">
        <v>53.35</v>
      </c>
      <c r="D844" s="15" t="s">
        <v>80</v>
      </c>
      <c r="E844" s="15" t="s">
        <v>558</v>
      </c>
      <c r="F844" s="15">
        <v>7</v>
      </c>
      <c r="G844" s="15">
        <v>7</v>
      </c>
    </row>
    <row r="845" spans="1:7" x14ac:dyDescent="0.25">
      <c r="A845" s="15" t="s">
        <v>845</v>
      </c>
      <c r="B845" s="15" t="s">
        <v>846</v>
      </c>
      <c r="C845" s="16">
        <v>1184</v>
      </c>
      <c r="D845" s="15" t="s">
        <v>132</v>
      </c>
      <c r="E845" s="15" t="s">
        <v>300</v>
      </c>
      <c r="F845" s="15">
        <v>62</v>
      </c>
      <c r="G845" s="15">
        <v>62</v>
      </c>
    </row>
    <row r="846" spans="1:7" x14ac:dyDescent="0.25">
      <c r="A846" s="15" t="s">
        <v>845</v>
      </c>
      <c r="B846" s="15" t="s">
        <v>846</v>
      </c>
      <c r="C846" s="16">
        <v>55.9</v>
      </c>
      <c r="D846" s="15" t="s">
        <v>602</v>
      </c>
      <c r="E846" s="15" t="s">
        <v>861</v>
      </c>
      <c r="F846" s="15">
        <v>10</v>
      </c>
      <c r="G846" s="15">
        <v>10</v>
      </c>
    </row>
    <row r="847" spans="1:7" x14ac:dyDescent="0.25">
      <c r="A847" s="15" t="s">
        <v>845</v>
      </c>
      <c r="B847" s="15" t="s">
        <v>846</v>
      </c>
      <c r="C847" s="16">
        <v>73.599999999999994</v>
      </c>
      <c r="D847" s="15" t="s">
        <v>80</v>
      </c>
      <c r="E847" s="15" t="s">
        <v>862</v>
      </c>
      <c r="F847" s="15">
        <v>6</v>
      </c>
      <c r="G847" s="15">
        <v>6</v>
      </c>
    </row>
    <row r="848" spans="1:7" x14ac:dyDescent="0.25">
      <c r="A848" s="15" t="s">
        <v>845</v>
      </c>
      <c r="B848" s="15" t="s">
        <v>846</v>
      </c>
      <c r="C848" s="16">
        <v>1999.1</v>
      </c>
      <c r="D848" s="15" t="s">
        <v>138</v>
      </c>
      <c r="E848" s="15" t="s">
        <v>863</v>
      </c>
      <c r="F848" s="15">
        <v>145</v>
      </c>
      <c r="G848" s="15">
        <v>145</v>
      </c>
    </row>
    <row r="849" spans="1:7" x14ac:dyDescent="0.25">
      <c r="A849" s="15" t="s">
        <v>845</v>
      </c>
      <c r="B849" s="15" t="s">
        <v>846</v>
      </c>
      <c r="C849" s="16">
        <v>35</v>
      </c>
      <c r="D849" s="15" t="s">
        <v>88</v>
      </c>
      <c r="E849" s="15" t="s">
        <v>825</v>
      </c>
      <c r="F849" s="15">
        <v>10</v>
      </c>
      <c r="G849" s="15">
        <v>10</v>
      </c>
    </row>
    <row r="850" spans="1:7" x14ac:dyDescent="0.25">
      <c r="A850" s="15" t="s">
        <v>845</v>
      </c>
      <c r="B850" s="15" t="s">
        <v>846</v>
      </c>
      <c r="C850" s="16">
        <v>7.7</v>
      </c>
      <c r="D850" s="15" t="s">
        <v>826</v>
      </c>
      <c r="E850" s="15" t="s">
        <v>827</v>
      </c>
      <c r="F850" s="15">
        <v>10</v>
      </c>
      <c r="G850" s="15">
        <v>10</v>
      </c>
    </row>
    <row r="851" spans="1:7" x14ac:dyDescent="0.25">
      <c r="A851" s="15" t="s">
        <v>845</v>
      </c>
      <c r="B851" s="15" t="s">
        <v>846</v>
      </c>
      <c r="C851" s="16">
        <v>223.2</v>
      </c>
      <c r="D851" s="15" t="s">
        <v>424</v>
      </c>
      <c r="E851" s="15" t="s">
        <v>425</v>
      </c>
      <c r="F851" s="15">
        <v>13</v>
      </c>
      <c r="G851" s="15">
        <v>13</v>
      </c>
    </row>
    <row r="852" spans="1:7" x14ac:dyDescent="0.25">
      <c r="A852" s="15" t="s">
        <v>845</v>
      </c>
      <c r="B852" s="15" t="s">
        <v>846</v>
      </c>
      <c r="C852" s="16">
        <v>43</v>
      </c>
      <c r="D852" s="15" t="s">
        <v>466</v>
      </c>
      <c r="E852" s="15" t="s">
        <v>562</v>
      </c>
      <c r="F852" s="15">
        <v>5</v>
      </c>
      <c r="G852" s="15">
        <v>5</v>
      </c>
    </row>
    <row r="853" spans="1:7" x14ac:dyDescent="0.25">
      <c r="A853" s="15" t="s">
        <v>845</v>
      </c>
      <c r="B853" s="15" t="s">
        <v>846</v>
      </c>
      <c r="C853" s="16">
        <v>212.2</v>
      </c>
      <c r="D853" s="15" t="s">
        <v>138</v>
      </c>
      <c r="E853" s="15" t="s">
        <v>864</v>
      </c>
      <c r="F853" s="15">
        <v>13</v>
      </c>
      <c r="G853" s="15">
        <v>13</v>
      </c>
    </row>
    <row r="854" spans="1:7" x14ac:dyDescent="0.25">
      <c r="A854" s="15" t="s">
        <v>845</v>
      </c>
      <c r="B854" s="15" t="s">
        <v>846</v>
      </c>
      <c r="C854" s="16">
        <v>212.5</v>
      </c>
      <c r="D854" s="15" t="s">
        <v>179</v>
      </c>
      <c r="E854" s="15" t="s">
        <v>732</v>
      </c>
      <c r="F854" s="15">
        <v>16</v>
      </c>
      <c r="G854" s="15">
        <v>16</v>
      </c>
    </row>
    <row r="855" spans="1:7" x14ac:dyDescent="0.25">
      <c r="A855" s="15" t="s">
        <v>845</v>
      </c>
      <c r="B855" s="15" t="s">
        <v>846</v>
      </c>
      <c r="C855" s="16">
        <v>194.34</v>
      </c>
      <c r="D855" s="15" t="s">
        <v>829</v>
      </c>
      <c r="E855" s="15" t="s">
        <v>830</v>
      </c>
      <c r="F855" s="15">
        <v>19</v>
      </c>
      <c r="G855" s="15">
        <v>19</v>
      </c>
    </row>
    <row r="856" spans="1:7" x14ac:dyDescent="0.25">
      <c r="A856" s="15" t="s">
        <v>845</v>
      </c>
      <c r="B856" s="15" t="s">
        <v>846</v>
      </c>
      <c r="C856" s="16">
        <v>13.6</v>
      </c>
      <c r="D856" s="15" t="s">
        <v>100</v>
      </c>
      <c r="E856" s="15" t="s">
        <v>831</v>
      </c>
      <c r="F856" s="15">
        <v>4</v>
      </c>
      <c r="G856" s="15">
        <v>4</v>
      </c>
    </row>
    <row r="857" spans="1:7" x14ac:dyDescent="0.25">
      <c r="A857" s="15" t="s">
        <v>845</v>
      </c>
      <c r="B857" s="15" t="s">
        <v>846</v>
      </c>
      <c r="C857" s="16">
        <v>145.6</v>
      </c>
      <c r="D857" s="15" t="s">
        <v>563</v>
      </c>
      <c r="E857" s="15" t="s">
        <v>564</v>
      </c>
      <c r="F857" s="15">
        <v>56</v>
      </c>
      <c r="G857" s="15">
        <v>56</v>
      </c>
    </row>
    <row r="858" spans="1:7" x14ac:dyDescent="0.25">
      <c r="A858" s="15" t="s">
        <v>865</v>
      </c>
      <c r="B858" s="15" t="s">
        <v>866</v>
      </c>
      <c r="C858" s="16">
        <v>4.5</v>
      </c>
      <c r="D858" s="15" t="s">
        <v>67</v>
      </c>
      <c r="E858" s="15" t="s">
        <v>397</v>
      </c>
      <c r="F858" s="15">
        <v>1</v>
      </c>
      <c r="G858" s="15">
        <v>1</v>
      </c>
    </row>
    <row r="859" spans="1:7" x14ac:dyDescent="0.25">
      <c r="A859" s="15" t="s">
        <v>865</v>
      </c>
      <c r="B859" s="15" t="s">
        <v>866</v>
      </c>
      <c r="C859" s="16">
        <v>5.0999999999999996</v>
      </c>
      <c r="D859" s="15" t="s">
        <v>179</v>
      </c>
      <c r="E859" s="15" t="s">
        <v>867</v>
      </c>
      <c r="F859" s="15">
        <v>2</v>
      </c>
      <c r="G859" s="15">
        <v>2</v>
      </c>
    </row>
    <row r="860" spans="1:7" x14ac:dyDescent="0.25">
      <c r="A860" s="15" t="s">
        <v>865</v>
      </c>
      <c r="B860" s="15" t="s">
        <v>866</v>
      </c>
      <c r="C860" s="16">
        <v>337.2</v>
      </c>
      <c r="D860" s="15" t="s">
        <v>80</v>
      </c>
      <c r="E860" s="15" t="s">
        <v>499</v>
      </c>
      <c r="F860" s="15">
        <v>41</v>
      </c>
      <c r="G860" s="15">
        <v>41</v>
      </c>
    </row>
    <row r="861" spans="1:7" x14ac:dyDescent="0.25">
      <c r="A861" s="15" t="s">
        <v>865</v>
      </c>
      <c r="B861" s="15" t="s">
        <v>866</v>
      </c>
      <c r="C861" s="16">
        <v>1215.5999999999999</v>
      </c>
      <c r="D861" s="15" t="s">
        <v>517</v>
      </c>
      <c r="E861" s="15" t="s">
        <v>868</v>
      </c>
      <c r="F861" s="15">
        <v>123</v>
      </c>
      <c r="G861" s="15">
        <v>123</v>
      </c>
    </row>
    <row r="862" spans="1:7" x14ac:dyDescent="0.25">
      <c r="A862" s="15" t="s">
        <v>865</v>
      </c>
      <c r="B862" s="15" t="s">
        <v>866</v>
      </c>
      <c r="C862" s="16">
        <v>679.2</v>
      </c>
      <c r="D862" s="15" t="s">
        <v>399</v>
      </c>
      <c r="E862" s="15" t="s">
        <v>508</v>
      </c>
      <c r="F862" s="15">
        <v>97</v>
      </c>
      <c r="G862" s="15">
        <v>97</v>
      </c>
    </row>
    <row r="863" spans="1:7" x14ac:dyDescent="0.25">
      <c r="A863" s="15" t="s">
        <v>865</v>
      </c>
      <c r="B863" s="15" t="s">
        <v>866</v>
      </c>
      <c r="C863" s="16">
        <v>3.9</v>
      </c>
      <c r="D863" s="15" t="s">
        <v>511</v>
      </c>
      <c r="E863" s="15" t="s">
        <v>512</v>
      </c>
      <c r="F863" s="15">
        <v>3</v>
      </c>
      <c r="G863" s="15">
        <v>3</v>
      </c>
    </row>
    <row r="864" spans="1:7" x14ac:dyDescent="0.25">
      <c r="A864" s="15" t="s">
        <v>865</v>
      </c>
      <c r="B864" s="15" t="s">
        <v>866</v>
      </c>
      <c r="C864" s="16">
        <v>1565.78</v>
      </c>
      <c r="D864" s="15" t="s">
        <v>509</v>
      </c>
      <c r="E864" s="15" t="s">
        <v>797</v>
      </c>
      <c r="F864" s="15">
        <v>118</v>
      </c>
      <c r="G864" s="15">
        <v>118</v>
      </c>
    </row>
    <row r="865" spans="1:7" x14ac:dyDescent="0.25">
      <c r="A865" s="15" t="s">
        <v>865</v>
      </c>
      <c r="B865" s="15" t="s">
        <v>866</v>
      </c>
      <c r="C865" s="16">
        <v>2321.0100000000002</v>
      </c>
      <c r="D865" s="15" t="s">
        <v>435</v>
      </c>
      <c r="E865" s="15" t="s">
        <v>436</v>
      </c>
      <c r="F865" s="15">
        <v>266</v>
      </c>
      <c r="G865" s="15">
        <v>266</v>
      </c>
    </row>
    <row r="866" spans="1:7" x14ac:dyDescent="0.25">
      <c r="A866" s="15" t="s">
        <v>865</v>
      </c>
      <c r="B866" s="15" t="s">
        <v>866</v>
      </c>
      <c r="C866" s="16">
        <v>500.31</v>
      </c>
      <c r="D866" s="15" t="s">
        <v>466</v>
      </c>
      <c r="E866" s="15" t="s">
        <v>515</v>
      </c>
      <c r="F866" s="15">
        <v>51</v>
      </c>
      <c r="G866" s="15">
        <v>51</v>
      </c>
    </row>
    <row r="867" spans="1:7" x14ac:dyDescent="0.25">
      <c r="A867" s="15" t="s">
        <v>865</v>
      </c>
      <c r="B867" s="15" t="s">
        <v>866</v>
      </c>
      <c r="C867" s="16">
        <v>50</v>
      </c>
      <c r="D867" s="15" t="s">
        <v>209</v>
      </c>
      <c r="E867" s="15" t="s">
        <v>869</v>
      </c>
      <c r="F867" s="15">
        <v>25</v>
      </c>
      <c r="G867" s="15">
        <v>25</v>
      </c>
    </row>
    <row r="868" spans="1:7" x14ac:dyDescent="0.25">
      <c r="A868" s="15" t="s">
        <v>865</v>
      </c>
      <c r="B868" s="15" t="s">
        <v>866</v>
      </c>
      <c r="C868" s="16">
        <v>1.77</v>
      </c>
      <c r="D868" s="15" t="s">
        <v>437</v>
      </c>
      <c r="E868" s="15" t="s">
        <v>438</v>
      </c>
      <c r="F868" s="15">
        <v>1</v>
      </c>
      <c r="G868" s="15">
        <v>1</v>
      </c>
    </row>
    <row r="869" spans="1:7" x14ac:dyDescent="0.25">
      <c r="A869" s="15" t="s">
        <v>865</v>
      </c>
      <c r="B869" s="15" t="s">
        <v>866</v>
      </c>
      <c r="C869" s="16">
        <v>357.5</v>
      </c>
      <c r="D869" s="15" t="s">
        <v>203</v>
      </c>
      <c r="E869" s="15" t="s">
        <v>870</v>
      </c>
      <c r="F869" s="15">
        <v>55</v>
      </c>
      <c r="G869" s="15">
        <v>55</v>
      </c>
    </row>
    <row r="870" spans="1:7" x14ac:dyDescent="0.25">
      <c r="A870" s="15" t="s">
        <v>865</v>
      </c>
      <c r="B870" s="15" t="s">
        <v>866</v>
      </c>
      <c r="C870" s="16">
        <v>2.6</v>
      </c>
      <c r="D870" s="15" t="s">
        <v>441</v>
      </c>
      <c r="E870" s="15" t="s">
        <v>442</v>
      </c>
      <c r="F870" s="15">
        <v>1</v>
      </c>
      <c r="G870" s="15">
        <v>1</v>
      </c>
    </row>
    <row r="871" spans="1:7" x14ac:dyDescent="0.25">
      <c r="A871" s="15" t="s">
        <v>865</v>
      </c>
      <c r="B871" s="15" t="s">
        <v>866</v>
      </c>
      <c r="C871" s="16">
        <v>43.6</v>
      </c>
      <c r="D871" s="15" t="s">
        <v>527</v>
      </c>
      <c r="E871" s="15" t="s">
        <v>528</v>
      </c>
      <c r="F871" s="15">
        <v>109</v>
      </c>
      <c r="G871" s="15">
        <v>109</v>
      </c>
    </row>
    <row r="872" spans="1:7" x14ac:dyDescent="0.25">
      <c r="A872" s="15" t="s">
        <v>865</v>
      </c>
      <c r="B872" s="15" t="s">
        <v>866</v>
      </c>
      <c r="C872" s="16">
        <v>2.3199999999999998</v>
      </c>
      <c r="D872" s="15" t="s">
        <v>529</v>
      </c>
      <c r="E872" s="15" t="s">
        <v>530</v>
      </c>
      <c r="F872" s="15">
        <v>1</v>
      </c>
      <c r="G872" s="15">
        <v>1</v>
      </c>
    </row>
    <row r="873" spans="1:7" x14ac:dyDescent="0.25">
      <c r="A873" s="15" t="s">
        <v>865</v>
      </c>
      <c r="B873" s="15" t="s">
        <v>866</v>
      </c>
      <c r="C873" s="16">
        <v>198.4</v>
      </c>
      <c r="D873" s="15" t="s">
        <v>531</v>
      </c>
      <c r="E873" s="15" t="s">
        <v>532</v>
      </c>
      <c r="F873" s="15">
        <v>31</v>
      </c>
      <c r="G873" s="15">
        <v>31</v>
      </c>
    </row>
    <row r="874" spans="1:7" x14ac:dyDescent="0.25">
      <c r="A874" s="15" t="s">
        <v>865</v>
      </c>
      <c r="B874" s="15" t="s">
        <v>866</v>
      </c>
      <c r="C874" s="16">
        <v>2.1</v>
      </c>
      <c r="D874" s="15" t="s">
        <v>123</v>
      </c>
      <c r="E874" s="15" t="s">
        <v>750</v>
      </c>
      <c r="F874" s="15">
        <v>1</v>
      </c>
      <c r="G874" s="15">
        <v>1</v>
      </c>
    </row>
    <row r="875" spans="1:7" x14ac:dyDescent="0.25">
      <c r="A875" s="15" t="s">
        <v>865</v>
      </c>
      <c r="B875" s="15" t="s">
        <v>866</v>
      </c>
      <c r="C875" s="16">
        <v>402</v>
      </c>
      <c r="D875" s="15" t="s">
        <v>247</v>
      </c>
      <c r="E875" s="15" t="s">
        <v>533</v>
      </c>
      <c r="F875" s="15">
        <v>60</v>
      </c>
      <c r="G875" s="15">
        <v>60</v>
      </c>
    </row>
    <row r="876" spans="1:7" x14ac:dyDescent="0.25">
      <c r="A876" s="15" t="s">
        <v>865</v>
      </c>
      <c r="B876" s="15" t="s">
        <v>866</v>
      </c>
      <c r="C876" s="16">
        <v>2.9</v>
      </c>
      <c r="D876" s="15" t="s">
        <v>243</v>
      </c>
      <c r="E876" s="15" t="s">
        <v>443</v>
      </c>
      <c r="F876" s="15">
        <v>1</v>
      </c>
      <c r="G876" s="15">
        <v>1</v>
      </c>
    </row>
    <row r="877" spans="1:7" x14ac:dyDescent="0.25">
      <c r="A877" s="15" t="s">
        <v>865</v>
      </c>
      <c r="B877" s="15" t="s">
        <v>866</v>
      </c>
      <c r="C877" s="16">
        <v>220.4</v>
      </c>
      <c r="D877" s="15" t="s">
        <v>67</v>
      </c>
      <c r="E877" s="15" t="s">
        <v>534</v>
      </c>
      <c r="F877" s="15">
        <v>4</v>
      </c>
      <c r="G877" s="15">
        <v>4</v>
      </c>
    </row>
    <row r="878" spans="1:7" x14ac:dyDescent="0.25">
      <c r="A878" s="15" t="s">
        <v>865</v>
      </c>
      <c r="B878" s="15" t="s">
        <v>866</v>
      </c>
      <c r="C878" s="16">
        <v>0.25</v>
      </c>
      <c r="D878" s="15" t="s">
        <v>724</v>
      </c>
      <c r="E878" s="15" t="s">
        <v>725</v>
      </c>
      <c r="F878" s="15">
        <v>1</v>
      </c>
      <c r="G878" s="15">
        <v>1</v>
      </c>
    </row>
    <row r="879" spans="1:7" x14ac:dyDescent="0.25">
      <c r="A879" s="15" t="s">
        <v>865</v>
      </c>
      <c r="B879" s="15" t="s">
        <v>866</v>
      </c>
      <c r="C879" s="16">
        <v>13.8</v>
      </c>
      <c r="D879" s="15" t="s">
        <v>228</v>
      </c>
      <c r="E879" s="15" t="s">
        <v>444</v>
      </c>
      <c r="F879" s="15">
        <v>2</v>
      </c>
      <c r="G879" s="15">
        <v>2</v>
      </c>
    </row>
    <row r="880" spans="1:7" x14ac:dyDescent="0.25">
      <c r="A880" s="15" t="s">
        <v>865</v>
      </c>
      <c r="B880" s="15" t="s">
        <v>866</v>
      </c>
      <c r="C880" s="16">
        <v>3.15</v>
      </c>
      <c r="D880" s="15" t="s">
        <v>412</v>
      </c>
      <c r="E880" s="15" t="s">
        <v>413</v>
      </c>
      <c r="F880" s="15">
        <v>3</v>
      </c>
      <c r="G880" s="15">
        <v>3</v>
      </c>
    </row>
    <row r="881" spans="1:7" x14ac:dyDescent="0.25">
      <c r="A881" s="15" t="s">
        <v>865</v>
      </c>
      <c r="B881" s="15" t="s">
        <v>866</v>
      </c>
      <c r="C881" s="16">
        <v>89.25</v>
      </c>
      <c r="D881" s="15" t="s">
        <v>339</v>
      </c>
      <c r="E881" s="15" t="s">
        <v>252</v>
      </c>
      <c r="F881" s="15">
        <v>25</v>
      </c>
      <c r="G881" s="15">
        <v>25</v>
      </c>
    </row>
    <row r="882" spans="1:7" x14ac:dyDescent="0.25">
      <c r="A882" s="15" t="s">
        <v>865</v>
      </c>
      <c r="B882" s="15" t="s">
        <v>866</v>
      </c>
      <c r="C882" s="16">
        <v>9.3000000000000007</v>
      </c>
      <c r="D882" s="15" t="s">
        <v>80</v>
      </c>
      <c r="E882" s="15" t="s">
        <v>854</v>
      </c>
      <c r="F882" s="15">
        <v>3</v>
      </c>
      <c r="G882" s="15">
        <v>3</v>
      </c>
    </row>
    <row r="883" spans="1:7" x14ac:dyDescent="0.25">
      <c r="A883" s="15" t="s">
        <v>865</v>
      </c>
      <c r="B883" s="15" t="s">
        <v>866</v>
      </c>
      <c r="C883" s="16">
        <v>86.5</v>
      </c>
      <c r="D883" s="15" t="s">
        <v>295</v>
      </c>
      <c r="E883" s="15" t="s">
        <v>535</v>
      </c>
      <c r="F883" s="15">
        <v>26</v>
      </c>
      <c r="G883" s="15">
        <v>26</v>
      </c>
    </row>
    <row r="884" spans="1:7" x14ac:dyDescent="0.25">
      <c r="A884" s="15" t="s">
        <v>865</v>
      </c>
      <c r="B884" s="15" t="s">
        <v>866</v>
      </c>
      <c r="C884" s="16">
        <v>171.65</v>
      </c>
      <c r="D884" s="15" t="s">
        <v>80</v>
      </c>
      <c r="E884" s="15" t="s">
        <v>871</v>
      </c>
      <c r="F884" s="15">
        <v>51</v>
      </c>
      <c r="G884" s="15">
        <v>51</v>
      </c>
    </row>
    <row r="885" spans="1:7" x14ac:dyDescent="0.25">
      <c r="A885" s="15" t="s">
        <v>865</v>
      </c>
      <c r="B885" s="15" t="s">
        <v>866</v>
      </c>
      <c r="C885" s="16">
        <v>2.8</v>
      </c>
      <c r="D885" s="15" t="s">
        <v>80</v>
      </c>
      <c r="E885" s="15" t="s">
        <v>415</v>
      </c>
      <c r="F885" s="15">
        <v>1</v>
      </c>
      <c r="G885" s="15">
        <v>1</v>
      </c>
    </row>
    <row r="886" spans="1:7" x14ac:dyDescent="0.25">
      <c r="A886" s="15" t="s">
        <v>865</v>
      </c>
      <c r="B886" s="15" t="s">
        <v>866</v>
      </c>
      <c r="C886" s="16">
        <v>484.4</v>
      </c>
      <c r="D886" s="15" t="s">
        <v>258</v>
      </c>
      <c r="E886" s="15" t="s">
        <v>446</v>
      </c>
      <c r="F886" s="15">
        <v>173</v>
      </c>
      <c r="G886" s="15">
        <v>173</v>
      </c>
    </row>
    <row r="887" spans="1:7" x14ac:dyDescent="0.25">
      <c r="A887" s="15" t="s">
        <v>865</v>
      </c>
      <c r="B887" s="15" t="s">
        <v>866</v>
      </c>
      <c r="C887" s="16">
        <v>5.9</v>
      </c>
      <c r="D887" s="15" t="s">
        <v>80</v>
      </c>
      <c r="E887" s="15" t="s">
        <v>543</v>
      </c>
      <c r="F887" s="15">
        <v>1</v>
      </c>
      <c r="G887" s="15">
        <v>1</v>
      </c>
    </row>
    <row r="888" spans="1:7" x14ac:dyDescent="0.25">
      <c r="A888" s="15" t="s">
        <v>865</v>
      </c>
      <c r="B888" s="15" t="s">
        <v>866</v>
      </c>
      <c r="C888" s="16">
        <v>78.2</v>
      </c>
      <c r="D888" s="15" t="s">
        <v>285</v>
      </c>
      <c r="E888" s="15" t="s">
        <v>872</v>
      </c>
      <c r="F888" s="15">
        <v>2</v>
      </c>
      <c r="G888" s="15">
        <v>2</v>
      </c>
    </row>
    <row r="889" spans="1:7" x14ac:dyDescent="0.25">
      <c r="A889" s="15" t="s">
        <v>865</v>
      </c>
      <c r="B889" s="15" t="s">
        <v>866</v>
      </c>
      <c r="C889" s="16">
        <v>43.7</v>
      </c>
      <c r="D889" s="15" t="s">
        <v>226</v>
      </c>
      <c r="E889" s="15" t="s">
        <v>873</v>
      </c>
      <c r="F889" s="15">
        <v>19</v>
      </c>
      <c r="G889" s="15">
        <v>19</v>
      </c>
    </row>
    <row r="890" spans="1:7" x14ac:dyDescent="0.25">
      <c r="A890" s="15" t="s">
        <v>865</v>
      </c>
      <c r="B890" s="15" t="s">
        <v>866</v>
      </c>
      <c r="C890" s="16">
        <v>1.85</v>
      </c>
      <c r="D890" s="15" t="s">
        <v>544</v>
      </c>
      <c r="E890" s="15" t="s">
        <v>545</v>
      </c>
      <c r="F890" s="15">
        <v>1</v>
      </c>
      <c r="G890" s="15">
        <v>1</v>
      </c>
    </row>
    <row r="891" spans="1:7" x14ac:dyDescent="0.25">
      <c r="A891" s="15" t="s">
        <v>865</v>
      </c>
      <c r="B891" s="15" t="s">
        <v>866</v>
      </c>
      <c r="C891" s="16">
        <v>2.7</v>
      </c>
      <c r="D891" s="15" t="s">
        <v>874</v>
      </c>
      <c r="E891" s="15" t="s">
        <v>875</v>
      </c>
      <c r="F891" s="15">
        <v>1</v>
      </c>
      <c r="G891" s="15">
        <v>1</v>
      </c>
    </row>
    <row r="892" spans="1:7" x14ac:dyDescent="0.25">
      <c r="A892" s="15" t="s">
        <v>865</v>
      </c>
      <c r="B892" s="15" t="s">
        <v>866</v>
      </c>
      <c r="C892" s="16">
        <v>63</v>
      </c>
      <c r="D892" s="15" t="s">
        <v>176</v>
      </c>
      <c r="E892" s="15" t="s">
        <v>876</v>
      </c>
      <c r="F892" s="15">
        <v>21</v>
      </c>
      <c r="G892" s="15">
        <v>21</v>
      </c>
    </row>
    <row r="893" spans="1:7" x14ac:dyDescent="0.25">
      <c r="A893" s="15" t="s">
        <v>865</v>
      </c>
      <c r="B893" s="15" t="s">
        <v>866</v>
      </c>
      <c r="C893" s="16">
        <v>371.3</v>
      </c>
      <c r="D893" s="15" t="s">
        <v>113</v>
      </c>
      <c r="E893" s="15" t="s">
        <v>555</v>
      </c>
      <c r="F893" s="15">
        <v>79</v>
      </c>
      <c r="G893" s="15">
        <v>79</v>
      </c>
    </row>
    <row r="894" spans="1:7" x14ac:dyDescent="0.25">
      <c r="A894" s="15" t="s">
        <v>865</v>
      </c>
      <c r="B894" s="15" t="s">
        <v>866</v>
      </c>
      <c r="C894" s="16">
        <v>275.60000000000002</v>
      </c>
      <c r="D894" s="15" t="s">
        <v>556</v>
      </c>
      <c r="E894" s="15" t="s">
        <v>557</v>
      </c>
      <c r="F894" s="15">
        <v>52</v>
      </c>
      <c r="G894" s="15">
        <v>52</v>
      </c>
    </row>
    <row r="895" spans="1:7" x14ac:dyDescent="0.25">
      <c r="A895" s="15" t="s">
        <v>865</v>
      </c>
      <c r="B895" s="15" t="s">
        <v>866</v>
      </c>
      <c r="C895" s="16">
        <v>185.5</v>
      </c>
      <c r="D895" s="15" t="s">
        <v>455</v>
      </c>
      <c r="E895" s="15" t="s">
        <v>456</v>
      </c>
      <c r="F895" s="15">
        <v>35</v>
      </c>
      <c r="G895" s="15">
        <v>35</v>
      </c>
    </row>
    <row r="896" spans="1:7" x14ac:dyDescent="0.25">
      <c r="A896" s="15" t="s">
        <v>865</v>
      </c>
      <c r="B896" s="15" t="s">
        <v>866</v>
      </c>
      <c r="C896" s="16">
        <v>205</v>
      </c>
      <c r="D896" s="15" t="s">
        <v>293</v>
      </c>
      <c r="E896" s="15" t="s">
        <v>559</v>
      </c>
      <c r="F896" s="15">
        <v>50</v>
      </c>
      <c r="G896" s="15">
        <v>50</v>
      </c>
    </row>
    <row r="897" spans="1:7" x14ac:dyDescent="0.25">
      <c r="A897" s="15" t="s">
        <v>865</v>
      </c>
      <c r="B897" s="15" t="s">
        <v>866</v>
      </c>
      <c r="C897" s="16">
        <v>1.1000000000000001</v>
      </c>
      <c r="D897" s="15" t="s">
        <v>88</v>
      </c>
      <c r="E897" s="15" t="s">
        <v>457</v>
      </c>
      <c r="F897" s="15">
        <v>1</v>
      </c>
      <c r="G897" s="15">
        <v>1</v>
      </c>
    </row>
    <row r="898" spans="1:7" x14ac:dyDescent="0.25">
      <c r="A898" s="15" t="s">
        <v>865</v>
      </c>
      <c r="B898" s="15" t="s">
        <v>866</v>
      </c>
      <c r="C898" s="16">
        <v>9.4</v>
      </c>
      <c r="D898" s="15" t="s">
        <v>458</v>
      </c>
      <c r="E898" s="15" t="s">
        <v>459</v>
      </c>
      <c r="F898" s="15">
        <v>2</v>
      </c>
      <c r="G898" s="15">
        <v>2</v>
      </c>
    </row>
    <row r="899" spans="1:7" x14ac:dyDescent="0.25">
      <c r="A899" s="15" t="s">
        <v>865</v>
      </c>
      <c r="B899" s="15" t="s">
        <v>866</v>
      </c>
      <c r="C899" s="16">
        <v>52.9</v>
      </c>
      <c r="D899" s="15" t="s">
        <v>90</v>
      </c>
      <c r="E899" s="15" t="s">
        <v>729</v>
      </c>
      <c r="F899" s="15">
        <v>26</v>
      </c>
      <c r="G899" s="15">
        <v>26</v>
      </c>
    </row>
    <row r="900" spans="1:7" x14ac:dyDescent="0.25">
      <c r="A900" s="15" t="s">
        <v>865</v>
      </c>
      <c r="B900" s="15" t="s">
        <v>866</v>
      </c>
      <c r="C900" s="16">
        <v>1.3</v>
      </c>
      <c r="D900" s="15" t="s">
        <v>67</v>
      </c>
      <c r="E900" s="15" t="s">
        <v>877</v>
      </c>
      <c r="F900" s="15">
        <v>1</v>
      </c>
      <c r="G900" s="15">
        <v>1</v>
      </c>
    </row>
    <row r="901" spans="1:7" x14ac:dyDescent="0.25">
      <c r="A901" s="15" t="s">
        <v>865</v>
      </c>
      <c r="B901" s="15" t="s">
        <v>866</v>
      </c>
      <c r="C901" s="16">
        <v>1144.9100000000001</v>
      </c>
      <c r="D901" s="15" t="s">
        <v>424</v>
      </c>
      <c r="E901" s="15" t="s">
        <v>425</v>
      </c>
      <c r="F901" s="15">
        <v>76</v>
      </c>
      <c r="G901" s="15">
        <v>76</v>
      </c>
    </row>
    <row r="902" spans="1:7" x14ac:dyDescent="0.25">
      <c r="A902" s="15" t="s">
        <v>865</v>
      </c>
      <c r="B902" s="15" t="s">
        <v>866</v>
      </c>
      <c r="C902" s="16">
        <v>0.66</v>
      </c>
      <c r="D902" s="15" t="s">
        <v>183</v>
      </c>
      <c r="E902" s="15" t="s">
        <v>195</v>
      </c>
      <c r="F902" s="15">
        <v>1</v>
      </c>
      <c r="G902" s="15">
        <v>1</v>
      </c>
    </row>
    <row r="903" spans="1:7" x14ac:dyDescent="0.25">
      <c r="A903" s="15" t="s">
        <v>865</v>
      </c>
      <c r="B903" s="15" t="s">
        <v>866</v>
      </c>
      <c r="C903" s="16">
        <v>114.4</v>
      </c>
      <c r="D903" s="15" t="s">
        <v>563</v>
      </c>
      <c r="E903" s="15" t="s">
        <v>564</v>
      </c>
      <c r="F903" s="15">
        <v>44</v>
      </c>
      <c r="G903" s="15">
        <v>44</v>
      </c>
    </row>
    <row r="904" spans="1:7" x14ac:dyDescent="0.25">
      <c r="A904" s="15" t="s">
        <v>865</v>
      </c>
      <c r="B904" s="15" t="s">
        <v>866</v>
      </c>
      <c r="C904" s="16">
        <v>2</v>
      </c>
      <c r="D904" s="15" t="s">
        <v>832</v>
      </c>
      <c r="E904" s="15" t="s">
        <v>833</v>
      </c>
      <c r="F904" s="15">
        <v>1</v>
      </c>
      <c r="G904" s="15">
        <v>1</v>
      </c>
    </row>
    <row r="905" spans="1:7" x14ac:dyDescent="0.25">
      <c r="A905" s="15" t="s">
        <v>878</v>
      </c>
      <c r="B905" s="15" t="s">
        <v>879</v>
      </c>
      <c r="C905" s="16">
        <v>55.3</v>
      </c>
      <c r="D905" s="15" t="s">
        <v>149</v>
      </c>
      <c r="E905" s="15" t="s">
        <v>150</v>
      </c>
      <c r="F905" s="15">
        <v>4</v>
      </c>
      <c r="G905" s="15">
        <v>4</v>
      </c>
    </row>
    <row r="906" spans="1:7" x14ac:dyDescent="0.25">
      <c r="A906" s="15" t="s">
        <v>878</v>
      </c>
      <c r="B906" s="15" t="s">
        <v>879</v>
      </c>
      <c r="C906" s="16">
        <v>63.15</v>
      </c>
      <c r="D906" s="15" t="s">
        <v>80</v>
      </c>
      <c r="E906" s="15" t="s">
        <v>880</v>
      </c>
      <c r="F906" s="15">
        <v>15</v>
      </c>
      <c r="G906" s="15">
        <v>15</v>
      </c>
    </row>
    <row r="907" spans="1:7" x14ac:dyDescent="0.25">
      <c r="A907" s="15" t="s">
        <v>878</v>
      </c>
      <c r="B907" s="15" t="s">
        <v>879</v>
      </c>
      <c r="C907" s="16">
        <v>385.85</v>
      </c>
      <c r="D907" s="15" t="s">
        <v>881</v>
      </c>
      <c r="E907" s="15" t="s">
        <v>882</v>
      </c>
      <c r="F907" s="15">
        <v>34</v>
      </c>
      <c r="G907" s="15">
        <v>34</v>
      </c>
    </row>
    <row r="908" spans="1:7" x14ac:dyDescent="0.25">
      <c r="A908" s="15" t="s">
        <v>878</v>
      </c>
      <c r="B908" s="15" t="s">
        <v>879</v>
      </c>
      <c r="C908" s="16">
        <v>9.4</v>
      </c>
      <c r="D908" s="15" t="s">
        <v>883</v>
      </c>
      <c r="E908" s="15" t="s">
        <v>884</v>
      </c>
      <c r="F908" s="15">
        <v>1</v>
      </c>
      <c r="G908" s="15">
        <v>1</v>
      </c>
    </row>
    <row r="909" spans="1:7" x14ac:dyDescent="0.25">
      <c r="A909" s="15" t="s">
        <v>878</v>
      </c>
      <c r="B909" s="15" t="s">
        <v>879</v>
      </c>
      <c r="C909" s="16">
        <v>114.75</v>
      </c>
      <c r="D909" s="15" t="s">
        <v>278</v>
      </c>
      <c r="E909" s="15" t="s">
        <v>885</v>
      </c>
      <c r="F909" s="15">
        <v>14</v>
      </c>
      <c r="G909" s="15">
        <v>14</v>
      </c>
    </row>
    <row r="910" spans="1:7" x14ac:dyDescent="0.25">
      <c r="A910" s="15" t="s">
        <v>878</v>
      </c>
      <c r="B910" s="15" t="s">
        <v>879</v>
      </c>
      <c r="C910" s="16">
        <v>30.35</v>
      </c>
      <c r="D910" s="15" t="s">
        <v>181</v>
      </c>
      <c r="E910" s="15" t="s">
        <v>886</v>
      </c>
      <c r="F910" s="15">
        <v>3</v>
      </c>
      <c r="G910" s="15">
        <v>3</v>
      </c>
    </row>
    <row r="911" spans="1:7" x14ac:dyDescent="0.25">
      <c r="A911" s="15" t="s">
        <v>878</v>
      </c>
      <c r="B911" s="15" t="s">
        <v>879</v>
      </c>
      <c r="C911" s="16">
        <v>12</v>
      </c>
      <c r="D911" s="15" t="s">
        <v>887</v>
      </c>
      <c r="E911" s="15" t="s">
        <v>888</v>
      </c>
      <c r="F911" s="15">
        <v>2</v>
      </c>
      <c r="G911" s="15">
        <v>2</v>
      </c>
    </row>
    <row r="912" spans="1:7" x14ac:dyDescent="0.25">
      <c r="A912" s="15" t="s">
        <v>878</v>
      </c>
      <c r="B912" s="15" t="s">
        <v>879</v>
      </c>
      <c r="C912" s="16">
        <v>73.599999999999994</v>
      </c>
      <c r="D912" s="15" t="s">
        <v>67</v>
      </c>
      <c r="E912" s="15" t="s">
        <v>889</v>
      </c>
      <c r="F912" s="15">
        <v>16</v>
      </c>
      <c r="G912" s="15">
        <v>16</v>
      </c>
    </row>
    <row r="913" spans="1:7" x14ac:dyDescent="0.25">
      <c r="A913" s="15" t="s">
        <v>878</v>
      </c>
      <c r="B913" s="15" t="s">
        <v>879</v>
      </c>
      <c r="C913" s="16">
        <v>150</v>
      </c>
      <c r="D913" s="15" t="s">
        <v>154</v>
      </c>
      <c r="E913" s="15" t="s">
        <v>155</v>
      </c>
      <c r="F913" s="15">
        <v>12</v>
      </c>
      <c r="G913" s="15">
        <v>12</v>
      </c>
    </row>
    <row r="914" spans="1:7" x14ac:dyDescent="0.25">
      <c r="A914" s="15" t="s">
        <v>878</v>
      </c>
      <c r="B914" s="15" t="s">
        <v>879</v>
      </c>
      <c r="C914" s="16">
        <v>87.4</v>
      </c>
      <c r="D914" s="15" t="s">
        <v>220</v>
      </c>
      <c r="E914" s="15" t="s">
        <v>221</v>
      </c>
      <c r="F914" s="15">
        <v>10</v>
      </c>
      <c r="G914" s="15">
        <v>10</v>
      </c>
    </row>
    <row r="915" spans="1:7" x14ac:dyDescent="0.25">
      <c r="A915" s="15" t="s">
        <v>878</v>
      </c>
      <c r="B915" s="15" t="s">
        <v>879</v>
      </c>
      <c r="C915" s="16">
        <v>91.6</v>
      </c>
      <c r="D915" s="15" t="s">
        <v>203</v>
      </c>
      <c r="E915" s="15" t="s">
        <v>890</v>
      </c>
      <c r="F915" s="15">
        <v>8</v>
      </c>
      <c r="G915" s="15">
        <v>8</v>
      </c>
    </row>
    <row r="916" spans="1:7" x14ac:dyDescent="0.25">
      <c r="A916" s="15" t="s">
        <v>878</v>
      </c>
      <c r="B916" s="15" t="s">
        <v>879</v>
      </c>
      <c r="C916" s="16">
        <v>216.25</v>
      </c>
      <c r="D916" s="15" t="s">
        <v>132</v>
      </c>
      <c r="E916" s="15" t="s">
        <v>160</v>
      </c>
      <c r="F916" s="15">
        <v>31</v>
      </c>
      <c r="G916" s="15">
        <v>31</v>
      </c>
    </row>
    <row r="917" spans="1:7" x14ac:dyDescent="0.25">
      <c r="A917" s="15" t="s">
        <v>878</v>
      </c>
      <c r="B917" s="15" t="s">
        <v>879</v>
      </c>
      <c r="C917" s="16">
        <v>306.64999999999998</v>
      </c>
      <c r="D917" s="15" t="s">
        <v>222</v>
      </c>
      <c r="E917" s="15" t="s">
        <v>223</v>
      </c>
      <c r="F917" s="15">
        <v>27</v>
      </c>
      <c r="G917" s="15">
        <v>27</v>
      </c>
    </row>
    <row r="918" spans="1:7" x14ac:dyDescent="0.25">
      <c r="A918" s="15" t="s">
        <v>878</v>
      </c>
      <c r="B918" s="15" t="s">
        <v>879</v>
      </c>
      <c r="C918" s="16">
        <v>588</v>
      </c>
      <c r="D918" s="15" t="s">
        <v>163</v>
      </c>
      <c r="E918" s="15" t="s">
        <v>164</v>
      </c>
      <c r="F918" s="15">
        <v>55</v>
      </c>
      <c r="G918" s="15">
        <v>55</v>
      </c>
    </row>
    <row r="919" spans="1:7" x14ac:dyDescent="0.25">
      <c r="A919" s="15" t="s">
        <v>878</v>
      </c>
      <c r="B919" s="15" t="s">
        <v>879</v>
      </c>
      <c r="C919" s="16">
        <v>300.10000000000002</v>
      </c>
      <c r="D919" s="15" t="s">
        <v>891</v>
      </c>
      <c r="E919" s="15" t="s">
        <v>892</v>
      </c>
      <c r="F919" s="15">
        <v>4</v>
      </c>
      <c r="G919" s="15">
        <v>4</v>
      </c>
    </row>
    <row r="920" spans="1:7" x14ac:dyDescent="0.25">
      <c r="A920" s="15" t="s">
        <v>878</v>
      </c>
      <c r="B920" s="15" t="s">
        <v>879</v>
      </c>
      <c r="C920" s="16">
        <v>481.57</v>
      </c>
      <c r="D920" s="15" t="s">
        <v>123</v>
      </c>
      <c r="E920" s="15" t="s">
        <v>893</v>
      </c>
      <c r="F920" s="15">
        <v>51</v>
      </c>
      <c r="G920" s="15">
        <v>51</v>
      </c>
    </row>
    <row r="921" spans="1:7" x14ac:dyDescent="0.25">
      <c r="A921" s="15" t="s">
        <v>878</v>
      </c>
      <c r="B921" s="15" t="s">
        <v>879</v>
      </c>
      <c r="C921" s="16">
        <v>40</v>
      </c>
      <c r="D921" s="15" t="s">
        <v>232</v>
      </c>
      <c r="E921" s="15" t="s">
        <v>233</v>
      </c>
      <c r="F921" s="15">
        <v>4</v>
      </c>
      <c r="G921" s="15">
        <v>4</v>
      </c>
    </row>
    <row r="922" spans="1:7" x14ac:dyDescent="0.25">
      <c r="A922" s="15" t="s">
        <v>878</v>
      </c>
      <c r="B922" s="15" t="s">
        <v>879</v>
      </c>
      <c r="C922" s="16">
        <v>337.95</v>
      </c>
      <c r="D922" s="15" t="s">
        <v>894</v>
      </c>
      <c r="E922" s="15" t="s">
        <v>895</v>
      </c>
      <c r="F922" s="15">
        <v>17</v>
      </c>
      <c r="G922" s="15">
        <v>17</v>
      </c>
    </row>
    <row r="923" spans="1:7" x14ac:dyDescent="0.25">
      <c r="A923" s="15" t="s">
        <v>878</v>
      </c>
      <c r="B923" s="15" t="s">
        <v>879</v>
      </c>
      <c r="C923" s="16">
        <v>47.6</v>
      </c>
      <c r="D923" s="15" t="s">
        <v>209</v>
      </c>
      <c r="E923" s="15" t="s">
        <v>689</v>
      </c>
      <c r="F923" s="15">
        <v>14</v>
      </c>
      <c r="G923" s="15">
        <v>14</v>
      </c>
    </row>
    <row r="924" spans="1:7" x14ac:dyDescent="0.25">
      <c r="A924" s="15" t="s">
        <v>878</v>
      </c>
      <c r="B924" s="15" t="s">
        <v>879</v>
      </c>
      <c r="C924" s="16">
        <v>185.55</v>
      </c>
      <c r="D924" s="15" t="s">
        <v>156</v>
      </c>
      <c r="E924" s="15" t="s">
        <v>166</v>
      </c>
      <c r="F924" s="15">
        <v>45</v>
      </c>
      <c r="G924" s="15">
        <v>45</v>
      </c>
    </row>
    <row r="925" spans="1:7" x14ac:dyDescent="0.25">
      <c r="A925" s="15" t="s">
        <v>878</v>
      </c>
      <c r="B925" s="15" t="s">
        <v>879</v>
      </c>
      <c r="C925" s="16">
        <v>73</v>
      </c>
      <c r="D925" s="15" t="s">
        <v>236</v>
      </c>
      <c r="E925" s="15" t="s">
        <v>237</v>
      </c>
      <c r="F925" s="15">
        <v>2</v>
      </c>
      <c r="G925" s="15">
        <v>2</v>
      </c>
    </row>
    <row r="926" spans="1:7" x14ac:dyDescent="0.25">
      <c r="A926" s="15" t="s">
        <v>878</v>
      </c>
      <c r="B926" s="15" t="s">
        <v>879</v>
      </c>
      <c r="C926" s="16">
        <v>202.15</v>
      </c>
      <c r="D926" s="15" t="s">
        <v>238</v>
      </c>
      <c r="E926" s="15" t="s">
        <v>239</v>
      </c>
      <c r="F926" s="15">
        <v>40</v>
      </c>
      <c r="G926" s="15">
        <v>40</v>
      </c>
    </row>
    <row r="927" spans="1:7" x14ac:dyDescent="0.25">
      <c r="A927" s="15" t="s">
        <v>878</v>
      </c>
      <c r="B927" s="15" t="s">
        <v>879</v>
      </c>
      <c r="C927" s="16">
        <v>43.7</v>
      </c>
      <c r="D927" s="15" t="s">
        <v>105</v>
      </c>
      <c r="E927" s="15" t="s">
        <v>896</v>
      </c>
      <c r="F927" s="15">
        <v>2</v>
      </c>
      <c r="G927" s="15">
        <v>2</v>
      </c>
    </row>
    <row r="928" spans="1:7" x14ac:dyDescent="0.25">
      <c r="A928" s="15" t="s">
        <v>878</v>
      </c>
      <c r="B928" s="15" t="s">
        <v>879</v>
      </c>
      <c r="C928" s="16">
        <v>148</v>
      </c>
      <c r="D928" s="15" t="s">
        <v>287</v>
      </c>
      <c r="E928" s="15" t="s">
        <v>691</v>
      </c>
      <c r="F928" s="15">
        <v>20</v>
      </c>
      <c r="G928" s="15">
        <v>20</v>
      </c>
    </row>
    <row r="929" spans="1:7" x14ac:dyDescent="0.25">
      <c r="A929" s="15" t="s">
        <v>878</v>
      </c>
      <c r="B929" s="15" t="s">
        <v>879</v>
      </c>
      <c r="C929" s="16">
        <v>42.55</v>
      </c>
      <c r="D929" s="15" t="s">
        <v>167</v>
      </c>
      <c r="E929" s="15" t="s">
        <v>168</v>
      </c>
      <c r="F929" s="15">
        <v>23</v>
      </c>
      <c r="G929" s="15">
        <v>23</v>
      </c>
    </row>
    <row r="930" spans="1:7" x14ac:dyDescent="0.25">
      <c r="A930" s="15" t="s">
        <v>878</v>
      </c>
      <c r="B930" s="15" t="s">
        <v>879</v>
      </c>
      <c r="C930" s="16">
        <v>227.2</v>
      </c>
      <c r="D930" s="15" t="s">
        <v>161</v>
      </c>
      <c r="E930" s="15" t="s">
        <v>693</v>
      </c>
      <c r="F930" s="15">
        <v>16</v>
      </c>
      <c r="G930" s="15">
        <v>16</v>
      </c>
    </row>
    <row r="931" spans="1:7" x14ac:dyDescent="0.25">
      <c r="A931" s="15" t="s">
        <v>878</v>
      </c>
      <c r="B931" s="15" t="s">
        <v>879</v>
      </c>
      <c r="C931" s="16">
        <v>17</v>
      </c>
      <c r="D931" s="15" t="s">
        <v>602</v>
      </c>
      <c r="E931" s="15" t="s">
        <v>603</v>
      </c>
      <c r="F931" s="15">
        <v>1</v>
      </c>
      <c r="G931" s="15">
        <v>1</v>
      </c>
    </row>
    <row r="932" spans="1:7" x14ac:dyDescent="0.25">
      <c r="A932" s="15" t="s">
        <v>878</v>
      </c>
      <c r="B932" s="15" t="s">
        <v>879</v>
      </c>
      <c r="C932" s="16">
        <v>133.1</v>
      </c>
      <c r="D932" s="15" t="s">
        <v>220</v>
      </c>
      <c r="E932" s="15" t="s">
        <v>897</v>
      </c>
      <c r="F932" s="15">
        <v>4</v>
      </c>
      <c r="G932" s="15">
        <v>4</v>
      </c>
    </row>
    <row r="933" spans="1:7" x14ac:dyDescent="0.25">
      <c r="A933" s="15" t="s">
        <v>878</v>
      </c>
      <c r="B933" s="15" t="s">
        <v>879</v>
      </c>
      <c r="C933" s="16">
        <v>245.45</v>
      </c>
      <c r="D933" s="15" t="s">
        <v>238</v>
      </c>
      <c r="E933" s="15" t="s">
        <v>898</v>
      </c>
      <c r="F933" s="15">
        <v>28</v>
      </c>
      <c r="G933" s="15">
        <v>28</v>
      </c>
    </row>
    <row r="934" spans="1:7" x14ac:dyDescent="0.25">
      <c r="A934" s="15" t="s">
        <v>878</v>
      </c>
      <c r="B934" s="15" t="s">
        <v>879</v>
      </c>
      <c r="C934" s="16">
        <v>118.8</v>
      </c>
      <c r="D934" s="15" t="s">
        <v>243</v>
      </c>
      <c r="E934" s="15" t="s">
        <v>244</v>
      </c>
      <c r="F934" s="15">
        <v>28</v>
      </c>
      <c r="G934" s="15">
        <v>28</v>
      </c>
    </row>
    <row r="935" spans="1:7" x14ac:dyDescent="0.25">
      <c r="A935" s="15" t="s">
        <v>878</v>
      </c>
      <c r="B935" s="15" t="s">
        <v>879</v>
      </c>
      <c r="C935" s="16">
        <v>94.63</v>
      </c>
      <c r="D935" s="15" t="s">
        <v>899</v>
      </c>
      <c r="E935" s="15" t="s">
        <v>900</v>
      </c>
      <c r="F935" s="15">
        <v>32</v>
      </c>
      <c r="G935" s="15">
        <v>32</v>
      </c>
    </row>
    <row r="936" spans="1:7" x14ac:dyDescent="0.25">
      <c r="A936" s="15" t="s">
        <v>878</v>
      </c>
      <c r="B936" s="15" t="s">
        <v>879</v>
      </c>
      <c r="C936" s="16">
        <v>280.5</v>
      </c>
      <c r="D936" s="15" t="s">
        <v>80</v>
      </c>
      <c r="E936" s="15" t="s">
        <v>169</v>
      </c>
      <c r="F936" s="15">
        <v>25</v>
      </c>
      <c r="G936" s="15">
        <v>25</v>
      </c>
    </row>
    <row r="937" spans="1:7" x14ac:dyDescent="0.25">
      <c r="A937" s="15" t="s">
        <v>878</v>
      </c>
      <c r="B937" s="15" t="s">
        <v>879</v>
      </c>
      <c r="C937" s="16">
        <v>2011.1</v>
      </c>
      <c r="D937" s="15" t="s">
        <v>98</v>
      </c>
      <c r="E937" s="15" t="s">
        <v>250</v>
      </c>
      <c r="F937" s="15">
        <v>57</v>
      </c>
      <c r="G937" s="15">
        <v>57</v>
      </c>
    </row>
    <row r="938" spans="1:7" x14ac:dyDescent="0.25">
      <c r="A938" s="15" t="s">
        <v>878</v>
      </c>
      <c r="B938" s="15" t="s">
        <v>879</v>
      </c>
      <c r="C938" s="16">
        <v>58.8</v>
      </c>
      <c r="D938" s="15" t="s">
        <v>339</v>
      </c>
      <c r="E938" s="15" t="s">
        <v>252</v>
      </c>
      <c r="F938" s="15">
        <v>12</v>
      </c>
      <c r="G938" s="15">
        <v>12</v>
      </c>
    </row>
    <row r="939" spans="1:7" x14ac:dyDescent="0.25">
      <c r="A939" s="15" t="s">
        <v>878</v>
      </c>
      <c r="B939" s="15" t="s">
        <v>879</v>
      </c>
      <c r="C939" s="16">
        <v>8</v>
      </c>
      <c r="D939" s="15" t="s">
        <v>901</v>
      </c>
      <c r="E939" s="15" t="s">
        <v>902</v>
      </c>
      <c r="F939" s="15">
        <v>2</v>
      </c>
      <c r="G939" s="15">
        <v>2</v>
      </c>
    </row>
    <row r="940" spans="1:7" x14ac:dyDescent="0.25">
      <c r="A940" s="15" t="s">
        <v>878</v>
      </c>
      <c r="B940" s="15" t="s">
        <v>879</v>
      </c>
      <c r="C940" s="16">
        <v>818.6</v>
      </c>
      <c r="D940" s="15" t="s">
        <v>903</v>
      </c>
      <c r="E940" s="15" t="s">
        <v>904</v>
      </c>
      <c r="F940" s="15">
        <v>62</v>
      </c>
      <c r="G940" s="15">
        <v>62</v>
      </c>
    </row>
    <row r="941" spans="1:7" x14ac:dyDescent="0.25">
      <c r="A941" s="15" t="s">
        <v>878</v>
      </c>
      <c r="B941" s="15" t="s">
        <v>879</v>
      </c>
      <c r="C941" s="16">
        <v>23.4</v>
      </c>
      <c r="D941" s="15" t="s">
        <v>674</v>
      </c>
      <c r="E941" s="15" t="s">
        <v>905</v>
      </c>
      <c r="F941" s="15">
        <v>4</v>
      </c>
      <c r="G941" s="15">
        <v>4</v>
      </c>
    </row>
    <row r="942" spans="1:7" x14ac:dyDescent="0.25">
      <c r="A942" s="15" t="s">
        <v>878</v>
      </c>
      <c r="B942" s="15" t="s">
        <v>879</v>
      </c>
      <c r="C942" s="16">
        <v>384.4</v>
      </c>
      <c r="D942" s="15" t="s">
        <v>309</v>
      </c>
      <c r="E942" s="15" t="s">
        <v>695</v>
      </c>
      <c r="F942" s="15">
        <v>56</v>
      </c>
      <c r="G942" s="15">
        <v>56</v>
      </c>
    </row>
    <row r="943" spans="1:7" x14ac:dyDescent="0.25">
      <c r="A943" s="15" t="s">
        <v>878</v>
      </c>
      <c r="B943" s="15" t="s">
        <v>879</v>
      </c>
      <c r="C943" s="16">
        <v>38.200000000000003</v>
      </c>
      <c r="D943" s="15" t="s">
        <v>176</v>
      </c>
      <c r="E943" s="15" t="s">
        <v>177</v>
      </c>
      <c r="F943" s="15">
        <v>4</v>
      </c>
      <c r="G943" s="15">
        <v>4</v>
      </c>
    </row>
    <row r="944" spans="1:7" x14ac:dyDescent="0.25">
      <c r="A944" s="15" t="s">
        <v>878</v>
      </c>
      <c r="B944" s="15" t="s">
        <v>879</v>
      </c>
      <c r="C944" s="16">
        <v>81.2</v>
      </c>
      <c r="D944" s="15" t="s">
        <v>698</v>
      </c>
      <c r="E944" s="15" t="s">
        <v>699</v>
      </c>
      <c r="F944" s="15">
        <v>8</v>
      </c>
      <c r="G944" s="15">
        <v>8</v>
      </c>
    </row>
    <row r="945" spans="1:7" x14ac:dyDescent="0.25">
      <c r="A945" s="15" t="s">
        <v>878</v>
      </c>
      <c r="B945" s="15" t="s">
        <v>879</v>
      </c>
      <c r="C945" s="16">
        <v>159.80000000000001</v>
      </c>
      <c r="D945" s="15" t="s">
        <v>303</v>
      </c>
      <c r="E945" s="15" t="s">
        <v>700</v>
      </c>
      <c r="F945" s="15">
        <v>17</v>
      </c>
      <c r="G945" s="15">
        <v>17</v>
      </c>
    </row>
    <row r="946" spans="1:7" x14ac:dyDescent="0.25">
      <c r="A946" s="15" t="s">
        <v>878</v>
      </c>
      <c r="B946" s="15" t="s">
        <v>879</v>
      </c>
      <c r="C946" s="16">
        <v>67.5</v>
      </c>
      <c r="D946" s="15" t="s">
        <v>80</v>
      </c>
      <c r="E946" s="15" t="s">
        <v>178</v>
      </c>
      <c r="F946" s="15">
        <v>15</v>
      </c>
      <c r="G946" s="15">
        <v>15</v>
      </c>
    </row>
    <row r="947" spans="1:7" x14ac:dyDescent="0.25">
      <c r="A947" s="15" t="s">
        <v>878</v>
      </c>
      <c r="B947" s="15" t="s">
        <v>879</v>
      </c>
      <c r="C947" s="16">
        <v>427.35</v>
      </c>
      <c r="D947" s="15" t="s">
        <v>653</v>
      </c>
      <c r="E947" s="15" t="s">
        <v>701</v>
      </c>
      <c r="F947" s="15">
        <v>43</v>
      </c>
      <c r="G947" s="15">
        <v>43</v>
      </c>
    </row>
    <row r="948" spans="1:7" x14ac:dyDescent="0.25">
      <c r="A948" s="15" t="s">
        <v>878</v>
      </c>
      <c r="B948" s="15" t="s">
        <v>879</v>
      </c>
      <c r="C948" s="16">
        <v>21</v>
      </c>
      <c r="D948" s="15" t="s">
        <v>906</v>
      </c>
      <c r="E948" s="15" t="s">
        <v>907</v>
      </c>
      <c r="F948" s="15">
        <v>6</v>
      </c>
      <c r="G948" s="15">
        <v>6</v>
      </c>
    </row>
    <row r="949" spans="1:7" x14ac:dyDescent="0.25">
      <c r="A949" s="15" t="s">
        <v>878</v>
      </c>
      <c r="B949" s="15" t="s">
        <v>879</v>
      </c>
      <c r="C949" s="16">
        <v>83.5</v>
      </c>
      <c r="D949" s="15" t="s">
        <v>138</v>
      </c>
      <c r="E949" s="15" t="s">
        <v>908</v>
      </c>
      <c r="F949" s="15">
        <v>9</v>
      </c>
      <c r="G949" s="15">
        <v>9</v>
      </c>
    </row>
    <row r="950" spans="1:7" x14ac:dyDescent="0.25">
      <c r="A950" s="15" t="s">
        <v>878</v>
      </c>
      <c r="B950" s="15" t="s">
        <v>879</v>
      </c>
      <c r="C950" s="16">
        <v>33.35</v>
      </c>
      <c r="D950" s="15" t="s">
        <v>265</v>
      </c>
      <c r="E950" s="15" t="s">
        <v>909</v>
      </c>
      <c r="F950" s="15">
        <v>5</v>
      </c>
      <c r="G950" s="15">
        <v>5</v>
      </c>
    </row>
    <row r="951" spans="1:7" x14ac:dyDescent="0.25">
      <c r="A951" s="15" t="s">
        <v>878</v>
      </c>
      <c r="B951" s="15" t="s">
        <v>879</v>
      </c>
      <c r="C951" s="16">
        <v>12.25</v>
      </c>
      <c r="D951" s="15" t="s">
        <v>910</v>
      </c>
      <c r="E951" s="15" t="s">
        <v>911</v>
      </c>
      <c r="F951" s="15">
        <v>5</v>
      </c>
      <c r="G951" s="15">
        <v>5</v>
      </c>
    </row>
    <row r="952" spans="1:7" x14ac:dyDescent="0.25">
      <c r="A952" s="15" t="s">
        <v>878</v>
      </c>
      <c r="B952" s="15" t="s">
        <v>879</v>
      </c>
      <c r="C952" s="16">
        <v>70.400000000000006</v>
      </c>
      <c r="D952" s="15" t="s">
        <v>298</v>
      </c>
      <c r="E952" s="15" t="s">
        <v>912</v>
      </c>
      <c r="F952" s="15">
        <v>24</v>
      </c>
      <c r="G952" s="15">
        <v>24</v>
      </c>
    </row>
    <row r="953" spans="1:7" x14ac:dyDescent="0.25">
      <c r="A953" s="15" t="s">
        <v>878</v>
      </c>
      <c r="B953" s="15" t="s">
        <v>879</v>
      </c>
      <c r="C953" s="16">
        <v>28.4</v>
      </c>
      <c r="D953" s="15" t="s">
        <v>913</v>
      </c>
      <c r="E953" s="15" t="s">
        <v>914</v>
      </c>
      <c r="F953" s="15">
        <v>8</v>
      </c>
      <c r="G953" s="15">
        <v>8</v>
      </c>
    </row>
    <row r="954" spans="1:7" x14ac:dyDescent="0.25">
      <c r="A954" s="15" t="s">
        <v>878</v>
      </c>
      <c r="B954" s="15" t="s">
        <v>879</v>
      </c>
      <c r="C954" s="16">
        <v>49.8</v>
      </c>
      <c r="D954" s="15" t="s">
        <v>556</v>
      </c>
      <c r="E954" s="15" t="s">
        <v>915</v>
      </c>
      <c r="F954" s="15">
        <v>6</v>
      </c>
      <c r="G954" s="15">
        <v>6</v>
      </c>
    </row>
    <row r="955" spans="1:7" x14ac:dyDescent="0.25">
      <c r="A955" s="15" t="s">
        <v>878</v>
      </c>
      <c r="B955" s="15" t="s">
        <v>879</v>
      </c>
      <c r="C955" s="16">
        <v>58</v>
      </c>
      <c r="D955" s="15" t="s">
        <v>80</v>
      </c>
      <c r="E955" s="15" t="s">
        <v>916</v>
      </c>
      <c r="F955" s="15">
        <v>10</v>
      </c>
      <c r="G955" s="15">
        <v>10</v>
      </c>
    </row>
    <row r="956" spans="1:7" x14ac:dyDescent="0.25">
      <c r="A956" s="15" t="s">
        <v>878</v>
      </c>
      <c r="B956" s="15" t="s">
        <v>879</v>
      </c>
      <c r="C956" s="16">
        <v>767.55</v>
      </c>
      <c r="D956" s="15" t="s">
        <v>281</v>
      </c>
      <c r="E956" s="15" t="s">
        <v>282</v>
      </c>
      <c r="F956" s="15">
        <v>16</v>
      </c>
      <c r="G956" s="15">
        <v>16</v>
      </c>
    </row>
    <row r="957" spans="1:7" x14ac:dyDescent="0.25">
      <c r="A957" s="15" t="s">
        <v>878</v>
      </c>
      <c r="B957" s="15" t="s">
        <v>879</v>
      </c>
      <c r="C957" s="16">
        <v>32</v>
      </c>
      <c r="D957" s="15" t="s">
        <v>285</v>
      </c>
      <c r="E957" s="15" t="s">
        <v>286</v>
      </c>
      <c r="F957" s="15">
        <v>16</v>
      </c>
      <c r="G957" s="15">
        <v>16</v>
      </c>
    </row>
    <row r="958" spans="1:7" x14ac:dyDescent="0.25">
      <c r="A958" s="15" t="s">
        <v>878</v>
      </c>
      <c r="B958" s="15" t="s">
        <v>879</v>
      </c>
      <c r="C958" s="16">
        <v>207.45</v>
      </c>
      <c r="D958" s="15" t="s">
        <v>399</v>
      </c>
      <c r="E958" s="15" t="s">
        <v>917</v>
      </c>
      <c r="F958" s="15">
        <v>9</v>
      </c>
      <c r="G958" s="15">
        <v>9</v>
      </c>
    </row>
    <row r="959" spans="1:7" x14ac:dyDescent="0.25">
      <c r="A959" s="15" t="s">
        <v>878</v>
      </c>
      <c r="B959" s="15" t="s">
        <v>879</v>
      </c>
      <c r="C959" s="16">
        <v>17.22</v>
      </c>
      <c r="D959" s="15" t="s">
        <v>291</v>
      </c>
      <c r="E959" s="15" t="s">
        <v>292</v>
      </c>
      <c r="F959" s="15">
        <v>7</v>
      </c>
      <c r="G959" s="15">
        <v>7</v>
      </c>
    </row>
    <row r="960" spans="1:7" x14ac:dyDescent="0.25">
      <c r="A960" s="15" t="s">
        <v>878</v>
      </c>
      <c r="B960" s="15" t="s">
        <v>879</v>
      </c>
      <c r="C960" s="16">
        <v>55.2</v>
      </c>
      <c r="D960" s="15" t="s">
        <v>80</v>
      </c>
      <c r="E960" s="15" t="s">
        <v>918</v>
      </c>
      <c r="F960" s="15">
        <v>7</v>
      </c>
      <c r="G960" s="15">
        <v>7</v>
      </c>
    </row>
    <row r="961" spans="1:7" x14ac:dyDescent="0.25">
      <c r="A961" s="15" t="s">
        <v>878</v>
      </c>
      <c r="B961" s="15" t="s">
        <v>879</v>
      </c>
      <c r="C961" s="16">
        <v>172.2</v>
      </c>
      <c r="D961" s="15" t="s">
        <v>293</v>
      </c>
      <c r="E961" s="15" t="s">
        <v>294</v>
      </c>
      <c r="F961" s="15">
        <v>23</v>
      </c>
      <c r="G961" s="15">
        <v>23</v>
      </c>
    </row>
    <row r="962" spans="1:7" x14ac:dyDescent="0.25">
      <c r="A962" s="15" t="s">
        <v>878</v>
      </c>
      <c r="B962" s="15" t="s">
        <v>879</v>
      </c>
      <c r="C962" s="16">
        <v>35.700000000000003</v>
      </c>
      <c r="D962" s="15" t="s">
        <v>80</v>
      </c>
      <c r="E962" s="15" t="s">
        <v>862</v>
      </c>
      <c r="F962" s="15">
        <v>7</v>
      </c>
      <c r="G962" s="15">
        <v>7</v>
      </c>
    </row>
    <row r="963" spans="1:7" x14ac:dyDescent="0.25">
      <c r="A963" s="15" t="s">
        <v>878</v>
      </c>
      <c r="B963" s="15" t="s">
        <v>879</v>
      </c>
      <c r="C963" s="16">
        <v>83.2</v>
      </c>
      <c r="D963" s="15" t="s">
        <v>295</v>
      </c>
      <c r="E963" s="15" t="s">
        <v>296</v>
      </c>
      <c r="F963" s="15">
        <v>5</v>
      </c>
      <c r="G963" s="15">
        <v>5</v>
      </c>
    </row>
    <row r="964" spans="1:7" x14ac:dyDescent="0.25">
      <c r="A964" s="15" t="s">
        <v>878</v>
      </c>
      <c r="B964" s="15" t="s">
        <v>879</v>
      </c>
      <c r="C964" s="16">
        <v>385.9</v>
      </c>
      <c r="D964" s="15" t="s">
        <v>80</v>
      </c>
      <c r="E964" s="15" t="s">
        <v>297</v>
      </c>
      <c r="F964" s="15">
        <v>23</v>
      </c>
      <c r="G964" s="15">
        <v>23</v>
      </c>
    </row>
    <row r="965" spans="1:7" x14ac:dyDescent="0.25">
      <c r="A965" s="15" t="s">
        <v>878</v>
      </c>
      <c r="B965" s="15" t="s">
        <v>879</v>
      </c>
      <c r="C965" s="16">
        <v>583.5</v>
      </c>
      <c r="D965" s="15" t="s">
        <v>90</v>
      </c>
      <c r="E965" s="15" t="s">
        <v>711</v>
      </c>
      <c r="F965" s="15">
        <v>60</v>
      </c>
      <c r="G965" s="15">
        <v>60</v>
      </c>
    </row>
    <row r="966" spans="1:7" x14ac:dyDescent="0.25">
      <c r="A966" s="15" t="s">
        <v>878</v>
      </c>
      <c r="B966" s="15" t="s">
        <v>879</v>
      </c>
      <c r="C966" s="16">
        <v>16</v>
      </c>
      <c r="D966" s="15" t="s">
        <v>447</v>
      </c>
      <c r="E966" s="15" t="s">
        <v>919</v>
      </c>
      <c r="F966" s="15">
        <v>3</v>
      </c>
      <c r="G966" s="15">
        <v>3</v>
      </c>
    </row>
    <row r="967" spans="1:7" x14ac:dyDescent="0.25">
      <c r="A967" s="15" t="s">
        <v>878</v>
      </c>
      <c r="B967" s="15" t="s">
        <v>879</v>
      </c>
      <c r="C967" s="16">
        <v>42.45</v>
      </c>
      <c r="D967" s="15" t="s">
        <v>920</v>
      </c>
      <c r="E967" s="15" t="s">
        <v>921</v>
      </c>
      <c r="F967" s="15">
        <v>3</v>
      </c>
      <c r="G967" s="15">
        <v>3</v>
      </c>
    </row>
    <row r="968" spans="1:7" x14ac:dyDescent="0.25">
      <c r="A968" s="15" t="s">
        <v>878</v>
      </c>
      <c r="B968" s="15" t="s">
        <v>879</v>
      </c>
      <c r="C968" s="16">
        <v>137.19999999999999</v>
      </c>
      <c r="D968" s="15" t="s">
        <v>191</v>
      </c>
      <c r="E968" s="15" t="s">
        <v>192</v>
      </c>
      <c r="F968" s="15">
        <v>7</v>
      </c>
      <c r="G968" s="15">
        <v>7</v>
      </c>
    </row>
    <row r="969" spans="1:7" x14ac:dyDescent="0.25">
      <c r="A969" s="15" t="s">
        <v>878</v>
      </c>
      <c r="B969" s="15" t="s">
        <v>879</v>
      </c>
      <c r="C969" s="16">
        <v>223.1</v>
      </c>
      <c r="D969" s="15" t="s">
        <v>305</v>
      </c>
      <c r="E969" s="15" t="s">
        <v>306</v>
      </c>
      <c r="F969" s="15">
        <v>24</v>
      </c>
      <c r="G969" s="15">
        <v>24</v>
      </c>
    </row>
    <row r="970" spans="1:7" x14ac:dyDescent="0.25">
      <c r="A970" s="15" t="s">
        <v>878</v>
      </c>
      <c r="B970" s="15" t="s">
        <v>879</v>
      </c>
      <c r="C970" s="16">
        <v>1023.75</v>
      </c>
      <c r="D970" s="15" t="s">
        <v>307</v>
      </c>
      <c r="E970" s="15" t="s">
        <v>714</v>
      </c>
      <c r="F970" s="15">
        <v>96</v>
      </c>
      <c r="G970" s="15">
        <v>96</v>
      </c>
    </row>
    <row r="971" spans="1:7" x14ac:dyDescent="0.25">
      <c r="A971" s="15" t="s">
        <v>878</v>
      </c>
      <c r="B971" s="15" t="s">
        <v>879</v>
      </c>
      <c r="C971" s="16">
        <v>7.35</v>
      </c>
      <c r="D971" s="15" t="s">
        <v>922</v>
      </c>
      <c r="E971" s="15" t="s">
        <v>923</v>
      </c>
      <c r="F971" s="15">
        <v>1</v>
      </c>
      <c r="G971" s="15">
        <v>1</v>
      </c>
    </row>
    <row r="972" spans="1:7" x14ac:dyDescent="0.25">
      <c r="A972" s="15" t="s">
        <v>878</v>
      </c>
      <c r="B972" s="15" t="s">
        <v>879</v>
      </c>
      <c r="C972" s="16">
        <v>404.25</v>
      </c>
      <c r="D972" s="15" t="s">
        <v>311</v>
      </c>
      <c r="E972" s="15" t="s">
        <v>312</v>
      </c>
      <c r="F972" s="15">
        <v>16</v>
      </c>
      <c r="G972" s="15">
        <v>16</v>
      </c>
    </row>
    <row r="973" spans="1:7" x14ac:dyDescent="0.25">
      <c r="A973" s="15" t="s">
        <v>878</v>
      </c>
      <c r="B973" s="15" t="s">
        <v>879</v>
      </c>
      <c r="C973" s="16">
        <v>807.25</v>
      </c>
      <c r="D973" s="15" t="s">
        <v>194</v>
      </c>
      <c r="E973" s="15" t="s">
        <v>426</v>
      </c>
      <c r="F973" s="15">
        <v>48</v>
      </c>
      <c r="G973" s="15">
        <v>48</v>
      </c>
    </row>
    <row r="974" spans="1:7" x14ac:dyDescent="0.25">
      <c r="A974" s="15" t="s">
        <v>878</v>
      </c>
      <c r="B974" s="15" t="s">
        <v>879</v>
      </c>
      <c r="C974" s="16">
        <v>317.39999999999998</v>
      </c>
      <c r="D974" s="15" t="s">
        <v>138</v>
      </c>
      <c r="E974" s="15" t="s">
        <v>196</v>
      </c>
      <c r="F974" s="15">
        <v>12</v>
      </c>
      <c r="G974" s="15">
        <v>12</v>
      </c>
    </row>
    <row r="975" spans="1:7" x14ac:dyDescent="0.25">
      <c r="A975" s="15" t="s">
        <v>924</v>
      </c>
      <c r="B975" s="15" t="s">
        <v>925</v>
      </c>
      <c r="C975" s="16">
        <v>252.95</v>
      </c>
      <c r="D975" s="15" t="s">
        <v>91</v>
      </c>
      <c r="E975" s="15" t="s">
        <v>92</v>
      </c>
      <c r="F975" s="15">
        <v>19</v>
      </c>
      <c r="G975" s="15">
        <v>19</v>
      </c>
    </row>
    <row r="976" spans="1:7" x14ac:dyDescent="0.25">
      <c r="A976" s="15" t="s">
        <v>924</v>
      </c>
      <c r="B976" s="15" t="s">
        <v>925</v>
      </c>
      <c r="C976" s="16">
        <v>160.46</v>
      </c>
      <c r="D976" s="15" t="s">
        <v>80</v>
      </c>
      <c r="E976" s="15" t="s">
        <v>926</v>
      </c>
      <c r="F976" s="15">
        <v>19</v>
      </c>
      <c r="G976" s="15">
        <v>19</v>
      </c>
    </row>
    <row r="977" spans="1:7" x14ac:dyDescent="0.25">
      <c r="A977" s="15" t="s">
        <v>924</v>
      </c>
      <c r="B977" s="15" t="s">
        <v>925</v>
      </c>
      <c r="C977" s="16">
        <v>35.86</v>
      </c>
      <c r="D977" s="15" t="s">
        <v>80</v>
      </c>
      <c r="E977" s="15" t="s">
        <v>927</v>
      </c>
      <c r="F977" s="15">
        <v>3</v>
      </c>
      <c r="G977" s="15">
        <v>3</v>
      </c>
    </row>
    <row r="978" spans="1:7" x14ac:dyDescent="0.25">
      <c r="A978" s="15" t="s">
        <v>924</v>
      </c>
      <c r="B978" s="15" t="s">
        <v>925</v>
      </c>
      <c r="C978" s="16">
        <v>14.86</v>
      </c>
      <c r="D978" s="15" t="s">
        <v>238</v>
      </c>
      <c r="E978" s="15" t="s">
        <v>928</v>
      </c>
      <c r="F978" s="15">
        <v>2</v>
      </c>
      <c r="G978" s="15">
        <v>2</v>
      </c>
    </row>
    <row r="979" spans="1:7" x14ac:dyDescent="0.25">
      <c r="A979" s="15" t="s">
        <v>924</v>
      </c>
      <c r="B979" s="15" t="s">
        <v>925</v>
      </c>
      <c r="C979" s="16">
        <v>17.940000000000001</v>
      </c>
      <c r="D979" s="15" t="s">
        <v>929</v>
      </c>
      <c r="E979" s="15" t="s">
        <v>930</v>
      </c>
      <c r="F979" s="15">
        <v>8</v>
      </c>
      <c r="G979" s="15">
        <v>8</v>
      </c>
    </row>
    <row r="980" spans="1:7" x14ac:dyDescent="0.25">
      <c r="A980" s="15" t="s">
        <v>924</v>
      </c>
      <c r="B980" s="15" t="s">
        <v>925</v>
      </c>
      <c r="C980" s="16">
        <v>1.25</v>
      </c>
      <c r="D980" s="15" t="s">
        <v>931</v>
      </c>
      <c r="E980" s="15" t="s">
        <v>932</v>
      </c>
      <c r="F980" s="15">
        <v>1</v>
      </c>
      <c r="G980" s="15">
        <v>1</v>
      </c>
    </row>
    <row r="981" spans="1:7" x14ac:dyDescent="0.25">
      <c r="A981" s="15" t="s">
        <v>924</v>
      </c>
      <c r="B981" s="15" t="s">
        <v>925</v>
      </c>
      <c r="C981" s="16">
        <v>21.86</v>
      </c>
      <c r="D981" s="15" t="s">
        <v>129</v>
      </c>
      <c r="E981" s="15" t="s">
        <v>130</v>
      </c>
      <c r="F981" s="15">
        <v>7</v>
      </c>
      <c r="G981" s="15">
        <v>7</v>
      </c>
    </row>
    <row r="982" spans="1:7" x14ac:dyDescent="0.25">
      <c r="A982" s="15" t="s">
        <v>924</v>
      </c>
      <c r="B982" s="15" t="s">
        <v>925</v>
      </c>
      <c r="C982" s="16">
        <v>116.9</v>
      </c>
      <c r="D982" s="15" t="s">
        <v>220</v>
      </c>
      <c r="E982" s="15" t="s">
        <v>221</v>
      </c>
      <c r="F982" s="15">
        <v>16</v>
      </c>
      <c r="G982" s="15">
        <v>16</v>
      </c>
    </row>
    <row r="983" spans="1:7" x14ac:dyDescent="0.25">
      <c r="A983" s="15" t="s">
        <v>924</v>
      </c>
      <c r="B983" s="15" t="s">
        <v>925</v>
      </c>
      <c r="C983" s="16">
        <v>133.72</v>
      </c>
      <c r="D983" s="15" t="s">
        <v>933</v>
      </c>
      <c r="E983" s="15" t="s">
        <v>934</v>
      </c>
      <c r="F983" s="15">
        <v>12</v>
      </c>
      <c r="G983" s="15">
        <v>12</v>
      </c>
    </row>
    <row r="984" spans="1:7" x14ac:dyDescent="0.25">
      <c r="A984" s="15" t="s">
        <v>924</v>
      </c>
      <c r="B984" s="15" t="s">
        <v>925</v>
      </c>
      <c r="C984" s="16">
        <v>37.549999999999997</v>
      </c>
      <c r="D984" s="15" t="s">
        <v>458</v>
      </c>
      <c r="E984" s="15" t="s">
        <v>935</v>
      </c>
      <c r="F984" s="15">
        <v>10</v>
      </c>
      <c r="G984" s="15">
        <v>10</v>
      </c>
    </row>
    <row r="985" spans="1:7" x14ac:dyDescent="0.25">
      <c r="A985" s="15" t="s">
        <v>924</v>
      </c>
      <c r="B985" s="15" t="s">
        <v>925</v>
      </c>
      <c r="C985" s="16">
        <v>83.65</v>
      </c>
      <c r="D985" s="15" t="s">
        <v>275</v>
      </c>
      <c r="E985" s="15" t="s">
        <v>936</v>
      </c>
      <c r="F985" s="15">
        <v>11</v>
      </c>
      <c r="G985" s="15">
        <v>11</v>
      </c>
    </row>
    <row r="986" spans="1:7" x14ac:dyDescent="0.25">
      <c r="A986" s="15" t="s">
        <v>924</v>
      </c>
      <c r="B986" s="15" t="s">
        <v>925</v>
      </c>
      <c r="C986" s="16">
        <v>20</v>
      </c>
      <c r="D986" s="15" t="s">
        <v>937</v>
      </c>
      <c r="E986" s="15" t="s">
        <v>938</v>
      </c>
      <c r="F986" s="15">
        <v>1</v>
      </c>
      <c r="G986" s="15">
        <v>1</v>
      </c>
    </row>
    <row r="987" spans="1:7" x14ac:dyDescent="0.25">
      <c r="A987" s="15" t="s">
        <v>924</v>
      </c>
      <c r="B987" s="15" t="s">
        <v>925</v>
      </c>
      <c r="C987" s="16">
        <v>17.079999999999998</v>
      </c>
      <c r="D987" s="15" t="s">
        <v>517</v>
      </c>
      <c r="E987" s="15" t="s">
        <v>939</v>
      </c>
      <c r="F987" s="15">
        <v>3</v>
      </c>
      <c r="G987" s="15">
        <v>3</v>
      </c>
    </row>
    <row r="988" spans="1:7" x14ac:dyDescent="0.25">
      <c r="A988" s="15" t="s">
        <v>924</v>
      </c>
      <c r="B988" s="15" t="s">
        <v>925</v>
      </c>
      <c r="C988" s="16">
        <v>2787.88</v>
      </c>
      <c r="D988" s="15" t="s">
        <v>940</v>
      </c>
      <c r="E988" s="15" t="s">
        <v>941</v>
      </c>
      <c r="F988" s="15">
        <v>121</v>
      </c>
      <c r="G988" s="15">
        <v>121</v>
      </c>
    </row>
    <row r="989" spans="1:7" x14ac:dyDescent="0.25">
      <c r="A989" s="15" t="s">
        <v>924</v>
      </c>
      <c r="B989" s="15" t="s">
        <v>925</v>
      </c>
      <c r="C989" s="16">
        <v>196.7</v>
      </c>
      <c r="D989" s="15" t="s">
        <v>123</v>
      </c>
      <c r="E989" s="15" t="s">
        <v>124</v>
      </c>
      <c r="F989" s="15">
        <v>7</v>
      </c>
      <c r="G989" s="15">
        <v>7</v>
      </c>
    </row>
    <row r="990" spans="1:7" x14ac:dyDescent="0.25">
      <c r="A990" s="15" t="s">
        <v>924</v>
      </c>
      <c r="B990" s="15" t="s">
        <v>925</v>
      </c>
      <c r="C990" s="16">
        <v>83.84</v>
      </c>
      <c r="D990" s="15" t="s">
        <v>480</v>
      </c>
      <c r="E990" s="15" t="s">
        <v>942</v>
      </c>
      <c r="F990" s="15">
        <v>3</v>
      </c>
      <c r="G990" s="15">
        <v>3</v>
      </c>
    </row>
    <row r="991" spans="1:7" x14ac:dyDescent="0.25">
      <c r="A991" s="15" t="s">
        <v>924</v>
      </c>
      <c r="B991" s="15" t="s">
        <v>925</v>
      </c>
      <c r="C991" s="16">
        <v>134.91999999999999</v>
      </c>
      <c r="D991" s="15" t="s">
        <v>121</v>
      </c>
      <c r="E991" s="15" t="s">
        <v>122</v>
      </c>
      <c r="F991" s="15">
        <v>15</v>
      </c>
      <c r="G991" s="15">
        <v>15</v>
      </c>
    </row>
    <row r="992" spans="1:7" x14ac:dyDescent="0.25">
      <c r="A992" s="15" t="s">
        <v>924</v>
      </c>
      <c r="B992" s="15" t="s">
        <v>925</v>
      </c>
      <c r="C992" s="16">
        <v>1783.68</v>
      </c>
      <c r="D992" s="15" t="s">
        <v>101</v>
      </c>
      <c r="E992" s="15" t="s">
        <v>102</v>
      </c>
      <c r="F992" s="15">
        <v>141</v>
      </c>
      <c r="G992" s="15">
        <v>141</v>
      </c>
    </row>
    <row r="993" spans="1:7" x14ac:dyDescent="0.25">
      <c r="A993" s="15" t="s">
        <v>924</v>
      </c>
      <c r="B993" s="15" t="s">
        <v>925</v>
      </c>
      <c r="C993" s="16">
        <v>72</v>
      </c>
      <c r="D993" s="15" t="s">
        <v>98</v>
      </c>
      <c r="E993" s="15" t="s">
        <v>99</v>
      </c>
      <c r="F993" s="15">
        <v>3</v>
      </c>
      <c r="G993" s="15">
        <v>3</v>
      </c>
    </row>
    <row r="994" spans="1:7" x14ac:dyDescent="0.25">
      <c r="A994" s="15" t="s">
        <v>924</v>
      </c>
      <c r="B994" s="15" t="s">
        <v>925</v>
      </c>
      <c r="C994" s="16">
        <v>0.6</v>
      </c>
      <c r="D994" s="15" t="s">
        <v>127</v>
      </c>
      <c r="E994" s="15" t="s">
        <v>128</v>
      </c>
      <c r="F994" s="15">
        <v>5</v>
      </c>
      <c r="G994" s="15">
        <v>5</v>
      </c>
    </row>
    <row r="995" spans="1:7" x14ac:dyDescent="0.25">
      <c r="A995" s="15" t="s">
        <v>924</v>
      </c>
      <c r="B995" s="15" t="s">
        <v>925</v>
      </c>
      <c r="C995" s="16">
        <v>90.64</v>
      </c>
      <c r="D995" s="15" t="s">
        <v>80</v>
      </c>
      <c r="E995" s="15" t="s">
        <v>943</v>
      </c>
      <c r="F995" s="15">
        <v>8</v>
      </c>
      <c r="G995" s="15">
        <v>8</v>
      </c>
    </row>
    <row r="996" spans="1:7" x14ac:dyDescent="0.25">
      <c r="A996" s="15" t="s">
        <v>924</v>
      </c>
      <c r="B996" s="15" t="s">
        <v>925</v>
      </c>
      <c r="C996" s="16">
        <v>130.56</v>
      </c>
      <c r="D996" s="15" t="s">
        <v>680</v>
      </c>
      <c r="E996" s="15" t="s">
        <v>944</v>
      </c>
      <c r="F996" s="15">
        <v>14</v>
      </c>
      <c r="G996" s="15">
        <v>14</v>
      </c>
    </row>
    <row r="997" spans="1:7" x14ac:dyDescent="0.25">
      <c r="A997" s="15" t="s">
        <v>924</v>
      </c>
      <c r="B997" s="15" t="s">
        <v>925</v>
      </c>
      <c r="C997" s="16">
        <v>123.38</v>
      </c>
      <c r="D997" s="15" t="s">
        <v>945</v>
      </c>
      <c r="E997" s="15" t="s">
        <v>946</v>
      </c>
      <c r="F997" s="15">
        <v>25</v>
      </c>
      <c r="G997" s="15">
        <v>25</v>
      </c>
    </row>
    <row r="998" spans="1:7" x14ac:dyDescent="0.25">
      <c r="A998" s="15" t="s">
        <v>924</v>
      </c>
      <c r="B998" s="15" t="s">
        <v>925</v>
      </c>
      <c r="C998" s="16">
        <v>124.02</v>
      </c>
      <c r="D998" s="15" t="s">
        <v>179</v>
      </c>
      <c r="E998" s="15" t="s">
        <v>523</v>
      </c>
      <c r="F998" s="15">
        <v>9</v>
      </c>
      <c r="G998" s="15">
        <v>9</v>
      </c>
    </row>
    <row r="999" spans="1:7" x14ac:dyDescent="0.25">
      <c r="A999" s="15" t="s">
        <v>924</v>
      </c>
      <c r="B999" s="15" t="s">
        <v>925</v>
      </c>
      <c r="C999" s="16">
        <v>17.84</v>
      </c>
      <c r="D999" s="15" t="s">
        <v>947</v>
      </c>
      <c r="E999" s="15" t="s">
        <v>948</v>
      </c>
      <c r="F999" s="15">
        <v>1</v>
      </c>
      <c r="G999" s="15">
        <v>1</v>
      </c>
    </row>
    <row r="1000" spans="1:7" x14ac:dyDescent="0.25">
      <c r="A1000" s="15" t="s">
        <v>924</v>
      </c>
      <c r="B1000" s="15" t="s">
        <v>925</v>
      </c>
      <c r="C1000" s="16">
        <v>2040.1</v>
      </c>
      <c r="D1000" s="15" t="s">
        <v>132</v>
      </c>
      <c r="E1000" s="15" t="s">
        <v>133</v>
      </c>
      <c r="F1000" s="15">
        <v>87</v>
      </c>
      <c r="G1000" s="15">
        <v>87</v>
      </c>
    </row>
    <row r="1001" spans="1:7" x14ac:dyDescent="0.25">
      <c r="A1001" s="15" t="s">
        <v>924</v>
      </c>
      <c r="B1001" s="15" t="s">
        <v>925</v>
      </c>
      <c r="C1001" s="16">
        <v>28.08</v>
      </c>
      <c r="D1001" s="15" t="s">
        <v>660</v>
      </c>
      <c r="E1001" s="15" t="s">
        <v>341</v>
      </c>
      <c r="F1001" s="15">
        <v>12</v>
      </c>
      <c r="G1001" s="15">
        <v>12</v>
      </c>
    </row>
    <row r="1002" spans="1:7" x14ac:dyDescent="0.25">
      <c r="A1002" s="15" t="s">
        <v>924</v>
      </c>
      <c r="B1002" s="15" t="s">
        <v>925</v>
      </c>
      <c r="C1002" s="16">
        <v>2.5499999999999998</v>
      </c>
      <c r="D1002" s="15" t="s">
        <v>100</v>
      </c>
      <c r="E1002" s="15" t="s">
        <v>949</v>
      </c>
      <c r="F1002" s="15">
        <v>1</v>
      </c>
      <c r="G1002" s="15">
        <v>1</v>
      </c>
    </row>
    <row r="1003" spans="1:7" x14ac:dyDescent="0.25">
      <c r="A1003" s="15" t="s">
        <v>924</v>
      </c>
      <c r="B1003" s="15" t="s">
        <v>925</v>
      </c>
      <c r="C1003" s="16">
        <v>248.23</v>
      </c>
      <c r="D1003" s="15" t="s">
        <v>80</v>
      </c>
      <c r="E1003" s="15" t="s">
        <v>950</v>
      </c>
      <c r="F1003" s="15">
        <v>17</v>
      </c>
      <c r="G1003" s="15">
        <v>17</v>
      </c>
    </row>
    <row r="1004" spans="1:7" x14ac:dyDescent="0.25">
      <c r="A1004" s="15" t="s">
        <v>924</v>
      </c>
      <c r="B1004" s="15" t="s">
        <v>925</v>
      </c>
      <c r="C1004" s="16">
        <v>213.3</v>
      </c>
      <c r="D1004" s="15" t="s">
        <v>111</v>
      </c>
      <c r="E1004" s="15" t="s">
        <v>112</v>
      </c>
      <c r="F1004" s="15">
        <v>17</v>
      </c>
      <c r="G1004" s="15">
        <v>17</v>
      </c>
    </row>
    <row r="1005" spans="1:7" x14ac:dyDescent="0.25">
      <c r="A1005" s="15" t="s">
        <v>924</v>
      </c>
      <c r="B1005" s="15" t="s">
        <v>925</v>
      </c>
      <c r="C1005" s="16">
        <v>207.72</v>
      </c>
      <c r="D1005" s="15" t="s">
        <v>951</v>
      </c>
      <c r="E1005" s="15" t="s">
        <v>952</v>
      </c>
      <c r="F1005" s="15">
        <v>12</v>
      </c>
      <c r="G1005" s="15">
        <v>12</v>
      </c>
    </row>
    <row r="1006" spans="1:7" x14ac:dyDescent="0.25">
      <c r="A1006" s="15" t="s">
        <v>924</v>
      </c>
      <c r="B1006" s="15" t="s">
        <v>925</v>
      </c>
      <c r="C1006" s="16">
        <v>175.1</v>
      </c>
      <c r="D1006" s="15" t="s">
        <v>348</v>
      </c>
      <c r="E1006" s="15" t="s">
        <v>657</v>
      </c>
      <c r="F1006" s="15">
        <v>12</v>
      </c>
      <c r="G1006" s="15">
        <v>12</v>
      </c>
    </row>
    <row r="1007" spans="1:7" x14ac:dyDescent="0.25">
      <c r="A1007" s="15" t="s">
        <v>924</v>
      </c>
      <c r="B1007" s="15" t="s">
        <v>925</v>
      </c>
      <c r="C1007" s="16">
        <v>102.16</v>
      </c>
      <c r="D1007" s="15" t="s">
        <v>123</v>
      </c>
      <c r="E1007" s="15" t="s">
        <v>953</v>
      </c>
      <c r="F1007" s="15">
        <v>12</v>
      </c>
      <c r="G1007" s="15">
        <v>12</v>
      </c>
    </row>
    <row r="1008" spans="1:7" x14ac:dyDescent="0.25">
      <c r="A1008" s="15" t="s">
        <v>924</v>
      </c>
      <c r="B1008" s="15" t="s">
        <v>925</v>
      </c>
      <c r="C1008" s="16">
        <v>107.35</v>
      </c>
      <c r="D1008" s="15" t="s">
        <v>117</v>
      </c>
      <c r="E1008" s="15" t="s">
        <v>118</v>
      </c>
      <c r="F1008" s="15">
        <v>7</v>
      </c>
      <c r="G1008" s="15">
        <v>7</v>
      </c>
    </row>
    <row r="1009" spans="1:7" x14ac:dyDescent="0.25">
      <c r="A1009" s="15" t="s">
        <v>924</v>
      </c>
      <c r="B1009" s="15" t="s">
        <v>925</v>
      </c>
      <c r="C1009" s="16">
        <v>1142.55</v>
      </c>
      <c r="D1009" s="15" t="s">
        <v>105</v>
      </c>
      <c r="E1009" s="15" t="s">
        <v>106</v>
      </c>
      <c r="F1009" s="15">
        <v>59</v>
      </c>
      <c r="G1009" s="15">
        <v>59</v>
      </c>
    </row>
    <row r="1010" spans="1:7" x14ac:dyDescent="0.25">
      <c r="A1010" s="15" t="s">
        <v>924</v>
      </c>
      <c r="B1010" s="15" t="s">
        <v>925</v>
      </c>
      <c r="C1010" s="16">
        <v>28.5</v>
      </c>
      <c r="D1010" s="15" t="s">
        <v>80</v>
      </c>
      <c r="E1010" s="15" t="s">
        <v>81</v>
      </c>
      <c r="F1010" s="15">
        <v>3</v>
      </c>
      <c r="G1010" s="15">
        <v>3</v>
      </c>
    </row>
    <row r="1011" spans="1:7" x14ac:dyDescent="0.25">
      <c r="A1011" s="15" t="s">
        <v>924</v>
      </c>
      <c r="B1011" s="15" t="s">
        <v>925</v>
      </c>
      <c r="C1011" s="16">
        <v>2.08</v>
      </c>
      <c r="D1011" s="15" t="s">
        <v>80</v>
      </c>
      <c r="E1011" s="15" t="s">
        <v>954</v>
      </c>
      <c r="F1011" s="15">
        <v>1</v>
      </c>
      <c r="G1011" s="15">
        <v>1</v>
      </c>
    </row>
    <row r="1012" spans="1:7" x14ac:dyDescent="0.25">
      <c r="A1012" s="15" t="s">
        <v>924</v>
      </c>
      <c r="B1012" s="15" t="s">
        <v>925</v>
      </c>
      <c r="C1012" s="16">
        <v>59.8</v>
      </c>
      <c r="D1012" s="15" t="s">
        <v>903</v>
      </c>
      <c r="E1012" s="15" t="s">
        <v>904</v>
      </c>
      <c r="F1012" s="15">
        <v>7</v>
      </c>
      <c r="G1012" s="15">
        <v>7</v>
      </c>
    </row>
    <row r="1013" spans="1:7" x14ac:dyDescent="0.25">
      <c r="A1013" s="15" t="s">
        <v>924</v>
      </c>
      <c r="B1013" s="15" t="s">
        <v>925</v>
      </c>
      <c r="C1013" s="16">
        <v>47.28</v>
      </c>
      <c r="D1013" s="15" t="s">
        <v>955</v>
      </c>
      <c r="E1013" s="15" t="s">
        <v>956</v>
      </c>
      <c r="F1013" s="15">
        <v>9</v>
      </c>
      <c r="G1013" s="15">
        <v>9</v>
      </c>
    </row>
    <row r="1014" spans="1:7" x14ac:dyDescent="0.25">
      <c r="A1014" s="15" t="s">
        <v>924</v>
      </c>
      <c r="B1014" s="15" t="s">
        <v>925</v>
      </c>
      <c r="C1014" s="16">
        <v>228.1</v>
      </c>
      <c r="D1014" s="15" t="s">
        <v>103</v>
      </c>
      <c r="E1014" s="15" t="s">
        <v>104</v>
      </c>
      <c r="F1014" s="15">
        <v>17</v>
      </c>
      <c r="G1014" s="15">
        <v>17</v>
      </c>
    </row>
    <row r="1015" spans="1:7" x14ac:dyDescent="0.25">
      <c r="A1015" s="15" t="s">
        <v>924</v>
      </c>
      <c r="B1015" s="15" t="s">
        <v>925</v>
      </c>
      <c r="C1015" s="16">
        <v>10</v>
      </c>
      <c r="D1015" s="15" t="s">
        <v>957</v>
      </c>
      <c r="E1015" s="15" t="s">
        <v>958</v>
      </c>
      <c r="F1015" s="15">
        <v>2</v>
      </c>
      <c r="G1015" s="15">
        <v>2</v>
      </c>
    </row>
    <row r="1016" spans="1:7" x14ac:dyDescent="0.25">
      <c r="A1016" s="15" t="s">
        <v>924</v>
      </c>
      <c r="B1016" s="15" t="s">
        <v>925</v>
      </c>
      <c r="C1016" s="16">
        <v>92.24</v>
      </c>
      <c r="D1016" s="15" t="s">
        <v>80</v>
      </c>
      <c r="E1016" s="15" t="s">
        <v>959</v>
      </c>
      <c r="F1016" s="15">
        <v>8</v>
      </c>
      <c r="G1016" s="15">
        <v>8</v>
      </c>
    </row>
    <row r="1017" spans="1:7" x14ac:dyDescent="0.25">
      <c r="A1017" s="15" t="s">
        <v>924</v>
      </c>
      <c r="B1017" s="15" t="s">
        <v>925</v>
      </c>
      <c r="C1017" s="16">
        <v>530.45000000000005</v>
      </c>
      <c r="D1017" s="15" t="s">
        <v>960</v>
      </c>
      <c r="E1017" s="15" t="s">
        <v>961</v>
      </c>
      <c r="F1017" s="15">
        <v>41</v>
      </c>
      <c r="G1017" s="15">
        <v>41</v>
      </c>
    </row>
    <row r="1018" spans="1:7" x14ac:dyDescent="0.25">
      <c r="A1018" s="15" t="s">
        <v>924</v>
      </c>
      <c r="B1018" s="15" t="s">
        <v>925</v>
      </c>
      <c r="C1018" s="16">
        <v>235.68</v>
      </c>
      <c r="D1018" s="15" t="s">
        <v>67</v>
      </c>
      <c r="E1018" s="15" t="s">
        <v>962</v>
      </c>
      <c r="F1018" s="15">
        <v>33</v>
      </c>
      <c r="G1018" s="15">
        <v>33</v>
      </c>
    </row>
    <row r="1019" spans="1:7" x14ac:dyDescent="0.25">
      <c r="A1019" s="15" t="s">
        <v>924</v>
      </c>
      <c r="B1019" s="15" t="s">
        <v>925</v>
      </c>
      <c r="C1019" s="16">
        <v>658.59</v>
      </c>
      <c r="D1019" s="15" t="s">
        <v>95</v>
      </c>
      <c r="E1019" s="15" t="s">
        <v>697</v>
      </c>
      <c r="F1019" s="15">
        <v>45</v>
      </c>
      <c r="G1019" s="15">
        <v>45</v>
      </c>
    </row>
    <row r="1020" spans="1:7" x14ac:dyDescent="0.25">
      <c r="A1020" s="15" t="s">
        <v>924</v>
      </c>
      <c r="B1020" s="15" t="s">
        <v>925</v>
      </c>
      <c r="C1020" s="16">
        <v>99.55</v>
      </c>
      <c r="D1020" s="15" t="s">
        <v>84</v>
      </c>
      <c r="E1020" s="15" t="s">
        <v>85</v>
      </c>
      <c r="F1020" s="15">
        <v>14</v>
      </c>
      <c r="G1020" s="15">
        <v>14</v>
      </c>
    </row>
    <row r="1021" spans="1:7" x14ac:dyDescent="0.25">
      <c r="A1021" s="15" t="s">
        <v>924</v>
      </c>
      <c r="B1021" s="15" t="s">
        <v>925</v>
      </c>
      <c r="C1021" s="16">
        <v>40.299999999999997</v>
      </c>
      <c r="D1021" s="15" t="s">
        <v>963</v>
      </c>
      <c r="E1021" s="15" t="s">
        <v>784</v>
      </c>
      <c r="F1021" s="15">
        <v>4</v>
      </c>
      <c r="G1021" s="15">
        <v>4</v>
      </c>
    </row>
    <row r="1022" spans="1:7" x14ac:dyDescent="0.25">
      <c r="A1022" s="15" t="s">
        <v>924</v>
      </c>
      <c r="B1022" s="15" t="s">
        <v>925</v>
      </c>
      <c r="C1022" s="16">
        <v>1322.2</v>
      </c>
      <c r="D1022" s="15" t="s">
        <v>90</v>
      </c>
      <c r="E1022" s="15" t="s">
        <v>964</v>
      </c>
      <c r="F1022" s="15">
        <v>127</v>
      </c>
      <c r="G1022" s="15">
        <v>127</v>
      </c>
    </row>
    <row r="1023" spans="1:7" x14ac:dyDescent="0.25">
      <c r="A1023" s="15" t="s">
        <v>924</v>
      </c>
      <c r="B1023" s="15" t="s">
        <v>925</v>
      </c>
      <c r="C1023" s="16">
        <v>22.9</v>
      </c>
      <c r="D1023" s="15" t="s">
        <v>965</v>
      </c>
      <c r="E1023" s="15" t="s">
        <v>966</v>
      </c>
      <c r="F1023" s="15">
        <v>4</v>
      </c>
      <c r="G1023" s="15">
        <v>4</v>
      </c>
    </row>
    <row r="1024" spans="1:7" x14ac:dyDescent="0.25">
      <c r="A1024" s="15" t="s">
        <v>924</v>
      </c>
      <c r="B1024" s="15" t="s">
        <v>925</v>
      </c>
      <c r="C1024" s="16">
        <v>247.81</v>
      </c>
      <c r="D1024" s="15" t="s">
        <v>80</v>
      </c>
      <c r="E1024" s="15" t="s">
        <v>415</v>
      </c>
      <c r="F1024" s="15">
        <v>18</v>
      </c>
      <c r="G1024" s="15">
        <v>18</v>
      </c>
    </row>
    <row r="1025" spans="1:7" x14ac:dyDescent="0.25">
      <c r="A1025" s="15" t="s">
        <v>924</v>
      </c>
      <c r="B1025" s="15" t="s">
        <v>925</v>
      </c>
      <c r="C1025" s="16">
        <v>223.45</v>
      </c>
      <c r="D1025" s="15" t="s">
        <v>119</v>
      </c>
      <c r="E1025" s="15" t="s">
        <v>120</v>
      </c>
      <c r="F1025" s="15">
        <v>12</v>
      </c>
      <c r="G1025" s="15">
        <v>12</v>
      </c>
    </row>
    <row r="1026" spans="1:7" x14ac:dyDescent="0.25">
      <c r="A1026" s="15" t="s">
        <v>924</v>
      </c>
      <c r="B1026" s="15" t="s">
        <v>925</v>
      </c>
      <c r="C1026" s="16">
        <v>30.66</v>
      </c>
      <c r="D1026" s="15" t="s">
        <v>967</v>
      </c>
      <c r="E1026" s="15" t="s">
        <v>968</v>
      </c>
      <c r="F1026" s="15">
        <v>2</v>
      </c>
      <c r="G1026" s="15">
        <v>2</v>
      </c>
    </row>
    <row r="1027" spans="1:7" x14ac:dyDescent="0.25">
      <c r="A1027" s="15" t="s">
        <v>924</v>
      </c>
      <c r="B1027" s="15" t="s">
        <v>925</v>
      </c>
      <c r="C1027" s="16">
        <v>315.25</v>
      </c>
      <c r="D1027" s="15" t="s">
        <v>80</v>
      </c>
      <c r="E1027" s="15" t="s">
        <v>969</v>
      </c>
      <c r="F1027" s="15">
        <v>29</v>
      </c>
      <c r="G1027" s="15">
        <v>29</v>
      </c>
    </row>
    <row r="1028" spans="1:7" x14ac:dyDescent="0.25">
      <c r="A1028" s="15" t="s">
        <v>924</v>
      </c>
      <c r="B1028" s="15" t="s">
        <v>925</v>
      </c>
      <c r="C1028" s="16">
        <v>240.8</v>
      </c>
      <c r="D1028" s="15" t="s">
        <v>107</v>
      </c>
      <c r="E1028" s="15" t="s">
        <v>108</v>
      </c>
      <c r="F1028" s="15">
        <v>44</v>
      </c>
      <c r="G1028" s="15">
        <v>44</v>
      </c>
    </row>
    <row r="1029" spans="1:7" x14ac:dyDescent="0.25">
      <c r="A1029" s="15" t="s">
        <v>924</v>
      </c>
      <c r="B1029" s="15" t="s">
        <v>925</v>
      </c>
      <c r="C1029" s="16">
        <v>46.99</v>
      </c>
      <c r="D1029" s="15" t="s">
        <v>970</v>
      </c>
      <c r="E1029" s="15" t="s">
        <v>971</v>
      </c>
      <c r="F1029" s="15">
        <v>2</v>
      </c>
      <c r="G1029" s="15">
        <v>2</v>
      </c>
    </row>
    <row r="1030" spans="1:7" x14ac:dyDescent="0.25">
      <c r="A1030" s="15" t="s">
        <v>924</v>
      </c>
      <c r="B1030" s="15" t="s">
        <v>925</v>
      </c>
      <c r="C1030" s="16">
        <v>66.349999999999994</v>
      </c>
      <c r="D1030" s="15" t="s">
        <v>972</v>
      </c>
      <c r="E1030" s="15" t="s">
        <v>973</v>
      </c>
      <c r="F1030" s="15">
        <v>5</v>
      </c>
      <c r="G1030" s="15">
        <v>5</v>
      </c>
    </row>
    <row r="1031" spans="1:7" x14ac:dyDescent="0.25">
      <c r="A1031" s="15" t="s">
        <v>924</v>
      </c>
      <c r="B1031" s="15" t="s">
        <v>925</v>
      </c>
      <c r="C1031" s="16">
        <v>35.08</v>
      </c>
      <c r="D1031" s="15" t="s">
        <v>80</v>
      </c>
      <c r="E1031" s="15" t="s">
        <v>974</v>
      </c>
      <c r="F1031" s="15">
        <v>3</v>
      </c>
      <c r="G1031" s="15">
        <v>3</v>
      </c>
    </row>
    <row r="1032" spans="1:7" x14ac:dyDescent="0.25">
      <c r="A1032" s="15" t="s">
        <v>924</v>
      </c>
      <c r="B1032" s="15" t="s">
        <v>925</v>
      </c>
      <c r="C1032" s="16">
        <v>139.94</v>
      </c>
      <c r="D1032" s="15" t="s">
        <v>80</v>
      </c>
      <c r="E1032" s="15" t="s">
        <v>975</v>
      </c>
      <c r="F1032" s="15">
        <v>13</v>
      </c>
      <c r="G1032" s="15">
        <v>13</v>
      </c>
    </row>
    <row r="1033" spans="1:7" x14ac:dyDescent="0.25">
      <c r="A1033" s="15" t="s">
        <v>924</v>
      </c>
      <c r="B1033" s="15" t="s">
        <v>925</v>
      </c>
      <c r="C1033" s="16">
        <v>519.04999999999995</v>
      </c>
      <c r="D1033" s="15" t="s">
        <v>77</v>
      </c>
      <c r="E1033" s="15" t="s">
        <v>78</v>
      </c>
      <c r="F1033" s="15">
        <v>74</v>
      </c>
      <c r="G1033" s="15">
        <v>74</v>
      </c>
    </row>
    <row r="1034" spans="1:7" x14ac:dyDescent="0.25">
      <c r="A1034" s="15" t="s">
        <v>924</v>
      </c>
      <c r="B1034" s="15" t="s">
        <v>925</v>
      </c>
      <c r="C1034" s="16">
        <v>30.7</v>
      </c>
      <c r="D1034" s="15" t="s">
        <v>243</v>
      </c>
      <c r="E1034" s="15" t="s">
        <v>976</v>
      </c>
      <c r="F1034" s="15">
        <v>5</v>
      </c>
      <c r="G1034" s="15">
        <v>5</v>
      </c>
    </row>
    <row r="1035" spans="1:7" x14ac:dyDescent="0.25">
      <c r="A1035" s="15" t="s">
        <v>924</v>
      </c>
      <c r="B1035" s="15" t="s">
        <v>925</v>
      </c>
      <c r="C1035" s="16">
        <v>1188.68</v>
      </c>
      <c r="D1035" s="15" t="s">
        <v>977</v>
      </c>
      <c r="E1035" s="15" t="s">
        <v>978</v>
      </c>
      <c r="F1035" s="15">
        <v>103</v>
      </c>
      <c r="G1035" s="15">
        <v>103</v>
      </c>
    </row>
    <row r="1036" spans="1:7" x14ac:dyDescent="0.25">
      <c r="A1036" s="15" t="s">
        <v>924</v>
      </c>
      <c r="B1036" s="15" t="s">
        <v>925</v>
      </c>
      <c r="C1036" s="16">
        <v>15.2</v>
      </c>
      <c r="D1036" s="15" t="s">
        <v>125</v>
      </c>
      <c r="E1036" s="15" t="s">
        <v>979</v>
      </c>
      <c r="F1036" s="15">
        <v>4</v>
      </c>
      <c r="G1036" s="15">
        <v>4</v>
      </c>
    </row>
    <row r="1037" spans="1:7" x14ac:dyDescent="0.25">
      <c r="A1037" s="15" t="s">
        <v>924</v>
      </c>
      <c r="B1037" s="15" t="s">
        <v>925</v>
      </c>
      <c r="C1037" s="16">
        <v>67.5</v>
      </c>
      <c r="D1037" s="15" t="s">
        <v>134</v>
      </c>
      <c r="E1037" s="15" t="s">
        <v>980</v>
      </c>
      <c r="F1037" s="15">
        <v>26</v>
      </c>
      <c r="G1037" s="15">
        <v>26</v>
      </c>
    </row>
    <row r="1038" spans="1:7" x14ac:dyDescent="0.25">
      <c r="A1038" s="15" t="s">
        <v>924</v>
      </c>
      <c r="B1038" s="15" t="s">
        <v>925</v>
      </c>
      <c r="C1038" s="16">
        <v>130.5</v>
      </c>
      <c r="D1038" s="15" t="s">
        <v>786</v>
      </c>
      <c r="E1038" s="15" t="s">
        <v>787</v>
      </c>
      <c r="F1038" s="15">
        <v>15</v>
      </c>
      <c r="G1038" s="15">
        <v>15</v>
      </c>
    </row>
    <row r="1039" spans="1:7" x14ac:dyDescent="0.25">
      <c r="A1039" s="15" t="s">
        <v>924</v>
      </c>
      <c r="B1039" s="15" t="s">
        <v>925</v>
      </c>
      <c r="C1039" s="16">
        <v>10.8</v>
      </c>
      <c r="D1039" s="15" t="s">
        <v>360</v>
      </c>
      <c r="E1039" s="15" t="s">
        <v>981</v>
      </c>
      <c r="F1039" s="15">
        <v>1</v>
      </c>
      <c r="G1039" s="15">
        <v>1</v>
      </c>
    </row>
    <row r="1040" spans="1:7" x14ac:dyDescent="0.25">
      <c r="A1040" s="15" t="s">
        <v>924</v>
      </c>
      <c r="B1040" s="15" t="s">
        <v>925</v>
      </c>
      <c r="C1040" s="16">
        <v>44.44</v>
      </c>
      <c r="D1040" s="15" t="s">
        <v>546</v>
      </c>
      <c r="E1040" s="15" t="s">
        <v>982</v>
      </c>
      <c r="F1040" s="15">
        <v>6</v>
      </c>
      <c r="G1040" s="15">
        <v>6</v>
      </c>
    </row>
    <row r="1041" spans="1:7" x14ac:dyDescent="0.25">
      <c r="A1041" s="15" t="s">
        <v>924</v>
      </c>
      <c r="B1041" s="15" t="s">
        <v>925</v>
      </c>
      <c r="C1041" s="16">
        <v>13.12</v>
      </c>
      <c r="D1041" s="15" t="s">
        <v>154</v>
      </c>
      <c r="E1041" s="15" t="s">
        <v>983</v>
      </c>
      <c r="F1041" s="15">
        <v>4</v>
      </c>
      <c r="G1041" s="15">
        <v>4</v>
      </c>
    </row>
    <row r="1042" spans="1:7" x14ac:dyDescent="0.25">
      <c r="A1042" s="15" t="s">
        <v>924</v>
      </c>
      <c r="B1042" s="15" t="s">
        <v>925</v>
      </c>
      <c r="C1042" s="16">
        <v>71.5</v>
      </c>
      <c r="D1042" s="15" t="s">
        <v>984</v>
      </c>
      <c r="E1042" s="15" t="s">
        <v>985</v>
      </c>
      <c r="F1042" s="15">
        <v>11</v>
      </c>
      <c r="G1042" s="15">
        <v>11</v>
      </c>
    </row>
    <row r="1043" spans="1:7" x14ac:dyDescent="0.25">
      <c r="A1043" s="15" t="s">
        <v>924</v>
      </c>
      <c r="B1043" s="15" t="s">
        <v>925</v>
      </c>
      <c r="C1043" s="16">
        <v>11.34</v>
      </c>
      <c r="D1043" s="15" t="s">
        <v>301</v>
      </c>
      <c r="E1043" s="15" t="s">
        <v>986</v>
      </c>
      <c r="F1043" s="15">
        <v>1</v>
      </c>
      <c r="G1043" s="15">
        <v>1</v>
      </c>
    </row>
    <row r="1044" spans="1:7" x14ac:dyDescent="0.25">
      <c r="A1044" s="15" t="s">
        <v>924</v>
      </c>
      <c r="B1044" s="15" t="s">
        <v>925</v>
      </c>
      <c r="C1044" s="16">
        <v>1062.8800000000001</v>
      </c>
      <c r="D1044" s="15" t="s">
        <v>97</v>
      </c>
      <c r="E1044" s="15" t="s">
        <v>987</v>
      </c>
      <c r="F1044" s="15">
        <v>64</v>
      </c>
      <c r="G1044" s="15">
        <v>64</v>
      </c>
    </row>
    <row r="1045" spans="1:7" x14ac:dyDescent="0.25">
      <c r="A1045" s="15" t="s">
        <v>924</v>
      </c>
      <c r="B1045" s="15" t="s">
        <v>925</v>
      </c>
      <c r="C1045" s="16">
        <v>16.8</v>
      </c>
      <c r="D1045" s="15" t="s">
        <v>988</v>
      </c>
      <c r="E1045" s="15" t="s">
        <v>989</v>
      </c>
      <c r="F1045" s="15">
        <v>2</v>
      </c>
      <c r="G1045" s="15">
        <v>2</v>
      </c>
    </row>
    <row r="1046" spans="1:7" x14ac:dyDescent="0.25">
      <c r="A1046" s="15" t="s">
        <v>924</v>
      </c>
      <c r="B1046" s="15" t="s">
        <v>925</v>
      </c>
      <c r="C1046" s="16">
        <v>380.78</v>
      </c>
      <c r="D1046" s="15" t="s">
        <v>281</v>
      </c>
      <c r="E1046" s="15" t="s">
        <v>990</v>
      </c>
      <c r="F1046" s="15">
        <v>29</v>
      </c>
      <c r="G1046" s="15">
        <v>29</v>
      </c>
    </row>
    <row r="1047" spans="1:7" x14ac:dyDescent="0.25">
      <c r="A1047" s="15" t="s">
        <v>924</v>
      </c>
      <c r="B1047" s="15" t="s">
        <v>925</v>
      </c>
      <c r="C1047" s="16">
        <v>13.52</v>
      </c>
      <c r="D1047" s="15" t="s">
        <v>991</v>
      </c>
      <c r="E1047" s="15" t="s">
        <v>992</v>
      </c>
      <c r="F1047" s="15">
        <v>6</v>
      </c>
      <c r="G1047" s="15">
        <v>6</v>
      </c>
    </row>
    <row r="1048" spans="1:7" x14ac:dyDescent="0.25">
      <c r="A1048" s="15" t="s">
        <v>924</v>
      </c>
      <c r="B1048" s="15" t="s">
        <v>925</v>
      </c>
      <c r="C1048" s="16">
        <v>370.78</v>
      </c>
      <c r="D1048" s="15" t="s">
        <v>993</v>
      </c>
      <c r="E1048" s="15" t="s">
        <v>74</v>
      </c>
      <c r="F1048" s="15">
        <v>52</v>
      </c>
      <c r="G1048" s="15">
        <v>52</v>
      </c>
    </row>
    <row r="1049" spans="1:7" x14ac:dyDescent="0.25">
      <c r="A1049" s="15" t="s">
        <v>924</v>
      </c>
      <c r="B1049" s="15" t="s">
        <v>925</v>
      </c>
      <c r="C1049" s="16">
        <v>139.69999999999999</v>
      </c>
      <c r="D1049" s="15" t="s">
        <v>136</v>
      </c>
      <c r="E1049" s="15" t="s">
        <v>137</v>
      </c>
      <c r="F1049" s="15">
        <v>9</v>
      </c>
      <c r="G1049" s="15">
        <v>9</v>
      </c>
    </row>
    <row r="1050" spans="1:7" x14ac:dyDescent="0.25">
      <c r="A1050" s="15" t="s">
        <v>924</v>
      </c>
      <c r="B1050" s="15" t="s">
        <v>925</v>
      </c>
      <c r="C1050" s="16">
        <v>31.32</v>
      </c>
      <c r="D1050" s="15" t="s">
        <v>994</v>
      </c>
      <c r="E1050" s="15" t="s">
        <v>995</v>
      </c>
      <c r="F1050" s="15">
        <v>4</v>
      </c>
      <c r="G1050" s="15">
        <v>4</v>
      </c>
    </row>
    <row r="1051" spans="1:7" x14ac:dyDescent="0.25">
      <c r="A1051" s="15" t="s">
        <v>924</v>
      </c>
      <c r="B1051" s="15" t="s">
        <v>925</v>
      </c>
      <c r="C1051" s="16">
        <v>32.03</v>
      </c>
      <c r="D1051" s="15" t="s">
        <v>996</v>
      </c>
      <c r="E1051" s="15" t="s">
        <v>454</v>
      </c>
      <c r="F1051" s="15">
        <v>5</v>
      </c>
      <c r="G1051" s="15">
        <v>5</v>
      </c>
    </row>
    <row r="1052" spans="1:7" x14ac:dyDescent="0.25">
      <c r="A1052" s="15" t="s">
        <v>924</v>
      </c>
      <c r="B1052" s="15" t="s">
        <v>925</v>
      </c>
      <c r="C1052" s="16">
        <v>17.66</v>
      </c>
      <c r="D1052" s="15" t="s">
        <v>203</v>
      </c>
      <c r="E1052" s="15" t="s">
        <v>376</v>
      </c>
      <c r="F1052" s="15">
        <v>3</v>
      </c>
      <c r="G1052" s="15">
        <v>3</v>
      </c>
    </row>
    <row r="1053" spans="1:7" x14ac:dyDescent="0.25">
      <c r="A1053" s="15" t="s">
        <v>924</v>
      </c>
      <c r="B1053" s="15" t="s">
        <v>925</v>
      </c>
      <c r="C1053" s="16">
        <v>252.77</v>
      </c>
      <c r="D1053" s="15" t="s">
        <v>138</v>
      </c>
      <c r="E1053" s="15" t="s">
        <v>823</v>
      </c>
      <c r="F1053" s="15">
        <v>12</v>
      </c>
      <c r="G1053" s="15">
        <v>12</v>
      </c>
    </row>
    <row r="1054" spans="1:7" x14ac:dyDescent="0.25">
      <c r="A1054" s="15" t="s">
        <v>924</v>
      </c>
      <c r="B1054" s="15" t="s">
        <v>925</v>
      </c>
      <c r="C1054" s="16">
        <v>27.08</v>
      </c>
      <c r="D1054" s="15" t="s">
        <v>172</v>
      </c>
      <c r="E1054" s="15" t="s">
        <v>997</v>
      </c>
      <c r="F1054" s="15">
        <v>3</v>
      </c>
      <c r="G1054" s="15">
        <v>3</v>
      </c>
    </row>
    <row r="1055" spans="1:7" x14ac:dyDescent="0.25">
      <c r="A1055" s="15" t="s">
        <v>924</v>
      </c>
      <c r="B1055" s="15" t="s">
        <v>925</v>
      </c>
      <c r="C1055" s="16">
        <v>115.66</v>
      </c>
      <c r="D1055" s="15" t="s">
        <v>80</v>
      </c>
      <c r="E1055" s="15" t="s">
        <v>918</v>
      </c>
      <c r="F1055" s="15">
        <v>8</v>
      </c>
      <c r="G1055" s="15">
        <v>8</v>
      </c>
    </row>
    <row r="1056" spans="1:7" x14ac:dyDescent="0.25">
      <c r="A1056" s="15" t="s">
        <v>924</v>
      </c>
      <c r="B1056" s="15" t="s">
        <v>925</v>
      </c>
      <c r="C1056" s="16">
        <v>2.67</v>
      </c>
      <c r="D1056" s="15" t="s">
        <v>80</v>
      </c>
      <c r="E1056" s="15" t="s">
        <v>637</v>
      </c>
      <c r="F1056" s="15">
        <v>1</v>
      </c>
      <c r="G1056" s="15">
        <v>1</v>
      </c>
    </row>
    <row r="1057" spans="1:7" x14ac:dyDescent="0.25">
      <c r="A1057" s="15" t="s">
        <v>924</v>
      </c>
      <c r="B1057" s="15" t="s">
        <v>925</v>
      </c>
      <c r="C1057" s="16">
        <v>533.73</v>
      </c>
      <c r="D1057" s="15" t="s">
        <v>138</v>
      </c>
      <c r="E1057" s="15" t="s">
        <v>139</v>
      </c>
      <c r="F1057" s="15">
        <v>41</v>
      </c>
      <c r="G1057" s="15">
        <v>41</v>
      </c>
    </row>
    <row r="1058" spans="1:7" x14ac:dyDescent="0.25">
      <c r="A1058" s="15" t="s">
        <v>924</v>
      </c>
      <c r="B1058" s="15" t="s">
        <v>925</v>
      </c>
      <c r="C1058" s="16">
        <v>67.760000000000005</v>
      </c>
      <c r="D1058" s="15" t="s">
        <v>567</v>
      </c>
      <c r="E1058" s="15" t="s">
        <v>998</v>
      </c>
      <c r="F1058" s="15">
        <v>6</v>
      </c>
      <c r="G1058" s="15">
        <v>6</v>
      </c>
    </row>
    <row r="1059" spans="1:7" x14ac:dyDescent="0.25">
      <c r="A1059" s="15" t="s">
        <v>924</v>
      </c>
      <c r="B1059" s="15" t="s">
        <v>925</v>
      </c>
      <c r="C1059" s="16">
        <v>62.85</v>
      </c>
      <c r="D1059" s="15" t="s">
        <v>999</v>
      </c>
      <c r="E1059" s="15" t="s">
        <v>1000</v>
      </c>
      <c r="F1059" s="15">
        <v>7</v>
      </c>
      <c r="G1059" s="15">
        <v>7</v>
      </c>
    </row>
    <row r="1060" spans="1:7" x14ac:dyDescent="0.25">
      <c r="A1060" s="15" t="s">
        <v>924</v>
      </c>
      <c r="B1060" s="15" t="s">
        <v>925</v>
      </c>
      <c r="C1060" s="16">
        <v>185.09</v>
      </c>
      <c r="D1060" s="15" t="s">
        <v>80</v>
      </c>
      <c r="E1060" s="15" t="s">
        <v>1001</v>
      </c>
      <c r="F1060" s="15">
        <v>17</v>
      </c>
      <c r="G1060" s="15">
        <v>17</v>
      </c>
    </row>
    <row r="1061" spans="1:7" x14ac:dyDescent="0.25">
      <c r="A1061" s="15" t="s">
        <v>924</v>
      </c>
      <c r="B1061" s="15" t="s">
        <v>925</v>
      </c>
      <c r="C1061" s="16">
        <v>5.76</v>
      </c>
      <c r="D1061" s="15" t="s">
        <v>109</v>
      </c>
      <c r="E1061" s="15" t="s">
        <v>110</v>
      </c>
      <c r="F1061" s="15">
        <v>1</v>
      </c>
      <c r="G1061" s="15">
        <v>1</v>
      </c>
    </row>
    <row r="1062" spans="1:7" x14ac:dyDescent="0.25">
      <c r="A1062" s="15" t="s">
        <v>924</v>
      </c>
      <c r="B1062" s="15" t="s">
        <v>925</v>
      </c>
      <c r="C1062" s="16">
        <v>90.36</v>
      </c>
      <c r="D1062" s="15" t="s">
        <v>179</v>
      </c>
      <c r="E1062" s="15" t="s">
        <v>1002</v>
      </c>
      <c r="F1062" s="15">
        <v>19</v>
      </c>
      <c r="G1062" s="15">
        <v>19</v>
      </c>
    </row>
    <row r="1063" spans="1:7" x14ac:dyDescent="0.25">
      <c r="A1063" s="15" t="s">
        <v>924</v>
      </c>
      <c r="B1063" s="15" t="s">
        <v>925</v>
      </c>
      <c r="C1063" s="16">
        <v>309.89</v>
      </c>
      <c r="D1063" s="15" t="s">
        <v>86</v>
      </c>
      <c r="E1063" s="15" t="s">
        <v>1003</v>
      </c>
      <c r="F1063" s="15">
        <v>28</v>
      </c>
      <c r="G1063" s="15">
        <v>28</v>
      </c>
    </row>
    <row r="1064" spans="1:7" x14ac:dyDescent="0.25">
      <c r="A1064" s="15" t="s">
        <v>924</v>
      </c>
      <c r="B1064" s="15" t="s">
        <v>925</v>
      </c>
      <c r="C1064" s="16">
        <v>214.57</v>
      </c>
      <c r="D1064" s="15" t="s">
        <v>1004</v>
      </c>
      <c r="E1064" s="15" t="s">
        <v>1005</v>
      </c>
      <c r="F1064" s="15">
        <v>43</v>
      </c>
      <c r="G1064" s="15">
        <v>43</v>
      </c>
    </row>
    <row r="1065" spans="1:7" x14ac:dyDescent="0.25">
      <c r="A1065" s="15" t="s">
        <v>924</v>
      </c>
      <c r="B1065" s="15" t="s">
        <v>925</v>
      </c>
      <c r="C1065" s="16">
        <v>3.51</v>
      </c>
      <c r="D1065" s="15" t="s">
        <v>1006</v>
      </c>
      <c r="E1065" s="15" t="s">
        <v>126</v>
      </c>
      <c r="F1065" s="15">
        <v>3</v>
      </c>
      <c r="G1065" s="15">
        <v>3</v>
      </c>
    </row>
    <row r="1066" spans="1:7" x14ac:dyDescent="0.25">
      <c r="A1066" s="15" t="s">
        <v>924</v>
      </c>
      <c r="B1066" s="15" t="s">
        <v>925</v>
      </c>
      <c r="C1066" s="16">
        <v>31.75</v>
      </c>
      <c r="D1066" s="15" t="s">
        <v>1007</v>
      </c>
      <c r="E1066" s="15" t="s">
        <v>1008</v>
      </c>
      <c r="F1066" s="15">
        <v>7</v>
      </c>
      <c r="G1066" s="15">
        <v>7</v>
      </c>
    </row>
    <row r="1067" spans="1:7" x14ac:dyDescent="0.25">
      <c r="A1067" s="15" t="s">
        <v>924</v>
      </c>
      <c r="B1067" s="15" t="s">
        <v>925</v>
      </c>
      <c r="C1067" s="16">
        <v>3.23</v>
      </c>
      <c r="D1067" s="15" t="s">
        <v>80</v>
      </c>
      <c r="E1067" s="15" t="s">
        <v>1009</v>
      </c>
      <c r="F1067" s="15">
        <v>1</v>
      </c>
      <c r="G1067" s="15">
        <v>1</v>
      </c>
    </row>
    <row r="1068" spans="1:7" x14ac:dyDescent="0.25">
      <c r="A1068" s="15" t="s">
        <v>1010</v>
      </c>
      <c r="B1068" s="15" t="s">
        <v>1011</v>
      </c>
      <c r="C1068" s="16">
        <v>6.9</v>
      </c>
      <c r="D1068" s="15" t="s">
        <v>199</v>
      </c>
      <c r="E1068" s="15" t="s">
        <v>200</v>
      </c>
      <c r="F1068" s="15">
        <v>2</v>
      </c>
      <c r="G1068" s="15">
        <v>2</v>
      </c>
    </row>
    <row r="1069" spans="1:7" x14ac:dyDescent="0.25">
      <c r="A1069" s="15" t="s">
        <v>1010</v>
      </c>
      <c r="B1069" s="15" t="s">
        <v>1011</v>
      </c>
      <c r="C1069" s="16">
        <v>192</v>
      </c>
      <c r="D1069" s="15" t="s">
        <v>156</v>
      </c>
      <c r="E1069" s="15" t="s">
        <v>317</v>
      </c>
      <c r="F1069" s="15">
        <v>48</v>
      </c>
      <c r="G1069" s="15">
        <v>48</v>
      </c>
    </row>
    <row r="1070" spans="1:7" x14ac:dyDescent="0.25">
      <c r="A1070" s="15" t="s">
        <v>1010</v>
      </c>
      <c r="B1070" s="15" t="s">
        <v>1011</v>
      </c>
      <c r="C1070" s="16">
        <v>2.75</v>
      </c>
      <c r="D1070" s="15" t="s">
        <v>138</v>
      </c>
      <c r="E1070" s="15" t="s">
        <v>1012</v>
      </c>
      <c r="F1070" s="15">
        <v>1</v>
      </c>
      <c r="G1070" s="15">
        <v>1</v>
      </c>
    </row>
    <row r="1071" spans="1:7" x14ac:dyDescent="0.25">
      <c r="A1071" s="15" t="s">
        <v>1010</v>
      </c>
      <c r="B1071" s="15" t="s">
        <v>1011</v>
      </c>
      <c r="C1071" s="16">
        <v>4.5</v>
      </c>
      <c r="D1071" s="15" t="s">
        <v>90</v>
      </c>
      <c r="E1071" s="15" t="s">
        <v>1013</v>
      </c>
      <c r="F1071" s="15">
        <v>2</v>
      </c>
      <c r="G1071" s="15">
        <v>2</v>
      </c>
    </row>
    <row r="1072" spans="1:7" x14ac:dyDescent="0.25">
      <c r="A1072" s="15" t="s">
        <v>1010</v>
      </c>
      <c r="B1072" s="15" t="s">
        <v>1011</v>
      </c>
      <c r="C1072" s="16">
        <v>3.3</v>
      </c>
      <c r="D1072" s="15" t="s">
        <v>123</v>
      </c>
      <c r="E1072" s="15" t="s">
        <v>1014</v>
      </c>
      <c r="F1072" s="15">
        <v>2</v>
      </c>
      <c r="G1072" s="15">
        <v>2</v>
      </c>
    </row>
    <row r="1073" spans="1:7" x14ac:dyDescent="0.25">
      <c r="A1073" s="15" t="s">
        <v>1010</v>
      </c>
      <c r="B1073" s="15" t="s">
        <v>1011</v>
      </c>
      <c r="C1073" s="16">
        <v>12.65</v>
      </c>
      <c r="D1073" s="15" t="s">
        <v>775</v>
      </c>
      <c r="E1073" s="15" t="s">
        <v>776</v>
      </c>
      <c r="F1073" s="15">
        <v>11</v>
      </c>
      <c r="G1073" s="15">
        <v>11</v>
      </c>
    </row>
    <row r="1074" spans="1:7" x14ac:dyDescent="0.25">
      <c r="A1074" s="15" t="s">
        <v>1010</v>
      </c>
      <c r="B1074" s="15" t="s">
        <v>1011</v>
      </c>
      <c r="C1074" s="16">
        <v>49.2</v>
      </c>
      <c r="D1074" s="15" t="s">
        <v>80</v>
      </c>
      <c r="E1074" s="15" t="s">
        <v>322</v>
      </c>
      <c r="F1074" s="15">
        <v>5</v>
      </c>
      <c r="G1074" s="15">
        <v>5</v>
      </c>
    </row>
    <row r="1075" spans="1:7" x14ac:dyDescent="0.25">
      <c r="A1075" s="15" t="s">
        <v>1010</v>
      </c>
      <c r="B1075" s="15" t="s">
        <v>1011</v>
      </c>
      <c r="C1075" s="16">
        <v>10.6</v>
      </c>
      <c r="D1075" s="15" t="s">
        <v>323</v>
      </c>
      <c r="E1075" s="15" t="s">
        <v>324</v>
      </c>
      <c r="F1075" s="15">
        <v>5</v>
      </c>
      <c r="G1075" s="15">
        <v>5</v>
      </c>
    </row>
    <row r="1076" spans="1:7" x14ac:dyDescent="0.25">
      <c r="A1076" s="15" t="s">
        <v>1010</v>
      </c>
      <c r="B1076" s="15" t="s">
        <v>1011</v>
      </c>
      <c r="C1076" s="16">
        <v>4.95</v>
      </c>
      <c r="D1076" s="15" t="s">
        <v>1015</v>
      </c>
      <c r="E1076" s="15" t="s">
        <v>1016</v>
      </c>
      <c r="F1076" s="15">
        <v>3</v>
      </c>
      <c r="G1076" s="15">
        <v>3</v>
      </c>
    </row>
    <row r="1077" spans="1:7" x14ac:dyDescent="0.25">
      <c r="A1077" s="15" t="s">
        <v>1010</v>
      </c>
      <c r="B1077" s="15" t="s">
        <v>1011</v>
      </c>
      <c r="C1077" s="16">
        <v>341</v>
      </c>
      <c r="D1077" s="15" t="s">
        <v>407</v>
      </c>
      <c r="E1077" s="15" t="s">
        <v>839</v>
      </c>
      <c r="F1077" s="15">
        <v>31</v>
      </c>
      <c r="G1077" s="15">
        <v>31</v>
      </c>
    </row>
    <row r="1078" spans="1:7" x14ac:dyDescent="0.25">
      <c r="A1078" s="15" t="s">
        <v>1010</v>
      </c>
      <c r="B1078" s="15" t="s">
        <v>1011</v>
      </c>
      <c r="C1078" s="16">
        <v>4</v>
      </c>
      <c r="D1078" s="15" t="s">
        <v>1017</v>
      </c>
      <c r="E1078" s="15" t="s">
        <v>1018</v>
      </c>
      <c r="F1078" s="15">
        <v>4</v>
      </c>
      <c r="G1078" s="15">
        <v>4</v>
      </c>
    </row>
    <row r="1079" spans="1:7" x14ac:dyDescent="0.25">
      <c r="A1079" s="15" t="s">
        <v>1010</v>
      </c>
      <c r="B1079" s="15" t="s">
        <v>1011</v>
      </c>
      <c r="C1079" s="16">
        <v>466</v>
      </c>
      <c r="D1079" s="15" t="s">
        <v>1019</v>
      </c>
      <c r="E1079" s="15" t="s">
        <v>1020</v>
      </c>
      <c r="F1079" s="15">
        <v>2</v>
      </c>
      <c r="G1079" s="15">
        <v>2</v>
      </c>
    </row>
    <row r="1080" spans="1:7" x14ac:dyDescent="0.25">
      <c r="A1080" s="15" t="s">
        <v>1010</v>
      </c>
      <c r="B1080" s="15" t="s">
        <v>1011</v>
      </c>
      <c r="C1080" s="16">
        <v>9.5500000000000007</v>
      </c>
      <c r="D1080" s="15" t="s">
        <v>80</v>
      </c>
      <c r="E1080" s="15" t="s">
        <v>1021</v>
      </c>
      <c r="F1080" s="15">
        <v>3</v>
      </c>
      <c r="G1080" s="15">
        <v>3</v>
      </c>
    </row>
    <row r="1081" spans="1:7" x14ac:dyDescent="0.25">
      <c r="A1081" s="15" t="s">
        <v>1010</v>
      </c>
      <c r="B1081" s="15" t="s">
        <v>1011</v>
      </c>
      <c r="C1081" s="16">
        <v>405</v>
      </c>
      <c r="D1081" s="15" t="s">
        <v>466</v>
      </c>
      <c r="E1081" s="15" t="s">
        <v>477</v>
      </c>
      <c r="F1081" s="15">
        <v>36</v>
      </c>
      <c r="G1081" s="15">
        <v>36</v>
      </c>
    </row>
    <row r="1082" spans="1:7" x14ac:dyDescent="0.25">
      <c r="A1082" s="15" t="s">
        <v>1010</v>
      </c>
      <c r="B1082" s="15" t="s">
        <v>1011</v>
      </c>
      <c r="C1082" s="16">
        <v>5.0999999999999996</v>
      </c>
      <c r="D1082" s="15" t="s">
        <v>115</v>
      </c>
      <c r="E1082" s="15" t="s">
        <v>116</v>
      </c>
      <c r="F1082" s="15">
        <v>2</v>
      </c>
      <c r="G1082" s="15">
        <v>2</v>
      </c>
    </row>
    <row r="1083" spans="1:7" x14ac:dyDescent="0.25">
      <c r="A1083" s="15" t="s">
        <v>1010</v>
      </c>
      <c r="B1083" s="15" t="s">
        <v>1011</v>
      </c>
      <c r="C1083" s="16">
        <v>3.95</v>
      </c>
      <c r="D1083" s="15" t="s">
        <v>331</v>
      </c>
      <c r="E1083" s="15" t="s">
        <v>332</v>
      </c>
      <c r="F1083" s="15">
        <v>1</v>
      </c>
      <c r="G1083" s="15">
        <v>1</v>
      </c>
    </row>
    <row r="1084" spans="1:7" x14ac:dyDescent="0.25">
      <c r="A1084" s="15" t="s">
        <v>1010</v>
      </c>
      <c r="B1084" s="15" t="s">
        <v>1011</v>
      </c>
      <c r="C1084" s="16">
        <v>4.2</v>
      </c>
      <c r="D1084" s="15" t="s">
        <v>333</v>
      </c>
      <c r="E1084" s="15" t="s">
        <v>334</v>
      </c>
      <c r="F1084" s="15">
        <v>2</v>
      </c>
      <c r="G1084" s="15">
        <v>2</v>
      </c>
    </row>
    <row r="1085" spans="1:7" x14ac:dyDescent="0.25">
      <c r="A1085" s="15" t="s">
        <v>1010</v>
      </c>
      <c r="B1085" s="15" t="s">
        <v>1011</v>
      </c>
      <c r="C1085" s="16">
        <v>4.13</v>
      </c>
      <c r="D1085" s="15" t="s">
        <v>167</v>
      </c>
      <c r="E1085" s="15" t="s">
        <v>596</v>
      </c>
      <c r="F1085" s="15">
        <v>1</v>
      </c>
      <c r="G1085" s="15">
        <v>1</v>
      </c>
    </row>
    <row r="1086" spans="1:7" x14ac:dyDescent="0.25">
      <c r="A1086" s="15" t="s">
        <v>1010</v>
      </c>
      <c r="B1086" s="15" t="s">
        <v>1011</v>
      </c>
      <c r="C1086" s="16">
        <v>10.050000000000001</v>
      </c>
      <c r="D1086" s="15" t="s">
        <v>238</v>
      </c>
      <c r="E1086" s="15" t="s">
        <v>1022</v>
      </c>
      <c r="F1086" s="15">
        <v>2</v>
      </c>
      <c r="G1086" s="15">
        <v>2</v>
      </c>
    </row>
    <row r="1087" spans="1:7" x14ac:dyDescent="0.25">
      <c r="A1087" s="15" t="s">
        <v>1010</v>
      </c>
      <c r="B1087" s="15" t="s">
        <v>1011</v>
      </c>
      <c r="C1087" s="16">
        <v>30.45</v>
      </c>
      <c r="D1087" s="15" t="s">
        <v>80</v>
      </c>
      <c r="E1087" s="15" t="s">
        <v>1023</v>
      </c>
      <c r="F1087" s="15">
        <v>7</v>
      </c>
      <c r="G1087" s="15">
        <v>7</v>
      </c>
    </row>
    <row r="1088" spans="1:7" x14ac:dyDescent="0.25">
      <c r="A1088" s="15" t="s">
        <v>1010</v>
      </c>
      <c r="B1088" s="15" t="s">
        <v>1011</v>
      </c>
      <c r="C1088" s="16">
        <v>3.7</v>
      </c>
      <c r="D1088" s="15" t="s">
        <v>653</v>
      </c>
      <c r="E1088" s="15" t="s">
        <v>1024</v>
      </c>
      <c r="F1088" s="15">
        <v>1</v>
      </c>
      <c r="G1088" s="15">
        <v>1</v>
      </c>
    </row>
    <row r="1089" spans="1:7" x14ac:dyDescent="0.25">
      <c r="A1089" s="15" t="s">
        <v>1010</v>
      </c>
      <c r="B1089" s="15" t="s">
        <v>1011</v>
      </c>
      <c r="C1089" s="16">
        <v>47.1</v>
      </c>
      <c r="D1089" s="15" t="s">
        <v>478</v>
      </c>
      <c r="E1089" s="15" t="s">
        <v>479</v>
      </c>
      <c r="F1089" s="15">
        <v>6</v>
      </c>
      <c r="G1089" s="15">
        <v>6</v>
      </c>
    </row>
    <row r="1090" spans="1:7" x14ac:dyDescent="0.25">
      <c r="A1090" s="15" t="s">
        <v>1010</v>
      </c>
      <c r="B1090" s="15" t="s">
        <v>1011</v>
      </c>
      <c r="C1090" s="16">
        <v>527.70000000000005</v>
      </c>
      <c r="D1090" s="15" t="s">
        <v>80</v>
      </c>
      <c r="E1090" s="15" t="s">
        <v>341</v>
      </c>
      <c r="F1090" s="15">
        <v>78</v>
      </c>
      <c r="G1090" s="15">
        <v>78</v>
      </c>
    </row>
    <row r="1091" spans="1:7" x14ac:dyDescent="0.25">
      <c r="A1091" s="15" t="s">
        <v>1010</v>
      </c>
      <c r="B1091" s="15" t="s">
        <v>1011</v>
      </c>
      <c r="C1091" s="16">
        <v>15.6</v>
      </c>
      <c r="D1091" s="15" t="s">
        <v>342</v>
      </c>
      <c r="E1091" s="15" t="s">
        <v>343</v>
      </c>
      <c r="F1091" s="15">
        <v>11</v>
      </c>
      <c r="G1091" s="15">
        <v>11</v>
      </c>
    </row>
    <row r="1092" spans="1:7" x14ac:dyDescent="0.25">
      <c r="A1092" s="15" t="s">
        <v>1010</v>
      </c>
      <c r="B1092" s="15" t="s">
        <v>1011</v>
      </c>
      <c r="C1092" s="16">
        <v>495</v>
      </c>
      <c r="D1092" s="15" t="s">
        <v>80</v>
      </c>
      <c r="E1092" s="15" t="s">
        <v>601</v>
      </c>
      <c r="F1092" s="15">
        <v>45</v>
      </c>
      <c r="G1092" s="15">
        <v>45</v>
      </c>
    </row>
    <row r="1093" spans="1:7" x14ac:dyDescent="0.25">
      <c r="A1093" s="15" t="s">
        <v>1010</v>
      </c>
      <c r="B1093" s="15" t="s">
        <v>1011</v>
      </c>
      <c r="C1093" s="16">
        <v>25</v>
      </c>
      <c r="D1093" s="15" t="s">
        <v>480</v>
      </c>
      <c r="E1093" s="15" t="s">
        <v>481</v>
      </c>
      <c r="F1093" s="15">
        <v>1</v>
      </c>
      <c r="G1093" s="15">
        <v>1</v>
      </c>
    </row>
    <row r="1094" spans="1:7" x14ac:dyDescent="0.25">
      <c r="A1094" s="15" t="s">
        <v>1010</v>
      </c>
      <c r="B1094" s="15" t="s">
        <v>1011</v>
      </c>
      <c r="C1094" s="16">
        <v>2233.5</v>
      </c>
      <c r="D1094" s="15" t="s">
        <v>602</v>
      </c>
      <c r="E1094" s="15" t="s">
        <v>603</v>
      </c>
      <c r="F1094" s="15">
        <v>112</v>
      </c>
      <c r="G1094" s="15">
        <v>112</v>
      </c>
    </row>
    <row r="1095" spans="1:7" x14ac:dyDescent="0.25">
      <c r="A1095" s="15" t="s">
        <v>1010</v>
      </c>
      <c r="B1095" s="15" t="s">
        <v>1011</v>
      </c>
      <c r="C1095" s="16">
        <v>3.4</v>
      </c>
      <c r="D1095" s="15" t="s">
        <v>243</v>
      </c>
      <c r="E1095" s="15" t="s">
        <v>244</v>
      </c>
      <c r="F1095" s="15">
        <v>1</v>
      </c>
      <c r="G1095" s="15">
        <v>1</v>
      </c>
    </row>
    <row r="1096" spans="1:7" x14ac:dyDescent="0.25">
      <c r="A1096" s="15" t="s">
        <v>1010</v>
      </c>
      <c r="B1096" s="15" t="s">
        <v>1011</v>
      </c>
      <c r="C1096" s="16">
        <v>194.6</v>
      </c>
      <c r="D1096" s="15" t="s">
        <v>325</v>
      </c>
      <c r="E1096" s="15" t="s">
        <v>604</v>
      </c>
      <c r="F1096" s="15">
        <v>28</v>
      </c>
      <c r="G1096" s="15">
        <v>28</v>
      </c>
    </row>
    <row r="1097" spans="1:7" x14ac:dyDescent="0.25">
      <c r="A1097" s="15" t="s">
        <v>1010</v>
      </c>
      <c r="B1097" s="15" t="s">
        <v>1011</v>
      </c>
      <c r="C1097" s="16">
        <v>6.4</v>
      </c>
      <c r="D1097" s="15" t="s">
        <v>351</v>
      </c>
      <c r="E1097" s="15" t="s">
        <v>352</v>
      </c>
      <c r="F1097" s="15">
        <v>4</v>
      </c>
      <c r="G1097" s="15">
        <v>4</v>
      </c>
    </row>
    <row r="1098" spans="1:7" x14ac:dyDescent="0.25">
      <c r="A1098" s="15" t="s">
        <v>1010</v>
      </c>
      <c r="B1098" s="15" t="s">
        <v>1011</v>
      </c>
      <c r="C1098" s="16">
        <v>524.20000000000005</v>
      </c>
      <c r="D1098" s="15" t="s">
        <v>80</v>
      </c>
      <c r="E1098" s="15" t="s">
        <v>611</v>
      </c>
      <c r="F1098" s="15">
        <v>111</v>
      </c>
      <c r="G1098" s="15">
        <v>111</v>
      </c>
    </row>
    <row r="1099" spans="1:7" x14ac:dyDescent="0.25">
      <c r="A1099" s="15" t="s">
        <v>1010</v>
      </c>
      <c r="B1099" s="15" t="s">
        <v>1011</v>
      </c>
      <c r="C1099" s="16">
        <v>952</v>
      </c>
      <c r="D1099" s="15" t="s">
        <v>660</v>
      </c>
      <c r="E1099" s="15" t="s">
        <v>661</v>
      </c>
      <c r="F1099" s="15">
        <v>17</v>
      </c>
      <c r="G1099" s="15">
        <v>17</v>
      </c>
    </row>
    <row r="1100" spans="1:7" x14ac:dyDescent="0.25">
      <c r="A1100" s="15" t="s">
        <v>1010</v>
      </c>
      <c r="B1100" s="15" t="s">
        <v>1011</v>
      </c>
      <c r="C1100" s="16">
        <v>89.85</v>
      </c>
      <c r="D1100" s="15" t="s">
        <v>80</v>
      </c>
      <c r="E1100" s="15" t="s">
        <v>676</v>
      </c>
      <c r="F1100" s="15">
        <v>7</v>
      </c>
      <c r="G1100" s="15">
        <v>7</v>
      </c>
    </row>
    <row r="1101" spans="1:7" x14ac:dyDescent="0.25">
      <c r="A1101" s="15" t="s">
        <v>1010</v>
      </c>
      <c r="B1101" s="15" t="s">
        <v>1011</v>
      </c>
      <c r="C1101" s="16">
        <v>9.6</v>
      </c>
      <c r="D1101" s="15" t="s">
        <v>355</v>
      </c>
      <c r="E1101" s="15" t="s">
        <v>356</v>
      </c>
      <c r="F1101" s="15">
        <v>6</v>
      </c>
      <c r="G1101" s="15">
        <v>6</v>
      </c>
    </row>
    <row r="1102" spans="1:7" x14ac:dyDescent="0.25">
      <c r="A1102" s="15" t="s">
        <v>1010</v>
      </c>
      <c r="B1102" s="15" t="s">
        <v>1011</v>
      </c>
      <c r="C1102" s="16">
        <v>3.4</v>
      </c>
      <c r="D1102" s="15" t="s">
        <v>187</v>
      </c>
      <c r="E1102" s="15" t="s">
        <v>1025</v>
      </c>
      <c r="F1102" s="15">
        <v>1</v>
      </c>
      <c r="G1102" s="15">
        <v>1</v>
      </c>
    </row>
    <row r="1103" spans="1:7" x14ac:dyDescent="0.25">
      <c r="A1103" s="15" t="s">
        <v>1010</v>
      </c>
      <c r="B1103" s="15" t="s">
        <v>1011</v>
      </c>
      <c r="C1103" s="16">
        <v>429.65</v>
      </c>
      <c r="D1103" s="15" t="s">
        <v>80</v>
      </c>
      <c r="E1103" s="15" t="s">
        <v>662</v>
      </c>
      <c r="F1103" s="15">
        <v>13</v>
      </c>
      <c r="G1103" s="15">
        <v>13</v>
      </c>
    </row>
    <row r="1104" spans="1:7" x14ac:dyDescent="0.25">
      <c r="A1104" s="15" t="s">
        <v>1010</v>
      </c>
      <c r="B1104" s="15" t="s">
        <v>1011</v>
      </c>
      <c r="C1104" s="16">
        <v>5.5</v>
      </c>
      <c r="D1104" s="15" t="s">
        <v>362</v>
      </c>
      <c r="E1104" s="15" t="s">
        <v>363</v>
      </c>
      <c r="F1104" s="15">
        <v>1</v>
      </c>
      <c r="G1104" s="15">
        <v>1</v>
      </c>
    </row>
    <row r="1105" spans="1:7" x14ac:dyDescent="0.25">
      <c r="A1105" s="15" t="s">
        <v>1010</v>
      </c>
      <c r="B1105" s="15" t="s">
        <v>1011</v>
      </c>
      <c r="C1105" s="16">
        <v>641</v>
      </c>
      <c r="D1105" s="15" t="s">
        <v>364</v>
      </c>
      <c r="E1105" s="15" t="s">
        <v>365</v>
      </c>
      <c r="F1105" s="15">
        <v>20</v>
      </c>
      <c r="G1105" s="15">
        <v>20</v>
      </c>
    </row>
    <row r="1106" spans="1:7" x14ac:dyDescent="0.25">
      <c r="A1106" s="15" t="s">
        <v>1010</v>
      </c>
      <c r="B1106" s="15" t="s">
        <v>1011</v>
      </c>
      <c r="C1106" s="16">
        <v>3</v>
      </c>
      <c r="D1106" s="15" t="s">
        <v>293</v>
      </c>
      <c r="E1106" s="15" t="s">
        <v>1026</v>
      </c>
      <c r="F1106" s="15">
        <v>2</v>
      </c>
      <c r="G1106" s="15">
        <v>2</v>
      </c>
    </row>
    <row r="1107" spans="1:7" x14ac:dyDescent="0.25">
      <c r="A1107" s="15" t="s">
        <v>1010</v>
      </c>
      <c r="B1107" s="15" t="s">
        <v>1011</v>
      </c>
      <c r="C1107" s="16">
        <v>18.899999999999999</v>
      </c>
      <c r="D1107" s="15" t="s">
        <v>86</v>
      </c>
      <c r="E1107" s="15" t="s">
        <v>677</v>
      </c>
      <c r="F1107" s="15">
        <v>8</v>
      </c>
      <c r="G1107" s="15">
        <v>8</v>
      </c>
    </row>
    <row r="1108" spans="1:7" x14ac:dyDescent="0.25">
      <c r="A1108" s="15" t="s">
        <v>1010</v>
      </c>
      <c r="B1108" s="15" t="s">
        <v>1011</v>
      </c>
      <c r="C1108" s="16">
        <v>6</v>
      </c>
      <c r="D1108" s="15" t="s">
        <v>1027</v>
      </c>
      <c r="E1108" s="15" t="s">
        <v>1028</v>
      </c>
      <c r="F1108" s="15">
        <v>4</v>
      </c>
      <c r="G1108" s="15">
        <v>4</v>
      </c>
    </row>
    <row r="1109" spans="1:7" x14ac:dyDescent="0.25">
      <c r="A1109" s="15" t="s">
        <v>1010</v>
      </c>
      <c r="B1109" s="15" t="s">
        <v>1011</v>
      </c>
      <c r="C1109" s="16">
        <v>460.35</v>
      </c>
      <c r="D1109" s="15" t="s">
        <v>407</v>
      </c>
      <c r="E1109" s="15" t="s">
        <v>625</v>
      </c>
      <c r="F1109" s="15">
        <v>27</v>
      </c>
      <c r="G1109" s="15">
        <v>27</v>
      </c>
    </row>
    <row r="1110" spans="1:7" x14ac:dyDescent="0.25">
      <c r="A1110" s="15" t="s">
        <v>1010</v>
      </c>
      <c r="B1110" s="15" t="s">
        <v>1011</v>
      </c>
      <c r="C1110" s="16">
        <v>10.7</v>
      </c>
      <c r="D1110" s="15" t="s">
        <v>1029</v>
      </c>
      <c r="E1110" s="15" t="s">
        <v>1030</v>
      </c>
      <c r="F1110" s="15">
        <v>2</v>
      </c>
      <c r="G1110" s="15">
        <v>2</v>
      </c>
    </row>
    <row r="1111" spans="1:7" x14ac:dyDescent="0.25">
      <c r="A1111" s="15" t="s">
        <v>1010</v>
      </c>
      <c r="B1111" s="15" t="s">
        <v>1011</v>
      </c>
      <c r="C1111" s="16">
        <v>411.4</v>
      </c>
      <c r="D1111" s="15" t="s">
        <v>289</v>
      </c>
      <c r="E1111" s="15" t="s">
        <v>630</v>
      </c>
      <c r="F1111" s="15">
        <v>22</v>
      </c>
      <c r="G1111" s="15">
        <v>22</v>
      </c>
    </row>
    <row r="1112" spans="1:7" x14ac:dyDescent="0.25">
      <c r="A1112" s="15" t="s">
        <v>1010</v>
      </c>
      <c r="B1112" s="15" t="s">
        <v>1011</v>
      </c>
      <c r="C1112" s="16">
        <v>12.3</v>
      </c>
      <c r="D1112" s="15" t="s">
        <v>1031</v>
      </c>
      <c r="E1112" s="15" t="s">
        <v>1032</v>
      </c>
      <c r="F1112" s="15">
        <v>1</v>
      </c>
      <c r="G1112" s="15">
        <v>1</v>
      </c>
    </row>
    <row r="1113" spans="1:7" x14ac:dyDescent="0.25">
      <c r="A1113" s="15" t="s">
        <v>1010</v>
      </c>
      <c r="B1113" s="15" t="s">
        <v>1011</v>
      </c>
      <c r="C1113" s="16">
        <v>306.60000000000002</v>
      </c>
      <c r="D1113" s="15" t="s">
        <v>741</v>
      </c>
      <c r="E1113" s="15" t="s">
        <v>788</v>
      </c>
      <c r="F1113" s="15">
        <v>42</v>
      </c>
      <c r="G1113" s="15">
        <v>42</v>
      </c>
    </row>
    <row r="1114" spans="1:7" x14ac:dyDescent="0.25">
      <c r="A1114" s="15" t="s">
        <v>1010</v>
      </c>
      <c r="B1114" s="15" t="s">
        <v>1011</v>
      </c>
      <c r="C1114" s="16">
        <v>2295</v>
      </c>
      <c r="D1114" s="15" t="s">
        <v>105</v>
      </c>
      <c r="E1114" s="15" t="s">
        <v>488</v>
      </c>
      <c r="F1114" s="15">
        <v>94</v>
      </c>
      <c r="G1114" s="15">
        <v>94</v>
      </c>
    </row>
    <row r="1115" spans="1:7" x14ac:dyDescent="0.25">
      <c r="A1115" s="15" t="s">
        <v>1010</v>
      </c>
      <c r="B1115" s="15" t="s">
        <v>1011</v>
      </c>
      <c r="C1115" s="16">
        <v>464</v>
      </c>
      <c r="D1115" s="15" t="s">
        <v>123</v>
      </c>
      <c r="E1115" s="15" t="s">
        <v>664</v>
      </c>
      <c r="F1115" s="15">
        <v>29</v>
      </c>
      <c r="G1115" s="15">
        <v>29</v>
      </c>
    </row>
    <row r="1116" spans="1:7" x14ac:dyDescent="0.25">
      <c r="A1116" s="15" t="s">
        <v>1010</v>
      </c>
      <c r="B1116" s="15" t="s">
        <v>1011</v>
      </c>
      <c r="C1116" s="16">
        <v>5.55</v>
      </c>
      <c r="D1116" s="15" t="s">
        <v>301</v>
      </c>
      <c r="E1116" s="15" t="s">
        <v>418</v>
      </c>
      <c r="F1116" s="15">
        <v>3</v>
      </c>
      <c r="G1116" s="15">
        <v>3</v>
      </c>
    </row>
    <row r="1117" spans="1:7" x14ac:dyDescent="0.25">
      <c r="A1117" s="15" t="s">
        <v>1010</v>
      </c>
      <c r="B1117" s="15" t="s">
        <v>1011</v>
      </c>
      <c r="C1117" s="16">
        <v>4.5999999999999996</v>
      </c>
      <c r="D1117" s="15" t="s">
        <v>179</v>
      </c>
      <c r="E1117" s="15" t="s">
        <v>1033</v>
      </c>
      <c r="F1117" s="15">
        <v>1</v>
      </c>
      <c r="G1117" s="15">
        <v>1</v>
      </c>
    </row>
    <row r="1118" spans="1:7" x14ac:dyDescent="0.25">
      <c r="A1118" s="15" t="s">
        <v>1010</v>
      </c>
      <c r="B1118" s="15" t="s">
        <v>1011</v>
      </c>
      <c r="C1118" s="16">
        <v>3.9</v>
      </c>
      <c r="D1118" s="15" t="s">
        <v>113</v>
      </c>
      <c r="E1118" s="15" t="s">
        <v>1034</v>
      </c>
      <c r="F1118" s="15">
        <v>1</v>
      </c>
      <c r="G1118" s="15">
        <v>1</v>
      </c>
    </row>
    <row r="1119" spans="1:7" x14ac:dyDescent="0.25">
      <c r="A1119" s="15" t="s">
        <v>1010</v>
      </c>
      <c r="B1119" s="15" t="s">
        <v>1011</v>
      </c>
      <c r="C1119" s="16">
        <v>2.8</v>
      </c>
      <c r="D1119" s="15" t="s">
        <v>1035</v>
      </c>
      <c r="E1119" s="15" t="s">
        <v>1036</v>
      </c>
      <c r="F1119" s="15">
        <v>4</v>
      </c>
      <c r="G1119" s="15">
        <v>4</v>
      </c>
    </row>
    <row r="1120" spans="1:7" x14ac:dyDescent="0.25">
      <c r="A1120" s="15" t="s">
        <v>1010</v>
      </c>
      <c r="B1120" s="15" t="s">
        <v>1011</v>
      </c>
      <c r="C1120" s="16">
        <v>2.5</v>
      </c>
      <c r="D1120" s="15" t="s">
        <v>80</v>
      </c>
      <c r="E1120" s="15" t="s">
        <v>1037</v>
      </c>
      <c r="F1120" s="15">
        <v>3</v>
      </c>
      <c r="G1120" s="15">
        <v>3</v>
      </c>
    </row>
    <row r="1121" spans="1:7" x14ac:dyDescent="0.25">
      <c r="A1121" s="15" t="s">
        <v>1010</v>
      </c>
      <c r="B1121" s="15" t="s">
        <v>1011</v>
      </c>
      <c r="C1121" s="16">
        <v>1.65</v>
      </c>
      <c r="D1121" s="15" t="s">
        <v>372</v>
      </c>
      <c r="E1121" s="15" t="s">
        <v>373</v>
      </c>
      <c r="F1121" s="15">
        <v>1</v>
      </c>
      <c r="G1121" s="15">
        <v>1</v>
      </c>
    </row>
    <row r="1122" spans="1:7" x14ac:dyDescent="0.25">
      <c r="A1122" s="15" t="s">
        <v>1010</v>
      </c>
      <c r="B1122" s="15" t="s">
        <v>1011</v>
      </c>
      <c r="C1122" s="16">
        <v>14.2</v>
      </c>
      <c r="D1122" s="15" t="s">
        <v>435</v>
      </c>
      <c r="E1122" s="15" t="s">
        <v>489</v>
      </c>
      <c r="F1122" s="15">
        <v>4</v>
      </c>
      <c r="G1122" s="15">
        <v>4</v>
      </c>
    </row>
    <row r="1123" spans="1:7" x14ac:dyDescent="0.25">
      <c r="A1123" s="15" t="s">
        <v>1010</v>
      </c>
      <c r="B1123" s="15" t="s">
        <v>1011</v>
      </c>
      <c r="C1123" s="16">
        <v>10.55</v>
      </c>
      <c r="D1123" s="15" t="s">
        <v>374</v>
      </c>
      <c r="E1123" s="15" t="s">
        <v>375</v>
      </c>
      <c r="F1123" s="15">
        <v>3</v>
      </c>
      <c r="G1123" s="15">
        <v>3</v>
      </c>
    </row>
    <row r="1124" spans="1:7" x14ac:dyDescent="0.25">
      <c r="A1124" s="15" t="s">
        <v>1010</v>
      </c>
      <c r="B1124" s="15" t="s">
        <v>1011</v>
      </c>
      <c r="C1124" s="16">
        <v>2.35</v>
      </c>
      <c r="D1124" s="15" t="s">
        <v>203</v>
      </c>
      <c r="E1124" s="15" t="s">
        <v>376</v>
      </c>
      <c r="F1124" s="15">
        <v>1</v>
      </c>
      <c r="G1124" s="15">
        <v>1</v>
      </c>
    </row>
    <row r="1125" spans="1:7" x14ac:dyDescent="0.25">
      <c r="A1125" s="15" t="s">
        <v>1010</v>
      </c>
      <c r="B1125" s="15" t="s">
        <v>1011</v>
      </c>
      <c r="C1125" s="16">
        <v>4.8499999999999996</v>
      </c>
      <c r="D1125" s="15" t="s">
        <v>1038</v>
      </c>
      <c r="E1125" s="15" t="s">
        <v>1039</v>
      </c>
      <c r="F1125" s="15">
        <v>3</v>
      </c>
      <c r="G1125" s="15">
        <v>3</v>
      </c>
    </row>
    <row r="1126" spans="1:7" x14ac:dyDescent="0.25">
      <c r="A1126" s="15" t="s">
        <v>1010</v>
      </c>
      <c r="B1126" s="15" t="s">
        <v>1011</v>
      </c>
      <c r="C1126" s="16">
        <v>7.9</v>
      </c>
      <c r="D1126" s="15" t="s">
        <v>626</v>
      </c>
      <c r="E1126" s="15" t="s">
        <v>844</v>
      </c>
      <c r="F1126" s="15">
        <v>2</v>
      </c>
      <c r="G1126" s="15">
        <v>2</v>
      </c>
    </row>
    <row r="1127" spans="1:7" x14ac:dyDescent="0.25">
      <c r="A1127" s="15" t="s">
        <v>1010</v>
      </c>
      <c r="B1127" s="15" t="s">
        <v>1011</v>
      </c>
      <c r="C1127" s="16">
        <v>2.4500000000000002</v>
      </c>
      <c r="D1127" s="15" t="s">
        <v>80</v>
      </c>
      <c r="E1127" s="15" t="s">
        <v>1040</v>
      </c>
      <c r="F1127" s="15">
        <v>1</v>
      </c>
      <c r="G1127" s="15">
        <v>1</v>
      </c>
    </row>
    <row r="1128" spans="1:7" x14ac:dyDescent="0.25">
      <c r="A1128" s="15" t="s">
        <v>1010</v>
      </c>
      <c r="B1128" s="15" t="s">
        <v>1011</v>
      </c>
      <c r="C1128" s="16">
        <v>44.35</v>
      </c>
      <c r="D1128" s="15" t="s">
        <v>80</v>
      </c>
      <c r="E1128" s="15" t="s">
        <v>637</v>
      </c>
      <c r="F1128" s="15">
        <v>7</v>
      </c>
      <c r="G1128" s="15">
        <v>7</v>
      </c>
    </row>
    <row r="1129" spans="1:7" x14ac:dyDescent="0.25">
      <c r="A1129" s="15" t="s">
        <v>1010</v>
      </c>
      <c r="B1129" s="15" t="s">
        <v>1011</v>
      </c>
      <c r="C1129" s="16">
        <v>251.4</v>
      </c>
      <c r="D1129" s="15" t="s">
        <v>245</v>
      </c>
      <c r="E1129" s="15" t="s">
        <v>490</v>
      </c>
      <c r="F1129" s="15">
        <v>37</v>
      </c>
      <c r="G1129" s="15">
        <v>37</v>
      </c>
    </row>
    <row r="1130" spans="1:7" x14ac:dyDescent="0.25">
      <c r="A1130" s="15" t="s">
        <v>1010</v>
      </c>
      <c r="B1130" s="15" t="s">
        <v>1011</v>
      </c>
      <c r="C1130" s="16">
        <v>5.03</v>
      </c>
      <c r="D1130" s="15" t="s">
        <v>379</v>
      </c>
      <c r="E1130" s="15" t="s">
        <v>380</v>
      </c>
      <c r="F1130" s="15">
        <v>2</v>
      </c>
      <c r="G1130" s="15">
        <v>2</v>
      </c>
    </row>
    <row r="1131" spans="1:7" x14ac:dyDescent="0.25">
      <c r="A1131" s="15" t="s">
        <v>1010</v>
      </c>
      <c r="B1131" s="15" t="s">
        <v>1011</v>
      </c>
      <c r="C1131" s="16">
        <v>3.5</v>
      </c>
      <c r="D1131" s="15" t="s">
        <v>381</v>
      </c>
      <c r="E1131" s="15" t="s">
        <v>682</v>
      </c>
      <c r="F1131" s="15">
        <v>1</v>
      </c>
      <c r="G1131" s="15">
        <v>1</v>
      </c>
    </row>
    <row r="1132" spans="1:7" x14ac:dyDescent="0.25">
      <c r="A1132" s="15" t="s">
        <v>1010</v>
      </c>
      <c r="B1132" s="15" t="s">
        <v>1011</v>
      </c>
      <c r="C1132" s="16">
        <v>219.6</v>
      </c>
      <c r="D1132" s="15" t="s">
        <v>80</v>
      </c>
      <c r="E1132" s="15" t="s">
        <v>791</v>
      </c>
      <c r="F1132" s="15">
        <v>24</v>
      </c>
      <c r="G1132" s="15">
        <v>24</v>
      </c>
    </row>
    <row r="1133" spans="1:7" x14ac:dyDescent="0.25">
      <c r="A1133" s="15" t="s">
        <v>1010</v>
      </c>
      <c r="B1133" s="15" t="s">
        <v>1011</v>
      </c>
      <c r="C1133" s="16">
        <v>12.25</v>
      </c>
      <c r="D1133" s="15" t="s">
        <v>385</v>
      </c>
      <c r="E1133" s="15" t="s">
        <v>386</v>
      </c>
      <c r="F1133" s="15">
        <v>5</v>
      </c>
      <c r="G1133" s="15">
        <v>5</v>
      </c>
    </row>
    <row r="1134" spans="1:7" x14ac:dyDescent="0.25">
      <c r="A1134" s="15" t="s">
        <v>1010</v>
      </c>
      <c r="B1134" s="15" t="s">
        <v>1011</v>
      </c>
      <c r="C1134" s="16">
        <v>14.75</v>
      </c>
      <c r="D1134" s="15" t="s">
        <v>1041</v>
      </c>
      <c r="E1134" s="15" t="s">
        <v>1042</v>
      </c>
      <c r="F1134" s="15">
        <v>3</v>
      </c>
      <c r="G1134" s="15">
        <v>3</v>
      </c>
    </row>
    <row r="1135" spans="1:7" x14ac:dyDescent="0.25">
      <c r="A1135" s="15" t="s">
        <v>1010</v>
      </c>
      <c r="B1135" s="15" t="s">
        <v>1011</v>
      </c>
      <c r="C1135" s="16">
        <v>733.4</v>
      </c>
      <c r="D1135" s="15" t="s">
        <v>123</v>
      </c>
      <c r="E1135" s="15" t="s">
        <v>388</v>
      </c>
      <c r="F1135" s="15">
        <v>99</v>
      </c>
      <c r="G1135" s="15">
        <v>99</v>
      </c>
    </row>
    <row r="1136" spans="1:7" x14ac:dyDescent="0.25">
      <c r="A1136" s="15" t="s">
        <v>1010</v>
      </c>
      <c r="B1136" s="15" t="s">
        <v>1011</v>
      </c>
      <c r="C1136" s="16">
        <v>6.45</v>
      </c>
      <c r="D1136" s="15" t="s">
        <v>194</v>
      </c>
      <c r="E1136" s="15" t="s">
        <v>426</v>
      </c>
      <c r="F1136" s="15">
        <v>3</v>
      </c>
      <c r="G1136" s="15">
        <v>3</v>
      </c>
    </row>
    <row r="1137" spans="1:7" x14ac:dyDescent="0.25">
      <c r="A1137" s="15" t="s">
        <v>1010</v>
      </c>
      <c r="B1137" s="15" t="s">
        <v>1011</v>
      </c>
      <c r="C1137" s="16">
        <v>6.6</v>
      </c>
      <c r="D1137" s="15" t="s">
        <v>1006</v>
      </c>
      <c r="E1137" s="15" t="s">
        <v>126</v>
      </c>
      <c r="F1137" s="15">
        <v>2</v>
      </c>
      <c r="G1137" s="15">
        <v>2</v>
      </c>
    </row>
    <row r="1138" spans="1:7" x14ac:dyDescent="0.25">
      <c r="A1138" s="15" t="s">
        <v>1010</v>
      </c>
      <c r="B1138" s="15" t="s">
        <v>1011</v>
      </c>
      <c r="C1138" s="16">
        <v>7.4</v>
      </c>
      <c r="D1138" s="15" t="s">
        <v>393</v>
      </c>
      <c r="E1138" s="15" t="s">
        <v>394</v>
      </c>
      <c r="F1138" s="15">
        <v>20</v>
      </c>
      <c r="G1138" s="15">
        <v>20</v>
      </c>
    </row>
    <row r="1139" spans="1:7" x14ac:dyDescent="0.25">
      <c r="A1139" s="15" t="s">
        <v>1043</v>
      </c>
      <c r="B1139" s="15" t="s">
        <v>1044</v>
      </c>
      <c r="C1139" s="16">
        <v>8.98</v>
      </c>
      <c r="D1139" s="15" t="s">
        <v>80</v>
      </c>
      <c r="E1139" s="15" t="s">
        <v>926</v>
      </c>
      <c r="F1139" s="15">
        <v>1</v>
      </c>
      <c r="G1139" s="15">
        <v>1</v>
      </c>
    </row>
    <row r="1140" spans="1:7" x14ac:dyDescent="0.25">
      <c r="A1140" s="15" t="s">
        <v>1043</v>
      </c>
      <c r="B1140" s="15" t="s">
        <v>1044</v>
      </c>
      <c r="C1140" s="16">
        <v>861.09</v>
      </c>
      <c r="D1140" s="15" t="s">
        <v>90</v>
      </c>
      <c r="E1140" s="15" t="s">
        <v>1045</v>
      </c>
      <c r="F1140" s="15">
        <v>65</v>
      </c>
      <c r="G1140" s="15">
        <v>65</v>
      </c>
    </row>
    <row r="1141" spans="1:7" x14ac:dyDescent="0.25">
      <c r="A1141" s="15" t="s">
        <v>1043</v>
      </c>
      <c r="B1141" s="15" t="s">
        <v>1044</v>
      </c>
      <c r="C1141" s="16">
        <v>184.9</v>
      </c>
      <c r="D1141" s="15" t="s">
        <v>67</v>
      </c>
      <c r="E1141" s="15" t="s">
        <v>1046</v>
      </c>
      <c r="F1141" s="15">
        <v>15</v>
      </c>
      <c r="G1141" s="15">
        <v>15</v>
      </c>
    </row>
    <row r="1142" spans="1:7" x14ac:dyDescent="0.25">
      <c r="A1142" s="15" t="s">
        <v>1043</v>
      </c>
      <c r="B1142" s="15" t="s">
        <v>1044</v>
      </c>
      <c r="C1142" s="16">
        <v>12.23</v>
      </c>
      <c r="D1142" s="15" t="s">
        <v>245</v>
      </c>
      <c r="E1142" s="15" t="s">
        <v>1047</v>
      </c>
      <c r="F1142" s="15">
        <v>1</v>
      </c>
      <c r="G1142" s="15">
        <v>1</v>
      </c>
    </row>
    <row r="1143" spans="1:7" x14ac:dyDescent="0.25">
      <c r="A1143" s="15" t="s">
        <v>1043</v>
      </c>
      <c r="B1143" s="15" t="s">
        <v>1044</v>
      </c>
      <c r="C1143" s="16">
        <v>234.5</v>
      </c>
      <c r="D1143" s="15" t="s">
        <v>1027</v>
      </c>
      <c r="E1143" s="15" t="s">
        <v>1048</v>
      </c>
      <c r="F1143" s="15">
        <v>2</v>
      </c>
      <c r="G1143" s="15">
        <v>2</v>
      </c>
    </row>
    <row r="1144" spans="1:7" x14ac:dyDescent="0.25">
      <c r="A1144" s="15" t="s">
        <v>1043</v>
      </c>
      <c r="B1144" s="15" t="s">
        <v>1044</v>
      </c>
      <c r="C1144" s="16">
        <v>514.48</v>
      </c>
      <c r="D1144" s="15" t="s">
        <v>281</v>
      </c>
      <c r="E1144" s="15" t="s">
        <v>1049</v>
      </c>
      <c r="F1144" s="15">
        <v>26</v>
      </c>
      <c r="G1144" s="15">
        <v>26</v>
      </c>
    </row>
    <row r="1145" spans="1:7" x14ac:dyDescent="0.25">
      <c r="A1145" s="15" t="s">
        <v>1043</v>
      </c>
      <c r="B1145" s="15" t="s">
        <v>1044</v>
      </c>
      <c r="C1145" s="16">
        <v>20.100000000000001</v>
      </c>
      <c r="D1145" s="15" t="s">
        <v>80</v>
      </c>
      <c r="E1145" s="15" t="s">
        <v>927</v>
      </c>
      <c r="F1145" s="15">
        <v>1</v>
      </c>
      <c r="G1145" s="15">
        <v>1</v>
      </c>
    </row>
    <row r="1146" spans="1:7" x14ac:dyDescent="0.25">
      <c r="A1146" s="15" t="s">
        <v>1043</v>
      </c>
      <c r="B1146" s="15" t="s">
        <v>1044</v>
      </c>
      <c r="C1146" s="16">
        <v>3.36</v>
      </c>
      <c r="D1146" s="15" t="s">
        <v>129</v>
      </c>
      <c r="E1146" s="15" t="s">
        <v>130</v>
      </c>
      <c r="F1146" s="15">
        <v>1</v>
      </c>
      <c r="G1146" s="15">
        <v>1</v>
      </c>
    </row>
    <row r="1147" spans="1:7" x14ac:dyDescent="0.25">
      <c r="A1147" s="15" t="s">
        <v>1043</v>
      </c>
      <c r="B1147" s="15" t="s">
        <v>1044</v>
      </c>
      <c r="C1147" s="16">
        <v>283.05</v>
      </c>
      <c r="D1147" s="15" t="s">
        <v>91</v>
      </c>
      <c r="E1147" s="15" t="s">
        <v>1050</v>
      </c>
      <c r="F1147" s="15">
        <v>20</v>
      </c>
      <c r="G1147" s="15">
        <v>20</v>
      </c>
    </row>
    <row r="1148" spans="1:7" x14ac:dyDescent="0.25">
      <c r="A1148" s="15" t="s">
        <v>1043</v>
      </c>
      <c r="B1148" s="15" t="s">
        <v>1044</v>
      </c>
      <c r="C1148" s="16">
        <v>14.24</v>
      </c>
      <c r="D1148" s="15" t="s">
        <v>458</v>
      </c>
      <c r="E1148" s="15" t="s">
        <v>935</v>
      </c>
      <c r="F1148" s="15">
        <v>3</v>
      </c>
      <c r="G1148" s="15">
        <v>3</v>
      </c>
    </row>
    <row r="1149" spans="1:7" x14ac:dyDescent="0.25">
      <c r="A1149" s="15" t="s">
        <v>1043</v>
      </c>
      <c r="B1149" s="15" t="s">
        <v>1044</v>
      </c>
      <c r="C1149" s="16">
        <v>78.040000000000006</v>
      </c>
      <c r="D1149" s="15" t="s">
        <v>275</v>
      </c>
      <c r="E1149" s="15" t="s">
        <v>936</v>
      </c>
      <c r="F1149" s="15">
        <v>15</v>
      </c>
      <c r="G1149" s="15">
        <v>15</v>
      </c>
    </row>
    <row r="1150" spans="1:7" x14ac:dyDescent="0.25">
      <c r="A1150" s="15" t="s">
        <v>1043</v>
      </c>
      <c r="B1150" s="15" t="s">
        <v>1044</v>
      </c>
      <c r="C1150" s="16">
        <v>3.82</v>
      </c>
      <c r="D1150" s="15" t="s">
        <v>1051</v>
      </c>
      <c r="E1150" s="15" t="s">
        <v>1052</v>
      </c>
      <c r="F1150" s="15">
        <v>1</v>
      </c>
      <c r="G1150" s="15">
        <v>1</v>
      </c>
    </row>
    <row r="1151" spans="1:7" x14ac:dyDescent="0.25">
      <c r="A1151" s="15" t="s">
        <v>1043</v>
      </c>
      <c r="B1151" s="15" t="s">
        <v>1044</v>
      </c>
      <c r="C1151" s="16">
        <v>10.4</v>
      </c>
      <c r="D1151" s="15" t="s">
        <v>940</v>
      </c>
      <c r="E1151" s="15" t="s">
        <v>941</v>
      </c>
      <c r="F1151" s="15">
        <v>2</v>
      </c>
      <c r="G1151" s="15">
        <v>2</v>
      </c>
    </row>
    <row r="1152" spans="1:7" x14ac:dyDescent="0.25">
      <c r="A1152" s="15" t="s">
        <v>1043</v>
      </c>
      <c r="B1152" s="15" t="s">
        <v>1044</v>
      </c>
      <c r="C1152" s="16">
        <v>8.8800000000000008</v>
      </c>
      <c r="D1152" s="15" t="s">
        <v>93</v>
      </c>
      <c r="E1152" s="15" t="s">
        <v>94</v>
      </c>
      <c r="F1152" s="15">
        <v>4</v>
      </c>
      <c r="G1152" s="15">
        <v>4</v>
      </c>
    </row>
    <row r="1153" spans="1:7" x14ac:dyDescent="0.25">
      <c r="A1153" s="15" t="s">
        <v>1043</v>
      </c>
      <c r="B1153" s="15" t="s">
        <v>1044</v>
      </c>
      <c r="C1153" s="16">
        <v>1581.13</v>
      </c>
      <c r="D1153" s="15" t="s">
        <v>101</v>
      </c>
      <c r="E1153" s="15" t="s">
        <v>102</v>
      </c>
      <c r="F1153" s="15">
        <v>137</v>
      </c>
      <c r="G1153" s="15">
        <v>137</v>
      </c>
    </row>
    <row r="1154" spans="1:7" x14ac:dyDescent="0.25">
      <c r="A1154" s="15" t="s">
        <v>1043</v>
      </c>
      <c r="B1154" s="15" t="s">
        <v>1044</v>
      </c>
      <c r="C1154" s="16">
        <v>6912.97</v>
      </c>
      <c r="D1154" s="15" t="s">
        <v>101</v>
      </c>
      <c r="E1154" s="15" t="s">
        <v>1053</v>
      </c>
      <c r="F1154" s="15">
        <v>445</v>
      </c>
      <c r="G1154" s="15">
        <v>445</v>
      </c>
    </row>
    <row r="1155" spans="1:7" x14ac:dyDescent="0.25">
      <c r="A1155" s="15" t="s">
        <v>1043</v>
      </c>
      <c r="B1155" s="15" t="s">
        <v>1044</v>
      </c>
      <c r="C1155" s="16">
        <v>656</v>
      </c>
      <c r="D1155" s="15" t="s">
        <v>115</v>
      </c>
      <c r="E1155" s="15" t="s">
        <v>116</v>
      </c>
      <c r="F1155" s="15">
        <v>4</v>
      </c>
      <c r="G1155" s="15">
        <v>4</v>
      </c>
    </row>
    <row r="1156" spans="1:7" x14ac:dyDescent="0.25">
      <c r="A1156" s="15" t="s">
        <v>1043</v>
      </c>
      <c r="B1156" s="15" t="s">
        <v>1044</v>
      </c>
      <c r="C1156" s="16">
        <v>57</v>
      </c>
      <c r="D1156" s="15" t="s">
        <v>98</v>
      </c>
      <c r="E1156" s="15" t="s">
        <v>99</v>
      </c>
      <c r="F1156" s="15">
        <v>3</v>
      </c>
      <c r="G1156" s="15">
        <v>3</v>
      </c>
    </row>
    <row r="1157" spans="1:7" x14ac:dyDescent="0.25">
      <c r="A1157" s="15" t="s">
        <v>1043</v>
      </c>
      <c r="B1157" s="15" t="s">
        <v>1044</v>
      </c>
      <c r="C1157" s="16">
        <v>42.08</v>
      </c>
      <c r="D1157" s="15" t="s">
        <v>80</v>
      </c>
      <c r="E1157" s="15" t="s">
        <v>943</v>
      </c>
      <c r="F1157" s="15">
        <v>4</v>
      </c>
      <c r="G1157" s="15">
        <v>4</v>
      </c>
    </row>
    <row r="1158" spans="1:7" x14ac:dyDescent="0.25">
      <c r="A1158" s="15" t="s">
        <v>1043</v>
      </c>
      <c r="B1158" s="15" t="s">
        <v>1044</v>
      </c>
      <c r="C1158" s="16">
        <v>10.84</v>
      </c>
      <c r="D1158" s="15" t="s">
        <v>680</v>
      </c>
      <c r="E1158" s="15" t="s">
        <v>944</v>
      </c>
      <c r="F1158" s="15">
        <v>2</v>
      </c>
      <c r="G1158" s="15">
        <v>2</v>
      </c>
    </row>
    <row r="1159" spans="1:7" x14ac:dyDescent="0.25">
      <c r="A1159" s="15" t="s">
        <v>1043</v>
      </c>
      <c r="B1159" s="15" t="s">
        <v>1044</v>
      </c>
      <c r="C1159" s="16">
        <v>122.92</v>
      </c>
      <c r="D1159" s="15" t="s">
        <v>945</v>
      </c>
      <c r="E1159" s="15" t="s">
        <v>946</v>
      </c>
      <c r="F1159" s="15">
        <v>25</v>
      </c>
      <c r="G1159" s="15">
        <v>25</v>
      </c>
    </row>
    <row r="1160" spans="1:7" x14ac:dyDescent="0.25">
      <c r="A1160" s="15" t="s">
        <v>1043</v>
      </c>
      <c r="B1160" s="15" t="s">
        <v>1044</v>
      </c>
      <c r="C1160" s="16">
        <v>60.26</v>
      </c>
      <c r="D1160" s="15" t="s">
        <v>86</v>
      </c>
      <c r="E1160" s="15" t="s">
        <v>87</v>
      </c>
      <c r="F1160" s="15">
        <v>19</v>
      </c>
      <c r="G1160" s="15">
        <v>19</v>
      </c>
    </row>
    <row r="1161" spans="1:7" x14ac:dyDescent="0.25">
      <c r="A1161" s="15" t="s">
        <v>1043</v>
      </c>
      <c r="B1161" s="15" t="s">
        <v>1044</v>
      </c>
      <c r="C1161" s="16">
        <v>3.62</v>
      </c>
      <c r="D1161" s="15" t="s">
        <v>1054</v>
      </c>
      <c r="E1161" s="15" t="s">
        <v>1055</v>
      </c>
      <c r="F1161" s="15">
        <v>1</v>
      </c>
      <c r="G1161" s="15">
        <v>1</v>
      </c>
    </row>
    <row r="1162" spans="1:7" x14ac:dyDescent="0.25">
      <c r="A1162" s="15" t="s">
        <v>1043</v>
      </c>
      <c r="B1162" s="15" t="s">
        <v>1044</v>
      </c>
      <c r="C1162" s="16">
        <v>63.19</v>
      </c>
      <c r="D1162" s="15" t="s">
        <v>567</v>
      </c>
      <c r="E1162" s="15" t="s">
        <v>1056</v>
      </c>
      <c r="F1162" s="15">
        <v>9</v>
      </c>
      <c r="G1162" s="15">
        <v>9</v>
      </c>
    </row>
    <row r="1163" spans="1:7" x14ac:dyDescent="0.25">
      <c r="A1163" s="15" t="s">
        <v>1043</v>
      </c>
      <c r="B1163" s="15" t="s">
        <v>1044</v>
      </c>
      <c r="C1163" s="16">
        <v>31.65</v>
      </c>
      <c r="D1163" s="15" t="s">
        <v>100</v>
      </c>
      <c r="E1163" s="15" t="s">
        <v>949</v>
      </c>
      <c r="F1163" s="15">
        <v>8</v>
      </c>
      <c r="G1163" s="15">
        <v>8</v>
      </c>
    </row>
    <row r="1164" spans="1:7" x14ac:dyDescent="0.25">
      <c r="A1164" s="15" t="s">
        <v>1043</v>
      </c>
      <c r="B1164" s="15" t="s">
        <v>1044</v>
      </c>
      <c r="C1164" s="16">
        <v>654.5</v>
      </c>
      <c r="D1164" s="15" t="s">
        <v>111</v>
      </c>
      <c r="E1164" s="15" t="s">
        <v>112</v>
      </c>
      <c r="F1164" s="15">
        <v>55</v>
      </c>
      <c r="G1164" s="15">
        <v>55</v>
      </c>
    </row>
    <row r="1165" spans="1:7" x14ac:dyDescent="0.25">
      <c r="A1165" s="15" t="s">
        <v>1043</v>
      </c>
      <c r="B1165" s="15" t="s">
        <v>1044</v>
      </c>
      <c r="C1165" s="16">
        <v>67.38</v>
      </c>
      <c r="D1165" s="15" t="s">
        <v>951</v>
      </c>
      <c r="E1165" s="15" t="s">
        <v>952</v>
      </c>
      <c r="F1165" s="15">
        <v>5</v>
      </c>
      <c r="G1165" s="15">
        <v>5</v>
      </c>
    </row>
    <row r="1166" spans="1:7" x14ac:dyDescent="0.25">
      <c r="A1166" s="15" t="s">
        <v>1043</v>
      </c>
      <c r="B1166" s="15" t="s">
        <v>1044</v>
      </c>
      <c r="C1166" s="16">
        <v>134.36000000000001</v>
      </c>
      <c r="D1166" s="15" t="s">
        <v>348</v>
      </c>
      <c r="E1166" s="15" t="s">
        <v>657</v>
      </c>
      <c r="F1166" s="15">
        <v>20</v>
      </c>
      <c r="G1166" s="15">
        <v>20</v>
      </c>
    </row>
    <row r="1167" spans="1:7" x14ac:dyDescent="0.25">
      <c r="A1167" s="15" t="s">
        <v>1043</v>
      </c>
      <c r="B1167" s="15" t="s">
        <v>1044</v>
      </c>
      <c r="C1167" s="16">
        <v>70.58</v>
      </c>
      <c r="D1167" s="15" t="s">
        <v>123</v>
      </c>
      <c r="E1167" s="15" t="s">
        <v>953</v>
      </c>
      <c r="F1167" s="15">
        <v>8</v>
      </c>
      <c r="G1167" s="15">
        <v>8</v>
      </c>
    </row>
    <row r="1168" spans="1:7" x14ac:dyDescent="0.25">
      <c r="A1168" s="15" t="s">
        <v>1043</v>
      </c>
      <c r="B1168" s="15" t="s">
        <v>1044</v>
      </c>
      <c r="C1168" s="16">
        <v>56</v>
      </c>
      <c r="D1168" s="15" t="s">
        <v>117</v>
      </c>
      <c r="E1168" s="15" t="s">
        <v>118</v>
      </c>
      <c r="F1168" s="15">
        <v>4</v>
      </c>
      <c r="G1168" s="15">
        <v>4</v>
      </c>
    </row>
    <row r="1169" spans="1:7" x14ac:dyDescent="0.25">
      <c r="A1169" s="15" t="s">
        <v>1043</v>
      </c>
      <c r="B1169" s="15" t="s">
        <v>1044</v>
      </c>
      <c r="C1169" s="16">
        <v>16.920000000000002</v>
      </c>
      <c r="D1169" s="15" t="s">
        <v>179</v>
      </c>
      <c r="E1169" s="15" t="s">
        <v>1057</v>
      </c>
      <c r="F1169" s="15">
        <v>1</v>
      </c>
      <c r="G1169" s="15">
        <v>1</v>
      </c>
    </row>
    <row r="1170" spans="1:7" x14ac:dyDescent="0.25">
      <c r="A1170" s="15" t="s">
        <v>1043</v>
      </c>
      <c r="B1170" s="15" t="s">
        <v>1044</v>
      </c>
      <c r="C1170" s="16">
        <v>54.7</v>
      </c>
      <c r="D1170" s="15" t="s">
        <v>105</v>
      </c>
      <c r="E1170" s="15" t="s">
        <v>106</v>
      </c>
      <c r="F1170" s="15">
        <v>2</v>
      </c>
      <c r="G1170" s="15">
        <v>2</v>
      </c>
    </row>
    <row r="1171" spans="1:7" x14ac:dyDescent="0.25">
      <c r="A1171" s="15" t="s">
        <v>1043</v>
      </c>
      <c r="B1171" s="15" t="s">
        <v>1044</v>
      </c>
      <c r="C1171" s="16">
        <v>19.420000000000002</v>
      </c>
      <c r="D1171" s="15" t="s">
        <v>903</v>
      </c>
      <c r="E1171" s="15" t="s">
        <v>904</v>
      </c>
      <c r="F1171" s="15">
        <v>9</v>
      </c>
      <c r="G1171" s="15">
        <v>9</v>
      </c>
    </row>
    <row r="1172" spans="1:7" x14ac:dyDescent="0.25">
      <c r="A1172" s="15" t="s">
        <v>1043</v>
      </c>
      <c r="B1172" s="15" t="s">
        <v>1044</v>
      </c>
      <c r="C1172" s="16">
        <v>1353.2</v>
      </c>
      <c r="D1172" s="15" t="s">
        <v>103</v>
      </c>
      <c r="E1172" s="15" t="s">
        <v>104</v>
      </c>
      <c r="F1172" s="15">
        <v>104</v>
      </c>
      <c r="G1172" s="15">
        <v>104</v>
      </c>
    </row>
    <row r="1173" spans="1:7" x14ac:dyDescent="0.25">
      <c r="A1173" s="15" t="s">
        <v>1043</v>
      </c>
      <c r="B1173" s="15" t="s">
        <v>1044</v>
      </c>
      <c r="C1173" s="16">
        <v>4.12</v>
      </c>
      <c r="D1173" s="15" t="s">
        <v>80</v>
      </c>
      <c r="E1173" s="15" t="s">
        <v>959</v>
      </c>
      <c r="F1173" s="15">
        <v>1</v>
      </c>
      <c r="G1173" s="15">
        <v>1</v>
      </c>
    </row>
    <row r="1174" spans="1:7" x14ac:dyDescent="0.25">
      <c r="A1174" s="15" t="s">
        <v>1043</v>
      </c>
      <c r="B1174" s="15" t="s">
        <v>1044</v>
      </c>
      <c r="C1174" s="16">
        <v>16.29</v>
      </c>
      <c r="D1174" s="15" t="s">
        <v>119</v>
      </c>
      <c r="E1174" s="15" t="s">
        <v>1058</v>
      </c>
      <c r="F1174" s="15">
        <v>2</v>
      </c>
      <c r="G1174" s="15">
        <v>2</v>
      </c>
    </row>
    <row r="1175" spans="1:7" x14ac:dyDescent="0.25">
      <c r="A1175" s="15" t="s">
        <v>1043</v>
      </c>
      <c r="B1175" s="15" t="s">
        <v>1044</v>
      </c>
      <c r="C1175" s="16">
        <v>41.8</v>
      </c>
      <c r="D1175" s="15" t="s">
        <v>960</v>
      </c>
      <c r="E1175" s="15" t="s">
        <v>961</v>
      </c>
      <c r="F1175" s="15">
        <v>2</v>
      </c>
      <c r="G1175" s="15">
        <v>2</v>
      </c>
    </row>
    <row r="1176" spans="1:7" x14ac:dyDescent="0.25">
      <c r="A1176" s="15" t="s">
        <v>1043</v>
      </c>
      <c r="B1176" s="15" t="s">
        <v>1044</v>
      </c>
      <c r="C1176" s="16">
        <v>41.45</v>
      </c>
      <c r="D1176" s="15" t="s">
        <v>95</v>
      </c>
      <c r="E1176" s="15" t="s">
        <v>96</v>
      </c>
      <c r="F1176" s="15">
        <v>11</v>
      </c>
      <c r="G1176" s="15">
        <v>11</v>
      </c>
    </row>
    <row r="1177" spans="1:7" x14ac:dyDescent="0.25">
      <c r="A1177" s="15" t="s">
        <v>1043</v>
      </c>
      <c r="B1177" s="15" t="s">
        <v>1044</v>
      </c>
      <c r="C1177" s="16">
        <v>54.2</v>
      </c>
      <c r="D1177" s="15" t="s">
        <v>963</v>
      </c>
      <c r="E1177" s="15" t="s">
        <v>784</v>
      </c>
      <c r="F1177" s="15">
        <v>9</v>
      </c>
      <c r="G1177" s="15">
        <v>9</v>
      </c>
    </row>
    <row r="1178" spans="1:7" x14ac:dyDescent="0.25">
      <c r="A1178" s="15" t="s">
        <v>1043</v>
      </c>
      <c r="B1178" s="15" t="s">
        <v>1044</v>
      </c>
      <c r="C1178" s="16">
        <v>2.92</v>
      </c>
      <c r="D1178" s="15" t="s">
        <v>80</v>
      </c>
      <c r="E1178" s="15" t="s">
        <v>1059</v>
      </c>
      <c r="F1178" s="15">
        <v>1</v>
      </c>
      <c r="G1178" s="15">
        <v>1</v>
      </c>
    </row>
    <row r="1179" spans="1:7" x14ac:dyDescent="0.25">
      <c r="A1179" s="15" t="s">
        <v>1043</v>
      </c>
      <c r="B1179" s="15" t="s">
        <v>1044</v>
      </c>
      <c r="C1179" s="16">
        <v>33</v>
      </c>
      <c r="D1179" s="15" t="s">
        <v>965</v>
      </c>
      <c r="E1179" s="15" t="s">
        <v>966</v>
      </c>
      <c r="F1179" s="15">
        <v>4</v>
      </c>
      <c r="G1179" s="15">
        <v>4</v>
      </c>
    </row>
    <row r="1180" spans="1:7" x14ac:dyDescent="0.25">
      <c r="A1180" s="15" t="s">
        <v>1043</v>
      </c>
      <c r="B1180" s="15" t="s">
        <v>1044</v>
      </c>
      <c r="C1180" s="16">
        <v>274.11</v>
      </c>
      <c r="D1180" s="15" t="s">
        <v>80</v>
      </c>
      <c r="E1180" s="15" t="s">
        <v>415</v>
      </c>
      <c r="F1180" s="15">
        <v>29</v>
      </c>
      <c r="G1180" s="15">
        <v>29</v>
      </c>
    </row>
    <row r="1181" spans="1:7" x14ac:dyDescent="0.25">
      <c r="A1181" s="15" t="s">
        <v>1043</v>
      </c>
      <c r="B1181" s="15" t="s">
        <v>1044</v>
      </c>
      <c r="C1181" s="16">
        <v>102.49</v>
      </c>
      <c r="D1181" s="15" t="s">
        <v>119</v>
      </c>
      <c r="E1181" s="15" t="s">
        <v>120</v>
      </c>
      <c r="F1181" s="15">
        <v>4</v>
      </c>
      <c r="G1181" s="15">
        <v>4</v>
      </c>
    </row>
    <row r="1182" spans="1:7" x14ac:dyDescent="0.25">
      <c r="A1182" s="15" t="s">
        <v>1043</v>
      </c>
      <c r="B1182" s="15" t="s">
        <v>1044</v>
      </c>
      <c r="C1182" s="16">
        <v>169.62</v>
      </c>
      <c r="D1182" s="15" t="s">
        <v>107</v>
      </c>
      <c r="E1182" s="15" t="s">
        <v>108</v>
      </c>
      <c r="F1182" s="15">
        <v>21</v>
      </c>
      <c r="G1182" s="15">
        <v>21</v>
      </c>
    </row>
    <row r="1183" spans="1:7" x14ac:dyDescent="0.25">
      <c r="A1183" s="15" t="s">
        <v>1043</v>
      </c>
      <c r="B1183" s="15" t="s">
        <v>1044</v>
      </c>
      <c r="C1183" s="16">
        <v>11.1</v>
      </c>
      <c r="D1183" s="15" t="s">
        <v>134</v>
      </c>
      <c r="E1183" s="15" t="s">
        <v>1060</v>
      </c>
      <c r="F1183" s="15">
        <v>3</v>
      </c>
      <c r="G1183" s="15">
        <v>3</v>
      </c>
    </row>
    <row r="1184" spans="1:7" x14ac:dyDescent="0.25">
      <c r="A1184" s="15" t="s">
        <v>1043</v>
      </c>
      <c r="B1184" s="15" t="s">
        <v>1044</v>
      </c>
      <c r="C1184" s="16">
        <v>1244.1400000000001</v>
      </c>
      <c r="D1184" s="15" t="s">
        <v>77</v>
      </c>
      <c r="E1184" s="15" t="s">
        <v>78</v>
      </c>
      <c r="F1184" s="15">
        <v>140</v>
      </c>
      <c r="G1184" s="15">
        <v>140</v>
      </c>
    </row>
    <row r="1185" spans="1:7" x14ac:dyDescent="0.25">
      <c r="A1185" s="15" t="s">
        <v>1043</v>
      </c>
      <c r="B1185" s="15" t="s">
        <v>1044</v>
      </c>
      <c r="C1185" s="16">
        <v>1222.72</v>
      </c>
      <c r="D1185" s="15" t="s">
        <v>977</v>
      </c>
      <c r="E1185" s="15" t="s">
        <v>978</v>
      </c>
      <c r="F1185" s="15">
        <v>114</v>
      </c>
      <c r="G1185" s="15">
        <v>114</v>
      </c>
    </row>
    <row r="1186" spans="1:7" x14ac:dyDescent="0.25">
      <c r="A1186" s="15" t="s">
        <v>1043</v>
      </c>
      <c r="B1186" s="15" t="s">
        <v>1044</v>
      </c>
      <c r="C1186" s="16">
        <v>3669.23</v>
      </c>
      <c r="D1186" s="15" t="s">
        <v>132</v>
      </c>
      <c r="E1186" s="15" t="s">
        <v>1061</v>
      </c>
      <c r="F1186" s="15">
        <v>136</v>
      </c>
      <c r="G1186" s="15">
        <v>136</v>
      </c>
    </row>
    <row r="1187" spans="1:7" x14ac:dyDescent="0.25">
      <c r="A1187" s="15" t="s">
        <v>1043</v>
      </c>
      <c r="B1187" s="15" t="s">
        <v>1044</v>
      </c>
      <c r="C1187" s="16">
        <v>36.799999999999997</v>
      </c>
      <c r="D1187" s="15" t="s">
        <v>1062</v>
      </c>
      <c r="E1187" s="15" t="s">
        <v>1063</v>
      </c>
      <c r="F1187" s="15">
        <v>8</v>
      </c>
      <c r="G1187" s="15">
        <v>8</v>
      </c>
    </row>
    <row r="1188" spans="1:7" x14ac:dyDescent="0.25">
      <c r="A1188" s="15" t="s">
        <v>1043</v>
      </c>
      <c r="B1188" s="15" t="s">
        <v>1044</v>
      </c>
      <c r="C1188" s="16">
        <v>26.73</v>
      </c>
      <c r="D1188" s="15" t="s">
        <v>82</v>
      </c>
      <c r="E1188" s="15" t="s">
        <v>83</v>
      </c>
      <c r="F1188" s="15">
        <v>10</v>
      </c>
      <c r="G1188" s="15">
        <v>10</v>
      </c>
    </row>
    <row r="1189" spans="1:7" x14ac:dyDescent="0.25">
      <c r="A1189" s="15" t="s">
        <v>1043</v>
      </c>
      <c r="B1189" s="15" t="s">
        <v>1044</v>
      </c>
      <c r="C1189" s="16">
        <v>113.66</v>
      </c>
      <c r="D1189" s="15" t="s">
        <v>994</v>
      </c>
      <c r="E1189" s="15" t="s">
        <v>1064</v>
      </c>
      <c r="F1189" s="15">
        <v>9</v>
      </c>
      <c r="G1189" s="15">
        <v>9</v>
      </c>
    </row>
    <row r="1190" spans="1:7" x14ac:dyDescent="0.25">
      <c r="A1190" s="15" t="s">
        <v>1043</v>
      </c>
      <c r="B1190" s="15" t="s">
        <v>1044</v>
      </c>
      <c r="C1190" s="16">
        <v>11.34</v>
      </c>
      <c r="D1190" s="15" t="s">
        <v>301</v>
      </c>
      <c r="E1190" s="15" t="s">
        <v>986</v>
      </c>
      <c r="F1190" s="15">
        <v>1</v>
      </c>
      <c r="G1190" s="15">
        <v>1</v>
      </c>
    </row>
    <row r="1191" spans="1:7" x14ac:dyDescent="0.25">
      <c r="A1191" s="15" t="s">
        <v>1043</v>
      </c>
      <c r="B1191" s="15" t="s">
        <v>1044</v>
      </c>
      <c r="C1191" s="16">
        <v>169.46</v>
      </c>
      <c r="D1191" s="15" t="s">
        <v>399</v>
      </c>
      <c r="E1191" s="15" t="s">
        <v>990</v>
      </c>
      <c r="F1191" s="15">
        <v>13</v>
      </c>
      <c r="G1191" s="15">
        <v>13</v>
      </c>
    </row>
    <row r="1192" spans="1:7" x14ac:dyDescent="0.25">
      <c r="A1192" s="15" t="s">
        <v>1043</v>
      </c>
      <c r="B1192" s="15" t="s">
        <v>1044</v>
      </c>
      <c r="C1192" s="16">
        <v>11.68</v>
      </c>
      <c r="D1192" s="15" t="s">
        <v>991</v>
      </c>
      <c r="E1192" s="15" t="s">
        <v>992</v>
      </c>
      <c r="F1192" s="15">
        <v>4</v>
      </c>
      <c r="G1192" s="15">
        <v>4</v>
      </c>
    </row>
    <row r="1193" spans="1:7" x14ac:dyDescent="0.25">
      <c r="A1193" s="15" t="s">
        <v>1043</v>
      </c>
      <c r="B1193" s="15" t="s">
        <v>1044</v>
      </c>
      <c r="C1193" s="16">
        <v>91.49</v>
      </c>
      <c r="D1193" s="15" t="s">
        <v>73</v>
      </c>
      <c r="E1193" s="15" t="s">
        <v>74</v>
      </c>
      <c r="F1193" s="15">
        <v>36</v>
      </c>
      <c r="G1193" s="15">
        <v>36</v>
      </c>
    </row>
    <row r="1194" spans="1:7" x14ac:dyDescent="0.25">
      <c r="A1194" s="15" t="s">
        <v>1043</v>
      </c>
      <c r="B1194" s="15" t="s">
        <v>1044</v>
      </c>
      <c r="C1194" s="16">
        <v>53.67</v>
      </c>
      <c r="D1194" s="15" t="s">
        <v>1065</v>
      </c>
      <c r="E1194" s="15" t="s">
        <v>995</v>
      </c>
      <c r="F1194" s="15">
        <v>3</v>
      </c>
      <c r="G1194" s="15">
        <v>3</v>
      </c>
    </row>
    <row r="1195" spans="1:7" x14ac:dyDescent="0.25">
      <c r="A1195" s="15" t="s">
        <v>1043</v>
      </c>
      <c r="B1195" s="15" t="s">
        <v>1044</v>
      </c>
      <c r="C1195" s="16">
        <v>2.2999999999999998</v>
      </c>
      <c r="D1195" s="15" t="s">
        <v>80</v>
      </c>
      <c r="E1195" s="15" t="s">
        <v>1066</v>
      </c>
      <c r="F1195" s="15">
        <v>1</v>
      </c>
      <c r="G1195" s="15">
        <v>1</v>
      </c>
    </row>
    <row r="1196" spans="1:7" x14ac:dyDescent="0.25">
      <c r="A1196" s="15" t="s">
        <v>1043</v>
      </c>
      <c r="B1196" s="15" t="s">
        <v>1044</v>
      </c>
      <c r="C1196" s="16">
        <v>6.37</v>
      </c>
      <c r="D1196" s="15" t="s">
        <v>172</v>
      </c>
      <c r="E1196" s="15" t="s">
        <v>997</v>
      </c>
      <c r="F1196" s="15">
        <v>1</v>
      </c>
      <c r="G1196" s="15">
        <v>1</v>
      </c>
    </row>
    <row r="1197" spans="1:7" x14ac:dyDescent="0.25">
      <c r="A1197" s="15" t="s">
        <v>1043</v>
      </c>
      <c r="B1197" s="15" t="s">
        <v>1044</v>
      </c>
      <c r="C1197" s="16">
        <v>2.67</v>
      </c>
      <c r="D1197" s="15" t="s">
        <v>80</v>
      </c>
      <c r="E1197" s="15" t="s">
        <v>637</v>
      </c>
      <c r="F1197" s="15">
        <v>1</v>
      </c>
      <c r="G1197" s="15">
        <v>1</v>
      </c>
    </row>
    <row r="1198" spans="1:7" x14ac:dyDescent="0.25">
      <c r="A1198" s="15" t="s">
        <v>1043</v>
      </c>
      <c r="B1198" s="15" t="s">
        <v>1044</v>
      </c>
      <c r="C1198" s="16">
        <v>94.94</v>
      </c>
      <c r="D1198" s="15" t="s">
        <v>138</v>
      </c>
      <c r="E1198" s="15" t="s">
        <v>139</v>
      </c>
      <c r="F1198" s="15">
        <v>8</v>
      </c>
      <c r="G1198" s="15">
        <v>8</v>
      </c>
    </row>
    <row r="1199" spans="1:7" x14ac:dyDescent="0.25">
      <c r="A1199" s="15" t="s">
        <v>1043</v>
      </c>
      <c r="B1199" s="15" t="s">
        <v>1044</v>
      </c>
      <c r="C1199" s="16">
        <v>9.69</v>
      </c>
      <c r="D1199" s="15" t="s">
        <v>80</v>
      </c>
      <c r="E1199" s="15" t="s">
        <v>1067</v>
      </c>
      <c r="F1199" s="15">
        <v>1</v>
      </c>
      <c r="G1199" s="15">
        <v>1</v>
      </c>
    </row>
    <row r="1200" spans="1:7" x14ac:dyDescent="0.25">
      <c r="A1200" s="15" t="s">
        <v>1043</v>
      </c>
      <c r="B1200" s="15" t="s">
        <v>1044</v>
      </c>
      <c r="C1200" s="16">
        <v>33</v>
      </c>
      <c r="D1200" s="15" t="s">
        <v>179</v>
      </c>
      <c r="E1200" s="15" t="s">
        <v>1002</v>
      </c>
      <c r="F1200" s="15">
        <v>6</v>
      </c>
      <c r="G1200" s="15">
        <v>6</v>
      </c>
    </row>
    <row r="1201" spans="1:7" x14ac:dyDescent="0.25">
      <c r="A1201" s="15" t="s">
        <v>1043</v>
      </c>
      <c r="B1201" s="15" t="s">
        <v>1044</v>
      </c>
      <c r="C1201" s="16">
        <v>112.32</v>
      </c>
      <c r="D1201" s="15" t="s">
        <v>1068</v>
      </c>
      <c r="E1201" s="15" t="s">
        <v>1069</v>
      </c>
      <c r="F1201" s="15">
        <v>13</v>
      </c>
      <c r="G1201" s="15">
        <v>13</v>
      </c>
    </row>
    <row r="1202" spans="1:7" x14ac:dyDescent="0.25">
      <c r="A1202" s="15" t="s">
        <v>1043</v>
      </c>
      <c r="B1202" s="15" t="s">
        <v>1044</v>
      </c>
      <c r="C1202" s="16">
        <v>188.61</v>
      </c>
      <c r="D1202" s="15" t="s">
        <v>1004</v>
      </c>
      <c r="E1202" s="15" t="s">
        <v>1005</v>
      </c>
      <c r="F1202" s="15">
        <v>33</v>
      </c>
      <c r="G1202" s="15">
        <v>33</v>
      </c>
    </row>
    <row r="1203" spans="1:7" x14ac:dyDescent="0.25">
      <c r="A1203" s="15" t="s">
        <v>1043</v>
      </c>
      <c r="B1203" s="15" t="s">
        <v>1044</v>
      </c>
      <c r="C1203" s="16">
        <v>6.45</v>
      </c>
      <c r="D1203" s="15" t="s">
        <v>1007</v>
      </c>
      <c r="E1203" s="15" t="s">
        <v>1008</v>
      </c>
      <c r="F1203" s="15">
        <v>1</v>
      </c>
      <c r="G1203" s="15">
        <v>1</v>
      </c>
    </row>
    <row r="1204" spans="1:7" x14ac:dyDescent="0.25">
      <c r="A1204" s="15" t="s">
        <v>1043</v>
      </c>
      <c r="B1204" s="15" t="s">
        <v>1044</v>
      </c>
      <c r="C1204" s="16">
        <v>80</v>
      </c>
      <c r="D1204" s="15" t="s">
        <v>107</v>
      </c>
      <c r="E1204" s="15" t="s">
        <v>1070</v>
      </c>
      <c r="F1204" s="15">
        <v>40</v>
      </c>
      <c r="G1204" s="15">
        <v>40</v>
      </c>
    </row>
    <row r="1205" spans="1:7" x14ac:dyDescent="0.25">
      <c r="A1205" s="15" t="s">
        <v>1043</v>
      </c>
      <c r="B1205" s="15" t="s">
        <v>1044</v>
      </c>
      <c r="C1205" s="16">
        <v>19.440000000000001</v>
      </c>
      <c r="D1205" s="15" t="s">
        <v>1071</v>
      </c>
      <c r="E1205" s="15" t="s">
        <v>1072</v>
      </c>
      <c r="F1205" s="15">
        <v>7</v>
      </c>
      <c r="G1205" s="15">
        <v>7</v>
      </c>
    </row>
    <row r="1206" spans="1:7" x14ac:dyDescent="0.25">
      <c r="A1206" s="15" t="s">
        <v>1043</v>
      </c>
      <c r="B1206" s="15" t="s">
        <v>1044</v>
      </c>
      <c r="C1206" s="16">
        <v>60.81</v>
      </c>
      <c r="D1206" s="15" t="s">
        <v>80</v>
      </c>
      <c r="E1206" s="15" t="s">
        <v>1073</v>
      </c>
      <c r="F1206" s="15">
        <v>4</v>
      </c>
      <c r="G1206" s="15">
        <v>4</v>
      </c>
    </row>
    <row r="1207" spans="1:7" x14ac:dyDescent="0.25">
      <c r="A1207" s="15" t="s">
        <v>1043</v>
      </c>
      <c r="B1207" s="15" t="s">
        <v>1044</v>
      </c>
      <c r="C1207" s="16">
        <v>3.23</v>
      </c>
      <c r="D1207" s="15" t="s">
        <v>127</v>
      </c>
      <c r="E1207" s="15" t="s">
        <v>1009</v>
      </c>
      <c r="F1207" s="15">
        <v>1</v>
      </c>
      <c r="G1207" s="15">
        <v>1</v>
      </c>
    </row>
    <row r="1208" spans="1:7" x14ac:dyDescent="0.25">
      <c r="A1208" s="15" t="s">
        <v>1074</v>
      </c>
      <c r="B1208" s="15" t="s">
        <v>1075</v>
      </c>
      <c r="C1208" s="16">
        <v>3594.4</v>
      </c>
      <c r="D1208" s="15" t="s">
        <v>226</v>
      </c>
      <c r="E1208" s="15" t="s">
        <v>398</v>
      </c>
      <c r="F1208" s="15">
        <v>28</v>
      </c>
      <c r="G1208" s="15">
        <v>28</v>
      </c>
    </row>
    <row r="1209" spans="1:7" x14ac:dyDescent="0.25">
      <c r="A1209" s="15" t="s">
        <v>1074</v>
      </c>
      <c r="B1209" s="15" t="s">
        <v>1075</v>
      </c>
      <c r="C1209" s="16">
        <v>72.05</v>
      </c>
      <c r="D1209" s="15" t="s">
        <v>187</v>
      </c>
      <c r="E1209" s="15" t="s">
        <v>495</v>
      </c>
      <c r="F1209" s="15">
        <v>11</v>
      </c>
      <c r="G1209" s="15">
        <v>11</v>
      </c>
    </row>
    <row r="1210" spans="1:7" x14ac:dyDescent="0.25">
      <c r="A1210" s="15" t="s">
        <v>1074</v>
      </c>
      <c r="B1210" s="15" t="s">
        <v>1075</v>
      </c>
      <c r="C1210" s="16">
        <v>137.1</v>
      </c>
      <c r="D1210" s="15" t="s">
        <v>431</v>
      </c>
      <c r="E1210" s="15" t="s">
        <v>432</v>
      </c>
      <c r="F1210" s="15">
        <v>33</v>
      </c>
      <c r="G1210" s="15">
        <v>33</v>
      </c>
    </row>
    <row r="1211" spans="1:7" x14ac:dyDescent="0.25">
      <c r="A1211" s="15" t="s">
        <v>1074</v>
      </c>
      <c r="B1211" s="15" t="s">
        <v>1075</v>
      </c>
      <c r="C1211" s="16">
        <v>106.95</v>
      </c>
      <c r="D1211" s="15" t="s">
        <v>220</v>
      </c>
      <c r="E1211" s="15" t="s">
        <v>500</v>
      </c>
      <c r="F1211" s="15">
        <v>50</v>
      </c>
      <c r="G1211" s="15">
        <v>50</v>
      </c>
    </row>
    <row r="1212" spans="1:7" x14ac:dyDescent="0.25">
      <c r="A1212" s="15" t="s">
        <v>1074</v>
      </c>
      <c r="B1212" s="15" t="s">
        <v>1075</v>
      </c>
      <c r="C1212" s="16">
        <v>47.6</v>
      </c>
      <c r="D1212" s="15" t="s">
        <v>529</v>
      </c>
      <c r="E1212" s="15" t="s">
        <v>738</v>
      </c>
      <c r="F1212" s="15">
        <v>17</v>
      </c>
      <c r="G1212" s="15">
        <v>17</v>
      </c>
    </row>
    <row r="1213" spans="1:7" x14ac:dyDescent="0.25">
      <c r="A1213" s="15" t="s">
        <v>1074</v>
      </c>
      <c r="B1213" s="15" t="s">
        <v>1075</v>
      </c>
      <c r="C1213" s="16">
        <v>51</v>
      </c>
      <c r="D1213" s="15" t="s">
        <v>342</v>
      </c>
      <c r="E1213" s="15" t="s">
        <v>796</v>
      </c>
      <c r="F1213" s="15">
        <v>30</v>
      </c>
      <c r="G1213" s="15">
        <v>30</v>
      </c>
    </row>
    <row r="1214" spans="1:7" x14ac:dyDescent="0.25">
      <c r="A1214" s="15" t="s">
        <v>1074</v>
      </c>
      <c r="B1214" s="15" t="s">
        <v>1075</v>
      </c>
      <c r="C1214" s="16">
        <v>1011.15</v>
      </c>
      <c r="D1214" s="15" t="s">
        <v>80</v>
      </c>
      <c r="E1214" s="15" t="s">
        <v>402</v>
      </c>
      <c r="F1214" s="15">
        <v>89</v>
      </c>
      <c r="G1214" s="15">
        <v>89</v>
      </c>
    </row>
    <row r="1215" spans="1:7" x14ac:dyDescent="0.25">
      <c r="A1215" s="15" t="s">
        <v>1074</v>
      </c>
      <c r="B1215" s="15" t="s">
        <v>1075</v>
      </c>
      <c r="C1215" s="16">
        <v>106.8</v>
      </c>
      <c r="D1215" s="15" t="s">
        <v>466</v>
      </c>
      <c r="E1215" s="15" t="s">
        <v>849</v>
      </c>
      <c r="F1215" s="15">
        <v>12</v>
      </c>
      <c r="G1215" s="15">
        <v>12</v>
      </c>
    </row>
    <row r="1216" spans="1:7" x14ac:dyDescent="0.25">
      <c r="A1216" s="15" t="s">
        <v>1074</v>
      </c>
      <c r="B1216" s="15" t="s">
        <v>1075</v>
      </c>
      <c r="C1216" s="16">
        <v>26.4</v>
      </c>
      <c r="D1216" s="15" t="s">
        <v>1076</v>
      </c>
      <c r="E1216" s="15" t="s">
        <v>1077</v>
      </c>
      <c r="F1216" s="15">
        <v>12</v>
      </c>
      <c r="G1216" s="15">
        <v>12</v>
      </c>
    </row>
    <row r="1217" spans="1:7" x14ac:dyDescent="0.25">
      <c r="A1217" s="15" t="s">
        <v>1074</v>
      </c>
      <c r="B1217" s="15" t="s">
        <v>1075</v>
      </c>
      <c r="C1217" s="16">
        <v>236</v>
      </c>
      <c r="D1217" s="15" t="s">
        <v>80</v>
      </c>
      <c r="E1217" s="15" t="s">
        <v>571</v>
      </c>
      <c r="F1217" s="15">
        <v>10</v>
      </c>
      <c r="G1217" s="15">
        <v>10</v>
      </c>
    </row>
    <row r="1218" spans="1:7" x14ac:dyDescent="0.25">
      <c r="A1218" s="15" t="s">
        <v>1074</v>
      </c>
      <c r="B1218" s="15" t="s">
        <v>1075</v>
      </c>
      <c r="C1218" s="16">
        <v>83.36</v>
      </c>
      <c r="D1218" s="15" t="s">
        <v>132</v>
      </c>
      <c r="E1218" s="15" t="s">
        <v>133</v>
      </c>
      <c r="F1218" s="15">
        <v>16</v>
      </c>
      <c r="G1218" s="15">
        <v>16</v>
      </c>
    </row>
    <row r="1219" spans="1:7" x14ac:dyDescent="0.25">
      <c r="A1219" s="15" t="s">
        <v>1074</v>
      </c>
      <c r="B1219" s="15" t="s">
        <v>1075</v>
      </c>
      <c r="C1219" s="16">
        <v>520.79999999999995</v>
      </c>
      <c r="D1219" s="15" t="s">
        <v>80</v>
      </c>
      <c r="E1219" s="15" t="s">
        <v>799</v>
      </c>
      <c r="F1219" s="15">
        <v>32</v>
      </c>
      <c r="G1219" s="15">
        <v>32</v>
      </c>
    </row>
    <row r="1220" spans="1:7" x14ac:dyDescent="0.25">
      <c r="A1220" s="15" t="s">
        <v>1074</v>
      </c>
      <c r="B1220" s="15" t="s">
        <v>1075</v>
      </c>
      <c r="C1220" s="16">
        <v>103.7</v>
      </c>
      <c r="D1220" s="15" t="s">
        <v>80</v>
      </c>
      <c r="E1220" s="15" t="s">
        <v>748</v>
      </c>
      <c r="F1220" s="15">
        <v>17</v>
      </c>
      <c r="G1220" s="15">
        <v>17</v>
      </c>
    </row>
    <row r="1221" spans="1:7" x14ac:dyDescent="0.25">
      <c r="A1221" s="15" t="s">
        <v>1074</v>
      </c>
      <c r="B1221" s="15" t="s">
        <v>1075</v>
      </c>
      <c r="C1221" s="16">
        <v>1715.8</v>
      </c>
      <c r="D1221" s="15" t="s">
        <v>1078</v>
      </c>
      <c r="E1221" s="15" t="s">
        <v>1079</v>
      </c>
      <c r="F1221" s="15">
        <v>31</v>
      </c>
      <c r="G1221" s="15">
        <v>31</v>
      </c>
    </row>
    <row r="1222" spans="1:7" x14ac:dyDescent="0.25">
      <c r="A1222" s="15" t="s">
        <v>1074</v>
      </c>
      <c r="B1222" s="15" t="s">
        <v>1075</v>
      </c>
      <c r="C1222" s="16">
        <v>119.7</v>
      </c>
      <c r="D1222" s="15" t="s">
        <v>179</v>
      </c>
      <c r="E1222" s="15" t="s">
        <v>1080</v>
      </c>
      <c r="F1222" s="15">
        <v>9</v>
      </c>
      <c r="G1222" s="15">
        <v>9</v>
      </c>
    </row>
    <row r="1223" spans="1:7" x14ac:dyDescent="0.25">
      <c r="A1223" s="15" t="s">
        <v>1074</v>
      </c>
      <c r="B1223" s="15" t="s">
        <v>1075</v>
      </c>
      <c r="C1223" s="16">
        <v>89</v>
      </c>
      <c r="D1223" s="15" t="s">
        <v>209</v>
      </c>
      <c r="E1223" s="15" t="s">
        <v>751</v>
      </c>
      <c r="F1223" s="15">
        <v>10</v>
      </c>
      <c r="G1223" s="15">
        <v>10</v>
      </c>
    </row>
    <row r="1224" spans="1:7" x14ac:dyDescent="0.25">
      <c r="A1224" s="15" t="s">
        <v>1074</v>
      </c>
      <c r="B1224" s="15" t="s">
        <v>1075</v>
      </c>
      <c r="C1224" s="16">
        <v>156</v>
      </c>
      <c r="D1224" s="15" t="s">
        <v>228</v>
      </c>
      <c r="E1224" s="15" t="s">
        <v>444</v>
      </c>
      <c r="F1224" s="15">
        <v>13</v>
      </c>
      <c r="G1224" s="15">
        <v>13</v>
      </c>
    </row>
    <row r="1225" spans="1:7" x14ac:dyDescent="0.25">
      <c r="A1225" s="15" t="s">
        <v>1074</v>
      </c>
      <c r="B1225" s="15" t="s">
        <v>1075</v>
      </c>
      <c r="C1225" s="16">
        <v>136.25</v>
      </c>
      <c r="D1225" s="15" t="s">
        <v>295</v>
      </c>
      <c r="E1225" s="15" t="s">
        <v>535</v>
      </c>
      <c r="F1225" s="15">
        <v>25</v>
      </c>
      <c r="G1225" s="15">
        <v>25</v>
      </c>
    </row>
    <row r="1226" spans="1:7" x14ac:dyDescent="0.25">
      <c r="A1226" s="15" t="s">
        <v>1074</v>
      </c>
      <c r="B1226" s="15" t="s">
        <v>1075</v>
      </c>
      <c r="C1226" s="16">
        <v>81</v>
      </c>
      <c r="D1226" s="15" t="s">
        <v>80</v>
      </c>
      <c r="E1226" s="15" t="s">
        <v>753</v>
      </c>
      <c r="F1226" s="15">
        <v>10</v>
      </c>
      <c r="G1226" s="15">
        <v>10</v>
      </c>
    </row>
    <row r="1227" spans="1:7" x14ac:dyDescent="0.25">
      <c r="A1227" s="15" t="s">
        <v>1074</v>
      </c>
      <c r="B1227" s="15" t="s">
        <v>1075</v>
      </c>
      <c r="C1227" s="16">
        <v>37.799999999999997</v>
      </c>
      <c r="D1227" s="15" t="s">
        <v>67</v>
      </c>
      <c r="E1227" s="15" t="s">
        <v>813</v>
      </c>
      <c r="F1227" s="15">
        <v>18</v>
      </c>
      <c r="G1227" s="15">
        <v>18</v>
      </c>
    </row>
    <row r="1228" spans="1:7" x14ac:dyDescent="0.25">
      <c r="A1228" s="15" t="s">
        <v>1074</v>
      </c>
      <c r="B1228" s="15" t="s">
        <v>1075</v>
      </c>
      <c r="C1228" s="16">
        <v>351.9</v>
      </c>
      <c r="D1228" s="15" t="s">
        <v>285</v>
      </c>
      <c r="E1228" s="15" t="s">
        <v>872</v>
      </c>
      <c r="F1228" s="15">
        <v>9</v>
      </c>
      <c r="G1228" s="15">
        <v>9</v>
      </c>
    </row>
    <row r="1229" spans="1:7" x14ac:dyDescent="0.25">
      <c r="A1229" s="15" t="s">
        <v>1074</v>
      </c>
      <c r="B1229" s="15" t="s">
        <v>1075</v>
      </c>
      <c r="C1229" s="16">
        <v>571.1</v>
      </c>
      <c r="D1229" s="15" t="s">
        <v>80</v>
      </c>
      <c r="E1229" s="15" t="s">
        <v>759</v>
      </c>
      <c r="F1229" s="15">
        <v>43</v>
      </c>
      <c r="G1229" s="15">
        <v>43</v>
      </c>
    </row>
    <row r="1230" spans="1:7" x14ac:dyDescent="0.25">
      <c r="A1230" s="15" t="s">
        <v>1074</v>
      </c>
      <c r="B1230" s="15" t="s">
        <v>1075</v>
      </c>
      <c r="C1230" s="16">
        <v>1080</v>
      </c>
      <c r="D1230" s="15" t="s">
        <v>281</v>
      </c>
      <c r="E1230" s="15" t="s">
        <v>1081</v>
      </c>
      <c r="F1230" s="15">
        <v>12</v>
      </c>
      <c r="G1230" s="15">
        <v>12</v>
      </c>
    </row>
    <row r="1231" spans="1:7" x14ac:dyDescent="0.25">
      <c r="A1231" s="15" t="s">
        <v>1074</v>
      </c>
      <c r="B1231" s="15" t="s">
        <v>1075</v>
      </c>
      <c r="C1231" s="16">
        <v>31</v>
      </c>
      <c r="D1231" s="15" t="s">
        <v>760</v>
      </c>
      <c r="E1231" s="15" t="s">
        <v>761</v>
      </c>
      <c r="F1231" s="15">
        <v>10</v>
      </c>
      <c r="G1231" s="15">
        <v>10</v>
      </c>
    </row>
    <row r="1232" spans="1:7" x14ac:dyDescent="0.25">
      <c r="A1232" s="15" t="s">
        <v>1074</v>
      </c>
      <c r="B1232" s="15" t="s">
        <v>1075</v>
      </c>
      <c r="C1232" s="16">
        <v>66</v>
      </c>
      <c r="D1232" s="15" t="s">
        <v>453</v>
      </c>
      <c r="E1232" s="15" t="s">
        <v>454</v>
      </c>
      <c r="F1232" s="15">
        <v>11</v>
      </c>
      <c r="G1232" s="15">
        <v>11</v>
      </c>
    </row>
    <row r="1233" spans="1:7" x14ac:dyDescent="0.25">
      <c r="A1233" s="15" t="s">
        <v>1074</v>
      </c>
      <c r="B1233" s="15" t="s">
        <v>1075</v>
      </c>
      <c r="C1233" s="16">
        <v>181</v>
      </c>
      <c r="D1233" s="15" t="s">
        <v>80</v>
      </c>
      <c r="E1233" s="15" t="s">
        <v>377</v>
      </c>
      <c r="F1233" s="15">
        <v>10</v>
      </c>
      <c r="G1233" s="15">
        <v>10</v>
      </c>
    </row>
    <row r="1234" spans="1:7" x14ac:dyDescent="0.25">
      <c r="A1234" s="15" t="s">
        <v>1074</v>
      </c>
      <c r="B1234" s="15" t="s">
        <v>1075</v>
      </c>
      <c r="C1234" s="16">
        <v>99</v>
      </c>
      <c r="D1234" s="15" t="s">
        <v>549</v>
      </c>
      <c r="E1234" s="15" t="s">
        <v>1082</v>
      </c>
      <c r="F1234" s="15">
        <v>9</v>
      </c>
      <c r="G1234" s="15">
        <v>9</v>
      </c>
    </row>
    <row r="1235" spans="1:7" x14ac:dyDescent="0.25">
      <c r="A1235" s="15" t="s">
        <v>1074</v>
      </c>
      <c r="B1235" s="15" t="s">
        <v>1075</v>
      </c>
      <c r="C1235" s="16">
        <v>14</v>
      </c>
      <c r="D1235" s="15" t="s">
        <v>88</v>
      </c>
      <c r="E1235" s="15" t="s">
        <v>825</v>
      </c>
      <c r="F1235" s="15">
        <v>10</v>
      </c>
      <c r="G1235" s="15">
        <v>10</v>
      </c>
    </row>
    <row r="1236" spans="1:7" x14ac:dyDescent="0.25">
      <c r="A1236" s="15" t="s">
        <v>1074</v>
      </c>
      <c r="B1236" s="15" t="s">
        <v>1075</v>
      </c>
      <c r="C1236" s="16">
        <v>26.9</v>
      </c>
      <c r="D1236" s="15" t="s">
        <v>90</v>
      </c>
      <c r="E1236" s="15" t="s">
        <v>729</v>
      </c>
      <c r="F1236" s="15">
        <v>19</v>
      </c>
      <c r="G1236" s="15">
        <v>19</v>
      </c>
    </row>
    <row r="1237" spans="1:7" x14ac:dyDescent="0.25">
      <c r="A1237" s="15" t="s">
        <v>1074</v>
      </c>
      <c r="B1237" s="15" t="s">
        <v>1075</v>
      </c>
      <c r="C1237" s="16">
        <v>60.5</v>
      </c>
      <c r="D1237" s="15" t="s">
        <v>179</v>
      </c>
      <c r="E1237" s="15" t="s">
        <v>460</v>
      </c>
      <c r="F1237" s="15">
        <v>11</v>
      </c>
      <c r="G1237" s="15">
        <v>11</v>
      </c>
    </row>
    <row r="1238" spans="1:7" x14ac:dyDescent="0.25">
      <c r="A1238" s="15" t="s">
        <v>1074</v>
      </c>
      <c r="B1238" s="15" t="s">
        <v>1075</v>
      </c>
      <c r="C1238" s="16">
        <v>83.55</v>
      </c>
      <c r="D1238" s="15" t="s">
        <v>123</v>
      </c>
      <c r="E1238" s="15" t="s">
        <v>388</v>
      </c>
      <c r="F1238" s="15">
        <v>15</v>
      </c>
      <c r="G1238" s="15">
        <v>15</v>
      </c>
    </row>
    <row r="1239" spans="1:7" x14ac:dyDescent="0.25">
      <c r="A1239" s="15" t="s">
        <v>1074</v>
      </c>
      <c r="B1239" s="15" t="s">
        <v>1075</v>
      </c>
      <c r="C1239" s="16">
        <v>669.3</v>
      </c>
      <c r="D1239" s="15" t="s">
        <v>424</v>
      </c>
      <c r="E1239" s="15" t="s">
        <v>425</v>
      </c>
      <c r="F1239" s="15">
        <v>45</v>
      </c>
      <c r="G1239" s="15">
        <v>45</v>
      </c>
    </row>
    <row r="1240" spans="1:7" x14ac:dyDescent="0.25">
      <c r="A1240" s="15" t="s">
        <v>1074</v>
      </c>
      <c r="B1240" s="15" t="s">
        <v>1075</v>
      </c>
      <c r="C1240" s="16">
        <v>156</v>
      </c>
      <c r="D1240" s="15" t="s">
        <v>561</v>
      </c>
      <c r="E1240" s="15" t="s">
        <v>562</v>
      </c>
      <c r="F1240" s="15">
        <v>15</v>
      </c>
      <c r="G1240" s="15">
        <v>15</v>
      </c>
    </row>
    <row r="1241" spans="1:7" x14ac:dyDescent="0.25">
      <c r="A1241" s="15" t="s">
        <v>1074</v>
      </c>
      <c r="B1241" s="15" t="s">
        <v>1075</v>
      </c>
      <c r="C1241" s="16">
        <v>273</v>
      </c>
      <c r="D1241" s="15" t="s">
        <v>179</v>
      </c>
      <c r="E1241" s="15" t="s">
        <v>732</v>
      </c>
      <c r="F1241" s="15">
        <v>25</v>
      </c>
      <c r="G1241" s="15">
        <v>25</v>
      </c>
    </row>
    <row r="1242" spans="1:7" x14ac:dyDescent="0.25">
      <c r="A1242" s="15" t="s">
        <v>1074</v>
      </c>
      <c r="B1242" s="15" t="s">
        <v>1075</v>
      </c>
      <c r="C1242" s="16">
        <v>37.4</v>
      </c>
      <c r="D1242" s="15" t="s">
        <v>100</v>
      </c>
      <c r="E1242" s="15" t="s">
        <v>831</v>
      </c>
      <c r="F1242" s="15">
        <v>11</v>
      </c>
      <c r="G1242" s="15">
        <v>11</v>
      </c>
    </row>
    <row r="1243" spans="1:7" x14ac:dyDescent="0.25">
      <c r="A1243" s="15" t="s">
        <v>1083</v>
      </c>
      <c r="B1243" s="15" t="s">
        <v>1084</v>
      </c>
      <c r="C1243" s="16">
        <v>731.15</v>
      </c>
      <c r="D1243" s="15" t="s">
        <v>187</v>
      </c>
      <c r="E1243" s="15" t="s">
        <v>495</v>
      </c>
      <c r="F1243" s="15">
        <v>154</v>
      </c>
      <c r="G1243" s="15">
        <v>154</v>
      </c>
    </row>
    <row r="1244" spans="1:7" x14ac:dyDescent="0.25">
      <c r="A1244" s="15" t="s">
        <v>1083</v>
      </c>
      <c r="B1244" s="15" t="s">
        <v>1084</v>
      </c>
      <c r="C1244" s="16">
        <v>428.8</v>
      </c>
      <c r="D1244" s="15" t="s">
        <v>431</v>
      </c>
      <c r="E1244" s="15" t="s">
        <v>432</v>
      </c>
      <c r="F1244" s="15">
        <v>103</v>
      </c>
      <c r="G1244" s="15">
        <v>103</v>
      </c>
    </row>
    <row r="1245" spans="1:7" x14ac:dyDescent="0.25">
      <c r="A1245" s="15" t="s">
        <v>1083</v>
      </c>
      <c r="B1245" s="15" t="s">
        <v>1084</v>
      </c>
      <c r="C1245" s="16">
        <v>129.25</v>
      </c>
      <c r="D1245" s="15" t="s">
        <v>220</v>
      </c>
      <c r="E1245" s="15" t="s">
        <v>500</v>
      </c>
      <c r="F1245" s="15">
        <v>47</v>
      </c>
      <c r="G1245" s="15">
        <v>47</v>
      </c>
    </row>
    <row r="1246" spans="1:7" x14ac:dyDescent="0.25">
      <c r="A1246" s="15" t="s">
        <v>1083</v>
      </c>
      <c r="B1246" s="15" t="s">
        <v>1084</v>
      </c>
      <c r="C1246" s="16">
        <v>1</v>
      </c>
      <c r="D1246" s="15" t="s">
        <v>503</v>
      </c>
      <c r="E1246" s="15" t="s">
        <v>504</v>
      </c>
      <c r="F1246" s="15">
        <v>1</v>
      </c>
      <c r="G1246" s="15">
        <v>1</v>
      </c>
    </row>
    <row r="1247" spans="1:7" x14ac:dyDescent="0.25">
      <c r="A1247" s="15" t="s">
        <v>1083</v>
      </c>
      <c r="B1247" s="15" t="s">
        <v>1084</v>
      </c>
      <c r="C1247" s="16">
        <v>243.8</v>
      </c>
      <c r="D1247" s="15" t="s">
        <v>217</v>
      </c>
      <c r="E1247" s="15" t="s">
        <v>507</v>
      </c>
      <c r="F1247" s="15">
        <v>53</v>
      </c>
      <c r="G1247" s="15">
        <v>53</v>
      </c>
    </row>
    <row r="1248" spans="1:7" x14ac:dyDescent="0.25">
      <c r="A1248" s="15" t="s">
        <v>1083</v>
      </c>
      <c r="B1248" s="15" t="s">
        <v>1084</v>
      </c>
      <c r="C1248" s="16">
        <v>434</v>
      </c>
      <c r="D1248" s="15" t="s">
        <v>399</v>
      </c>
      <c r="E1248" s="15" t="s">
        <v>508</v>
      </c>
      <c r="F1248" s="15">
        <v>35</v>
      </c>
      <c r="G1248" s="15">
        <v>35</v>
      </c>
    </row>
    <row r="1249" spans="1:7" x14ac:dyDescent="0.25">
      <c r="A1249" s="15" t="s">
        <v>1083</v>
      </c>
      <c r="B1249" s="15" t="s">
        <v>1084</v>
      </c>
      <c r="C1249" s="16">
        <v>0.6</v>
      </c>
      <c r="D1249" s="15" t="s">
        <v>509</v>
      </c>
      <c r="E1249" s="15" t="s">
        <v>510</v>
      </c>
      <c r="F1249" s="15">
        <v>1</v>
      </c>
      <c r="G1249" s="15">
        <v>1</v>
      </c>
    </row>
    <row r="1250" spans="1:7" x14ac:dyDescent="0.25">
      <c r="A1250" s="15" t="s">
        <v>1083</v>
      </c>
      <c r="B1250" s="15" t="s">
        <v>1084</v>
      </c>
      <c r="C1250" s="16">
        <v>4.2</v>
      </c>
      <c r="D1250" s="15" t="s">
        <v>511</v>
      </c>
      <c r="E1250" s="15" t="s">
        <v>512</v>
      </c>
      <c r="F1250" s="15">
        <v>3</v>
      </c>
      <c r="G1250" s="15">
        <v>3</v>
      </c>
    </row>
    <row r="1251" spans="1:7" x14ac:dyDescent="0.25">
      <c r="A1251" s="15" t="s">
        <v>1083</v>
      </c>
      <c r="B1251" s="15" t="s">
        <v>1084</v>
      </c>
      <c r="C1251" s="16">
        <v>2096.86</v>
      </c>
      <c r="D1251" s="15" t="s">
        <v>80</v>
      </c>
      <c r="E1251" s="15" t="s">
        <v>402</v>
      </c>
      <c r="F1251" s="15">
        <v>204</v>
      </c>
      <c r="G1251" s="15">
        <v>204</v>
      </c>
    </row>
    <row r="1252" spans="1:7" x14ac:dyDescent="0.25">
      <c r="A1252" s="15" t="s">
        <v>1083</v>
      </c>
      <c r="B1252" s="15" t="s">
        <v>1084</v>
      </c>
      <c r="C1252" s="16">
        <v>9.9</v>
      </c>
      <c r="D1252" s="15" t="s">
        <v>435</v>
      </c>
      <c r="E1252" s="15" t="s">
        <v>797</v>
      </c>
      <c r="F1252" s="15">
        <v>2</v>
      </c>
      <c r="G1252" s="15">
        <v>2</v>
      </c>
    </row>
    <row r="1253" spans="1:7" x14ac:dyDescent="0.25">
      <c r="A1253" s="15" t="s">
        <v>1083</v>
      </c>
      <c r="B1253" s="15" t="s">
        <v>1084</v>
      </c>
      <c r="C1253" s="16">
        <v>647.70000000000005</v>
      </c>
      <c r="D1253" s="15" t="s">
        <v>466</v>
      </c>
      <c r="E1253" s="15" t="s">
        <v>516</v>
      </c>
      <c r="F1253" s="15">
        <v>34</v>
      </c>
      <c r="G1253" s="15">
        <v>34</v>
      </c>
    </row>
    <row r="1254" spans="1:7" x14ac:dyDescent="0.25">
      <c r="A1254" s="15" t="s">
        <v>1083</v>
      </c>
      <c r="B1254" s="15" t="s">
        <v>1084</v>
      </c>
      <c r="C1254" s="16">
        <v>121.8</v>
      </c>
      <c r="D1254" s="15" t="s">
        <v>458</v>
      </c>
      <c r="E1254" s="15" t="s">
        <v>721</v>
      </c>
      <c r="F1254" s="15">
        <v>29</v>
      </c>
      <c r="G1254" s="15">
        <v>29</v>
      </c>
    </row>
    <row r="1255" spans="1:7" x14ac:dyDescent="0.25">
      <c r="A1255" s="15" t="s">
        <v>1083</v>
      </c>
      <c r="B1255" s="15" t="s">
        <v>1084</v>
      </c>
      <c r="C1255" s="16">
        <v>20.34</v>
      </c>
      <c r="D1255" s="15" t="s">
        <v>437</v>
      </c>
      <c r="E1255" s="15" t="s">
        <v>438</v>
      </c>
      <c r="F1255" s="15">
        <v>8</v>
      </c>
      <c r="G1255" s="15">
        <v>8</v>
      </c>
    </row>
    <row r="1256" spans="1:7" x14ac:dyDescent="0.25">
      <c r="A1256" s="15" t="s">
        <v>1083</v>
      </c>
      <c r="B1256" s="15" t="s">
        <v>1084</v>
      </c>
      <c r="C1256" s="16">
        <v>339</v>
      </c>
      <c r="D1256" s="15" t="s">
        <v>201</v>
      </c>
      <c r="E1256" s="15" t="s">
        <v>1085</v>
      </c>
      <c r="F1256" s="15">
        <v>30</v>
      </c>
      <c r="G1256" s="15">
        <v>30</v>
      </c>
    </row>
    <row r="1257" spans="1:7" x14ac:dyDescent="0.25">
      <c r="A1257" s="15" t="s">
        <v>1083</v>
      </c>
      <c r="B1257" s="15" t="s">
        <v>1084</v>
      </c>
      <c r="C1257" s="16">
        <v>0.7</v>
      </c>
      <c r="D1257" s="15" t="s">
        <v>1086</v>
      </c>
      <c r="E1257" s="15" t="s">
        <v>944</v>
      </c>
      <c r="F1257" s="15">
        <v>1</v>
      </c>
      <c r="G1257" s="15">
        <v>1</v>
      </c>
    </row>
    <row r="1258" spans="1:7" x14ac:dyDescent="0.25">
      <c r="A1258" s="15" t="s">
        <v>1083</v>
      </c>
      <c r="B1258" s="15" t="s">
        <v>1084</v>
      </c>
      <c r="C1258" s="16">
        <v>5.7</v>
      </c>
      <c r="D1258" s="15" t="s">
        <v>82</v>
      </c>
      <c r="E1258" s="15" t="s">
        <v>522</v>
      </c>
      <c r="F1258" s="15">
        <v>1</v>
      </c>
      <c r="G1258" s="15">
        <v>1</v>
      </c>
    </row>
    <row r="1259" spans="1:7" x14ac:dyDescent="0.25">
      <c r="A1259" s="15" t="s">
        <v>1083</v>
      </c>
      <c r="B1259" s="15" t="s">
        <v>1084</v>
      </c>
      <c r="C1259" s="16">
        <v>267</v>
      </c>
      <c r="D1259" s="15" t="s">
        <v>179</v>
      </c>
      <c r="E1259" s="15" t="s">
        <v>523</v>
      </c>
      <c r="F1259" s="15">
        <v>60</v>
      </c>
      <c r="G1259" s="15">
        <v>60</v>
      </c>
    </row>
    <row r="1260" spans="1:7" x14ac:dyDescent="0.25">
      <c r="A1260" s="15" t="s">
        <v>1083</v>
      </c>
      <c r="B1260" s="15" t="s">
        <v>1084</v>
      </c>
      <c r="C1260" s="16">
        <v>3.6</v>
      </c>
      <c r="D1260" s="15" t="s">
        <v>441</v>
      </c>
      <c r="E1260" s="15" t="s">
        <v>442</v>
      </c>
      <c r="F1260" s="15">
        <v>2</v>
      </c>
      <c r="G1260" s="15">
        <v>2</v>
      </c>
    </row>
    <row r="1261" spans="1:7" x14ac:dyDescent="0.25">
      <c r="A1261" s="15" t="s">
        <v>1083</v>
      </c>
      <c r="B1261" s="15" t="s">
        <v>1084</v>
      </c>
      <c r="C1261" s="16">
        <v>3.2</v>
      </c>
      <c r="D1261" s="15" t="s">
        <v>407</v>
      </c>
      <c r="E1261" s="15" t="s">
        <v>408</v>
      </c>
      <c r="F1261" s="15">
        <v>2</v>
      </c>
      <c r="G1261" s="15">
        <v>2</v>
      </c>
    </row>
    <row r="1262" spans="1:7" x14ac:dyDescent="0.25">
      <c r="A1262" s="15" t="s">
        <v>1083</v>
      </c>
      <c r="B1262" s="15" t="s">
        <v>1084</v>
      </c>
      <c r="C1262" s="16">
        <v>1.2</v>
      </c>
      <c r="D1262" s="15" t="s">
        <v>527</v>
      </c>
      <c r="E1262" s="15" t="s">
        <v>528</v>
      </c>
      <c r="F1262" s="15">
        <v>3</v>
      </c>
      <c r="G1262" s="15">
        <v>3</v>
      </c>
    </row>
    <row r="1263" spans="1:7" x14ac:dyDescent="0.25">
      <c r="A1263" s="15" t="s">
        <v>1083</v>
      </c>
      <c r="B1263" s="15" t="s">
        <v>1084</v>
      </c>
      <c r="C1263" s="16">
        <v>93</v>
      </c>
      <c r="D1263" s="15" t="s">
        <v>80</v>
      </c>
      <c r="E1263" s="15" t="s">
        <v>748</v>
      </c>
      <c r="F1263" s="15">
        <v>31</v>
      </c>
      <c r="G1263" s="15">
        <v>31</v>
      </c>
    </row>
    <row r="1264" spans="1:7" x14ac:dyDescent="0.25">
      <c r="A1264" s="15" t="s">
        <v>1083</v>
      </c>
      <c r="B1264" s="15" t="s">
        <v>1084</v>
      </c>
      <c r="C1264" s="16">
        <v>2.3199999999999998</v>
      </c>
      <c r="D1264" s="15" t="s">
        <v>529</v>
      </c>
      <c r="E1264" s="15" t="s">
        <v>530</v>
      </c>
      <c r="F1264" s="15">
        <v>1</v>
      </c>
      <c r="G1264" s="15">
        <v>1</v>
      </c>
    </row>
    <row r="1265" spans="1:7" x14ac:dyDescent="0.25">
      <c r="A1265" s="15" t="s">
        <v>1083</v>
      </c>
      <c r="B1265" s="15" t="s">
        <v>1084</v>
      </c>
      <c r="C1265" s="16">
        <v>254.1</v>
      </c>
      <c r="D1265" s="15" t="s">
        <v>513</v>
      </c>
      <c r="E1265" s="15" t="s">
        <v>1087</v>
      </c>
      <c r="F1265" s="15">
        <v>21</v>
      </c>
      <c r="G1265" s="15">
        <v>21</v>
      </c>
    </row>
    <row r="1266" spans="1:7" x14ac:dyDescent="0.25">
      <c r="A1266" s="15" t="s">
        <v>1083</v>
      </c>
      <c r="B1266" s="15" t="s">
        <v>1084</v>
      </c>
      <c r="C1266" s="16">
        <v>991.8</v>
      </c>
      <c r="D1266" s="15" t="s">
        <v>67</v>
      </c>
      <c r="E1266" s="15" t="s">
        <v>534</v>
      </c>
      <c r="F1266" s="15">
        <v>18</v>
      </c>
      <c r="G1266" s="15">
        <v>18</v>
      </c>
    </row>
    <row r="1267" spans="1:7" x14ac:dyDescent="0.25">
      <c r="A1267" s="15" t="s">
        <v>1083</v>
      </c>
      <c r="B1267" s="15" t="s">
        <v>1084</v>
      </c>
      <c r="C1267" s="16">
        <v>1088.5999999999999</v>
      </c>
      <c r="D1267" s="15" t="s">
        <v>228</v>
      </c>
      <c r="E1267" s="15" t="s">
        <v>444</v>
      </c>
      <c r="F1267" s="15">
        <v>109</v>
      </c>
      <c r="G1267" s="15">
        <v>109</v>
      </c>
    </row>
    <row r="1268" spans="1:7" x14ac:dyDescent="0.25">
      <c r="A1268" s="15" t="s">
        <v>1083</v>
      </c>
      <c r="B1268" s="15" t="s">
        <v>1084</v>
      </c>
      <c r="C1268" s="16">
        <v>1.55</v>
      </c>
      <c r="D1268" s="15" t="s">
        <v>412</v>
      </c>
      <c r="E1268" s="15" t="s">
        <v>413</v>
      </c>
      <c r="F1268" s="15">
        <v>2</v>
      </c>
      <c r="G1268" s="15">
        <v>2</v>
      </c>
    </row>
    <row r="1269" spans="1:7" x14ac:dyDescent="0.25">
      <c r="A1269" s="15" t="s">
        <v>1083</v>
      </c>
      <c r="B1269" s="15" t="s">
        <v>1084</v>
      </c>
      <c r="C1269" s="16">
        <v>11.7</v>
      </c>
      <c r="D1269" s="15" t="s">
        <v>80</v>
      </c>
      <c r="E1269" s="15" t="s">
        <v>854</v>
      </c>
      <c r="F1269" s="15">
        <v>4</v>
      </c>
      <c r="G1269" s="15">
        <v>4</v>
      </c>
    </row>
    <row r="1270" spans="1:7" x14ac:dyDescent="0.25">
      <c r="A1270" s="15" t="s">
        <v>1083</v>
      </c>
      <c r="B1270" s="15" t="s">
        <v>1084</v>
      </c>
      <c r="C1270" s="16">
        <v>72.8</v>
      </c>
      <c r="D1270" s="15" t="s">
        <v>295</v>
      </c>
      <c r="E1270" s="15" t="s">
        <v>535</v>
      </c>
      <c r="F1270" s="15">
        <v>56</v>
      </c>
      <c r="G1270" s="15">
        <v>56</v>
      </c>
    </row>
    <row r="1271" spans="1:7" x14ac:dyDescent="0.25">
      <c r="A1271" s="15" t="s">
        <v>1083</v>
      </c>
      <c r="B1271" s="15" t="s">
        <v>1084</v>
      </c>
      <c r="C1271" s="16">
        <v>245.69</v>
      </c>
      <c r="D1271" s="15" t="s">
        <v>539</v>
      </c>
      <c r="E1271" s="15" t="s">
        <v>540</v>
      </c>
      <c r="F1271" s="15">
        <v>79</v>
      </c>
      <c r="G1271" s="15">
        <v>79</v>
      </c>
    </row>
    <row r="1272" spans="1:7" x14ac:dyDescent="0.25">
      <c r="A1272" s="15" t="s">
        <v>1083</v>
      </c>
      <c r="B1272" s="15" t="s">
        <v>1084</v>
      </c>
      <c r="C1272" s="16">
        <v>2.8</v>
      </c>
      <c r="D1272" s="15" t="s">
        <v>80</v>
      </c>
      <c r="E1272" s="15" t="s">
        <v>415</v>
      </c>
      <c r="F1272" s="15">
        <v>1</v>
      </c>
      <c r="G1272" s="15">
        <v>1</v>
      </c>
    </row>
    <row r="1273" spans="1:7" x14ac:dyDescent="0.25">
      <c r="A1273" s="15" t="s">
        <v>1083</v>
      </c>
      <c r="B1273" s="15" t="s">
        <v>1084</v>
      </c>
      <c r="C1273" s="16">
        <v>714</v>
      </c>
      <c r="D1273" s="15" t="s">
        <v>483</v>
      </c>
      <c r="E1273" s="15" t="s">
        <v>484</v>
      </c>
      <c r="F1273" s="15">
        <v>34</v>
      </c>
      <c r="G1273" s="15">
        <v>34</v>
      </c>
    </row>
    <row r="1274" spans="1:7" x14ac:dyDescent="0.25">
      <c r="A1274" s="15" t="s">
        <v>1083</v>
      </c>
      <c r="B1274" s="15" t="s">
        <v>1084</v>
      </c>
      <c r="C1274" s="16">
        <v>191.6</v>
      </c>
      <c r="D1274" s="15" t="s">
        <v>67</v>
      </c>
      <c r="E1274" s="15" t="s">
        <v>813</v>
      </c>
      <c r="F1274" s="15">
        <v>64</v>
      </c>
      <c r="G1274" s="15">
        <v>64</v>
      </c>
    </row>
    <row r="1275" spans="1:7" x14ac:dyDescent="0.25">
      <c r="A1275" s="15" t="s">
        <v>1083</v>
      </c>
      <c r="B1275" s="15" t="s">
        <v>1084</v>
      </c>
      <c r="C1275" s="16">
        <v>138.9</v>
      </c>
      <c r="D1275" s="15" t="s">
        <v>638</v>
      </c>
      <c r="E1275" s="15" t="s">
        <v>1088</v>
      </c>
      <c r="F1275" s="15">
        <v>6</v>
      </c>
      <c r="G1275" s="15">
        <v>6</v>
      </c>
    </row>
    <row r="1276" spans="1:7" x14ac:dyDescent="0.25">
      <c r="A1276" s="15" t="s">
        <v>1083</v>
      </c>
      <c r="B1276" s="15" t="s">
        <v>1084</v>
      </c>
      <c r="C1276" s="16">
        <v>23.3</v>
      </c>
      <c r="D1276" s="15" t="s">
        <v>80</v>
      </c>
      <c r="E1276" s="15" t="s">
        <v>543</v>
      </c>
      <c r="F1276" s="15">
        <v>3</v>
      </c>
      <c r="G1276" s="15">
        <v>3</v>
      </c>
    </row>
    <row r="1277" spans="1:7" x14ac:dyDescent="0.25">
      <c r="A1277" s="15" t="s">
        <v>1083</v>
      </c>
      <c r="B1277" s="15" t="s">
        <v>1084</v>
      </c>
      <c r="C1277" s="16">
        <v>607.91999999999996</v>
      </c>
      <c r="D1277" s="15" t="s">
        <v>80</v>
      </c>
      <c r="E1277" s="15" t="s">
        <v>417</v>
      </c>
      <c r="F1277" s="15">
        <v>24</v>
      </c>
      <c r="G1277" s="15">
        <v>24</v>
      </c>
    </row>
    <row r="1278" spans="1:7" x14ac:dyDescent="0.25">
      <c r="A1278" s="15" t="s">
        <v>1083</v>
      </c>
      <c r="B1278" s="15" t="s">
        <v>1084</v>
      </c>
      <c r="C1278" s="16">
        <v>93.8</v>
      </c>
      <c r="D1278" s="15" t="s">
        <v>760</v>
      </c>
      <c r="E1278" s="15" t="s">
        <v>761</v>
      </c>
      <c r="F1278" s="15">
        <v>31</v>
      </c>
      <c r="G1278" s="15">
        <v>31</v>
      </c>
    </row>
    <row r="1279" spans="1:7" x14ac:dyDescent="0.25">
      <c r="A1279" s="15" t="s">
        <v>1083</v>
      </c>
      <c r="B1279" s="15" t="s">
        <v>1084</v>
      </c>
      <c r="C1279" s="16">
        <v>304.2</v>
      </c>
      <c r="D1279" s="15" t="s">
        <v>132</v>
      </c>
      <c r="E1279" s="15" t="s">
        <v>300</v>
      </c>
      <c r="F1279" s="15">
        <v>39</v>
      </c>
      <c r="G1279" s="15">
        <v>39</v>
      </c>
    </row>
    <row r="1280" spans="1:7" x14ac:dyDescent="0.25">
      <c r="A1280" s="15" t="s">
        <v>1083</v>
      </c>
      <c r="B1280" s="15" t="s">
        <v>1084</v>
      </c>
      <c r="C1280" s="16">
        <v>473</v>
      </c>
      <c r="D1280" s="15" t="s">
        <v>549</v>
      </c>
      <c r="E1280" s="15" t="s">
        <v>1082</v>
      </c>
      <c r="F1280" s="15">
        <v>43</v>
      </c>
      <c r="G1280" s="15">
        <v>43</v>
      </c>
    </row>
    <row r="1281" spans="1:7" x14ac:dyDescent="0.25">
      <c r="A1281" s="15" t="s">
        <v>1083</v>
      </c>
      <c r="B1281" s="15" t="s">
        <v>1084</v>
      </c>
      <c r="C1281" s="16">
        <v>150.4</v>
      </c>
      <c r="D1281" s="15" t="s">
        <v>293</v>
      </c>
      <c r="E1281" s="15" t="s">
        <v>559</v>
      </c>
      <c r="F1281" s="15">
        <v>32</v>
      </c>
      <c r="G1281" s="15">
        <v>32</v>
      </c>
    </row>
    <row r="1282" spans="1:7" x14ac:dyDescent="0.25">
      <c r="A1282" s="15" t="s">
        <v>1083</v>
      </c>
      <c r="B1282" s="15" t="s">
        <v>1084</v>
      </c>
      <c r="C1282" s="16">
        <v>17.7</v>
      </c>
      <c r="D1282" s="15" t="s">
        <v>458</v>
      </c>
      <c r="E1282" s="15" t="s">
        <v>459</v>
      </c>
      <c r="F1282" s="15">
        <v>5</v>
      </c>
      <c r="G1282" s="15">
        <v>5</v>
      </c>
    </row>
    <row r="1283" spans="1:7" x14ac:dyDescent="0.25">
      <c r="A1283" s="15" t="s">
        <v>1083</v>
      </c>
      <c r="B1283" s="15" t="s">
        <v>1084</v>
      </c>
      <c r="C1283" s="16">
        <v>55.7</v>
      </c>
      <c r="D1283" s="15" t="s">
        <v>90</v>
      </c>
      <c r="E1283" s="15" t="s">
        <v>729</v>
      </c>
      <c r="F1283" s="15">
        <v>27</v>
      </c>
      <c r="G1283" s="15">
        <v>27</v>
      </c>
    </row>
    <row r="1284" spans="1:7" x14ac:dyDescent="0.25">
      <c r="A1284" s="15" t="s">
        <v>1083</v>
      </c>
      <c r="B1284" s="15" t="s">
        <v>1084</v>
      </c>
      <c r="C1284" s="16">
        <v>68</v>
      </c>
      <c r="D1284" s="15" t="s">
        <v>1089</v>
      </c>
      <c r="E1284" s="15" t="s">
        <v>576</v>
      </c>
      <c r="F1284" s="15">
        <v>40</v>
      </c>
      <c r="G1284" s="15">
        <v>40</v>
      </c>
    </row>
    <row r="1285" spans="1:7" x14ac:dyDescent="0.25">
      <c r="A1285" s="15" t="s">
        <v>1083</v>
      </c>
      <c r="B1285" s="15" t="s">
        <v>1084</v>
      </c>
      <c r="C1285" s="16">
        <v>0.9</v>
      </c>
      <c r="D1285" s="15" t="s">
        <v>123</v>
      </c>
      <c r="E1285" s="15" t="s">
        <v>388</v>
      </c>
      <c r="F1285" s="15">
        <v>1</v>
      </c>
      <c r="G1285" s="15">
        <v>1</v>
      </c>
    </row>
    <row r="1286" spans="1:7" x14ac:dyDescent="0.25">
      <c r="A1286" s="15" t="s">
        <v>1083</v>
      </c>
      <c r="B1286" s="15" t="s">
        <v>1084</v>
      </c>
      <c r="C1286" s="16">
        <v>99</v>
      </c>
      <c r="D1286" s="15" t="s">
        <v>422</v>
      </c>
      <c r="E1286" s="15" t="s">
        <v>423</v>
      </c>
      <c r="F1286" s="15">
        <v>45</v>
      </c>
      <c r="G1286" s="15">
        <v>45</v>
      </c>
    </row>
    <row r="1287" spans="1:7" x14ac:dyDescent="0.25">
      <c r="A1287" s="15" t="s">
        <v>1083</v>
      </c>
      <c r="B1287" s="15" t="s">
        <v>1084</v>
      </c>
      <c r="C1287" s="16">
        <v>486.3</v>
      </c>
      <c r="D1287" s="15" t="s">
        <v>424</v>
      </c>
      <c r="E1287" s="15" t="s">
        <v>425</v>
      </c>
      <c r="F1287" s="15">
        <v>44</v>
      </c>
      <c r="G1287" s="15">
        <v>44</v>
      </c>
    </row>
    <row r="1288" spans="1:7" x14ac:dyDescent="0.25">
      <c r="A1288" s="15" t="s">
        <v>1083</v>
      </c>
      <c r="B1288" s="15" t="s">
        <v>1084</v>
      </c>
      <c r="C1288" s="16">
        <v>287.39999999999998</v>
      </c>
      <c r="D1288" s="15" t="s">
        <v>561</v>
      </c>
      <c r="E1288" s="15" t="s">
        <v>731</v>
      </c>
      <c r="F1288" s="15">
        <v>30</v>
      </c>
      <c r="G1288" s="15">
        <v>30</v>
      </c>
    </row>
    <row r="1289" spans="1:7" x14ac:dyDescent="0.25">
      <c r="A1289" s="15" t="s">
        <v>1083</v>
      </c>
      <c r="B1289" s="15" t="s">
        <v>1084</v>
      </c>
      <c r="C1289" s="16">
        <v>281.89999999999998</v>
      </c>
      <c r="D1289" s="15" t="s">
        <v>179</v>
      </c>
      <c r="E1289" s="15" t="s">
        <v>732</v>
      </c>
      <c r="F1289" s="15">
        <v>55</v>
      </c>
      <c r="G1289" s="15">
        <v>55</v>
      </c>
    </row>
    <row r="1290" spans="1:7" x14ac:dyDescent="0.25">
      <c r="A1290" s="15" t="s">
        <v>1090</v>
      </c>
      <c r="B1290" s="15" t="s">
        <v>1091</v>
      </c>
      <c r="C1290" s="16">
        <v>84.6</v>
      </c>
      <c r="D1290" s="15" t="s">
        <v>156</v>
      </c>
      <c r="E1290" s="15" t="s">
        <v>1092</v>
      </c>
      <c r="F1290" s="15">
        <v>6</v>
      </c>
      <c r="G1290" s="15">
        <v>6</v>
      </c>
    </row>
    <row r="1291" spans="1:7" x14ac:dyDescent="0.25">
      <c r="A1291" s="15" t="s">
        <v>1090</v>
      </c>
      <c r="B1291" s="15" t="s">
        <v>1091</v>
      </c>
      <c r="C1291" s="16">
        <v>2.35</v>
      </c>
      <c r="D1291" s="15" t="s">
        <v>238</v>
      </c>
      <c r="E1291" s="15" t="s">
        <v>1093</v>
      </c>
      <c r="F1291" s="15">
        <v>1</v>
      </c>
      <c r="G1291" s="15">
        <v>1</v>
      </c>
    </row>
    <row r="1292" spans="1:7" x14ac:dyDescent="0.25">
      <c r="A1292" s="15" t="s">
        <v>1090</v>
      </c>
      <c r="B1292" s="15" t="s">
        <v>1091</v>
      </c>
      <c r="C1292" s="16">
        <v>2991.85</v>
      </c>
      <c r="D1292" s="15" t="s">
        <v>464</v>
      </c>
      <c r="E1292" s="15" t="s">
        <v>465</v>
      </c>
      <c r="F1292" s="15">
        <v>169</v>
      </c>
      <c r="G1292" s="15">
        <v>169</v>
      </c>
    </row>
    <row r="1293" spans="1:7" x14ac:dyDescent="0.25">
      <c r="A1293" s="15" t="s">
        <v>1090</v>
      </c>
      <c r="B1293" s="15" t="s">
        <v>1091</v>
      </c>
      <c r="C1293" s="16">
        <v>169.8</v>
      </c>
      <c r="D1293" s="15" t="s">
        <v>91</v>
      </c>
      <c r="E1293" s="15" t="s">
        <v>1094</v>
      </c>
      <c r="F1293" s="15">
        <v>17</v>
      </c>
      <c r="G1293" s="15">
        <v>17</v>
      </c>
    </row>
    <row r="1294" spans="1:7" x14ac:dyDescent="0.25">
      <c r="A1294" s="15" t="s">
        <v>1090</v>
      </c>
      <c r="B1294" s="15" t="s">
        <v>1091</v>
      </c>
      <c r="C1294" s="16">
        <v>3.6</v>
      </c>
      <c r="D1294" s="15" t="s">
        <v>123</v>
      </c>
      <c r="E1294" s="15" t="s">
        <v>1014</v>
      </c>
      <c r="F1294" s="15">
        <v>4</v>
      </c>
      <c r="G1294" s="15">
        <v>4</v>
      </c>
    </row>
    <row r="1295" spans="1:7" x14ac:dyDescent="0.25">
      <c r="A1295" s="15" t="s">
        <v>1090</v>
      </c>
      <c r="B1295" s="15" t="s">
        <v>1091</v>
      </c>
      <c r="C1295" s="16">
        <v>0.35</v>
      </c>
      <c r="D1295" s="15" t="s">
        <v>775</v>
      </c>
      <c r="E1295" s="15" t="s">
        <v>776</v>
      </c>
      <c r="F1295" s="15">
        <v>1</v>
      </c>
      <c r="G1295" s="15">
        <v>1</v>
      </c>
    </row>
    <row r="1296" spans="1:7" x14ac:dyDescent="0.25">
      <c r="A1296" s="15" t="s">
        <v>1090</v>
      </c>
      <c r="B1296" s="15" t="s">
        <v>1091</v>
      </c>
      <c r="C1296" s="16">
        <v>0.9</v>
      </c>
      <c r="D1296" s="15" t="s">
        <v>248</v>
      </c>
      <c r="E1296" s="15" t="s">
        <v>473</v>
      </c>
      <c r="F1296" s="15">
        <v>1</v>
      </c>
      <c r="G1296" s="15">
        <v>1</v>
      </c>
    </row>
    <row r="1297" spans="1:7" x14ac:dyDescent="0.25">
      <c r="A1297" s="15" t="s">
        <v>1090</v>
      </c>
      <c r="B1297" s="15" t="s">
        <v>1091</v>
      </c>
      <c r="C1297" s="16">
        <v>82.55</v>
      </c>
      <c r="D1297" s="15" t="s">
        <v>80</v>
      </c>
      <c r="E1297" s="15" t="s">
        <v>322</v>
      </c>
      <c r="F1297" s="15">
        <v>10</v>
      </c>
      <c r="G1297" s="15">
        <v>10</v>
      </c>
    </row>
    <row r="1298" spans="1:7" x14ac:dyDescent="0.25">
      <c r="A1298" s="15" t="s">
        <v>1090</v>
      </c>
      <c r="B1298" s="15" t="s">
        <v>1091</v>
      </c>
      <c r="C1298" s="16">
        <v>6.9</v>
      </c>
      <c r="D1298" s="15" t="s">
        <v>80</v>
      </c>
      <c r="E1298" s="15" t="s">
        <v>779</v>
      </c>
      <c r="F1298" s="15">
        <v>2</v>
      </c>
      <c r="G1298" s="15">
        <v>2</v>
      </c>
    </row>
    <row r="1299" spans="1:7" x14ac:dyDescent="0.25">
      <c r="A1299" s="15" t="s">
        <v>1090</v>
      </c>
      <c r="B1299" s="15" t="s">
        <v>1091</v>
      </c>
      <c r="C1299" s="16">
        <v>11</v>
      </c>
      <c r="D1299" s="15" t="s">
        <v>1095</v>
      </c>
      <c r="E1299" s="15" t="s">
        <v>1096</v>
      </c>
      <c r="F1299" s="15">
        <v>1</v>
      </c>
      <c r="G1299" s="15">
        <v>1</v>
      </c>
    </row>
    <row r="1300" spans="1:7" x14ac:dyDescent="0.25">
      <c r="A1300" s="15" t="s">
        <v>1090</v>
      </c>
      <c r="B1300" s="15" t="s">
        <v>1091</v>
      </c>
      <c r="C1300" s="16">
        <v>2.5</v>
      </c>
      <c r="D1300" s="15" t="s">
        <v>342</v>
      </c>
      <c r="E1300" s="15" t="s">
        <v>796</v>
      </c>
      <c r="F1300" s="15">
        <v>1</v>
      </c>
      <c r="G1300" s="15">
        <v>1</v>
      </c>
    </row>
    <row r="1301" spans="1:7" x14ac:dyDescent="0.25">
      <c r="A1301" s="15" t="s">
        <v>1090</v>
      </c>
      <c r="B1301" s="15" t="s">
        <v>1091</v>
      </c>
      <c r="C1301" s="16">
        <v>1</v>
      </c>
      <c r="D1301" s="15" t="s">
        <v>1017</v>
      </c>
      <c r="E1301" s="15" t="s">
        <v>1018</v>
      </c>
      <c r="F1301" s="15">
        <v>1</v>
      </c>
      <c r="G1301" s="15">
        <v>1</v>
      </c>
    </row>
    <row r="1302" spans="1:7" x14ac:dyDescent="0.25">
      <c r="A1302" s="15" t="s">
        <v>1090</v>
      </c>
      <c r="B1302" s="15" t="s">
        <v>1091</v>
      </c>
      <c r="C1302" s="16">
        <v>973.1</v>
      </c>
      <c r="D1302" s="15" t="s">
        <v>325</v>
      </c>
      <c r="E1302" s="15" t="s">
        <v>326</v>
      </c>
      <c r="F1302" s="15">
        <v>142</v>
      </c>
      <c r="G1302" s="15">
        <v>142</v>
      </c>
    </row>
    <row r="1303" spans="1:7" x14ac:dyDescent="0.25">
      <c r="A1303" s="15" t="s">
        <v>1090</v>
      </c>
      <c r="B1303" s="15" t="s">
        <v>1091</v>
      </c>
      <c r="C1303" s="16">
        <v>1.75</v>
      </c>
      <c r="D1303" s="15" t="s">
        <v>497</v>
      </c>
      <c r="E1303" s="15" t="s">
        <v>840</v>
      </c>
      <c r="F1303" s="15">
        <v>1</v>
      </c>
      <c r="G1303" s="15">
        <v>1</v>
      </c>
    </row>
    <row r="1304" spans="1:7" x14ac:dyDescent="0.25">
      <c r="A1304" s="15" t="s">
        <v>1090</v>
      </c>
      <c r="B1304" s="15" t="s">
        <v>1091</v>
      </c>
      <c r="C1304" s="16">
        <v>1.8</v>
      </c>
      <c r="D1304" s="15" t="s">
        <v>333</v>
      </c>
      <c r="E1304" s="15" t="s">
        <v>334</v>
      </c>
      <c r="F1304" s="15">
        <v>1</v>
      </c>
      <c r="G1304" s="15">
        <v>1</v>
      </c>
    </row>
    <row r="1305" spans="1:7" x14ac:dyDescent="0.25">
      <c r="A1305" s="15" t="s">
        <v>1090</v>
      </c>
      <c r="B1305" s="15" t="s">
        <v>1091</v>
      </c>
      <c r="C1305" s="16">
        <v>586.4</v>
      </c>
      <c r="D1305" s="15" t="s">
        <v>80</v>
      </c>
      <c r="E1305" s="15" t="s">
        <v>337</v>
      </c>
      <c r="F1305" s="15">
        <v>18</v>
      </c>
      <c r="G1305" s="15">
        <v>18</v>
      </c>
    </row>
    <row r="1306" spans="1:7" x14ac:dyDescent="0.25">
      <c r="A1306" s="15" t="s">
        <v>1090</v>
      </c>
      <c r="B1306" s="15" t="s">
        <v>1091</v>
      </c>
      <c r="C1306" s="16">
        <v>26.8</v>
      </c>
      <c r="D1306" s="15" t="s">
        <v>236</v>
      </c>
      <c r="E1306" s="15" t="s">
        <v>1097</v>
      </c>
      <c r="F1306" s="15">
        <v>2</v>
      </c>
      <c r="G1306" s="15">
        <v>2</v>
      </c>
    </row>
    <row r="1307" spans="1:7" x14ac:dyDescent="0.25">
      <c r="A1307" s="15" t="s">
        <v>1090</v>
      </c>
      <c r="B1307" s="15" t="s">
        <v>1091</v>
      </c>
      <c r="C1307" s="16">
        <v>74.8</v>
      </c>
      <c r="D1307" s="15" t="s">
        <v>80</v>
      </c>
      <c r="E1307" s="15" t="s">
        <v>341</v>
      </c>
      <c r="F1307" s="15">
        <v>20</v>
      </c>
      <c r="G1307" s="15">
        <v>20</v>
      </c>
    </row>
    <row r="1308" spans="1:7" x14ac:dyDescent="0.25">
      <c r="A1308" s="15" t="s">
        <v>1090</v>
      </c>
      <c r="B1308" s="15" t="s">
        <v>1091</v>
      </c>
      <c r="C1308" s="16">
        <v>4.6500000000000004</v>
      </c>
      <c r="D1308" s="15" t="s">
        <v>480</v>
      </c>
      <c r="E1308" s="15" t="s">
        <v>481</v>
      </c>
      <c r="F1308" s="15">
        <v>1</v>
      </c>
      <c r="G1308" s="15">
        <v>1</v>
      </c>
    </row>
    <row r="1309" spans="1:7" x14ac:dyDescent="0.25">
      <c r="A1309" s="15" t="s">
        <v>1090</v>
      </c>
      <c r="B1309" s="15" t="s">
        <v>1091</v>
      </c>
      <c r="C1309" s="16">
        <v>220</v>
      </c>
      <c r="D1309" s="15" t="s">
        <v>602</v>
      </c>
      <c r="E1309" s="15" t="s">
        <v>603</v>
      </c>
      <c r="F1309" s="15">
        <v>11</v>
      </c>
      <c r="G1309" s="15">
        <v>11</v>
      </c>
    </row>
    <row r="1310" spans="1:7" x14ac:dyDescent="0.25">
      <c r="A1310" s="15" t="s">
        <v>1090</v>
      </c>
      <c r="B1310" s="15" t="s">
        <v>1091</v>
      </c>
      <c r="C1310" s="16">
        <v>119.25</v>
      </c>
      <c r="D1310" s="15" t="s">
        <v>605</v>
      </c>
      <c r="E1310" s="15" t="s">
        <v>606</v>
      </c>
      <c r="F1310" s="15">
        <v>5</v>
      </c>
      <c r="G1310" s="15">
        <v>5</v>
      </c>
    </row>
    <row r="1311" spans="1:7" x14ac:dyDescent="0.25">
      <c r="A1311" s="15" t="s">
        <v>1090</v>
      </c>
      <c r="B1311" s="15" t="s">
        <v>1091</v>
      </c>
      <c r="C1311" s="16">
        <v>56.4</v>
      </c>
      <c r="D1311" s="15" t="s">
        <v>90</v>
      </c>
      <c r="E1311" s="15" t="s">
        <v>1098</v>
      </c>
      <c r="F1311" s="15">
        <v>8</v>
      </c>
      <c r="G1311" s="15">
        <v>8</v>
      </c>
    </row>
    <row r="1312" spans="1:7" x14ac:dyDescent="0.25">
      <c r="A1312" s="15" t="s">
        <v>1090</v>
      </c>
      <c r="B1312" s="15" t="s">
        <v>1091</v>
      </c>
      <c r="C1312" s="16">
        <v>378</v>
      </c>
      <c r="D1312" s="15" t="s">
        <v>1099</v>
      </c>
      <c r="E1312" s="15" t="s">
        <v>353</v>
      </c>
      <c r="F1312" s="15">
        <v>24</v>
      </c>
      <c r="G1312" s="15">
        <v>24</v>
      </c>
    </row>
    <row r="1313" spans="1:7" x14ac:dyDescent="0.25">
      <c r="A1313" s="15" t="s">
        <v>1090</v>
      </c>
      <c r="B1313" s="15" t="s">
        <v>1091</v>
      </c>
      <c r="C1313" s="16">
        <v>34.65</v>
      </c>
      <c r="D1313" s="15" t="s">
        <v>455</v>
      </c>
      <c r="E1313" s="15" t="s">
        <v>1100</v>
      </c>
      <c r="F1313" s="15">
        <v>7</v>
      </c>
      <c r="G1313" s="15">
        <v>7</v>
      </c>
    </row>
    <row r="1314" spans="1:7" x14ac:dyDescent="0.25">
      <c r="A1314" s="15" t="s">
        <v>1090</v>
      </c>
      <c r="B1314" s="15" t="s">
        <v>1091</v>
      </c>
      <c r="C1314" s="16">
        <v>2.4500000000000002</v>
      </c>
      <c r="D1314" s="15" t="s">
        <v>674</v>
      </c>
      <c r="E1314" s="15" t="s">
        <v>675</v>
      </c>
      <c r="F1314" s="15">
        <v>7</v>
      </c>
      <c r="G1314" s="15">
        <v>7</v>
      </c>
    </row>
    <row r="1315" spans="1:7" x14ac:dyDescent="0.25">
      <c r="A1315" s="15" t="s">
        <v>1090</v>
      </c>
      <c r="B1315" s="15" t="s">
        <v>1091</v>
      </c>
      <c r="C1315" s="16">
        <v>10.199999999999999</v>
      </c>
      <c r="D1315" s="15" t="s">
        <v>80</v>
      </c>
      <c r="E1315" s="15" t="s">
        <v>676</v>
      </c>
      <c r="F1315" s="15">
        <v>1</v>
      </c>
      <c r="G1315" s="15">
        <v>1</v>
      </c>
    </row>
    <row r="1316" spans="1:7" x14ac:dyDescent="0.25">
      <c r="A1316" s="15" t="s">
        <v>1090</v>
      </c>
      <c r="B1316" s="15" t="s">
        <v>1091</v>
      </c>
      <c r="C1316" s="16">
        <v>3</v>
      </c>
      <c r="D1316" s="15" t="s">
        <v>355</v>
      </c>
      <c r="E1316" s="15" t="s">
        <v>356</v>
      </c>
      <c r="F1316" s="15">
        <v>2</v>
      </c>
      <c r="G1316" s="15">
        <v>2</v>
      </c>
    </row>
    <row r="1317" spans="1:7" x14ac:dyDescent="0.25">
      <c r="A1317" s="15" t="s">
        <v>1090</v>
      </c>
      <c r="B1317" s="15" t="s">
        <v>1091</v>
      </c>
      <c r="C1317" s="16">
        <v>1.25</v>
      </c>
      <c r="D1317" s="15" t="s">
        <v>187</v>
      </c>
      <c r="E1317" s="15" t="s">
        <v>1025</v>
      </c>
      <c r="F1317" s="15">
        <v>1</v>
      </c>
      <c r="G1317" s="15">
        <v>1</v>
      </c>
    </row>
    <row r="1318" spans="1:7" x14ac:dyDescent="0.25">
      <c r="A1318" s="15" t="s">
        <v>1090</v>
      </c>
      <c r="B1318" s="15" t="s">
        <v>1091</v>
      </c>
      <c r="C1318" s="16">
        <v>745.4</v>
      </c>
      <c r="D1318" s="15" t="s">
        <v>360</v>
      </c>
      <c r="E1318" s="15" t="s">
        <v>361</v>
      </c>
      <c r="F1318" s="15">
        <v>98</v>
      </c>
      <c r="G1318" s="15">
        <v>98</v>
      </c>
    </row>
    <row r="1319" spans="1:7" x14ac:dyDescent="0.25">
      <c r="A1319" s="15" t="s">
        <v>1090</v>
      </c>
      <c r="B1319" s="15" t="s">
        <v>1091</v>
      </c>
      <c r="C1319" s="16">
        <v>6.6</v>
      </c>
      <c r="D1319" s="15" t="s">
        <v>119</v>
      </c>
      <c r="E1319" s="15" t="s">
        <v>120</v>
      </c>
      <c r="F1319" s="15">
        <v>1</v>
      </c>
      <c r="G1319" s="15">
        <v>1</v>
      </c>
    </row>
    <row r="1320" spans="1:7" x14ac:dyDescent="0.25">
      <c r="A1320" s="15" t="s">
        <v>1090</v>
      </c>
      <c r="B1320" s="15" t="s">
        <v>1091</v>
      </c>
      <c r="C1320" s="16">
        <v>3.1</v>
      </c>
      <c r="D1320" s="15" t="s">
        <v>362</v>
      </c>
      <c r="E1320" s="15" t="s">
        <v>363</v>
      </c>
      <c r="F1320" s="15">
        <v>1</v>
      </c>
      <c r="G1320" s="15">
        <v>1</v>
      </c>
    </row>
    <row r="1321" spans="1:7" x14ac:dyDescent="0.25">
      <c r="A1321" s="15" t="s">
        <v>1090</v>
      </c>
      <c r="B1321" s="15" t="s">
        <v>1091</v>
      </c>
      <c r="C1321" s="16">
        <v>7192.8</v>
      </c>
      <c r="D1321" s="15" t="s">
        <v>364</v>
      </c>
      <c r="E1321" s="15" t="s">
        <v>365</v>
      </c>
      <c r="F1321" s="15">
        <v>243</v>
      </c>
      <c r="G1321" s="15">
        <v>243</v>
      </c>
    </row>
    <row r="1322" spans="1:7" x14ac:dyDescent="0.25">
      <c r="A1322" s="15" t="s">
        <v>1090</v>
      </c>
      <c r="B1322" s="15" t="s">
        <v>1091</v>
      </c>
      <c r="C1322" s="16">
        <v>2.65</v>
      </c>
      <c r="D1322" s="15" t="s">
        <v>86</v>
      </c>
      <c r="E1322" s="15" t="s">
        <v>677</v>
      </c>
      <c r="F1322" s="15">
        <v>1</v>
      </c>
      <c r="G1322" s="15">
        <v>1</v>
      </c>
    </row>
    <row r="1323" spans="1:7" x14ac:dyDescent="0.25">
      <c r="A1323" s="15" t="s">
        <v>1090</v>
      </c>
      <c r="B1323" s="15" t="s">
        <v>1091</v>
      </c>
      <c r="C1323" s="16">
        <v>1343.05</v>
      </c>
      <c r="D1323" s="15" t="s">
        <v>1054</v>
      </c>
      <c r="E1323" s="15" t="s">
        <v>450</v>
      </c>
      <c r="F1323" s="15">
        <v>105</v>
      </c>
      <c r="G1323" s="15">
        <v>105</v>
      </c>
    </row>
    <row r="1324" spans="1:7" x14ac:dyDescent="0.25">
      <c r="A1324" s="15" t="s">
        <v>1090</v>
      </c>
      <c r="B1324" s="15" t="s">
        <v>1091</v>
      </c>
      <c r="C1324" s="16">
        <v>3.4</v>
      </c>
      <c r="D1324" s="15" t="s">
        <v>1027</v>
      </c>
      <c r="E1324" s="15" t="s">
        <v>1028</v>
      </c>
      <c r="F1324" s="15">
        <v>2</v>
      </c>
      <c r="G1324" s="15">
        <v>2</v>
      </c>
    </row>
    <row r="1325" spans="1:7" x14ac:dyDescent="0.25">
      <c r="A1325" s="15" t="s">
        <v>1090</v>
      </c>
      <c r="B1325" s="15" t="s">
        <v>1091</v>
      </c>
      <c r="C1325" s="16">
        <v>2.6</v>
      </c>
      <c r="D1325" s="15" t="s">
        <v>275</v>
      </c>
      <c r="E1325" s="15" t="s">
        <v>487</v>
      </c>
      <c r="F1325" s="15">
        <v>1</v>
      </c>
      <c r="G1325" s="15">
        <v>1</v>
      </c>
    </row>
    <row r="1326" spans="1:7" x14ac:dyDescent="0.25">
      <c r="A1326" s="15" t="s">
        <v>1090</v>
      </c>
      <c r="B1326" s="15" t="s">
        <v>1091</v>
      </c>
      <c r="C1326" s="16">
        <v>24.7</v>
      </c>
      <c r="D1326" s="15" t="s">
        <v>1101</v>
      </c>
      <c r="E1326" s="15" t="s">
        <v>1102</v>
      </c>
      <c r="F1326" s="15">
        <v>2</v>
      </c>
      <c r="G1326" s="15">
        <v>2</v>
      </c>
    </row>
    <row r="1327" spans="1:7" x14ac:dyDescent="0.25">
      <c r="A1327" s="15" t="s">
        <v>1090</v>
      </c>
      <c r="B1327" s="15" t="s">
        <v>1091</v>
      </c>
      <c r="C1327" s="16">
        <v>0.75</v>
      </c>
      <c r="D1327" s="15" t="s">
        <v>678</v>
      </c>
      <c r="E1327" s="15" t="s">
        <v>679</v>
      </c>
      <c r="F1327" s="15">
        <v>1</v>
      </c>
      <c r="G1327" s="15">
        <v>1</v>
      </c>
    </row>
    <row r="1328" spans="1:7" x14ac:dyDescent="0.25">
      <c r="A1328" s="15" t="s">
        <v>1090</v>
      </c>
      <c r="B1328" s="15" t="s">
        <v>1091</v>
      </c>
      <c r="C1328" s="16">
        <v>2.35</v>
      </c>
      <c r="D1328" s="15" t="s">
        <v>680</v>
      </c>
      <c r="E1328" s="15" t="s">
        <v>681</v>
      </c>
      <c r="F1328" s="15">
        <v>1</v>
      </c>
      <c r="G1328" s="15">
        <v>1</v>
      </c>
    </row>
    <row r="1329" spans="1:7" x14ac:dyDescent="0.25">
      <c r="A1329" s="15" t="s">
        <v>1090</v>
      </c>
      <c r="B1329" s="15" t="s">
        <v>1091</v>
      </c>
      <c r="C1329" s="16">
        <v>15.25</v>
      </c>
      <c r="D1329" s="15" t="s">
        <v>435</v>
      </c>
      <c r="E1329" s="15" t="s">
        <v>489</v>
      </c>
      <c r="F1329" s="15">
        <v>4</v>
      </c>
      <c r="G1329" s="15">
        <v>4</v>
      </c>
    </row>
    <row r="1330" spans="1:7" x14ac:dyDescent="0.25">
      <c r="A1330" s="15" t="s">
        <v>1090</v>
      </c>
      <c r="B1330" s="15" t="s">
        <v>1091</v>
      </c>
      <c r="C1330" s="16">
        <v>3.85</v>
      </c>
      <c r="D1330" s="15" t="s">
        <v>549</v>
      </c>
      <c r="E1330" s="15" t="s">
        <v>1103</v>
      </c>
      <c r="F1330" s="15">
        <v>2</v>
      </c>
      <c r="G1330" s="15">
        <v>2</v>
      </c>
    </row>
    <row r="1331" spans="1:7" x14ac:dyDescent="0.25">
      <c r="A1331" s="15" t="s">
        <v>1090</v>
      </c>
      <c r="B1331" s="15" t="s">
        <v>1091</v>
      </c>
      <c r="C1331" s="16">
        <v>4.1500000000000004</v>
      </c>
      <c r="D1331" s="15" t="s">
        <v>626</v>
      </c>
      <c r="E1331" s="15" t="s">
        <v>844</v>
      </c>
      <c r="F1331" s="15">
        <v>1</v>
      </c>
      <c r="G1331" s="15">
        <v>1</v>
      </c>
    </row>
    <row r="1332" spans="1:7" x14ac:dyDescent="0.25">
      <c r="A1332" s="15" t="s">
        <v>1090</v>
      </c>
      <c r="B1332" s="15" t="s">
        <v>1091</v>
      </c>
      <c r="C1332" s="16">
        <v>3.45</v>
      </c>
      <c r="D1332" s="15" t="s">
        <v>80</v>
      </c>
      <c r="E1332" s="15" t="s">
        <v>789</v>
      </c>
      <c r="F1332" s="15">
        <v>1</v>
      </c>
      <c r="G1332" s="15">
        <v>1</v>
      </c>
    </row>
    <row r="1333" spans="1:7" x14ac:dyDescent="0.25">
      <c r="A1333" s="15" t="s">
        <v>1090</v>
      </c>
      <c r="B1333" s="15" t="s">
        <v>1091</v>
      </c>
      <c r="C1333" s="16">
        <v>7.15</v>
      </c>
      <c r="D1333" s="15" t="s">
        <v>80</v>
      </c>
      <c r="E1333" s="15" t="s">
        <v>637</v>
      </c>
      <c r="F1333" s="15">
        <v>5</v>
      </c>
      <c r="G1333" s="15">
        <v>5</v>
      </c>
    </row>
    <row r="1334" spans="1:7" x14ac:dyDescent="0.25">
      <c r="A1334" s="15" t="s">
        <v>1090</v>
      </c>
      <c r="B1334" s="15" t="s">
        <v>1091</v>
      </c>
      <c r="C1334" s="16">
        <v>124.8</v>
      </c>
      <c r="D1334" s="15" t="s">
        <v>638</v>
      </c>
      <c r="E1334" s="15" t="s">
        <v>639</v>
      </c>
      <c r="F1334" s="15">
        <v>13</v>
      </c>
      <c r="G1334" s="15">
        <v>13</v>
      </c>
    </row>
    <row r="1335" spans="1:7" x14ac:dyDescent="0.25">
      <c r="A1335" s="15" t="s">
        <v>1090</v>
      </c>
      <c r="B1335" s="15" t="s">
        <v>1091</v>
      </c>
      <c r="C1335" s="16">
        <v>1.45</v>
      </c>
      <c r="D1335" s="15" t="s">
        <v>381</v>
      </c>
      <c r="E1335" s="15" t="s">
        <v>382</v>
      </c>
      <c r="F1335" s="15">
        <v>1</v>
      </c>
      <c r="G1335" s="15">
        <v>1</v>
      </c>
    </row>
    <row r="1336" spans="1:7" x14ac:dyDescent="0.25">
      <c r="A1336" s="15" t="s">
        <v>1090</v>
      </c>
      <c r="B1336" s="15" t="s">
        <v>1091</v>
      </c>
      <c r="C1336" s="16">
        <v>100.35</v>
      </c>
      <c r="D1336" s="15" t="s">
        <v>179</v>
      </c>
      <c r="E1336" s="15" t="s">
        <v>641</v>
      </c>
      <c r="F1336" s="15">
        <v>6</v>
      </c>
      <c r="G1336" s="15">
        <v>6</v>
      </c>
    </row>
    <row r="1337" spans="1:7" x14ac:dyDescent="0.25">
      <c r="A1337" s="15" t="s">
        <v>1090</v>
      </c>
      <c r="B1337" s="15" t="s">
        <v>1091</v>
      </c>
      <c r="C1337" s="16">
        <v>384.3</v>
      </c>
      <c r="D1337" s="15" t="s">
        <v>132</v>
      </c>
      <c r="E1337" s="15" t="s">
        <v>387</v>
      </c>
      <c r="F1337" s="15">
        <v>27</v>
      </c>
      <c r="G1337" s="15">
        <v>27</v>
      </c>
    </row>
    <row r="1338" spans="1:7" x14ac:dyDescent="0.25">
      <c r="A1338" s="15" t="s">
        <v>1090</v>
      </c>
      <c r="B1338" s="15" t="s">
        <v>1091</v>
      </c>
      <c r="C1338" s="16">
        <v>2.15</v>
      </c>
      <c r="D1338" s="15" t="s">
        <v>194</v>
      </c>
      <c r="E1338" s="15" t="s">
        <v>426</v>
      </c>
      <c r="F1338" s="15">
        <v>1</v>
      </c>
      <c r="G1338" s="15">
        <v>1</v>
      </c>
    </row>
    <row r="1339" spans="1:7" x14ac:dyDescent="0.25">
      <c r="A1339" s="15" t="s">
        <v>1090</v>
      </c>
      <c r="B1339" s="15" t="s">
        <v>1091</v>
      </c>
      <c r="C1339" s="16">
        <v>6</v>
      </c>
      <c r="D1339" s="15" t="s">
        <v>125</v>
      </c>
      <c r="E1339" s="15" t="s">
        <v>126</v>
      </c>
      <c r="F1339" s="15">
        <v>2</v>
      </c>
      <c r="G1339" s="15">
        <v>2</v>
      </c>
    </row>
    <row r="1340" spans="1:7" x14ac:dyDescent="0.25">
      <c r="A1340" s="15" t="s">
        <v>1090</v>
      </c>
      <c r="B1340" s="15" t="s">
        <v>1091</v>
      </c>
      <c r="C1340" s="16">
        <v>0.95</v>
      </c>
      <c r="D1340" s="15" t="s">
        <v>391</v>
      </c>
      <c r="E1340" s="15" t="s">
        <v>392</v>
      </c>
      <c r="F1340" s="15">
        <v>1</v>
      </c>
      <c r="G1340" s="15">
        <v>1</v>
      </c>
    </row>
    <row r="1341" spans="1:7" x14ac:dyDescent="0.25">
      <c r="A1341" s="15" t="s">
        <v>1090</v>
      </c>
      <c r="B1341" s="15" t="s">
        <v>1091</v>
      </c>
      <c r="C1341" s="16">
        <v>2.25</v>
      </c>
      <c r="D1341" s="15" t="s">
        <v>393</v>
      </c>
      <c r="E1341" s="15" t="s">
        <v>394</v>
      </c>
      <c r="F1341" s="15">
        <v>6</v>
      </c>
      <c r="G1341" s="15">
        <v>6</v>
      </c>
    </row>
    <row r="1342" spans="1:7" x14ac:dyDescent="0.25">
      <c r="A1342" s="15" t="s">
        <v>1104</v>
      </c>
      <c r="B1342" s="15" t="s">
        <v>1105</v>
      </c>
      <c r="C1342" s="16">
        <v>6.32</v>
      </c>
      <c r="D1342" s="15" t="s">
        <v>82</v>
      </c>
      <c r="E1342" s="15" t="s">
        <v>1106</v>
      </c>
      <c r="F1342" s="15">
        <v>3</v>
      </c>
      <c r="G1342" s="15">
        <v>3</v>
      </c>
    </row>
    <row r="1343" spans="1:7" x14ac:dyDescent="0.25">
      <c r="A1343" s="15" t="s">
        <v>1104</v>
      </c>
      <c r="B1343" s="15" t="s">
        <v>1105</v>
      </c>
      <c r="C1343" s="16">
        <v>803.85</v>
      </c>
      <c r="D1343" s="15" t="s">
        <v>464</v>
      </c>
      <c r="E1343" s="15" t="s">
        <v>465</v>
      </c>
      <c r="F1343" s="15">
        <v>69</v>
      </c>
      <c r="G1343" s="15">
        <v>69</v>
      </c>
    </row>
    <row r="1344" spans="1:7" x14ac:dyDescent="0.25">
      <c r="A1344" s="15" t="s">
        <v>1104</v>
      </c>
      <c r="B1344" s="15" t="s">
        <v>1105</v>
      </c>
      <c r="C1344" s="16">
        <v>343.2</v>
      </c>
      <c r="D1344" s="15" t="s">
        <v>468</v>
      </c>
      <c r="E1344" s="15" t="s">
        <v>469</v>
      </c>
      <c r="F1344" s="15">
        <v>66</v>
      </c>
      <c r="G1344" s="15">
        <v>66</v>
      </c>
    </row>
    <row r="1345" spans="1:7" x14ac:dyDescent="0.25">
      <c r="A1345" s="15" t="s">
        <v>1104</v>
      </c>
      <c r="B1345" s="15" t="s">
        <v>1105</v>
      </c>
      <c r="C1345" s="16">
        <v>6.9</v>
      </c>
      <c r="D1345" s="15" t="s">
        <v>775</v>
      </c>
      <c r="E1345" s="15" t="s">
        <v>776</v>
      </c>
      <c r="F1345" s="15">
        <v>3</v>
      </c>
      <c r="G1345" s="15">
        <v>3</v>
      </c>
    </row>
    <row r="1346" spans="1:7" x14ac:dyDescent="0.25">
      <c r="A1346" s="15" t="s">
        <v>1104</v>
      </c>
      <c r="B1346" s="15" t="s">
        <v>1105</v>
      </c>
      <c r="C1346" s="16">
        <v>67.25</v>
      </c>
      <c r="D1346" s="15" t="s">
        <v>80</v>
      </c>
      <c r="E1346" s="15" t="s">
        <v>322</v>
      </c>
      <c r="F1346" s="15">
        <v>10</v>
      </c>
      <c r="G1346" s="15">
        <v>10</v>
      </c>
    </row>
    <row r="1347" spans="1:7" x14ac:dyDescent="0.25">
      <c r="A1347" s="15" t="s">
        <v>1104</v>
      </c>
      <c r="B1347" s="15" t="s">
        <v>1105</v>
      </c>
      <c r="C1347" s="16">
        <v>1.45</v>
      </c>
      <c r="D1347" s="15" t="s">
        <v>323</v>
      </c>
      <c r="E1347" s="15" t="s">
        <v>324</v>
      </c>
      <c r="F1347" s="15">
        <v>1</v>
      </c>
      <c r="G1347" s="15">
        <v>1</v>
      </c>
    </row>
    <row r="1348" spans="1:7" x14ac:dyDescent="0.25">
      <c r="A1348" s="15" t="s">
        <v>1104</v>
      </c>
      <c r="B1348" s="15" t="s">
        <v>1105</v>
      </c>
      <c r="C1348" s="16">
        <v>8.1999999999999993</v>
      </c>
      <c r="D1348" s="15" t="s">
        <v>80</v>
      </c>
      <c r="E1348" s="15" t="s">
        <v>779</v>
      </c>
      <c r="F1348" s="15">
        <v>3</v>
      </c>
      <c r="G1348" s="15">
        <v>3</v>
      </c>
    </row>
    <row r="1349" spans="1:7" x14ac:dyDescent="0.25">
      <c r="A1349" s="15" t="s">
        <v>1104</v>
      </c>
      <c r="B1349" s="15" t="s">
        <v>1105</v>
      </c>
      <c r="C1349" s="16">
        <v>4.8</v>
      </c>
      <c r="D1349" s="15" t="s">
        <v>1107</v>
      </c>
      <c r="E1349" s="15" t="s">
        <v>1108</v>
      </c>
      <c r="F1349" s="15">
        <v>1</v>
      </c>
      <c r="G1349" s="15">
        <v>1</v>
      </c>
    </row>
    <row r="1350" spans="1:7" x14ac:dyDescent="0.25">
      <c r="A1350" s="15" t="s">
        <v>1104</v>
      </c>
      <c r="B1350" s="15" t="s">
        <v>1105</v>
      </c>
      <c r="C1350" s="16">
        <v>11</v>
      </c>
      <c r="D1350" s="15" t="s">
        <v>1095</v>
      </c>
      <c r="E1350" s="15" t="s">
        <v>1096</v>
      </c>
      <c r="F1350" s="15">
        <v>1</v>
      </c>
      <c r="G1350" s="15">
        <v>1</v>
      </c>
    </row>
    <row r="1351" spans="1:7" x14ac:dyDescent="0.25">
      <c r="A1351" s="15" t="s">
        <v>1104</v>
      </c>
      <c r="B1351" s="15" t="s">
        <v>1105</v>
      </c>
      <c r="C1351" s="16">
        <v>2.5</v>
      </c>
      <c r="D1351" s="15" t="s">
        <v>342</v>
      </c>
      <c r="E1351" s="15" t="s">
        <v>796</v>
      </c>
      <c r="F1351" s="15">
        <v>1</v>
      </c>
      <c r="G1351" s="15">
        <v>1</v>
      </c>
    </row>
    <row r="1352" spans="1:7" x14ac:dyDescent="0.25">
      <c r="A1352" s="15" t="s">
        <v>1104</v>
      </c>
      <c r="B1352" s="15" t="s">
        <v>1105</v>
      </c>
      <c r="C1352" s="16">
        <v>55.5</v>
      </c>
      <c r="D1352" s="15" t="s">
        <v>90</v>
      </c>
      <c r="E1352" s="15" t="s">
        <v>1109</v>
      </c>
      <c r="F1352" s="15">
        <v>3</v>
      </c>
      <c r="G1352" s="15">
        <v>3</v>
      </c>
    </row>
    <row r="1353" spans="1:7" x14ac:dyDescent="0.25">
      <c r="A1353" s="15" t="s">
        <v>1104</v>
      </c>
      <c r="B1353" s="15" t="s">
        <v>1105</v>
      </c>
      <c r="C1353" s="16">
        <v>3.3</v>
      </c>
      <c r="D1353" s="15" t="s">
        <v>497</v>
      </c>
      <c r="E1353" s="15" t="s">
        <v>840</v>
      </c>
      <c r="F1353" s="15">
        <v>3</v>
      </c>
      <c r="G1353" s="15">
        <v>3</v>
      </c>
    </row>
    <row r="1354" spans="1:7" x14ac:dyDescent="0.25">
      <c r="A1354" s="15" t="s">
        <v>1104</v>
      </c>
      <c r="B1354" s="15" t="s">
        <v>1105</v>
      </c>
      <c r="C1354" s="16">
        <v>2.7</v>
      </c>
      <c r="D1354" s="15" t="s">
        <v>109</v>
      </c>
      <c r="E1354" s="15" t="s">
        <v>476</v>
      </c>
      <c r="F1354" s="15">
        <v>2</v>
      </c>
      <c r="G1354" s="15">
        <v>2</v>
      </c>
    </row>
    <row r="1355" spans="1:7" x14ac:dyDescent="0.25">
      <c r="A1355" s="15" t="s">
        <v>1104</v>
      </c>
      <c r="B1355" s="15" t="s">
        <v>1105</v>
      </c>
      <c r="C1355" s="16">
        <v>2241.5500000000002</v>
      </c>
      <c r="D1355" s="15" t="s">
        <v>281</v>
      </c>
      <c r="E1355" s="15" t="s">
        <v>328</v>
      </c>
      <c r="F1355" s="15">
        <v>121</v>
      </c>
      <c r="G1355" s="15">
        <v>121</v>
      </c>
    </row>
    <row r="1356" spans="1:7" x14ac:dyDescent="0.25">
      <c r="A1356" s="15" t="s">
        <v>1104</v>
      </c>
      <c r="B1356" s="15" t="s">
        <v>1105</v>
      </c>
      <c r="C1356" s="16">
        <v>6</v>
      </c>
      <c r="D1356" s="15" t="s">
        <v>167</v>
      </c>
      <c r="E1356" s="15" t="s">
        <v>596</v>
      </c>
      <c r="F1356" s="15">
        <v>2</v>
      </c>
      <c r="G1356" s="15">
        <v>2</v>
      </c>
    </row>
    <row r="1357" spans="1:7" x14ac:dyDescent="0.25">
      <c r="A1357" s="15" t="s">
        <v>1104</v>
      </c>
      <c r="B1357" s="15" t="s">
        <v>1105</v>
      </c>
      <c r="C1357" s="16">
        <v>1.4</v>
      </c>
      <c r="D1357" s="15" t="s">
        <v>339</v>
      </c>
      <c r="E1357" s="15" t="s">
        <v>340</v>
      </c>
      <c r="F1357" s="15">
        <v>1</v>
      </c>
      <c r="G1357" s="15">
        <v>1</v>
      </c>
    </row>
    <row r="1358" spans="1:7" x14ac:dyDescent="0.25">
      <c r="A1358" s="15" t="s">
        <v>1104</v>
      </c>
      <c r="B1358" s="15" t="s">
        <v>1105</v>
      </c>
      <c r="C1358" s="16">
        <v>31.4</v>
      </c>
      <c r="D1358" s="15" t="s">
        <v>478</v>
      </c>
      <c r="E1358" s="15" t="s">
        <v>479</v>
      </c>
      <c r="F1358" s="15">
        <v>4</v>
      </c>
      <c r="G1358" s="15">
        <v>4</v>
      </c>
    </row>
    <row r="1359" spans="1:7" x14ac:dyDescent="0.25">
      <c r="A1359" s="15" t="s">
        <v>1104</v>
      </c>
      <c r="B1359" s="15" t="s">
        <v>1105</v>
      </c>
      <c r="C1359" s="16">
        <v>3.7</v>
      </c>
      <c r="D1359" s="15" t="s">
        <v>903</v>
      </c>
      <c r="E1359" s="15" t="s">
        <v>1110</v>
      </c>
      <c r="F1359" s="15">
        <v>2</v>
      </c>
      <c r="G1359" s="15">
        <v>2</v>
      </c>
    </row>
    <row r="1360" spans="1:7" x14ac:dyDescent="0.25">
      <c r="A1360" s="15" t="s">
        <v>1104</v>
      </c>
      <c r="B1360" s="15" t="s">
        <v>1105</v>
      </c>
      <c r="C1360" s="16">
        <v>576.85</v>
      </c>
      <c r="D1360" s="15" t="s">
        <v>80</v>
      </c>
      <c r="E1360" s="15" t="s">
        <v>341</v>
      </c>
      <c r="F1360" s="15">
        <v>69</v>
      </c>
      <c r="G1360" s="15">
        <v>69</v>
      </c>
    </row>
    <row r="1361" spans="1:7" x14ac:dyDescent="0.25">
      <c r="A1361" s="15" t="s">
        <v>1104</v>
      </c>
      <c r="B1361" s="15" t="s">
        <v>1105</v>
      </c>
      <c r="C1361" s="16">
        <v>9.3000000000000007</v>
      </c>
      <c r="D1361" s="15" t="s">
        <v>480</v>
      </c>
      <c r="E1361" s="15" t="s">
        <v>481</v>
      </c>
      <c r="F1361" s="15">
        <v>2</v>
      </c>
      <c r="G1361" s="15">
        <v>2</v>
      </c>
    </row>
    <row r="1362" spans="1:7" x14ac:dyDescent="0.25">
      <c r="A1362" s="15" t="s">
        <v>1104</v>
      </c>
      <c r="B1362" s="15" t="s">
        <v>1105</v>
      </c>
      <c r="C1362" s="16">
        <v>7.97</v>
      </c>
      <c r="D1362" s="15" t="s">
        <v>247</v>
      </c>
      <c r="E1362" s="15" t="s">
        <v>169</v>
      </c>
      <c r="F1362" s="15">
        <v>3</v>
      </c>
      <c r="G1362" s="15">
        <v>3</v>
      </c>
    </row>
    <row r="1363" spans="1:7" x14ac:dyDescent="0.25">
      <c r="A1363" s="15" t="s">
        <v>1104</v>
      </c>
      <c r="B1363" s="15" t="s">
        <v>1105</v>
      </c>
      <c r="C1363" s="16">
        <v>1188</v>
      </c>
      <c r="D1363" s="15" t="s">
        <v>98</v>
      </c>
      <c r="E1363" s="15" t="s">
        <v>350</v>
      </c>
      <c r="F1363" s="15">
        <v>11</v>
      </c>
      <c r="G1363" s="15">
        <v>11</v>
      </c>
    </row>
    <row r="1364" spans="1:7" x14ac:dyDescent="0.25">
      <c r="A1364" s="15" t="s">
        <v>1104</v>
      </c>
      <c r="B1364" s="15" t="s">
        <v>1105</v>
      </c>
      <c r="C1364" s="16">
        <v>3.2</v>
      </c>
      <c r="D1364" s="15" t="s">
        <v>351</v>
      </c>
      <c r="E1364" s="15" t="s">
        <v>352</v>
      </c>
      <c r="F1364" s="15">
        <v>2</v>
      </c>
      <c r="G1364" s="15">
        <v>2</v>
      </c>
    </row>
    <row r="1365" spans="1:7" x14ac:dyDescent="0.25">
      <c r="A1365" s="15" t="s">
        <v>1104</v>
      </c>
      <c r="B1365" s="15" t="s">
        <v>1105</v>
      </c>
      <c r="C1365" s="16">
        <v>8.8000000000000007</v>
      </c>
      <c r="D1365" s="15" t="s">
        <v>80</v>
      </c>
      <c r="E1365" s="15" t="s">
        <v>1111</v>
      </c>
      <c r="F1365" s="15">
        <v>2</v>
      </c>
      <c r="G1365" s="15">
        <v>2</v>
      </c>
    </row>
    <row r="1366" spans="1:7" x14ac:dyDescent="0.25">
      <c r="A1366" s="15" t="s">
        <v>1104</v>
      </c>
      <c r="B1366" s="15" t="s">
        <v>1105</v>
      </c>
      <c r="C1366" s="16">
        <v>10.199999999999999</v>
      </c>
      <c r="D1366" s="15" t="s">
        <v>80</v>
      </c>
      <c r="E1366" s="15" t="s">
        <v>676</v>
      </c>
      <c r="F1366" s="15">
        <v>1</v>
      </c>
      <c r="G1366" s="15">
        <v>1</v>
      </c>
    </row>
    <row r="1367" spans="1:7" x14ac:dyDescent="0.25">
      <c r="A1367" s="15" t="s">
        <v>1104</v>
      </c>
      <c r="B1367" s="15" t="s">
        <v>1105</v>
      </c>
      <c r="C1367" s="16">
        <v>3</v>
      </c>
      <c r="D1367" s="15" t="s">
        <v>355</v>
      </c>
      <c r="E1367" s="15" t="s">
        <v>356</v>
      </c>
      <c r="F1367" s="15">
        <v>2</v>
      </c>
      <c r="G1367" s="15">
        <v>2</v>
      </c>
    </row>
    <row r="1368" spans="1:7" x14ac:dyDescent="0.25">
      <c r="A1368" s="15" t="s">
        <v>1104</v>
      </c>
      <c r="B1368" s="15" t="s">
        <v>1105</v>
      </c>
      <c r="C1368" s="16">
        <v>4.0999999999999996</v>
      </c>
      <c r="D1368" s="15" t="s">
        <v>248</v>
      </c>
      <c r="E1368" s="15" t="s">
        <v>357</v>
      </c>
      <c r="F1368" s="15">
        <v>3</v>
      </c>
      <c r="G1368" s="15">
        <v>3</v>
      </c>
    </row>
    <row r="1369" spans="1:7" x14ac:dyDescent="0.25">
      <c r="A1369" s="15" t="s">
        <v>1104</v>
      </c>
      <c r="B1369" s="15" t="s">
        <v>1105</v>
      </c>
      <c r="C1369" s="16">
        <v>0.9</v>
      </c>
      <c r="D1369" s="15" t="s">
        <v>232</v>
      </c>
      <c r="E1369" s="15" t="s">
        <v>783</v>
      </c>
      <c r="F1369" s="15">
        <v>1</v>
      </c>
      <c r="G1369" s="15">
        <v>1</v>
      </c>
    </row>
    <row r="1370" spans="1:7" x14ac:dyDescent="0.25">
      <c r="A1370" s="15" t="s">
        <v>1104</v>
      </c>
      <c r="B1370" s="15" t="s">
        <v>1105</v>
      </c>
      <c r="C1370" s="16">
        <v>1.25</v>
      </c>
      <c r="D1370" s="15" t="s">
        <v>187</v>
      </c>
      <c r="E1370" s="15" t="s">
        <v>1025</v>
      </c>
      <c r="F1370" s="15">
        <v>1</v>
      </c>
      <c r="G1370" s="15">
        <v>1</v>
      </c>
    </row>
    <row r="1371" spans="1:7" x14ac:dyDescent="0.25">
      <c r="A1371" s="15" t="s">
        <v>1104</v>
      </c>
      <c r="B1371" s="15" t="s">
        <v>1105</v>
      </c>
      <c r="C1371" s="16">
        <v>1.8</v>
      </c>
      <c r="D1371" s="15" t="s">
        <v>84</v>
      </c>
      <c r="E1371" s="15" t="s">
        <v>85</v>
      </c>
      <c r="F1371" s="15">
        <v>1</v>
      </c>
      <c r="G1371" s="15">
        <v>1</v>
      </c>
    </row>
    <row r="1372" spans="1:7" x14ac:dyDescent="0.25">
      <c r="A1372" s="15" t="s">
        <v>1104</v>
      </c>
      <c r="B1372" s="15" t="s">
        <v>1105</v>
      </c>
      <c r="C1372" s="16">
        <v>6.2</v>
      </c>
      <c r="D1372" s="15" t="s">
        <v>362</v>
      </c>
      <c r="E1372" s="15" t="s">
        <v>363</v>
      </c>
      <c r="F1372" s="15">
        <v>2</v>
      </c>
      <c r="G1372" s="15">
        <v>2</v>
      </c>
    </row>
    <row r="1373" spans="1:7" x14ac:dyDescent="0.25">
      <c r="A1373" s="15" t="s">
        <v>1104</v>
      </c>
      <c r="B1373" s="15" t="s">
        <v>1105</v>
      </c>
      <c r="C1373" s="16">
        <v>3931.9</v>
      </c>
      <c r="D1373" s="15" t="s">
        <v>364</v>
      </c>
      <c r="E1373" s="15" t="s">
        <v>365</v>
      </c>
      <c r="F1373" s="15">
        <v>287</v>
      </c>
      <c r="G1373" s="15">
        <v>287</v>
      </c>
    </row>
    <row r="1374" spans="1:7" x14ac:dyDescent="0.25">
      <c r="A1374" s="15" t="s">
        <v>1104</v>
      </c>
      <c r="B1374" s="15" t="s">
        <v>1105</v>
      </c>
      <c r="C1374" s="16">
        <v>13.8</v>
      </c>
      <c r="D1374" s="15" t="s">
        <v>86</v>
      </c>
      <c r="E1374" s="15" t="s">
        <v>677</v>
      </c>
      <c r="F1374" s="15">
        <v>6</v>
      </c>
      <c r="G1374" s="15">
        <v>6</v>
      </c>
    </row>
    <row r="1375" spans="1:7" x14ac:dyDescent="0.25">
      <c r="A1375" s="15" t="s">
        <v>1104</v>
      </c>
      <c r="B1375" s="15" t="s">
        <v>1105</v>
      </c>
      <c r="C1375" s="16">
        <v>6.95</v>
      </c>
      <c r="D1375" s="15" t="s">
        <v>1027</v>
      </c>
      <c r="E1375" s="15" t="s">
        <v>1028</v>
      </c>
      <c r="F1375" s="15">
        <v>5</v>
      </c>
      <c r="G1375" s="15">
        <v>5</v>
      </c>
    </row>
    <row r="1376" spans="1:7" x14ac:dyDescent="0.25">
      <c r="A1376" s="15" t="s">
        <v>1104</v>
      </c>
      <c r="B1376" s="15" t="s">
        <v>1105</v>
      </c>
      <c r="C1376" s="16">
        <v>0.9</v>
      </c>
      <c r="D1376" s="15" t="s">
        <v>275</v>
      </c>
      <c r="E1376" s="15" t="s">
        <v>1112</v>
      </c>
      <c r="F1376" s="15">
        <v>1</v>
      </c>
      <c r="G1376" s="15">
        <v>1</v>
      </c>
    </row>
    <row r="1377" spans="1:7" x14ac:dyDescent="0.25">
      <c r="A1377" s="15" t="s">
        <v>1104</v>
      </c>
      <c r="B1377" s="15" t="s">
        <v>1105</v>
      </c>
      <c r="C1377" s="16">
        <v>3.75</v>
      </c>
      <c r="D1377" s="15" t="s">
        <v>786</v>
      </c>
      <c r="E1377" s="15" t="s">
        <v>787</v>
      </c>
      <c r="F1377" s="15">
        <v>1</v>
      </c>
      <c r="G1377" s="15">
        <v>1</v>
      </c>
    </row>
    <row r="1378" spans="1:7" x14ac:dyDescent="0.25">
      <c r="A1378" s="15" t="s">
        <v>1104</v>
      </c>
      <c r="B1378" s="15" t="s">
        <v>1105</v>
      </c>
      <c r="C1378" s="16">
        <v>5.25</v>
      </c>
      <c r="D1378" s="15" t="s">
        <v>678</v>
      </c>
      <c r="E1378" s="15" t="s">
        <v>679</v>
      </c>
      <c r="F1378" s="15">
        <v>5</v>
      </c>
      <c r="G1378" s="15">
        <v>5</v>
      </c>
    </row>
    <row r="1379" spans="1:7" x14ac:dyDescent="0.25">
      <c r="A1379" s="15" t="s">
        <v>1104</v>
      </c>
      <c r="B1379" s="15" t="s">
        <v>1105</v>
      </c>
      <c r="C1379" s="16">
        <v>1.4</v>
      </c>
      <c r="D1379" s="15" t="s">
        <v>88</v>
      </c>
      <c r="E1379" s="15" t="s">
        <v>632</v>
      </c>
      <c r="F1379" s="15">
        <v>1</v>
      </c>
      <c r="G1379" s="15">
        <v>1</v>
      </c>
    </row>
    <row r="1380" spans="1:7" x14ac:dyDescent="0.25">
      <c r="A1380" s="15" t="s">
        <v>1104</v>
      </c>
      <c r="B1380" s="15" t="s">
        <v>1105</v>
      </c>
      <c r="C1380" s="16">
        <v>21.7</v>
      </c>
      <c r="D1380" s="15" t="s">
        <v>680</v>
      </c>
      <c r="E1380" s="15" t="s">
        <v>681</v>
      </c>
      <c r="F1380" s="15">
        <v>3</v>
      </c>
      <c r="G1380" s="15">
        <v>3</v>
      </c>
    </row>
    <row r="1381" spans="1:7" x14ac:dyDescent="0.25">
      <c r="A1381" s="15" t="s">
        <v>1104</v>
      </c>
      <c r="B1381" s="15" t="s">
        <v>1105</v>
      </c>
      <c r="C1381" s="16">
        <v>2.65</v>
      </c>
      <c r="D1381" s="15" t="s">
        <v>1015</v>
      </c>
      <c r="E1381" s="15" t="s">
        <v>1036</v>
      </c>
      <c r="F1381" s="15">
        <v>1</v>
      </c>
      <c r="G1381" s="15">
        <v>1</v>
      </c>
    </row>
    <row r="1382" spans="1:7" x14ac:dyDescent="0.25">
      <c r="A1382" s="15" t="s">
        <v>1104</v>
      </c>
      <c r="B1382" s="15" t="s">
        <v>1105</v>
      </c>
      <c r="C1382" s="16">
        <v>1.52</v>
      </c>
      <c r="D1382" s="15" t="s">
        <v>561</v>
      </c>
      <c r="E1382" s="15" t="s">
        <v>1113</v>
      </c>
      <c r="F1382" s="15">
        <v>1</v>
      </c>
      <c r="G1382" s="15">
        <v>1</v>
      </c>
    </row>
    <row r="1383" spans="1:7" x14ac:dyDescent="0.25">
      <c r="A1383" s="15" t="s">
        <v>1104</v>
      </c>
      <c r="B1383" s="15" t="s">
        <v>1105</v>
      </c>
      <c r="C1383" s="16">
        <v>3.45</v>
      </c>
      <c r="D1383" s="15" t="s">
        <v>80</v>
      </c>
      <c r="E1383" s="15" t="s">
        <v>789</v>
      </c>
      <c r="F1383" s="15">
        <v>1</v>
      </c>
      <c r="G1383" s="15">
        <v>1</v>
      </c>
    </row>
    <row r="1384" spans="1:7" x14ac:dyDescent="0.25">
      <c r="A1384" s="15" t="s">
        <v>1104</v>
      </c>
      <c r="B1384" s="15" t="s">
        <v>1105</v>
      </c>
      <c r="C1384" s="16">
        <v>3.95</v>
      </c>
      <c r="D1384" s="15" t="s">
        <v>80</v>
      </c>
      <c r="E1384" s="15" t="s">
        <v>637</v>
      </c>
      <c r="F1384" s="15">
        <v>3</v>
      </c>
      <c r="G1384" s="15">
        <v>3</v>
      </c>
    </row>
    <row r="1385" spans="1:7" x14ac:dyDescent="0.25">
      <c r="A1385" s="15" t="s">
        <v>1104</v>
      </c>
      <c r="B1385" s="15" t="s">
        <v>1105</v>
      </c>
      <c r="C1385" s="16">
        <v>4.7</v>
      </c>
      <c r="D1385" s="15" t="s">
        <v>245</v>
      </c>
      <c r="E1385" s="15" t="s">
        <v>490</v>
      </c>
      <c r="F1385" s="15">
        <v>1</v>
      </c>
      <c r="G1385" s="15">
        <v>1</v>
      </c>
    </row>
    <row r="1386" spans="1:7" x14ac:dyDescent="0.25">
      <c r="A1386" s="15" t="s">
        <v>1104</v>
      </c>
      <c r="B1386" s="15" t="s">
        <v>1105</v>
      </c>
      <c r="C1386" s="16">
        <v>676.2</v>
      </c>
      <c r="D1386" s="15" t="s">
        <v>238</v>
      </c>
      <c r="E1386" s="15" t="s">
        <v>383</v>
      </c>
      <c r="F1386" s="15">
        <v>49</v>
      </c>
      <c r="G1386" s="15">
        <v>49</v>
      </c>
    </row>
    <row r="1387" spans="1:7" x14ac:dyDescent="0.25">
      <c r="A1387" s="15" t="s">
        <v>1104</v>
      </c>
      <c r="B1387" s="15" t="s">
        <v>1105</v>
      </c>
      <c r="C1387" s="16">
        <v>2.9</v>
      </c>
      <c r="D1387" s="15" t="s">
        <v>381</v>
      </c>
      <c r="E1387" s="15" t="s">
        <v>682</v>
      </c>
      <c r="F1387" s="15">
        <v>3</v>
      </c>
      <c r="G1387" s="15">
        <v>3</v>
      </c>
    </row>
    <row r="1388" spans="1:7" x14ac:dyDescent="0.25">
      <c r="A1388" s="15" t="s">
        <v>1104</v>
      </c>
      <c r="B1388" s="15" t="s">
        <v>1105</v>
      </c>
      <c r="C1388" s="16">
        <v>2.25</v>
      </c>
      <c r="D1388" s="15" t="s">
        <v>385</v>
      </c>
      <c r="E1388" s="15" t="s">
        <v>386</v>
      </c>
      <c r="F1388" s="15">
        <v>1</v>
      </c>
      <c r="G1388" s="15">
        <v>1</v>
      </c>
    </row>
    <row r="1389" spans="1:7" x14ac:dyDescent="0.25">
      <c r="A1389" s="15" t="s">
        <v>1104</v>
      </c>
      <c r="B1389" s="15" t="s">
        <v>1105</v>
      </c>
      <c r="C1389" s="16">
        <v>5.7</v>
      </c>
      <c r="D1389" s="15" t="s">
        <v>132</v>
      </c>
      <c r="E1389" s="15" t="s">
        <v>491</v>
      </c>
      <c r="F1389" s="15">
        <v>3</v>
      </c>
      <c r="G1389" s="15">
        <v>3</v>
      </c>
    </row>
    <row r="1390" spans="1:7" x14ac:dyDescent="0.25">
      <c r="A1390" s="15" t="s">
        <v>1104</v>
      </c>
      <c r="B1390" s="15" t="s">
        <v>1105</v>
      </c>
      <c r="C1390" s="16">
        <v>1319.15</v>
      </c>
      <c r="D1390" s="15" t="s">
        <v>325</v>
      </c>
      <c r="E1390" s="15" t="s">
        <v>1114</v>
      </c>
      <c r="F1390" s="15">
        <v>184</v>
      </c>
      <c r="G1390" s="15">
        <v>184</v>
      </c>
    </row>
    <row r="1391" spans="1:7" x14ac:dyDescent="0.25">
      <c r="A1391" s="15" t="s">
        <v>1104</v>
      </c>
      <c r="B1391" s="15" t="s">
        <v>1105</v>
      </c>
      <c r="C1391" s="16">
        <v>274.45</v>
      </c>
      <c r="D1391" s="15" t="s">
        <v>67</v>
      </c>
      <c r="E1391" s="15" t="s">
        <v>1115</v>
      </c>
      <c r="F1391" s="15">
        <v>23</v>
      </c>
      <c r="G1391" s="15">
        <v>23</v>
      </c>
    </row>
    <row r="1392" spans="1:7" x14ac:dyDescent="0.25">
      <c r="A1392" s="15" t="s">
        <v>1104</v>
      </c>
      <c r="B1392" s="15" t="s">
        <v>1105</v>
      </c>
      <c r="C1392" s="16">
        <v>184.6</v>
      </c>
      <c r="D1392" s="15" t="s">
        <v>80</v>
      </c>
      <c r="E1392" s="15" t="s">
        <v>392</v>
      </c>
      <c r="F1392" s="15">
        <v>71</v>
      </c>
      <c r="G1392" s="15">
        <v>71</v>
      </c>
    </row>
    <row r="1393" spans="1:7" x14ac:dyDescent="0.25">
      <c r="A1393" s="15" t="s">
        <v>1104</v>
      </c>
      <c r="B1393" s="15" t="s">
        <v>1105</v>
      </c>
      <c r="C1393" s="16">
        <v>2.1</v>
      </c>
      <c r="D1393" s="15" t="s">
        <v>393</v>
      </c>
      <c r="E1393" s="15" t="s">
        <v>394</v>
      </c>
      <c r="F1393" s="15">
        <v>7</v>
      </c>
      <c r="G1393" s="15">
        <v>7</v>
      </c>
    </row>
    <row r="1394" spans="1:7" x14ac:dyDescent="0.25">
      <c r="A1394" s="15" t="s">
        <v>1116</v>
      </c>
      <c r="B1394" s="15" t="s">
        <v>1117</v>
      </c>
      <c r="C1394" s="16">
        <v>837.39</v>
      </c>
      <c r="D1394" s="15" t="s">
        <v>1118</v>
      </c>
      <c r="E1394" s="15" t="s">
        <v>1119</v>
      </c>
      <c r="F1394" s="15">
        <v>176</v>
      </c>
      <c r="G1394" s="15">
        <v>176</v>
      </c>
    </row>
    <row r="1395" spans="1:7" x14ac:dyDescent="0.25">
      <c r="A1395" s="15" t="s">
        <v>1116</v>
      </c>
      <c r="B1395" s="15" t="s">
        <v>1117</v>
      </c>
      <c r="C1395" s="16">
        <v>66.400000000000006</v>
      </c>
      <c r="D1395" s="15" t="s">
        <v>80</v>
      </c>
      <c r="E1395" s="15" t="s">
        <v>927</v>
      </c>
      <c r="F1395" s="15">
        <v>4</v>
      </c>
      <c r="G1395" s="15">
        <v>4</v>
      </c>
    </row>
    <row r="1396" spans="1:7" x14ac:dyDescent="0.25">
      <c r="A1396" s="15" t="s">
        <v>1116</v>
      </c>
      <c r="B1396" s="15" t="s">
        <v>1117</v>
      </c>
      <c r="C1396" s="16">
        <v>25.1</v>
      </c>
      <c r="D1396" s="15" t="s">
        <v>1120</v>
      </c>
      <c r="E1396" s="15" t="s">
        <v>1121</v>
      </c>
      <c r="F1396" s="15">
        <v>1</v>
      </c>
      <c r="G1396" s="15">
        <v>1</v>
      </c>
    </row>
    <row r="1397" spans="1:7" x14ac:dyDescent="0.25">
      <c r="A1397" s="15" t="s">
        <v>1116</v>
      </c>
      <c r="B1397" s="15" t="s">
        <v>1117</v>
      </c>
      <c r="C1397" s="16">
        <v>50.39</v>
      </c>
      <c r="D1397" s="15" t="s">
        <v>269</v>
      </c>
      <c r="E1397" s="15" t="s">
        <v>1122</v>
      </c>
      <c r="F1397" s="15">
        <v>2</v>
      </c>
      <c r="G1397" s="15">
        <v>2</v>
      </c>
    </row>
    <row r="1398" spans="1:7" x14ac:dyDescent="0.25">
      <c r="A1398" s="15" t="s">
        <v>1116</v>
      </c>
      <c r="B1398" s="15" t="s">
        <v>1117</v>
      </c>
      <c r="C1398" s="16">
        <v>42.26</v>
      </c>
      <c r="D1398" s="15" t="s">
        <v>88</v>
      </c>
      <c r="E1398" s="15" t="s">
        <v>89</v>
      </c>
      <c r="F1398" s="15">
        <v>11</v>
      </c>
      <c r="G1398" s="15">
        <v>11</v>
      </c>
    </row>
    <row r="1399" spans="1:7" x14ac:dyDescent="0.25">
      <c r="A1399" s="15" t="s">
        <v>1116</v>
      </c>
      <c r="B1399" s="15" t="s">
        <v>1117</v>
      </c>
      <c r="C1399" s="16">
        <v>152.4</v>
      </c>
      <c r="D1399" s="15" t="s">
        <v>220</v>
      </c>
      <c r="E1399" s="15" t="s">
        <v>221</v>
      </c>
      <c r="F1399" s="15">
        <v>28</v>
      </c>
      <c r="G1399" s="15">
        <v>28</v>
      </c>
    </row>
    <row r="1400" spans="1:7" x14ac:dyDescent="0.25">
      <c r="A1400" s="15" t="s">
        <v>1116</v>
      </c>
      <c r="B1400" s="15" t="s">
        <v>1117</v>
      </c>
      <c r="C1400" s="16">
        <v>47.3</v>
      </c>
      <c r="D1400" s="15" t="s">
        <v>275</v>
      </c>
      <c r="E1400" s="15" t="s">
        <v>936</v>
      </c>
      <c r="F1400" s="15">
        <v>9</v>
      </c>
      <c r="G1400" s="15">
        <v>9</v>
      </c>
    </row>
    <row r="1401" spans="1:7" x14ac:dyDescent="0.25">
      <c r="A1401" s="15" t="s">
        <v>1116</v>
      </c>
      <c r="B1401" s="15" t="s">
        <v>1117</v>
      </c>
      <c r="C1401" s="16">
        <v>5.0599999999999996</v>
      </c>
      <c r="D1401" s="15" t="s">
        <v>1051</v>
      </c>
      <c r="E1401" s="15" t="s">
        <v>1052</v>
      </c>
      <c r="F1401" s="15">
        <v>1</v>
      </c>
      <c r="G1401" s="15">
        <v>1</v>
      </c>
    </row>
    <row r="1402" spans="1:7" x14ac:dyDescent="0.25">
      <c r="A1402" s="15" t="s">
        <v>1116</v>
      </c>
      <c r="B1402" s="15" t="s">
        <v>1117</v>
      </c>
      <c r="C1402" s="16">
        <v>46.24</v>
      </c>
      <c r="D1402" s="15" t="s">
        <v>940</v>
      </c>
      <c r="E1402" s="15" t="s">
        <v>941</v>
      </c>
      <c r="F1402" s="15">
        <v>4</v>
      </c>
      <c r="G1402" s="15">
        <v>4</v>
      </c>
    </row>
    <row r="1403" spans="1:7" x14ac:dyDescent="0.25">
      <c r="A1403" s="15" t="s">
        <v>1116</v>
      </c>
      <c r="B1403" s="15" t="s">
        <v>1117</v>
      </c>
      <c r="C1403" s="16">
        <v>4.4400000000000004</v>
      </c>
      <c r="D1403" s="15" t="s">
        <v>93</v>
      </c>
      <c r="E1403" s="15" t="s">
        <v>94</v>
      </c>
      <c r="F1403" s="15">
        <v>2</v>
      </c>
      <c r="G1403" s="15">
        <v>2</v>
      </c>
    </row>
    <row r="1404" spans="1:7" x14ac:dyDescent="0.25">
      <c r="A1404" s="15" t="s">
        <v>1116</v>
      </c>
      <c r="B1404" s="15" t="s">
        <v>1117</v>
      </c>
      <c r="C1404" s="16">
        <v>399.28</v>
      </c>
      <c r="D1404" s="15" t="s">
        <v>90</v>
      </c>
      <c r="E1404" s="15" t="s">
        <v>1123</v>
      </c>
      <c r="F1404" s="15">
        <v>49</v>
      </c>
      <c r="G1404" s="15">
        <v>49</v>
      </c>
    </row>
    <row r="1405" spans="1:7" x14ac:dyDescent="0.25">
      <c r="A1405" s="15" t="s">
        <v>1116</v>
      </c>
      <c r="B1405" s="15" t="s">
        <v>1117</v>
      </c>
      <c r="C1405" s="16">
        <v>115.7</v>
      </c>
      <c r="D1405" s="15" t="s">
        <v>121</v>
      </c>
      <c r="E1405" s="15" t="s">
        <v>122</v>
      </c>
      <c r="F1405" s="15">
        <v>11</v>
      </c>
      <c r="G1405" s="15">
        <v>11</v>
      </c>
    </row>
    <row r="1406" spans="1:7" x14ac:dyDescent="0.25">
      <c r="A1406" s="15" t="s">
        <v>1116</v>
      </c>
      <c r="B1406" s="15" t="s">
        <v>1117</v>
      </c>
      <c r="C1406" s="16">
        <v>22.14</v>
      </c>
      <c r="D1406" s="15" t="s">
        <v>994</v>
      </c>
      <c r="E1406" s="15" t="s">
        <v>1124</v>
      </c>
      <c r="F1406" s="15">
        <v>3</v>
      </c>
      <c r="G1406" s="15">
        <v>3</v>
      </c>
    </row>
    <row r="1407" spans="1:7" x14ac:dyDescent="0.25">
      <c r="A1407" s="15" t="s">
        <v>1116</v>
      </c>
      <c r="B1407" s="15" t="s">
        <v>1117</v>
      </c>
      <c r="C1407" s="16">
        <v>59.28</v>
      </c>
      <c r="D1407" s="15" t="s">
        <v>101</v>
      </c>
      <c r="E1407" s="15" t="s">
        <v>1053</v>
      </c>
      <c r="F1407" s="15">
        <v>4</v>
      </c>
      <c r="G1407" s="15">
        <v>4</v>
      </c>
    </row>
    <row r="1408" spans="1:7" x14ac:dyDescent="0.25">
      <c r="A1408" s="15" t="s">
        <v>1116</v>
      </c>
      <c r="B1408" s="15" t="s">
        <v>1117</v>
      </c>
      <c r="C1408" s="16">
        <v>42.64</v>
      </c>
      <c r="D1408" s="15" t="s">
        <v>98</v>
      </c>
      <c r="E1408" s="15" t="s">
        <v>99</v>
      </c>
      <c r="F1408" s="15">
        <v>4</v>
      </c>
      <c r="G1408" s="15">
        <v>4</v>
      </c>
    </row>
    <row r="1409" spans="1:7" x14ac:dyDescent="0.25">
      <c r="A1409" s="15" t="s">
        <v>1116</v>
      </c>
      <c r="B1409" s="15" t="s">
        <v>1117</v>
      </c>
      <c r="C1409" s="16">
        <v>48.24</v>
      </c>
      <c r="D1409" s="15" t="s">
        <v>80</v>
      </c>
      <c r="E1409" s="15" t="s">
        <v>943</v>
      </c>
      <c r="F1409" s="15">
        <v>5</v>
      </c>
      <c r="G1409" s="15">
        <v>5</v>
      </c>
    </row>
    <row r="1410" spans="1:7" x14ac:dyDescent="0.25">
      <c r="A1410" s="15" t="s">
        <v>1116</v>
      </c>
      <c r="B1410" s="15" t="s">
        <v>1117</v>
      </c>
      <c r="C1410" s="16">
        <v>171.67</v>
      </c>
      <c r="D1410" s="15" t="s">
        <v>86</v>
      </c>
      <c r="E1410" s="15" t="s">
        <v>87</v>
      </c>
      <c r="F1410" s="15">
        <v>24</v>
      </c>
      <c r="G1410" s="15">
        <v>24</v>
      </c>
    </row>
    <row r="1411" spans="1:7" x14ac:dyDescent="0.25">
      <c r="A1411" s="15" t="s">
        <v>1116</v>
      </c>
      <c r="B1411" s="15" t="s">
        <v>1117</v>
      </c>
      <c r="C1411" s="16">
        <v>4.68</v>
      </c>
      <c r="D1411" s="15" t="s">
        <v>447</v>
      </c>
      <c r="E1411" s="15" t="s">
        <v>1125</v>
      </c>
      <c r="F1411" s="15">
        <v>1</v>
      </c>
      <c r="G1411" s="15">
        <v>1</v>
      </c>
    </row>
    <row r="1412" spans="1:7" x14ac:dyDescent="0.25">
      <c r="A1412" s="15" t="s">
        <v>1116</v>
      </c>
      <c r="B1412" s="15" t="s">
        <v>1117</v>
      </c>
      <c r="C1412" s="16">
        <v>35.159999999999997</v>
      </c>
      <c r="D1412" s="15" t="s">
        <v>567</v>
      </c>
      <c r="E1412" s="15" t="s">
        <v>1056</v>
      </c>
      <c r="F1412" s="15">
        <v>9</v>
      </c>
      <c r="G1412" s="15">
        <v>9</v>
      </c>
    </row>
    <row r="1413" spans="1:7" x14ac:dyDescent="0.25">
      <c r="A1413" s="15" t="s">
        <v>1116</v>
      </c>
      <c r="B1413" s="15" t="s">
        <v>1117</v>
      </c>
      <c r="C1413" s="16">
        <v>73.319999999999993</v>
      </c>
      <c r="D1413" s="15" t="s">
        <v>67</v>
      </c>
      <c r="E1413" s="15" t="s">
        <v>79</v>
      </c>
      <c r="F1413" s="15">
        <v>11</v>
      </c>
      <c r="G1413" s="15">
        <v>11</v>
      </c>
    </row>
    <row r="1414" spans="1:7" x14ac:dyDescent="0.25">
      <c r="A1414" s="15" t="s">
        <v>1116</v>
      </c>
      <c r="B1414" s="15" t="s">
        <v>1117</v>
      </c>
      <c r="C1414" s="16">
        <v>78</v>
      </c>
      <c r="D1414" s="15" t="s">
        <v>283</v>
      </c>
      <c r="E1414" s="15" t="s">
        <v>1126</v>
      </c>
      <c r="F1414" s="15">
        <v>2</v>
      </c>
      <c r="G1414" s="15">
        <v>2</v>
      </c>
    </row>
    <row r="1415" spans="1:7" x14ac:dyDescent="0.25">
      <c r="A1415" s="15" t="s">
        <v>1116</v>
      </c>
      <c r="B1415" s="15" t="s">
        <v>1117</v>
      </c>
      <c r="C1415" s="16">
        <v>209.85</v>
      </c>
      <c r="D1415" s="15" t="s">
        <v>100</v>
      </c>
      <c r="E1415" s="15" t="s">
        <v>949</v>
      </c>
      <c r="F1415" s="15">
        <v>47</v>
      </c>
      <c r="G1415" s="15">
        <v>47</v>
      </c>
    </row>
    <row r="1416" spans="1:7" x14ac:dyDescent="0.25">
      <c r="A1416" s="15" t="s">
        <v>1116</v>
      </c>
      <c r="B1416" s="15" t="s">
        <v>1117</v>
      </c>
      <c r="C1416" s="16">
        <v>108.32</v>
      </c>
      <c r="D1416" s="15" t="s">
        <v>1127</v>
      </c>
      <c r="E1416" s="15" t="s">
        <v>1128</v>
      </c>
      <c r="F1416" s="15">
        <v>15</v>
      </c>
      <c r="G1416" s="15">
        <v>15</v>
      </c>
    </row>
    <row r="1417" spans="1:7" x14ac:dyDescent="0.25">
      <c r="A1417" s="15" t="s">
        <v>1116</v>
      </c>
      <c r="B1417" s="15" t="s">
        <v>1117</v>
      </c>
      <c r="C1417" s="16">
        <v>3536.95</v>
      </c>
      <c r="D1417" s="15" t="s">
        <v>1129</v>
      </c>
      <c r="E1417" s="15" t="s">
        <v>112</v>
      </c>
      <c r="F1417" s="15">
        <v>176</v>
      </c>
      <c r="G1417" s="15">
        <v>176</v>
      </c>
    </row>
    <row r="1418" spans="1:7" x14ac:dyDescent="0.25">
      <c r="A1418" s="15" t="s">
        <v>1116</v>
      </c>
      <c r="B1418" s="15" t="s">
        <v>1117</v>
      </c>
      <c r="C1418" s="16">
        <v>205</v>
      </c>
      <c r="D1418" s="15" t="s">
        <v>951</v>
      </c>
      <c r="E1418" s="15" t="s">
        <v>952</v>
      </c>
      <c r="F1418" s="15">
        <v>14</v>
      </c>
      <c r="G1418" s="15">
        <v>14</v>
      </c>
    </row>
    <row r="1419" spans="1:7" x14ac:dyDescent="0.25">
      <c r="A1419" s="15" t="s">
        <v>1116</v>
      </c>
      <c r="B1419" s="15" t="s">
        <v>1117</v>
      </c>
      <c r="C1419" s="16">
        <v>61.38</v>
      </c>
      <c r="D1419" s="15" t="s">
        <v>348</v>
      </c>
      <c r="E1419" s="15" t="s">
        <v>657</v>
      </c>
      <c r="F1419" s="15">
        <v>15</v>
      </c>
      <c r="G1419" s="15">
        <v>15</v>
      </c>
    </row>
    <row r="1420" spans="1:7" x14ac:dyDescent="0.25">
      <c r="A1420" s="15" t="s">
        <v>1116</v>
      </c>
      <c r="B1420" s="15" t="s">
        <v>1117</v>
      </c>
      <c r="C1420" s="16">
        <v>2.96</v>
      </c>
      <c r="D1420" s="15" t="s">
        <v>1130</v>
      </c>
      <c r="E1420" s="15" t="s">
        <v>1131</v>
      </c>
      <c r="F1420" s="15">
        <v>1</v>
      </c>
      <c r="G1420" s="15">
        <v>1</v>
      </c>
    </row>
    <row r="1421" spans="1:7" x14ac:dyDescent="0.25">
      <c r="A1421" s="15" t="s">
        <v>1116</v>
      </c>
      <c r="B1421" s="15" t="s">
        <v>1117</v>
      </c>
      <c r="C1421" s="16">
        <v>119.8</v>
      </c>
      <c r="D1421" s="15" t="s">
        <v>117</v>
      </c>
      <c r="E1421" s="15" t="s">
        <v>118</v>
      </c>
      <c r="F1421" s="15">
        <v>10</v>
      </c>
      <c r="G1421" s="15">
        <v>10</v>
      </c>
    </row>
    <row r="1422" spans="1:7" x14ac:dyDescent="0.25">
      <c r="A1422" s="15" t="s">
        <v>1116</v>
      </c>
      <c r="B1422" s="15" t="s">
        <v>1117</v>
      </c>
      <c r="C1422" s="16">
        <v>71.040000000000006</v>
      </c>
      <c r="D1422" s="15" t="s">
        <v>179</v>
      </c>
      <c r="E1422" s="15" t="s">
        <v>1057</v>
      </c>
      <c r="F1422" s="15">
        <v>6</v>
      </c>
      <c r="G1422" s="15">
        <v>6</v>
      </c>
    </row>
    <row r="1423" spans="1:7" x14ac:dyDescent="0.25">
      <c r="A1423" s="15" t="s">
        <v>1116</v>
      </c>
      <c r="B1423" s="15" t="s">
        <v>1117</v>
      </c>
      <c r="C1423" s="16">
        <v>280.02999999999997</v>
      </c>
      <c r="D1423" s="15" t="s">
        <v>80</v>
      </c>
      <c r="E1423" s="15" t="s">
        <v>1132</v>
      </c>
      <c r="F1423" s="15">
        <v>23</v>
      </c>
      <c r="G1423" s="15">
        <v>23</v>
      </c>
    </row>
    <row r="1424" spans="1:7" x14ac:dyDescent="0.25">
      <c r="A1424" s="15" t="s">
        <v>1116</v>
      </c>
      <c r="B1424" s="15" t="s">
        <v>1117</v>
      </c>
      <c r="C1424" s="16">
        <v>82.05</v>
      </c>
      <c r="D1424" s="15" t="s">
        <v>105</v>
      </c>
      <c r="E1424" s="15" t="s">
        <v>106</v>
      </c>
      <c r="F1424" s="15">
        <v>3</v>
      </c>
      <c r="G1424" s="15">
        <v>3</v>
      </c>
    </row>
    <row r="1425" spans="1:7" x14ac:dyDescent="0.25">
      <c r="A1425" s="15" t="s">
        <v>1116</v>
      </c>
      <c r="B1425" s="15" t="s">
        <v>1117</v>
      </c>
      <c r="C1425" s="16">
        <v>51.48</v>
      </c>
      <c r="D1425" s="15" t="s">
        <v>80</v>
      </c>
      <c r="E1425" s="15" t="s">
        <v>1133</v>
      </c>
      <c r="F1425" s="15">
        <v>3</v>
      </c>
      <c r="G1425" s="15">
        <v>3</v>
      </c>
    </row>
    <row r="1426" spans="1:7" x14ac:dyDescent="0.25">
      <c r="A1426" s="15" t="s">
        <v>1116</v>
      </c>
      <c r="B1426" s="15" t="s">
        <v>1117</v>
      </c>
      <c r="C1426" s="16">
        <v>26.18</v>
      </c>
      <c r="D1426" s="15" t="s">
        <v>903</v>
      </c>
      <c r="E1426" s="15" t="s">
        <v>904</v>
      </c>
      <c r="F1426" s="15">
        <v>11</v>
      </c>
      <c r="G1426" s="15">
        <v>11</v>
      </c>
    </row>
    <row r="1427" spans="1:7" x14ac:dyDescent="0.25">
      <c r="A1427" s="15" t="s">
        <v>1116</v>
      </c>
      <c r="B1427" s="15" t="s">
        <v>1117</v>
      </c>
      <c r="C1427" s="16">
        <v>165</v>
      </c>
      <c r="D1427" s="15" t="s">
        <v>103</v>
      </c>
      <c r="E1427" s="15" t="s">
        <v>104</v>
      </c>
      <c r="F1427" s="15">
        <v>19</v>
      </c>
      <c r="G1427" s="15">
        <v>19</v>
      </c>
    </row>
    <row r="1428" spans="1:7" x14ac:dyDescent="0.25">
      <c r="A1428" s="15" t="s">
        <v>1116</v>
      </c>
      <c r="B1428" s="15" t="s">
        <v>1117</v>
      </c>
      <c r="C1428" s="16">
        <v>59.64</v>
      </c>
      <c r="D1428" s="15" t="s">
        <v>957</v>
      </c>
      <c r="E1428" s="15" t="s">
        <v>958</v>
      </c>
      <c r="F1428" s="15">
        <v>9</v>
      </c>
      <c r="G1428" s="15">
        <v>9</v>
      </c>
    </row>
    <row r="1429" spans="1:7" x14ac:dyDescent="0.25">
      <c r="A1429" s="15" t="s">
        <v>1116</v>
      </c>
      <c r="B1429" s="15" t="s">
        <v>1117</v>
      </c>
      <c r="C1429" s="16">
        <v>86.56</v>
      </c>
      <c r="D1429" s="15" t="s">
        <v>80</v>
      </c>
      <c r="E1429" s="15" t="s">
        <v>1134</v>
      </c>
      <c r="F1429" s="15">
        <v>4</v>
      </c>
      <c r="G1429" s="15">
        <v>4</v>
      </c>
    </row>
    <row r="1430" spans="1:7" x14ac:dyDescent="0.25">
      <c r="A1430" s="15" t="s">
        <v>1116</v>
      </c>
      <c r="B1430" s="15" t="s">
        <v>1117</v>
      </c>
      <c r="C1430" s="16">
        <v>7.04</v>
      </c>
      <c r="D1430" s="15" t="s">
        <v>80</v>
      </c>
      <c r="E1430" s="15" t="s">
        <v>959</v>
      </c>
      <c r="F1430" s="15">
        <v>2</v>
      </c>
      <c r="G1430" s="15">
        <v>2</v>
      </c>
    </row>
    <row r="1431" spans="1:7" x14ac:dyDescent="0.25">
      <c r="A1431" s="15" t="s">
        <v>1116</v>
      </c>
      <c r="B1431" s="15" t="s">
        <v>1117</v>
      </c>
      <c r="C1431" s="16">
        <v>21.66</v>
      </c>
      <c r="D1431" s="15" t="s">
        <v>119</v>
      </c>
      <c r="E1431" s="15" t="s">
        <v>1058</v>
      </c>
      <c r="F1431" s="15">
        <v>2</v>
      </c>
      <c r="G1431" s="15">
        <v>2</v>
      </c>
    </row>
    <row r="1432" spans="1:7" x14ac:dyDescent="0.25">
      <c r="A1432" s="15" t="s">
        <v>1116</v>
      </c>
      <c r="B1432" s="15" t="s">
        <v>1117</v>
      </c>
      <c r="C1432" s="16">
        <v>19.260000000000002</v>
      </c>
      <c r="D1432" s="15" t="s">
        <v>240</v>
      </c>
      <c r="E1432" s="15" t="s">
        <v>1135</v>
      </c>
      <c r="F1432" s="15">
        <v>9</v>
      </c>
      <c r="G1432" s="15">
        <v>9</v>
      </c>
    </row>
    <row r="1433" spans="1:7" x14ac:dyDescent="0.25">
      <c r="A1433" s="15" t="s">
        <v>1116</v>
      </c>
      <c r="B1433" s="15" t="s">
        <v>1117</v>
      </c>
      <c r="C1433" s="16">
        <v>26.67</v>
      </c>
      <c r="D1433" s="15" t="s">
        <v>95</v>
      </c>
      <c r="E1433" s="15" t="s">
        <v>96</v>
      </c>
      <c r="F1433" s="15">
        <v>7</v>
      </c>
      <c r="G1433" s="15">
        <v>7</v>
      </c>
    </row>
    <row r="1434" spans="1:7" x14ac:dyDescent="0.25">
      <c r="A1434" s="15" t="s">
        <v>1116</v>
      </c>
      <c r="B1434" s="15" t="s">
        <v>1117</v>
      </c>
      <c r="C1434" s="16">
        <v>10.44</v>
      </c>
      <c r="D1434" s="15" t="s">
        <v>965</v>
      </c>
      <c r="E1434" s="15" t="s">
        <v>966</v>
      </c>
      <c r="F1434" s="15">
        <v>3</v>
      </c>
      <c r="G1434" s="15">
        <v>3</v>
      </c>
    </row>
    <row r="1435" spans="1:7" x14ac:dyDescent="0.25">
      <c r="A1435" s="15" t="s">
        <v>1116</v>
      </c>
      <c r="B1435" s="15" t="s">
        <v>1117</v>
      </c>
      <c r="C1435" s="16">
        <v>39.72</v>
      </c>
      <c r="D1435" s="15" t="s">
        <v>80</v>
      </c>
      <c r="E1435" s="15" t="s">
        <v>415</v>
      </c>
      <c r="F1435" s="15">
        <v>4</v>
      </c>
      <c r="G1435" s="15">
        <v>4</v>
      </c>
    </row>
    <row r="1436" spans="1:7" x14ac:dyDescent="0.25">
      <c r="A1436" s="15" t="s">
        <v>1116</v>
      </c>
      <c r="B1436" s="15" t="s">
        <v>1117</v>
      </c>
      <c r="C1436" s="16">
        <v>121.42</v>
      </c>
      <c r="D1436" s="15" t="s">
        <v>107</v>
      </c>
      <c r="E1436" s="15" t="s">
        <v>108</v>
      </c>
      <c r="F1436" s="15">
        <v>13</v>
      </c>
      <c r="G1436" s="15">
        <v>13</v>
      </c>
    </row>
    <row r="1437" spans="1:7" x14ac:dyDescent="0.25">
      <c r="A1437" s="15" t="s">
        <v>1116</v>
      </c>
      <c r="B1437" s="15" t="s">
        <v>1117</v>
      </c>
      <c r="C1437" s="16">
        <v>76.8</v>
      </c>
      <c r="D1437" s="15" t="s">
        <v>970</v>
      </c>
      <c r="E1437" s="15" t="s">
        <v>971</v>
      </c>
      <c r="F1437" s="15">
        <v>3</v>
      </c>
      <c r="G1437" s="15">
        <v>3</v>
      </c>
    </row>
    <row r="1438" spans="1:7" x14ac:dyDescent="0.25">
      <c r="A1438" s="15" t="s">
        <v>1116</v>
      </c>
      <c r="B1438" s="15" t="s">
        <v>1117</v>
      </c>
      <c r="C1438" s="16">
        <v>26.95</v>
      </c>
      <c r="D1438" s="15" t="s">
        <v>80</v>
      </c>
      <c r="E1438" s="15" t="s">
        <v>974</v>
      </c>
      <c r="F1438" s="15">
        <v>5</v>
      </c>
      <c r="G1438" s="15">
        <v>5</v>
      </c>
    </row>
    <row r="1439" spans="1:7" x14ac:dyDescent="0.25">
      <c r="A1439" s="15" t="s">
        <v>1116</v>
      </c>
      <c r="B1439" s="15" t="s">
        <v>1117</v>
      </c>
      <c r="C1439" s="16">
        <v>60.56</v>
      </c>
      <c r="D1439" s="15" t="s">
        <v>134</v>
      </c>
      <c r="E1439" s="15" t="s">
        <v>1060</v>
      </c>
      <c r="F1439" s="15">
        <v>17</v>
      </c>
      <c r="G1439" s="15">
        <v>17</v>
      </c>
    </row>
    <row r="1440" spans="1:7" x14ac:dyDescent="0.25">
      <c r="A1440" s="15" t="s">
        <v>1116</v>
      </c>
      <c r="B1440" s="15" t="s">
        <v>1117</v>
      </c>
      <c r="C1440" s="16">
        <v>138.88</v>
      </c>
      <c r="D1440" s="15" t="s">
        <v>77</v>
      </c>
      <c r="E1440" s="15" t="s">
        <v>78</v>
      </c>
      <c r="F1440" s="15">
        <v>10</v>
      </c>
      <c r="G1440" s="15">
        <v>10</v>
      </c>
    </row>
    <row r="1441" spans="1:7" x14ac:dyDescent="0.25">
      <c r="A1441" s="15" t="s">
        <v>1116</v>
      </c>
      <c r="B1441" s="15" t="s">
        <v>1117</v>
      </c>
      <c r="C1441" s="16">
        <v>703.5</v>
      </c>
      <c r="D1441" s="15" t="s">
        <v>313</v>
      </c>
      <c r="E1441" s="15" t="s">
        <v>180</v>
      </c>
      <c r="F1441" s="15">
        <v>7</v>
      </c>
      <c r="G1441" s="15">
        <v>7</v>
      </c>
    </row>
    <row r="1442" spans="1:7" x14ac:dyDescent="0.25">
      <c r="A1442" s="15" t="s">
        <v>1116</v>
      </c>
      <c r="B1442" s="15" t="s">
        <v>1117</v>
      </c>
      <c r="C1442" s="16">
        <v>97.28</v>
      </c>
      <c r="D1442" s="15" t="s">
        <v>602</v>
      </c>
      <c r="E1442" s="15" t="s">
        <v>1136</v>
      </c>
      <c r="F1442" s="15">
        <v>76</v>
      </c>
      <c r="G1442" s="15">
        <v>76</v>
      </c>
    </row>
    <row r="1443" spans="1:7" x14ac:dyDescent="0.25">
      <c r="A1443" s="15" t="s">
        <v>1116</v>
      </c>
      <c r="B1443" s="15" t="s">
        <v>1117</v>
      </c>
      <c r="C1443" s="16">
        <v>2.75</v>
      </c>
      <c r="D1443" s="15" t="s">
        <v>75</v>
      </c>
      <c r="E1443" s="15" t="s">
        <v>76</v>
      </c>
      <c r="F1443" s="15">
        <v>2</v>
      </c>
      <c r="G1443" s="15">
        <v>2</v>
      </c>
    </row>
    <row r="1444" spans="1:7" x14ac:dyDescent="0.25">
      <c r="A1444" s="15" t="s">
        <v>1116</v>
      </c>
      <c r="B1444" s="15" t="s">
        <v>1117</v>
      </c>
      <c r="C1444" s="16">
        <v>124.12</v>
      </c>
      <c r="D1444" s="15" t="s">
        <v>154</v>
      </c>
      <c r="E1444" s="15" t="s">
        <v>983</v>
      </c>
      <c r="F1444" s="15">
        <v>42</v>
      </c>
      <c r="G1444" s="15">
        <v>42</v>
      </c>
    </row>
    <row r="1445" spans="1:7" x14ac:dyDescent="0.25">
      <c r="A1445" s="15" t="s">
        <v>1116</v>
      </c>
      <c r="B1445" s="15" t="s">
        <v>1117</v>
      </c>
      <c r="C1445" s="16">
        <v>20.54</v>
      </c>
      <c r="D1445" s="15" t="s">
        <v>80</v>
      </c>
      <c r="E1445" s="15" t="s">
        <v>1137</v>
      </c>
      <c r="F1445" s="15">
        <v>2</v>
      </c>
      <c r="G1445" s="15">
        <v>2</v>
      </c>
    </row>
    <row r="1446" spans="1:7" x14ac:dyDescent="0.25">
      <c r="A1446" s="15" t="s">
        <v>1116</v>
      </c>
      <c r="B1446" s="15" t="s">
        <v>1117</v>
      </c>
      <c r="C1446" s="16">
        <v>64.19</v>
      </c>
      <c r="D1446" s="15" t="s">
        <v>993</v>
      </c>
      <c r="E1446" s="15" t="s">
        <v>74</v>
      </c>
      <c r="F1446" s="15">
        <v>16</v>
      </c>
      <c r="G1446" s="15">
        <v>16</v>
      </c>
    </row>
    <row r="1447" spans="1:7" x14ac:dyDescent="0.25">
      <c r="A1447" s="15" t="s">
        <v>1116</v>
      </c>
      <c r="B1447" s="15" t="s">
        <v>1117</v>
      </c>
      <c r="C1447" s="16">
        <v>10.44</v>
      </c>
      <c r="D1447" s="15" t="s">
        <v>453</v>
      </c>
      <c r="E1447" s="15" t="s">
        <v>454</v>
      </c>
      <c r="F1447" s="15">
        <v>5</v>
      </c>
      <c r="G1447" s="15">
        <v>5</v>
      </c>
    </row>
    <row r="1448" spans="1:7" x14ac:dyDescent="0.25">
      <c r="A1448" s="15" t="s">
        <v>1116</v>
      </c>
      <c r="B1448" s="15" t="s">
        <v>1117</v>
      </c>
      <c r="C1448" s="16">
        <v>110.41</v>
      </c>
      <c r="D1448" s="15" t="s">
        <v>138</v>
      </c>
      <c r="E1448" s="15" t="s">
        <v>139</v>
      </c>
      <c r="F1448" s="15">
        <v>8</v>
      </c>
      <c r="G1448" s="15">
        <v>8</v>
      </c>
    </row>
    <row r="1449" spans="1:7" x14ac:dyDescent="0.25">
      <c r="A1449" s="15" t="s">
        <v>1116</v>
      </c>
      <c r="B1449" s="15" t="s">
        <v>1117</v>
      </c>
      <c r="C1449" s="16">
        <v>179.27</v>
      </c>
      <c r="D1449" s="15" t="s">
        <v>123</v>
      </c>
      <c r="E1449" s="15" t="s">
        <v>1138</v>
      </c>
      <c r="F1449" s="15">
        <v>22</v>
      </c>
      <c r="G1449" s="15">
        <v>22</v>
      </c>
    </row>
    <row r="1450" spans="1:7" x14ac:dyDescent="0.25">
      <c r="A1450" s="15" t="s">
        <v>1116</v>
      </c>
      <c r="B1450" s="15" t="s">
        <v>1117</v>
      </c>
      <c r="C1450" s="16">
        <v>21.24</v>
      </c>
      <c r="D1450" s="15" t="s">
        <v>179</v>
      </c>
      <c r="E1450" s="15" t="s">
        <v>1002</v>
      </c>
      <c r="F1450" s="15">
        <v>7</v>
      </c>
      <c r="G1450" s="15">
        <v>7</v>
      </c>
    </row>
    <row r="1451" spans="1:7" x14ac:dyDescent="0.25">
      <c r="A1451" s="15" t="s">
        <v>1116</v>
      </c>
      <c r="B1451" s="15" t="s">
        <v>1117</v>
      </c>
      <c r="C1451" s="16">
        <v>32.82</v>
      </c>
      <c r="D1451" s="15" t="s">
        <v>90</v>
      </c>
      <c r="E1451" s="15" t="s">
        <v>1139</v>
      </c>
      <c r="F1451" s="15">
        <v>3</v>
      </c>
      <c r="G1451" s="15">
        <v>3</v>
      </c>
    </row>
    <row r="1452" spans="1:7" x14ac:dyDescent="0.25">
      <c r="A1452" s="15" t="s">
        <v>1116</v>
      </c>
      <c r="B1452" s="15" t="s">
        <v>1117</v>
      </c>
      <c r="C1452" s="16">
        <v>137.34</v>
      </c>
      <c r="D1452" s="15" t="s">
        <v>1068</v>
      </c>
      <c r="E1452" s="15" t="s">
        <v>1069</v>
      </c>
      <c r="F1452" s="15">
        <v>21</v>
      </c>
      <c r="G1452" s="15">
        <v>21</v>
      </c>
    </row>
    <row r="1453" spans="1:7" x14ac:dyDescent="0.25">
      <c r="A1453" s="15" t="s">
        <v>1116</v>
      </c>
      <c r="B1453" s="15" t="s">
        <v>1117</v>
      </c>
      <c r="C1453" s="16">
        <v>105.78</v>
      </c>
      <c r="D1453" s="15" t="s">
        <v>1071</v>
      </c>
      <c r="E1453" s="15" t="s">
        <v>1072</v>
      </c>
      <c r="F1453" s="15">
        <v>36</v>
      </c>
      <c r="G1453" s="15">
        <v>36</v>
      </c>
    </row>
    <row r="1454" spans="1:7" x14ac:dyDescent="0.25">
      <c r="A1454" s="15" t="s">
        <v>1116</v>
      </c>
      <c r="B1454" s="15" t="s">
        <v>1117</v>
      </c>
      <c r="C1454" s="16">
        <v>142.34</v>
      </c>
      <c r="D1454" s="15" t="s">
        <v>80</v>
      </c>
      <c r="E1454" s="15" t="s">
        <v>1009</v>
      </c>
      <c r="F1454" s="15">
        <v>53</v>
      </c>
      <c r="G1454" s="15">
        <v>53</v>
      </c>
    </row>
    <row r="1455" spans="1:7" x14ac:dyDescent="0.25">
      <c r="A1455" s="15" t="s">
        <v>1116</v>
      </c>
      <c r="B1455" s="15" t="s">
        <v>1117</v>
      </c>
      <c r="C1455" s="16">
        <v>1.7</v>
      </c>
      <c r="D1455" s="15" t="s">
        <v>984</v>
      </c>
      <c r="E1455" s="15" t="s">
        <v>1140</v>
      </c>
      <c r="F1455" s="15">
        <v>1</v>
      </c>
      <c r="G1455" s="15">
        <v>1</v>
      </c>
    </row>
    <row r="1456" spans="1:7" x14ac:dyDescent="0.25">
      <c r="A1456" s="15" t="s">
        <v>1141</v>
      </c>
      <c r="B1456" s="15" t="s">
        <v>1142</v>
      </c>
      <c r="C1456" s="16">
        <v>8.5500000000000007</v>
      </c>
      <c r="D1456" s="15" t="s">
        <v>295</v>
      </c>
      <c r="E1456" s="15" t="s">
        <v>433</v>
      </c>
      <c r="F1456" s="15">
        <v>4</v>
      </c>
      <c r="G1456" s="15">
        <v>4</v>
      </c>
    </row>
    <row r="1457" spans="1:7" x14ac:dyDescent="0.25">
      <c r="A1457" s="15" t="s">
        <v>1141</v>
      </c>
      <c r="B1457" s="15" t="s">
        <v>1142</v>
      </c>
      <c r="C1457" s="16">
        <v>39.5</v>
      </c>
      <c r="D1457" s="15" t="s">
        <v>399</v>
      </c>
      <c r="E1457" s="15" t="s">
        <v>508</v>
      </c>
      <c r="F1457" s="15">
        <v>4</v>
      </c>
      <c r="G1457" s="15">
        <v>4</v>
      </c>
    </row>
    <row r="1458" spans="1:7" x14ac:dyDescent="0.25">
      <c r="A1458" s="15" t="s">
        <v>1141</v>
      </c>
      <c r="B1458" s="15" t="s">
        <v>1142</v>
      </c>
      <c r="C1458" s="16">
        <v>321.8</v>
      </c>
      <c r="D1458" s="15" t="s">
        <v>90</v>
      </c>
      <c r="E1458" s="15" t="s">
        <v>401</v>
      </c>
      <c r="F1458" s="15">
        <v>67</v>
      </c>
      <c r="G1458" s="15">
        <v>67</v>
      </c>
    </row>
    <row r="1459" spans="1:7" x14ac:dyDescent="0.25">
      <c r="A1459" s="15" t="s">
        <v>1141</v>
      </c>
      <c r="B1459" s="15" t="s">
        <v>1142</v>
      </c>
      <c r="C1459" s="16">
        <v>2.8</v>
      </c>
      <c r="D1459" s="15" t="s">
        <v>511</v>
      </c>
      <c r="E1459" s="15" t="s">
        <v>512</v>
      </c>
      <c r="F1459" s="15">
        <v>2</v>
      </c>
      <c r="G1459" s="15">
        <v>2</v>
      </c>
    </row>
    <row r="1460" spans="1:7" x14ac:dyDescent="0.25">
      <c r="A1460" s="15" t="s">
        <v>1141</v>
      </c>
      <c r="B1460" s="15" t="s">
        <v>1142</v>
      </c>
      <c r="C1460" s="16">
        <v>215.05</v>
      </c>
      <c r="D1460" s="15" t="s">
        <v>719</v>
      </c>
      <c r="E1460" s="15" t="s">
        <v>720</v>
      </c>
      <c r="F1460" s="15">
        <v>63</v>
      </c>
      <c r="G1460" s="15">
        <v>63</v>
      </c>
    </row>
    <row r="1461" spans="1:7" x14ac:dyDescent="0.25">
      <c r="A1461" s="15" t="s">
        <v>1141</v>
      </c>
      <c r="B1461" s="15" t="s">
        <v>1142</v>
      </c>
      <c r="C1461" s="16">
        <v>17.04</v>
      </c>
      <c r="D1461" s="15" t="s">
        <v>435</v>
      </c>
      <c r="E1461" s="15" t="s">
        <v>436</v>
      </c>
      <c r="F1461" s="15">
        <v>3</v>
      </c>
      <c r="G1461" s="15">
        <v>3</v>
      </c>
    </row>
    <row r="1462" spans="1:7" x14ac:dyDescent="0.25">
      <c r="A1462" s="15" t="s">
        <v>1141</v>
      </c>
      <c r="B1462" s="15" t="s">
        <v>1142</v>
      </c>
      <c r="C1462" s="16">
        <v>67.73</v>
      </c>
      <c r="D1462" s="15" t="s">
        <v>132</v>
      </c>
      <c r="E1462" s="15" t="s">
        <v>133</v>
      </c>
      <c r="F1462" s="15">
        <v>13</v>
      </c>
      <c r="G1462" s="15">
        <v>13</v>
      </c>
    </row>
    <row r="1463" spans="1:7" x14ac:dyDescent="0.25">
      <c r="A1463" s="15" t="s">
        <v>1141</v>
      </c>
      <c r="B1463" s="15" t="s">
        <v>1142</v>
      </c>
      <c r="C1463" s="16">
        <v>0.8</v>
      </c>
      <c r="D1463" s="15" t="s">
        <v>527</v>
      </c>
      <c r="E1463" s="15" t="s">
        <v>528</v>
      </c>
      <c r="F1463" s="15">
        <v>2</v>
      </c>
      <c r="G1463" s="15">
        <v>2</v>
      </c>
    </row>
    <row r="1464" spans="1:7" x14ac:dyDescent="0.25">
      <c r="A1464" s="15" t="s">
        <v>1141</v>
      </c>
      <c r="B1464" s="15" t="s">
        <v>1142</v>
      </c>
      <c r="C1464" s="16">
        <v>5.92</v>
      </c>
      <c r="D1464" s="15" t="s">
        <v>529</v>
      </c>
      <c r="E1464" s="15" t="s">
        <v>530</v>
      </c>
      <c r="F1464" s="15">
        <v>2</v>
      </c>
      <c r="G1464" s="15">
        <v>2</v>
      </c>
    </row>
    <row r="1465" spans="1:7" x14ac:dyDescent="0.25">
      <c r="A1465" s="15" t="s">
        <v>1141</v>
      </c>
      <c r="B1465" s="15" t="s">
        <v>1142</v>
      </c>
      <c r="C1465" s="16">
        <v>0.25</v>
      </c>
      <c r="D1465" s="15" t="s">
        <v>724</v>
      </c>
      <c r="E1465" s="15" t="s">
        <v>725</v>
      </c>
      <c r="F1465" s="15">
        <v>1</v>
      </c>
      <c r="G1465" s="15">
        <v>1</v>
      </c>
    </row>
    <row r="1466" spans="1:7" x14ac:dyDescent="0.25">
      <c r="A1466" s="15" t="s">
        <v>1141</v>
      </c>
      <c r="B1466" s="15" t="s">
        <v>1142</v>
      </c>
      <c r="C1466" s="16">
        <v>3.2</v>
      </c>
      <c r="D1466" s="15" t="s">
        <v>228</v>
      </c>
      <c r="E1466" s="15" t="s">
        <v>444</v>
      </c>
      <c r="F1466" s="15">
        <v>1</v>
      </c>
      <c r="G1466" s="15">
        <v>1</v>
      </c>
    </row>
    <row r="1467" spans="1:7" x14ac:dyDescent="0.25">
      <c r="A1467" s="15" t="s">
        <v>1141</v>
      </c>
      <c r="B1467" s="15" t="s">
        <v>1142</v>
      </c>
      <c r="C1467" s="16">
        <v>0.95</v>
      </c>
      <c r="D1467" s="15" t="s">
        <v>412</v>
      </c>
      <c r="E1467" s="15" t="s">
        <v>413</v>
      </c>
      <c r="F1467" s="15">
        <v>1</v>
      </c>
      <c r="G1467" s="15">
        <v>1</v>
      </c>
    </row>
    <row r="1468" spans="1:7" x14ac:dyDescent="0.25">
      <c r="A1468" s="15" t="s">
        <v>1141</v>
      </c>
      <c r="B1468" s="15" t="s">
        <v>1142</v>
      </c>
      <c r="C1468" s="16">
        <v>2.8</v>
      </c>
      <c r="D1468" s="15" t="s">
        <v>82</v>
      </c>
      <c r="E1468" s="15" t="s">
        <v>1143</v>
      </c>
      <c r="F1468" s="15">
        <v>1</v>
      </c>
      <c r="G1468" s="15">
        <v>1</v>
      </c>
    </row>
    <row r="1469" spans="1:7" x14ac:dyDescent="0.25">
      <c r="A1469" s="15" t="s">
        <v>1141</v>
      </c>
      <c r="B1469" s="15" t="s">
        <v>1142</v>
      </c>
      <c r="C1469" s="16">
        <v>5.9</v>
      </c>
      <c r="D1469" s="15" t="s">
        <v>80</v>
      </c>
      <c r="E1469" s="15" t="s">
        <v>543</v>
      </c>
      <c r="F1469" s="15">
        <v>1</v>
      </c>
      <c r="G1469" s="15">
        <v>1</v>
      </c>
    </row>
    <row r="1470" spans="1:7" x14ac:dyDescent="0.25">
      <c r="A1470" s="15" t="s">
        <v>1141</v>
      </c>
      <c r="B1470" s="15" t="s">
        <v>1142</v>
      </c>
      <c r="C1470" s="16">
        <v>1.8</v>
      </c>
      <c r="D1470" s="15" t="s">
        <v>348</v>
      </c>
      <c r="E1470" s="15" t="s">
        <v>815</v>
      </c>
      <c r="F1470" s="15">
        <v>1</v>
      </c>
      <c r="G1470" s="15">
        <v>1</v>
      </c>
    </row>
    <row r="1471" spans="1:7" x14ac:dyDescent="0.25">
      <c r="A1471" s="15" t="s">
        <v>1141</v>
      </c>
      <c r="B1471" s="15" t="s">
        <v>1142</v>
      </c>
      <c r="C1471" s="16">
        <v>0.8</v>
      </c>
      <c r="D1471" s="15" t="s">
        <v>818</v>
      </c>
      <c r="E1471" s="15" t="s">
        <v>819</v>
      </c>
      <c r="F1471" s="15">
        <v>1</v>
      </c>
      <c r="G1471" s="15">
        <v>1</v>
      </c>
    </row>
    <row r="1472" spans="1:7" x14ac:dyDescent="0.25">
      <c r="A1472" s="15" t="s">
        <v>1141</v>
      </c>
      <c r="B1472" s="15" t="s">
        <v>1142</v>
      </c>
      <c r="C1472" s="16">
        <v>1.6</v>
      </c>
      <c r="D1472" s="15" t="s">
        <v>293</v>
      </c>
      <c r="E1472" s="15" t="s">
        <v>728</v>
      </c>
      <c r="F1472" s="15">
        <v>2</v>
      </c>
      <c r="G1472" s="15">
        <v>2</v>
      </c>
    </row>
    <row r="1473" spans="1:7" x14ac:dyDescent="0.25">
      <c r="A1473" s="15" t="s">
        <v>1141</v>
      </c>
      <c r="B1473" s="15" t="s">
        <v>1142</v>
      </c>
      <c r="C1473" s="16">
        <v>2.4</v>
      </c>
      <c r="D1473" s="15" t="s">
        <v>285</v>
      </c>
      <c r="E1473" s="15" t="s">
        <v>420</v>
      </c>
      <c r="F1473" s="15">
        <v>1</v>
      </c>
      <c r="G1473" s="15">
        <v>1</v>
      </c>
    </row>
    <row r="1474" spans="1:7" x14ac:dyDescent="0.25">
      <c r="A1474" s="15" t="s">
        <v>1141</v>
      </c>
      <c r="B1474" s="15" t="s">
        <v>1142</v>
      </c>
      <c r="C1474" s="16">
        <v>2.5</v>
      </c>
      <c r="D1474" s="15" t="s">
        <v>88</v>
      </c>
      <c r="E1474" s="15" t="s">
        <v>825</v>
      </c>
      <c r="F1474" s="15">
        <v>2</v>
      </c>
      <c r="G1474" s="15">
        <v>2</v>
      </c>
    </row>
    <row r="1475" spans="1:7" x14ac:dyDescent="0.25">
      <c r="A1475" s="15" t="s">
        <v>1141</v>
      </c>
      <c r="B1475" s="15" t="s">
        <v>1142</v>
      </c>
      <c r="C1475" s="16">
        <v>355.9</v>
      </c>
      <c r="D1475" s="15" t="s">
        <v>80</v>
      </c>
      <c r="E1475" s="15" t="s">
        <v>576</v>
      </c>
      <c r="F1475" s="15">
        <v>179</v>
      </c>
      <c r="G1475" s="15">
        <v>179</v>
      </c>
    </row>
    <row r="1476" spans="1:7" x14ac:dyDescent="0.25">
      <c r="A1476" s="15" t="s">
        <v>1141</v>
      </c>
      <c r="B1476" s="15" t="s">
        <v>1142</v>
      </c>
      <c r="C1476" s="16">
        <v>65.3</v>
      </c>
      <c r="D1476" s="15" t="s">
        <v>123</v>
      </c>
      <c r="E1476" s="15" t="s">
        <v>388</v>
      </c>
      <c r="F1476" s="15">
        <v>29</v>
      </c>
      <c r="G1476" s="15">
        <v>29</v>
      </c>
    </row>
    <row r="1477" spans="1:7" x14ac:dyDescent="0.25">
      <c r="A1477" s="15" t="s">
        <v>1141</v>
      </c>
      <c r="B1477" s="15" t="s">
        <v>1142</v>
      </c>
      <c r="C1477" s="16">
        <v>5108.75</v>
      </c>
      <c r="D1477" s="15" t="s">
        <v>424</v>
      </c>
      <c r="E1477" s="15" t="s">
        <v>425</v>
      </c>
      <c r="F1477" s="15">
        <v>334</v>
      </c>
      <c r="G1477" s="15">
        <v>334</v>
      </c>
    </row>
    <row r="1478" spans="1:7" x14ac:dyDescent="0.25">
      <c r="A1478" s="15" t="s">
        <v>1141</v>
      </c>
      <c r="B1478" s="15" t="s">
        <v>1142</v>
      </c>
      <c r="C1478" s="16">
        <v>0.66</v>
      </c>
      <c r="D1478" s="15" t="s">
        <v>183</v>
      </c>
      <c r="E1478" s="15" t="s">
        <v>195</v>
      </c>
      <c r="F1478" s="15">
        <v>1</v>
      </c>
      <c r="G1478" s="15">
        <v>1</v>
      </c>
    </row>
    <row r="1479" spans="1:7" x14ac:dyDescent="0.25">
      <c r="A1479" s="15" t="s">
        <v>1141</v>
      </c>
      <c r="B1479" s="15" t="s">
        <v>1142</v>
      </c>
      <c r="C1479" s="16">
        <v>1264.2</v>
      </c>
      <c r="D1479" s="15" t="s">
        <v>1144</v>
      </c>
      <c r="E1479" s="15" t="s">
        <v>1145</v>
      </c>
      <c r="F1479" s="15">
        <v>86</v>
      </c>
      <c r="G1479" s="15">
        <v>86</v>
      </c>
    </row>
    <row r="1480" spans="1:7" x14ac:dyDescent="0.25">
      <c r="A1480" s="15" t="s">
        <v>1146</v>
      </c>
      <c r="B1480" s="15" t="s">
        <v>1147</v>
      </c>
      <c r="C1480" s="16">
        <v>2856.1</v>
      </c>
      <c r="D1480" s="15" t="s">
        <v>226</v>
      </c>
      <c r="E1480" s="15" t="s">
        <v>398</v>
      </c>
      <c r="F1480" s="15">
        <v>29</v>
      </c>
      <c r="G1480" s="15">
        <v>29</v>
      </c>
    </row>
    <row r="1481" spans="1:7" x14ac:dyDescent="0.25">
      <c r="A1481" s="15" t="s">
        <v>1146</v>
      </c>
      <c r="B1481" s="15" t="s">
        <v>1147</v>
      </c>
      <c r="C1481" s="16">
        <v>34</v>
      </c>
      <c r="D1481" s="15" t="s">
        <v>187</v>
      </c>
      <c r="E1481" s="15" t="s">
        <v>495</v>
      </c>
      <c r="F1481" s="15">
        <v>5</v>
      </c>
      <c r="G1481" s="15">
        <v>5</v>
      </c>
    </row>
    <row r="1482" spans="1:7" x14ac:dyDescent="0.25">
      <c r="A1482" s="15" t="s">
        <v>1146</v>
      </c>
      <c r="B1482" s="15" t="s">
        <v>1147</v>
      </c>
      <c r="C1482" s="16">
        <v>32</v>
      </c>
      <c r="D1482" s="15" t="s">
        <v>248</v>
      </c>
      <c r="E1482" s="15" t="s">
        <v>496</v>
      </c>
      <c r="F1482" s="15">
        <v>10</v>
      </c>
      <c r="G1482" s="15">
        <v>10</v>
      </c>
    </row>
    <row r="1483" spans="1:7" x14ac:dyDescent="0.25">
      <c r="A1483" s="15" t="s">
        <v>1146</v>
      </c>
      <c r="B1483" s="15" t="s">
        <v>1147</v>
      </c>
      <c r="C1483" s="16">
        <v>431.1</v>
      </c>
      <c r="D1483" s="15" t="s">
        <v>123</v>
      </c>
      <c r="E1483" s="15" t="s">
        <v>847</v>
      </c>
      <c r="F1483" s="15">
        <v>14</v>
      </c>
      <c r="G1483" s="15">
        <v>14</v>
      </c>
    </row>
    <row r="1484" spans="1:7" x14ac:dyDescent="0.25">
      <c r="A1484" s="15" t="s">
        <v>1146</v>
      </c>
      <c r="B1484" s="15" t="s">
        <v>1147</v>
      </c>
      <c r="C1484" s="16">
        <v>9.4</v>
      </c>
      <c r="D1484" s="15" t="s">
        <v>431</v>
      </c>
      <c r="E1484" s="15" t="s">
        <v>432</v>
      </c>
      <c r="F1484" s="15">
        <v>2</v>
      </c>
      <c r="G1484" s="15">
        <v>2</v>
      </c>
    </row>
    <row r="1485" spans="1:7" x14ac:dyDescent="0.25">
      <c r="A1485" s="15" t="s">
        <v>1146</v>
      </c>
      <c r="B1485" s="15" t="s">
        <v>1147</v>
      </c>
      <c r="C1485" s="16">
        <v>92</v>
      </c>
      <c r="D1485" s="15" t="s">
        <v>209</v>
      </c>
      <c r="E1485" s="15" t="s">
        <v>210</v>
      </c>
      <c r="F1485" s="15">
        <v>7</v>
      </c>
      <c r="G1485" s="15">
        <v>7</v>
      </c>
    </row>
    <row r="1486" spans="1:7" x14ac:dyDescent="0.25">
      <c r="A1486" s="15" t="s">
        <v>1146</v>
      </c>
      <c r="B1486" s="15" t="s">
        <v>1147</v>
      </c>
      <c r="C1486" s="16">
        <v>54.7</v>
      </c>
      <c r="D1486" s="15" t="s">
        <v>80</v>
      </c>
      <c r="E1486" s="15" t="s">
        <v>1148</v>
      </c>
      <c r="F1486" s="15">
        <v>8</v>
      </c>
      <c r="G1486" s="15">
        <v>8</v>
      </c>
    </row>
    <row r="1487" spans="1:7" x14ac:dyDescent="0.25">
      <c r="A1487" s="15" t="s">
        <v>1146</v>
      </c>
      <c r="B1487" s="15" t="s">
        <v>1147</v>
      </c>
      <c r="C1487" s="16">
        <v>95.5</v>
      </c>
      <c r="D1487" s="15" t="s">
        <v>80</v>
      </c>
      <c r="E1487" s="15" t="s">
        <v>795</v>
      </c>
      <c r="F1487" s="15">
        <v>12</v>
      </c>
      <c r="G1487" s="15">
        <v>12</v>
      </c>
    </row>
    <row r="1488" spans="1:7" x14ac:dyDescent="0.25">
      <c r="A1488" s="15" t="s">
        <v>1146</v>
      </c>
      <c r="B1488" s="15" t="s">
        <v>1147</v>
      </c>
      <c r="C1488" s="16">
        <v>7.2</v>
      </c>
      <c r="D1488" s="15" t="s">
        <v>295</v>
      </c>
      <c r="E1488" s="15" t="s">
        <v>1149</v>
      </c>
      <c r="F1488" s="15">
        <v>2</v>
      </c>
      <c r="G1488" s="15">
        <v>2</v>
      </c>
    </row>
    <row r="1489" spans="1:7" x14ac:dyDescent="0.25">
      <c r="A1489" s="15" t="s">
        <v>1146</v>
      </c>
      <c r="B1489" s="15" t="s">
        <v>1147</v>
      </c>
      <c r="C1489" s="16">
        <v>50.4</v>
      </c>
      <c r="D1489" s="15" t="s">
        <v>651</v>
      </c>
      <c r="E1489" s="15" t="s">
        <v>1150</v>
      </c>
      <c r="F1489" s="15">
        <v>2</v>
      </c>
      <c r="G1489" s="15">
        <v>2</v>
      </c>
    </row>
    <row r="1490" spans="1:7" x14ac:dyDescent="0.25">
      <c r="A1490" s="15" t="s">
        <v>1146</v>
      </c>
      <c r="B1490" s="15" t="s">
        <v>1147</v>
      </c>
      <c r="C1490" s="16">
        <v>46.4</v>
      </c>
      <c r="D1490" s="15" t="s">
        <v>67</v>
      </c>
      <c r="E1490" s="15" t="s">
        <v>501</v>
      </c>
      <c r="F1490" s="15">
        <v>6</v>
      </c>
      <c r="G1490" s="15">
        <v>6</v>
      </c>
    </row>
    <row r="1491" spans="1:7" x14ac:dyDescent="0.25">
      <c r="A1491" s="15" t="s">
        <v>1146</v>
      </c>
      <c r="B1491" s="15" t="s">
        <v>1147</v>
      </c>
      <c r="C1491" s="16">
        <v>6.45</v>
      </c>
      <c r="D1491" s="15" t="s">
        <v>503</v>
      </c>
      <c r="E1491" s="15" t="s">
        <v>504</v>
      </c>
      <c r="F1491" s="15">
        <v>1</v>
      </c>
      <c r="G1491" s="15">
        <v>1</v>
      </c>
    </row>
    <row r="1492" spans="1:7" x14ac:dyDescent="0.25">
      <c r="A1492" s="15" t="s">
        <v>1146</v>
      </c>
      <c r="B1492" s="15" t="s">
        <v>1147</v>
      </c>
      <c r="C1492" s="16">
        <v>2.8</v>
      </c>
      <c r="D1492" s="15" t="s">
        <v>399</v>
      </c>
      <c r="E1492" s="15" t="s">
        <v>400</v>
      </c>
      <c r="F1492" s="15">
        <v>4</v>
      </c>
      <c r="G1492" s="15">
        <v>4</v>
      </c>
    </row>
    <row r="1493" spans="1:7" x14ac:dyDescent="0.25">
      <c r="A1493" s="15" t="s">
        <v>1146</v>
      </c>
      <c r="B1493" s="15" t="s">
        <v>1147</v>
      </c>
      <c r="C1493" s="16">
        <v>12.6</v>
      </c>
      <c r="D1493" s="15" t="s">
        <v>717</v>
      </c>
      <c r="E1493" s="15" t="s">
        <v>718</v>
      </c>
      <c r="F1493" s="15">
        <v>6</v>
      </c>
      <c r="G1493" s="15">
        <v>6</v>
      </c>
    </row>
    <row r="1494" spans="1:7" x14ac:dyDescent="0.25">
      <c r="A1494" s="15" t="s">
        <v>1146</v>
      </c>
      <c r="B1494" s="15" t="s">
        <v>1147</v>
      </c>
      <c r="C1494" s="16">
        <v>59.25</v>
      </c>
      <c r="D1494" s="15" t="s">
        <v>399</v>
      </c>
      <c r="E1494" s="15" t="s">
        <v>508</v>
      </c>
      <c r="F1494" s="15">
        <v>6</v>
      </c>
      <c r="G1494" s="15">
        <v>6</v>
      </c>
    </row>
    <row r="1495" spans="1:7" x14ac:dyDescent="0.25">
      <c r="A1495" s="15" t="s">
        <v>1146</v>
      </c>
      <c r="B1495" s="15" t="s">
        <v>1147</v>
      </c>
      <c r="C1495" s="16">
        <v>5.0999999999999996</v>
      </c>
      <c r="D1495" s="15" t="s">
        <v>741</v>
      </c>
      <c r="E1495" s="15" t="s">
        <v>742</v>
      </c>
      <c r="F1495" s="15">
        <v>1</v>
      </c>
      <c r="G1495" s="15">
        <v>1</v>
      </c>
    </row>
    <row r="1496" spans="1:7" x14ac:dyDescent="0.25">
      <c r="A1496" s="15" t="s">
        <v>1146</v>
      </c>
      <c r="B1496" s="15" t="s">
        <v>1147</v>
      </c>
      <c r="C1496" s="16">
        <v>52.55</v>
      </c>
      <c r="D1496" s="15" t="s">
        <v>719</v>
      </c>
      <c r="E1496" s="15" t="s">
        <v>720</v>
      </c>
      <c r="F1496" s="15">
        <v>11</v>
      </c>
      <c r="G1496" s="15">
        <v>11</v>
      </c>
    </row>
    <row r="1497" spans="1:7" x14ac:dyDescent="0.25">
      <c r="A1497" s="15" t="s">
        <v>1146</v>
      </c>
      <c r="B1497" s="15" t="s">
        <v>1147</v>
      </c>
      <c r="C1497" s="16">
        <v>25.93</v>
      </c>
      <c r="D1497" s="15" t="s">
        <v>80</v>
      </c>
      <c r="E1497" s="15" t="s">
        <v>402</v>
      </c>
      <c r="F1497" s="15">
        <v>3</v>
      </c>
      <c r="G1497" s="15">
        <v>3</v>
      </c>
    </row>
    <row r="1498" spans="1:7" x14ac:dyDescent="0.25">
      <c r="A1498" s="15" t="s">
        <v>1146</v>
      </c>
      <c r="B1498" s="15" t="s">
        <v>1147</v>
      </c>
      <c r="C1498" s="16">
        <v>10.29</v>
      </c>
      <c r="D1498" s="15" t="s">
        <v>744</v>
      </c>
      <c r="E1498" s="15" t="s">
        <v>745</v>
      </c>
      <c r="F1498" s="15">
        <v>2</v>
      </c>
      <c r="G1498" s="15">
        <v>2</v>
      </c>
    </row>
    <row r="1499" spans="1:7" x14ac:dyDescent="0.25">
      <c r="A1499" s="15" t="s">
        <v>1146</v>
      </c>
      <c r="B1499" s="15" t="s">
        <v>1147</v>
      </c>
      <c r="C1499" s="16">
        <v>26.1</v>
      </c>
      <c r="D1499" s="15" t="s">
        <v>325</v>
      </c>
      <c r="E1499" s="15" t="s">
        <v>1151</v>
      </c>
      <c r="F1499" s="15">
        <v>4</v>
      </c>
      <c r="G1499" s="15">
        <v>4</v>
      </c>
    </row>
    <row r="1500" spans="1:7" x14ac:dyDescent="0.25">
      <c r="A1500" s="15" t="s">
        <v>1146</v>
      </c>
      <c r="B1500" s="15" t="s">
        <v>1147</v>
      </c>
      <c r="C1500" s="16">
        <v>33.6</v>
      </c>
      <c r="D1500" s="15" t="s">
        <v>509</v>
      </c>
      <c r="E1500" s="15" t="s">
        <v>797</v>
      </c>
      <c r="F1500" s="15">
        <v>3</v>
      </c>
      <c r="G1500" s="15">
        <v>3</v>
      </c>
    </row>
    <row r="1501" spans="1:7" x14ac:dyDescent="0.25">
      <c r="A1501" s="15" t="s">
        <v>1146</v>
      </c>
      <c r="B1501" s="15" t="s">
        <v>1147</v>
      </c>
      <c r="C1501" s="16">
        <v>129.76</v>
      </c>
      <c r="D1501" s="15" t="s">
        <v>435</v>
      </c>
      <c r="E1501" s="15" t="s">
        <v>436</v>
      </c>
      <c r="F1501" s="15">
        <v>13</v>
      </c>
      <c r="G1501" s="15">
        <v>13</v>
      </c>
    </row>
    <row r="1502" spans="1:7" x14ac:dyDescent="0.25">
      <c r="A1502" s="15" t="s">
        <v>1146</v>
      </c>
      <c r="B1502" s="15" t="s">
        <v>1147</v>
      </c>
      <c r="C1502" s="16">
        <v>273</v>
      </c>
      <c r="D1502" s="15" t="s">
        <v>269</v>
      </c>
      <c r="E1502" s="15" t="s">
        <v>1152</v>
      </c>
      <c r="F1502" s="15">
        <v>4</v>
      </c>
      <c r="G1502" s="15">
        <v>4</v>
      </c>
    </row>
    <row r="1503" spans="1:7" x14ac:dyDescent="0.25">
      <c r="A1503" s="15" t="s">
        <v>1146</v>
      </c>
      <c r="B1503" s="15" t="s">
        <v>1147</v>
      </c>
      <c r="C1503" s="16">
        <v>124.1</v>
      </c>
      <c r="D1503" s="15" t="s">
        <v>513</v>
      </c>
      <c r="E1503" s="15" t="s">
        <v>514</v>
      </c>
      <c r="F1503" s="15">
        <v>7</v>
      </c>
      <c r="G1503" s="15">
        <v>7</v>
      </c>
    </row>
    <row r="1504" spans="1:7" x14ac:dyDescent="0.25">
      <c r="A1504" s="15" t="s">
        <v>1146</v>
      </c>
      <c r="B1504" s="15" t="s">
        <v>1147</v>
      </c>
      <c r="C1504" s="16">
        <v>13.6</v>
      </c>
      <c r="D1504" s="15" t="s">
        <v>80</v>
      </c>
      <c r="E1504" s="15" t="s">
        <v>1153</v>
      </c>
      <c r="F1504" s="15">
        <v>1</v>
      </c>
      <c r="G1504" s="15">
        <v>1</v>
      </c>
    </row>
    <row r="1505" spans="1:7" x14ac:dyDescent="0.25">
      <c r="A1505" s="15" t="s">
        <v>1146</v>
      </c>
      <c r="B1505" s="15" t="s">
        <v>1147</v>
      </c>
      <c r="C1505" s="16">
        <v>76.8</v>
      </c>
      <c r="D1505" s="15" t="s">
        <v>287</v>
      </c>
      <c r="E1505" s="15" t="s">
        <v>403</v>
      </c>
      <c r="F1505" s="15">
        <v>12</v>
      </c>
      <c r="G1505" s="15">
        <v>12</v>
      </c>
    </row>
    <row r="1506" spans="1:7" x14ac:dyDescent="0.25">
      <c r="A1506" s="15" t="s">
        <v>1146</v>
      </c>
      <c r="B1506" s="15" t="s">
        <v>1147</v>
      </c>
      <c r="C1506" s="16">
        <v>52.8</v>
      </c>
      <c r="D1506" s="15" t="s">
        <v>82</v>
      </c>
      <c r="E1506" s="15" t="s">
        <v>522</v>
      </c>
      <c r="F1506" s="15">
        <v>16</v>
      </c>
      <c r="G1506" s="15">
        <v>16</v>
      </c>
    </row>
    <row r="1507" spans="1:7" x14ac:dyDescent="0.25">
      <c r="A1507" s="15" t="s">
        <v>1146</v>
      </c>
      <c r="B1507" s="15" t="s">
        <v>1147</v>
      </c>
      <c r="C1507" s="16">
        <v>37.15</v>
      </c>
      <c r="D1507" s="15" t="s">
        <v>80</v>
      </c>
      <c r="E1507" s="15" t="s">
        <v>1154</v>
      </c>
      <c r="F1507" s="15">
        <v>11</v>
      </c>
      <c r="G1507" s="15">
        <v>11</v>
      </c>
    </row>
    <row r="1508" spans="1:7" x14ac:dyDescent="0.25">
      <c r="A1508" s="15" t="s">
        <v>1146</v>
      </c>
      <c r="B1508" s="15" t="s">
        <v>1147</v>
      </c>
      <c r="C1508" s="16">
        <v>94.95</v>
      </c>
      <c r="D1508" s="15" t="s">
        <v>179</v>
      </c>
      <c r="E1508" s="15" t="s">
        <v>523</v>
      </c>
      <c r="F1508" s="15">
        <v>17</v>
      </c>
      <c r="G1508" s="15">
        <v>17</v>
      </c>
    </row>
    <row r="1509" spans="1:7" x14ac:dyDescent="0.25">
      <c r="A1509" s="15" t="s">
        <v>1146</v>
      </c>
      <c r="B1509" s="15" t="s">
        <v>1147</v>
      </c>
      <c r="C1509" s="16">
        <v>4.95</v>
      </c>
      <c r="D1509" s="15" t="s">
        <v>339</v>
      </c>
      <c r="E1509" s="15" t="s">
        <v>340</v>
      </c>
      <c r="F1509" s="15">
        <v>3</v>
      </c>
      <c r="G1509" s="15">
        <v>3</v>
      </c>
    </row>
    <row r="1510" spans="1:7" x14ac:dyDescent="0.25">
      <c r="A1510" s="15" t="s">
        <v>1146</v>
      </c>
      <c r="B1510" s="15" t="s">
        <v>1147</v>
      </c>
      <c r="C1510" s="16">
        <v>18.600000000000001</v>
      </c>
      <c r="D1510" s="15" t="s">
        <v>80</v>
      </c>
      <c r="E1510" s="15" t="s">
        <v>1155</v>
      </c>
      <c r="F1510" s="15">
        <v>6</v>
      </c>
      <c r="G1510" s="15">
        <v>6</v>
      </c>
    </row>
    <row r="1511" spans="1:7" x14ac:dyDescent="0.25">
      <c r="A1511" s="15" t="s">
        <v>1146</v>
      </c>
      <c r="B1511" s="15" t="s">
        <v>1147</v>
      </c>
      <c r="C1511" s="16">
        <v>12.7</v>
      </c>
      <c r="D1511" s="15" t="s">
        <v>80</v>
      </c>
      <c r="E1511" s="15" t="s">
        <v>799</v>
      </c>
      <c r="F1511" s="15">
        <v>1</v>
      </c>
      <c r="G1511" s="15">
        <v>1</v>
      </c>
    </row>
    <row r="1512" spans="1:7" x14ac:dyDescent="0.25">
      <c r="A1512" s="15" t="s">
        <v>1146</v>
      </c>
      <c r="B1512" s="15" t="s">
        <v>1147</v>
      </c>
      <c r="C1512" s="16">
        <v>25.3</v>
      </c>
      <c r="D1512" s="15" t="s">
        <v>1156</v>
      </c>
      <c r="E1512" s="15" t="s">
        <v>1157</v>
      </c>
      <c r="F1512" s="15">
        <v>7</v>
      </c>
      <c r="G1512" s="15">
        <v>7</v>
      </c>
    </row>
    <row r="1513" spans="1:7" x14ac:dyDescent="0.25">
      <c r="A1513" s="15" t="s">
        <v>1146</v>
      </c>
      <c r="B1513" s="15" t="s">
        <v>1147</v>
      </c>
      <c r="C1513" s="16">
        <v>154.68</v>
      </c>
      <c r="D1513" s="15" t="s">
        <v>407</v>
      </c>
      <c r="E1513" s="15" t="s">
        <v>408</v>
      </c>
      <c r="F1513" s="15">
        <v>8</v>
      </c>
      <c r="G1513" s="15">
        <v>8</v>
      </c>
    </row>
    <row r="1514" spans="1:7" x14ac:dyDescent="0.25">
      <c r="A1514" s="15" t="s">
        <v>1146</v>
      </c>
      <c r="B1514" s="15" t="s">
        <v>1147</v>
      </c>
      <c r="C1514" s="16">
        <v>123.2</v>
      </c>
      <c r="D1514" s="15" t="s">
        <v>90</v>
      </c>
      <c r="E1514" s="15" t="s">
        <v>1158</v>
      </c>
      <c r="F1514" s="15">
        <v>7</v>
      </c>
      <c r="G1514" s="15">
        <v>7</v>
      </c>
    </row>
    <row r="1515" spans="1:7" x14ac:dyDescent="0.25">
      <c r="A1515" s="15" t="s">
        <v>1146</v>
      </c>
      <c r="B1515" s="15" t="s">
        <v>1147</v>
      </c>
      <c r="C1515" s="16">
        <v>101.3</v>
      </c>
      <c r="D1515" s="15" t="s">
        <v>80</v>
      </c>
      <c r="E1515" s="15" t="s">
        <v>341</v>
      </c>
      <c r="F1515" s="15">
        <v>8</v>
      </c>
      <c r="G1515" s="15">
        <v>8</v>
      </c>
    </row>
    <row r="1516" spans="1:7" x14ac:dyDescent="0.25">
      <c r="A1516" s="15" t="s">
        <v>1146</v>
      </c>
      <c r="B1516" s="15" t="s">
        <v>1147</v>
      </c>
      <c r="C1516" s="16">
        <v>68.5</v>
      </c>
      <c r="D1516" s="15" t="s">
        <v>529</v>
      </c>
      <c r="E1516" s="15" t="s">
        <v>530</v>
      </c>
      <c r="F1516" s="15">
        <v>5</v>
      </c>
      <c r="G1516" s="15">
        <v>5</v>
      </c>
    </row>
    <row r="1517" spans="1:7" x14ac:dyDescent="0.25">
      <c r="A1517" s="15" t="s">
        <v>1146</v>
      </c>
      <c r="B1517" s="15" t="s">
        <v>1147</v>
      </c>
      <c r="C1517" s="16">
        <v>85.1</v>
      </c>
      <c r="D1517" s="15" t="s">
        <v>519</v>
      </c>
      <c r="E1517" s="15" t="s">
        <v>1159</v>
      </c>
      <c r="F1517" s="15">
        <v>8</v>
      </c>
      <c r="G1517" s="15">
        <v>8</v>
      </c>
    </row>
    <row r="1518" spans="1:7" x14ac:dyDescent="0.25">
      <c r="A1518" s="15" t="s">
        <v>1146</v>
      </c>
      <c r="B1518" s="15" t="s">
        <v>1147</v>
      </c>
      <c r="C1518" s="16">
        <v>11</v>
      </c>
      <c r="D1518" s="15" t="s">
        <v>149</v>
      </c>
      <c r="E1518" s="15" t="s">
        <v>409</v>
      </c>
      <c r="F1518" s="15">
        <v>1</v>
      </c>
      <c r="G1518" s="15">
        <v>1</v>
      </c>
    </row>
    <row r="1519" spans="1:7" x14ac:dyDescent="0.25">
      <c r="A1519" s="15" t="s">
        <v>1146</v>
      </c>
      <c r="B1519" s="15" t="s">
        <v>1147</v>
      </c>
      <c r="C1519" s="16">
        <v>595.4</v>
      </c>
      <c r="D1519" s="15" t="s">
        <v>98</v>
      </c>
      <c r="E1519" s="15" t="s">
        <v>852</v>
      </c>
      <c r="F1519" s="15">
        <v>13</v>
      </c>
      <c r="G1519" s="15">
        <v>13</v>
      </c>
    </row>
    <row r="1520" spans="1:7" x14ac:dyDescent="0.25">
      <c r="A1520" s="15" t="s">
        <v>1146</v>
      </c>
      <c r="B1520" s="15" t="s">
        <v>1147</v>
      </c>
      <c r="C1520" s="16">
        <v>62.5</v>
      </c>
      <c r="D1520" s="15" t="s">
        <v>410</v>
      </c>
      <c r="E1520" s="15" t="s">
        <v>411</v>
      </c>
      <c r="F1520" s="15">
        <v>5</v>
      </c>
      <c r="G1520" s="15">
        <v>5</v>
      </c>
    </row>
    <row r="1521" spans="1:7" x14ac:dyDescent="0.25">
      <c r="A1521" s="15" t="s">
        <v>1146</v>
      </c>
      <c r="B1521" s="15" t="s">
        <v>1147</v>
      </c>
      <c r="C1521" s="16">
        <v>26.1</v>
      </c>
      <c r="D1521" s="15" t="s">
        <v>412</v>
      </c>
      <c r="E1521" s="15" t="s">
        <v>413</v>
      </c>
      <c r="F1521" s="15">
        <v>14</v>
      </c>
      <c r="G1521" s="15">
        <v>14</v>
      </c>
    </row>
    <row r="1522" spans="1:7" x14ac:dyDescent="0.25">
      <c r="A1522" s="15" t="s">
        <v>1146</v>
      </c>
      <c r="B1522" s="15" t="s">
        <v>1147</v>
      </c>
      <c r="C1522" s="16">
        <v>232.5</v>
      </c>
      <c r="D1522" s="15" t="s">
        <v>80</v>
      </c>
      <c r="E1522" s="15" t="s">
        <v>854</v>
      </c>
      <c r="F1522" s="15">
        <v>51</v>
      </c>
      <c r="G1522" s="15">
        <v>51</v>
      </c>
    </row>
    <row r="1523" spans="1:7" x14ac:dyDescent="0.25">
      <c r="A1523" s="15" t="s">
        <v>1146</v>
      </c>
      <c r="B1523" s="15" t="s">
        <v>1147</v>
      </c>
      <c r="C1523" s="16">
        <v>42</v>
      </c>
      <c r="D1523" s="15" t="s">
        <v>891</v>
      </c>
      <c r="E1523" s="15" t="s">
        <v>1160</v>
      </c>
      <c r="F1523" s="15">
        <v>4</v>
      </c>
      <c r="G1523" s="15">
        <v>4</v>
      </c>
    </row>
    <row r="1524" spans="1:7" x14ac:dyDescent="0.25">
      <c r="A1524" s="15" t="s">
        <v>1146</v>
      </c>
      <c r="B1524" s="15" t="s">
        <v>1147</v>
      </c>
      <c r="C1524" s="16">
        <v>4.8</v>
      </c>
      <c r="D1524" s="15" t="s">
        <v>131</v>
      </c>
      <c r="E1524" s="15" t="s">
        <v>1161</v>
      </c>
      <c r="F1524" s="15">
        <v>2</v>
      </c>
      <c r="G1524" s="15">
        <v>2</v>
      </c>
    </row>
    <row r="1525" spans="1:7" x14ac:dyDescent="0.25">
      <c r="A1525" s="15" t="s">
        <v>1146</v>
      </c>
      <c r="B1525" s="15" t="s">
        <v>1147</v>
      </c>
      <c r="C1525" s="16">
        <v>164.35</v>
      </c>
      <c r="D1525" s="15" t="s">
        <v>80</v>
      </c>
      <c r="E1525" s="15" t="s">
        <v>1162</v>
      </c>
      <c r="F1525" s="15">
        <v>31</v>
      </c>
      <c r="G1525" s="15">
        <v>31</v>
      </c>
    </row>
    <row r="1526" spans="1:7" x14ac:dyDescent="0.25">
      <c r="A1526" s="15" t="s">
        <v>1146</v>
      </c>
      <c r="B1526" s="15" t="s">
        <v>1147</v>
      </c>
      <c r="C1526" s="16">
        <v>869.4</v>
      </c>
      <c r="D1526" s="15" t="s">
        <v>132</v>
      </c>
      <c r="E1526" s="15" t="s">
        <v>1163</v>
      </c>
      <c r="F1526" s="15">
        <v>42</v>
      </c>
      <c r="G1526" s="15">
        <v>42</v>
      </c>
    </row>
    <row r="1527" spans="1:7" x14ac:dyDescent="0.25">
      <c r="A1527" s="15" t="s">
        <v>1146</v>
      </c>
      <c r="B1527" s="15" t="s">
        <v>1147</v>
      </c>
      <c r="C1527" s="16">
        <v>24.05</v>
      </c>
      <c r="D1527" s="15" t="s">
        <v>1164</v>
      </c>
      <c r="E1527" s="15" t="s">
        <v>1165</v>
      </c>
      <c r="F1527" s="15">
        <v>2</v>
      </c>
      <c r="G1527" s="15">
        <v>2</v>
      </c>
    </row>
    <row r="1528" spans="1:7" x14ac:dyDescent="0.25">
      <c r="A1528" s="15" t="s">
        <v>1146</v>
      </c>
      <c r="B1528" s="15" t="s">
        <v>1147</v>
      </c>
      <c r="C1528" s="16">
        <v>249.6</v>
      </c>
      <c r="D1528" s="15" t="s">
        <v>258</v>
      </c>
      <c r="E1528" s="15" t="s">
        <v>446</v>
      </c>
      <c r="F1528" s="15">
        <v>96</v>
      </c>
      <c r="G1528" s="15">
        <v>96</v>
      </c>
    </row>
    <row r="1529" spans="1:7" x14ac:dyDescent="0.25">
      <c r="A1529" s="15" t="s">
        <v>1146</v>
      </c>
      <c r="B1529" s="15" t="s">
        <v>1147</v>
      </c>
      <c r="C1529" s="16">
        <v>54.5</v>
      </c>
      <c r="D1529" s="15" t="s">
        <v>1166</v>
      </c>
      <c r="E1529" s="15" t="s">
        <v>1167</v>
      </c>
      <c r="F1529" s="15">
        <v>6</v>
      </c>
      <c r="G1529" s="15">
        <v>6</v>
      </c>
    </row>
    <row r="1530" spans="1:7" x14ac:dyDescent="0.25">
      <c r="A1530" s="15" t="s">
        <v>1146</v>
      </c>
      <c r="B1530" s="15" t="s">
        <v>1147</v>
      </c>
      <c r="C1530" s="16">
        <v>17</v>
      </c>
      <c r="D1530" s="15" t="s">
        <v>1168</v>
      </c>
      <c r="E1530" s="15" t="s">
        <v>1169</v>
      </c>
      <c r="F1530" s="15">
        <v>2</v>
      </c>
      <c r="G1530" s="15">
        <v>2</v>
      </c>
    </row>
    <row r="1531" spans="1:7" x14ac:dyDescent="0.25">
      <c r="A1531" s="15" t="s">
        <v>1146</v>
      </c>
      <c r="B1531" s="15" t="s">
        <v>1147</v>
      </c>
      <c r="C1531" s="16">
        <v>527.20000000000005</v>
      </c>
      <c r="D1531" s="15" t="s">
        <v>80</v>
      </c>
      <c r="E1531" s="15" t="s">
        <v>449</v>
      </c>
      <c r="F1531" s="15">
        <v>9</v>
      </c>
      <c r="G1531" s="15">
        <v>9</v>
      </c>
    </row>
    <row r="1532" spans="1:7" x14ac:dyDescent="0.25">
      <c r="A1532" s="15" t="s">
        <v>1146</v>
      </c>
      <c r="B1532" s="15" t="s">
        <v>1147</v>
      </c>
      <c r="C1532" s="16">
        <v>0.2</v>
      </c>
      <c r="D1532" s="15" t="s">
        <v>541</v>
      </c>
      <c r="E1532" s="15" t="s">
        <v>542</v>
      </c>
      <c r="F1532" s="15">
        <v>1</v>
      </c>
      <c r="G1532" s="15">
        <v>1</v>
      </c>
    </row>
    <row r="1533" spans="1:7" x14ac:dyDescent="0.25">
      <c r="A1533" s="15" t="s">
        <v>1146</v>
      </c>
      <c r="B1533" s="15" t="s">
        <v>1147</v>
      </c>
      <c r="C1533" s="16">
        <v>186.3</v>
      </c>
      <c r="D1533" s="15" t="s">
        <v>623</v>
      </c>
      <c r="E1533" s="15" t="s">
        <v>624</v>
      </c>
      <c r="F1533" s="15">
        <v>7</v>
      </c>
      <c r="G1533" s="15">
        <v>7</v>
      </c>
    </row>
    <row r="1534" spans="1:7" x14ac:dyDescent="0.25">
      <c r="A1534" s="15" t="s">
        <v>1146</v>
      </c>
      <c r="B1534" s="15" t="s">
        <v>1147</v>
      </c>
      <c r="C1534" s="16">
        <v>18.2</v>
      </c>
      <c r="D1534" s="15" t="s">
        <v>265</v>
      </c>
      <c r="E1534" s="15" t="s">
        <v>756</v>
      </c>
      <c r="F1534" s="15">
        <v>5</v>
      </c>
      <c r="G1534" s="15">
        <v>5</v>
      </c>
    </row>
    <row r="1535" spans="1:7" x14ac:dyDescent="0.25">
      <c r="A1535" s="15" t="s">
        <v>1146</v>
      </c>
      <c r="B1535" s="15" t="s">
        <v>1147</v>
      </c>
      <c r="C1535" s="16">
        <v>5.6</v>
      </c>
      <c r="D1535" s="15" t="s">
        <v>251</v>
      </c>
      <c r="E1535" s="15" t="s">
        <v>1170</v>
      </c>
      <c r="F1535" s="15">
        <v>1</v>
      </c>
      <c r="G1535" s="15">
        <v>1</v>
      </c>
    </row>
    <row r="1536" spans="1:7" x14ac:dyDescent="0.25">
      <c r="A1536" s="15" t="s">
        <v>1146</v>
      </c>
      <c r="B1536" s="15" t="s">
        <v>1147</v>
      </c>
      <c r="C1536" s="16">
        <v>30.3</v>
      </c>
      <c r="D1536" s="15" t="s">
        <v>368</v>
      </c>
      <c r="E1536" s="15" t="s">
        <v>369</v>
      </c>
      <c r="F1536" s="15">
        <v>3</v>
      </c>
      <c r="G1536" s="15">
        <v>3</v>
      </c>
    </row>
    <row r="1537" spans="1:7" x14ac:dyDescent="0.25">
      <c r="A1537" s="15" t="s">
        <v>1146</v>
      </c>
      <c r="B1537" s="15" t="s">
        <v>1147</v>
      </c>
      <c r="C1537" s="16">
        <v>24.78</v>
      </c>
      <c r="D1537" s="15" t="s">
        <v>451</v>
      </c>
      <c r="E1537" s="15" t="s">
        <v>452</v>
      </c>
      <c r="F1537" s="15">
        <v>4</v>
      </c>
      <c r="G1537" s="15">
        <v>4</v>
      </c>
    </row>
    <row r="1538" spans="1:7" x14ac:dyDescent="0.25">
      <c r="A1538" s="15" t="s">
        <v>1146</v>
      </c>
      <c r="B1538" s="15" t="s">
        <v>1147</v>
      </c>
      <c r="C1538" s="16">
        <v>13.4</v>
      </c>
      <c r="D1538" s="15" t="s">
        <v>97</v>
      </c>
      <c r="E1538" s="15" t="s">
        <v>548</v>
      </c>
      <c r="F1538" s="15">
        <v>2</v>
      </c>
      <c r="G1538" s="15">
        <v>2</v>
      </c>
    </row>
    <row r="1539" spans="1:7" x14ac:dyDescent="0.25">
      <c r="A1539" s="15" t="s">
        <v>1146</v>
      </c>
      <c r="B1539" s="15" t="s">
        <v>1147</v>
      </c>
      <c r="C1539" s="16">
        <v>44.27</v>
      </c>
      <c r="D1539" s="15" t="s">
        <v>549</v>
      </c>
      <c r="E1539" s="15" t="s">
        <v>550</v>
      </c>
      <c r="F1539" s="15">
        <v>4</v>
      </c>
      <c r="G1539" s="15">
        <v>4</v>
      </c>
    </row>
    <row r="1540" spans="1:7" x14ac:dyDescent="0.25">
      <c r="A1540" s="15" t="s">
        <v>1146</v>
      </c>
      <c r="B1540" s="15" t="s">
        <v>1147</v>
      </c>
      <c r="C1540" s="16">
        <v>12.8</v>
      </c>
      <c r="D1540" s="15" t="s">
        <v>760</v>
      </c>
      <c r="E1540" s="15" t="s">
        <v>761</v>
      </c>
      <c r="F1540" s="15">
        <v>4</v>
      </c>
      <c r="G1540" s="15">
        <v>4</v>
      </c>
    </row>
    <row r="1541" spans="1:7" x14ac:dyDescent="0.25">
      <c r="A1541" s="15" t="s">
        <v>1146</v>
      </c>
      <c r="B1541" s="15" t="s">
        <v>1147</v>
      </c>
      <c r="C1541" s="16">
        <v>26.65</v>
      </c>
      <c r="D1541" s="15" t="s">
        <v>123</v>
      </c>
      <c r="E1541" s="15" t="s">
        <v>820</v>
      </c>
      <c r="F1541" s="15">
        <v>5</v>
      </c>
      <c r="G1541" s="15">
        <v>5</v>
      </c>
    </row>
    <row r="1542" spans="1:7" x14ac:dyDescent="0.25">
      <c r="A1542" s="15" t="s">
        <v>1146</v>
      </c>
      <c r="B1542" s="15" t="s">
        <v>1147</v>
      </c>
      <c r="C1542" s="16">
        <v>34.9</v>
      </c>
      <c r="D1542" s="15" t="s">
        <v>453</v>
      </c>
      <c r="E1542" s="15" t="s">
        <v>762</v>
      </c>
      <c r="F1542" s="15">
        <v>5</v>
      </c>
      <c r="G1542" s="15">
        <v>5</v>
      </c>
    </row>
    <row r="1543" spans="1:7" x14ac:dyDescent="0.25">
      <c r="A1543" s="15" t="s">
        <v>1146</v>
      </c>
      <c r="B1543" s="15" t="s">
        <v>1147</v>
      </c>
      <c r="C1543" s="16">
        <v>479.95</v>
      </c>
      <c r="D1543" s="15" t="s">
        <v>75</v>
      </c>
      <c r="E1543" s="15" t="s">
        <v>860</v>
      </c>
      <c r="F1543" s="15">
        <v>35</v>
      </c>
      <c r="G1543" s="15">
        <v>35</v>
      </c>
    </row>
    <row r="1544" spans="1:7" x14ac:dyDescent="0.25">
      <c r="A1544" s="15" t="s">
        <v>1146</v>
      </c>
      <c r="B1544" s="15" t="s">
        <v>1147</v>
      </c>
      <c r="C1544" s="16">
        <v>12.4</v>
      </c>
      <c r="D1544" s="15" t="s">
        <v>765</v>
      </c>
      <c r="E1544" s="15" t="s">
        <v>766</v>
      </c>
      <c r="F1544" s="15">
        <v>6</v>
      </c>
      <c r="G1544" s="15">
        <v>6</v>
      </c>
    </row>
    <row r="1545" spans="1:7" x14ac:dyDescent="0.25">
      <c r="A1545" s="15" t="s">
        <v>1146</v>
      </c>
      <c r="B1545" s="15" t="s">
        <v>1147</v>
      </c>
      <c r="C1545" s="16">
        <v>96.93</v>
      </c>
      <c r="D1545" s="15" t="s">
        <v>80</v>
      </c>
      <c r="E1545" s="15" t="s">
        <v>575</v>
      </c>
      <c r="F1545" s="15">
        <v>9</v>
      </c>
      <c r="G1545" s="15">
        <v>9</v>
      </c>
    </row>
    <row r="1546" spans="1:7" x14ac:dyDescent="0.25">
      <c r="A1546" s="15" t="s">
        <v>1146</v>
      </c>
      <c r="B1546" s="15" t="s">
        <v>1147</v>
      </c>
      <c r="C1546" s="16">
        <v>164.7</v>
      </c>
      <c r="D1546" s="15" t="s">
        <v>556</v>
      </c>
      <c r="E1546" s="15" t="s">
        <v>557</v>
      </c>
      <c r="F1546" s="15">
        <v>27</v>
      </c>
      <c r="G1546" s="15">
        <v>27</v>
      </c>
    </row>
    <row r="1547" spans="1:7" x14ac:dyDescent="0.25">
      <c r="A1547" s="15" t="s">
        <v>1146</v>
      </c>
      <c r="B1547" s="15" t="s">
        <v>1147</v>
      </c>
      <c r="C1547" s="16">
        <v>19.8</v>
      </c>
      <c r="D1547" s="15" t="s">
        <v>80</v>
      </c>
      <c r="E1547" s="15" t="s">
        <v>918</v>
      </c>
      <c r="F1547" s="15">
        <v>1</v>
      </c>
      <c r="G1547" s="15">
        <v>1</v>
      </c>
    </row>
    <row r="1548" spans="1:7" x14ac:dyDescent="0.25">
      <c r="A1548" s="15" t="s">
        <v>1146</v>
      </c>
      <c r="B1548" s="15" t="s">
        <v>1147</v>
      </c>
      <c r="C1548" s="16">
        <v>66.97</v>
      </c>
      <c r="D1548" s="15" t="s">
        <v>80</v>
      </c>
      <c r="E1548" s="15" t="s">
        <v>558</v>
      </c>
      <c r="F1548" s="15">
        <v>9</v>
      </c>
      <c r="G1548" s="15">
        <v>9</v>
      </c>
    </row>
    <row r="1549" spans="1:7" x14ac:dyDescent="0.25">
      <c r="A1549" s="15" t="s">
        <v>1146</v>
      </c>
      <c r="B1549" s="15" t="s">
        <v>1147</v>
      </c>
      <c r="C1549" s="16">
        <v>5.4</v>
      </c>
      <c r="D1549" s="15" t="s">
        <v>80</v>
      </c>
      <c r="E1549" s="15" t="s">
        <v>824</v>
      </c>
      <c r="F1549" s="15">
        <v>1</v>
      </c>
      <c r="G1549" s="15">
        <v>1</v>
      </c>
    </row>
    <row r="1550" spans="1:7" x14ac:dyDescent="0.25">
      <c r="A1550" s="15" t="s">
        <v>1146</v>
      </c>
      <c r="B1550" s="15" t="s">
        <v>1147</v>
      </c>
      <c r="C1550" s="16">
        <v>22.4</v>
      </c>
      <c r="D1550" s="15" t="s">
        <v>427</v>
      </c>
      <c r="E1550" s="15" t="s">
        <v>559</v>
      </c>
      <c r="F1550" s="15">
        <v>8</v>
      </c>
      <c r="G1550" s="15">
        <v>8</v>
      </c>
    </row>
    <row r="1551" spans="1:7" x14ac:dyDescent="0.25">
      <c r="A1551" s="15" t="s">
        <v>1146</v>
      </c>
      <c r="B1551" s="15" t="s">
        <v>1147</v>
      </c>
      <c r="C1551" s="16">
        <v>388.04</v>
      </c>
      <c r="D1551" s="15" t="s">
        <v>138</v>
      </c>
      <c r="E1551" s="15" t="s">
        <v>863</v>
      </c>
      <c r="F1551" s="15">
        <v>25</v>
      </c>
      <c r="G1551" s="15">
        <v>25</v>
      </c>
    </row>
    <row r="1552" spans="1:7" x14ac:dyDescent="0.25">
      <c r="A1552" s="15" t="s">
        <v>1146</v>
      </c>
      <c r="B1552" s="15" t="s">
        <v>1147</v>
      </c>
      <c r="C1552" s="16">
        <v>17.45</v>
      </c>
      <c r="D1552" s="15" t="s">
        <v>458</v>
      </c>
      <c r="E1552" s="15" t="s">
        <v>459</v>
      </c>
      <c r="F1552" s="15">
        <v>4</v>
      </c>
      <c r="G1552" s="15">
        <v>4</v>
      </c>
    </row>
    <row r="1553" spans="1:7" x14ac:dyDescent="0.25">
      <c r="A1553" s="15" t="s">
        <v>1146</v>
      </c>
      <c r="B1553" s="15" t="s">
        <v>1147</v>
      </c>
      <c r="C1553" s="16">
        <v>39.200000000000003</v>
      </c>
      <c r="D1553" s="15" t="s">
        <v>826</v>
      </c>
      <c r="E1553" s="15" t="s">
        <v>827</v>
      </c>
      <c r="F1553" s="15">
        <v>15</v>
      </c>
      <c r="G1553" s="15">
        <v>15</v>
      </c>
    </row>
    <row r="1554" spans="1:7" x14ac:dyDescent="0.25">
      <c r="A1554" s="15" t="s">
        <v>1146</v>
      </c>
      <c r="B1554" s="15" t="s">
        <v>1147</v>
      </c>
      <c r="C1554" s="16">
        <v>184.7</v>
      </c>
      <c r="D1554" s="15" t="s">
        <v>179</v>
      </c>
      <c r="E1554" s="15" t="s">
        <v>560</v>
      </c>
      <c r="F1554" s="15">
        <v>9</v>
      </c>
      <c r="G1554" s="15">
        <v>9</v>
      </c>
    </row>
    <row r="1555" spans="1:7" x14ac:dyDescent="0.25">
      <c r="A1555" s="15" t="s">
        <v>1146</v>
      </c>
      <c r="B1555" s="15" t="s">
        <v>1147</v>
      </c>
      <c r="C1555" s="16">
        <v>13.1</v>
      </c>
      <c r="D1555" s="15" t="s">
        <v>1171</v>
      </c>
      <c r="E1555" s="15" t="s">
        <v>1172</v>
      </c>
      <c r="F1555" s="15">
        <v>3</v>
      </c>
      <c r="G1555" s="15">
        <v>3</v>
      </c>
    </row>
    <row r="1556" spans="1:7" x14ac:dyDescent="0.25">
      <c r="A1556" s="15" t="s">
        <v>1146</v>
      </c>
      <c r="B1556" s="15" t="s">
        <v>1147</v>
      </c>
      <c r="C1556" s="16">
        <v>370.2</v>
      </c>
      <c r="D1556" s="15" t="s">
        <v>424</v>
      </c>
      <c r="E1556" s="15" t="s">
        <v>425</v>
      </c>
      <c r="F1556" s="15">
        <v>26</v>
      </c>
      <c r="G1556" s="15">
        <v>26</v>
      </c>
    </row>
    <row r="1557" spans="1:7" x14ac:dyDescent="0.25">
      <c r="A1557" s="15" t="s">
        <v>1146</v>
      </c>
      <c r="B1557" s="15" t="s">
        <v>1147</v>
      </c>
      <c r="C1557" s="16">
        <v>10.3</v>
      </c>
      <c r="D1557" s="15" t="s">
        <v>1173</v>
      </c>
      <c r="E1557" s="15" t="s">
        <v>1174</v>
      </c>
      <c r="F1557" s="15">
        <v>1</v>
      </c>
      <c r="G1557" s="15">
        <v>1</v>
      </c>
    </row>
    <row r="1558" spans="1:7" x14ac:dyDescent="0.25">
      <c r="A1558" s="15" t="s">
        <v>1146</v>
      </c>
      <c r="B1558" s="15" t="s">
        <v>1147</v>
      </c>
      <c r="C1558" s="16">
        <v>145.75</v>
      </c>
      <c r="D1558" s="15" t="s">
        <v>466</v>
      </c>
      <c r="E1558" s="15" t="s">
        <v>562</v>
      </c>
      <c r="F1558" s="15">
        <v>13</v>
      </c>
      <c r="G1558" s="15">
        <v>13</v>
      </c>
    </row>
    <row r="1559" spans="1:7" x14ac:dyDescent="0.25">
      <c r="A1559" s="15" t="s">
        <v>1146</v>
      </c>
      <c r="B1559" s="15" t="s">
        <v>1147</v>
      </c>
      <c r="C1559" s="16">
        <v>19.16</v>
      </c>
      <c r="D1559" s="15" t="s">
        <v>561</v>
      </c>
      <c r="E1559" s="15" t="s">
        <v>731</v>
      </c>
      <c r="F1559" s="15">
        <v>2</v>
      </c>
      <c r="G1559" s="15">
        <v>2</v>
      </c>
    </row>
    <row r="1560" spans="1:7" x14ac:dyDescent="0.25">
      <c r="A1560" s="15" t="s">
        <v>1146</v>
      </c>
      <c r="B1560" s="15" t="s">
        <v>1147</v>
      </c>
      <c r="C1560" s="16">
        <v>204.1</v>
      </c>
      <c r="D1560" s="15" t="s">
        <v>138</v>
      </c>
      <c r="E1560" s="15" t="s">
        <v>864</v>
      </c>
      <c r="F1560" s="15">
        <v>13</v>
      </c>
      <c r="G1560" s="15">
        <v>13</v>
      </c>
    </row>
    <row r="1561" spans="1:7" x14ac:dyDescent="0.25">
      <c r="A1561" s="15" t="s">
        <v>1146</v>
      </c>
      <c r="B1561" s="15" t="s">
        <v>1147</v>
      </c>
      <c r="C1561" s="16">
        <v>5.2</v>
      </c>
      <c r="D1561" s="15" t="s">
        <v>183</v>
      </c>
      <c r="E1561" s="15" t="s">
        <v>195</v>
      </c>
      <c r="F1561" s="15">
        <v>8</v>
      </c>
      <c r="G1561" s="15">
        <v>8</v>
      </c>
    </row>
    <row r="1562" spans="1:7" x14ac:dyDescent="0.25">
      <c r="A1562" s="15" t="s">
        <v>1146</v>
      </c>
      <c r="B1562" s="15" t="s">
        <v>1147</v>
      </c>
      <c r="C1562" s="16">
        <v>2.75</v>
      </c>
      <c r="D1562" s="15" t="s">
        <v>1175</v>
      </c>
      <c r="E1562" s="15" t="s">
        <v>1176</v>
      </c>
      <c r="F1562" s="15">
        <v>1</v>
      </c>
      <c r="G1562" s="15">
        <v>1</v>
      </c>
    </row>
    <row r="1563" spans="1:7" x14ac:dyDescent="0.25">
      <c r="A1563" s="15" t="s">
        <v>1146</v>
      </c>
      <c r="B1563" s="15" t="s">
        <v>1147</v>
      </c>
      <c r="C1563" s="16">
        <v>142.4</v>
      </c>
      <c r="D1563" s="15" t="s">
        <v>80</v>
      </c>
      <c r="E1563" s="15" t="s">
        <v>1177</v>
      </c>
      <c r="F1563" s="15">
        <v>14</v>
      </c>
      <c r="G1563" s="15">
        <v>14</v>
      </c>
    </row>
    <row r="1564" spans="1:7" x14ac:dyDescent="0.25">
      <c r="A1564" s="15" t="s">
        <v>1146</v>
      </c>
      <c r="B1564" s="15" t="s">
        <v>1147</v>
      </c>
      <c r="C1564" s="16">
        <v>99.2</v>
      </c>
      <c r="D1564" s="15" t="s">
        <v>67</v>
      </c>
      <c r="E1564" s="15" t="s">
        <v>733</v>
      </c>
      <c r="F1564" s="15">
        <v>6</v>
      </c>
      <c r="G1564" s="15">
        <v>6</v>
      </c>
    </row>
    <row r="1565" spans="1:7" x14ac:dyDescent="0.25">
      <c r="A1565" s="15" t="s">
        <v>1178</v>
      </c>
      <c r="B1565" s="15" t="s">
        <v>1179</v>
      </c>
      <c r="C1565" s="16">
        <v>1301.5</v>
      </c>
      <c r="D1565" s="15" t="s">
        <v>226</v>
      </c>
      <c r="E1565" s="15" t="s">
        <v>398</v>
      </c>
      <c r="F1565" s="15">
        <v>16</v>
      </c>
      <c r="G1565" s="15">
        <v>16</v>
      </c>
    </row>
    <row r="1566" spans="1:7" x14ac:dyDescent="0.25">
      <c r="A1566" s="15" t="s">
        <v>1178</v>
      </c>
      <c r="B1566" s="15" t="s">
        <v>1179</v>
      </c>
      <c r="C1566" s="16">
        <v>90</v>
      </c>
      <c r="D1566" s="15" t="s">
        <v>427</v>
      </c>
      <c r="E1566" s="15" t="s">
        <v>434</v>
      </c>
      <c r="F1566" s="15">
        <v>34</v>
      </c>
      <c r="G1566" s="15">
        <v>34</v>
      </c>
    </row>
    <row r="1567" spans="1:7" x14ac:dyDescent="0.25">
      <c r="A1567" s="15" t="s">
        <v>1178</v>
      </c>
      <c r="B1567" s="15" t="s">
        <v>1179</v>
      </c>
      <c r="C1567" s="16">
        <v>19.600000000000001</v>
      </c>
      <c r="D1567" s="15" t="s">
        <v>399</v>
      </c>
      <c r="E1567" s="15" t="s">
        <v>508</v>
      </c>
      <c r="F1567" s="15">
        <v>2</v>
      </c>
      <c r="G1567" s="15">
        <v>2</v>
      </c>
    </row>
    <row r="1568" spans="1:7" x14ac:dyDescent="0.25">
      <c r="A1568" s="15" t="s">
        <v>1178</v>
      </c>
      <c r="B1568" s="15" t="s">
        <v>1179</v>
      </c>
      <c r="C1568" s="16">
        <v>118.8</v>
      </c>
      <c r="D1568" s="15" t="s">
        <v>1180</v>
      </c>
      <c r="E1568" s="15" t="s">
        <v>401</v>
      </c>
      <c r="F1568" s="15">
        <v>27</v>
      </c>
      <c r="G1568" s="15">
        <v>27</v>
      </c>
    </row>
    <row r="1569" spans="1:7" x14ac:dyDescent="0.25">
      <c r="A1569" s="15" t="s">
        <v>1178</v>
      </c>
      <c r="B1569" s="15" t="s">
        <v>1179</v>
      </c>
      <c r="C1569" s="16">
        <v>213.18</v>
      </c>
      <c r="D1569" s="15" t="s">
        <v>80</v>
      </c>
      <c r="E1569" s="15" t="s">
        <v>402</v>
      </c>
      <c r="F1569" s="15">
        <v>17</v>
      </c>
      <c r="G1569" s="15">
        <v>17</v>
      </c>
    </row>
    <row r="1570" spans="1:7" x14ac:dyDescent="0.25">
      <c r="A1570" s="15" t="s">
        <v>1178</v>
      </c>
      <c r="B1570" s="15" t="s">
        <v>1179</v>
      </c>
      <c r="C1570" s="16">
        <v>159.05000000000001</v>
      </c>
      <c r="D1570" s="15" t="s">
        <v>80</v>
      </c>
      <c r="E1570" s="15" t="s">
        <v>1181</v>
      </c>
      <c r="F1570" s="15">
        <v>25</v>
      </c>
      <c r="G1570" s="15">
        <v>25</v>
      </c>
    </row>
    <row r="1571" spans="1:7" x14ac:dyDescent="0.25">
      <c r="A1571" s="15" t="s">
        <v>1178</v>
      </c>
      <c r="B1571" s="15" t="s">
        <v>1179</v>
      </c>
      <c r="C1571" s="16">
        <v>235.2</v>
      </c>
      <c r="D1571" s="15" t="s">
        <v>123</v>
      </c>
      <c r="E1571" s="15" t="s">
        <v>1182</v>
      </c>
      <c r="F1571" s="15">
        <v>98</v>
      </c>
      <c r="G1571" s="15">
        <v>98</v>
      </c>
    </row>
    <row r="1572" spans="1:7" x14ac:dyDescent="0.25">
      <c r="A1572" s="15" t="s">
        <v>1178</v>
      </c>
      <c r="B1572" s="15" t="s">
        <v>1179</v>
      </c>
      <c r="C1572" s="16">
        <v>632.29999999999995</v>
      </c>
      <c r="D1572" s="15" t="s">
        <v>466</v>
      </c>
      <c r="E1572" s="15" t="s">
        <v>516</v>
      </c>
      <c r="F1572" s="15">
        <v>43</v>
      </c>
      <c r="G1572" s="15">
        <v>43</v>
      </c>
    </row>
    <row r="1573" spans="1:7" x14ac:dyDescent="0.25">
      <c r="A1573" s="15" t="s">
        <v>1178</v>
      </c>
      <c r="B1573" s="15" t="s">
        <v>1179</v>
      </c>
      <c r="C1573" s="16">
        <v>202.1</v>
      </c>
      <c r="D1573" s="15" t="s">
        <v>519</v>
      </c>
      <c r="E1573" s="15" t="s">
        <v>520</v>
      </c>
      <c r="F1573" s="15">
        <v>31</v>
      </c>
      <c r="G1573" s="15">
        <v>31</v>
      </c>
    </row>
    <row r="1574" spans="1:7" x14ac:dyDescent="0.25">
      <c r="A1574" s="15" t="s">
        <v>1178</v>
      </c>
      <c r="B1574" s="15" t="s">
        <v>1179</v>
      </c>
      <c r="C1574" s="16">
        <v>47.2</v>
      </c>
      <c r="D1574" s="15" t="s">
        <v>567</v>
      </c>
      <c r="E1574" s="15" t="s">
        <v>568</v>
      </c>
      <c r="F1574" s="15">
        <v>4</v>
      </c>
      <c r="G1574" s="15">
        <v>4</v>
      </c>
    </row>
    <row r="1575" spans="1:7" x14ac:dyDescent="0.25">
      <c r="A1575" s="15" t="s">
        <v>1178</v>
      </c>
      <c r="B1575" s="15" t="s">
        <v>1179</v>
      </c>
      <c r="C1575" s="16">
        <v>78</v>
      </c>
      <c r="D1575" s="15" t="s">
        <v>355</v>
      </c>
      <c r="E1575" s="15" t="s">
        <v>798</v>
      </c>
      <c r="F1575" s="15">
        <v>5</v>
      </c>
      <c r="G1575" s="15">
        <v>5</v>
      </c>
    </row>
    <row r="1576" spans="1:7" x14ac:dyDescent="0.25">
      <c r="A1576" s="15" t="s">
        <v>1178</v>
      </c>
      <c r="B1576" s="15" t="s">
        <v>1179</v>
      </c>
      <c r="C1576" s="16">
        <v>238.8</v>
      </c>
      <c r="D1576" s="15" t="s">
        <v>80</v>
      </c>
      <c r="E1576" s="15" t="s">
        <v>571</v>
      </c>
      <c r="F1576" s="15">
        <v>12</v>
      </c>
      <c r="G1576" s="15">
        <v>12</v>
      </c>
    </row>
    <row r="1577" spans="1:7" x14ac:dyDescent="0.25">
      <c r="A1577" s="15" t="s">
        <v>1178</v>
      </c>
      <c r="B1577" s="15" t="s">
        <v>1179</v>
      </c>
      <c r="C1577" s="16">
        <v>540.9</v>
      </c>
      <c r="D1577" s="15" t="s">
        <v>138</v>
      </c>
      <c r="E1577" s="15" t="s">
        <v>405</v>
      </c>
      <c r="F1577" s="15">
        <v>33</v>
      </c>
      <c r="G1577" s="15">
        <v>33</v>
      </c>
    </row>
    <row r="1578" spans="1:7" x14ac:dyDescent="0.25">
      <c r="A1578" s="15" t="s">
        <v>1178</v>
      </c>
      <c r="B1578" s="15" t="s">
        <v>1179</v>
      </c>
      <c r="C1578" s="16">
        <v>75.7</v>
      </c>
      <c r="D1578" s="15" t="s">
        <v>293</v>
      </c>
      <c r="E1578" s="15" t="s">
        <v>406</v>
      </c>
      <c r="F1578" s="15">
        <v>28</v>
      </c>
      <c r="G1578" s="15">
        <v>28</v>
      </c>
    </row>
    <row r="1579" spans="1:7" x14ac:dyDescent="0.25">
      <c r="A1579" s="15" t="s">
        <v>1178</v>
      </c>
      <c r="B1579" s="15" t="s">
        <v>1179</v>
      </c>
      <c r="C1579" s="16">
        <v>25</v>
      </c>
      <c r="D1579" s="15" t="s">
        <v>524</v>
      </c>
      <c r="E1579" s="15" t="s">
        <v>525</v>
      </c>
      <c r="F1579" s="15">
        <v>10</v>
      </c>
      <c r="G1579" s="15">
        <v>10</v>
      </c>
    </row>
    <row r="1580" spans="1:7" x14ac:dyDescent="0.25">
      <c r="A1580" s="15" t="s">
        <v>1178</v>
      </c>
      <c r="B1580" s="15" t="s">
        <v>1179</v>
      </c>
      <c r="C1580" s="16">
        <v>120.5</v>
      </c>
      <c r="D1580" s="15" t="s">
        <v>67</v>
      </c>
      <c r="E1580" s="15" t="s">
        <v>749</v>
      </c>
      <c r="F1580" s="15">
        <v>29</v>
      </c>
      <c r="G1580" s="15">
        <v>29</v>
      </c>
    </row>
    <row r="1581" spans="1:7" x14ac:dyDescent="0.25">
      <c r="A1581" s="15" t="s">
        <v>1178</v>
      </c>
      <c r="B1581" s="15" t="s">
        <v>1179</v>
      </c>
      <c r="C1581" s="16">
        <v>424.8</v>
      </c>
      <c r="D1581" s="15" t="s">
        <v>67</v>
      </c>
      <c r="E1581" s="15" t="s">
        <v>534</v>
      </c>
      <c r="F1581" s="15">
        <v>18</v>
      </c>
      <c r="G1581" s="15">
        <v>18</v>
      </c>
    </row>
    <row r="1582" spans="1:7" x14ac:dyDescent="0.25">
      <c r="A1582" s="15" t="s">
        <v>1178</v>
      </c>
      <c r="B1582" s="15" t="s">
        <v>1179</v>
      </c>
      <c r="C1582" s="16">
        <v>56</v>
      </c>
      <c r="D1582" s="15" t="s">
        <v>513</v>
      </c>
      <c r="E1582" s="15" t="s">
        <v>853</v>
      </c>
      <c r="F1582" s="15">
        <v>7</v>
      </c>
      <c r="G1582" s="15">
        <v>7</v>
      </c>
    </row>
    <row r="1583" spans="1:7" x14ac:dyDescent="0.25">
      <c r="A1583" s="15" t="s">
        <v>1178</v>
      </c>
      <c r="B1583" s="15" t="s">
        <v>1179</v>
      </c>
      <c r="C1583" s="16">
        <v>113.4</v>
      </c>
      <c r="D1583" s="15" t="s">
        <v>179</v>
      </c>
      <c r="E1583" s="15" t="s">
        <v>1183</v>
      </c>
      <c r="F1583" s="15">
        <v>14</v>
      </c>
      <c r="G1583" s="15">
        <v>14</v>
      </c>
    </row>
    <row r="1584" spans="1:7" x14ac:dyDescent="0.25">
      <c r="A1584" s="15" t="s">
        <v>1178</v>
      </c>
      <c r="B1584" s="15" t="s">
        <v>1179</v>
      </c>
      <c r="C1584" s="16">
        <v>80.849999999999994</v>
      </c>
      <c r="D1584" s="15" t="s">
        <v>80</v>
      </c>
      <c r="E1584" s="15" t="s">
        <v>1162</v>
      </c>
      <c r="F1584" s="15">
        <v>21</v>
      </c>
      <c r="G1584" s="15">
        <v>21</v>
      </c>
    </row>
    <row r="1585" spans="1:7" x14ac:dyDescent="0.25">
      <c r="A1585" s="15" t="s">
        <v>1178</v>
      </c>
      <c r="B1585" s="15" t="s">
        <v>1179</v>
      </c>
      <c r="C1585" s="16">
        <v>242.8</v>
      </c>
      <c r="D1585" s="15" t="s">
        <v>536</v>
      </c>
      <c r="E1585" s="15" t="s">
        <v>537</v>
      </c>
      <c r="F1585" s="15">
        <v>16</v>
      </c>
      <c r="G1585" s="15">
        <v>16</v>
      </c>
    </row>
    <row r="1586" spans="1:7" x14ac:dyDescent="0.25">
      <c r="A1586" s="15" t="s">
        <v>1178</v>
      </c>
      <c r="B1586" s="15" t="s">
        <v>1179</v>
      </c>
      <c r="C1586" s="16">
        <v>41.6</v>
      </c>
      <c r="D1586" s="15" t="s">
        <v>1184</v>
      </c>
      <c r="E1586" s="15" t="s">
        <v>1185</v>
      </c>
      <c r="F1586" s="15">
        <v>104</v>
      </c>
      <c r="G1586" s="15">
        <v>104</v>
      </c>
    </row>
    <row r="1587" spans="1:7" x14ac:dyDescent="0.25">
      <c r="A1587" s="15" t="s">
        <v>1178</v>
      </c>
      <c r="B1587" s="15" t="s">
        <v>1179</v>
      </c>
      <c r="C1587" s="16">
        <v>4.9800000000000004</v>
      </c>
      <c r="D1587" s="15" t="s">
        <v>1184</v>
      </c>
      <c r="E1587" s="15" t="s">
        <v>1186</v>
      </c>
      <c r="F1587" s="15">
        <v>83</v>
      </c>
      <c r="G1587" s="15">
        <v>83</v>
      </c>
    </row>
    <row r="1588" spans="1:7" x14ac:dyDescent="0.25">
      <c r="A1588" s="15" t="s">
        <v>1178</v>
      </c>
      <c r="B1588" s="15" t="s">
        <v>1179</v>
      </c>
      <c r="C1588" s="16">
        <v>44.9</v>
      </c>
      <c r="D1588" s="15" t="s">
        <v>67</v>
      </c>
      <c r="E1588" s="15" t="s">
        <v>414</v>
      </c>
      <c r="F1588" s="15">
        <v>29</v>
      </c>
      <c r="G1588" s="15">
        <v>29</v>
      </c>
    </row>
    <row r="1589" spans="1:7" x14ac:dyDescent="0.25">
      <c r="A1589" s="15" t="s">
        <v>1178</v>
      </c>
      <c r="B1589" s="15" t="s">
        <v>1179</v>
      </c>
      <c r="C1589" s="16">
        <v>192.8</v>
      </c>
      <c r="D1589" s="15" t="s">
        <v>80</v>
      </c>
      <c r="E1589" s="15" t="s">
        <v>449</v>
      </c>
      <c r="F1589" s="15">
        <v>2</v>
      </c>
      <c r="G1589" s="15">
        <v>2</v>
      </c>
    </row>
    <row r="1590" spans="1:7" x14ac:dyDescent="0.25">
      <c r="A1590" s="15" t="s">
        <v>1178</v>
      </c>
      <c r="B1590" s="15" t="s">
        <v>1179</v>
      </c>
      <c r="C1590" s="16">
        <v>101</v>
      </c>
      <c r="D1590" s="15" t="s">
        <v>623</v>
      </c>
      <c r="E1590" s="15" t="s">
        <v>624</v>
      </c>
      <c r="F1590" s="15">
        <v>10</v>
      </c>
      <c r="G1590" s="15">
        <v>10</v>
      </c>
    </row>
    <row r="1591" spans="1:7" x14ac:dyDescent="0.25">
      <c r="A1591" s="15" t="s">
        <v>1178</v>
      </c>
      <c r="B1591" s="15" t="s">
        <v>1179</v>
      </c>
      <c r="C1591" s="16">
        <v>233.2</v>
      </c>
      <c r="D1591" s="15" t="s">
        <v>269</v>
      </c>
      <c r="E1591" s="15" t="s">
        <v>270</v>
      </c>
      <c r="F1591" s="15">
        <v>11</v>
      </c>
      <c r="G1591" s="15">
        <v>11</v>
      </c>
    </row>
    <row r="1592" spans="1:7" x14ac:dyDescent="0.25">
      <c r="A1592" s="15" t="s">
        <v>1178</v>
      </c>
      <c r="B1592" s="15" t="s">
        <v>1179</v>
      </c>
      <c r="C1592" s="16">
        <v>2089.2199999999998</v>
      </c>
      <c r="D1592" s="15" t="s">
        <v>80</v>
      </c>
      <c r="E1592" s="15" t="s">
        <v>417</v>
      </c>
      <c r="F1592" s="15">
        <v>82</v>
      </c>
      <c r="G1592" s="15">
        <v>82</v>
      </c>
    </row>
    <row r="1593" spans="1:7" x14ac:dyDescent="0.25">
      <c r="A1593" s="15" t="s">
        <v>1178</v>
      </c>
      <c r="B1593" s="15" t="s">
        <v>1179</v>
      </c>
      <c r="C1593" s="16">
        <v>555.79999999999995</v>
      </c>
      <c r="D1593" s="15" t="s">
        <v>132</v>
      </c>
      <c r="E1593" s="15" t="s">
        <v>574</v>
      </c>
      <c r="F1593" s="15">
        <v>26</v>
      </c>
      <c r="G1593" s="15">
        <v>26</v>
      </c>
    </row>
    <row r="1594" spans="1:7" x14ac:dyDescent="0.25">
      <c r="A1594" s="15" t="s">
        <v>1178</v>
      </c>
      <c r="B1594" s="15" t="s">
        <v>1179</v>
      </c>
      <c r="C1594" s="16">
        <v>23</v>
      </c>
      <c r="D1594" s="15" t="s">
        <v>453</v>
      </c>
      <c r="E1594" s="15" t="s">
        <v>1187</v>
      </c>
      <c r="F1594" s="15">
        <v>2</v>
      </c>
      <c r="G1594" s="15">
        <v>2</v>
      </c>
    </row>
    <row r="1595" spans="1:7" x14ac:dyDescent="0.25">
      <c r="A1595" s="15" t="s">
        <v>1178</v>
      </c>
      <c r="B1595" s="15" t="s">
        <v>1179</v>
      </c>
      <c r="C1595" s="16">
        <v>35</v>
      </c>
      <c r="D1595" s="15" t="s">
        <v>88</v>
      </c>
      <c r="E1595" s="15" t="s">
        <v>825</v>
      </c>
      <c r="F1595" s="15">
        <v>10</v>
      </c>
      <c r="G1595" s="15">
        <v>10</v>
      </c>
    </row>
    <row r="1596" spans="1:7" x14ac:dyDescent="0.25">
      <c r="A1596" s="15" t="s">
        <v>1178</v>
      </c>
      <c r="B1596" s="15" t="s">
        <v>1179</v>
      </c>
      <c r="C1596" s="16">
        <v>154.69999999999999</v>
      </c>
      <c r="D1596" s="15" t="s">
        <v>1089</v>
      </c>
      <c r="E1596" s="15" t="s">
        <v>576</v>
      </c>
      <c r="F1596" s="15">
        <v>91</v>
      </c>
      <c r="G1596" s="15">
        <v>91</v>
      </c>
    </row>
    <row r="1597" spans="1:7" x14ac:dyDescent="0.25">
      <c r="A1597" s="15" t="s">
        <v>1178</v>
      </c>
      <c r="B1597" s="15" t="s">
        <v>1179</v>
      </c>
      <c r="C1597" s="16">
        <v>160.6</v>
      </c>
      <c r="D1597" s="15" t="s">
        <v>422</v>
      </c>
      <c r="E1597" s="15" t="s">
        <v>423</v>
      </c>
      <c r="F1597" s="15">
        <v>73</v>
      </c>
      <c r="G1597" s="15">
        <v>73</v>
      </c>
    </row>
    <row r="1598" spans="1:7" x14ac:dyDescent="0.25">
      <c r="A1598" s="15" t="s">
        <v>1178</v>
      </c>
      <c r="B1598" s="15" t="s">
        <v>1179</v>
      </c>
      <c r="C1598" s="16">
        <v>1567.45</v>
      </c>
      <c r="D1598" s="15" t="s">
        <v>424</v>
      </c>
      <c r="E1598" s="15" t="s">
        <v>425</v>
      </c>
      <c r="F1598" s="15">
        <v>139</v>
      </c>
      <c r="G1598" s="15">
        <v>139</v>
      </c>
    </row>
    <row r="1599" spans="1:7" x14ac:dyDescent="0.25">
      <c r="A1599" s="15" t="s">
        <v>1178</v>
      </c>
      <c r="B1599" s="15" t="s">
        <v>1179</v>
      </c>
      <c r="C1599" s="16">
        <v>90</v>
      </c>
      <c r="D1599" s="15" t="s">
        <v>768</v>
      </c>
      <c r="E1599" s="15" t="s">
        <v>428</v>
      </c>
      <c r="F1599" s="15">
        <v>15</v>
      </c>
      <c r="G1599" s="15">
        <v>15</v>
      </c>
    </row>
    <row r="1600" spans="1:7" x14ac:dyDescent="0.25">
      <c r="A1600" s="15" t="s">
        <v>1178</v>
      </c>
      <c r="B1600" s="15" t="s">
        <v>1179</v>
      </c>
      <c r="C1600" s="16">
        <v>227.85</v>
      </c>
      <c r="D1600" s="15" t="s">
        <v>578</v>
      </c>
      <c r="E1600" s="15" t="s">
        <v>461</v>
      </c>
      <c r="F1600" s="15">
        <v>21</v>
      </c>
      <c r="G1600" s="15">
        <v>21</v>
      </c>
    </row>
    <row r="1601" spans="1:7" x14ac:dyDescent="0.25">
      <c r="A1601" s="15" t="s">
        <v>1178</v>
      </c>
      <c r="B1601" s="15" t="s">
        <v>1179</v>
      </c>
      <c r="C1601" s="16">
        <v>478.7</v>
      </c>
      <c r="D1601" s="15" t="s">
        <v>579</v>
      </c>
      <c r="E1601" s="15" t="s">
        <v>580</v>
      </c>
      <c r="F1601" s="15">
        <v>32</v>
      </c>
      <c r="G1601" s="15">
        <v>32</v>
      </c>
    </row>
    <row r="1602" spans="1:7" x14ac:dyDescent="0.25">
      <c r="A1602" s="15" t="s">
        <v>1178</v>
      </c>
      <c r="B1602" s="15" t="s">
        <v>1179</v>
      </c>
      <c r="C1602" s="16">
        <v>220.5</v>
      </c>
      <c r="D1602" s="15" t="s">
        <v>1144</v>
      </c>
      <c r="E1602" s="15" t="s">
        <v>1145</v>
      </c>
      <c r="F1602" s="15">
        <v>15</v>
      </c>
      <c r="G1602" s="15">
        <v>15</v>
      </c>
    </row>
    <row r="1603" spans="1:7" x14ac:dyDescent="0.25">
      <c r="A1603" s="15" t="s">
        <v>1188</v>
      </c>
      <c r="B1603" s="15" t="s">
        <v>1189</v>
      </c>
      <c r="C1603" s="16">
        <v>25</v>
      </c>
      <c r="D1603" s="15" t="s">
        <v>1190</v>
      </c>
      <c r="E1603" s="15" t="s">
        <v>1191</v>
      </c>
      <c r="F1603" s="15">
        <v>4</v>
      </c>
      <c r="G1603" s="15">
        <v>4</v>
      </c>
    </row>
    <row r="1604" spans="1:7" x14ac:dyDescent="0.25">
      <c r="A1604" s="15" t="s">
        <v>1188</v>
      </c>
      <c r="B1604" s="15" t="s">
        <v>1189</v>
      </c>
      <c r="C1604" s="16">
        <v>3.15</v>
      </c>
      <c r="D1604" s="15" t="s">
        <v>199</v>
      </c>
      <c r="E1604" s="15" t="s">
        <v>200</v>
      </c>
      <c r="F1604" s="15">
        <v>1</v>
      </c>
      <c r="G1604" s="15">
        <v>1</v>
      </c>
    </row>
    <row r="1605" spans="1:7" x14ac:dyDescent="0.25">
      <c r="A1605" s="15" t="s">
        <v>1188</v>
      </c>
      <c r="B1605" s="15" t="s">
        <v>1189</v>
      </c>
      <c r="C1605" s="16">
        <v>493.85</v>
      </c>
      <c r="D1605" s="15" t="s">
        <v>80</v>
      </c>
      <c r="E1605" s="15" t="s">
        <v>153</v>
      </c>
      <c r="F1605" s="15">
        <v>36</v>
      </c>
      <c r="G1605" s="15">
        <v>36</v>
      </c>
    </row>
    <row r="1606" spans="1:7" x14ac:dyDescent="0.25">
      <c r="A1606" s="15" t="s">
        <v>1188</v>
      </c>
      <c r="B1606" s="15" t="s">
        <v>1189</v>
      </c>
      <c r="C1606" s="16">
        <v>107.95</v>
      </c>
      <c r="D1606" s="15" t="s">
        <v>205</v>
      </c>
      <c r="E1606" s="15" t="s">
        <v>206</v>
      </c>
      <c r="F1606" s="15">
        <v>11</v>
      </c>
      <c r="G1606" s="15">
        <v>11</v>
      </c>
    </row>
    <row r="1607" spans="1:7" x14ac:dyDescent="0.25">
      <c r="A1607" s="15" t="s">
        <v>1188</v>
      </c>
      <c r="B1607" s="15" t="s">
        <v>1189</v>
      </c>
      <c r="C1607" s="16">
        <v>159.44999999999999</v>
      </c>
      <c r="D1607" s="15" t="s">
        <v>238</v>
      </c>
      <c r="E1607" s="15" t="s">
        <v>1093</v>
      </c>
      <c r="F1607" s="15">
        <v>21</v>
      </c>
      <c r="G1607" s="15">
        <v>21</v>
      </c>
    </row>
    <row r="1608" spans="1:7" x14ac:dyDescent="0.25">
      <c r="A1608" s="15" t="s">
        <v>1188</v>
      </c>
      <c r="B1608" s="15" t="s">
        <v>1189</v>
      </c>
      <c r="C1608" s="16">
        <v>2.0499999999999998</v>
      </c>
      <c r="D1608" s="15" t="s">
        <v>207</v>
      </c>
      <c r="E1608" s="15" t="s">
        <v>208</v>
      </c>
      <c r="F1608" s="15">
        <v>1</v>
      </c>
      <c r="G1608" s="15">
        <v>1</v>
      </c>
    </row>
    <row r="1609" spans="1:7" x14ac:dyDescent="0.25">
      <c r="A1609" s="15" t="s">
        <v>1188</v>
      </c>
      <c r="B1609" s="15" t="s">
        <v>1189</v>
      </c>
      <c r="C1609" s="16">
        <v>18.5</v>
      </c>
      <c r="D1609" s="15" t="s">
        <v>209</v>
      </c>
      <c r="E1609" s="15" t="s">
        <v>210</v>
      </c>
      <c r="F1609" s="15">
        <v>1</v>
      </c>
      <c r="G1609" s="15">
        <v>1</v>
      </c>
    </row>
    <row r="1610" spans="1:7" x14ac:dyDescent="0.25">
      <c r="A1610" s="15" t="s">
        <v>1188</v>
      </c>
      <c r="B1610" s="15" t="s">
        <v>1189</v>
      </c>
      <c r="C1610" s="16">
        <v>9.1999999999999993</v>
      </c>
      <c r="D1610" s="15" t="s">
        <v>80</v>
      </c>
      <c r="E1610" s="15" t="s">
        <v>211</v>
      </c>
      <c r="F1610" s="15">
        <v>4</v>
      </c>
      <c r="G1610" s="15">
        <v>4</v>
      </c>
    </row>
    <row r="1611" spans="1:7" x14ac:dyDescent="0.25">
      <c r="A1611" s="15" t="s">
        <v>1188</v>
      </c>
      <c r="B1611" s="15" t="s">
        <v>1189</v>
      </c>
      <c r="C1611" s="16">
        <v>0.8</v>
      </c>
      <c r="D1611" s="15" t="s">
        <v>775</v>
      </c>
      <c r="E1611" s="15" t="s">
        <v>776</v>
      </c>
      <c r="F1611" s="15">
        <v>2</v>
      </c>
      <c r="G1611" s="15">
        <v>2</v>
      </c>
    </row>
    <row r="1612" spans="1:7" x14ac:dyDescent="0.25">
      <c r="A1612" s="15" t="s">
        <v>1188</v>
      </c>
      <c r="B1612" s="15" t="s">
        <v>1189</v>
      </c>
      <c r="C1612" s="16">
        <v>4.38</v>
      </c>
      <c r="D1612" s="15" t="s">
        <v>362</v>
      </c>
      <c r="E1612" s="15" t="s">
        <v>1192</v>
      </c>
      <c r="F1612" s="15">
        <v>1</v>
      </c>
      <c r="G1612" s="15">
        <v>1</v>
      </c>
    </row>
    <row r="1613" spans="1:7" x14ac:dyDescent="0.25">
      <c r="A1613" s="15" t="s">
        <v>1188</v>
      </c>
      <c r="B1613" s="15" t="s">
        <v>1189</v>
      </c>
      <c r="C1613" s="16">
        <v>19.8</v>
      </c>
      <c r="D1613" s="15" t="s">
        <v>67</v>
      </c>
      <c r="E1613" s="15" t="s">
        <v>889</v>
      </c>
      <c r="F1613" s="15">
        <v>4</v>
      </c>
      <c r="G1613" s="15">
        <v>4</v>
      </c>
    </row>
    <row r="1614" spans="1:7" x14ac:dyDescent="0.25">
      <c r="A1614" s="15" t="s">
        <v>1188</v>
      </c>
      <c r="B1614" s="15" t="s">
        <v>1189</v>
      </c>
      <c r="C1614" s="16">
        <v>76.2</v>
      </c>
      <c r="D1614" s="15" t="s">
        <v>217</v>
      </c>
      <c r="E1614" s="15" t="s">
        <v>218</v>
      </c>
      <c r="F1614" s="15">
        <v>10</v>
      </c>
      <c r="G1614" s="15">
        <v>10</v>
      </c>
    </row>
    <row r="1615" spans="1:7" x14ac:dyDescent="0.25">
      <c r="A1615" s="15" t="s">
        <v>1188</v>
      </c>
      <c r="B1615" s="15" t="s">
        <v>1189</v>
      </c>
      <c r="C1615" s="16">
        <v>704.37</v>
      </c>
      <c r="D1615" s="15" t="s">
        <v>154</v>
      </c>
      <c r="E1615" s="15" t="s">
        <v>155</v>
      </c>
      <c r="F1615" s="15">
        <v>50</v>
      </c>
      <c r="G1615" s="15">
        <v>50</v>
      </c>
    </row>
    <row r="1616" spans="1:7" x14ac:dyDescent="0.25">
      <c r="A1616" s="15" t="s">
        <v>1188</v>
      </c>
      <c r="B1616" s="15" t="s">
        <v>1189</v>
      </c>
      <c r="C1616" s="16">
        <v>273.10000000000002</v>
      </c>
      <c r="D1616" s="15" t="s">
        <v>123</v>
      </c>
      <c r="E1616" s="15" t="s">
        <v>686</v>
      </c>
      <c r="F1616" s="15">
        <v>18</v>
      </c>
      <c r="G1616" s="15">
        <v>18</v>
      </c>
    </row>
    <row r="1617" spans="1:7" x14ac:dyDescent="0.25">
      <c r="A1617" s="15" t="s">
        <v>1188</v>
      </c>
      <c r="B1617" s="15" t="s">
        <v>1189</v>
      </c>
      <c r="C1617" s="16">
        <v>5.45</v>
      </c>
      <c r="D1617" s="15" t="s">
        <v>301</v>
      </c>
      <c r="E1617" s="15" t="s">
        <v>1193</v>
      </c>
      <c r="F1617" s="15">
        <v>2</v>
      </c>
      <c r="G1617" s="15">
        <v>2</v>
      </c>
    </row>
    <row r="1618" spans="1:7" x14ac:dyDescent="0.25">
      <c r="A1618" s="15" t="s">
        <v>1188</v>
      </c>
      <c r="B1618" s="15" t="s">
        <v>1189</v>
      </c>
      <c r="C1618" s="16">
        <v>14.2</v>
      </c>
      <c r="D1618" s="15" t="s">
        <v>161</v>
      </c>
      <c r="E1618" s="15" t="s">
        <v>162</v>
      </c>
      <c r="F1618" s="15">
        <v>2</v>
      </c>
      <c r="G1618" s="15">
        <v>2</v>
      </c>
    </row>
    <row r="1619" spans="1:7" x14ac:dyDescent="0.25">
      <c r="A1619" s="15" t="s">
        <v>1188</v>
      </c>
      <c r="B1619" s="15" t="s">
        <v>1189</v>
      </c>
      <c r="C1619" s="16">
        <v>1.4</v>
      </c>
      <c r="D1619" s="15" t="s">
        <v>248</v>
      </c>
      <c r="E1619" s="15" t="s">
        <v>1194</v>
      </c>
      <c r="F1619" s="15">
        <v>1</v>
      </c>
      <c r="G1619" s="15">
        <v>1</v>
      </c>
    </row>
    <row r="1620" spans="1:7" x14ac:dyDescent="0.25">
      <c r="A1620" s="15" t="s">
        <v>1188</v>
      </c>
      <c r="B1620" s="15" t="s">
        <v>1189</v>
      </c>
      <c r="C1620" s="16">
        <v>1.7</v>
      </c>
      <c r="D1620" s="15" t="s">
        <v>224</v>
      </c>
      <c r="E1620" s="15" t="s">
        <v>1195</v>
      </c>
      <c r="F1620" s="15">
        <v>1</v>
      </c>
      <c r="G1620" s="15">
        <v>1</v>
      </c>
    </row>
    <row r="1621" spans="1:7" x14ac:dyDescent="0.25">
      <c r="A1621" s="15" t="s">
        <v>1188</v>
      </c>
      <c r="B1621" s="15" t="s">
        <v>1189</v>
      </c>
      <c r="C1621" s="16">
        <v>425.55</v>
      </c>
      <c r="D1621" s="15" t="s">
        <v>163</v>
      </c>
      <c r="E1621" s="15" t="s">
        <v>164</v>
      </c>
      <c r="F1621" s="15">
        <v>44</v>
      </c>
      <c r="G1621" s="15">
        <v>44</v>
      </c>
    </row>
    <row r="1622" spans="1:7" x14ac:dyDescent="0.25">
      <c r="A1622" s="15" t="s">
        <v>1188</v>
      </c>
      <c r="B1622" s="15" t="s">
        <v>1189</v>
      </c>
      <c r="C1622" s="16">
        <v>1131.9000000000001</v>
      </c>
      <c r="D1622" s="15" t="s">
        <v>149</v>
      </c>
      <c r="E1622" s="15" t="s">
        <v>687</v>
      </c>
      <c r="F1622" s="15">
        <v>113</v>
      </c>
      <c r="G1622" s="15">
        <v>113</v>
      </c>
    </row>
    <row r="1623" spans="1:7" x14ac:dyDescent="0.25">
      <c r="A1623" s="15" t="s">
        <v>1188</v>
      </c>
      <c r="B1623" s="15" t="s">
        <v>1189</v>
      </c>
      <c r="C1623" s="16">
        <v>32.700000000000003</v>
      </c>
      <c r="D1623" s="15" t="s">
        <v>228</v>
      </c>
      <c r="E1623" s="15" t="s">
        <v>229</v>
      </c>
      <c r="F1623" s="15">
        <v>3</v>
      </c>
      <c r="G1623" s="15">
        <v>3</v>
      </c>
    </row>
    <row r="1624" spans="1:7" x14ac:dyDescent="0.25">
      <c r="A1624" s="15" t="s">
        <v>1188</v>
      </c>
      <c r="B1624" s="15" t="s">
        <v>1189</v>
      </c>
      <c r="C1624" s="16">
        <v>29.4</v>
      </c>
      <c r="D1624" s="15" t="s">
        <v>181</v>
      </c>
      <c r="E1624" s="15" t="s">
        <v>1196</v>
      </c>
      <c r="F1624" s="15">
        <v>4</v>
      </c>
      <c r="G1624" s="15">
        <v>4</v>
      </c>
    </row>
    <row r="1625" spans="1:7" x14ac:dyDescent="0.25">
      <c r="A1625" s="15" t="s">
        <v>1188</v>
      </c>
      <c r="B1625" s="15" t="s">
        <v>1189</v>
      </c>
      <c r="C1625" s="16">
        <v>17.649999999999999</v>
      </c>
      <c r="D1625" s="15" t="s">
        <v>90</v>
      </c>
      <c r="E1625" s="15" t="s">
        <v>1197</v>
      </c>
      <c r="F1625" s="15">
        <v>4</v>
      </c>
      <c r="G1625" s="15">
        <v>4</v>
      </c>
    </row>
    <row r="1626" spans="1:7" x14ac:dyDescent="0.25">
      <c r="A1626" s="15" t="s">
        <v>1188</v>
      </c>
      <c r="B1626" s="15" t="s">
        <v>1189</v>
      </c>
      <c r="C1626" s="16">
        <v>6</v>
      </c>
      <c r="D1626" s="15" t="s">
        <v>90</v>
      </c>
      <c r="E1626" s="15" t="s">
        <v>1198</v>
      </c>
      <c r="F1626" s="15">
        <v>2</v>
      </c>
      <c r="G1626" s="15">
        <v>2</v>
      </c>
    </row>
    <row r="1627" spans="1:7" x14ac:dyDescent="0.25">
      <c r="A1627" s="15" t="s">
        <v>1188</v>
      </c>
      <c r="B1627" s="15" t="s">
        <v>1189</v>
      </c>
      <c r="C1627" s="16">
        <v>579.20000000000005</v>
      </c>
      <c r="D1627" s="15" t="s">
        <v>105</v>
      </c>
      <c r="E1627" s="15" t="s">
        <v>234</v>
      </c>
      <c r="F1627" s="15">
        <v>71</v>
      </c>
      <c r="G1627" s="15">
        <v>71</v>
      </c>
    </row>
    <row r="1628" spans="1:7" x14ac:dyDescent="0.25">
      <c r="A1628" s="15" t="s">
        <v>1188</v>
      </c>
      <c r="B1628" s="15" t="s">
        <v>1189</v>
      </c>
      <c r="C1628" s="16">
        <v>7.25</v>
      </c>
      <c r="D1628" s="15" t="s">
        <v>156</v>
      </c>
      <c r="E1628" s="15" t="s">
        <v>166</v>
      </c>
      <c r="F1628" s="15">
        <v>2</v>
      </c>
      <c r="G1628" s="15">
        <v>2</v>
      </c>
    </row>
    <row r="1629" spans="1:7" x14ac:dyDescent="0.25">
      <c r="A1629" s="15" t="s">
        <v>1188</v>
      </c>
      <c r="B1629" s="15" t="s">
        <v>1189</v>
      </c>
      <c r="C1629" s="16">
        <v>305.39999999999998</v>
      </c>
      <c r="D1629" s="15" t="s">
        <v>287</v>
      </c>
      <c r="E1629" s="15" t="s">
        <v>691</v>
      </c>
      <c r="F1629" s="15">
        <v>49</v>
      </c>
      <c r="G1629" s="15">
        <v>49</v>
      </c>
    </row>
    <row r="1630" spans="1:7" x14ac:dyDescent="0.25">
      <c r="A1630" s="15" t="s">
        <v>1188</v>
      </c>
      <c r="B1630" s="15" t="s">
        <v>1189</v>
      </c>
      <c r="C1630" s="16">
        <v>3.55</v>
      </c>
      <c r="D1630" s="15" t="s">
        <v>1199</v>
      </c>
      <c r="E1630" s="15" t="s">
        <v>1200</v>
      </c>
      <c r="F1630" s="15">
        <v>1</v>
      </c>
      <c r="G1630" s="15">
        <v>1</v>
      </c>
    </row>
    <row r="1631" spans="1:7" x14ac:dyDescent="0.25">
      <c r="A1631" s="15" t="s">
        <v>1188</v>
      </c>
      <c r="B1631" s="15" t="s">
        <v>1189</v>
      </c>
      <c r="C1631" s="16">
        <v>1137.07</v>
      </c>
      <c r="D1631" s="15" t="s">
        <v>125</v>
      </c>
      <c r="E1631" s="15" t="s">
        <v>692</v>
      </c>
      <c r="F1631" s="15">
        <v>52</v>
      </c>
      <c r="G1631" s="15">
        <v>52</v>
      </c>
    </row>
    <row r="1632" spans="1:7" x14ac:dyDescent="0.25">
      <c r="A1632" s="15" t="s">
        <v>1188</v>
      </c>
      <c r="B1632" s="15" t="s">
        <v>1189</v>
      </c>
      <c r="C1632" s="16">
        <v>4.95</v>
      </c>
      <c r="D1632" s="15" t="s">
        <v>167</v>
      </c>
      <c r="E1632" s="15" t="s">
        <v>168</v>
      </c>
      <c r="F1632" s="15">
        <v>2</v>
      </c>
      <c r="G1632" s="15">
        <v>2</v>
      </c>
    </row>
    <row r="1633" spans="1:7" x14ac:dyDescent="0.25">
      <c r="A1633" s="15" t="s">
        <v>1188</v>
      </c>
      <c r="B1633" s="15" t="s">
        <v>1189</v>
      </c>
      <c r="C1633" s="16">
        <v>6.75</v>
      </c>
      <c r="D1633" s="15" t="s">
        <v>203</v>
      </c>
      <c r="E1633" s="15" t="s">
        <v>1201</v>
      </c>
      <c r="F1633" s="15">
        <v>1</v>
      </c>
      <c r="G1633" s="15">
        <v>1</v>
      </c>
    </row>
    <row r="1634" spans="1:7" x14ac:dyDescent="0.25">
      <c r="A1634" s="15" t="s">
        <v>1188</v>
      </c>
      <c r="B1634" s="15" t="s">
        <v>1189</v>
      </c>
      <c r="C1634" s="16">
        <v>12.56</v>
      </c>
      <c r="D1634" s="15" t="s">
        <v>899</v>
      </c>
      <c r="E1634" s="15" t="s">
        <v>900</v>
      </c>
      <c r="F1634" s="15">
        <v>5</v>
      </c>
      <c r="G1634" s="15">
        <v>5</v>
      </c>
    </row>
    <row r="1635" spans="1:7" x14ac:dyDescent="0.25">
      <c r="A1635" s="15" t="s">
        <v>1188</v>
      </c>
      <c r="B1635" s="15" t="s">
        <v>1189</v>
      </c>
      <c r="C1635" s="16">
        <v>10.95</v>
      </c>
      <c r="D1635" s="15" t="s">
        <v>655</v>
      </c>
      <c r="E1635" s="15" t="s">
        <v>656</v>
      </c>
      <c r="F1635" s="15">
        <v>1</v>
      </c>
      <c r="G1635" s="15">
        <v>1</v>
      </c>
    </row>
    <row r="1636" spans="1:7" x14ac:dyDescent="0.25">
      <c r="A1636" s="15" t="s">
        <v>1188</v>
      </c>
      <c r="B1636" s="15" t="s">
        <v>1189</v>
      </c>
      <c r="C1636" s="16">
        <v>73.05</v>
      </c>
      <c r="D1636" s="15" t="s">
        <v>247</v>
      </c>
      <c r="E1636" s="15" t="s">
        <v>1098</v>
      </c>
      <c r="F1636" s="15">
        <v>5</v>
      </c>
      <c r="G1636" s="15">
        <v>5</v>
      </c>
    </row>
    <row r="1637" spans="1:7" x14ac:dyDescent="0.25">
      <c r="A1637" s="15" t="s">
        <v>1188</v>
      </c>
      <c r="B1637" s="15" t="s">
        <v>1189</v>
      </c>
      <c r="C1637" s="16">
        <v>6.45</v>
      </c>
      <c r="D1637" s="15" t="s">
        <v>251</v>
      </c>
      <c r="E1637" s="15" t="s">
        <v>252</v>
      </c>
      <c r="F1637" s="15">
        <v>5</v>
      </c>
      <c r="G1637" s="15">
        <v>5</v>
      </c>
    </row>
    <row r="1638" spans="1:7" x14ac:dyDescent="0.25">
      <c r="A1638" s="15" t="s">
        <v>1188</v>
      </c>
      <c r="B1638" s="15" t="s">
        <v>1189</v>
      </c>
      <c r="C1638" s="16">
        <v>2143.25</v>
      </c>
      <c r="D1638" s="15" t="s">
        <v>455</v>
      </c>
      <c r="E1638" s="15" t="s">
        <v>694</v>
      </c>
      <c r="F1638" s="15">
        <v>74</v>
      </c>
      <c r="G1638" s="15">
        <v>74</v>
      </c>
    </row>
    <row r="1639" spans="1:7" x14ac:dyDescent="0.25">
      <c r="A1639" s="15" t="s">
        <v>1188</v>
      </c>
      <c r="B1639" s="15" t="s">
        <v>1189</v>
      </c>
      <c r="C1639" s="16">
        <v>6.2</v>
      </c>
      <c r="D1639" s="15" t="s">
        <v>172</v>
      </c>
      <c r="E1639" s="15" t="s">
        <v>173</v>
      </c>
      <c r="F1639" s="15">
        <v>4</v>
      </c>
      <c r="G1639" s="15">
        <v>4</v>
      </c>
    </row>
    <row r="1640" spans="1:7" x14ac:dyDescent="0.25">
      <c r="A1640" s="15" t="s">
        <v>1188</v>
      </c>
      <c r="B1640" s="15" t="s">
        <v>1189</v>
      </c>
      <c r="C1640" s="16">
        <v>0.7</v>
      </c>
      <c r="D1640" s="15" t="s">
        <v>309</v>
      </c>
      <c r="E1640" s="15" t="s">
        <v>1202</v>
      </c>
      <c r="F1640" s="15">
        <v>1</v>
      </c>
      <c r="G1640" s="15">
        <v>1</v>
      </c>
    </row>
    <row r="1641" spans="1:7" x14ac:dyDescent="0.25">
      <c r="A1641" s="15" t="s">
        <v>1188</v>
      </c>
      <c r="B1641" s="15" t="s">
        <v>1189</v>
      </c>
      <c r="C1641" s="16">
        <v>72.19</v>
      </c>
      <c r="D1641" s="15" t="s">
        <v>903</v>
      </c>
      <c r="E1641" s="15" t="s">
        <v>904</v>
      </c>
      <c r="F1641" s="15">
        <v>11</v>
      </c>
      <c r="G1641" s="15">
        <v>11</v>
      </c>
    </row>
    <row r="1642" spans="1:7" x14ac:dyDescent="0.25">
      <c r="A1642" s="15" t="s">
        <v>1188</v>
      </c>
      <c r="B1642" s="15" t="s">
        <v>1189</v>
      </c>
      <c r="C1642" s="16">
        <v>78.7</v>
      </c>
      <c r="D1642" s="15" t="s">
        <v>674</v>
      </c>
      <c r="E1642" s="15" t="s">
        <v>905</v>
      </c>
      <c r="F1642" s="15">
        <v>19</v>
      </c>
      <c r="G1642" s="15">
        <v>19</v>
      </c>
    </row>
    <row r="1643" spans="1:7" x14ac:dyDescent="0.25">
      <c r="A1643" s="15" t="s">
        <v>1188</v>
      </c>
      <c r="B1643" s="15" t="s">
        <v>1189</v>
      </c>
      <c r="C1643" s="16">
        <v>653.54999999999995</v>
      </c>
      <c r="D1643" s="15" t="s">
        <v>236</v>
      </c>
      <c r="E1643" s="15" t="s">
        <v>695</v>
      </c>
      <c r="F1643" s="15">
        <v>31</v>
      </c>
      <c r="G1643" s="15">
        <v>31</v>
      </c>
    </row>
    <row r="1644" spans="1:7" x14ac:dyDescent="0.25">
      <c r="A1644" s="15" t="s">
        <v>1188</v>
      </c>
      <c r="B1644" s="15" t="s">
        <v>1189</v>
      </c>
      <c r="C1644" s="16">
        <v>9.9</v>
      </c>
      <c r="D1644" s="15" t="s">
        <v>678</v>
      </c>
      <c r="E1644" s="15" t="s">
        <v>696</v>
      </c>
      <c r="F1644" s="15">
        <v>2</v>
      </c>
      <c r="G1644" s="15">
        <v>2</v>
      </c>
    </row>
    <row r="1645" spans="1:7" x14ac:dyDescent="0.25">
      <c r="A1645" s="15" t="s">
        <v>1188</v>
      </c>
      <c r="B1645" s="15" t="s">
        <v>1189</v>
      </c>
      <c r="C1645" s="16">
        <v>408.5</v>
      </c>
      <c r="D1645" s="15" t="s">
        <v>256</v>
      </c>
      <c r="E1645" s="15" t="s">
        <v>257</v>
      </c>
      <c r="F1645" s="15">
        <v>32</v>
      </c>
      <c r="G1645" s="15">
        <v>32</v>
      </c>
    </row>
    <row r="1646" spans="1:7" x14ac:dyDescent="0.25">
      <c r="A1646" s="15" t="s">
        <v>1188</v>
      </c>
      <c r="B1646" s="15" t="s">
        <v>1189</v>
      </c>
      <c r="C1646" s="16">
        <v>180.5</v>
      </c>
      <c r="D1646" s="15" t="s">
        <v>176</v>
      </c>
      <c r="E1646" s="15" t="s">
        <v>177</v>
      </c>
      <c r="F1646" s="15">
        <v>11</v>
      </c>
      <c r="G1646" s="15">
        <v>11</v>
      </c>
    </row>
    <row r="1647" spans="1:7" x14ac:dyDescent="0.25">
      <c r="A1647" s="15" t="s">
        <v>1188</v>
      </c>
      <c r="B1647" s="15" t="s">
        <v>1189</v>
      </c>
      <c r="C1647" s="16">
        <v>230</v>
      </c>
      <c r="D1647" s="15" t="s">
        <v>95</v>
      </c>
      <c r="E1647" s="15" t="s">
        <v>697</v>
      </c>
      <c r="F1647" s="15">
        <v>10</v>
      </c>
      <c r="G1647" s="15">
        <v>10</v>
      </c>
    </row>
    <row r="1648" spans="1:7" x14ac:dyDescent="0.25">
      <c r="A1648" s="15" t="s">
        <v>1188</v>
      </c>
      <c r="B1648" s="15" t="s">
        <v>1189</v>
      </c>
      <c r="C1648" s="16">
        <v>126.25</v>
      </c>
      <c r="D1648" s="15" t="s">
        <v>265</v>
      </c>
      <c r="E1648" s="15" t="s">
        <v>1203</v>
      </c>
      <c r="F1648" s="15">
        <v>12</v>
      </c>
      <c r="G1648" s="15">
        <v>12</v>
      </c>
    </row>
    <row r="1649" spans="1:7" x14ac:dyDescent="0.25">
      <c r="A1649" s="15" t="s">
        <v>1188</v>
      </c>
      <c r="B1649" s="15" t="s">
        <v>1189</v>
      </c>
      <c r="C1649" s="16">
        <v>2.4500000000000002</v>
      </c>
      <c r="D1649" s="15" t="s">
        <v>80</v>
      </c>
      <c r="E1649" s="15" t="s">
        <v>178</v>
      </c>
      <c r="F1649" s="15">
        <v>1</v>
      </c>
      <c r="G1649" s="15">
        <v>1</v>
      </c>
    </row>
    <row r="1650" spans="1:7" x14ac:dyDescent="0.25">
      <c r="A1650" s="15" t="s">
        <v>1188</v>
      </c>
      <c r="B1650" s="15" t="s">
        <v>1189</v>
      </c>
      <c r="C1650" s="16">
        <v>16.2</v>
      </c>
      <c r="D1650" s="15" t="s">
        <v>80</v>
      </c>
      <c r="E1650" s="15" t="s">
        <v>1204</v>
      </c>
      <c r="F1650" s="15">
        <v>4</v>
      </c>
      <c r="G1650" s="15">
        <v>4</v>
      </c>
    </row>
    <row r="1651" spans="1:7" x14ac:dyDescent="0.25">
      <c r="A1651" s="15" t="s">
        <v>1188</v>
      </c>
      <c r="B1651" s="15" t="s">
        <v>1189</v>
      </c>
      <c r="C1651" s="16">
        <v>313</v>
      </c>
      <c r="D1651" s="15" t="s">
        <v>653</v>
      </c>
      <c r="E1651" s="15" t="s">
        <v>701</v>
      </c>
      <c r="F1651" s="15">
        <v>34</v>
      </c>
      <c r="G1651" s="15">
        <v>34</v>
      </c>
    </row>
    <row r="1652" spans="1:7" x14ac:dyDescent="0.25">
      <c r="A1652" s="15" t="s">
        <v>1188</v>
      </c>
      <c r="B1652" s="15" t="s">
        <v>1189</v>
      </c>
      <c r="C1652" s="16">
        <v>25.66</v>
      </c>
      <c r="D1652" s="15" t="s">
        <v>906</v>
      </c>
      <c r="E1652" s="15" t="s">
        <v>907</v>
      </c>
      <c r="F1652" s="15">
        <v>6</v>
      </c>
      <c r="G1652" s="15">
        <v>6</v>
      </c>
    </row>
    <row r="1653" spans="1:7" x14ac:dyDescent="0.25">
      <c r="A1653" s="15" t="s">
        <v>1188</v>
      </c>
      <c r="B1653" s="15" t="s">
        <v>1189</v>
      </c>
      <c r="C1653" s="16">
        <v>699.7</v>
      </c>
      <c r="D1653" s="15" t="s">
        <v>313</v>
      </c>
      <c r="E1653" s="15" t="s">
        <v>180</v>
      </c>
      <c r="F1653" s="15">
        <v>18</v>
      </c>
      <c r="G1653" s="15">
        <v>18</v>
      </c>
    </row>
    <row r="1654" spans="1:7" x14ac:dyDescent="0.25">
      <c r="A1654" s="15" t="s">
        <v>1188</v>
      </c>
      <c r="B1654" s="15" t="s">
        <v>1189</v>
      </c>
      <c r="C1654" s="16">
        <v>5</v>
      </c>
      <c r="D1654" s="15" t="s">
        <v>86</v>
      </c>
      <c r="E1654" s="15" t="s">
        <v>677</v>
      </c>
      <c r="F1654" s="15">
        <v>1</v>
      </c>
      <c r="G1654" s="15">
        <v>1</v>
      </c>
    </row>
    <row r="1655" spans="1:7" x14ac:dyDescent="0.25">
      <c r="A1655" s="15" t="s">
        <v>1188</v>
      </c>
      <c r="B1655" s="15" t="s">
        <v>1189</v>
      </c>
      <c r="C1655" s="16">
        <v>103.4</v>
      </c>
      <c r="D1655" s="15" t="s">
        <v>181</v>
      </c>
      <c r="E1655" s="15" t="s">
        <v>182</v>
      </c>
      <c r="F1655" s="15">
        <v>24</v>
      </c>
      <c r="G1655" s="15">
        <v>24</v>
      </c>
    </row>
    <row r="1656" spans="1:7" x14ac:dyDescent="0.25">
      <c r="A1656" s="15" t="s">
        <v>1188</v>
      </c>
      <c r="B1656" s="15" t="s">
        <v>1189</v>
      </c>
      <c r="C1656" s="16">
        <v>951.05</v>
      </c>
      <c r="D1656" s="15" t="s">
        <v>149</v>
      </c>
      <c r="E1656" s="15" t="s">
        <v>1205</v>
      </c>
      <c r="F1656" s="15">
        <v>54</v>
      </c>
      <c r="G1656" s="15">
        <v>54</v>
      </c>
    </row>
    <row r="1657" spans="1:7" x14ac:dyDescent="0.25">
      <c r="A1657" s="15" t="s">
        <v>1188</v>
      </c>
      <c r="B1657" s="15" t="s">
        <v>1189</v>
      </c>
      <c r="C1657" s="16">
        <v>39.9</v>
      </c>
      <c r="D1657" s="15" t="s">
        <v>706</v>
      </c>
      <c r="E1657" s="15" t="s">
        <v>707</v>
      </c>
      <c r="F1657" s="15">
        <v>14</v>
      </c>
      <c r="G1657" s="15">
        <v>14</v>
      </c>
    </row>
    <row r="1658" spans="1:7" x14ac:dyDescent="0.25">
      <c r="A1658" s="15" t="s">
        <v>1188</v>
      </c>
      <c r="B1658" s="15" t="s">
        <v>1189</v>
      </c>
      <c r="C1658" s="16">
        <v>9.1999999999999993</v>
      </c>
      <c r="D1658" s="15" t="s">
        <v>289</v>
      </c>
      <c r="E1658" s="15" t="s">
        <v>630</v>
      </c>
      <c r="F1658" s="15">
        <v>1</v>
      </c>
      <c r="G1658" s="15">
        <v>1</v>
      </c>
    </row>
    <row r="1659" spans="1:7" x14ac:dyDescent="0.25">
      <c r="A1659" s="15" t="s">
        <v>1188</v>
      </c>
      <c r="B1659" s="15" t="s">
        <v>1189</v>
      </c>
      <c r="C1659" s="16">
        <v>3.15</v>
      </c>
      <c r="D1659" s="15" t="s">
        <v>185</v>
      </c>
      <c r="E1659" s="15" t="s">
        <v>186</v>
      </c>
      <c r="F1659" s="15">
        <v>3</v>
      </c>
      <c r="G1659" s="15">
        <v>3</v>
      </c>
    </row>
    <row r="1660" spans="1:7" x14ac:dyDescent="0.25">
      <c r="A1660" s="15" t="s">
        <v>1188</v>
      </c>
      <c r="B1660" s="15" t="s">
        <v>1189</v>
      </c>
      <c r="C1660" s="16">
        <v>4.5999999999999996</v>
      </c>
      <c r="D1660" s="15" t="s">
        <v>298</v>
      </c>
      <c r="E1660" s="15" t="s">
        <v>912</v>
      </c>
      <c r="F1660" s="15">
        <v>2</v>
      </c>
      <c r="G1660" s="15">
        <v>2</v>
      </c>
    </row>
    <row r="1661" spans="1:7" x14ac:dyDescent="0.25">
      <c r="A1661" s="15" t="s">
        <v>1188</v>
      </c>
      <c r="B1661" s="15" t="s">
        <v>1189</v>
      </c>
      <c r="C1661" s="16">
        <v>3.55</v>
      </c>
      <c r="D1661" s="15" t="s">
        <v>913</v>
      </c>
      <c r="E1661" s="15" t="s">
        <v>914</v>
      </c>
      <c r="F1661" s="15">
        <v>1</v>
      </c>
      <c r="G1661" s="15">
        <v>1</v>
      </c>
    </row>
    <row r="1662" spans="1:7" x14ac:dyDescent="0.25">
      <c r="A1662" s="15" t="s">
        <v>1188</v>
      </c>
      <c r="B1662" s="15" t="s">
        <v>1189</v>
      </c>
      <c r="C1662" s="16">
        <v>9.9499999999999993</v>
      </c>
      <c r="D1662" s="15" t="s">
        <v>80</v>
      </c>
      <c r="E1662" s="15" t="s">
        <v>916</v>
      </c>
      <c r="F1662" s="15">
        <v>3</v>
      </c>
      <c r="G1662" s="15">
        <v>3</v>
      </c>
    </row>
    <row r="1663" spans="1:7" x14ac:dyDescent="0.25">
      <c r="A1663" s="15" t="s">
        <v>1188</v>
      </c>
      <c r="B1663" s="15" t="s">
        <v>1189</v>
      </c>
      <c r="C1663" s="16">
        <v>25.6</v>
      </c>
      <c r="D1663" s="15" t="s">
        <v>278</v>
      </c>
      <c r="E1663" s="15" t="s">
        <v>279</v>
      </c>
      <c r="F1663" s="15">
        <v>8</v>
      </c>
      <c r="G1663" s="15">
        <v>8</v>
      </c>
    </row>
    <row r="1664" spans="1:7" x14ac:dyDescent="0.25">
      <c r="A1664" s="15" t="s">
        <v>1188</v>
      </c>
      <c r="B1664" s="15" t="s">
        <v>1189</v>
      </c>
      <c r="C1664" s="16">
        <v>30.8</v>
      </c>
      <c r="D1664" s="15" t="s">
        <v>511</v>
      </c>
      <c r="E1664" s="15" t="s">
        <v>1206</v>
      </c>
      <c r="F1664" s="15">
        <v>7</v>
      </c>
      <c r="G1664" s="15">
        <v>7</v>
      </c>
    </row>
    <row r="1665" spans="1:7" x14ac:dyDescent="0.25">
      <c r="A1665" s="15" t="s">
        <v>1188</v>
      </c>
      <c r="B1665" s="15" t="s">
        <v>1189</v>
      </c>
      <c r="C1665" s="16">
        <v>0.25</v>
      </c>
      <c r="D1665" s="15" t="s">
        <v>1017</v>
      </c>
      <c r="E1665" s="15" t="s">
        <v>1207</v>
      </c>
      <c r="F1665" s="15">
        <v>1</v>
      </c>
      <c r="G1665" s="15">
        <v>1</v>
      </c>
    </row>
    <row r="1666" spans="1:7" x14ac:dyDescent="0.25">
      <c r="A1666" s="15" t="s">
        <v>1188</v>
      </c>
      <c r="B1666" s="15" t="s">
        <v>1189</v>
      </c>
      <c r="C1666" s="16">
        <v>54.2</v>
      </c>
      <c r="D1666" s="15" t="s">
        <v>132</v>
      </c>
      <c r="E1666" s="15" t="s">
        <v>1208</v>
      </c>
      <c r="F1666" s="15">
        <v>9</v>
      </c>
      <c r="G1666" s="15">
        <v>9</v>
      </c>
    </row>
    <row r="1667" spans="1:7" x14ac:dyDescent="0.25">
      <c r="A1667" s="15" t="s">
        <v>1188</v>
      </c>
      <c r="B1667" s="15" t="s">
        <v>1189</v>
      </c>
      <c r="C1667" s="16">
        <v>22</v>
      </c>
      <c r="D1667" s="15" t="s">
        <v>285</v>
      </c>
      <c r="E1667" s="15" t="s">
        <v>286</v>
      </c>
      <c r="F1667" s="15">
        <v>11</v>
      </c>
      <c r="G1667" s="15">
        <v>11</v>
      </c>
    </row>
    <row r="1668" spans="1:7" x14ac:dyDescent="0.25">
      <c r="A1668" s="15" t="s">
        <v>1188</v>
      </c>
      <c r="B1668" s="15" t="s">
        <v>1189</v>
      </c>
      <c r="C1668" s="16">
        <v>8.0500000000000007</v>
      </c>
      <c r="D1668" s="15" t="s">
        <v>509</v>
      </c>
      <c r="E1668" s="15" t="s">
        <v>1209</v>
      </c>
      <c r="F1668" s="15">
        <v>1</v>
      </c>
      <c r="G1668" s="15">
        <v>1</v>
      </c>
    </row>
    <row r="1669" spans="1:7" x14ac:dyDescent="0.25">
      <c r="A1669" s="15" t="s">
        <v>1188</v>
      </c>
      <c r="B1669" s="15" t="s">
        <v>1189</v>
      </c>
      <c r="C1669" s="16">
        <v>498.75</v>
      </c>
      <c r="D1669" s="15" t="s">
        <v>98</v>
      </c>
      <c r="E1669" s="15" t="s">
        <v>709</v>
      </c>
      <c r="F1669" s="15">
        <v>11</v>
      </c>
      <c r="G1669" s="15">
        <v>11</v>
      </c>
    </row>
    <row r="1670" spans="1:7" x14ac:dyDescent="0.25">
      <c r="A1670" s="15" t="s">
        <v>1188</v>
      </c>
      <c r="B1670" s="15" t="s">
        <v>1189</v>
      </c>
      <c r="C1670" s="16">
        <v>26</v>
      </c>
      <c r="D1670" s="15" t="s">
        <v>80</v>
      </c>
      <c r="E1670" s="15" t="s">
        <v>918</v>
      </c>
      <c r="F1670" s="15">
        <v>4</v>
      </c>
      <c r="G1670" s="15">
        <v>4</v>
      </c>
    </row>
    <row r="1671" spans="1:7" x14ac:dyDescent="0.25">
      <c r="A1671" s="15" t="s">
        <v>1188</v>
      </c>
      <c r="B1671" s="15" t="s">
        <v>1189</v>
      </c>
      <c r="C1671" s="16">
        <v>2.15</v>
      </c>
      <c r="D1671" s="15" t="s">
        <v>179</v>
      </c>
      <c r="E1671" s="15" t="s">
        <v>1210</v>
      </c>
      <c r="F1671" s="15">
        <v>1</v>
      </c>
      <c r="G1671" s="15">
        <v>1</v>
      </c>
    </row>
    <row r="1672" spans="1:7" x14ac:dyDescent="0.25">
      <c r="A1672" s="15" t="s">
        <v>1188</v>
      </c>
      <c r="B1672" s="15" t="s">
        <v>1189</v>
      </c>
      <c r="C1672" s="16">
        <v>5.0999999999999996</v>
      </c>
      <c r="D1672" s="15" t="s">
        <v>80</v>
      </c>
      <c r="E1672" s="15" t="s">
        <v>862</v>
      </c>
      <c r="F1672" s="15">
        <v>1</v>
      </c>
      <c r="G1672" s="15">
        <v>1</v>
      </c>
    </row>
    <row r="1673" spans="1:7" x14ac:dyDescent="0.25">
      <c r="A1673" s="15" t="s">
        <v>1188</v>
      </c>
      <c r="B1673" s="15" t="s">
        <v>1189</v>
      </c>
      <c r="C1673" s="16">
        <v>92.2</v>
      </c>
      <c r="D1673" s="15" t="s">
        <v>222</v>
      </c>
      <c r="E1673" s="15" t="s">
        <v>1211</v>
      </c>
      <c r="F1673" s="15">
        <v>7</v>
      </c>
      <c r="G1673" s="15">
        <v>7</v>
      </c>
    </row>
    <row r="1674" spans="1:7" x14ac:dyDescent="0.25">
      <c r="A1674" s="15" t="s">
        <v>1188</v>
      </c>
      <c r="B1674" s="15" t="s">
        <v>1189</v>
      </c>
      <c r="C1674" s="16">
        <v>249.2</v>
      </c>
      <c r="D1674" s="15" t="s">
        <v>80</v>
      </c>
      <c r="E1674" s="15" t="s">
        <v>297</v>
      </c>
      <c r="F1674" s="15">
        <v>14</v>
      </c>
      <c r="G1674" s="15">
        <v>14</v>
      </c>
    </row>
    <row r="1675" spans="1:7" x14ac:dyDescent="0.25">
      <c r="A1675" s="15" t="s">
        <v>1188</v>
      </c>
      <c r="B1675" s="15" t="s">
        <v>1189</v>
      </c>
      <c r="C1675" s="16">
        <v>3.7</v>
      </c>
      <c r="D1675" s="15" t="s">
        <v>447</v>
      </c>
      <c r="E1675" s="15" t="s">
        <v>919</v>
      </c>
      <c r="F1675" s="15">
        <v>1</v>
      </c>
      <c r="G1675" s="15">
        <v>1</v>
      </c>
    </row>
    <row r="1676" spans="1:7" x14ac:dyDescent="0.25">
      <c r="A1676" s="15" t="s">
        <v>1188</v>
      </c>
      <c r="B1676" s="15" t="s">
        <v>1189</v>
      </c>
      <c r="C1676" s="16">
        <v>188.35</v>
      </c>
      <c r="D1676" s="15" t="s">
        <v>303</v>
      </c>
      <c r="E1676" s="15" t="s">
        <v>304</v>
      </c>
      <c r="F1676" s="15">
        <v>30</v>
      </c>
      <c r="G1676" s="15">
        <v>30</v>
      </c>
    </row>
    <row r="1677" spans="1:7" x14ac:dyDescent="0.25">
      <c r="A1677" s="15" t="s">
        <v>1188</v>
      </c>
      <c r="B1677" s="15" t="s">
        <v>1189</v>
      </c>
      <c r="C1677" s="16">
        <v>105.89</v>
      </c>
      <c r="D1677" s="15" t="s">
        <v>307</v>
      </c>
      <c r="E1677" s="15" t="s">
        <v>308</v>
      </c>
      <c r="F1677" s="15">
        <v>10</v>
      </c>
      <c r="G1677" s="15">
        <v>10</v>
      </c>
    </row>
    <row r="1678" spans="1:7" x14ac:dyDescent="0.25">
      <c r="A1678" s="15" t="s">
        <v>1188</v>
      </c>
      <c r="B1678" s="15" t="s">
        <v>1189</v>
      </c>
      <c r="C1678" s="16">
        <v>9.9499999999999993</v>
      </c>
      <c r="D1678" s="15" t="s">
        <v>194</v>
      </c>
      <c r="E1678" s="15" t="s">
        <v>426</v>
      </c>
      <c r="F1678" s="15">
        <v>2</v>
      </c>
      <c r="G1678" s="15">
        <v>2</v>
      </c>
    </row>
    <row r="1679" spans="1:7" x14ac:dyDescent="0.25">
      <c r="A1679" s="15" t="s">
        <v>1188</v>
      </c>
      <c r="B1679" s="15" t="s">
        <v>1189</v>
      </c>
      <c r="C1679" s="16">
        <v>6.8</v>
      </c>
      <c r="D1679" s="15" t="s">
        <v>1007</v>
      </c>
      <c r="E1679" s="15" t="s">
        <v>1212</v>
      </c>
      <c r="F1679" s="15">
        <v>1</v>
      </c>
      <c r="G1679" s="15">
        <v>1</v>
      </c>
    </row>
    <row r="1680" spans="1:7" x14ac:dyDescent="0.25">
      <c r="A1680" s="15" t="s">
        <v>1188</v>
      </c>
      <c r="B1680" s="15" t="s">
        <v>1189</v>
      </c>
      <c r="C1680" s="16">
        <v>25.25</v>
      </c>
      <c r="D1680" s="15" t="s">
        <v>894</v>
      </c>
      <c r="E1680" s="15" t="s">
        <v>1213</v>
      </c>
      <c r="F1680" s="15">
        <v>5</v>
      </c>
      <c r="G1680" s="15">
        <v>5</v>
      </c>
    </row>
    <row r="1681" spans="1:7" x14ac:dyDescent="0.25">
      <c r="A1681" s="15" t="s">
        <v>1214</v>
      </c>
      <c r="B1681" s="15" t="s">
        <v>1215</v>
      </c>
      <c r="C1681" s="16">
        <v>4.05</v>
      </c>
      <c r="D1681" s="15" t="s">
        <v>238</v>
      </c>
      <c r="E1681" s="15" t="s">
        <v>1093</v>
      </c>
      <c r="F1681" s="15">
        <v>1</v>
      </c>
      <c r="G1681" s="15">
        <v>1</v>
      </c>
    </row>
    <row r="1682" spans="1:7" x14ac:dyDescent="0.25">
      <c r="A1682" s="15" t="s">
        <v>1214</v>
      </c>
      <c r="B1682" s="15" t="s">
        <v>1215</v>
      </c>
      <c r="C1682" s="16">
        <v>576.20000000000005</v>
      </c>
      <c r="D1682" s="15" t="s">
        <v>360</v>
      </c>
      <c r="E1682" s="15" t="s">
        <v>584</v>
      </c>
      <c r="F1682" s="15">
        <v>134</v>
      </c>
      <c r="G1682" s="15">
        <v>134</v>
      </c>
    </row>
    <row r="1683" spans="1:7" x14ac:dyDescent="0.25">
      <c r="A1683" s="15" t="s">
        <v>1214</v>
      </c>
      <c r="B1683" s="15" t="s">
        <v>1215</v>
      </c>
      <c r="C1683" s="16">
        <v>120.9</v>
      </c>
      <c r="D1683" s="15" t="s">
        <v>156</v>
      </c>
      <c r="E1683" s="15" t="s">
        <v>1216</v>
      </c>
      <c r="F1683" s="15">
        <v>13</v>
      </c>
      <c r="G1683" s="15">
        <v>13</v>
      </c>
    </row>
    <row r="1684" spans="1:7" x14ac:dyDescent="0.25">
      <c r="A1684" s="15" t="s">
        <v>1214</v>
      </c>
      <c r="B1684" s="15" t="s">
        <v>1215</v>
      </c>
      <c r="C1684" s="16">
        <v>1839.2</v>
      </c>
      <c r="D1684" s="15" t="s">
        <v>837</v>
      </c>
      <c r="E1684" s="15" t="s">
        <v>838</v>
      </c>
      <c r="F1684" s="15">
        <v>44</v>
      </c>
      <c r="G1684" s="15">
        <v>44</v>
      </c>
    </row>
    <row r="1685" spans="1:7" x14ac:dyDescent="0.25">
      <c r="A1685" s="15" t="s">
        <v>1214</v>
      </c>
      <c r="B1685" s="15" t="s">
        <v>1215</v>
      </c>
      <c r="C1685" s="16">
        <v>179.2</v>
      </c>
      <c r="D1685" s="15" t="s">
        <v>90</v>
      </c>
      <c r="E1685" s="15" t="s">
        <v>673</v>
      </c>
      <c r="F1685" s="15">
        <v>16</v>
      </c>
      <c r="G1685" s="15">
        <v>16</v>
      </c>
    </row>
    <row r="1686" spans="1:7" x14ac:dyDescent="0.25">
      <c r="A1686" s="15" t="s">
        <v>1214</v>
      </c>
      <c r="B1686" s="15" t="s">
        <v>1215</v>
      </c>
      <c r="C1686" s="16">
        <v>288.39999999999998</v>
      </c>
      <c r="D1686" s="15" t="s">
        <v>590</v>
      </c>
      <c r="E1686" s="15" t="s">
        <v>591</v>
      </c>
      <c r="F1686" s="15">
        <v>14</v>
      </c>
      <c r="G1686" s="15">
        <v>14</v>
      </c>
    </row>
    <row r="1687" spans="1:7" x14ac:dyDescent="0.25">
      <c r="A1687" s="15" t="s">
        <v>1214</v>
      </c>
      <c r="B1687" s="15" t="s">
        <v>1215</v>
      </c>
      <c r="C1687" s="16">
        <v>57.4</v>
      </c>
      <c r="D1687" s="15" t="s">
        <v>80</v>
      </c>
      <c r="E1687" s="15" t="s">
        <v>322</v>
      </c>
      <c r="F1687" s="15">
        <v>8</v>
      </c>
      <c r="G1687" s="15">
        <v>8</v>
      </c>
    </row>
    <row r="1688" spans="1:7" x14ac:dyDescent="0.25">
      <c r="A1688" s="15" t="s">
        <v>1214</v>
      </c>
      <c r="B1688" s="15" t="s">
        <v>1215</v>
      </c>
      <c r="C1688" s="16">
        <v>12</v>
      </c>
      <c r="D1688" s="15" t="s">
        <v>80</v>
      </c>
      <c r="E1688" s="15" t="s">
        <v>779</v>
      </c>
      <c r="F1688" s="15">
        <v>5</v>
      </c>
      <c r="G1688" s="15">
        <v>5</v>
      </c>
    </row>
    <row r="1689" spans="1:7" x14ac:dyDescent="0.25">
      <c r="A1689" s="15" t="s">
        <v>1214</v>
      </c>
      <c r="B1689" s="15" t="s">
        <v>1215</v>
      </c>
      <c r="C1689" s="16">
        <v>4.8</v>
      </c>
      <c r="D1689" s="15" t="s">
        <v>1107</v>
      </c>
      <c r="E1689" s="15" t="s">
        <v>1108</v>
      </c>
      <c r="F1689" s="15">
        <v>1</v>
      </c>
      <c r="G1689" s="15">
        <v>1</v>
      </c>
    </row>
    <row r="1690" spans="1:7" x14ac:dyDescent="0.25">
      <c r="A1690" s="15" t="s">
        <v>1214</v>
      </c>
      <c r="B1690" s="15" t="s">
        <v>1215</v>
      </c>
      <c r="C1690" s="16">
        <v>33.35</v>
      </c>
      <c r="D1690" s="15" t="s">
        <v>1095</v>
      </c>
      <c r="E1690" s="15" t="s">
        <v>1096</v>
      </c>
      <c r="F1690" s="15">
        <v>3</v>
      </c>
      <c r="G1690" s="15">
        <v>3</v>
      </c>
    </row>
    <row r="1691" spans="1:7" x14ac:dyDescent="0.25">
      <c r="A1691" s="15" t="s">
        <v>1214</v>
      </c>
      <c r="B1691" s="15" t="s">
        <v>1215</v>
      </c>
      <c r="C1691" s="16">
        <v>108</v>
      </c>
      <c r="D1691" s="15" t="s">
        <v>123</v>
      </c>
      <c r="E1691" s="15" t="s">
        <v>1217</v>
      </c>
      <c r="F1691" s="15">
        <v>6</v>
      </c>
      <c r="G1691" s="15">
        <v>6</v>
      </c>
    </row>
    <row r="1692" spans="1:7" x14ac:dyDescent="0.25">
      <c r="A1692" s="15" t="s">
        <v>1214</v>
      </c>
      <c r="B1692" s="15" t="s">
        <v>1215</v>
      </c>
      <c r="C1692" s="16">
        <v>14.3</v>
      </c>
      <c r="D1692" s="15" t="s">
        <v>431</v>
      </c>
      <c r="E1692" s="15" t="s">
        <v>1218</v>
      </c>
      <c r="F1692" s="15">
        <v>5</v>
      </c>
      <c r="G1692" s="15">
        <v>5</v>
      </c>
    </row>
    <row r="1693" spans="1:7" x14ac:dyDescent="0.25">
      <c r="A1693" s="15" t="s">
        <v>1214</v>
      </c>
      <c r="B1693" s="15" t="s">
        <v>1215</v>
      </c>
      <c r="C1693" s="16">
        <v>5.65</v>
      </c>
      <c r="D1693" s="15" t="s">
        <v>80</v>
      </c>
      <c r="E1693" s="15" t="s">
        <v>1219</v>
      </c>
      <c r="F1693" s="15">
        <v>1</v>
      </c>
      <c r="G1693" s="15">
        <v>1</v>
      </c>
    </row>
    <row r="1694" spans="1:7" x14ac:dyDescent="0.25">
      <c r="A1694" s="15" t="s">
        <v>1214</v>
      </c>
      <c r="B1694" s="15" t="s">
        <v>1215</v>
      </c>
      <c r="C1694" s="16">
        <v>10.6</v>
      </c>
      <c r="D1694" s="15" t="s">
        <v>385</v>
      </c>
      <c r="E1694" s="15" t="s">
        <v>1220</v>
      </c>
      <c r="F1694" s="15">
        <v>6</v>
      </c>
      <c r="G1694" s="15">
        <v>6</v>
      </c>
    </row>
    <row r="1695" spans="1:7" x14ac:dyDescent="0.25">
      <c r="A1695" s="15" t="s">
        <v>1214</v>
      </c>
      <c r="B1695" s="15" t="s">
        <v>1215</v>
      </c>
      <c r="C1695" s="16">
        <v>660</v>
      </c>
      <c r="D1695" s="15" t="s">
        <v>1019</v>
      </c>
      <c r="E1695" s="15" t="s">
        <v>1020</v>
      </c>
      <c r="F1695" s="15">
        <v>2</v>
      </c>
      <c r="G1695" s="15">
        <v>2</v>
      </c>
    </row>
    <row r="1696" spans="1:7" x14ac:dyDescent="0.25">
      <c r="A1696" s="15" t="s">
        <v>1214</v>
      </c>
      <c r="B1696" s="15" t="s">
        <v>1215</v>
      </c>
      <c r="C1696" s="16">
        <v>2.75</v>
      </c>
      <c r="D1696" s="15" t="s">
        <v>82</v>
      </c>
      <c r="E1696" s="15" t="s">
        <v>327</v>
      </c>
      <c r="F1696" s="15">
        <v>1</v>
      </c>
      <c r="G1696" s="15">
        <v>1</v>
      </c>
    </row>
    <row r="1697" spans="1:7" x14ac:dyDescent="0.25">
      <c r="A1697" s="15" t="s">
        <v>1214</v>
      </c>
      <c r="B1697" s="15" t="s">
        <v>1215</v>
      </c>
      <c r="C1697" s="16">
        <v>146.25</v>
      </c>
      <c r="D1697" s="15" t="s">
        <v>466</v>
      </c>
      <c r="E1697" s="15" t="s">
        <v>477</v>
      </c>
      <c r="F1697" s="15">
        <v>13</v>
      </c>
      <c r="G1697" s="15">
        <v>13</v>
      </c>
    </row>
    <row r="1698" spans="1:7" x14ac:dyDescent="0.25">
      <c r="A1698" s="15" t="s">
        <v>1214</v>
      </c>
      <c r="B1698" s="15" t="s">
        <v>1215</v>
      </c>
      <c r="C1698" s="16">
        <v>2.2999999999999998</v>
      </c>
      <c r="D1698" s="15" t="s">
        <v>115</v>
      </c>
      <c r="E1698" s="15" t="s">
        <v>116</v>
      </c>
      <c r="F1698" s="15">
        <v>1</v>
      </c>
      <c r="G1698" s="15">
        <v>1</v>
      </c>
    </row>
    <row r="1699" spans="1:7" x14ac:dyDescent="0.25">
      <c r="A1699" s="15" t="s">
        <v>1214</v>
      </c>
      <c r="B1699" s="15" t="s">
        <v>1215</v>
      </c>
      <c r="C1699" s="16">
        <v>4.8</v>
      </c>
      <c r="D1699" s="15" t="s">
        <v>167</v>
      </c>
      <c r="E1699" s="15" t="s">
        <v>596</v>
      </c>
      <c r="F1699" s="15">
        <v>1</v>
      </c>
      <c r="G1699" s="15">
        <v>1</v>
      </c>
    </row>
    <row r="1700" spans="1:7" x14ac:dyDescent="0.25">
      <c r="A1700" s="15" t="s">
        <v>1214</v>
      </c>
      <c r="B1700" s="15" t="s">
        <v>1215</v>
      </c>
      <c r="C1700" s="16">
        <v>202.5</v>
      </c>
      <c r="D1700" s="15" t="s">
        <v>138</v>
      </c>
      <c r="E1700" s="15" t="s">
        <v>1221</v>
      </c>
      <c r="F1700" s="15">
        <v>10</v>
      </c>
      <c r="G1700" s="15">
        <v>10</v>
      </c>
    </row>
    <row r="1701" spans="1:7" x14ac:dyDescent="0.25">
      <c r="A1701" s="15" t="s">
        <v>1214</v>
      </c>
      <c r="B1701" s="15" t="s">
        <v>1215</v>
      </c>
      <c r="C1701" s="16">
        <v>5.8</v>
      </c>
      <c r="D1701" s="15" t="s">
        <v>339</v>
      </c>
      <c r="E1701" s="15" t="s">
        <v>340</v>
      </c>
      <c r="F1701" s="15">
        <v>2</v>
      </c>
      <c r="G1701" s="15">
        <v>2</v>
      </c>
    </row>
    <row r="1702" spans="1:7" x14ac:dyDescent="0.25">
      <c r="A1702" s="15" t="s">
        <v>1214</v>
      </c>
      <c r="B1702" s="15" t="s">
        <v>1215</v>
      </c>
      <c r="C1702" s="16">
        <v>194.75</v>
      </c>
      <c r="D1702" s="15" t="s">
        <v>241</v>
      </c>
      <c r="E1702" s="15" t="s">
        <v>1222</v>
      </c>
      <c r="F1702" s="15">
        <v>19</v>
      </c>
      <c r="G1702" s="15">
        <v>19</v>
      </c>
    </row>
    <row r="1703" spans="1:7" x14ac:dyDescent="0.25">
      <c r="A1703" s="15" t="s">
        <v>1214</v>
      </c>
      <c r="B1703" s="15" t="s">
        <v>1215</v>
      </c>
      <c r="C1703" s="16">
        <v>1573</v>
      </c>
      <c r="D1703" s="15" t="s">
        <v>602</v>
      </c>
      <c r="E1703" s="15" t="s">
        <v>603</v>
      </c>
      <c r="F1703" s="15">
        <v>79</v>
      </c>
      <c r="G1703" s="15">
        <v>79</v>
      </c>
    </row>
    <row r="1704" spans="1:7" x14ac:dyDescent="0.25">
      <c r="A1704" s="15" t="s">
        <v>1214</v>
      </c>
      <c r="B1704" s="15" t="s">
        <v>1215</v>
      </c>
      <c r="C1704" s="16">
        <v>813.2</v>
      </c>
      <c r="D1704" s="15" t="s">
        <v>605</v>
      </c>
      <c r="E1704" s="15" t="s">
        <v>606</v>
      </c>
      <c r="F1704" s="15">
        <v>19</v>
      </c>
      <c r="G1704" s="15">
        <v>19</v>
      </c>
    </row>
    <row r="1705" spans="1:7" x14ac:dyDescent="0.25">
      <c r="A1705" s="15" t="s">
        <v>1214</v>
      </c>
      <c r="B1705" s="15" t="s">
        <v>1215</v>
      </c>
      <c r="C1705" s="16">
        <v>1704.5</v>
      </c>
      <c r="D1705" s="15" t="s">
        <v>455</v>
      </c>
      <c r="E1705" s="15" t="s">
        <v>607</v>
      </c>
      <c r="F1705" s="15">
        <v>23</v>
      </c>
      <c r="G1705" s="15">
        <v>23</v>
      </c>
    </row>
    <row r="1706" spans="1:7" x14ac:dyDescent="0.25">
      <c r="A1706" s="15" t="s">
        <v>1214</v>
      </c>
      <c r="B1706" s="15" t="s">
        <v>1215</v>
      </c>
      <c r="C1706" s="16">
        <v>1.45</v>
      </c>
      <c r="D1706" s="15" t="s">
        <v>609</v>
      </c>
      <c r="E1706" s="15" t="s">
        <v>610</v>
      </c>
      <c r="F1706" s="15">
        <v>1</v>
      </c>
      <c r="G1706" s="15">
        <v>1</v>
      </c>
    </row>
    <row r="1707" spans="1:7" x14ac:dyDescent="0.25">
      <c r="A1707" s="15" t="s">
        <v>1214</v>
      </c>
      <c r="B1707" s="15" t="s">
        <v>1215</v>
      </c>
      <c r="C1707" s="16">
        <v>985</v>
      </c>
      <c r="D1707" s="15" t="s">
        <v>674</v>
      </c>
      <c r="E1707" s="15" t="s">
        <v>675</v>
      </c>
      <c r="F1707" s="15">
        <v>596</v>
      </c>
      <c r="G1707" s="15">
        <v>596</v>
      </c>
    </row>
    <row r="1708" spans="1:7" x14ac:dyDescent="0.25">
      <c r="A1708" s="15" t="s">
        <v>1214</v>
      </c>
      <c r="B1708" s="15" t="s">
        <v>1215</v>
      </c>
      <c r="C1708" s="16">
        <v>247.5</v>
      </c>
      <c r="D1708" s="15" t="s">
        <v>614</v>
      </c>
      <c r="E1708" s="15" t="s">
        <v>615</v>
      </c>
      <c r="F1708" s="15">
        <v>75</v>
      </c>
      <c r="G1708" s="15">
        <v>75</v>
      </c>
    </row>
    <row r="1709" spans="1:7" x14ac:dyDescent="0.25">
      <c r="A1709" s="15" t="s">
        <v>1214</v>
      </c>
      <c r="B1709" s="15" t="s">
        <v>1215</v>
      </c>
      <c r="C1709" s="16">
        <v>1.9</v>
      </c>
      <c r="D1709" s="15" t="s">
        <v>232</v>
      </c>
      <c r="E1709" s="15" t="s">
        <v>783</v>
      </c>
      <c r="F1709" s="15">
        <v>1</v>
      </c>
      <c r="G1709" s="15">
        <v>1</v>
      </c>
    </row>
    <row r="1710" spans="1:7" x14ac:dyDescent="0.25">
      <c r="A1710" s="15" t="s">
        <v>1214</v>
      </c>
      <c r="B1710" s="15" t="s">
        <v>1215</v>
      </c>
      <c r="C1710" s="16">
        <v>120.5</v>
      </c>
      <c r="D1710" s="15" t="s">
        <v>138</v>
      </c>
      <c r="E1710" s="15" t="s">
        <v>617</v>
      </c>
      <c r="F1710" s="15">
        <v>10</v>
      </c>
      <c r="G1710" s="15">
        <v>10</v>
      </c>
    </row>
    <row r="1711" spans="1:7" x14ac:dyDescent="0.25">
      <c r="A1711" s="15" t="s">
        <v>1214</v>
      </c>
      <c r="B1711" s="15" t="s">
        <v>1215</v>
      </c>
      <c r="C1711" s="16">
        <v>5.85</v>
      </c>
      <c r="D1711" s="15" t="s">
        <v>362</v>
      </c>
      <c r="E1711" s="15" t="s">
        <v>363</v>
      </c>
      <c r="F1711" s="15">
        <v>1</v>
      </c>
      <c r="G1711" s="15">
        <v>1</v>
      </c>
    </row>
    <row r="1712" spans="1:7" x14ac:dyDescent="0.25">
      <c r="A1712" s="15" t="s">
        <v>1214</v>
      </c>
      <c r="B1712" s="15" t="s">
        <v>1215</v>
      </c>
      <c r="C1712" s="16">
        <v>117.1</v>
      </c>
      <c r="D1712" s="15" t="s">
        <v>236</v>
      </c>
      <c r="E1712" s="15" t="s">
        <v>618</v>
      </c>
      <c r="F1712" s="15">
        <v>43</v>
      </c>
      <c r="G1712" s="15">
        <v>43</v>
      </c>
    </row>
    <row r="1713" spans="1:7" x14ac:dyDescent="0.25">
      <c r="A1713" s="15" t="s">
        <v>1214</v>
      </c>
      <c r="B1713" s="15" t="s">
        <v>1215</v>
      </c>
      <c r="C1713" s="16">
        <v>1.65</v>
      </c>
      <c r="D1713" s="15" t="s">
        <v>1223</v>
      </c>
      <c r="E1713" s="15" t="s">
        <v>1224</v>
      </c>
      <c r="F1713" s="15">
        <v>1</v>
      </c>
      <c r="G1713" s="15">
        <v>1</v>
      </c>
    </row>
    <row r="1714" spans="1:7" x14ac:dyDescent="0.25">
      <c r="A1714" s="15" t="s">
        <v>1214</v>
      </c>
      <c r="B1714" s="15" t="s">
        <v>1215</v>
      </c>
      <c r="C1714" s="16">
        <v>8.6</v>
      </c>
      <c r="D1714" s="15" t="s">
        <v>80</v>
      </c>
      <c r="E1714" s="15" t="s">
        <v>1225</v>
      </c>
      <c r="F1714" s="15">
        <v>2</v>
      </c>
      <c r="G1714" s="15">
        <v>2</v>
      </c>
    </row>
    <row r="1715" spans="1:7" x14ac:dyDescent="0.25">
      <c r="A1715" s="15" t="s">
        <v>1214</v>
      </c>
      <c r="B1715" s="15" t="s">
        <v>1215</v>
      </c>
      <c r="C1715" s="16">
        <v>17</v>
      </c>
      <c r="D1715" s="15" t="s">
        <v>86</v>
      </c>
      <c r="E1715" s="15" t="s">
        <v>677</v>
      </c>
      <c r="F1715" s="15">
        <v>8</v>
      </c>
      <c r="G1715" s="15">
        <v>8</v>
      </c>
    </row>
    <row r="1716" spans="1:7" x14ac:dyDescent="0.25">
      <c r="A1716" s="15" t="s">
        <v>1214</v>
      </c>
      <c r="B1716" s="15" t="s">
        <v>1215</v>
      </c>
      <c r="C1716" s="16">
        <v>2.8</v>
      </c>
      <c r="D1716" s="15" t="s">
        <v>1027</v>
      </c>
      <c r="E1716" s="15" t="s">
        <v>1028</v>
      </c>
      <c r="F1716" s="15">
        <v>2</v>
      </c>
      <c r="G1716" s="15">
        <v>2</v>
      </c>
    </row>
    <row r="1717" spans="1:7" x14ac:dyDescent="0.25">
      <c r="A1717" s="15" t="s">
        <v>1214</v>
      </c>
      <c r="B1717" s="15" t="s">
        <v>1215</v>
      </c>
      <c r="C1717" s="16">
        <v>1.5</v>
      </c>
      <c r="D1717" s="15" t="s">
        <v>887</v>
      </c>
      <c r="E1717" s="15" t="s">
        <v>1226</v>
      </c>
      <c r="F1717" s="15">
        <v>1</v>
      </c>
      <c r="G1717" s="15">
        <v>1</v>
      </c>
    </row>
    <row r="1718" spans="1:7" x14ac:dyDescent="0.25">
      <c r="A1718" s="15" t="s">
        <v>1214</v>
      </c>
      <c r="B1718" s="15" t="s">
        <v>1215</v>
      </c>
      <c r="C1718" s="16">
        <v>3.85</v>
      </c>
      <c r="D1718" s="15" t="s">
        <v>67</v>
      </c>
      <c r="E1718" s="15" t="s">
        <v>1227</v>
      </c>
      <c r="F1718" s="15">
        <v>1</v>
      </c>
      <c r="G1718" s="15">
        <v>1</v>
      </c>
    </row>
    <row r="1719" spans="1:7" x14ac:dyDescent="0.25">
      <c r="A1719" s="15" t="s">
        <v>1214</v>
      </c>
      <c r="B1719" s="15" t="s">
        <v>1215</v>
      </c>
      <c r="C1719" s="16">
        <v>306.89999999999998</v>
      </c>
      <c r="D1719" s="15" t="s">
        <v>626</v>
      </c>
      <c r="E1719" s="15" t="s">
        <v>627</v>
      </c>
      <c r="F1719" s="15">
        <v>33</v>
      </c>
      <c r="G1719" s="15">
        <v>33</v>
      </c>
    </row>
    <row r="1720" spans="1:7" x14ac:dyDescent="0.25">
      <c r="A1720" s="15" t="s">
        <v>1214</v>
      </c>
      <c r="B1720" s="15" t="s">
        <v>1215</v>
      </c>
      <c r="C1720" s="16">
        <v>190.8</v>
      </c>
      <c r="D1720" s="15" t="s">
        <v>226</v>
      </c>
      <c r="E1720" s="15" t="s">
        <v>628</v>
      </c>
      <c r="F1720" s="15">
        <v>53</v>
      </c>
      <c r="G1720" s="15">
        <v>53</v>
      </c>
    </row>
    <row r="1721" spans="1:7" x14ac:dyDescent="0.25">
      <c r="A1721" s="15" t="s">
        <v>1214</v>
      </c>
      <c r="B1721" s="15" t="s">
        <v>1215</v>
      </c>
      <c r="C1721" s="16">
        <v>3.95</v>
      </c>
      <c r="D1721" s="15" t="s">
        <v>275</v>
      </c>
      <c r="E1721" s="15" t="s">
        <v>487</v>
      </c>
      <c r="F1721" s="15">
        <v>1</v>
      </c>
      <c r="G1721" s="15">
        <v>1</v>
      </c>
    </row>
    <row r="1722" spans="1:7" x14ac:dyDescent="0.25">
      <c r="A1722" s="15" t="s">
        <v>1214</v>
      </c>
      <c r="B1722" s="15" t="s">
        <v>1215</v>
      </c>
      <c r="C1722" s="16">
        <v>2</v>
      </c>
      <c r="D1722" s="15" t="s">
        <v>368</v>
      </c>
      <c r="E1722" s="15" t="s">
        <v>369</v>
      </c>
      <c r="F1722" s="15">
        <v>1</v>
      </c>
      <c r="G1722" s="15">
        <v>1</v>
      </c>
    </row>
    <row r="1723" spans="1:7" x14ac:dyDescent="0.25">
      <c r="A1723" s="15" t="s">
        <v>1214</v>
      </c>
      <c r="B1723" s="15" t="s">
        <v>1215</v>
      </c>
      <c r="C1723" s="16">
        <v>305</v>
      </c>
      <c r="D1723" s="15" t="s">
        <v>179</v>
      </c>
      <c r="E1723" s="15" t="s">
        <v>631</v>
      </c>
      <c r="F1723" s="15">
        <v>10</v>
      </c>
      <c r="G1723" s="15">
        <v>10</v>
      </c>
    </row>
    <row r="1724" spans="1:7" x14ac:dyDescent="0.25">
      <c r="A1724" s="15" t="s">
        <v>1214</v>
      </c>
      <c r="B1724" s="15" t="s">
        <v>1215</v>
      </c>
      <c r="C1724" s="16">
        <v>888.65</v>
      </c>
      <c r="D1724" s="15" t="s">
        <v>132</v>
      </c>
      <c r="E1724" s="15" t="s">
        <v>633</v>
      </c>
      <c r="F1724" s="15">
        <v>63</v>
      </c>
      <c r="G1724" s="15">
        <v>63</v>
      </c>
    </row>
    <row r="1725" spans="1:7" x14ac:dyDescent="0.25">
      <c r="A1725" s="15" t="s">
        <v>1214</v>
      </c>
      <c r="B1725" s="15" t="s">
        <v>1215</v>
      </c>
      <c r="C1725" s="16">
        <v>3.75</v>
      </c>
      <c r="D1725" s="15" t="s">
        <v>1228</v>
      </c>
      <c r="E1725" s="15" t="s">
        <v>1033</v>
      </c>
      <c r="F1725" s="15">
        <v>1</v>
      </c>
      <c r="G1725" s="15">
        <v>1</v>
      </c>
    </row>
    <row r="1726" spans="1:7" x14ac:dyDescent="0.25">
      <c r="A1726" s="15" t="s">
        <v>1214</v>
      </c>
      <c r="B1726" s="15" t="s">
        <v>1215</v>
      </c>
      <c r="C1726" s="16">
        <v>192</v>
      </c>
      <c r="D1726" s="15" t="s">
        <v>1015</v>
      </c>
      <c r="E1726" s="15" t="s">
        <v>1036</v>
      </c>
      <c r="F1726" s="15">
        <v>80</v>
      </c>
      <c r="G1726" s="15">
        <v>80</v>
      </c>
    </row>
    <row r="1727" spans="1:7" x14ac:dyDescent="0.25">
      <c r="A1727" s="15" t="s">
        <v>1214</v>
      </c>
      <c r="B1727" s="15" t="s">
        <v>1215</v>
      </c>
      <c r="C1727" s="16">
        <v>3.35</v>
      </c>
      <c r="D1727" s="15" t="s">
        <v>80</v>
      </c>
      <c r="E1727" s="15" t="s">
        <v>1229</v>
      </c>
      <c r="F1727" s="15">
        <v>1</v>
      </c>
      <c r="G1727" s="15">
        <v>1</v>
      </c>
    </row>
    <row r="1728" spans="1:7" x14ac:dyDescent="0.25">
      <c r="A1728" s="15" t="s">
        <v>1214</v>
      </c>
      <c r="B1728" s="15" t="s">
        <v>1215</v>
      </c>
      <c r="C1728" s="16">
        <v>64.5</v>
      </c>
      <c r="D1728" s="15" t="s">
        <v>638</v>
      </c>
      <c r="E1728" s="15" t="s">
        <v>639</v>
      </c>
      <c r="F1728" s="15">
        <v>5</v>
      </c>
      <c r="G1728" s="15">
        <v>5</v>
      </c>
    </row>
    <row r="1729" spans="1:7" x14ac:dyDescent="0.25">
      <c r="A1729" s="15" t="s">
        <v>1214</v>
      </c>
      <c r="B1729" s="15" t="s">
        <v>1215</v>
      </c>
      <c r="C1729" s="16">
        <v>145.6</v>
      </c>
      <c r="D1729" s="15" t="s">
        <v>379</v>
      </c>
      <c r="E1729" s="15" t="s">
        <v>380</v>
      </c>
      <c r="F1729" s="15">
        <v>14</v>
      </c>
      <c r="G1729" s="15">
        <v>14</v>
      </c>
    </row>
    <row r="1730" spans="1:7" x14ac:dyDescent="0.25">
      <c r="A1730" s="15" t="s">
        <v>1214</v>
      </c>
      <c r="B1730" s="15" t="s">
        <v>1215</v>
      </c>
      <c r="C1730" s="16">
        <v>165.6</v>
      </c>
      <c r="D1730" s="15" t="s">
        <v>238</v>
      </c>
      <c r="E1730" s="15" t="s">
        <v>383</v>
      </c>
      <c r="F1730" s="15">
        <v>12</v>
      </c>
      <c r="G1730" s="15">
        <v>12</v>
      </c>
    </row>
    <row r="1731" spans="1:7" x14ac:dyDescent="0.25">
      <c r="A1731" s="15" t="s">
        <v>1214</v>
      </c>
      <c r="B1731" s="15" t="s">
        <v>1215</v>
      </c>
      <c r="C1731" s="16">
        <v>226.2</v>
      </c>
      <c r="D1731" s="15" t="s">
        <v>80</v>
      </c>
      <c r="E1731" s="15" t="s">
        <v>791</v>
      </c>
      <c r="F1731" s="15">
        <v>20</v>
      </c>
      <c r="G1731" s="15">
        <v>20</v>
      </c>
    </row>
    <row r="1732" spans="1:7" x14ac:dyDescent="0.25">
      <c r="A1732" s="15" t="s">
        <v>1214</v>
      </c>
      <c r="B1732" s="15" t="s">
        <v>1215</v>
      </c>
      <c r="C1732" s="16">
        <v>926.1</v>
      </c>
      <c r="D1732" s="15" t="s">
        <v>132</v>
      </c>
      <c r="E1732" s="15" t="s">
        <v>387</v>
      </c>
      <c r="F1732" s="15">
        <v>63</v>
      </c>
      <c r="G1732" s="15">
        <v>63</v>
      </c>
    </row>
    <row r="1733" spans="1:7" x14ac:dyDescent="0.25">
      <c r="A1733" s="15" t="s">
        <v>1214</v>
      </c>
      <c r="B1733" s="15" t="s">
        <v>1215</v>
      </c>
      <c r="C1733" s="16">
        <v>417.35</v>
      </c>
      <c r="D1733" s="15" t="s">
        <v>80</v>
      </c>
      <c r="E1733" s="15" t="s">
        <v>642</v>
      </c>
      <c r="F1733" s="15">
        <v>72</v>
      </c>
      <c r="G1733" s="15">
        <v>72</v>
      </c>
    </row>
    <row r="1734" spans="1:7" x14ac:dyDescent="0.25">
      <c r="A1734" s="15" t="s">
        <v>1214</v>
      </c>
      <c r="B1734" s="15" t="s">
        <v>1215</v>
      </c>
      <c r="C1734" s="16">
        <v>243.82</v>
      </c>
      <c r="D1734" s="15" t="s">
        <v>123</v>
      </c>
      <c r="E1734" s="15" t="s">
        <v>388</v>
      </c>
      <c r="F1734" s="15">
        <v>26</v>
      </c>
      <c r="G1734" s="15">
        <v>26</v>
      </c>
    </row>
    <row r="1735" spans="1:7" x14ac:dyDescent="0.25">
      <c r="A1735" s="15" t="s">
        <v>1214</v>
      </c>
      <c r="B1735" s="15" t="s">
        <v>1215</v>
      </c>
      <c r="C1735" s="16">
        <v>4.3</v>
      </c>
      <c r="D1735" s="15" t="s">
        <v>194</v>
      </c>
      <c r="E1735" s="15" t="s">
        <v>426</v>
      </c>
      <c r="F1735" s="15">
        <v>2</v>
      </c>
      <c r="G1735" s="15">
        <v>2</v>
      </c>
    </row>
    <row r="1736" spans="1:7" x14ac:dyDescent="0.25">
      <c r="A1736" s="15" t="s">
        <v>1214</v>
      </c>
      <c r="B1736" s="15" t="s">
        <v>1215</v>
      </c>
      <c r="C1736" s="16">
        <v>9.5500000000000007</v>
      </c>
      <c r="D1736" s="15" t="s">
        <v>391</v>
      </c>
      <c r="E1736" s="15" t="s">
        <v>392</v>
      </c>
      <c r="F1736" s="15">
        <v>1</v>
      </c>
      <c r="G1736" s="15">
        <v>1</v>
      </c>
    </row>
    <row r="1737" spans="1:7" x14ac:dyDescent="0.25">
      <c r="A1737" s="15" t="s">
        <v>1214</v>
      </c>
      <c r="B1737" s="15" t="s">
        <v>1215</v>
      </c>
      <c r="C1737" s="16">
        <v>425.65</v>
      </c>
      <c r="D1737" s="15" t="s">
        <v>103</v>
      </c>
      <c r="E1737" s="15" t="s">
        <v>1230</v>
      </c>
      <c r="F1737" s="15">
        <v>21</v>
      </c>
      <c r="G1737" s="15">
        <v>21</v>
      </c>
    </row>
    <row r="1738" spans="1:7" x14ac:dyDescent="0.25">
      <c r="A1738" s="15" t="s">
        <v>1231</v>
      </c>
      <c r="B1738" s="15" t="s">
        <v>1232</v>
      </c>
      <c r="C1738" s="16">
        <v>2197.6999999999998</v>
      </c>
      <c r="D1738" s="15" t="s">
        <v>226</v>
      </c>
      <c r="E1738" s="15" t="s">
        <v>398</v>
      </c>
      <c r="F1738" s="15">
        <v>21</v>
      </c>
      <c r="G1738" s="15">
        <v>21</v>
      </c>
    </row>
    <row r="1739" spans="1:7" x14ac:dyDescent="0.25">
      <c r="A1739" s="15" t="s">
        <v>1231</v>
      </c>
      <c r="B1739" s="15" t="s">
        <v>1232</v>
      </c>
      <c r="C1739" s="16">
        <v>284</v>
      </c>
      <c r="D1739" s="15" t="s">
        <v>431</v>
      </c>
      <c r="E1739" s="15" t="s">
        <v>432</v>
      </c>
      <c r="F1739" s="15">
        <v>71</v>
      </c>
      <c r="G1739" s="15">
        <v>71</v>
      </c>
    </row>
    <row r="1740" spans="1:7" x14ac:dyDescent="0.25">
      <c r="A1740" s="15" t="s">
        <v>1231</v>
      </c>
      <c r="B1740" s="15" t="s">
        <v>1232</v>
      </c>
      <c r="C1740" s="16">
        <v>546</v>
      </c>
      <c r="D1740" s="15" t="s">
        <v>80</v>
      </c>
      <c r="E1740" s="15" t="s">
        <v>499</v>
      </c>
      <c r="F1740" s="15">
        <v>65</v>
      </c>
      <c r="G1740" s="15">
        <v>65</v>
      </c>
    </row>
    <row r="1741" spans="1:7" x14ac:dyDescent="0.25">
      <c r="A1741" s="15" t="s">
        <v>1231</v>
      </c>
      <c r="B1741" s="15" t="s">
        <v>1232</v>
      </c>
      <c r="C1741" s="16">
        <v>128</v>
      </c>
      <c r="D1741" s="15" t="s">
        <v>1233</v>
      </c>
      <c r="E1741" s="15" t="s">
        <v>1234</v>
      </c>
      <c r="F1741" s="15">
        <v>2</v>
      </c>
      <c r="G1741" s="15">
        <v>2</v>
      </c>
    </row>
    <row r="1742" spans="1:7" x14ac:dyDescent="0.25">
      <c r="A1742" s="15" t="s">
        <v>1231</v>
      </c>
      <c r="B1742" s="15" t="s">
        <v>1232</v>
      </c>
      <c r="C1742" s="16">
        <v>112.9</v>
      </c>
      <c r="D1742" s="15" t="s">
        <v>427</v>
      </c>
      <c r="E1742" s="15" t="s">
        <v>434</v>
      </c>
      <c r="F1742" s="15">
        <v>9</v>
      </c>
      <c r="G1742" s="15">
        <v>9</v>
      </c>
    </row>
    <row r="1743" spans="1:7" x14ac:dyDescent="0.25">
      <c r="A1743" s="15" t="s">
        <v>1231</v>
      </c>
      <c r="B1743" s="15" t="s">
        <v>1232</v>
      </c>
      <c r="C1743" s="16">
        <v>62.5</v>
      </c>
      <c r="D1743" s="15" t="s">
        <v>505</v>
      </c>
      <c r="E1743" s="15" t="s">
        <v>1235</v>
      </c>
      <c r="F1743" s="15">
        <v>5</v>
      </c>
      <c r="G1743" s="15">
        <v>5</v>
      </c>
    </row>
    <row r="1744" spans="1:7" x14ac:dyDescent="0.25">
      <c r="A1744" s="15" t="s">
        <v>1231</v>
      </c>
      <c r="B1744" s="15" t="s">
        <v>1232</v>
      </c>
      <c r="C1744" s="16">
        <v>130.5</v>
      </c>
      <c r="D1744" s="15" t="s">
        <v>513</v>
      </c>
      <c r="E1744" s="15" t="s">
        <v>514</v>
      </c>
      <c r="F1744" s="15">
        <v>15</v>
      </c>
      <c r="G1744" s="15">
        <v>15</v>
      </c>
    </row>
    <row r="1745" spans="1:7" x14ac:dyDescent="0.25">
      <c r="A1745" s="15" t="s">
        <v>1231</v>
      </c>
      <c r="B1745" s="15" t="s">
        <v>1232</v>
      </c>
      <c r="C1745" s="16">
        <v>847.86</v>
      </c>
      <c r="D1745" s="15" t="s">
        <v>466</v>
      </c>
      <c r="E1745" s="15" t="s">
        <v>515</v>
      </c>
      <c r="F1745" s="15">
        <v>84</v>
      </c>
      <c r="G1745" s="15">
        <v>84</v>
      </c>
    </row>
    <row r="1746" spans="1:7" x14ac:dyDescent="0.25">
      <c r="A1746" s="15" t="s">
        <v>1231</v>
      </c>
      <c r="B1746" s="15" t="s">
        <v>1232</v>
      </c>
      <c r="C1746" s="16">
        <v>331.1</v>
      </c>
      <c r="D1746" s="15" t="s">
        <v>309</v>
      </c>
      <c r="E1746" s="15" t="s">
        <v>521</v>
      </c>
      <c r="F1746" s="15">
        <v>77</v>
      </c>
      <c r="G1746" s="15">
        <v>77</v>
      </c>
    </row>
    <row r="1747" spans="1:7" x14ac:dyDescent="0.25">
      <c r="A1747" s="15" t="s">
        <v>1231</v>
      </c>
      <c r="B1747" s="15" t="s">
        <v>1232</v>
      </c>
      <c r="C1747" s="16">
        <v>47.5</v>
      </c>
      <c r="D1747" s="15" t="s">
        <v>287</v>
      </c>
      <c r="E1747" s="15" t="s">
        <v>403</v>
      </c>
      <c r="F1747" s="15">
        <v>5</v>
      </c>
      <c r="G1747" s="15">
        <v>5</v>
      </c>
    </row>
    <row r="1748" spans="1:7" x14ac:dyDescent="0.25">
      <c r="A1748" s="15" t="s">
        <v>1231</v>
      </c>
      <c r="B1748" s="15" t="s">
        <v>1232</v>
      </c>
      <c r="C1748" s="16">
        <v>75.599999999999994</v>
      </c>
      <c r="D1748" s="15" t="s">
        <v>80</v>
      </c>
      <c r="E1748" s="15" t="s">
        <v>1236</v>
      </c>
      <c r="F1748" s="15">
        <v>4</v>
      </c>
      <c r="G1748" s="15">
        <v>4</v>
      </c>
    </row>
    <row r="1749" spans="1:7" x14ac:dyDescent="0.25">
      <c r="A1749" s="15" t="s">
        <v>1231</v>
      </c>
      <c r="B1749" s="15" t="s">
        <v>1232</v>
      </c>
      <c r="C1749" s="16">
        <v>59.6</v>
      </c>
      <c r="D1749" s="15" t="s">
        <v>80</v>
      </c>
      <c r="E1749" s="15" t="s">
        <v>1155</v>
      </c>
      <c r="F1749" s="15">
        <v>4</v>
      </c>
      <c r="G1749" s="15">
        <v>4</v>
      </c>
    </row>
    <row r="1750" spans="1:7" x14ac:dyDescent="0.25">
      <c r="A1750" s="15" t="s">
        <v>1231</v>
      </c>
      <c r="B1750" s="15" t="s">
        <v>1232</v>
      </c>
      <c r="C1750" s="16">
        <v>59.2</v>
      </c>
      <c r="D1750" s="15" t="s">
        <v>80</v>
      </c>
      <c r="E1750" s="15" t="s">
        <v>1237</v>
      </c>
      <c r="F1750" s="15">
        <v>7</v>
      </c>
      <c r="G1750" s="15">
        <v>7</v>
      </c>
    </row>
    <row r="1751" spans="1:7" x14ac:dyDescent="0.25">
      <c r="A1751" s="15" t="s">
        <v>1231</v>
      </c>
      <c r="B1751" s="15" t="s">
        <v>1232</v>
      </c>
      <c r="C1751" s="16">
        <v>91.2</v>
      </c>
      <c r="D1751" s="15" t="s">
        <v>80</v>
      </c>
      <c r="E1751" s="15" t="s">
        <v>341</v>
      </c>
      <c r="F1751" s="15">
        <v>6</v>
      </c>
      <c r="G1751" s="15">
        <v>6</v>
      </c>
    </row>
    <row r="1752" spans="1:7" x14ac:dyDescent="0.25">
      <c r="A1752" s="15" t="s">
        <v>1231</v>
      </c>
      <c r="B1752" s="15" t="s">
        <v>1232</v>
      </c>
      <c r="C1752" s="16">
        <v>49.5</v>
      </c>
      <c r="D1752" s="15" t="s">
        <v>529</v>
      </c>
      <c r="E1752" s="15" t="s">
        <v>530</v>
      </c>
      <c r="F1752" s="15">
        <v>3</v>
      </c>
      <c r="G1752" s="15">
        <v>3</v>
      </c>
    </row>
    <row r="1753" spans="1:7" x14ac:dyDescent="0.25">
      <c r="A1753" s="15" t="s">
        <v>1231</v>
      </c>
      <c r="B1753" s="15" t="s">
        <v>1232</v>
      </c>
      <c r="C1753" s="16">
        <v>844.3</v>
      </c>
      <c r="D1753" s="15" t="s">
        <v>1078</v>
      </c>
      <c r="E1753" s="15" t="s">
        <v>1079</v>
      </c>
      <c r="F1753" s="15">
        <v>15</v>
      </c>
      <c r="G1753" s="15">
        <v>15</v>
      </c>
    </row>
    <row r="1754" spans="1:7" x14ac:dyDescent="0.25">
      <c r="A1754" s="15" t="s">
        <v>1231</v>
      </c>
      <c r="B1754" s="15" t="s">
        <v>1232</v>
      </c>
      <c r="C1754" s="16">
        <v>163</v>
      </c>
      <c r="D1754" s="15" t="s">
        <v>80</v>
      </c>
      <c r="E1754" s="15" t="s">
        <v>1238</v>
      </c>
      <c r="F1754" s="15">
        <v>10</v>
      </c>
      <c r="G1754" s="15">
        <v>10</v>
      </c>
    </row>
    <row r="1755" spans="1:7" x14ac:dyDescent="0.25">
      <c r="A1755" s="15" t="s">
        <v>1231</v>
      </c>
      <c r="B1755" s="15" t="s">
        <v>1232</v>
      </c>
      <c r="C1755" s="16">
        <v>25.8</v>
      </c>
      <c r="D1755" s="15" t="s">
        <v>67</v>
      </c>
      <c r="E1755" s="15" t="s">
        <v>749</v>
      </c>
      <c r="F1755" s="15">
        <v>6</v>
      </c>
      <c r="G1755" s="15">
        <v>6</v>
      </c>
    </row>
    <row r="1756" spans="1:7" x14ac:dyDescent="0.25">
      <c r="A1756" s="15" t="s">
        <v>1231</v>
      </c>
      <c r="B1756" s="15" t="s">
        <v>1232</v>
      </c>
      <c r="C1756" s="16">
        <v>518.6</v>
      </c>
      <c r="D1756" s="15" t="s">
        <v>98</v>
      </c>
      <c r="E1756" s="15" t="s">
        <v>852</v>
      </c>
      <c r="F1756" s="15">
        <v>9</v>
      </c>
      <c r="G1756" s="15">
        <v>9</v>
      </c>
    </row>
    <row r="1757" spans="1:7" x14ac:dyDescent="0.25">
      <c r="A1757" s="15" t="s">
        <v>1231</v>
      </c>
      <c r="B1757" s="15" t="s">
        <v>1232</v>
      </c>
      <c r="C1757" s="16">
        <v>258</v>
      </c>
      <c r="D1757" s="15" t="s">
        <v>410</v>
      </c>
      <c r="E1757" s="15" t="s">
        <v>411</v>
      </c>
      <c r="F1757" s="15">
        <v>15</v>
      </c>
      <c r="G1757" s="15">
        <v>15</v>
      </c>
    </row>
    <row r="1758" spans="1:7" x14ac:dyDescent="0.25">
      <c r="A1758" s="15" t="s">
        <v>1231</v>
      </c>
      <c r="B1758" s="15" t="s">
        <v>1232</v>
      </c>
      <c r="C1758" s="16">
        <v>1385.3</v>
      </c>
      <c r="D1758" s="15" t="s">
        <v>67</v>
      </c>
      <c r="E1758" s="15" t="s">
        <v>534</v>
      </c>
      <c r="F1758" s="15">
        <v>26</v>
      </c>
      <c r="G1758" s="15">
        <v>26</v>
      </c>
    </row>
    <row r="1759" spans="1:7" x14ac:dyDescent="0.25">
      <c r="A1759" s="15" t="s">
        <v>1231</v>
      </c>
      <c r="B1759" s="15" t="s">
        <v>1232</v>
      </c>
      <c r="C1759" s="16">
        <v>44.8</v>
      </c>
      <c r="D1759" s="15" t="s">
        <v>80</v>
      </c>
      <c r="E1759" s="15" t="s">
        <v>871</v>
      </c>
      <c r="F1759" s="15">
        <v>13</v>
      </c>
      <c r="G1759" s="15">
        <v>13</v>
      </c>
    </row>
    <row r="1760" spans="1:7" x14ac:dyDescent="0.25">
      <c r="A1760" s="15" t="s">
        <v>1231</v>
      </c>
      <c r="B1760" s="15" t="s">
        <v>1232</v>
      </c>
      <c r="C1760" s="16">
        <v>73.5</v>
      </c>
      <c r="D1760" s="15" t="s">
        <v>891</v>
      </c>
      <c r="E1760" s="15" t="s">
        <v>1160</v>
      </c>
      <c r="F1760" s="15">
        <v>7</v>
      </c>
      <c r="G1760" s="15">
        <v>7</v>
      </c>
    </row>
    <row r="1761" spans="1:7" x14ac:dyDescent="0.25">
      <c r="A1761" s="15" t="s">
        <v>1231</v>
      </c>
      <c r="B1761" s="15" t="s">
        <v>1232</v>
      </c>
      <c r="C1761" s="16">
        <v>64.8</v>
      </c>
      <c r="D1761" s="15" t="s">
        <v>80</v>
      </c>
      <c r="E1761" s="15" t="s">
        <v>753</v>
      </c>
      <c r="F1761" s="15">
        <v>8</v>
      </c>
      <c r="G1761" s="15">
        <v>8</v>
      </c>
    </row>
    <row r="1762" spans="1:7" x14ac:dyDescent="0.25">
      <c r="A1762" s="15" t="s">
        <v>1231</v>
      </c>
      <c r="B1762" s="15" t="s">
        <v>1232</v>
      </c>
      <c r="C1762" s="16">
        <v>43.2</v>
      </c>
      <c r="D1762" s="15" t="s">
        <v>754</v>
      </c>
      <c r="E1762" s="15" t="s">
        <v>755</v>
      </c>
      <c r="F1762" s="15">
        <v>6</v>
      </c>
      <c r="G1762" s="15">
        <v>6</v>
      </c>
    </row>
    <row r="1763" spans="1:7" x14ac:dyDescent="0.25">
      <c r="A1763" s="15" t="s">
        <v>1231</v>
      </c>
      <c r="B1763" s="15" t="s">
        <v>1232</v>
      </c>
      <c r="C1763" s="16">
        <v>102.9</v>
      </c>
      <c r="D1763" s="15" t="s">
        <v>90</v>
      </c>
      <c r="E1763" s="15" t="s">
        <v>812</v>
      </c>
      <c r="F1763" s="15">
        <v>7</v>
      </c>
      <c r="G1763" s="15">
        <v>7</v>
      </c>
    </row>
    <row r="1764" spans="1:7" x14ac:dyDescent="0.25">
      <c r="A1764" s="15" t="s">
        <v>1231</v>
      </c>
      <c r="B1764" s="15" t="s">
        <v>1232</v>
      </c>
      <c r="C1764" s="16">
        <v>611.79999999999995</v>
      </c>
      <c r="D1764" s="15" t="s">
        <v>80</v>
      </c>
      <c r="E1764" s="15" t="s">
        <v>449</v>
      </c>
      <c r="F1764" s="15">
        <v>11</v>
      </c>
      <c r="G1764" s="15">
        <v>11</v>
      </c>
    </row>
    <row r="1765" spans="1:7" x14ac:dyDescent="0.25">
      <c r="A1765" s="15" t="s">
        <v>1231</v>
      </c>
      <c r="B1765" s="15" t="s">
        <v>1232</v>
      </c>
      <c r="C1765" s="16">
        <v>283.8</v>
      </c>
      <c r="D1765" s="15" t="s">
        <v>623</v>
      </c>
      <c r="E1765" s="15" t="s">
        <v>624</v>
      </c>
      <c r="F1765" s="15">
        <v>16</v>
      </c>
      <c r="G1765" s="15">
        <v>16</v>
      </c>
    </row>
    <row r="1766" spans="1:7" x14ac:dyDescent="0.25">
      <c r="A1766" s="15" t="s">
        <v>1231</v>
      </c>
      <c r="B1766" s="15" t="s">
        <v>1232</v>
      </c>
      <c r="C1766" s="16">
        <v>39.1</v>
      </c>
      <c r="D1766" s="15" t="s">
        <v>285</v>
      </c>
      <c r="E1766" s="15" t="s">
        <v>872</v>
      </c>
      <c r="F1766" s="15">
        <v>1</v>
      </c>
      <c r="G1766" s="15">
        <v>1</v>
      </c>
    </row>
    <row r="1767" spans="1:7" x14ac:dyDescent="0.25">
      <c r="A1767" s="15" t="s">
        <v>1231</v>
      </c>
      <c r="B1767" s="15" t="s">
        <v>1232</v>
      </c>
      <c r="C1767" s="16">
        <v>95.4</v>
      </c>
      <c r="D1767" s="15" t="s">
        <v>269</v>
      </c>
      <c r="E1767" s="15" t="s">
        <v>270</v>
      </c>
      <c r="F1767" s="15">
        <v>6</v>
      </c>
      <c r="G1767" s="15">
        <v>6</v>
      </c>
    </row>
    <row r="1768" spans="1:7" x14ac:dyDescent="0.25">
      <c r="A1768" s="15" t="s">
        <v>1231</v>
      </c>
      <c r="B1768" s="15" t="s">
        <v>1232</v>
      </c>
      <c r="C1768" s="16">
        <v>123.12</v>
      </c>
      <c r="D1768" s="15" t="s">
        <v>238</v>
      </c>
      <c r="E1768" s="15" t="s">
        <v>1239</v>
      </c>
      <c r="F1768" s="15">
        <v>8</v>
      </c>
      <c r="G1768" s="15">
        <v>8</v>
      </c>
    </row>
    <row r="1769" spans="1:7" x14ac:dyDescent="0.25">
      <c r="A1769" s="15" t="s">
        <v>1231</v>
      </c>
      <c r="B1769" s="15" t="s">
        <v>1232</v>
      </c>
      <c r="C1769" s="16">
        <v>276</v>
      </c>
      <c r="D1769" s="15" t="s">
        <v>123</v>
      </c>
      <c r="E1769" s="15" t="s">
        <v>1240</v>
      </c>
      <c r="F1769" s="15">
        <v>2</v>
      </c>
      <c r="G1769" s="15">
        <v>2</v>
      </c>
    </row>
    <row r="1770" spans="1:7" x14ac:dyDescent="0.25">
      <c r="A1770" s="15" t="s">
        <v>1231</v>
      </c>
      <c r="B1770" s="15" t="s">
        <v>1232</v>
      </c>
      <c r="C1770" s="16">
        <v>46.2</v>
      </c>
      <c r="D1770" s="15" t="s">
        <v>556</v>
      </c>
      <c r="E1770" s="15" t="s">
        <v>557</v>
      </c>
      <c r="F1770" s="15">
        <v>6</v>
      </c>
      <c r="G1770" s="15">
        <v>6</v>
      </c>
    </row>
    <row r="1771" spans="1:7" x14ac:dyDescent="0.25">
      <c r="A1771" s="15" t="s">
        <v>1231</v>
      </c>
      <c r="B1771" s="15" t="s">
        <v>1232</v>
      </c>
      <c r="C1771" s="16">
        <v>92.8</v>
      </c>
      <c r="D1771" s="15" t="s">
        <v>80</v>
      </c>
      <c r="E1771" s="15" t="s">
        <v>862</v>
      </c>
      <c r="F1771" s="15">
        <v>4</v>
      </c>
      <c r="G1771" s="15">
        <v>4</v>
      </c>
    </row>
    <row r="1772" spans="1:7" x14ac:dyDescent="0.25">
      <c r="A1772" s="15" t="s">
        <v>1231</v>
      </c>
      <c r="B1772" s="15" t="s">
        <v>1232</v>
      </c>
      <c r="C1772" s="16">
        <v>48.6</v>
      </c>
      <c r="D1772" s="15" t="s">
        <v>179</v>
      </c>
      <c r="E1772" s="15" t="s">
        <v>640</v>
      </c>
      <c r="F1772" s="15">
        <v>12</v>
      </c>
      <c r="G1772" s="15">
        <v>12</v>
      </c>
    </row>
    <row r="1773" spans="1:7" x14ac:dyDescent="0.25">
      <c r="A1773" s="15" t="s">
        <v>1231</v>
      </c>
      <c r="B1773" s="15" t="s">
        <v>1232</v>
      </c>
      <c r="C1773" s="16">
        <v>6.4</v>
      </c>
      <c r="D1773" s="15" t="s">
        <v>826</v>
      </c>
      <c r="E1773" s="15" t="s">
        <v>827</v>
      </c>
      <c r="F1773" s="15">
        <v>2</v>
      </c>
      <c r="G1773" s="15">
        <v>2</v>
      </c>
    </row>
    <row r="1774" spans="1:7" x14ac:dyDescent="0.25">
      <c r="A1774" s="15" t="s">
        <v>1231</v>
      </c>
      <c r="B1774" s="15" t="s">
        <v>1232</v>
      </c>
      <c r="C1774" s="16">
        <v>231.8</v>
      </c>
      <c r="D1774" s="15" t="s">
        <v>424</v>
      </c>
      <c r="E1774" s="15" t="s">
        <v>425</v>
      </c>
      <c r="F1774" s="15">
        <v>13</v>
      </c>
      <c r="G1774" s="15">
        <v>13</v>
      </c>
    </row>
    <row r="1775" spans="1:7" x14ac:dyDescent="0.25">
      <c r="A1775" s="15" t="s">
        <v>1231</v>
      </c>
      <c r="B1775" s="15" t="s">
        <v>1232</v>
      </c>
      <c r="C1775" s="16">
        <v>450.4</v>
      </c>
      <c r="D1775" s="15" t="s">
        <v>466</v>
      </c>
      <c r="E1775" s="15" t="s">
        <v>562</v>
      </c>
      <c r="F1775" s="15">
        <v>29</v>
      </c>
      <c r="G1775" s="15">
        <v>29</v>
      </c>
    </row>
    <row r="1776" spans="1:7" x14ac:dyDescent="0.25">
      <c r="A1776" s="15" t="s">
        <v>1231</v>
      </c>
      <c r="B1776" s="15" t="s">
        <v>1232</v>
      </c>
      <c r="C1776" s="16">
        <v>279.2</v>
      </c>
      <c r="D1776" s="15" t="s">
        <v>132</v>
      </c>
      <c r="E1776" s="15" t="s">
        <v>1241</v>
      </c>
      <c r="F1776" s="15">
        <v>13</v>
      </c>
      <c r="G1776" s="15">
        <v>13</v>
      </c>
    </row>
    <row r="1777" spans="1:7" x14ac:dyDescent="0.25">
      <c r="A1777" s="15" t="s">
        <v>1242</v>
      </c>
      <c r="B1777" s="15" t="s">
        <v>1243</v>
      </c>
      <c r="C1777" s="16">
        <v>137.19999999999999</v>
      </c>
      <c r="D1777" s="15" t="s">
        <v>407</v>
      </c>
      <c r="E1777" s="15" t="s">
        <v>771</v>
      </c>
      <c r="F1777" s="15">
        <v>14</v>
      </c>
      <c r="G1777" s="15">
        <v>14</v>
      </c>
    </row>
    <row r="1778" spans="1:7" x14ac:dyDescent="0.25">
      <c r="A1778" s="15" t="s">
        <v>1242</v>
      </c>
      <c r="B1778" s="15" t="s">
        <v>1243</v>
      </c>
      <c r="C1778" s="16">
        <v>25</v>
      </c>
      <c r="D1778" s="15" t="s">
        <v>1244</v>
      </c>
      <c r="E1778" s="15" t="s">
        <v>1245</v>
      </c>
      <c r="F1778" s="15">
        <v>5</v>
      </c>
      <c r="G1778" s="15">
        <v>5</v>
      </c>
    </row>
    <row r="1779" spans="1:7" x14ac:dyDescent="0.25">
      <c r="A1779" s="15" t="s">
        <v>1242</v>
      </c>
      <c r="B1779" s="15" t="s">
        <v>1243</v>
      </c>
      <c r="C1779" s="16">
        <v>163.4</v>
      </c>
      <c r="D1779" s="15" t="s">
        <v>360</v>
      </c>
      <c r="E1779" s="15" t="s">
        <v>584</v>
      </c>
      <c r="F1779" s="15">
        <v>38</v>
      </c>
      <c r="G1779" s="15">
        <v>38</v>
      </c>
    </row>
    <row r="1780" spans="1:7" x14ac:dyDescent="0.25">
      <c r="A1780" s="15" t="s">
        <v>1242</v>
      </c>
      <c r="B1780" s="15" t="s">
        <v>1243</v>
      </c>
      <c r="C1780" s="16">
        <v>4.5999999999999996</v>
      </c>
      <c r="D1780" s="15" t="s">
        <v>775</v>
      </c>
      <c r="E1780" s="15" t="s">
        <v>776</v>
      </c>
      <c r="F1780" s="15">
        <v>2</v>
      </c>
      <c r="G1780" s="15">
        <v>2</v>
      </c>
    </row>
    <row r="1781" spans="1:7" x14ac:dyDescent="0.25">
      <c r="A1781" s="15" t="s">
        <v>1242</v>
      </c>
      <c r="B1781" s="15" t="s">
        <v>1243</v>
      </c>
      <c r="C1781" s="16">
        <v>89.85</v>
      </c>
      <c r="D1781" s="15" t="s">
        <v>80</v>
      </c>
      <c r="E1781" s="15" t="s">
        <v>322</v>
      </c>
      <c r="F1781" s="15">
        <v>14</v>
      </c>
      <c r="G1781" s="15">
        <v>14</v>
      </c>
    </row>
    <row r="1782" spans="1:7" x14ac:dyDescent="0.25">
      <c r="A1782" s="15" t="s">
        <v>1242</v>
      </c>
      <c r="B1782" s="15" t="s">
        <v>1243</v>
      </c>
      <c r="C1782" s="16">
        <v>1.4</v>
      </c>
      <c r="D1782" s="15" t="s">
        <v>1246</v>
      </c>
      <c r="E1782" s="15" t="s">
        <v>718</v>
      </c>
      <c r="F1782" s="15">
        <v>1</v>
      </c>
      <c r="G1782" s="15">
        <v>1</v>
      </c>
    </row>
    <row r="1783" spans="1:7" x14ac:dyDescent="0.25">
      <c r="A1783" s="15" t="s">
        <v>1242</v>
      </c>
      <c r="B1783" s="15" t="s">
        <v>1243</v>
      </c>
      <c r="C1783" s="16">
        <v>6.7</v>
      </c>
      <c r="D1783" s="15" t="s">
        <v>80</v>
      </c>
      <c r="E1783" s="15" t="s">
        <v>1219</v>
      </c>
      <c r="F1783" s="15">
        <v>1</v>
      </c>
      <c r="G1783" s="15">
        <v>1</v>
      </c>
    </row>
    <row r="1784" spans="1:7" x14ac:dyDescent="0.25">
      <c r="A1784" s="15" t="s">
        <v>1242</v>
      </c>
      <c r="B1784" s="15" t="s">
        <v>1243</v>
      </c>
      <c r="C1784" s="16">
        <v>42.05</v>
      </c>
      <c r="D1784" s="15" t="s">
        <v>90</v>
      </c>
      <c r="E1784" s="15" t="s">
        <v>1109</v>
      </c>
      <c r="F1784" s="15">
        <v>4</v>
      </c>
      <c r="G1784" s="15">
        <v>4</v>
      </c>
    </row>
    <row r="1785" spans="1:7" x14ac:dyDescent="0.25">
      <c r="A1785" s="15" t="s">
        <v>1242</v>
      </c>
      <c r="B1785" s="15" t="s">
        <v>1243</v>
      </c>
      <c r="C1785" s="16">
        <v>3.3</v>
      </c>
      <c r="D1785" s="15" t="s">
        <v>497</v>
      </c>
      <c r="E1785" s="15" t="s">
        <v>840</v>
      </c>
      <c r="F1785" s="15">
        <v>3</v>
      </c>
      <c r="G1785" s="15">
        <v>3</v>
      </c>
    </row>
    <row r="1786" spans="1:7" x14ac:dyDescent="0.25">
      <c r="A1786" s="15" t="s">
        <v>1242</v>
      </c>
      <c r="B1786" s="15" t="s">
        <v>1243</v>
      </c>
      <c r="C1786" s="16">
        <v>3816</v>
      </c>
      <c r="D1786" s="15" t="s">
        <v>185</v>
      </c>
      <c r="E1786" s="15" t="s">
        <v>1247</v>
      </c>
      <c r="F1786" s="15">
        <v>1060</v>
      </c>
      <c r="G1786" s="15">
        <v>1060</v>
      </c>
    </row>
    <row r="1787" spans="1:7" x14ac:dyDescent="0.25">
      <c r="A1787" s="15" t="s">
        <v>1242</v>
      </c>
      <c r="B1787" s="15" t="s">
        <v>1243</v>
      </c>
      <c r="C1787" s="16">
        <v>1271.25</v>
      </c>
      <c r="D1787" s="15" t="s">
        <v>466</v>
      </c>
      <c r="E1787" s="15" t="s">
        <v>477</v>
      </c>
      <c r="F1787" s="15">
        <v>113</v>
      </c>
      <c r="G1787" s="15">
        <v>113</v>
      </c>
    </row>
    <row r="1788" spans="1:7" x14ac:dyDescent="0.25">
      <c r="A1788" s="15" t="s">
        <v>1242</v>
      </c>
      <c r="B1788" s="15" t="s">
        <v>1243</v>
      </c>
      <c r="C1788" s="16">
        <v>3.9</v>
      </c>
      <c r="D1788" s="15" t="s">
        <v>333</v>
      </c>
      <c r="E1788" s="15" t="s">
        <v>334</v>
      </c>
      <c r="F1788" s="15">
        <v>2</v>
      </c>
      <c r="G1788" s="15">
        <v>2</v>
      </c>
    </row>
    <row r="1789" spans="1:7" x14ac:dyDescent="0.25">
      <c r="A1789" s="15" t="s">
        <v>1242</v>
      </c>
      <c r="B1789" s="15" t="s">
        <v>1243</v>
      </c>
      <c r="C1789" s="16">
        <v>272.75</v>
      </c>
      <c r="D1789" s="15" t="s">
        <v>478</v>
      </c>
      <c r="E1789" s="15" t="s">
        <v>479</v>
      </c>
      <c r="F1789" s="15">
        <v>21</v>
      </c>
      <c r="G1789" s="15">
        <v>21</v>
      </c>
    </row>
    <row r="1790" spans="1:7" x14ac:dyDescent="0.25">
      <c r="A1790" s="15" t="s">
        <v>1242</v>
      </c>
      <c r="B1790" s="15" t="s">
        <v>1243</v>
      </c>
      <c r="C1790" s="16">
        <v>1.65</v>
      </c>
      <c r="D1790" s="15" t="s">
        <v>80</v>
      </c>
      <c r="E1790" s="15" t="s">
        <v>341</v>
      </c>
      <c r="F1790" s="15">
        <v>1</v>
      </c>
      <c r="G1790" s="15">
        <v>1</v>
      </c>
    </row>
    <row r="1791" spans="1:7" x14ac:dyDescent="0.25">
      <c r="A1791" s="15" t="s">
        <v>1242</v>
      </c>
      <c r="B1791" s="15" t="s">
        <v>1243</v>
      </c>
      <c r="C1791" s="16">
        <v>19.600000000000001</v>
      </c>
      <c r="D1791" s="15" t="s">
        <v>346</v>
      </c>
      <c r="E1791" s="15" t="s">
        <v>347</v>
      </c>
      <c r="F1791" s="15">
        <v>4</v>
      </c>
      <c r="G1791" s="15">
        <v>4</v>
      </c>
    </row>
    <row r="1792" spans="1:7" x14ac:dyDescent="0.25">
      <c r="A1792" s="15" t="s">
        <v>1242</v>
      </c>
      <c r="B1792" s="15" t="s">
        <v>1243</v>
      </c>
      <c r="C1792" s="16">
        <v>109.2</v>
      </c>
      <c r="D1792" s="15" t="s">
        <v>655</v>
      </c>
      <c r="E1792" s="15" t="s">
        <v>656</v>
      </c>
      <c r="F1792" s="15">
        <v>12</v>
      </c>
      <c r="G1792" s="15">
        <v>12</v>
      </c>
    </row>
    <row r="1793" spans="1:7" x14ac:dyDescent="0.25">
      <c r="A1793" s="15" t="s">
        <v>1242</v>
      </c>
      <c r="B1793" s="15" t="s">
        <v>1243</v>
      </c>
      <c r="C1793" s="16">
        <v>3.92</v>
      </c>
      <c r="D1793" s="15" t="s">
        <v>247</v>
      </c>
      <c r="E1793" s="15" t="s">
        <v>169</v>
      </c>
      <c r="F1793" s="15">
        <v>2</v>
      </c>
      <c r="G1793" s="15">
        <v>2</v>
      </c>
    </row>
    <row r="1794" spans="1:7" x14ac:dyDescent="0.25">
      <c r="A1794" s="15" t="s">
        <v>1242</v>
      </c>
      <c r="B1794" s="15" t="s">
        <v>1243</v>
      </c>
      <c r="C1794" s="16">
        <v>1.05</v>
      </c>
      <c r="D1794" s="15" t="s">
        <v>351</v>
      </c>
      <c r="E1794" s="15" t="s">
        <v>352</v>
      </c>
      <c r="F1794" s="15">
        <v>1</v>
      </c>
      <c r="G1794" s="15">
        <v>1</v>
      </c>
    </row>
    <row r="1795" spans="1:7" x14ac:dyDescent="0.25">
      <c r="A1795" s="15" t="s">
        <v>1242</v>
      </c>
      <c r="B1795" s="15" t="s">
        <v>1243</v>
      </c>
      <c r="C1795" s="16">
        <v>4.55</v>
      </c>
      <c r="D1795" s="15" t="s">
        <v>80</v>
      </c>
      <c r="E1795" s="15" t="s">
        <v>1111</v>
      </c>
      <c r="F1795" s="15">
        <v>1</v>
      </c>
      <c r="G1795" s="15">
        <v>1</v>
      </c>
    </row>
    <row r="1796" spans="1:7" x14ac:dyDescent="0.25">
      <c r="A1796" s="15" t="s">
        <v>1242</v>
      </c>
      <c r="B1796" s="15" t="s">
        <v>1243</v>
      </c>
      <c r="C1796" s="16">
        <v>267</v>
      </c>
      <c r="D1796" s="15" t="s">
        <v>455</v>
      </c>
      <c r="E1796" s="15" t="s">
        <v>607</v>
      </c>
      <c r="F1796" s="15">
        <v>6</v>
      </c>
      <c r="G1796" s="15">
        <v>6</v>
      </c>
    </row>
    <row r="1797" spans="1:7" x14ac:dyDescent="0.25">
      <c r="A1797" s="15" t="s">
        <v>1242</v>
      </c>
      <c r="B1797" s="15" t="s">
        <v>1243</v>
      </c>
      <c r="C1797" s="16">
        <v>470.2</v>
      </c>
      <c r="D1797" s="15" t="s">
        <v>179</v>
      </c>
      <c r="E1797" s="15" t="s">
        <v>608</v>
      </c>
      <c r="F1797" s="15">
        <v>50</v>
      </c>
      <c r="G1797" s="15">
        <v>50</v>
      </c>
    </row>
    <row r="1798" spans="1:7" x14ac:dyDescent="0.25">
      <c r="A1798" s="15" t="s">
        <v>1242</v>
      </c>
      <c r="B1798" s="15" t="s">
        <v>1243</v>
      </c>
      <c r="C1798" s="16">
        <v>20.399999999999999</v>
      </c>
      <c r="D1798" s="15" t="s">
        <v>80</v>
      </c>
      <c r="E1798" s="15" t="s">
        <v>676</v>
      </c>
      <c r="F1798" s="15">
        <v>2</v>
      </c>
      <c r="G1798" s="15">
        <v>2</v>
      </c>
    </row>
    <row r="1799" spans="1:7" x14ac:dyDescent="0.25">
      <c r="A1799" s="15" t="s">
        <v>1242</v>
      </c>
      <c r="B1799" s="15" t="s">
        <v>1243</v>
      </c>
      <c r="C1799" s="16">
        <v>10.15</v>
      </c>
      <c r="D1799" s="15" t="s">
        <v>355</v>
      </c>
      <c r="E1799" s="15" t="s">
        <v>356</v>
      </c>
      <c r="F1799" s="15">
        <v>6</v>
      </c>
      <c r="G1799" s="15">
        <v>6</v>
      </c>
    </row>
    <row r="1800" spans="1:7" x14ac:dyDescent="0.25">
      <c r="A1800" s="15" t="s">
        <v>1242</v>
      </c>
      <c r="B1800" s="15" t="s">
        <v>1243</v>
      </c>
      <c r="C1800" s="16">
        <v>3.15</v>
      </c>
      <c r="D1800" s="15" t="s">
        <v>248</v>
      </c>
      <c r="E1800" s="15" t="s">
        <v>357</v>
      </c>
      <c r="F1800" s="15">
        <v>3</v>
      </c>
      <c r="G1800" s="15">
        <v>3</v>
      </c>
    </row>
    <row r="1801" spans="1:7" x14ac:dyDescent="0.25">
      <c r="A1801" s="15" t="s">
        <v>1242</v>
      </c>
      <c r="B1801" s="15" t="s">
        <v>1243</v>
      </c>
      <c r="C1801" s="16">
        <v>1.4</v>
      </c>
      <c r="D1801" s="15" t="s">
        <v>232</v>
      </c>
      <c r="E1801" s="15" t="s">
        <v>783</v>
      </c>
      <c r="F1801" s="15">
        <v>1</v>
      </c>
      <c r="G1801" s="15">
        <v>1</v>
      </c>
    </row>
    <row r="1802" spans="1:7" x14ac:dyDescent="0.25">
      <c r="A1802" s="15" t="s">
        <v>1242</v>
      </c>
      <c r="B1802" s="15" t="s">
        <v>1243</v>
      </c>
      <c r="C1802" s="16">
        <v>47</v>
      </c>
      <c r="D1802" s="15" t="s">
        <v>666</v>
      </c>
      <c r="E1802" s="15" t="s">
        <v>1248</v>
      </c>
      <c r="F1802" s="15">
        <v>5</v>
      </c>
      <c r="G1802" s="15">
        <v>5</v>
      </c>
    </row>
    <row r="1803" spans="1:7" x14ac:dyDescent="0.25">
      <c r="A1803" s="15" t="s">
        <v>1242</v>
      </c>
      <c r="B1803" s="15" t="s">
        <v>1243</v>
      </c>
      <c r="C1803" s="16">
        <v>6.6</v>
      </c>
      <c r="D1803" s="15" t="s">
        <v>119</v>
      </c>
      <c r="E1803" s="15" t="s">
        <v>120</v>
      </c>
      <c r="F1803" s="15">
        <v>1</v>
      </c>
      <c r="G1803" s="15">
        <v>1</v>
      </c>
    </row>
    <row r="1804" spans="1:7" x14ac:dyDescent="0.25">
      <c r="A1804" s="15" t="s">
        <v>1242</v>
      </c>
      <c r="B1804" s="15" t="s">
        <v>1243</v>
      </c>
      <c r="C1804" s="16">
        <v>5.7</v>
      </c>
      <c r="D1804" s="15" t="s">
        <v>86</v>
      </c>
      <c r="E1804" s="15" t="s">
        <v>677</v>
      </c>
      <c r="F1804" s="15">
        <v>3</v>
      </c>
      <c r="G1804" s="15">
        <v>3</v>
      </c>
    </row>
    <row r="1805" spans="1:7" x14ac:dyDescent="0.25">
      <c r="A1805" s="15" t="s">
        <v>1242</v>
      </c>
      <c r="B1805" s="15" t="s">
        <v>1243</v>
      </c>
      <c r="C1805" s="16">
        <v>1.9</v>
      </c>
      <c r="D1805" s="15" t="s">
        <v>1027</v>
      </c>
      <c r="E1805" s="15" t="s">
        <v>1028</v>
      </c>
      <c r="F1805" s="15">
        <v>1</v>
      </c>
      <c r="G1805" s="15">
        <v>1</v>
      </c>
    </row>
    <row r="1806" spans="1:7" x14ac:dyDescent="0.25">
      <c r="A1806" s="15" t="s">
        <v>1242</v>
      </c>
      <c r="B1806" s="15" t="s">
        <v>1243</v>
      </c>
      <c r="C1806" s="16">
        <v>232.8</v>
      </c>
      <c r="D1806" s="15" t="s">
        <v>80</v>
      </c>
      <c r="E1806" s="15" t="s">
        <v>1249</v>
      </c>
      <c r="F1806" s="15">
        <v>16</v>
      </c>
      <c r="G1806" s="15">
        <v>16</v>
      </c>
    </row>
    <row r="1807" spans="1:7" x14ac:dyDescent="0.25">
      <c r="A1807" s="15" t="s">
        <v>1242</v>
      </c>
      <c r="B1807" s="15" t="s">
        <v>1243</v>
      </c>
      <c r="C1807" s="16">
        <v>0.9</v>
      </c>
      <c r="D1807" s="15" t="s">
        <v>275</v>
      </c>
      <c r="E1807" s="15" t="s">
        <v>1112</v>
      </c>
      <c r="F1807" s="15">
        <v>1</v>
      </c>
      <c r="G1807" s="15">
        <v>1</v>
      </c>
    </row>
    <row r="1808" spans="1:7" x14ac:dyDescent="0.25">
      <c r="A1808" s="15" t="s">
        <v>1242</v>
      </c>
      <c r="B1808" s="15" t="s">
        <v>1243</v>
      </c>
      <c r="C1808" s="16">
        <v>15</v>
      </c>
      <c r="D1808" s="15" t="s">
        <v>786</v>
      </c>
      <c r="E1808" s="15" t="s">
        <v>787</v>
      </c>
      <c r="F1808" s="15">
        <v>4</v>
      </c>
      <c r="G1808" s="15">
        <v>4</v>
      </c>
    </row>
    <row r="1809" spans="1:7" x14ac:dyDescent="0.25">
      <c r="A1809" s="15" t="s">
        <v>1242</v>
      </c>
      <c r="B1809" s="15" t="s">
        <v>1243</v>
      </c>
      <c r="C1809" s="16">
        <v>3.6</v>
      </c>
      <c r="D1809" s="15" t="s">
        <v>678</v>
      </c>
      <c r="E1809" s="15" t="s">
        <v>679</v>
      </c>
      <c r="F1809" s="15">
        <v>3</v>
      </c>
      <c r="G1809" s="15">
        <v>3</v>
      </c>
    </row>
    <row r="1810" spans="1:7" x14ac:dyDescent="0.25">
      <c r="A1810" s="15" t="s">
        <v>1242</v>
      </c>
      <c r="B1810" s="15" t="s">
        <v>1243</v>
      </c>
      <c r="C1810" s="16">
        <v>1.4</v>
      </c>
      <c r="D1810" s="15" t="s">
        <v>88</v>
      </c>
      <c r="E1810" s="15" t="s">
        <v>632</v>
      </c>
      <c r="F1810" s="15">
        <v>1</v>
      </c>
      <c r="G1810" s="15">
        <v>1</v>
      </c>
    </row>
    <row r="1811" spans="1:7" x14ac:dyDescent="0.25">
      <c r="A1811" s="15" t="s">
        <v>1242</v>
      </c>
      <c r="B1811" s="15" t="s">
        <v>1243</v>
      </c>
      <c r="C1811" s="16">
        <v>6.55</v>
      </c>
      <c r="D1811" s="15" t="s">
        <v>680</v>
      </c>
      <c r="E1811" s="15" t="s">
        <v>681</v>
      </c>
      <c r="F1811" s="15">
        <v>2</v>
      </c>
      <c r="G1811" s="15">
        <v>2</v>
      </c>
    </row>
    <row r="1812" spans="1:7" x14ac:dyDescent="0.25">
      <c r="A1812" s="15" t="s">
        <v>1242</v>
      </c>
      <c r="B1812" s="15" t="s">
        <v>1243</v>
      </c>
      <c r="C1812" s="16">
        <v>1.4</v>
      </c>
      <c r="D1812" s="15" t="s">
        <v>1035</v>
      </c>
      <c r="E1812" s="15" t="s">
        <v>1036</v>
      </c>
      <c r="F1812" s="15">
        <v>2</v>
      </c>
      <c r="G1812" s="15">
        <v>2</v>
      </c>
    </row>
    <row r="1813" spans="1:7" x14ac:dyDescent="0.25">
      <c r="A1813" s="15" t="s">
        <v>1242</v>
      </c>
      <c r="B1813" s="15" t="s">
        <v>1243</v>
      </c>
      <c r="C1813" s="16">
        <v>27.8</v>
      </c>
      <c r="D1813" s="15" t="s">
        <v>1223</v>
      </c>
      <c r="E1813" s="15" t="s">
        <v>1250</v>
      </c>
      <c r="F1813" s="15">
        <v>2</v>
      </c>
      <c r="G1813" s="15">
        <v>2</v>
      </c>
    </row>
    <row r="1814" spans="1:7" x14ac:dyDescent="0.25">
      <c r="A1814" s="15" t="s">
        <v>1242</v>
      </c>
      <c r="B1814" s="15" t="s">
        <v>1243</v>
      </c>
      <c r="C1814" s="16">
        <v>6.9</v>
      </c>
      <c r="D1814" s="15" t="s">
        <v>80</v>
      </c>
      <c r="E1814" s="15" t="s">
        <v>789</v>
      </c>
      <c r="F1814" s="15">
        <v>2</v>
      </c>
      <c r="G1814" s="15">
        <v>2</v>
      </c>
    </row>
    <row r="1815" spans="1:7" x14ac:dyDescent="0.25">
      <c r="A1815" s="15" t="s">
        <v>1242</v>
      </c>
      <c r="B1815" s="15" t="s">
        <v>1243</v>
      </c>
      <c r="C1815" s="16">
        <v>147.55000000000001</v>
      </c>
      <c r="D1815" s="15" t="s">
        <v>80</v>
      </c>
      <c r="E1815" s="15" t="s">
        <v>637</v>
      </c>
      <c r="F1815" s="15">
        <v>15</v>
      </c>
      <c r="G1815" s="15">
        <v>15</v>
      </c>
    </row>
    <row r="1816" spans="1:7" x14ac:dyDescent="0.25">
      <c r="A1816" s="15" t="s">
        <v>1242</v>
      </c>
      <c r="B1816" s="15" t="s">
        <v>1243</v>
      </c>
      <c r="C1816" s="16">
        <v>296.55</v>
      </c>
      <c r="D1816" s="15" t="s">
        <v>245</v>
      </c>
      <c r="E1816" s="15" t="s">
        <v>490</v>
      </c>
      <c r="F1816" s="15">
        <v>48</v>
      </c>
      <c r="G1816" s="15">
        <v>48</v>
      </c>
    </row>
    <row r="1817" spans="1:7" x14ac:dyDescent="0.25">
      <c r="A1817" s="15" t="s">
        <v>1242</v>
      </c>
      <c r="B1817" s="15" t="s">
        <v>1243</v>
      </c>
      <c r="C1817" s="16">
        <v>7.6</v>
      </c>
      <c r="D1817" s="15" t="s">
        <v>531</v>
      </c>
      <c r="E1817" s="15" t="s">
        <v>1251</v>
      </c>
      <c r="F1817" s="15">
        <v>2</v>
      </c>
      <c r="G1817" s="15">
        <v>2</v>
      </c>
    </row>
    <row r="1818" spans="1:7" x14ac:dyDescent="0.25">
      <c r="A1818" s="15" t="s">
        <v>1242</v>
      </c>
      <c r="B1818" s="15" t="s">
        <v>1243</v>
      </c>
      <c r="C1818" s="16">
        <v>2149.83</v>
      </c>
      <c r="D1818" s="15" t="s">
        <v>132</v>
      </c>
      <c r="E1818" s="15" t="s">
        <v>387</v>
      </c>
      <c r="F1818" s="15">
        <v>148</v>
      </c>
      <c r="G1818" s="15">
        <v>148</v>
      </c>
    </row>
    <row r="1819" spans="1:7" x14ac:dyDescent="0.25">
      <c r="A1819" s="15" t="s">
        <v>1242</v>
      </c>
      <c r="B1819" s="15" t="s">
        <v>1243</v>
      </c>
      <c r="C1819" s="16">
        <v>3963.11</v>
      </c>
      <c r="D1819" s="15" t="s">
        <v>123</v>
      </c>
      <c r="E1819" s="15" t="s">
        <v>388</v>
      </c>
      <c r="F1819" s="15">
        <v>429</v>
      </c>
      <c r="G1819" s="15">
        <v>429</v>
      </c>
    </row>
    <row r="1820" spans="1:7" x14ac:dyDescent="0.25">
      <c r="A1820" s="15" t="s">
        <v>1242</v>
      </c>
      <c r="B1820" s="15" t="s">
        <v>1243</v>
      </c>
      <c r="C1820" s="16">
        <v>8.8000000000000007</v>
      </c>
      <c r="D1820" s="15" t="s">
        <v>1006</v>
      </c>
      <c r="E1820" s="15" t="s">
        <v>126</v>
      </c>
      <c r="F1820" s="15">
        <v>3</v>
      </c>
      <c r="G1820" s="15">
        <v>3</v>
      </c>
    </row>
    <row r="1821" spans="1:7" x14ac:dyDescent="0.25">
      <c r="A1821" s="15" t="s">
        <v>1242</v>
      </c>
      <c r="B1821" s="15" t="s">
        <v>1243</v>
      </c>
      <c r="C1821" s="16">
        <v>0.95</v>
      </c>
      <c r="D1821" s="15" t="s">
        <v>391</v>
      </c>
      <c r="E1821" s="15" t="s">
        <v>392</v>
      </c>
      <c r="F1821" s="15">
        <v>1</v>
      </c>
      <c r="G1821" s="15">
        <v>1</v>
      </c>
    </row>
    <row r="1822" spans="1:7" x14ac:dyDescent="0.25">
      <c r="A1822" s="15" t="s">
        <v>1252</v>
      </c>
      <c r="B1822" s="15" t="s">
        <v>1253</v>
      </c>
      <c r="C1822" s="16">
        <v>7.37</v>
      </c>
      <c r="D1822" s="15" t="s">
        <v>245</v>
      </c>
      <c r="E1822" s="15" t="s">
        <v>1047</v>
      </c>
      <c r="F1822" s="15">
        <v>1</v>
      </c>
      <c r="G1822" s="15">
        <v>1</v>
      </c>
    </row>
    <row r="1823" spans="1:7" x14ac:dyDescent="0.25">
      <c r="A1823" s="15" t="s">
        <v>1252</v>
      </c>
      <c r="B1823" s="15" t="s">
        <v>1253</v>
      </c>
      <c r="C1823" s="16">
        <v>100.5</v>
      </c>
      <c r="D1823" s="15" t="s">
        <v>80</v>
      </c>
      <c r="E1823" s="15" t="s">
        <v>927</v>
      </c>
      <c r="F1823" s="15">
        <v>5</v>
      </c>
      <c r="G1823" s="15">
        <v>5</v>
      </c>
    </row>
    <row r="1824" spans="1:7" x14ac:dyDescent="0.25">
      <c r="A1824" s="15" t="s">
        <v>1252</v>
      </c>
      <c r="B1824" s="15" t="s">
        <v>1253</v>
      </c>
      <c r="C1824" s="16">
        <v>12.48</v>
      </c>
      <c r="D1824" s="15" t="s">
        <v>134</v>
      </c>
      <c r="E1824" s="15" t="s">
        <v>135</v>
      </c>
      <c r="F1824" s="15">
        <v>6</v>
      </c>
      <c r="G1824" s="15">
        <v>6</v>
      </c>
    </row>
    <row r="1825" spans="1:7" x14ac:dyDescent="0.25">
      <c r="A1825" s="15" t="s">
        <v>1252</v>
      </c>
      <c r="B1825" s="15" t="s">
        <v>1253</v>
      </c>
      <c r="C1825" s="16">
        <v>22.8</v>
      </c>
      <c r="D1825" s="15" t="s">
        <v>1254</v>
      </c>
      <c r="E1825" s="15" t="s">
        <v>1255</v>
      </c>
      <c r="F1825" s="15">
        <v>1</v>
      </c>
      <c r="G1825" s="15">
        <v>1</v>
      </c>
    </row>
    <row r="1826" spans="1:7" x14ac:dyDescent="0.25">
      <c r="A1826" s="15" t="s">
        <v>1252</v>
      </c>
      <c r="B1826" s="15" t="s">
        <v>1253</v>
      </c>
      <c r="C1826" s="16">
        <v>2.92</v>
      </c>
      <c r="D1826" s="15" t="s">
        <v>220</v>
      </c>
      <c r="E1826" s="15" t="s">
        <v>1256</v>
      </c>
      <c r="F1826" s="15">
        <v>1</v>
      </c>
      <c r="G1826" s="15">
        <v>1</v>
      </c>
    </row>
    <row r="1827" spans="1:7" x14ac:dyDescent="0.25">
      <c r="A1827" s="15" t="s">
        <v>1252</v>
      </c>
      <c r="B1827" s="15" t="s">
        <v>1253</v>
      </c>
      <c r="C1827" s="16">
        <v>10.98</v>
      </c>
      <c r="D1827" s="15" t="s">
        <v>129</v>
      </c>
      <c r="E1827" s="15" t="s">
        <v>130</v>
      </c>
      <c r="F1827" s="15">
        <v>2</v>
      </c>
      <c r="G1827" s="15">
        <v>2</v>
      </c>
    </row>
    <row r="1828" spans="1:7" x14ac:dyDescent="0.25">
      <c r="A1828" s="15" t="s">
        <v>1252</v>
      </c>
      <c r="B1828" s="15" t="s">
        <v>1253</v>
      </c>
      <c r="C1828" s="16">
        <v>51.42</v>
      </c>
      <c r="D1828" s="15" t="s">
        <v>275</v>
      </c>
      <c r="E1828" s="15" t="s">
        <v>936</v>
      </c>
      <c r="F1828" s="15">
        <v>11</v>
      </c>
      <c r="G1828" s="15">
        <v>11</v>
      </c>
    </row>
    <row r="1829" spans="1:7" x14ac:dyDescent="0.25">
      <c r="A1829" s="15" t="s">
        <v>1252</v>
      </c>
      <c r="B1829" s="15" t="s">
        <v>1253</v>
      </c>
      <c r="C1829" s="16">
        <v>46.6</v>
      </c>
      <c r="D1829" s="15" t="s">
        <v>937</v>
      </c>
      <c r="E1829" s="15" t="s">
        <v>938</v>
      </c>
      <c r="F1829" s="15">
        <v>2</v>
      </c>
      <c r="G1829" s="15">
        <v>2</v>
      </c>
    </row>
    <row r="1830" spans="1:7" x14ac:dyDescent="0.25">
      <c r="A1830" s="15" t="s">
        <v>1252</v>
      </c>
      <c r="B1830" s="15" t="s">
        <v>1253</v>
      </c>
      <c r="C1830" s="16">
        <v>5.0599999999999996</v>
      </c>
      <c r="D1830" s="15" t="s">
        <v>1051</v>
      </c>
      <c r="E1830" s="15" t="s">
        <v>1052</v>
      </c>
      <c r="F1830" s="15">
        <v>1</v>
      </c>
      <c r="G1830" s="15">
        <v>1</v>
      </c>
    </row>
    <row r="1831" spans="1:7" x14ac:dyDescent="0.25">
      <c r="A1831" s="15" t="s">
        <v>1252</v>
      </c>
      <c r="B1831" s="15" t="s">
        <v>1253</v>
      </c>
      <c r="C1831" s="16">
        <v>5621.4</v>
      </c>
      <c r="D1831" s="15" t="s">
        <v>940</v>
      </c>
      <c r="E1831" s="15" t="s">
        <v>941</v>
      </c>
      <c r="F1831" s="15">
        <v>218</v>
      </c>
      <c r="G1831" s="15">
        <v>218</v>
      </c>
    </row>
    <row r="1832" spans="1:7" x14ac:dyDescent="0.25">
      <c r="A1832" s="15" t="s">
        <v>1252</v>
      </c>
      <c r="B1832" s="15" t="s">
        <v>1253</v>
      </c>
      <c r="C1832" s="16">
        <v>4.78</v>
      </c>
      <c r="D1832" s="15" t="s">
        <v>93</v>
      </c>
      <c r="E1832" s="15" t="s">
        <v>94</v>
      </c>
      <c r="F1832" s="15">
        <v>2</v>
      </c>
      <c r="G1832" s="15">
        <v>2</v>
      </c>
    </row>
    <row r="1833" spans="1:7" x14ac:dyDescent="0.25">
      <c r="A1833" s="15" t="s">
        <v>1252</v>
      </c>
      <c r="B1833" s="15" t="s">
        <v>1253</v>
      </c>
      <c r="C1833" s="16">
        <v>163.78</v>
      </c>
      <c r="D1833" s="15" t="s">
        <v>90</v>
      </c>
      <c r="E1833" s="15" t="s">
        <v>1123</v>
      </c>
      <c r="F1833" s="15">
        <v>23</v>
      </c>
      <c r="G1833" s="15">
        <v>23</v>
      </c>
    </row>
    <row r="1834" spans="1:7" x14ac:dyDescent="0.25">
      <c r="A1834" s="15" t="s">
        <v>1252</v>
      </c>
      <c r="B1834" s="15" t="s">
        <v>1253</v>
      </c>
      <c r="C1834" s="16">
        <v>136.87</v>
      </c>
      <c r="D1834" s="15" t="s">
        <v>67</v>
      </c>
      <c r="E1834" s="15" t="s">
        <v>1257</v>
      </c>
      <c r="F1834" s="15">
        <v>13</v>
      </c>
      <c r="G1834" s="15">
        <v>13</v>
      </c>
    </row>
    <row r="1835" spans="1:7" x14ac:dyDescent="0.25">
      <c r="A1835" s="15" t="s">
        <v>1252</v>
      </c>
      <c r="B1835" s="15" t="s">
        <v>1253</v>
      </c>
      <c r="C1835" s="16">
        <v>316.89999999999998</v>
      </c>
      <c r="D1835" s="15" t="s">
        <v>121</v>
      </c>
      <c r="E1835" s="15" t="s">
        <v>122</v>
      </c>
      <c r="F1835" s="15">
        <v>27</v>
      </c>
      <c r="G1835" s="15">
        <v>27</v>
      </c>
    </row>
    <row r="1836" spans="1:7" x14ac:dyDescent="0.25">
      <c r="A1836" s="15" t="s">
        <v>1252</v>
      </c>
      <c r="B1836" s="15" t="s">
        <v>1253</v>
      </c>
      <c r="C1836" s="16">
        <v>50.36</v>
      </c>
      <c r="D1836" s="15" t="s">
        <v>101</v>
      </c>
      <c r="E1836" s="15" t="s">
        <v>1053</v>
      </c>
      <c r="F1836" s="15">
        <v>2</v>
      </c>
      <c r="G1836" s="15">
        <v>2</v>
      </c>
    </row>
    <row r="1837" spans="1:7" x14ac:dyDescent="0.25">
      <c r="A1837" s="15" t="s">
        <v>1252</v>
      </c>
      <c r="B1837" s="15" t="s">
        <v>1253</v>
      </c>
      <c r="C1837" s="16">
        <v>222.7</v>
      </c>
      <c r="D1837" s="15" t="s">
        <v>680</v>
      </c>
      <c r="E1837" s="15" t="s">
        <v>944</v>
      </c>
      <c r="F1837" s="15">
        <v>12</v>
      </c>
      <c r="G1837" s="15">
        <v>12</v>
      </c>
    </row>
    <row r="1838" spans="1:7" x14ac:dyDescent="0.25">
      <c r="A1838" s="15" t="s">
        <v>1252</v>
      </c>
      <c r="B1838" s="15" t="s">
        <v>1253</v>
      </c>
      <c r="C1838" s="16">
        <v>2.57</v>
      </c>
      <c r="D1838" s="15" t="s">
        <v>447</v>
      </c>
      <c r="E1838" s="15" t="s">
        <v>1125</v>
      </c>
      <c r="F1838" s="15">
        <v>1</v>
      </c>
      <c r="G1838" s="15">
        <v>1</v>
      </c>
    </row>
    <row r="1839" spans="1:7" x14ac:dyDescent="0.25">
      <c r="A1839" s="15" t="s">
        <v>1252</v>
      </c>
      <c r="B1839" s="15" t="s">
        <v>1253</v>
      </c>
      <c r="C1839" s="16">
        <v>31.27</v>
      </c>
      <c r="D1839" s="15" t="s">
        <v>567</v>
      </c>
      <c r="E1839" s="15" t="s">
        <v>1258</v>
      </c>
      <c r="F1839" s="15">
        <v>6</v>
      </c>
      <c r="G1839" s="15">
        <v>6</v>
      </c>
    </row>
    <row r="1840" spans="1:7" x14ac:dyDescent="0.25">
      <c r="A1840" s="15" t="s">
        <v>1252</v>
      </c>
      <c r="B1840" s="15" t="s">
        <v>1253</v>
      </c>
      <c r="C1840" s="16">
        <v>31.6</v>
      </c>
      <c r="D1840" s="15" t="s">
        <v>100</v>
      </c>
      <c r="E1840" s="15" t="s">
        <v>949</v>
      </c>
      <c r="F1840" s="15">
        <v>7</v>
      </c>
      <c r="G1840" s="15">
        <v>7</v>
      </c>
    </row>
    <row r="1841" spans="1:7" x14ac:dyDescent="0.25">
      <c r="A1841" s="15" t="s">
        <v>1252</v>
      </c>
      <c r="B1841" s="15" t="s">
        <v>1253</v>
      </c>
      <c r="C1841" s="16">
        <v>14.76</v>
      </c>
      <c r="D1841" s="15" t="s">
        <v>80</v>
      </c>
      <c r="E1841" s="15" t="s">
        <v>950</v>
      </c>
      <c r="F1841" s="15">
        <v>2</v>
      </c>
      <c r="G1841" s="15">
        <v>2</v>
      </c>
    </row>
    <row r="1842" spans="1:7" x14ac:dyDescent="0.25">
      <c r="A1842" s="15" t="s">
        <v>1252</v>
      </c>
      <c r="B1842" s="15" t="s">
        <v>1253</v>
      </c>
      <c r="C1842" s="16">
        <v>2658.5</v>
      </c>
      <c r="D1842" s="15" t="s">
        <v>111</v>
      </c>
      <c r="E1842" s="15" t="s">
        <v>112</v>
      </c>
      <c r="F1842" s="15">
        <v>155</v>
      </c>
      <c r="G1842" s="15">
        <v>155</v>
      </c>
    </row>
    <row r="1843" spans="1:7" x14ac:dyDescent="0.25">
      <c r="A1843" s="15" t="s">
        <v>1252</v>
      </c>
      <c r="B1843" s="15" t="s">
        <v>1253</v>
      </c>
      <c r="C1843" s="16">
        <v>170.7</v>
      </c>
      <c r="D1843" s="15" t="s">
        <v>951</v>
      </c>
      <c r="E1843" s="15" t="s">
        <v>952</v>
      </c>
      <c r="F1843" s="15">
        <v>12</v>
      </c>
      <c r="G1843" s="15">
        <v>12</v>
      </c>
    </row>
    <row r="1844" spans="1:7" x14ac:dyDescent="0.25">
      <c r="A1844" s="15" t="s">
        <v>1252</v>
      </c>
      <c r="B1844" s="15" t="s">
        <v>1253</v>
      </c>
      <c r="C1844" s="16">
        <v>27.69</v>
      </c>
      <c r="D1844" s="15" t="s">
        <v>348</v>
      </c>
      <c r="E1844" s="15" t="s">
        <v>657</v>
      </c>
      <c r="F1844" s="15">
        <v>5</v>
      </c>
      <c r="G1844" s="15">
        <v>5</v>
      </c>
    </row>
    <row r="1845" spans="1:7" x14ac:dyDescent="0.25">
      <c r="A1845" s="15" t="s">
        <v>1252</v>
      </c>
      <c r="B1845" s="15" t="s">
        <v>1253</v>
      </c>
      <c r="C1845" s="16">
        <v>40.119999999999997</v>
      </c>
      <c r="D1845" s="15" t="s">
        <v>117</v>
      </c>
      <c r="E1845" s="15" t="s">
        <v>1259</v>
      </c>
      <c r="F1845" s="15">
        <v>2</v>
      </c>
      <c r="G1845" s="15">
        <v>2</v>
      </c>
    </row>
    <row r="1846" spans="1:7" x14ac:dyDescent="0.25">
      <c r="A1846" s="15" t="s">
        <v>1252</v>
      </c>
      <c r="B1846" s="15" t="s">
        <v>1253</v>
      </c>
      <c r="C1846" s="16">
        <v>24.82</v>
      </c>
      <c r="D1846" s="15" t="s">
        <v>179</v>
      </c>
      <c r="E1846" s="15" t="s">
        <v>1057</v>
      </c>
      <c r="F1846" s="15">
        <v>2</v>
      </c>
      <c r="G1846" s="15">
        <v>2</v>
      </c>
    </row>
    <row r="1847" spans="1:7" x14ac:dyDescent="0.25">
      <c r="A1847" s="15" t="s">
        <v>1252</v>
      </c>
      <c r="B1847" s="15" t="s">
        <v>1253</v>
      </c>
      <c r="C1847" s="16">
        <v>75.36</v>
      </c>
      <c r="D1847" s="15" t="s">
        <v>80</v>
      </c>
      <c r="E1847" s="15" t="s">
        <v>1132</v>
      </c>
      <c r="F1847" s="15">
        <v>4</v>
      </c>
      <c r="G1847" s="15">
        <v>4</v>
      </c>
    </row>
    <row r="1848" spans="1:7" x14ac:dyDescent="0.25">
      <c r="A1848" s="15" t="s">
        <v>1252</v>
      </c>
      <c r="B1848" s="15" t="s">
        <v>1253</v>
      </c>
      <c r="C1848" s="16">
        <v>3683.58</v>
      </c>
      <c r="D1848" s="15" t="s">
        <v>105</v>
      </c>
      <c r="E1848" s="15" t="s">
        <v>106</v>
      </c>
      <c r="F1848" s="15">
        <v>172</v>
      </c>
      <c r="G1848" s="15">
        <v>172</v>
      </c>
    </row>
    <row r="1849" spans="1:7" x14ac:dyDescent="0.25">
      <c r="A1849" s="15" t="s">
        <v>1252</v>
      </c>
      <c r="B1849" s="15" t="s">
        <v>1253</v>
      </c>
      <c r="C1849" s="16">
        <v>42.66</v>
      </c>
      <c r="D1849" s="15" t="s">
        <v>903</v>
      </c>
      <c r="E1849" s="15" t="s">
        <v>904</v>
      </c>
      <c r="F1849" s="15">
        <v>13</v>
      </c>
      <c r="G1849" s="15">
        <v>13</v>
      </c>
    </row>
    <row r="1850" spans="1:7" x14ac:dyDescent="0.25">
      <c r="A1850" s="15" t="s">
        <v>1252</v>
      </c>
      <c r="B1850" s="15" t="s">
        <v>1253</v>
      </c>
      <c r="C1850" s="16">
        <v>8.5</v>
      </c>
      <c r="D1850" s="15" t="s">
        <v>103</v>
      </c>
      <c r="E1850" s="15" t="s">
        <v>104</v>
      </c>
      <c r="F1850" s="15">
        <v>1</v>
      </c>
      <c r="G1850" s="15">
        <v>1</v>
      </c>
    </row>
    <row r="1851" spans="1:7" x14ac:dyDescent="0.25">
      <c r="A1851" s="15" t="s">
        <v>1252</v>
      </c>
      <c r="B1851" s="15" t="s">
        <v>1253</v>
      </c>
      <c r="C1851" s="16">
        <v>407.46</v>
      </c>
      <c r="D1851" s="15" t="s">
        <v>80</v>
      </c>
      <c r="E1851" s="15" t="s">
        <v>959</v>
      </c>
      <c r="F1851" s="15">
        <v>45</v>
      </c>
      <c r="G1851" s="15">
        <v>45</v>
      </c>
    </row>
    <row r="1852" spans="1:7" x14ac:dyDescent="0.25">
      <c r="A1852" s="15" t="s">
        <v>1252</v>
      </c>
      <c r="B1852" s="15" t="s">
        <v>1253</v>
      </c>
      <c r="C1852" s="16">
        <v>16.84</v>
      </c>
      <c r="D1852" s="15" t="s">
        <v>240</v>
      </c>
      <c r="E1852" s="15" t="s">
        <v>1135</v>
      </c>
      <c r="F1852" s="15">
        <v>7</v>
      </c>
      <c r="G1852" s="15">
        <v>7</v>
      </c>
    </row>
    <row r="1853" spans="1:7" x14ac:dyDescent="0.25">
      <c r="A1853" s="15" t="s">
        <v>1252</v>
      </c>
      <c r="B1853" s="15" t="s">
        <v>1253</v>
      </c>
      <c r="C1853" s="16">
        <v>28.74</v>
      </c>
      <c r="D1853" s="15" t="s">
        <v>963</v>
      </c>
      <c r="E1853" s="15" t="s">
        <v>784</v>
      </c>
      <c r="F1853" s="15">
        <v>2</v>
      </c>
      <c r="G1853" s="15">
        <v>2</v>
      </c>
    </row>
    <row r="1854" spans="1:7" x14ac:dyDescent="0.25">
      <c r="A1854" s="15" t="s">
        <v>1252</v>
      </c>
      <c r="B1854" s="15" t="s">
        <v>1253</v>
      </c>
      <c r="C1854" s="16">
        <v>8.76</v>
      </c>
      <c r="D1854" s="15" t="s">
        <v>80</v>
      </c>
      <c r="E1854" s="15" t="s">
        <v>1059</v>
      </c>
      <c r="F1854" s="15">
        <v>3</v>
      </c>
      <c r="G1854" s="15">
        <v>3</v>
      </c>
    </row>
    <row r="1855" spans="1:7" x14ac:dyDescent="0.25">
      <c r="A1855" s="15" t="s">
        <v>1252</v>
      </c>
      <c r="B1855" s="15" t="s">
        <v>1253</v>
      </c>
      <c r="C1855" s="16">
        <v>85.43</v>
      </c>
      <c r="D1855" s="15" t="s">
        <v>965</v>
      </c>
      <c r="E1855" s="15" t="s">
        <v>966</v>
      </c>
      <c r="F1855" s="15">
        <v>8</v>
      </c>
      <c r="G1855" s="15">
        <v>8</v>
      </c>
    </row>
    <row r="1856" spans="1:7" x14ac:dyDescent="0.25">
      <c r="A1856" s="15" t="s">
        <v>1252</v>
      </c>
      <c r="B1856" s="15" t="s">
        <v>1253</v>
      </c>
      <c r="C1856" s="16">
        <v>51.85</v>
      </c>
      <c r="D1856" s="15" t="s">
        <v>80</v>
      </c>
      <c r="E1856" s="15" t="s">
        <v>415</v>
      </c>
      <c r="F1856" s="15">
        <v>5</v>
      </c>
      <c r="G1856" s="15">
        <v>5</v>
      </c>
    </row>
    <row r="1857" spans="1:7" x14ac:dyDescent="0.25">
      <c r="A1857" s="15" t="s">
        <v>1252</v>
      </c>
      <c r="B1857" s="15" t="s">
        <v>1253</v>
      </c>
      <c r="C1857" s="16">
        <v>25</v>
      </c>
      <c r="D1857" s="15" t="s">
        <v>119</v>
      </c>
      <c r="E1857" s="15" t="s">
        <v>120</v>
      </c>
      <c r="F1857" s="15">
        <v>1</v>
      </c>
      <c r="G1857" s="15">
        <v>1</v>
      </c>
    </row>
    <row r="1858" spans="1:7" x14ac:dyDescent="0.25">
      <c r="A1858" s="15" t="s">
        <v>1252</v>
      </c>
      <c r="B1858" s="15" t="s">
        <v>1253</v>
      </c>
      <c r="C1858" s="16">
        <v>15.33</v>
      </c>
      <c r="D1858" s="15" t="s">
        <v>967</v>
      </c>
      <c r="E1858" s="15" t="s">
        <v>968</v>
      </c>
      <c r="F1858" s="15">
        <v>1</v>
      </c>
      <c r="G1858" s="15">
        <v>1</v>
      </c>
    </row>
    <row r="1859" spans="1:7" x14ac:dyDescent="0.25">
      <c r="A1859" s="15" t="s">
        <v>1252</v>
      </c>
      <c r="B1859" s="15" t="s">
        <v>1253</v>
      </c>
      <c r="C1859" s="16">
        <v>127.84</v>
      </c>
      <c r="D1859" s="15" t="s">
        <v>107</v>
      </c>
      <c r="E1859" s="15" t="s">
        <v>108</v>
      </c>
      <c r="F1859" s="15">
        <v>20</v>
      </c>
      <c r="G1859" s="15">
        <v>20</v>
      </c>
    </row>
    <row r="1860" spans="1:7" x14ac:dyDescent="0.25">
      <c r="A1860" s="15" t="s">
        <v>1252</v>
      </c>
      <c r="B1860" s="15" t="s">
        <v>1253</v>
      </c>
      <c r="C1860" s="16">
        <v>79.62</v>
      </c>
      <c r="D1860" s="15" t="s">
        <v>972</v>
      </c>
      <c r="E1860" s="15" t="s">
        <v>973</v>
      </c>
      <c r="F1860" s="15">
        <v>6</v>
      </c>
      <c r="G1860" s="15">
        <v>6</v>
      </c>
    </row>
    <row r="1861" spans="1:7" x14ac:dyDescent="0.25">
      <c r="A1861" s="15" t="s">
        <v>1252</v>
      </c>
      <c r="B1861" s="15" t="s">
        <v>1253</v>
      </c>
      <c r="C1861" s="16">
        <v>274.64999999999998</v>
      </c>
      <c r="D1861" s="15" t="s">
        <v>75</v>
      </c>
      <c r="E1861" s="15" t="s">
        <v>78</v>
      </c>
      <c r="F1861" s="15">
        <v>12</v>
      </c>
      <c r="G1861" s="15">
        <v>12</v>
      </c>
    </row>
    <row r="1862" spans="1:7" x14ac:dyDescent="0.25">
      <c r="A1862" s="15" t="s">
        <v>1252</v>
      </c>
      <c r="B1862" s="15" t="s">
        <v>1253</v>
      </c>
      <c r="C1862" s="16">
        <v>64.599999999999994</v>
      </c>
      <c r="D1862" s="15" t="s">
        <v>125</v>
      </c>
      <c r="E1862" s="15" t="s">
        <v>979</v>
      </c>
      <c r="F1862" s="15">
        <v>17</v>
      </c>
      <c r="G1862" s="15">
        <v>17</v>
      </c>
    </row>
    <row r="1863" spans="1:7" x14ac:dyDescent="0.25">
      <c r="A1863" s="15" t="s">
        <v>1252</v>
      </c>
      <c r="B1863" s="15" t="s">
        <v>1253</v>
      </c>
      <c r="C1863" s="16">
        <v>94.72</v>
      </c>
      <c r="D1863" s="15" t="s">
        <v>602</v>
      </c>
      <c r="E1863" s="15" t="s">
        <v>1136</v>
      </c>
      <c r="F1863" s="15">
        <v>74</v>
      </c>
      <c r="G1863" s="15">
        <v>74</v>
      </c>
    </row>
    <row r="1864" spans="1:7" x14ac:dyDescent="0.25">
      <c r="A1864" s="15" t="s">
        <v>1252</v>
      </c>
      <c r="B1864" s="15" t="s">
        <v>1253</v>
      </c>
      <c r="C1864" s="16">
        <v>210.95</v>
      </c>
      <c r="D1864" s="15" t="s">
        <v>77</v>
      </c>
      <c r="E1864" s="15" t="s">
        <v>1260</v>
      </c>
      <c r="F1864" s="15">
        <v>6</v>
      </c>
      <c r="G1864" s="15">
        <v>6</v>
      </c>
    </row>
    <row r="1865" spans="1:7" x14ac:dyDescent="0.25">
      <c r="A1865" s="15" t="s">
        <v>1252</v>
      </c>
      <c r="B1865" s="15" t="s">
        <v>1253</v>
      </c>
      <c r="C1865" s="16">
        <v>6.4</v>
      </c>
      <c r="D1865" s="15" t="s">
        <v>955</v>
      </c>
      <c r="E1865" s="15" t="s">
        <v>1261</v>
      </c>
      <c r="F1865" s="15">
        <v>1</v>
      </c>
      <c r="G1865" s="15">
        <v>1</v>
      </c>
    </row>
    <row r="1866" spans="1:7" x14ac:dyDescent="0.25">
      <c r="A1866" s="15" t="s">
        <v>1252</v>
      </c>
      <c r="B1866" s="15" t="s">
        <v>1253</v>
      </c>
      <c r="C1866" s="16">
        <v>140.26</v>
      </c>
      <c r="D1866" s="15" t="s">
        <v>546</v>
      </c>
      <c r="E1866" s="15" t="s">
        <v>982</v>
      </c>
      <c r="F1866" s="15">
        <v>27</v>
      </c>
      <c r="G1866" s="15">
        <v>27</v>
      </c>
    </row>
    <row r="1867" spans="1:7" x14ac:dyDescent="0.25">
      <c r="A1867" s="15" t="s">
        <v>1252</v>
      </c>
      <c r="B1867" s="15" t="s">
        <v>1253</v>
      </c>
      <c r="C1867" s="16">
        <v>21.44</v>
      </c>
      <c r="D1867" s="15" t="s">
        <v>154</v>
      </c>
      <c r="E1867" s="15" t="s">
        <v>983</v>
      </c>
      <c r="F1867" s="15">
        <v>6</v>
      </c>
      <c r="G1867" s="15">
        <v>6</v>
      </c>
    </row>
    <row r="1868" spans="1:7" x14ac:dyDescent="0.25">
      <c r="A1868" s="15" t="s">
        <v>1252</v>
      </c>
      <c r="B1868" s="15" t="s">
        <v>1253</v>
      </c>
      <c r="C1868" s="16">
        <v>61.11</v>
      </c>
      <c r="D1868" s="15" t="s">
        <v>123</v>
      </c>
      <c r="E1868" s="15" t="s">
        <v>1262</v>
      </c>
      <c r="F1868" s="15">
        <v>2</v>
      </c>
      <c r="G1868" s="15">
        <v>2</v>
      </c>
    </row>
    <row r="1869" spans="1:7" x14ac:dyDescent="0.25">
      <c r="A1869" s="15" t="s">
        <v>1252</v>
      </c>
      <c r="B1869" s="15" t="s">
        <v>1253</v>
      </c>
      <c r="C1869" s="16">
        <v>311.36</v>
      </c>
      <c r="D1869" s="15" t="s">
        <v>97</v>
      </c>
      <c r="E1869" s="15" t="s">
        <v>1263</v>
      </c>
      <c r="F1869" s="15">
        <v>16</v>
      </c>
      <c r="G1869" s="15">
        <v>16</v>
      </c>
    </row>
    <row r="1870" spans="1:7" x14ac:dyDescent="0.25">
      <c r="A1870" s="15" t="s">
        <v>1252</v>
      </c>
      <c r="B1870" s="15" t="s">
        <v>1253</v>
      </c>
      <c r="C1870" s="16">
        <v>2.61</v>
      </c>
      <c r="D1870" s="15" t="s">
        <v>1264</v>
      </c>
      <c r="E1870" s="15" t="s">
        <v>1265</v>
      </c>
      <c r="F1870" s="15">
        <v>1</v>
      </c>
      <c r="G1870" s="15">
        <v>1</v>
      </c>
    </row>
    <row r="1871" spans="1:7" x14ac:dyDescent="0.25">
      <c r="A1871" s="15" t="s">
        <v>1252</v>
      </c>
      <c r="B1871" s="15" t="s">
        <v>1253</v>
      </c>
      <c r="C1871" s="16">
        <v>41.4</v>
      </c>
      <c r="D1871" s="15" t="s">
        <v>399</v>
      </c>
      <c r="E1871" s="15" t="s">
        <v>990</v>
      </c>
      <c r="F1871" s="15">
        <v>3</v>
      </c>
      <c r="G1871" s="15">
        <v>3</v>
      </c>
    </row>
    <row r="1872" spans="1:7" x14ac:dyDescent="0.25">
      <c r="A1872" s="15" t="s">
        <v>1252</v>
      </c>
      <c r="B1872" s="15" t="s">
        <v>1253</v>
      </c>
      <c r="C1872" s="16">
        <v>171.18</v>
      </c>
      <c r="D1872" s="15" t="s">
        <v>991</v>
      </c>
      <c r="E1872" s="15" t="s">
        <v>992</v>
      </c>
      <c r="F1872" s="15">
        <v>61</v>
      </c>
      <c r="G1872" s="15">
        <v>61</v>
      </c>
    </row>
    <row r="1873" spans="1:7" x14ac:dyDescent="0.25">
      <c r="A1873" s="15" t="s">
        <v>1252</v>
      </c>
      <c r="B1873" s="15" t="s">
        <v>1253</v>
      </c>
      <c r="C1873" s="16">
        <v>34.590000000000003</v>
      </c>
      <c r="D1873" s="15" t="s">
        <v>73</v>
      </c>
      <c r="E1873" s="15" t="s">
        <v>74</v>
      </c>
      <c r="F1873" s="15">
        <v>12</v>
      </c>
      <c r="G1873" s="15">
        <v>12</v>
      </c>
    </row>
    <row r="1874" spans="1:7" x14ac:dyDescent="0.25">
      <c r="A1874" s="15" t="s">
        <v>1252</v>
      </c>
      <c r="B1874" s="15" t="s">
        <v>1253</v>
      </c>
      <c r="C1874" s="16">
        <v>72.489999999999995</v>
      </c>
      <c r="D1874" s="15" t="s">
        <v>1065</v>
      </c>
      <c r="E1874" s="15" t="s">
        <v>995</v>
      </c>
      <c r="F1874" s="15">
        <v>9</v>
      </c>
      <c r="G1874" s="15">
        <v>9</v>
      </c>
    </row>
    <row r="1875" spans="1:7" x14ac:dyDescent="0.25">
      <c r="A1875" s="15" t="s">
        <v>1252</v>
      </c>
      <c r="B1875" s="15" t="s">
        <v>1253</v>
      </c>
      <c r="C1875" s="16">
        <v>82.16</v>
      </c>
      <c r="D1875" s="15" t="s">
        <v>80</v>
      </c>
      <c r="E1875" s="15" t="s">
        <v>1266</v>
      </c>
      <c r="F1875" s="15">
        <v>4</v>
      </c>
      <c r="G1875" s="15">
        <v>4</v>
      </c>
    </row>
    <row r="1876" spans="1:7" x14ac:dyDescent="0.25">
      <c r="A1876" s="15" t="s">
        <v>1252</v>
      </c>
      <c r="B1876" s="15" t="s">
        <v>1253</v>
      </c>
      <c r="C1876" s="16">
        <v>115.2</v>
      </c>
      <c r="D1876" s="15" t="s">
        <v>138</v>
      </c>
      <c r="E1876" s="15" t="s">
        <v>823</v>
      </c>
      <c r="F1876" s="15">
        <v>5</v>
      </c>
      <c r="G1876" s="15">
        <v>5</v>
      </c>
    </row>
    <row r="1877" spans="1:7" x14ac:dyDescent="0.25">
      <c r="A1877" s="15" t="s">
        <v>1252</v>
      </c>
      <c r="B1877" s="15" t="s">
        <v>1253</v>
      </c>
      <c r="C1877" s="16">
        <v>6.37</v>
      </c>
      <c r="D1877" s="15" t="s">
        <v>172</v>
      </c>
      <c r="E1877" s="15" t="s">
        <v>1267</v>
      </c>
      <c r="F1877" s="15">
        <v>1</v>
      </c>
      <c r="G1877" s="15">
        <v>1</v>
      </c>
    </row>
    <row r="1878" spans="1:7" x14ac:dyDescent="0.25">
      <c r="A1878" s="15" t="s">
        <v>1252</v>
      </c>
      <c r="B1878" s="15" t="s">
        <v>1253</v>
      </c>
      <c r="C1878" s="16">
        <v>153.5</v>
      </c>
      <c r="D1878" s="15" t="s">
        <v>999</v>
      </c>
      <c r="E1878" s="15" t="s">
        <v>1000</v>
      </c>
      <c r="F1878" s="15">
        <v>16</v>
      </c>
      <c r="G1878" s="15">
        <v>16</v>
      </c>
    </row>
    <row r="1879" spans="1:7" x14ac:dyDescent="0.25">
      <c r="A1879" s="15" t="s">
        <v>1252</v>
      </c>
      <c r="B1879" s="15" t="s">
        <v>1253</v>
      </c>
      <c r="C1879" s="16">
        <v>99.47</v>
      </c>
      <c r="D1879" s="15" t="s">
        <v>132</v>
      </c>
      <c r="E1879" s="15" t="s">
        <v>300</v>
      </c>
      <c r="F1879" s="15">
        <v>5</v>
      </c>
      <c r="G1879" s="15">
        <v>5</v>
      </c>
    </row>
    <row r="1880" spans="1:7" x14ac:dyDescent="0.25">
      <c r="A1880" s="15" t="s">
        <v>1252</v>
      </c>
      <c r="B1880" s="15" t="s">
        <v>1253</v>
      </c>
      <c r="C1880" s="16">
        <v>14.82</v>
      </c>
      <c r="D1880" s="15" t="s">
        <v>1068</v>
      </c>
      <c r="E1880" s="15" t="s">
        <v>1069</v>
      </c>
      <c r="F1880" s="15">
        <v>3</v>
      </c>
      <c r="G1880" s="15">
        <v>3</v>
      </c>
    </row>
    <row r="1881" spans="1:7" x14ac:dyDescent="0.25">
      <c r="A1881" s="15" t="s">
        <v>1252</v>
      </c>
      <c r="B1881" s="15" t="s">
        <v>1253</v>
      </c>
      <c r="C1881" s="16">
        <v>109.88</v>
      </c>
      <c r="D1881" s="15" t="s">
        <v>80</v>
      </c>
      <c r="E1881" s="15" t="s">
        <v>1268</v>
      </c>
      <c r="F1881" s="15">
        <v>7</v>
      </c>
      <c r="G1881" s="15">
        <v>7</v>
      </c>
    </row>
    <row r="1882" spans="1:7" x14ac:dyDescent="0.25">
      <c r="A1882" s="15" t="s">
        <v>1252</v>
      </c>
      <c r="B1882" s="15" t="s">
        <v>1253</v>
      </c>
      <c r="C1882" s="16">
        <v>22.76</v>
      </c>
      <c r="D1882" s="15" t="s">
        <v>1004</v>
      </c>
      <c r="E1882" s="15" t="s">
        <v>1005</v>
      </c>
      <c r="F1882" s="15">
        <v>3</v>
      </c>
      <c r="G1882" s="15">
        <v>3</v>
      </c>
    </row>
    <row r="1883" spans="1:7" x14ac:dyDescent="0.25">
      <c r="A1883" s="15" t="s">
        <v>1252</v>
      </c>
      <c r="B1883" s="15" t="s">
        <v>1253</v>
      </c>
      <c r="C1883" s="16">
        <v>51.12</v>
      </c>
      <c r="D1883" s="15" t="s">
        <v>1071</v>
      </c>
      <c r="E1883" s="15" t="s">
        <v>1072</v>
      </c>
      <c r="F1883" s="15">
        <v>19</v>
      </c>
      <c r="G1883" s="15">
        <v>19</v>
      </c>
    </row>
    <row r="1884" spans="1:7" x14ac:dyDescent="0.25">
      <c r="A1884" s="15" t="s">
        <v>1252</v>
      </c>
      <c r="B1884" s="15" t="s">
        <v>1253</v>
      </c>
      <c r="C1884" s="16">
        <v>8.0299999999999994</v>
      </c>
      <c r="D1884" s="15" t="s">
        <v>127</v>
      </c>
      <c r="E1884" s="15" t="s">
        <v>1009</v>
      </c>
      <c r="F1884" s="15">
        <v>2</v>
      </c>
      <c r="G1884" s="15">
        <v>2</v>
      </c>
    </row>
    <row r="1885" spans="1:7" x14ac:dyDescent="0.25">
      <c r="A1885" s="15" t="s">
        <v>1252</v>
      </c>
      <c r="B1885" s="15" t="s">
        <v>1253</v>
      </c>
      <c r="C1885" s="16">
        <v>1.7</v>
      </c>
      <c r="D1885" s="15" t="s">
        <v>984</v>
      </c>
      <c r="E1885" s="15" t="s">
        <v>1140</v>
      </c>
      <c r="F1885" s="15">
        <v>1</v>
      </c>
      <c r="G1885" s="15">
        <v>1</v>
      </c>
    </row>
    <row r="1886" spans="1:7" x14ac:dyDescent="0.25">
      <c r="A1886" s="15" t="s">
        <v>1269</v>
      </c>
      <c r="B1886" s="15" t="s">
        <v>1270</v>
      </c>
      <c r="C1886" s="16">
        <v>38</v>
      </c>
      <c r="D1886" s="15" t="s">
        <v>551</v>
      </c>
      <c r="E1886" s="15" t="s">
        <v>1271</v>
      </c>
      <c r="F1886" s="15">
        <v>40</v>
      </c>
      <c r="G1886" s="15">
        <v>40</v>
      </c>
    </row>
    <row r="1887" spans="1:7" x14ac:dyDescent="0.25">
      <c r="A1887" s="15" t="s">
        <v>1269</v>
      </c>
      <c r="B1887" s="15" t="s">
        <v>1270</v>
      </c>
      <c r="C1887" s="16">
        <v>50.25</v>
      </c>
      <c r="D1887" s="15" t="s">
        <v>156</v>
      </c>
      <c r="E1887" s="15" t="s">
        <v>317</v>
      </c>
      <c r="F1887" s="15">
        <v>15</v>
      </c>
      <c r="G1887" s="15">
        <v>15</v>
      </c>
    </row>
    <row r="1888" spans="1:7" x14ac:dyDescent="0.25">
      <c r="A1888" s="15" t="s">
        <v>1269</v>
      </c>
      <c r="B1888" s="15" t="s">
        <v>1270</v>
      </c>
      <c r="C1888" s="16">
        <v>0.6</v>
      </c>
      <c r="D1888" s="15" t="s">
        <v>265</v>
      </c>
      <c r="E1888" s="15" t="s">
        <v>1272</v>
      </c>
      <c r="F1888" s="15">
        <v>4</v>
      </c>
      <c r="G1888" s="15">
        <v>4</v>
      </c>
    </row>
    <row r="1889" spans="1:7" x14ac:dyDescent="0.25">
      <c r="A1889" s="15" t="s">
        <v>1269</v>
      </c>
      <c r="B1889" s="15" t="s">
        <v>1270</v>
      </c>
      <c r="C1889" s="16">
        <v>7.95</v>
      </c>
      <c r="D1889" s="15" t="s">
        <v>80</v>
      </c>
      <c r="E1889" s="15" t="s">
        <v>1273</v>
      </c>
      <c r="F1889" s="15">
        <v>31</v>
      </c>
      <c r="G1889" s="15">
        <v>31</v>
      </c>
    </row>
    <row r="1890" spans="1:7" x14ac:dyDescent="0.25">
      <c r="A1890" s="15" t="s">
        <v>1269</v>
      </c>
      <c r="B1890" s="15" t="s">
        <v>1270</v>
      </c>
      <c r="C1890" s="16">
        <v>9.75</v>
      </c>
      <c r="D1890" s="15" t="s">
        <v>1274</v>
      </c>
      <c r="E1890" s="15" t="s">
        <v>1275</v>
      </c>
      <c r="F1890" s="15">
        <v>75</v>
      </c>
      <c r="G1890" s="15">
        <v>75</v>
      </c>
    </row>
    <row r="1891" spans="1:7" x14ac:dyDescent="0.25">
      <c r="A1891" s="15" t="s">
        <v>1269</v>
      </c>
      <c r="B1891" s="15" t="s">
        <v>1270</v>
      </c>
      <c r="C1891" s="16">
        <v>201.6</v>
      </c>
      <c r="D1891" s="15" t="s">
        <v>437</v>
      </c>
      <c r="E1891" s="15" t="s">
        <v>588</v>
      </c>
      <c r="F1891" s="15">
        <v>24</v>
      </c>
      <c r="G1891" s="15">
        <v>24</v>
      </c>
    </row>
    <row r="1892" spans="1:7" x14ac:dyDescent="0.25">
      <c r="A1892" s="15" t="s">
        <v>1269</v>
      </c>
      <c r="B1892" s="15" t="s">
        <v>1270</v>
      </c>
      <c r="C1892" s="16">
        <v>247.2</v>
      </c>
      <c r="D1892" s="15" t="s">
        <v>590</v>
      </c>
      <c r="E1892" s="15" t="s">
        <v>591</v>
      </c>
      <c r="F1892" s="15">
        <v>12</v>
      </c>
      <c r="G1892" s="15">
        <v>12</v>
      </c>
    </row>
    <row r="1893" spans="1:7" x14ac:dyDescent="0.25">
      <c r="A1893" s="15" t="s">
        <v>1269</v>
      </c>
      <c r="B1893" s="15" t="s">
        <v>1270</v>
      </c>
      <c r="C1893" s="16">
        <v>1.65</v>
      </c>
      <c r="D1893" s="15" t="s">
        <v>1276</v>
      </c>
      <c r="E1893" s="15" t="s">
        <v>1277</v>
      </c>
      <c r="F1893" s="15">
        <v>15</v>
      </c>
      <c r="G1893" s="15">
        <v>15</v>
      </c>
    </row>
    <row r="1894" spans="1:7" x14ac:dyDescent="0.25">
      <c r="A1894" s="15" t="s">
        <v>1269</v>
      </c>
      <c r="B1894" s="15" t="s">
        <v>1270</v>
      </c>
      <c r="C1894" s="16">
        <v>1.2</v>
      </c>
      <c r="D1894" s="15" t="s">
        <v>1278</v>
      </c>
      <c r="E1894" s="15" t="s">
        <v>1279</v>
      </c>
      <c r="F1894" s="15">
        <v>15</v>
      </c>
      <c r="G1894" s="15">
        <v>15</v>
      </c>
    </row>
    <row r="1895" spans="1:7" x14ac:dyDescent="0.25">
      <c r="A1895" s="15" t="s">
        <v>1269</v>
      </c>
      <c r="B1895" s="15" t="s">
        <v>1270</v>
      </c>
      <c r="C1895" s="16">
        <v>6.5</v>
      </c>
      <c r="D1895" s="15" t="s">
        <v>1280</v>
      </c>
      <c r="E1895" s="15" t="s">
        <v>718</v>
      </c>
      <c r="F1895" s="15">
        <v>10</v>
      </c>
      <c r="G1895" s="15">
        <v>10</v>
      </c>
    </row>
    <row r="1896" spans="1:7" x14ac:dyDescent="0.25">
      <c r="A1896" s="15" t="s">
        <v>1269</v>
      </c>
      <c r="B1896" s="15" t="s">
        <v>1270</v>
      </c>
      <c r="C1896" s="16">
        <v>296.60000000000002</v>
      </c>
      <c r="D1896" s="15" t="s">
        <v>592</v>
      </c>
      <c r="E1896" s="15" t="s">
        <v>593</v>
      </c>
      <c r="F1896" s="15">
        <v>4</v>
      </c>
      <c r="G1896" s="15">
        <v>4</v>
      </c>
    </row>
    <row r="1897" spans="1:7" x14ac:dyDescent="0.25">
      <c r="A1897" s="15" t="s">
        <v>1269</v>
      </c>
      <c r="B1897" s="15" t="s">
        <v>1270</v>
      </c>
      <c r="C1897" s="16">
        <v>96.8</v>
      </c>
      <c r="D1897" s="15" t="s">
        <v>90</v>
      </c>
      <c r="E1897" s="15" t="s">
        <v>475</v>
      </c>
      <c r="F1897" s="15">
        <v>8</v>
      </c>
      <c r="G1897" s="15">
        <v>8</v>
      </c>
    </row>
    <row r="1898" spans="1:7" x14ac:dyDescent="0.25">
      <c r="A1898" s="15" t="s">
        <v>1269</v>
      </c>
      <c r="B1898" s="15" t="s">
        <v>1270</v>
      </c>
      <c r="C1898" s="16">
        <v>1.95</v>
      </c>
      <c r="D1898" s="15" t="s">
        <v>80</v>
      </c>
      <c r="E1898" s="15" t="s">
        <v>1281</v>
      </c>
      <c r="F1898" s="15">
        <v>9</v>
      </c>
      <c r="G1898" s="15">
        <v>9</v>
      </c>
    </row>
    <row r="1899" spans="1:7" x14ac:dyDescent="0.25">
      <c r="A1899" s="15" t="s">
        <v>1269</v>
      </c>
      <c r="B1899" s="15" t="s">
        <v>1270</v>
      </c>
      <c r="C1899" s="16">
        <v>109.2</v>
      </c>
      <c r="D1899" s="15" t="s">
        <v>780</v>
      </c>
      <c r="E1899" s="15" t="s">
        <v>781</v>
      </c>
      <c r="F1899" s="15">
        <v>24</v>
      </c>
      <c r="G1899" s="15">
        <v>24</v>
      </c>
    </row>
    <row r="1900" spans="1:7" x14ac:dyDescent="0.25">
      <c r="A1900" s="15" t="s">
        <v>1269</v>
      </c>
      <c r="B1900" s="15" t="s">
        <v>1270</v>
      </c>
      <c r="C1900" s="16">
        <v>232.26</v>
      </c>
      <c r="D1900" s="15" t="s">
        <v>167</v>
      </c>
      <c r="E1900" s="15" t="s">
        <v>596</v>
      </c>
      <c r="F1900" s="15">
        <v>49</v>
      </c>
      <c r="G1900" s="15">
        <v>49</v>
      </c>
    </row>
    <row r="1901" spans="1:7" x14ac:dyDescent="0.25">
      <c r="A1901" s="15" t="s">
        <v>1269</v>
      </c>
      <c r="B1901" s="15" t="s">
        <v>1270</v>
      </c>
      <c r="C1901" s="16">
        <v>502.25</v>
      </c>
      <c r="D1901" s="15" t="s">
        <v>313</v>
      </c>
      <c r="E1901" s="15" t="s">
        <v>782</v>
      </c>
      <c r="F1901" s="15">
        <v>14</v>
      </c>
      <c r="G1901" s="15">
        <v>14</v>
      </c>
    </row>
    <row r="1902" spans="1:7" x14ac:dyDescent="0.25">
      <c r="A1902" s="15" t="s">
        <v>1269</v>
      </c>
      <c r="B1902" s="15" t="s">
        <v>1270</v>
      </c>
      <c r="C1902" s="16">
        <v>6.4</v>
      </c>
      <c r="D1902" s="15" t="s">
        <v>80</v>
      </c>
      <c r="E1902" s="15" t="s">
        <v>1282</v>
      </c>
      <c r="F1902" s="15">
        <v>35</v>
      </c>
      <c r="G1902" s="15">
        <v>35</v>
      </c>
    </row>
    <row r="1903" spans="1:7" x14ac:dyDescent="0.25">
      <c r="A1903" s="15" t="s">
        <v>1269</v>
      </c>
      <c r="B1903" s="15" t="s">
        <v>1270</v>
      </c>
      <c r="C1903" s="16">
        <v>231</v>
      </c>
      <c r="D1903" s="15" t="s">
        <v>80</v>
      </c>
      <c r="E1903" s="15" t="s">
        <v>597</v>
      </c>
      <c r="F1903" s="15">
        <v>21</v>
      </c>
      <c r="G1903" s="15">
        <v>21</v>
      </c>
    </row>
    <row r="1904" spans="1:7" x14ac:dyDescent="0.25">
      <c r="A1904" s="15" t="s">
        <v>1269</v>
      </c>
      <c r="B1904" s="15" t="s">
        <v>1270</v>
      </c>
      <c r="C1904" s="16">
        <v>469.2</v>
      </c>
      <c r="D1904" s="15" t="s">
        <v>598</v>
      </c>
      <c r="E1904" s="15" t="s">
        <v>599</v>
      </c>
      <c r="F1904" s="15">
        <v>24</v>
      </c>
      <c r="G1904" s="15">
        <v>24</v>
      </c>
    </row>
    <row r="1905" spans="1:7" x14ac:dyDescent="0.25">
      <c r="A1905" s="15" t="s">
        <v>1269</v>
      </c>
      <c r="B1905" s="15" t="s">
        <v>1270</v>
      </c>
      <c r="C1905" s="16">
        <v>39</v>
      </c>
      <c r="D1905" s="15" t="s">
        <v>325</v>
      </c>
      <c r="E1905" s="15" t="s">
        <v>604</v>
      </c>
      <c r="F1905" s="15">
        <v>13</v>
      </c>
      <c r="G1905" s="15">
        <v>13</v>
      </c>
    </row>
    <row r="1906" spans="1:7" x14ac:dyDescent="0.25">
      <c r="A1906" s="15" t="s">
        <v>1269</v>
      </c>
      <c r="B1906" s="15" t="s">
        <v>1270</v>
      </c>
      <c r="C1906" s="16">
        <v>119</v>
      </c>
      <c r="D1906" s="15" t="s">
        <v>455</v>
      </c>
      <c r="E1906" s="15" t="s">
        <v>607</v>
      </c>
      <c r="F1906" s="15">
        <v>2</v>
      </c>
      <c r="G1906" s="15">
        <v>2</v>
      </c>
    </row>
    <row r="1907" spans="1:7" x14ac:dyDescent="0.25">
      <c r="A1907" s="15" t="s">
        <v>1269</v>
      </c>
      <c r="B1907" s="15" t="s">
        <v>1270</v>
      </c>
      <c r="C1907" s="16">
        <v>167.2</v>
      </c>
      <c r="D1907" s="15" t="s">
        <v>179</v>
      </c>
      <c r="E1907" s="15" t="s">
        <v>608</v>
      </c>
      <c r="F1907" s="15">
        <v>22</v>
      </c>
      <c r="G1907" s="15">
        <v>22</v>
      </c>
    </row>
    <row r="1908" spans="1:7" x14ac:dyDescent="0.25">
      <c r="A1908" s="15" t="s">
        <v>1269</v>
      </c>
      <c r="B1908" s="15" t="s">
        <v>1270</v>
      </c>
      <c r="C1908" s="16">
        <v>24</v>
      </c>
      <c r="D1908" s="15" t="s">
        <v>1283</v>
      </c>
      <c r="E1908" s="15" t="s">
        <v>1284</v>
      </c>
      <c r="F1908" s="15">
        <v>45</v>
      </c>
      <c r="G1908" s="15">
        <v>45</v>
      </c>
    </row>
    <row r="1909" spans="1:7" x14ac:dyDescent="0.25">
      <c r="A1909" s="15" t="s">
        <v>1269</v>
      </c>
      <c r="B1909" s="15" t="s">
        <v>1270</v>
      </c>
      <c r="C1909" s="16">
        <v>5694.2</v>
      </c>
      <c r="D1909" s="15" t="s">
        <v>109</v>
      </c>
      <c r="E1909" s="15" t="s">
        <v>1285</v>
      </c>
      <c r="F1909" s="15">
        <v>256</v>
      </c>
      <c r="G1909" s="15">
        <v>256</v>
      </c>
    </row>
    <row r="1910" spans="1:7" x14ac:dyDescent="0.25">
      <c r="A1910" s="15" t="s">
        <v>1269</v>
      </c>
      <c r="B1910" s="15" t="s">
        <v>1270</v>
      </c>
      <c r="C1910" s="16">
        <v>782.7</v>
      </c>
      <c r="D1910" s="15" t="s">
        <v>230</v>
      </c>
      <c r="E1910" s="15" t="s">
        <v>616</v>
      </c>
      <c r="F1910" s="15">
        <v>51</v>
      </c>
      <c r="G1910" s="15">
        <v>51</v>
      </c>
    </row>
    <row r="1911" spans="1:7" x14ac:dyDescent="0.25">
      <c r="A1911" s="15" t="s">
        <v>1269</v>
      </c>
      <c r="B1911" s="15" t="s">
        <v>1270</v>
      </c>
      <c r="C1911" s="16">
        <v>1.25</v>
      </c>
      <c r="D1911" s="15" t="s">
        <v>119</v>
      </c>
      <c r="E1911" s="15" t="s">
        <v>1286</v>
      </c>
      <c r="F1911" s="15">
        <v>5</v>
      </c>
      <c r="G1911" s="15">
        <v>5</v>
      </c>
    </row>
    <row r="1912" spans="1:7" x14ac:dyDescent="0.25">
      <c r="A1912" s="15" t="s">
        <v>1269</v>
      </c>
      <c r="B1912" s="15" t="s">
        <v>1270</v>
      </c>
      <c r="C1912" s="16">
        <v>111.6</v>
      </c>
      <c r="D1912" s="15" t="s">
        <v>602</v>
      </c>
      <c r="E1912" s="15" t="s">
        <v>842</v>
      </c>
      <c r="F1912" s="15">
        <v>6</v>
      </c>
      <c r="G1912" s="15">
        <v>6</v>
      </c>
    </row>
    <row r="1913" spans="1:7" x14ac:dyDescent="0.25">
      <c r="A1913" s="15" t="s">
        <v>1269</v>
      </c>
      <c r="B1913" s="15" t="s">
        <v>1270</v>
      </c>
      <c r="C1913" s="16">
        <v>93</v>
      </c>
      <c r="D1913" s="15" t="s">
        <v>236</v>
      </c>
      <c r="E1913" s="15" t="s">
        <v>618</v>
      </c>
      <c r="F1913" s="15">
        <v>30</v>
      </c>
      <c r="G1913" s="15">
        <v>30</v>
      </c>
    </row>
    <row r="1914" spans="1:7" x14ac:dyDescent="0.25">
      <c r="A1914" s="15" t="s">
        <v>1269</v>
      </c>
      <c r="B1914" s="15" t="s">
        <v>1270</v>
      </c>
      <c r="C1914" s="16">
        <v>79</v>
      </c>
      <c r="D1914" s="15" t="s">
        <v>265</v>
      </c>
      <c r="E1914" s="15" t="s">
        <v>1287</v>
      </c>
      <c r="F1914" s="15">
        <v>75</v>
      </c>
      <c r="G1914" s="15">
        <v>75</v>
      </c>
    </row>
    <row r="1915" spans="1:7" x14ac:dyDescent="0.25">
      <c r="A1915" s="15" t="s">
        <v>1269</v>
      </c>
      <c r="B1915" s="15" t="s">
        <v>1270</v>
      </c>
      <c r="C1915" s="16">
        <v>223.2</v>
      </c>
      <c r="D1915" s="15" t="s">
        <v>626</v>
      </c>
      <c r="E1915" s="15" t="s">
        <v>627</v>
      </c>
      <c r="F1915" s="15">
        <v>24</v>
      </c>
      <c r="G1915" s="15">
        <v>24</v>
      </c>
    </row>
    <row r="1916" spans="1:7" x14ac:dyDescent="0.25">
      <c r="A1916" s="15" t="s">
        <v>1269</v>
      </c>
      <c r="B1916" s="15" t="s">
        <v>1270</v>
      </c>
      <c r="C1916" s="16">
        <v>158.69999999999999</v>
      </c>
      <c r="D1916" s="15" t="s">
        <v>226</v>
      </c>
      <c r="E1916" s="15" t="s">
        <v>628</v>
      </c>
      <c r="F1916" s="15">
        <v>46</v>
      </c>
      <c r="G1916" s="15">
        <v>46</v>
      </c>
    </row>
    <row r="1917" spans="1:7" x14ac:dyDescent="0.25">
      <c r="A1917" s="15" t="s">
        <v>1269</v>
      </c>
      <c r="B1917" s="15" t="s">
        <v>1270</v>
      </c>
      <c r="C1917" s="16">
        <v>558.4</v>
      </c>
      <c r="D1917" s="15" t="s">
        <v>289</v>
      </c>
      <c r="E1917" s="15" t="s">
        <v>630</v>
      </c>
      <c r="F1917" s="15">
        <v>32</v>
      </c>
      <c r="G1917" s="15">
        <v>32</v>
      </c>
    </row>
    <row r="1918" spans="1:7" x14ac:dyDescent="0.25">
      <c r="A1918" s="15" t="s">
        <v>1269</v>
      </c>
      <c r="B1918" s="15" t="s">
        <v>1270</v>
      </c>
      <c r="C1918" s="16">
        <v>3.6</v>
      </c>
      <c r="D1918" s="15" t="s">
        <v>339</v>
      </c>
      <c r="E1918" s="15" t="s">
        <v>1288</v>
      </c>
      <c r="F1918" s="15">
        <v>30</v>
      </c>
      <c r="G1918" s="15">
        <v>30</v>
      </c>
    </row>
    <row r="1919" spans="1:7" x14ac:dyDescent="0.25">
      <c r="A1919" s="15" t="s">
        <v>1269</v>
      </c>
      <c r="B1919" s="15" t="s">
        <v>1270</v>
      </c>
      <c r="C1919" s="16">
        <v>146.25</v>
      </c>
      <c r="D1919" s="15" t="s">
        <v>179</v>
      </c>
      <c r="E1919" s="15" t="s">
        <v>663</v>
      </c>
      <c r="F1919" s="15">
        <v>25</v>
      </c>
      <c r="G1919" s="15">
        <v>25</v>
      </c>
    </row>
    <row r="1920" spans="1:7" x14ac:dyDescent="0.25">
      <c r="A1920" s="15" t="s">
        <v>1269</v>
      </c>
      <c r="B1920" s="15" t="s">
        <v>1270</v>
      </c>
      <c r="C1920" s="16">
        <v>48</v>
      </c>
      <c r="D1920" s="15" t="s">
        <v>90</v>
      </c>
      <c r="E1920" s="15" t="s">
        <v>1289</v>
      </c>
      <c r="F1920" s="15">
        <v>90</v>
      </c>
      <c r="G1920" s="15">
        <v>90</v>
      </c>
    </row>
    <row r="1921" spans="1:7" x14ac:dyDescent="0.25">
      <c r="A1921" s="15" t="s">
        <v>1269</v>
      </c>
      <c r="B1921" s="15" t="s">
        <v>1270</v>
      </c>
      <c r="C1921" s="16">
        <v>0.3</v>
      </c>
      <c r="D1921" s="15" t="s">
        <v>1290</v>
      </c>
      <c r="E1921" s="15" t="s">
        <v>1291</v>
      </c>
      <c r="F1921" s="15">
        <v>15</v>
      </c>
      <c r="G1921" s="15">
        <v>15</v>
      </c>
    </row>
    <row r="1922" spans="1:7" x14ac:dyDescent="0.25">
      <c r="A1922" s="15" t="s">
        <v>1269</v>
      </c>
      <c r="B1922" s="15" t="s">
        <v>1270</v>
      </c>
      <c r="C1922" s="16">
        <v>3</v>
      </c>
      <c r="D1922" s="15" t="s">
        <v>67</v>
      </c>
      <c r="E1922" s="15" t="s">
        <v>1292</v>
      </c>
      <c r="F1922" s="15">
        <v>30</v>
      </c>
      <c r="G1922" s="15">
        <v>30</v>
      </c>
    </row>
    <row r="1923" spans="1:7" x14ac:dyDescent="0.25">
      <c r="A1923" s="15" t="s">
        <v>1269</v>
      </c>
      <c r="B1923" s="15" t="s">
        <v>1270</v>
      </c>
      <c r="C1923" s="16">
        <v>254</v>
      </c>
      <c r="D1923" s="15" t="s">
        <v>80</v>
      </c>
      <c r="E1923" s="15" t="s">
        <v>635</v>
      </c>
      <c r="F1923" s="15">
        <v>40</v>
      </c>
      <c r="G1923" s="15">
        <v>40</v>
      </c>
    </row>
    <row r="1924" spans="1:7" x14ac:dyDescent="0.25">
      <c r="A1924" s="15" t="s">
        <v>1269</v>
      </c>
      <c r="B1924" s="15" t="s">
        <v>1270</v>
      </c>
      <c r="C1924" s="16">
        <v>3946.9</v>
      </c>
      <c r="D1924" s="15" t="s">
        <v>123</v>
      </c>
      <c r="E1924" s="15" t="s">
        <v>388</v>
      </c>
      <c r="F1924" s="15">
        <v>307</v>
      </c>
      <c r="G1924" s="15">
        <v>307</v>
      </c>
    </row>
    <row r="1925" spans="1:7" x14ac:dyDescent="0.25">
      <c r="A1925" s="15" t="s">
        <v>1269</v>
      </c>
      <c r="B1925" s="15" t="s">
        <v>1270</v>
      </c>
      <c r="C1925" s="16">
        <v>119.5</v>
      </c>
      <c r="D1925" s="15" t="s">
        <v>132</v>
      </c>
      <c r="E1925" s="15" t="s">
        <v>683</v>
      </c>
      <c r="F1925" s="15">
        <v>10</v>
      </c>
      <c r="G1925" s="15">
        <v>10</v>
      </c>
    </row>
    <row r="1926" spans="1:7" x14ac:dyDescent="0.25">
      <c r="A1926" s="15" t="s">
        <v>1293</v>
      </c>
      <c r="B1926" s="15" t="s">
        <v>1294</v>
      </c>
      <c r="C1926" s="16">
        <v>980</v>
      </c>
      <c r="D1926" s="15" t="s">
        <v>123</v>
      </c>
      <c r="E1926" s="15" t="s">
        <v>585</v>
      </c>
      <c r="F1926" s="15">
        <v>56</v>
      </c>
      <c r="G1926" s="15">
        <v>56</v>
      </c>
    </row>
    <row r="1927" spans="1:7" x14ac:dyDescent="0.25">
      <c r="A1927" s="15" t="s">
        <v>1293</v>
      </c>
      <c r="B1927" s="15" t="s">
        <v>1294</v>
      </c>
      <c r="C1927" s="16">
        <v>162</v>
      </c>
      <c r="D1927" s="15" t="s">
        <v>626</v>
      </c>
      <c r="E1927" s="15" t="s">
        <v>1295</v>
      </c>
      <c r="F1927" s="15">
        <v>18</v>
      </c>
      <c r="G1927" s="15">
        <v>18</v>
      </c>
    </row>
    <row r="1928" spans="1:7" x14ac:dyDescent="0.25">
      <c r="A1928" s="15" t="s">
        <v>1293</v>
      </c>
      <c r="B1928" s="15" t="s">
        <v>1294</v>
      </c>
      <c r="C1928" s="16">
        <v>448.4</v>
      </c>
      <c r="D1928" s="15" t="s">
        <v>466</v>
      </c>
      <c r="E1928" s="15" t="s">
        <v>477</v>
      </c>
      <c r="F1928" s="15">
        <v>38</v>
      </c>
      <c r="G1928" s="15">
        <v>38</v>
      </c>
    </row>
    <row r="1929" spans="1:7" x14ac:dyDescent="0.25">
      <c r="A1929" s="15" t="s">
        <v>1293</v>
      </c>
      <c r="B1929" s="15" t="s">
        <v>1294</v>
      </c>
      <c r="C1929" s="16">
        <v>237.5</v>
      </c>
      <c r="D1929" s="15" t="s">
        <v>594</v>
      </c>
      <c r="E1929" s="15" t="s">
        <v>595</v>
      </c>
      <c r="F1929" s="15">
        <v>20</v>
      </c>
      <c r="G1929" s="15">
        <v>20</v>
      </c>
    </row>
    <row r="1930" spans="1:7" x14ac:dyDescent="0.25">
      <c r="A1930" s="15" t="s">
        <v>1293</v>
      </c>
      <c r="B1930" s="15" t="s">
        <v>1294</v>
      </c>
      <c r="C1930" s="16">
        <v>123.8</v>
      </c>
      <c r="D1930" s="15" t="s">
        <v>105</v>
      </c>
      <c r="E1930" s="15" t="s">
        <v>1296</v>
      </c>
      <c r="F1930" s="15">
        <v>4</v>
      </c>
      <c r="G1930" s="15">
        <v>4</v>
      </c>
    </row>
    <row r="1931" spans="1:7" x14ac:dyDescent="0.25">
      <c r="A1931" s="15" t="s">
        <v>1293</v>
      </c>
      <c r="B1931" s="15" t="s">
        <v>1294</v>
      </c>
      <c r="C1931" s="16">
        <v>1186.3699999999999</v>
      </c>
      <c r="D1931" s="15" t="s">
        <v>598</v>
      </c>
      <c r="E1931" s="15" t="s">
        <v>599</v>
      </c>
      <c r="F1931" s="15">
        <v>43</v>
      </c>
      <c r="G1931" s="15">
        <v>43</v>
      </c>
    </row>
    <row r="1932" spans="1:7" x14ac:dyDescent="0.25">
      <c r="A1932" s="15" t="s">
        <v>1293</v>
      </c>
      <c r="B1932" s="15" t="s">
        <v>1294</v>
      </c>
      <c r="C1932" s="16">
        <v>70.2</v>
      </c>
      <c r="D1932" s="15" t="s">
        <v>335</v>
      </c>
      <c r="E1932" s="15" t="s">
        <v>336</v>
      </c>
      <c r="F1932" s="15">
        <v>2</v>
      </c>
      <c r="G1932" s="15">
        <v>2</v>
      </c>
    </row>
    <row r="1933" spans="1:7" x14ac:dyDescent="0.25">
      <c r="A1933" s="15" t="s">
        <v>1293</v>
      </c>
      <c r="B1933" s="15" t="s">
        <v>1294</v>
      </c>
      <c r="C1933" s="16">
        <v>371.55</v>
      </c>
      <c r="D1933" s="15" t="s">
        <v>478</v>
      </c>
      <c r="E1933" s="15" t="s">
        <v>479</v>
      </c>
      <c r="F1933" s="15">
        <v>23</v>
      </c>
      <c r="G1933" s="15">
        <v>23</v>
      </c>
    </row>
    <row r="1934" spans="1:7" x14ac:dyDescent="0.25">
      <c r="A1934" s="15" t="s">
        <v>1293</v>
      </c>
      <c r="B1934" s="15" t="s">
        <v>1294</v>
      </c>
      <c r="C1934" s="16">
        <v>41</v>
      </c>
      <c r="D1934" s="15" t="s">
        <v>241</v>
      </c>
      <c r="E1934" s="15" t="s">
        <v>1222</v>
      </c>
      <c r="F1934" s="15">
        <v>4</v>
      </c>
      <c r="G1934" s="15">
        <v>4</v>
      </c>
    </row>
    <row r="1935" spans="1:7" x14ac:dyDescent="0.25">
      <c r="A1935" s="15" t="s">
        <v>1293</v>
      </c>
      <c r="B1935" s="15" t="s">
        <v>1294</v>
      </c>
      <c r="C1935" s="16">
        <v>37.799999999999997</v>
      </c>
      <c r="D1935" s="15" t="s">
        <v>80</v>
      </c>
      <c r="E1935" s="15" t="s">
        <v>341</v>
      </c>
      <c r="F1935" s="15">
        <v>3</v>
      </c>
      <c r="G1935" s="15">
        <v>3</v>
      </c>
    </row>
    <row r="1936" spans="1:7" x14ac:dyDescent="0.25">
      <c r="A1936" s="15" t="s">
        <v>1293</v>
      </c>
      <c r="B1936" s="15" t="s">
        <v>1294</v>
      </c>
      <c r="C1936" s="16">
        <v>412.3</v>
      </c>
      <c r="D1936" s="15" t="s">
        <v>602</v>
      </c>
      <c r="E1936" s="15" t="s">
        <v>603</v>
      </c>
      <c r="F1936" s="15">
        <v>22</v>
      </c>
      <c r="G1936" s="15">
        <v>22</v>
      </c>
    </row>
    <row r="1937" spans="1:7" x14ac:dyDescent="0.25">
      <c r="A1937" s="15" t="s">
        <v>1293</v>
      </c>
      <c r="B1937" s="15" t="s">
        <v>1294</v>
      </c>
      <c r="C1937" s="16">
        <v>291.2</v>
      </c>
      <c r="D1937" s="15" t="s">
        <v>655</v>
      </c>
      <c r="E1937" s="15" t="s">
        <v>656</v>
      </c>
      <c r="F1937" s="15">
        <v>32</v>
      </c>
      <c r="G1937" s="15">
        <v>32</v>
      </c>
    </row>
    <row r="1938" spans="1:7" x14ac:dyDescent="0.25">
      <c r="A1938" s="15" t="s">
        <v>1293</v>
      </c>
      <c r="B1938" s="15" t="s">
        <v>1294</v>
      </c>
      <c r="C1938" s="16">
        <v>45.2</v>
      </c>
      <c r="D1938" s="15" t="s">
        <v>1297</v>
      </c>
      <c r="E1938" s="15" t="s">
        <v>1298</v>
      </c>
      <c r="F1938" s="15">
        <v>8</v>
      </c>
      <c r="G1938" s="15">
        <v>8</v>
      </c>
    </row>
    <row r="1939" spans="1:7" x14ac:dyDescent="0.25">
      <c r="A1939" s="15" t="s">
        <v>1293</v>
      </c>
      <c r="B1939" s="15" t="s">
        <v>1294</v>
      </c>
      <c r="C1939" s="16">
        <v>91.65</v>
      </c>
      <c r="D1939" s="15" t="s">
        <v>179</v>
      </c>
      <c r="E1939" s="15" t="s">
        <v>659</v>
      </c>
      <c r="F1939" s="15">
        <v>13</v>
      </c>
      <c r="G1939" s="15">
        <v>13</v>
      </c>
    </row>
    <row r="1940" spans="1:7" x14ac:dyDescent="0.25">
      <c r="A1940" s="15" t="s">
        <v>1293</v>
      </c>
      <c r="B1940" s="15" t="s">
        <v>1294</v>
      </c>
      <c r="C1940" s="16">
        <v>46.4</v>
      </c>
      <c r="D1940" s="15" t="s">
        <v>609</v>
      </c>
      <c r="E1940" s="15" t="s">
        <v>610</v>
      </c>
      <c r="F1940" s="15">
        <v>32</v>
      </c>
      <c r="G1940" s="15">
        <v>32</v>
      </c>
    </row>
    <row r="1941" spans="1:7" x14ac:dyDescent="0.25">
      <c r="A1941" s="15" t="s">
        <v>1293</v>
      </c>
      <c r="B1941" s="15" t="s">
        <v>1294</v>
      </c>
      <c r="C1941" s="16">
        <v>98.7</v>
      </c>
      <c r="D1941" s="15" t="s">
        <v>80</v>
      </c>
      <c r="E1941" s="15" t="s">
        <v>611</v>
      </c>
      <c r="F1941" s="15">
        <v>21</v>
      </c>
      <c r="G1941" s="15">
        <v>21</v>
      </c>
    </row>
    <row r="1942" spans="1:7" x14ac:dyDescent="0.25">
      <c r="A1942" s="15" t="s">
        <v>1293</v>
      </c>
      <c r="B1942" s="15" t="s">
        <v>1294</v>
      </c>
      <c r="C1942" s="16">
        <v>280.14999999999998</v>
      </c>
      <c r="D1942" s="15" t="s">
        <v>612</v>
      </c>
      <c r="E1942" s="15" t="s">
        <v>613</v>
      </c>
      <c r="F1942" s="15">
        <v>15</v>
      </c>
      <c r="G1942" s="15">
        <v>15</v>
      </c>
    </row>
    <row r="1943" spans="1:7" x14ac:dyDescent="0.25">
      <c r="A1943" s="15" t="s">
        <v>1293</v>
      </c>
      <c r="B1943" s="15" t="s">
        <v>1294</v>
      </c>
      <c r="C1943" s="16">
        <v>1345.45</v>
      </c>
      <c r="D1943" s="15" t="s">
        <v>614</v>
      </c>
      <c r="E1943" s="15" t="s">
        <v>615</v>
      </c>
      <c r="F1943" s="15">
        <v>284</v>
      </c>
      <c r="G1943" s="15">
        <v>284</v>
      </c>
    </row>
    <row r="1944" spans="1:7" x14ac:dyDescent="0.25">
      <c r="A1944" s="15" t="s">
        <v>1293</v>
      </c>
      <c r="B1944" s="15" t="s">
        <v>1294</v>
      </c>
      <c r="C1944" s="16">
        <v>1004.9</v>
      </c>
      <c r="D1944" s="15" t="s">
        <v>355</v>
      </c>
      <c r="E1944" s="15" t="s">
        <v>356</v>
      </c>
      <c r="F1944" s="15">
        <v>307</v>
      </c>
      <c r="G1944" s="15">
        <v>307</v>
      </c>
    </row>
    <row r="1945" spans="1:7" x14ac:dyDescent="0.25">
      <c r="A1945" s="15" t="s">
        <v>1293</v>
      </c>
      <c r="B1945" s="15" t="s">
        <v>1294</v>
      </c>
      <c r="C1945" s="16">
        <v>417.35</v>
      </c>
      <c r="D1945" s="15" t="s">
        <v>80</v>
      </c>
      <c r="E1945" s="15" t="s">
        <v>662</v>
      </c>
      <c r="F1945" s="15">
        <v>15</v>
      </c>
      <c r="G1945" s="15">
        <v>15</v>
      </c>
    </row>
    <row r="1946" spans="1:7" x14ac:dyDescent="0.25">
      <c r="A1946" s="15" t="s">
        <v>1293</v>
      </c>
      <c r="B1946" s="15" t="s">
        <v>1294</v>
      </c>
      <c r="C1946" s="16">
        <v>14.7</v>
      </c>
      <c r="D1946" s="15" t="s">
        <v>80</v>
      </c>
      <c r="E1946" s="15" t="s">
        <v>482</v>
      </c>
      <c r="F1946" s="15">
        <v>7</v>
      </c>
      <c r="G1946" s="15">
        <v>7</v>
      </c>
    </row>
    <row r="1947" spans="1:7" x14ac:dyDescent="0.25">
      <c r="A1947" s="15" t="s">
        <v>1293</v>
      </c>
      <c r="B1947" s="15" t="s">
        <v>1294</v>
      </c>
      <c r="C1947" s="16">
        <v>365.55</v>
      </c>
      <c r="D1947" s="15" t="s">
        <v>602</v>
      </c>
      <c r="E1947" s="15" t="s">
        <v>842</v>
      </c>
      <c r="F1947" s="15">
        <v>18</v>
      </c>
      <c r="G1947" s="15">
        <v>18</v>
      </c>
    </row>
    <row r="1948" spans="1:7" x14ac:dyDescent="0.25">
      <c r="A1948" s="15" t="s">
        <v>1293</v>
      </c>
      <c r="B1948" s="15" t="s">
        <v>1294</v>
      </c>
      <c r="C1948" s="16">
        <v>1348.75</v>
      </c>
      <c r="D1948" s="15" t="s">
        <v>109</v>
      </c>
      <c r="E1948" s="15" t="s">
        <v>619</v>
      </c>
      <c r="F1948" s="15">
        <v>104</v>
      </c>
      <c r="G1948" s="15">
        <v>104</v>
      </c>
    </row>
    <row r="1949" spans="1:7" x14ac:dyDescent="0.25">
      <c r="A1949" s="15" t="s">
        <v>1293</v>
      </c>
      <c r="B1949" s="15" t="s">
        <v>1294</v>
      </c>
      <c r="C1949" s="16">
        <v>263.2</v>
      </c>
      <c r="D1949" s="15" t="s">
        <v>623</v>
      </c>
      <c r="E1949" s="15" t="s">
        <v>624</v>
      </c>
      <c r="F1949" s="15">
        <v>14</v>
      </c>
      <c r="G1949" s="15">
        <v>14</v>
      </c>
    </row>
    <row r="1950" spans="1:7" x14ac:dyDescent="0.25">
      <c r="A1950" s="15" t="s">
        <v>1293</v>
      </c>
      <c r="B1950" s="15" t="s">
        <v>1294</v>
      </c>
      <c r="C1950" s="16">
        <v>641.70000000000005</v>
      </c>
      <c r="D1950" s="15" t="s">
        <v>626</v>
      </c>
      <c r="E1950" s="15" t="s">
        <v>627</v>
      </c>
      <c r="F1950" s="15">
        <v>69</v>
      </c>
      <c r="G1950" s="15">
        <v>69</v>
      </c>
    </row>
    <row r="1951" spans="1:7" x14ac:dyDescent="0.25">
      <c r="A1951" s="15" t="s">
        <v>1293</v>
      </c>
      <c r="B1951" s="15" t="s">
        <v>1294</v>
      </c>
      <c r="C1951" s="16">
        <v>1024.1500000000001</v>
      </c>
      <c r="D1951" s="15" t="s">
        <v>226</v>
      </c>
      <c r="E1951" s="15" t="s">
        <v>628</v>
      </c>
      <c r="F1951" s="15">
        <v>219</v>
      </c>
      <c r="G1951" s="15">
        <v>219</v>
      </c>
    </row>
    <row r="1952" spans="1:7" x14ac:dyDescent="0.25">
      <c r="A1952" s="15" t="s">
        <v>1293</v>
      </c>
      <c r="B1952" s="15" t="s">
        <v>1294</v>
      </c>
      <c r="C1952" s="16">
        <v>1659.4</v>
      </c>
      <c r="D1952" s="15" t="s">
        <v>88</v>
      </c>
      <c r="E1952" s="15" t="s">
        <v>632</v>
      </c>
      <c r="F1952" s="15">
        <v>216</v>
      </c>
      <c r="G1952" s="15">
        <v>216</v>
      </c>
    </row>
    <row r="1953" spans="1:7" x14ac:dyDescent="0.25">
      <c r="A1953" s="15" t="s">
        <v>1293</v>
      </c>
      <c r="B1953" s="15" t="s">
        <v>1294</v>
      </c>
      <c r="C1953" s="16">
        <v>367.5</v>
      </c>
      <c r="D1953" s="15" t="s">
        <v>105</v>
      </c>
      <c r="E1953" s="15" t="s">
        <v>488</v>
      </c>
      <c r="F1953" s="15">
        <v>25</v>
      </c>
      <c r="G1953" s="15">
        <v>25</v>
      </c>
    </row>
    <row r="1954" spans="1:7" x14ac:dyDescent="0.25">
      <c r="A1954" s="15" t="s">
        <v>1293</v>
      </c>
      <c r="B1954" s="15" t="s">
        <v>1294</v>
      </c>
      <c r="C1954" s="16">
        <v>436.8</v>
      </c>
      <c r="D1954" s="15" t="s">
        <v>289</v>
      </c>
      <c r="E1954" s="15" t="s">
        <v>1299</v>
      </c>
      <c r="F1954" s="15">
        <v>12</v>
      </c>
      <c r="G1954" s="15">
        <v>12</v>
      </c>
    </row>
    <row r="1955" spans="1:7" x14ac:dyDescent="0.25">
      <c r="A1955" s="15" t="s">
        <v>1293</v>
      </c>
      <c r="B1955" s="15" t="s">
        <v>1294</v>
      </c>
      <c r="C1955" s="16">
        <v>577.29999999999995</v>
      </c>
      <c r="D1955" s="15" t="s">
        <v>1015</v>
      </c>
      <c r="E1955" s="15" t="s">
        <v>1036</v>
      </c>
      <c r="F1955" s="15">
        <v>237</v>
      </c>
      <c r="G1955" s="15">
        <v>237</v>
      </c>
    </row>
    <row r="1956" spans="1:7" x14ac:dyDescent="0.25">
      <c r="A1956" s="15" t="s">
        <v>1293</v>
      </c>
      <c r="B1956" s="15" t="s">
        <v>1294</v>
      </c>
      <c r="C1956" s="16">
        <v>41.7</v>
      </c>
      <c r="D1956" s="15" t="s">
        <v>1223</v>
      </c>
      <c r="E1956" s="15" t="s">
        <v>1300</v>
      </c>
      <c r="F1956" s="15">
        <v>3</v>
      </c>
      <c r="G1956" s="15">
        <v>3</v>
      </c>
    </row>
    <row r="1957" spans="1:7" x14ac:dyDescent="0.25">
      <c r="A1957" s="15" t="s">
        <v>1293</v>
      </c>
      <c r="B1957" s="15" t="s">
        <v>1294</v>
      </c>
      <c r="C1957" s="16">
        <v>158.94999999999999</v>
      </c>
      <c r="D1957" s="15" t="s">
        <v>134</v>
      </c>
      <c r="E1957" s="15" t="s">
        <v>1301</v>
      </c>
      <c r="F1957" s="15">
        <v>17</v>
      </c>
      <c r="G1957" s="15">
        <v>17</v>
      </c>
    </row>
    <row r="1958" spans="1:7" x14ac:dyDescent="0.25">
      <c r="A1958" s="15" t="s">
        <v>1293</v>
      </c>
      <c r="B1958" s="15" t="s">
        <v>1294</v>
      </c>
      <c r="C1958" s="16">
        <v>271.39999999999998</v>
      </c>
      <c r="D1958" s="15" t="s">
        <v>80</v>
      </c>
      <c r="E1958" s="15" t="s">
        <v>790</v>
      </c>
      <c r="F1958" s="15">
        <v>92</v>
      </c>
      <c r="G1958" s="15">
        <v>92</v>
      </c>
    </row>
    <row r="1959" spans="1:7" x14ac:dyDescent="0.25">
      <c r="A1959" s="15" t="s">
        <v>1293</v>
      </c>
      <c r="B1959" s="15" t="s">
        <v>1294</v>
      </c>
      <c r="C1959" s="16">
        <v>132.80000000000001</v>
      </c>
      <c r="D1959" s="15" t="s">
        <v>80</v>
      </c>
      <c r="E1959" s="15" t="s">
        <v>635</v>
      </c>
      <c r="F1959" s="15">
        <v>16</v>
      </c>
      <c r="G1959" s="15">
        <v>16</v>
      </c>
    </row>
    <row r="1960" spans="1:7" x14ac:dyDescent="0.25">
      <c r="A1960" s="15" t="s">
        <v>1293</v>
      </c>
      <c r="B1960" s="15" t="s">
        <v>1294</v>
      </c>
      <c r="C1960" s="16">
        <v>337.5</v>
      </c>
      <c r="D1960" s="15" t="s">
        <v>238</v>
      </c>
      <c r="E1960" s="15" t="s">
        <v>383</v>
      </c>
      <c r="F1960" s="15">
        <v>41</v>
      </c>
      <c r="G1960" s="15">
        <v>41</v>
      </c>
    </row>
    <row r="1961" spans="1:7" x14ac:dyDescent="0.25">
      <c r="A1961" s="15" t="s">
        <v>1293</v>
      </c>
      <c r="B1961" s="15" t="s">
        <v>1294</v>
      </c>
      <c r="C1961" s="16">
        <v>66.400000000000006</v>
      </c>
      <c r="D1961" s="15" t="s">
        <v>1302</v>
      </c>
      <c r="E1961" s="15" t="s">
        <v>1303</v>
      </c>
      <c r="F1961" s="15">
        <v>16</v>
      </c>
      <c r="G1961" s="15">
        <v>16</v>
      </c>
    </row>
    <row r="1962" spans="1:7" x14ac:dyDescent="0.25">
      <c r="A1962" s="15" t="s">
        <v>1293</v>
      </c>
      <c r="B1962" s="15" t="s">
        <v>1294</v>
      </c>
      <c r="C1962" s="16">
        <v>323.39999999999998</v>
      </c>
      <c r="D1962" s="15" t="s">
        <v>132</v>
      </c>
      <c r="E1962" s="15" t="s">
        <v>387</v>
      </c>
      <c r="F1962" s="15">
        <v>22</v>
      </c>
      <c r="G1962" s="15">
        <v>22</v>
      </c>
    </row>
    <row r="1963" spans="1:7" x14ac:dyDescent="0.25">
      <c r="A1963" s="15" t="s">
        <v>1293</v>
      </c>
      <c r="B1963" s="15" t="s">
        <v>1294</v>
      </c>
      <c r="C1963" s="16">
        <v>71</v>
      </c>
      <c r="D1963" s="15" t="s">
        <v>82</v>
      </c>
      <c r="E1963" s="15" t="s">
        <v>669</v>
      </c>
      <c r="F1963" s="15">
        <v>10</v>
      </c>
      <c r="G1963" s="15">
        <v>10</v>
      </c>
    </row>
    <row r="1964" spans="1:7" x14ac:dyDescent="0.25">
      <c r="A1964" s="15" t="s">
        <v>1293</v>
      </c>
      <c r="B1964" s="15" t="s">
        <v>1294</v>
      </c>
      <c r="C1964" s="16">
        <v>541.77</v>
      </c>
      <c r="D1964" s="15" t="s">
        <v>123</v>
      </c>
      <c r="E1964" s="15" t="s">
        <v>388</v>
      </c>
      <c r="F1964" s="15">
        <v>136</v>
      </c>
      <c r="G1964" s="15">
        <v>136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E0FC-7BBA-4C9A-B3AA-25897BAC481A}">
  <dimension ref="A1:C4"/>
  <sheetViews>
    <sheetView workbookViewId="0">
      <selection activeCell="A2" sqref="A2"/>
    </sheetView>
  </sheetViews>
  <sheetFormatPr defaultRowHeight="15" x14ac:dyDescent="0.25"/>
  <cols>
    <col min="1" max="1" width="12.85546875" bestFit="1" customWidth="1"/>
    <col min="2" max="2" width="19" bestFit="1" customWidth="1"/>
    <col min="3" max="3" width="33.42578125" bestFit="1" customWidth="1"/>
    <col min="4" max="4" width="8.85546875" customWidth="1"/>
  </cols>
  <sheetData>
    <row r="1" spans="1:3" x14ac:dyDescent="0.25">
      <c r="A1" s="9" t="s">
        <v>42</v>
      </c>
      <c r="B1" s="9" t="s">
        <v>43</v>
      </c>
    </row>
    <row r="2" spans="1:3" x14ac:dyDescent="0.25">
      <c r="A2" t="s">
        <v>58</v>
      </c>
      <c r="B2" t="s">
        <v>59</v>
      </c>
      <c r="C2" t="s">
        <v>60</v>
      </c>
    </row>
    <row r="4" spans="1:3" x14ac:dyDescent="0.25">
      <c r="C4" s="1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8A14-A8E4-4B32-A178-D1FF98F1D7B2}">
  <dimension ref="A1:B2"/>
  <sheetViews>
    <sheetView workbookViewId="0">
      <selection activeCell="A3" sqref="A3"/>
    </sheetView>
  </sheetViews>
  <sheetFormatPr defaultRowHeight="15" x14ac:dyDescent="0.25"/>
  <cols>
    <col min="1" max="1" width="14.5703125" bestFit="1" customWidth="1"/>
    <col min="2" max="2" width="19" bestFit="1" customWidth="1"/>
    <col min="3" max="3" width="34.85546875" bestFit="1" customWidth="1"/>
    <col min="4" max="4" width="22.42578125" bestFit="1" customWidth="1"/>
    <col min="5" max="5" width="19.42578125" bestFit="1" customWidth="1"/>
    <col min="6" max="6" width="18.28515625" bestFit="1" customWidth="1"/>
    <col min="7" max="7" width="8.85546875" customWidth="1"/>
  </cols>
  <sheetData>
    <row r="1" spans="1:2" x14ac:dyDescent="0.25">
      <c r="A1" s="24" t="s">
        <v>44</v>
      </c>
      <c r="B1" s="24"/>
    </row>
    <row r="2" spans="1:2" x14ac:dyDescent="0.25">
      <c r="A2" t="s">
        <v>70</v>
      </c>
      <c r="B2" t="s">
        <v>72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E4520-77E1-4CD1-A680-BC3A53F28B70}">
  <dimension ref="A1:Y16"/>
  <sheetViews>
    <sheetView workbookViewId="0">
      <selection activeCell="K3" sqref="K3"/>
    </sheetView>
  </sheetViews>
  <sheetFormatPr defaultRowHeight="15" x14ac:dyDescent="0.25"/>
  <cols>
    <col min="1" max="1" width="31.85546875" bestFit="1" customWidth="1"/>
    <col min="2" max="2" width="34.85546875" bestFit="1" customWidth="1"/>
    <col min="3" max="3" width="22.42578125" bestFit="1" customWidth="1"/>
    <col min="4" max="4" width="19.42578125" bestFit="1" customWidth="1"/>
    <col min="5" max="5" width="18.28515625" bestFit="1" customWidth="1"/>
    <col min="6" max="6" width="8.85546875" customWidth="1"/>
  </cols>
  <sheetData>
    <row r="1" spans="1:25" x14ac:dyDescent="0.25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</row>
    <row r="2" spans="1:25" ht="15.75" x14ac:dyDescent="0.25">
      <c r="A2" s="8" t="s">
        <v>68</v>
      </c>
      <c r="B2" s="17" t="s">
        <v>69</v>
      </c>
      <c r="C2">
        <v>2170</v>
      </c>
      <c r="D2" t="s">
        <v>70</v>
      </c>
      <c r="E2" t="s">
        <v>71</v>
      </c>
    </row>
    <row r="3" spans="1:25" x14ac:dyDescent="0.25">
      <c r="A3" s="8" t="s">
        <v>145</v>
      </c>
      <c r="B3" t="s">
        <v>146</v>
      </c>
      <c r="C3">
        <v>2030</v>
      </c>
      <c r="D3" t="s">
        <v>70</v>
      </c>
      <c r="E3" t="s">
        <v>71</v>
      </c>
    </row>
    <row r="4" spans="1:25" x14ac:dyDescent="0.25">
      <c r="A4" s="8"/>
      <c r="I4" s="8"/>
      <c r="Q4" s="8"/>
      <c r="Y4" s="8"/>
    </row>
    <row r="7" spans="1:25" x14ac:dyDescent="0.25">
      <c r="A7" s="8"/>
    </row>
    <row r="8" spans="1:25" x14ac:dyDescent="0.25">
      <c r="A8" s="8"/>
    </row>
    <row r="9" spans="1:25" x14ac:dyDescent="0.25">
      <c r="A9" s="8"/>
    </row>
    <row r="10" spans="1:25" x14ac:dyDescent="0.25">
      <c r="A10" s="8"/>
    </row>
    <row r="11" spans="1:25" x14ac:dyDescent="0.25">
      <c r="A11" s="8"/>
    </row>
    <row r="12" spans="1:25" x14ac:dyDescent="0.25">
      <c r="A12" s="8"/>
    </row>
    <row r="13" spans="1:25" x14ac:dyDescent="0.25">
      <c r="A13" s="8"/>
    </row>
    <row r="14" spans="1:25" x14ac:dyDescent="0.25">
      <c r="A14" s="8"/>
    </row>
    <row r="15" spans="1:25" x14ac:dyDescent="0.25">
      <c r="A15" s="8"/>
    </row>
    <row r="16" spans="1:25" x14ac:dyDescent="0.25">
      <c r="A16" s="8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84299dc-aab0-4ecd-9872-c26772926ae6">
      <Terms xmlns="http://schemas.microsoft.com/office/infopath/2007/PartnerControls"/>
    </lcf76f155ced4ddcb4097134ff3c332f>
    <TaxCatchAll xmlns="509691b1-21f7-48a3-be35-aee95b87e77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9ED575FA29B64AA3F21DAFAF8A7EAC" ma:contentTypeVersion="14" ma:contentTypeDescription="Een nieuw document maken." ma:contentTypeScope="" ma:versionID="44288857e44d4bb6e21da07e5d4a69fe">
  <xsd:schema xmlns:xsd="http://www.w3.org/2001/XMLSchema" xmlns:xs="http://www.w3.org/2001/XMLSchema" xmlns:p="http://schemas.microsoft.com/office/2006/metadata/properties" xmlns:ns2="284299dc-aab0-4ecd-9872-c26772926ae6" xmlns:ns3="509691b1-21f7-48a3-be35-aee95b87e777" targetNamespace="http://schemas.microsoft.com/office/2006/metadata/properties" ma:root="true" ma:fieldsID="86cc0b016546c36580cdf2b8091b435c" ns2:_="" ns3:_="">
    <xsd:import namespace="284299dc-aab0-4ecd-9872-c26772926ae6"/>
    <xsd:import namespace="509691b1-21f7-48a3-be35-aee95b87e7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299dc-aab0-4ecd-9872-c26772926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Afbeeldingtags" ma:readOnly="false" ma:fieldId="{5cf76f15-5ced-4ddc-b409-7134ff3c332f}" ma:taxonomyMulti="true" ma:sspId="da88b6d4-d597-4702-935a-6dd3f7f11b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691b1-21f7-48a3-be35-aee95b87e77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a61397c-b437-4da7-9aa3-33c8ccf46f78}" ma:internalName="TaxCatchAll" ma:showField="CatchAllData" ma:web="509691b1-21f7-48a3-be35-aee95b87e7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3632BE-B22B-4A64-9391-F6C3295BB990}">
  <ds:schemaRefs>
    <ds:schemaRef ds:uri="http://schemas.microsoft.com/office/2006/metadata/properties"/>
    <ds:schemaRef ds:uri="http://schemas.microsoft.com/office/infopath/2007/PartnerControls"/>
    <ds:schemaRef ds:uri="284299dc-aab0-4ecd-9872-c26772926ae6"/>
    <ds:schemaRef ds:uri="509691b1-21f7-48a3-be35-aee95b87e777"/>
  </ds:schemaRefs>
</ds:datastoreItem>
</file>

<file path=customXml/itemProps2.xml><?xml version="1.0" encoding="utf-8"?>
<ds:datastoreItem xmlns:ds="http://schemas.openxmlformats.org/officeDocument/2006/customXml" ds:itemID="{819FA9CE-90E7-4787-91BB-93F29A490D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2B9FA4-0C43-48C6-8827-48A8FB0C4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4299dc-aab0-4ecd-9872-c26772926ae6"/>
    <ds:schemaRef ds:uri="509691b1-21f7-48a3-be35-aee95b87e7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CREATIE</vt:lpstr>
      <vt:lpstr>DATA</vt:lpstr>
      <vt:lpstr>OPDRACHTGEVER</vt:lpstr>
      <vt:lpstr>KvB</vt:lpstr>
      <vt:lpstr>GEADRESSEERDE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2025-04-08T22:38:36Z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e94301-eb43-40a0-9668-f00d772fe0ff_Enabled">
    <vt:lpwstr>true</vt:lpwstr>
  </property>
  <property fmtid="{D5CDD505-2E9C-101B-9397-08002B2CF9AE}" pid="3" name="MSIP_Label_eae94301-eb43-40a0-9668-f00d772fe0ff_SetDate">
    <vt:lpwstr>2024-02-01T11:32:10Z</vt:lpwstr>
  </property>
  <property fmtid="{D5CDD505-2E9C-101B-9397-08002B2CF9AE}" pid="4" name="MSIP_Label_eae94301-eb43-40a0-9668-f00d772fe0ff_Method">
    <vt:lpwstr>Standard</vt:lpwstr>
  </property>
  <property fmtid="{D5CDD505-2E9C-101B-9397-08002B2CF9AE}" pid="5" name="MSIP_Label_eae94301-eb43-40a0-9668-f00d772fe0ff_Name">
    <vt:lpwstr>defa4170-0d19-0005-0004-bc88714345d2</vt:lpwstr>
  </property>
  <property fmtid="{D5CDD505-2E9C-101B-9397-08002B2CF9AE}" pid="6" name="MSIP_Label_eae94301-eb43-40a0-9668-f00d772fe0ff_SiteId">
    <vt:lpwstr>b18f3234-1486-4680-b5bf-344d0413f622</vt:lpwstr>
  </property>
  <property fmtid="{D5CDD505-2E9C-101B-9397-08002B2CF9AE}" pid="7" name="MSIP_Label_eae94301-eb43-40a0-9668-f00d772fe0ff_ActionId">
    <vt:lpwstr>ad0efc2e-72ca-44ef-a327-d1487cb58cb3</vt:lpwstr>
  </property>
  <property fmtid="{D5CDD505-2E9C-101B-9397-08002B2CF9AE}" pid="8" name="MSIP_Label_eae94301-eb43-40a0-9668-f00d772fe0ff_ContentBits">
    <vt:lpwstr>0</vt:lpwstr>
  </property>
  <property fmtid="{D5CDD505-2E9C-101B-9397-08002B2CF9AE}" pid="9" name="ContentTypeId">
    <vt:lpwstr>0x010100099ED575FA29B64AA3F21DAFAF8A7EAC</vt:lpwstr>
  </property>
</Properties>
</file>